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PROCERASEO\2- REMUNERACION QUINCENAL\2026\2026091\"/>
    </mc:Choice>
  </mc:AlternateContent>
  <xr:revisionPtr revIDLastSave="0" documentId="13_ncr:1_{78C19874-E987-45BD-B7EA-E882A11DE525}" xr6:coauthVersionLast="47" xr6:coauthVersionMax="47" xr10:uidLastSave="{00000000-0000-0000-0000-000000000000}"/>
  <bookViews>
    <workbookView xWindow="28680" yWindow="-120" windowWidth="29040" windowHeight="15720" tabRatio="780" firstSheet="17" activeTab="17" xr2:uid="{00000000-000D-0000-FFFF-FFFF00000000}"/>
  </bookViews>
  <sheets>
    <sheet name="Recaudo EAAB Reciprocidad" sheetId="66" r:id="rId1"/>
    <sheet name="Recaudo ENEL" sheetId="71" r:id="rId2"/>
    <sheet name="Recaudo ENERBIT" sheetId="96" r:id="rId3"/>
    <sheet name="Recaudo EAAB + Ciud Limp" sheetId="57" r:id="rId4"/>
    <sheet name="Recaudo Directa Occidente" sheetId="58" r:id="rId5"/>
    <sheet name="REPORTE RECAUDO x BANCO" sheetId="62" r:id="rId6"/>
    <sheet name="ANT EXT-REV" sheetId="70" r:id="rId7"/>
    <sheet name="ANTICIPOS USUARIOS" sheetId="56" r:id="rId8"/>
    <sheet name="BCE SC POR FACT." sheetId="64" r:id="rId9"/>
    <sheet name="Reporte Componentes R1" sheetId="55" r:id="rId10"/>
    <sheet name="Rem. Anticipos R2" sheetId="59" r:id="rId11"/>
    <sheet name="Reversion Pagos R4" sheetId="61" r:id="rId12"/>
    <sheet name="SALDOS POR NOTA" sheetId="68" r:id="rId13"/>
    <sheet name="RETRIBUCION NEGATIVA" sheetId="67" r:id="rId14"/>
    <sheet name="AJUSTES - SF-T" sheetId="69" r:id="rId15"/>
    <sheet name="INTERVENTORIA" sheetId="95" r:id="rId16"/>
    <sheet name="Informe AFaseo Recaudo 202609-1" sheetId="89" r:id="rId17"/>
    <sheet name="CONSOLIDADO_TOTAL RECAUDO" sheetId="22" r:id="rId18"/>
    <sheet name="VALIDACION_TOTAL" sheetId="36" r:id="rId19"/>
    <sheet name="GERENTES_TOTAL" sheetId="39" r:id="rId20"/>
    <sheet name="REMUNERACION Reciprocidad EAAB" sheetId="75" r:id="rId21"/>
    <sheet name="VALIDACION_RECIP" sheetId="77" r:id="rId22"/>
    <sheet name="GERENTES_Reciprocidad_ EAAB" sheetId="76" r:id="rId23"/>
    <sheet name="REMUNERACION_ENEL" sheetId="79" r:id="rId24"/>
    <sheet name="VALIDACION_ENEL" sheetId="80" r:id="rId25"/>
    <sheet name="GERENTES_ENEL" sheetId="81" r:id="rId26"/>
    <sheet name="REMUNERACION_ENERBIT" sheetId="97" r:id="rId27"/>
    <sheet name="VALIDACION_ENERBIT" sheetId="98" r:id="rId28"/>
    <sheet name="GERENTES_ENERBIT" sheetId="99" r:id="rId29"/>
    <sheet name="REMUNERACION_OCCIDENTE_ Directa" sheetId="85" r:id="rId30"/>
    <sheet name="VALIDACION_OCCIDENTE" sheetId="83" r:id="rId31"/>
    <sheet name="GERENTES_OCCIDENTE _ Directa" sheetId="82" r:id="rId32"/>
    <sheet name="REMUNERACION_EAAB-CL" sheetId="86" r:id="rId33"/>
    <sheet name="VALIDACION_EAAB-CL" sheetId="87" r:id="rId34"/>
    <sheet name="GERENTES_EAAB-CL" sheetId="88" r:id="rId35"/>
    <sheet name="DetRetri2026091" sheetId="93" r:id="rId36"/>
    <sheet name="DetValiRetri2026091" sheetId="94" r:id="rId37"/>
    <sheet name="Valida -Remunera" sheetId="90" r:id="rId38"/>
    <sheet name="Valida - Anticipos" sheetId="91" r:id="rId39"/>
    <sheet name="Valida - Control Recaudo" sheetId="92" r:id="rId40"/>
  </sheets>
  <externalReferences>
    <externalReference r:id="rId41"/>
    <externalReference r:id="rId42"/>
    <externalReference r:id="rId43"/>
    <externalReference r:id="rId44"/>
    <externalReference r:id="rId45"/>
  </externalReferences>
  <definedNames>
    <definedName name="\0">#REF!</definedName>
    <definedName name="_1">#REF!</definedName>
    <definedName name="_2">#REF!</definedName>
    <definedName name="_A655555">#REF!</definedName>
    <definedName name="_CFR1">#REF!</definedName>
    <definedName name="_cia1">#REF!</definedName>
    <definedName name="_xlnm._FilterDatabase" localSheetId="3" hidden="1">'Recaudo EAAB + Ciud Limp'!#REF!</definedName>
    <definedName name="_xlnm._FilterDatabase" localSheetId="0" hidden="1">'Recaudo EAAB Reciprocidad'!#REF!</definedName>
    <definedName name="_Order1" hidden="1">0</definedName>
    <definedName name="_XL250">#REF!</definedName>
    <definedName name="A">#REF!</definedName>
    <definedName name="ADM" localSheetId="28">[1]!ADM</definedName>
    <definedName name="ADM" localSheetId="2">[1]!ADM</definedName>
    <definedName name="ADM" localSheetId="26">[1]!ADM</definedName>
    <definedName name="ADM" localSheetId="27">[1]!ADM</definedName>
    <definedName name="ADM">[1]!ADM</definedName>
    <definedName name="ADM_" localSheetId="28">[1]!ADM</definedName>
    <definedName name="ADM_" localSheetId="2">[1]!ADM</definedName>
    <definedName name="ADM_" localSheetId="26">[1]!ADM</definedName>
    <definedName name="ADM_" localSheetId="27">[1]!ADM</definedName>
    <definedName name="ADM_">[1]!ADM</definedName>
    <definedName name="AI">#REF!</definedName>
    <definedName name="Air">#REF!</definedName>
    <definedName name="anscount" hidden="1">1</definedName>
    <definedName name="AP">'[2]TARIFA no aforos'!$C$12</definedName>
    <definedName name="_xlnm.Print_Area">#REF!</definedName>
    <definedName name="Bancos">[3]Fx!$C$1:$C$23</definedName>
    <definedName name="CBL">#REF!</definedName>
    <definedName name="CCS">#REF!</definedName>
    <definedName name="CDT_p">[4]CDT!$C$3</definedName>
    <definedName name="CFR">#REF!</definedName>
    <definedName name="cia">#REF!</definedName>
    <definedName name="COM">#REF!</definedName>
    <definedName name="CRT">#REF!</definedName>
    <definedName name="CRT___CTEp___CDTp___CMRv">#REF!</definedName>
    <definedName name="CRT_aislados">'[4]COSTOS AJUSTADOS'!$C$13</definedName>
    <definedName name="CRT_costas">#REF!</definedName>
    <definedName name="CTE_p">[4]CTE!$C$5</definedName>
    <definedName name="Denominador">#REF!</definedName>
    <definedName name="dg" localSheetId="28">[1]!ADM</definedName>
    <definedName name="dg" localSheetId="2">[1]!ADM</definedName>
    <definedName name="dg" localSheetId="26">[1]!ADM</definedName>
    <definedName name="dg" localSheetId="27">[1]!ADM</definedName>
    <definedName name="dg">[1]!ADM</definedName>
    <definedName name="DIAS">[5]CONTRA!#REF!</definedName>
    <definedName name="Fmerc">#REF!</definedName>
    <definedName name="FPS">#REF!</definedName>
    <definedName name="InformacionGeneral" localSheetId="28">[1]!InformacionGeneral</definedName>
    <definedName name="InformacionGeneral" localSheetId="2">[1]!InformacionGeneral</definedName>
    <definedName name="InformacionGeneral" localSheetId="26">[1]!InformacionGeneral</definedName>
    <definedName name="InformacionGeneral" localSheetId="27">[1]!InformacionGeneral</definedName>
    <definedName name="InformacionGeneral">[1]!InformacionGeneral</definedName>
    <definedName name="INTFIN">#REF!</definedName>
    <definedName name="INV" localSheetId="28">[1]!INV</definedName>
    <definedName name="INV" localSheetId="2">[1]!INV</definedName>
    <definedName name="INV" localSheetId="26">[1]!INV</definedName>
    <definedName name="INV" localSheetId="27">[1]!INV</definedName>
    <definedName name="INV">[1]!INV</definedName>
    <definedName name="K">#REF!</definedName>
    <definedName name="N">'[4]COSTOS AJUSTADOS'!#REF!</definedName>
    <definedName name="Na">'[2]TARIFA no aforos'!$C$39</definedName>
    <definedName name="nfc">'[4]COSTOS AJUSTADOS'!#REF!</definedName>
    <definedName name="OYM" localSheetId="28">[1]!OYM</definedName>
    <definedName name="OYM" localSheetId="2">[1]!OYM</definedName>
    <definedName name="OYM" localSheetId="26">[1]!OYM</definedName>
    <definedName name="OYM" localSheetId="27">[1]!OYM</definedName>
    <definedName name="OYM">[1]!OYM</definedName>
    <definedName name="parametros" localSheetId="28">[1]!parametros</definedName>
    <definedName name="parametros" localSheetId="2">[1]!parametros</definedName>
    <definedName name="parametros" localSheetId="26">[1]!parametros</definedName>
    <definedName name="parametros" localSheetId="27">[1]!parametros</definedName>
    <definedName name="parametros">[1]!parametros</definedName>
    <definedName name="PPP">#REF!</definedName>
    <definedName name="PROMOAMBIENTAL_1">'Reporte Componentes R1'!$A$5:$X$28</definedName>
    <definedName name="Q">'[2]TARIFA no aforos'!$C$9</definedName>
    <definedName name="Qa">'[2]TARIFA no aforos'!$C$11</definedName>
    <definedName name="Qb">'[2]TARIFA no aforos'!$C$10</definedName>
    <definedName name="Qbr">#REF!</definedName>
    <definedName name="Qr">#REF!</definedName>
    <definedName name="Ref.">#REF!</definedName>
    <definedName name="RES" localSheetId="28">[1]!RES</definedName>
    <definedName name="RES" localSheetId="2">[1]!RES</definedName>
    <definedName name="RES" localSheetId="26">[1]!RES</definedName>
    <definedName name="RES" localSheetId="27">[1]!RES</definedName>
    <definedName name="RES">[1]!RES</definedName>
    <definedName name="SUBSIDIOS" localSheetId="28">[1]!SUBSIDIOS</definedName>
    <definedName name="SUBSIDIOS" localSheetId="2">[1]!SUBSIDIOS</definedName>
    <definedName name="SUBSIDIOS" localSheetId="26">[1]!SUBSIDIOS</definedName>
    <definedName name="SUBSIDIOS" localSheetId="27">[1]!SUBSIDIOS</definedName>
    <definedName name="SUBSIDIOS">[1]!SUBSIDIOS</definedName>
    <definedName name="Suma_Au">'[2]TARIFA no aforos'!$C$40</definedName>
    <definedName name="TAforadas">#REF!</definedName>
    <definedName name="TAj">#REF!</definedName>
    <definedName name="TAR" localSheetId="28">[1]!TAR</definedName>
    <definedName name="TAR" localSheetId="2">[1]!TAR</definedName>
    <definedName name="TAR" localSheetId="26">[1]!TAR</definedName>
    <definedName name="TAR" localSheetId="27">[1]!TAR</definedName>
    <definedName name="TAR">[1]!TAR</definedName>
    <definedName name="TBL">#REF!</definedName>
    <definedName name="TDT">#REF!</definedName>
    <definedName name="TFR">#REF!</definedName>
    <definedName name="TFRi">#REF!</definedName>
    <definedName name="_xlnm.Print_Titles">#N/A</definedName>
    <definedName name="Tj">#REF!</definedName>
    <definedName name="TMRf">#REF!</definedName>
    <definedName name="TMRv">#REF!</definedName>
    <definedName name="TNoAforadas">#REF!</definedName>
    <definedName name="TODO">#REF!</definedName>
    <definedName name="Trecep">#REF!</definedName>
    <definedName name="TRF">#REF!</definedName>
    <definedName name="TRFi">#REF!</definedName>
    <definedName name="TRT">#REF!</definedName>
    <definedName name="TTE">#REF!</definedName>
    <definedName name="TTotales">#REF!</definedName>
    <definedName name="TU">#REF!</definedName>
    <definedName name="VP_CTE">#REF!</definedName>
    <definedName name="wrn.resumen." localSheetId="15" hidden="1">{"total",#N/A,FALSE,"TD 0% ";"total",#N/A,FALSE,"TD 12%";"total",#N/A,FALSE,"TD 10%"}</definedName>
    <definedName name="wrn.resumen." hidden="1">{"total",#N/A,FALSE,"TD 0% ";"total",#N/A,FALSE,"TD 12%";"total",#N/A,FALSE,"TD 10%"}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7" i="55" l="1"/>
  <c r="F57" i="55"/>
  <c r="F47" i="55"/>
  <c r="J25" i="94"/>
  <c r="H9" i="64"/>
  <c r="E166" i="61"/>
  <c r="D167" i="61"/>
  <c r="D166" i="61"/>
  <c r="R160" i="61"/>
  <c r="Q160" i="61"/>
  <c r="P160" i="61"/>
  <c r="O160" i="61"/>
  <c r="N160" i="61"/>
  <c r="M160" i="61"/>
  <c r="L160" i="61"/>
  <c r="K160" i="61"/>
  <c r="J160" i="61"/>
  <c r="I160" i="61"/>
  <c r="H160" i="61"/>
  <c r="G160" i="61"/>
  <c r="F160" i="61"/>
  <c r="E160" i="61"/>
  <c r="D161" i="61"/>
  <c r="D160" i="61"/>
  <c r="E83" i="61"/>
  <c r="D83" i="61"/>
  <c r="D78" i="61"/>
  <c r="E77" i="61"/>
  <c r="D77" i="61"/>
  <c r="E71" i="61"/>
  <c r="D71" i="61"/>
  <c r="D72" i="61"/>
  <c r="F574" i="55"/>
  <c r="F572" i="55"/>
  <c r="F567" i="55"/>
  <c r="AO562" i="55"/>
  <c r="AN562" i="55"/>
  <c r="AM562" i="55"/>
  <c r="AL562" i="55"/>
  <c r="AK562" i="55"/>
  <c r="AJ562" i="55"/>
  <c r="AI562" i="55"/>
  <c r="AH562" i="55"/>
  <c r="AG562" i="55"/>
  <c r="AF562" i="55"/>
  <c r="AE562" i="55"/>
  <c r="AD562" i="55"/>
  <c r="AC562" i="55"/>
  <c r="AB562" i="55"/>
  <c r="AA562" i="55"/>
  <c r="Z562" i="55"/>
  <c r="Y562" i="55"/>
  <c r="X562" i="55"/>
  <c r="W562" i="55"/>
  <c r="V562" i="55"/>
  <c r="U562" i="55"/>
  <c r="T562" i="55"/>
  <c r="S562" i="55"/>
  <c r="R562" i="55"/>
  <c r="Q562" i="55"/>
  <c r="P562" i="55"/>
  <c r="O562" i="55"/>
  <c r="N562" i="55"/>
  <c r="M562" i="55"/>
  <c r="L562" i="55"/>
  <c r="K562" i="55"/>
  <c r="J562" i="55"/>
  <c r="I562" i="55"/>
  <c r="H562" i="55"/>
  <c r="G562" i="55"/>
  <c r="F563" i="55"/>
  <c r="F562" i="55"/>
  <c r="F554" i="55"/>
  <c r="F552" i="55"/>
  <c r="F478" i="55"/>
  <c r="G470" i="55"/>
  <c r="F469" i="55"/>
  <c r="F468" i="55"/>
  <c r="F465" i="55"/>
  <c r="F463" i="55"/>
  <c r="G460" i="55"/>
  <c r="F460" i="55"/>
  <c r="G458" i="55"/>
  <c r="F458" i="55"/>
  <c r="F355" i="55"/>
  <c r="G347" i="55"/>
  <c r="F348" i="55"/>
  <c r="F347" i="55"/>
  <c r="G345" i="55"/>
  <c r="F345" i="55"/>
  <c r="F337" i="55"/>
  <c r="F335" i="55"/>
  <c r="G327" i="55"/>
  <c r="F327" i="55"/>
  <c r="AO335" i="55"/>
  <c r="AN335" i="55"/>
  <c r="AM335" i="55"/>
  <c r="AL335" i="55"/>
  <c r="AK335" i="55"/>
  <c r="AJ335" i="55"/>
  <c r="AI335" i="55"/>
  <c r="AH335" i="55"/>
  <c r="AG335" i="55"/>
  <c r="AF335" i="55"/>
  <c r="AE335" i="55"/>
  <c r="AD335" i="55"/>
  <c r="AC335" i="55"/>
  <c r="AB335" i="55"/>
  <c r="AA335" i="55"/>
  <c r="Z335" i="55"/>
  <c r="Y335" i="55"/>
  <c r="X335" i="55"/>
  <c r="W335" i="55"/>
  <c r="V335" i="55"/>
  <c r="U335" i="55"/>
  <c r="T335" i="55"/>
  <c r="S335" i="55"/>
  <c r="R335" i="55"/>
  <c r="Q335" i="55"/>
  <c r="P335" i="55"/>
  <c r="O335" i="55"/>
  <c r="N335" i="55"/>
  <c r="M335" i="55"/>
  <c r="L335" i="55"/>
  <c r="K335" i="55"/>
  <c r="J335" i="55"/>
  <c r="I335" i="55"/>
  <c r="H335" i="55"/>
  <c r="G335" i="55"/>
  <c r="G325" i="55"/>
  <c r="F325" i="55"/>
  <c r="F211" i="55"/>
  <c r="F201" i="55"/>
  <c r="G191" i="55"/>
  <c r="F191" i="55"/>
  <c r="AP186" i="55"/>
  <c r="AO186" i="55"/>
  <c r="AN186" i="55"/>
  <c r="AM186" i="55"/>
  <c r="AL186" i="55"/>
  <c r="AK186" i="55"/>
  <c r="AJ186" i="55"/>
  <c r="AI186" i="55"/>
  <c r="AH186" i="55"/>
  <c r="AG186" i="55"/>
  <c r="AF186" i="55"/>
  <c r="AE186" i="55"/>
  <c r="AD186" i="55"/>
  <c r="AC186" i="55"/>
  <c r="AB186" i="55"/>
  <c r="AA186" i="55"/>
  <c r="Z186" i="55"/>
  <c r="Y186" i="55"/>
  <c r="X186" i="55"/>
  <c r="W186" i="55"/>
  <c r="V186" i="55"/>
  <c r="U186" i="55"/>
  <c r="T186" i="55"/>
  <c r="S186" i="55"/>
  <c r="R186" i="55"/>
  <c r="Q186" i="55"/>
  <c r="P186" i="55"/>
  <c r="O186" i="55"/>
  <c r="N186" i="55"/>
  <c r="M186" i="55"/>
  <c r="L186" i="55"/>
  <c r="K186" i="55"/>
  <c r="J186" i="55"/>
  <c r="I186" i="55"/>
  <c r="H186" i="55"/>
  <c r="G186" i="55"/>
  <c r="F186" i="55"/>
  <c r="G69" i="55"/>
  <c r="F69" i="55"/>
  <c r="AP49" i="55"/>
  <c r="AO49" i="55"/>
  <c r="AN49" i="55"/>
  <c r="AM49" i="55"/>
  <c r="AL49" i="55"/>
  <c r="AK49" i="55"/>
  <c r="AJ49" i="55"/>
  <c r="AI49" i="55"/>
  <c r="AH49" i="55"/>
  <c r="AG49" i="55"/>
  <c r="AF49" i="55"/>
  <c r="AE49" i="55"/>
  <c r="AD49" i="55"/>
  <c r="AC49" i="55"/>
  <c r="AB49" i="55"/>
  <c r="AA49" i="55"/>
  <c r="Z49" i="55"/>
  <c r="Y49" i="55"/>
  <c r="X49" i="55"/>
  <c r="W49" i="55"/>
  <c r="V49" i="55"/>
  <c r="U49" i="55"/>
  <c r="T49" i="55"/>
  <c r="S49" i="55"/>
  <c r="R49" i="55"/>
  <c r="Q49" i="55"/>
  <c r="P49" i="55"/>
  <c r="O49" i="55"/>
  <c r="N49" i="55"/>
  <c r="M49" i="55"/>
  <c r="L49" i="55"/>
  <c r="K49" i="55"/>
  <c r="J49" i="55"/>
  <c r="I49" i="55"/>
  <c r="H49" i="55"/>
  <c r="G49" i="55"/>
  <c r="F49" i="55"/>
  <c r="L13" i="22"/>
  <c r="L12" i="22"/>
  <c r="L11" i="22"/>
  <c r="L10" i="22"/>
  <c r="L9" i="22"/>
  <c r="R31" i="95"/>
  <c r="R30" i="95"/>
  <c r="R29" i="95"/>
  <c r="R28" i="95"/>
  <c r="R27" i="95"/>
  <c r="R26" i="95"/>
  <c r="O26" i="95"/>
  <c r="F54" i="59"/>
  <c r="E55" i="59"/>
  <c r="E54" i="59"/>
  <c r="F48" i="59"/>
  <c r="E49" i="59"/>
  <c r="E48" i="59"/>
  <c r="F42" i="59"/>
  <c r="E42" i="59"/>
  <c r="Z488" i="55"/>
  <c r="Y488" i="55"/>
  <c r="X488" i="55"/>
  <c r="W488" i="55"/>
  <c r="V488" i="55"/>
  <c r="U488" i="55"/>
  <c r="T488" i="55"/>
  <c r="S488" i="55"/>
  <c r="R488" i="55"/>
  <c r="Q488" i="55"/>
  <c r="P488" i="55"/>
  <c r="O488" i="55"/>
  <c r="N488" i="55"/>
  <c r="M488" i="55"/>
  <c r="L488" i="55"/>
  <c r="K488" i="55"/>
  <c r="J488" i="55"/>
  <c r="I488" i="55"/>
  <c r="H488" i="55"/>
  <c r="G488" i="55"/>
  <c r="F488" i="55"/>
  <c r="T355" i="55"/>
  <c r="S355" i="55"/>
  <c r="R355" i="55"/>
  <c r="Q355" i="55"/>
  <c r="P355" i="55"/>
  <c r="O355" i="55"/>
  <c r="N355" i="55"/>
  <c r="M355" i="55"/>
  <c r="L355" i="55"/>
  <c r="K355" i="55"/>
  <c r="J355" i="55"/>
  <c r="I355" i="55"/>
  <c r="H355" i="55"/>
  <c r="G355" i="55"/>
  <c r="AA582" i="55"/>
  <c r="Z582" i="55"/>
  <c r="Y582" i="55"/>
  <c r="X582" i="55"/>
  <c r="W582" i="55"/>
  <c r="V582" i="55"/>
  <c r="U582" i="55"/>
  <c r="T582" i="55"/>
  <c r="S582" i="55"/>
  <c r="R582" i="55"/>
  <c r="Q582" i="55"/>
  <c r="P582" i="55"/>
  <c r="O582" i="55"/>
  <c r="N582" i="55"/>
  <c r="M582" i="55"/>
  <c r="L582" i="55"/>
  <c r="K582" i="55"/>
  <c r="J582" i="55"/>
  <c r="I582" i="55"/>
  <c r="H582" i="55"/>
  <c r="G582" i="55"/>
  <c r="F582" i="55"/>
  <c r="D322" i="61"/>
  <c r="E316" i="61"/>
  <c r="D316" i="61"/>
  <c r="E313" i="61"/>
  <c r="D314" i="61"/>
  <c r="D313" i="61"/>
  <c r="E310" i="61"/>
  <c r="D311" i="61"/>
  <c r="D310" i="61"/>
  <c r="R77" i="61"/>
  <c r="Q77" i="61"/>
  <c r="P77" i="61"/>
  <c r="O77" i="61"/>
  <c r="N77" i="61"/>
  <c r="M77" i="61"/>
  <c r="L77" i="61"/>
  <c r="K77" i="61"/>
  <c r="J77" i="61"/>
  <c r="I77" i="61"/>
  <c r="H77" i="61"/>
  <c r="G77" i="61"/>
  <c r="F77" i="61"/>
  <c r="R71" i="61"/>
  <c r="Q71" i="61"/>
  <c r="P71" i="61"/>
  <c r="O71" i="61"/>
  <c r="N71" i="61"/>
  <c r="M71" i="61"/>
  <c r="L71" i="61"/>
  <c r="K71" i="61"/>
  <c r="J71" i="61"/>
  <c r="I71" i="61"/>
  <c r="H71" i="61"/>
  <c r="G71" i="61"/>
  <c r="F71" i="61"/>
  <c r="AO554" i="55"/>
  <c r="AN554" i="55"/>
  <c r="AM554" i="55"/>
  <c r="AL554" i="55"/>
  <c r="AK554" i="55"/>
  <c r="AJ554" i="55"/>
  <c r="AI554" i="55"/>
  <c r="AH554" i="55"/>
  <c r="AG554" i="55"/>
  <c r="AF554" i="55"/>
  <c r="AE554" i="55"/>
  <c r="AD554" i="55"/>
  <c r="AC554" i="55"/>
  <c r="AB554" i="55"/>
  <c r="AA554" i="55"/>
  <c r="Z554" i="55"/>
  <c r="Y554" i="55"/>
  <c r="X554" i="55"/>
  <c r="W554" i="55"/>
  <c r="V554" i="55"/>
  <c r="U554" i="55"/>
  <c r="T554" i="55"/>
  <c r="S554" i="55"/>
  <c r="R554" i="55"/>
  <c r="Q554" i="55"/>
  <c r="P554" i="55"/>
  <c r="O554" i="55"/>
  <c r="N554" i="55"/>
  <c r="M554" i="55"/>
  <c r="L554" i="55"/>
  <c r="K554" i="55"/>
  <c r="J554" i="55"/>
  <c r="I554" i="55"/>
  <c r="H554" i="55"/>
  <c r="G554" i="55"/>
  <c r="F555" i="55"/>
  <c r="AO574" i="55"/>
  <c r="AN574" i="55"/>
  <c r="AM574" i="55"/>
  <c r="AL574" i="55"/>
  <c r="AK574" i="55"/>
  <c r="AJ574" i="55"/>
  <c r="AI574" i="55"/>
  <c r="AH574" i="55"/>
  <c r="AG574" i="55"/>
  <c r="AF574" i="55"/>
  <c r="AE574" i="55"/>
  <c r="AD574" i="55"/>
  <c r="AC574" i="55"/>
  <c r="AB574" i="55"/>
  <c r="AA574" i="55"/>
  <c r="Z574" i="55"/>
  <c r="Y574" i="55"/>
  <c r="X574" i="55"/>
  <c r="W574" i="55"/>
  <c r="V574" i="55"/>
  <c r="U574" i="55"/>
  <c r="T574" i="55"/>
  <c r="S574" i="55"/>
  <c r="R574" i="55"/>
  <c r="Q574" i="55"/>
  <c r="P574" i="55"/>
  <c r="O574" i="55"/>
  <c r="N574" i="55"/>
  <c r="M574" i="55"/>
  <c r="L574" i="55"/>
  <c r="K574" i="55"/>
  <c r="J574" i="55"/>
  <c r="I574" i="55"/>
  <c r="H574" i="55"/>
  <c r="G574" i="55"/>
  <c r="F575" i="55"/>
  <c r="G572" i="55"/>
  <c r="F573" i="55"/>
  <c r="G552" i="55"/>
  <c r="F480" i="55"/>
  <c r="T470" i="55"/>
  <c r="S470" i="55"/>
  <c r="R470" i="55"/>
  <c r="Q470" i="55"/>
  <c r="P470" i="55"/>
  <c r="O470" i="55"/>
  <c r="N470" i="55"/>
  <c r="M470" i="55"/>
  <c r="L470" i="55"/>
  <c r="K470" i="55"/>
  <c r="J470" i="55"/>
  <c r="I470" i="55"/>
  <c r="H470" i="55"/>
  <c r="F471" i="55"/>
  <c r="F470" i="55"/>
  <c r="G468" i="55"/>
  <c r="Z465" i="55"/>
  <c r="Y465" i="55"/>
  <c r="X465" i="55"/>
  <c r="W465" i="55"/>
  <c r="V465" i="55"/>
  <c r="U465" i="55"/>
  <c r="T465" i="55"/>
  <c r="S465" i="55"/>
  <c r="R465" i="55"/>
  <c r="Q465" i="55"/>
  <c r="P465" i="55"/>
  <c r="O465" i="55"/>
  <c r="N465" i="55"/>
  <c r="M465" i="55"/>
  <c r="L465" i="55"/>
  <c r="K465" i="55"/>
  <c r="J465" i="55"/>
  <c r="I465" i="55"/>
  <c r="H465" i="55"/>
  <c r="G465" i="55"/>
  <c r="F466" i="55"/>
  <c r="G463" i="55"/>
  <c r="F464" i="55"/>
  <c r="F461" i="55"/>
  <c r="G337" i="55"/>
  <c r="F338" i="55"/>
  <c r="AO347" i="55"/>
  <c r="AN347" i="55"/>
  <c r="AM347" i="55"/>
  <c r="AL347" i="55"/>
  <c r="AK347" i="55"/>
  <c r="AJ347" i="55"/>
  <c r="AI347" i="55"/>
  <c r="AH347" i="55"/>
  <c r="AG347" i="55"/>
  <c r="AF347" i="55"/>
  <c r="AE347" i="55"/>
  <c r="AD347" i="55"/>
  <c r="AC347" i="55"/>
  <c r="AB347" i="55"/>
  <c r="AA347" i="55"/>
  <c r="Z347" i="55"/>
  <c r="Y347" i="55"/>
  <c r="X347" i="55"/>
  <c r="W347" i="55"/>
  <c r="V347" i="55"/>
  <c r="U347" i="55"/>
  <c r="T347" i="55"/>
  <c r="S347" i="55"/>
  <c r="R347" i="55"/>
  <c r="Q347" i="55"/>
  <c r="P347" i="55"/>
  <c r="O347" i="55"/>
  <c r="N347" i="55"/>
  <c r="M347" i="55"/>
  <c r="L347" i="55"/>
  <c r="K347" i="55"/>
  <c r="J347" i="55"/>
  <c r="I347" i="55"/>
  <c r="AO345" i="55"/>
  <c r="AN345" i="55"/>
  <c r="AM345" i="55"/>
  <c r="AL345" i="55"/>
  <c r="AK345" i="55"/>
  <c r="AJ345" i="55"/>
  <c r="AI345" i="55"/>
  <c r="AH345" i="55"/>
  <c r="AG345" i="55"/>
  <c r="AF345" i="55"/>
  <c r="AE345" i="55"/>
  <c r="AD345" i="55"/>
  <c r="AC345" i="55"/>
  <c r="AB345" i="55"/>
  <c r="AA345" i="55"/>
  <c r="Z345" i="55"/>
  <c r="Y345" i="55"/>
  <c r="X345" i="55"/>
  <c r="W345" i="55"/>
  <c r="V345" i="55"/>
  <c r="U345" i="55"/>
  <c r="T345" i="55"/>
  <c r="S345" i="55"/>
  <c r="R345" i="55"/>
  <c r="Q345" i="55"/>
  <c r="P345" i="55"/>
  <c r="O345" i="55"/>
  <c r="N345" i="55"/>
  <c r="M345" i="55"/>
  <c r="L345" i="55"/>
  <c r="K345" i="55"/>
  <c r="J345" i="55"/>
  <c r="I345" i="55"/>
  <c r="H345" i="55"/>
  <c r="AO337" i="55"/>
  <c r="AN337" i="55"/>
  <c r="AM337" i="55"/>
  <c r="AL337" i="55"/>
  <c r="AK337" i="55"/>
  <c r="AJ337" i="55"/>
  <c r="AI337" i="55"/>
  <c r="AH337" i="55"/>
  <c r="AG337" i="55"/>
  <c r="AF337" i="55"/>
  <c r="AE337" i="55"/>
  <c r="AD337" i="55"/>
  <c r="AC337" i="55"/>
  <c r="AB337" i="55"/>
  <c r="AA337" i="55"/>
  <c r="Z337" i="55"/>
  <c r="Y337" i="55"/>
  <c r="X337" i="55"/>
  <c r="W337" i="55"/>
  <c r="V337" i="55"/>
  <c r="U337" i="55"/>
  <c r="T337" i="55"/>
  <c r="S337" i="55"/>
  <c r="R337" i="55"/>
  <c r="Q337" i="55"/>
  <c r="P337" i="55"/>
  <c r="O337" i="55"/>
  <c r="N337" i="55"/>
  <c r="M337" i="55"/>
  <c r="L337" i="55"/>
  <c r="K337" i="55"/>
  <c r="J337" i="55"/>
  <c r="I337" i="55"/>
  <c r="AO327" i="55"/>
  <c r="AN327" i="55"/>
  <c r="AM327" i="55"/>
  <c r="AL327" i="55"/>
  <c r="AK327" i="55"/>
  <c r="AJ327" i="55"/>
  <c r="AI327" i="55"/>
  <c r="AH327" i="55"/>
  <c r="AG327" i="55"/>
  <c r="AF327" i="55"/>
  <c r="AE327" i="55"/>
  <c r="AD327" i="55"/>
  <c r="AC327" i="55"/>
  <c r="AB327" i="55"/>
  <c r="AA327" i="55"/>
  <c r="Z327" i="55"/>
  <c r="Y327" i="55"/>
  <c r="X327" i="55"/>
  <c r="W327" i="55"/>
  <c r="V327" i="55"/>
  <c r="U327" i="55"/>
  <c r="T327" i="55"/>
  <c r="S327" i="55"/>
  <c r="R327" i="55"/>
  <c r="Q327" i="55"/>
  <c r="P327" i="55"/>
  <c r="O327" i="55"/>
  <c r="N327" i="55"/>
  <c r="M327" i="55"/>
  <c r="L327" i="55"/>
  <c r="K327" i="55"/>
  <c r="J327" i="55"/>
  <c r="I327" i="55"/>
  <c r="H327" i="55"/>
  <c r="AO325" i="55"/>
  <c r="AN325" i="55"/>
  <c r="AM325" i="55"/>
  <c r="AL325" i="55"/>
  <c r="AK325" i="55"/>
  <c r="AJ325" i="55"/>
  <c r="AI325" i="55"/>
  <c r="AH325" i="55"/>
  <c r="AG325" i="55"/>
  <c r="AF325" i="55"/>
  <c r="AE325" i="55"/>
  <c r="AD325" i="55"/>
  <c r="AC325" i="55"/>
  <c r="AB325" i="55"/>
  <c r="AA325" i="55"/>
  <c r="Z325" i="55"/>
  <c r="Y325" i="55"/>
  <c r="X325" i="55"/>
  <c r="W325" i="55"/>
  <c r="V325" i="55"/>
  <c r="U325" i="55"/>
  <c r="T325" i="55"/>
  <c r="S325" i="55"/>
  <c r="R325" i="55"/>
  <c r="Q325" i="55"/>
  <c r="P325" i="55"/>
  <c r="O325" i="55"/>
  <c r="N325" i="55"/>
  <c r="M325" i="55"/>
  <c r="L325" i="55"/>
  <c r="K325" i="55"/>
  <c r="J325" i="55"/>
  <c r="I325" i="55"/>
  <c r="H325" i="55"/>
  <c r="H337" i="55"/>
  <c r="F336" i="55"/>
  <c r="F326" i="55"/>
  <c r="G201" i="55"/>
  <c r="F202" i="55"/>
  <c r="F192" i="55"/>
  <c r="F187" i="55"/>
  <c r="F181" i="55"/>
  <c r="G181" i="55"/>
  <c r="AP69" i="55"/>
  <c r="AO69" i="55"/>
  <c r="AN69" i="55"/>
  <c r="AM69" i="55"/>
  <c r="AL69" i="55"/>
  <c r="AK69" i="55"/>
  <c r="AJ69" i="55"/>
  <c r="AI69" i="55"/>
  <c r="AH69" i="55"/>
  <c r="AG69" i="55"/>
  <c r="AF69" i="55"/>
  <c r="AE69" i="55"/>
  <c r="AD69" i="55"/>
  <c r="AC69" i="55"/>
  <c r="AB69" i="55"/>
  <c r="AA69" i="55"/>
  <c r="Z69" i="55"/>
  <c r="Y69" i="55"/>
  <c r="X69" i="55"/>
  <c r="W69" i="55"/>
  <c r="V69" i="55"/>
  <c r="U69" i="55"/>
  <c r="T69" i="55"/>
  <c r="S69" i="55"/>
  <c r="R69" i="55"/>
  <c r="Q69" i="55"/>
  <c r="P69" i="55"/>
  <c r="O69" i="55"/>
  <c r="N69" i="55"/>
  <c r="M69" i="55"/>
  <c r="L69" i="55"/>
  <c r="K69" i="55"/>
  <c r="J69" i="55"/>
  <c r="I69" i="55"/>
  <c r="H69" i="55"/>
  <c r="AP67" i="55"/>
  <c r="AO67" i="55"/>
  <c r="AN67" i="55"/>
  <c r="AM67" i="55"/>
  <c r="AL67" i="55"/>
  <c r="AK67" i="55"/>
  <c r="AJ67" i="55"/>
  <c r="AI67" i="55"/>
  <c r="AH67" i="55"/>
  <c r="AG67" i="55"/>
  <c r="AF67" i="55"/>
  <c r="AE67" i="55"/>
  <c r="AD67" i="55"/>
  <c r="AC67" i="55"/>
  <c r="AB67" i="55"/>
  <c r="AA67" i="55"/>
  <c r="Z67" i="55"/>
  <c r="Y67" i="55"/>
  <c r="X67" i="55"/>
  <c r="W67" i="55"/>
  <c r="V67" i="55"/>
  <c r="U67" i="55"/>
  <c r="T67" i="55"/>
  <c r="S67" i="55"/>
  <c r="R67" i="55"/>
  <c r="Q67" i="55"/>
  <c r="P67" i="55"/>
  <c r="O67" i="55"/>
  <c r="N67" i="55"/>
  <c r="M67" i="55"/>
  <c r="L67" i="55"/>
  <c r="K67" i="55"/>
  <c r="J67" i="55"/>
  <c r="I67" i="55"/>
  <c r="H67" i="55"/>
  <c r="G67" i="55"/>
  <c r="F68" i="55"/>
  <c r="G57" i="55"/>
  <c r="F58" i="55"/>
  <c r="AP77" i="55"/>
  <c r="AO77" i="55"/>
  <c r="AN77" i="55"/>
  <c r="AM77" i="55"/>
  <c r="AL77" i="55"/>
  <c r="AK77" i="55"/>
  <c r="AJ77" i="55"/>
  <c r="AI77" i="55"/>
  <c r="AH77" i="55"/>
  <c r="AG77" i="55"/>
  <c r="AF77" i="55"/>
  <c r="AE77" i="55"/>
  <c r="AD77" i="55"/>
  <c r="AC77" i="55"/>
  <c r="AB77" i="55"/>
  <c r="AA77" i="55"/>
  <c r="Z77" i="55"/>
  <c r="Y77" i="55"/>
  <c r="X77" i="55"/>
  <c r="W77" i="55"/>
  <c r="V77" i="55"/>
  <c r="U77" i="55"/>
  <c r="T77" i="55"/>
  <c r="S77" i="55"/>
  <c r="R77" i="55"/>
  <c r="Q77" i="55"/>
  <c r="P77" i="55"/>
  <c r="O77" i="55"/>
  <c r="N77" i="55"/>
  <c r="M77" i="55"/>
  <c r="L77" i="55"/>
  <c r="K77" i="55"/>
  <c r="J77" i="55"/>
  <c r="I77" i="55"/>
  <c r="H77" i="55"/>
  <c r="G77" i="55"/>
  <c r="F77" i="55"/>
  <c r="AP47" i="55"/>
  <c r="AO47" i="55"/>
  <c r="AN47" i="55"/>
  <c r="AM47" i="55"/>
  <c r="AL47" i="55"/>
  <c r="AK47" i="55"/>
  <c r="AJ47" i="55"/>
  <c r="AI47" i="55"/>
  <c r="AH47" i="55"/>
  <c r="AG47" i="55"/>
  <c r="AF47" i="55"/>
  <c r="AE47" i="55"/>
  <c r="AD47" i="55"/>
  <c r="AC47" i="55"/>
  <c r="AB47" i="55"/>
  <c r="AA47" i="55"/>
  <c r="Z47" i="55"/>
  <c r="Y47" i="55"/>
  <c r="X47" i="55"/>
  <c r="W47" i="55"/>
  <c r="V47" i="55"/>
  <c r="U47" i="55"/>
  <c r="T47" i="55"/>
  <c r="S47" i="55"/>
  <c r="R47" i="55"/>
  <c r="Q47" i="55"/>
  <c r="P47" i="55"/>
  <c r="O47" i="55"/>
  <c r="N47" i="55"/>
  <c r="M47" i="55"/>
  <c r="L47" i="55"/>
  <c r="K47" i="55"/>
  <c r="J47" i="55"/>
  <c r="I47" i="55"/>
  <c r="H47" i="55"/>
  <c r="G47" i="55"/>
  <c r="F48" i="55"/>
  <c r="AA191" i="55"/>
  <c r="Z191" i="55"/>
  <c r="Y191" i="55"/>
  <c r="X191" i="55"/>
  <c r="W191" i="55"/>
  <c r="V191" i="55"/>
  <c r="U191" i="55"/>
  <c r="T191" i="55"/>
  <c r="S191" i="55"/>
  <c r="R191" i="55"/>
  <c r="Q191" i="55"/>
  <c r="P191" i="55"/>
  <c r="O191" i="55"/>
  <c r="N191" i="55"/>
  <c r="M191" i="55"/>
  <c r="L191" i="55"/>
  <c r="K191" i="55"/>
  <c r="J191" i="55"/>
  <c r="I191" i="55"/>
  <c r="H191" i="55"/>
  <c r="R357" i="61"/>
  <c r="Q357" i="61"/>
  <c r="P357" i="61"/>
  <c r="O357" i="61"/>
  <c r="N357" i="61"/>
  <c r="M357" i="61"/>
  <c r="L357" i="61"/>
  <c r="K357" i="61"/>
  <c r="J357" i="61"/>
  <c r="I357" i="61"/>
  <c r="H357" i="61"/>
  <c r="G357" i="61"/>
  <c r="F357" i="61"/>
  <c r="E357" i="61"/>
  <c r="D358" i="61"/>
  <c r="D357" i="61"/>
  <c r="E351" i="61"/>
  <c r="D352" i="61"/>
  <c r="D351" i="61"/>
  <c r="D346" i="61"/>
  <c r="R345" i="61"/>
  <c r="Q345" i="61"/>
  <c r="P345" i="61"/>
  <c r="O345" i="61"/>
  <c r="N345" i="61"/>
  <c r="M345" i="61"/>
  <c r="L345" i="61"/>
  <c r="K345" i="61"/>
  <c r="J345" i="61"/>
  <c r="I345" i="61"/>
  <c r="H345" i="61"/>
  <c r="G345" i="61"/>
  <c r="F345" i="61"/>
  <c r="E345" i="61"/>
  <c r="D345" i="61"/>
  <c r="R322" i="61"/>
  <c r="Q322" i="61"/>
  <c r="P322" i="61"/>
  <c r="O322" i="61"/>
  <c r="N322" i="61"/>
  <c r="M322" i="61"/>
  <c r="L322" i="61"/>
  <c r="K322" i="61"/>
  <c r="J322" i="61"/>
  <c r="I322" i="61"/>
  <c r="H322" i="61"/>
  <c r="G322" i="61"/>
  <c r="F322" i="61"/>
  <c r="E322" i="61"/>
  <c r="D323" i="61"/>
  <c r="D317" i="61"/>
  <c r="R313" i="61"/>
  <c r="Q313" i="61"/>
  <c r="P313" i="61"/>
  <c r="O313" i="61"/>
  <c r="N313" i="61"/>
  <c r="M313" i="61"/>
  <c r="L313" i="61"/>
  <c r="K313" i="61"/>
  <c r="J313" i="61"/>
  <c r="I313" i="61"/>
  <c r="H313" i="61"/>
  <c r="G313" i="61"/>
  <c r="F313" i="61"/>
  <c r="R310" i="61"/>
  <c r="Q310" i="61"/>
  <c r="P310" i="61"/>
  <c r="O310" i="61"/>
  <c r="N310" i="61"/>
  <c r="M310" i="61"/>
  <c r="L310" i="61"/>
  <c r="K310" i="61"/>
  <c r="J310" i="61"/>
  <c r="I310" i="61"/>
  <c r="H310" i="61"/>
  <c r="G310" i="61"/>
  <c r="F310" i="61"/>
  <c r="R208" i="61"/>
  <c r="Q208" i="61"/>
  <c r="P208" i="61"/>
  <c r="O208" i="61"/>
  <c r="N208" i="61"/>
  <c r="M208" i="61"/>
  <c r="L208" i="61"/>
  <c r="K208" i="61"/>
  <c r="J208" i="61"/>
  <c r="I208" i="61"/>
  <c r="H208" i="61"/>
  <c r="G208" i="61"/>
  <c r="F208" i="61"/>
  <c r="E208" i="61"/>
  <c r="D209" i="61"/>
  <c r="D208" i="61"/>
  <c r="E202" i="61"/>
  <c r="D203" i="61"/>
  <c r="D202" i="61"/>
  <c r="R196" i="61"/>
  <c r="Q196" i="61"/>
  <c r="P196" i="61"/>
  <c r="O196" i="61"/>
  <c r="N196" i="61"/>
  <c r="M196" i="61"/>
  <c r="L196" i="61"/>
  <c r="K196" i="61"/>
  <c r="J196" i="61"/>
  <c r="I196" i="61"/>
  <c r="H196" i="61"/>
  <c r="G196" i="61"/>
  <c r="F196" i="61"/>
  <c r="E196" i="61"/>
  <c r="D197" i="61"/>
  <c r="D196" i="61"/>
  <c r="R83" i="61"/>
  <c r="Q83" i="61"/>
  <c r="P83" i="61"/>
  <c r="O83" i="61"/>
  <c r="N83" i="61"/>
  <c r="M83" i="61"/>
  <c r="L83" i="61"/>
  <c r="K83" i="61"/>
  <c r="J83" i="61"/>
  <c r="I83" i="61"/>
  <c r="H83" i="61"/>
  <c r="G83" i="61"/>
  <c r="F83" i="61"/>
  <c r="AO572" i="55"/>
  <c r="AN572" i="55"/>
  <c r="AM572" i="55"/>
  <c r="AL572" i="55"/>
  <c r="AK572" i="55"/>
  <c r="AJ572" i="55"/>
  <c r="AI572" i="55"/>
  <c r="AH572" i="55"/>
  <c r="AG572" i="55"/>
  <c r="AF572" i="55"/>
  <c r="AE572" i="55"/>
  <c r="AD572" i="55"/>
  <c r="AC572" i="55"/>
  <c r="AB572" i="55"/>
  <c r="AA572" i="55"/>
  <c r="Z572" i="55"/>
  <c r="Y572" i="55"/>
  <c r="X572" i="55"/>
  <c r="W572" i="55"/>
  <c r="V572" i="55"/>
  <c r="U572" i="55"/>
  <c r="T572" i="55"/>
  <c r="S572" i="55"/>
  <c r="R572" i="55"/>
  <c r="Q572" i="55"/>
  <c r="P572" i="55"/>
  <c r="O572" i="55"/>
  <c r="N572" i="55"/>
  <c r="M572" i="55"/>
  <c r="L572" i="55"/>
  <c r="K572" i="55"/>
  <c r="J572" i="55"/>
  <c r="I572" i="55"/>
  <c r="H572" i="55"/>
  <c r="AO552" i="55"/>
  <c r="AN552" i="55"/>
  <c r="AM552" i="55"/>
  <c r="AL552" i="55"/>
  <c r="AK552" i="55"/>
  <c r="AJ552" i="55"/>
  <c r="AI552" i="55"/>
  <c r="AH552" i="55"/>
  <c r="AG552" i="55"/>
  <c r="AF552" i="55"/>
  <c r="AE552" i="55"/>
  <c r="AD552" i="55"/>
  <c r="AC552" i="55"/>
  <c r="AB552" i="55"/>
  <c r="AA552" i="55"/>
  <c r="Z552" i="55"/>
  <c r="Y552" i="55"/>
  <c r="X552" i="55"/>
  <c r="W552" i="55"/>
  <c r="V552" i="55"/>
  <c r="U552" i="55"/>
  <c r="T552" i="55"/>
  <c r="S552" i="55"/>
  <c r="R552" i="55"/>
  <c r="Q552" i="55"/>
  <c r="P552" i="55"/>
  <c r="O552" i="55"/>
  <c r="N552" i="55"/>
  <c r="M552" i="55"/>
  <c r="L552" i="55"/>
  <c r="K552" i="55"/>
  <c r="J552" i="55"/>
  <c r="I552" i="55"/>
  <c r="H552" i="55"/>
  <c r="G478" i="55"/>
  <c r="F479" i="55"/>
  <c r="F459" i="55"/>
  <c r="H347" i="55"/>
  <c r="F328" i="55"/>
  <c r="C45" i="62"/>
  <c r="C14" i="98"/>
  <c r="C14" i="77"/>
  <c r="C8" i="36"/>
  <c r="AE29" i="97" l="1"/>
  <c r="AC29" i="97"/>
  <c r="AA29" i="97"/>
  <c r="Y29" i="97"/>
  <c r="X29" i="97"/>
  <c r="W29" i="97"/>
  <c r="V29" i="97"/>
  <c r="U29" i="97"/>
  <c r="N29" i="97"/>
  <c r="I29" i="97"/>
  <c r="H29" i="97"/>
  <c r="G29" i="97"/>
  <c r="F29" i="97"/>
  <c r="E29" i="97"/>
  <c r="D29" i="97"/>
  <c r="R316" i="61"/>
  <c r="Q316" i="61"/>
  <c r="P316" i="61"/>
  <c r="O316" i="61"/>
  <c r="N316" i="61"/>
  <c r="M316" i="61"/>
  <c r="L316" i="61"/>
  <c r="K316" i="61"/>
  <c r="J316" i="61"/>
  <c r="I316" i="61"/>
  <c r="H316" i="61"/>
  <c r="G316" i="61"/>
  <c r="F316" i="61"/>
  <c r="R166" i="61"/>
  <c r="Q166" i="61"/>
  <c r="P166" i="61"/>
  <c r="O166" i="61"/>
  <c r="N166" i="61"/>
  <c r="M166" i="61"/>
  <c r="L166" i="61"/>
  <c r="K166" i="61"/>
  <c r="J166" i="61"/>
  <c r="I166" i="61"/>
  <c r="H166" i="61"/>
  <c r="G166" i="61"/>
  <c r="F166" i="61"/>
  <c r="E428" i="59"/>
  <c r="F427" i="59"/>
  <c r="E427" i="59"/>
  <c r="F421" i="59"/>
  <c r="E422" i="59"/>
  <c r="E421" i="59"/>
  <c r="F415" i="59"/>
  <c r="E416" i="59"/>
  <c r="E415" i="59"/>
  <c r="E356" i="59"/>
  <c r="R350" i="59"/>
  <c r="Q350" i="59"/>
  <c r="P350" i="59"/>
  <c r="O350" i="59"/>
  <c r="N350" i="59"/>
  <c r="M350" i="59"/>
  <c r="L350" i="59"/>
  <c r="K350" i="59"/>
  <c r="J350" i="59"/>
  <c r="I350" i="59"/>
  <c r="H350" i="59"/>
  <c r="G350" i="59"/>
  <c r="F350" i="59"/>
  <c r="E351" i="59"/>
  <c r="E350" i="59"/>
  <c r="F347" i="59"/>
  <c r="E348" i="59"/>
  <c r="E347" i="59"/>
  <c r="F344" i="59"/>
  <c r="E345" i="59"/>
  <c r="E344" i="59"/>
  <c r="E147" i="59"/>
  <c r="R141" i="59"/>
  <c r="Q141" i="59"/>
  <c r="P141" i="59"/>
  <c r="O141" i="59"/>
  <c r="N141" i="59"/>
  <c r="M141" i="59"/>
  <c r="L141" i="59"/>
  <c r="K141" i="59"/>
  <c r="J141" i="59"/>
  <c r="I141" i="59"/>
  <c r="H141" i="59"/>
  <c r="G141" i="59"/>
  <c r="F141" i="59"/>
  <c r="E142" i="59"/>
  <c r="E141" i="59"/>
  <c r="F138" i="59"/>
  <c r="E139" i="59"/>
  <c r="E138" i="59"/>
  <c r="F135" i="59"/>
  <c r="E136" i="59"/>
  <c r="E135" i="59"/>
  <c r="G480" i="55"/>
  <c r="F346" i="55"/>
  <c r="AP181" i="55"/>
  <c r="AO181" i="55"/>
  <c r="AN181" i="55"/>
  <c r="AM181" i="55"/>
  <c r="AL181" i="55"/>
  <c r="AK181" i="55"/>
  <c r="AJ181" i="55"/>
  <c r="AI181" i="55"/>
  <c r="AH181" i="55"/>
  <c r="AG181" i="55"/>
  <c r="AF181" i="55"/>
  <c r="AE181" i="55"/>
  <c r="AD181" i="55"/>
  <c r="AC181" i="55"/>
  <c r="AB181" i="55"/>
  <c r="AA181" i="55"/>
  <c r="Z181" i="55"/>
  <c r="Y181" i="55"/>
  <c r="X181" i="55"/>
  <c r="W181" i="55"/>
  <c r="V181" i="55"/>
  <c r="U181" i="55"/>
  <c r="T181" i="55"/>
  <c r="S181" i="55"/>
  <c r="R181" i="55"/>
  <c r="Q181" i="55"/>
  <c r="P181" i="55"/>
  <c r="O181" i="55"/>
  <c r="N181" i="55"/>
  <c r="M181" i="55"/>
  <c r="L181" i="55"/>
  <c r="K181" i="55"/>
  <c r="J181" i="55"/>
  <c r="I181" i="55"/>
  <c r="H181" i="55"/>
  <c r="AP201" i="55"/>
  <c r="AO201" i="55"/>
  <c r="AN201" i="55"/>
  <c r="AM201" i="55"/>
  <c r="AL201" i="55"/>
  <c r="AK201" i="55"/>
  <c r="AJ201" i="55"/>
  <c r="AI201" i="55"/>
  <c r="AH201" i="55"/>
  <c r="AG201" i="55"/>
  <c r="AF201" i="55"/>
  <c r="AE201" i="55"/>
  <c r="AD201" i="55"/>
  <c r="AC201" i="55"/>
  <c r="AB201" i="55"/>
  <c r="AA201" i="55"/>
  <c r="Z201" i="55"/>
  <c r="Y201" i="55"/>
  <c r="X201" i="55"/>
  <c r="W201" i="55"/>
  <c r="V201" i="55"/>
  <c r="U201" i="55"/>
  <c r="T201" i="55"/>
  <c r="S201" i="55"/>
  <c r="R201" i="55"/>
  <c r="Q201" i="55"/>
  <c r="P201" i="55"/>
  <c r="O201" i="55"/>
  <c r="N201" i="55"/>
  <c r="M201" i="55"/>
  <c r="L201" i="55"/>
  <c r="K201" i="55"/>
  <c r="J201" i="55"/>
  <c r="I201" i="55"/>
  <c r="H201" i="55"/>
  <c r="G211" i="55"/>
  <c r="AA211" i="55"/>
  <c r="Z211" i="55"/>
  <c r="Y211" i="55"/>
  <c r="X211" i="55"/>
  <c r="W211" i="55"/>
  <c r="V211" i="55"/>
  <c r="U211" i="55"/>
  <c r="T211" i="55"/>
  <c r="S211" i="55"/>
  <c r="R211" i="55"/>
  <c r="Q211" i="55"/>
  <c r="P211" i="55"/>
  <c r="O211" i="55"/>
  <c r="N211" i="55"/>
  <c r="M211" i="55"/>
  <c r="L211" i="55"/>
  <c r="K211" i="55"/>
  <c r="J211" i="55"/>
  <c r="I211" i="55"/>
  <c r="H211" i="55"/>
  <c r="F27" i="62" l="1"/>
  <c r="AC10" i="97" l="1"/>
  <c r="L31" i="36"/>
  <c r="M31" i="36"/>
  <c r="N31" i="36"/>
  <c r="O31" i="36"/>
  <c r="K31" i="36"/>
  <c r="L12" i="79"/>
  <c r="L10" i="79"/>
  <c r="L11" i="79"/>
  <c r="L13" i="79"/>
  <c r="AO567" i="55"/>
  <c r="AN567" i="55"/>
  <c r="AM567" i="55"/>
  <c r="AL567" i="55"/>
  <c r="AK567" i="55"/>
  <c r="AJ567" i="55"/>
  <c r="AI567" i="55"/>
  <c r="AH567" i="55"/>
  <c r="AG567" i="55"/>
  <c r="AF567" i="55"/>
  <c r="AE567" i="55"/>
  <c r="AD567" i="55"/>
  <c r="AC567" i="55"/>
  <c r="AB567" i="55"/>
  <c r="AA567" i="55"/>
  <c r="Z567" i="55"/>
  <c r="Y567" i="55"/>
  <c r="X567" i="55"/>
  <c r="W567" i="55"/>
  <c r="V567" i="55"/>
  <c r="U567" i="55"/>
  <c r="T567" i="55"/>
  <c r="S567" i="55"/>
  <c r="R567" i="55"/>
  <c r="Q567" i="55"/>
  <c r="P567" i="55"/>
  <c r="O567" i="55"/>
  <c r="N567" i="55"/>
  <c r="M567" i="55"/>
  <c r="L567" i="55"/>
  <c r="K567" i="55"/>
  <c r="J567" i="55"/>
  <c r="I567" i="55"/>
  <c r="H567" i="55"/>
  <c r="G567" i="55"/>
  <c r="F568" i="55"/>
  <c r="F553" i="55"/>
  <c r="Z468" i="55" l="1"/>
  <c r="Y468" i="55"/>
  <c r="X468" i="55"/>
  <c r="W468" i="55"/>
  <c r="V468" i="55"/>
  <c r="U468" i="55"/>
  <c r="T468" i="55"/>
  <c r="S468" i="55"/>
  <c r="R468" i="55"/>
  <c r="Q468" i="55"/>
  <c r="P468" i="55"/>
  <c r="O468" i="55"/>
  <c r="N468" i="55"/>
  <c r="M468" i="55"/>
  <c r="L468" i="55"/>
  <c r="K468" i="55"/>
  <c r="J468" i="55"/>
  <c r="I468" i="55"/>
  <c r="H468" i="55"/>
  <c r="Z480" i="55"/>
  <c r="Y480" i="55"/>
  <c r="X480" i="55"/>
  <c r="W480" i="55"/>
  <c r="V480" i="55"/>
  <c r="U480" i="55"/>
  <c r="T480" i="55"/>
  <c r="S480" i="55"/>
  <c r="R480" i="55"/>
  <c r="Q480" i="55"/>
  <c r="P480" i="55"/>
  <c r="O480" i="55"/>
  <c r="N480" i="55"/>
  <c r="M480" i="55"/>
  <c r="L480" i="55"/>
  <c r="K480" i="55"/>
  <c r="J480" i="55"/>
  <c r="I480" i="55"/>
  <c r="H480" i="55"/>
  <c r="F481" i="55"/>
  <c r="AO463" i="55"/>
  <c r="AN463" i="55"/>
  <c r="AM463" i="55"/>
  <c r="AL463" i="55"/>
  <c r="AK463" i="55"/>
  <c r="AJ463" i="55"/>
  <c r="AI463" i="55"/>
  <c r="AH463" i="55"/>
  <c r="AG463" i="55"/>
  <c r="AF463" i="55"/>
  <c r="AE463" i="55"/>
  <c r="AD463" i="55"/>
  <c r="AC463" i="55"/>
  <c r="AB463" i="55"/>
  <c r="AA463" i="55"/>
  <c r="Z463" i="55"/>
  <c r="Y463" i="55"/>
  <c r="X463" i="55"/>
  <c r="W463" i="55"/>
  <c r="V463" i="55"/>
  <c r="U463" i="55"/>
  <c r="T463" i="55"/>
  <c r="S463" i="55"/>
  <c r="R463" i="55"/>
  <c r="Q463" i="55"/>
  <c r="P463" i="55"/>
  <c r="O463" i="55"/>
  <c r="N463" i="55"/>
  <c r="M463" i="55"/>
  <c r="L463" i="55"/>
  <c r="K463" i="55"/>
  <c r="J463" i="55"/>
  <c r="I463" i="55"/>
  <c r="H463" i="55"/>
  <c r="AA460" i="55"/>
  <c r="Z460" i="55"/>
  <c r="Y460" i="55"/>
  <c r="X460" i="55"/>
  <c r="W460" i="55"/>
  <c r="V460" i="55"/>
  <c r="U460" i="55"/>
  <c r="T460" i="55"/>
  <c r="S460" i="55"/>
  <c r="R460" i="55"/>
  <c r="Q460" i="55"/>
  <c r="P460" i="55"/>
  <c r="O460" i="55"/>
  <c r="N460" i="55"/>
  <c r="M460" i="55"/>
  <c r="L460" i="55"/>
  <c r="K460" i="55"/>
  <c r="J460" i="55"/>
  <c r="I460" i="55"/>
  <c r="H460" i="55"/>
  <c r="F182" i="55"/>
  <c r="E146" i="22"/>
  <c r="E145" i="22"/>
  <c r="E144" i="22"/>
  <c r="E143" i="22"/>
  <c r="E142" i="22"/>
  <c r="C7" i="36"/>
  <c r="C6" i="36"/>
  <c r="C5" i="36"/>
  <c r="C4" i="36"/>
  <c r="C3" i="36"/>
  <c r="H17" i="62" l="1"/>
  <c r="C17" i="62"/>
  <c r="C3" i="70" l="1"/>
  <c r="N44" i="70"/>
  <c r="M44" i="70"/>
  <c r="N43" i="70"/>
  <c r="M43" i="70"/>
  <c r="M45" i="70" s="1"/>
  <c r="L4" i="70"/>
  <c r="K4" i="70"/>
  <c r="J4" i="70"/>
  <c r="I4" i="70"/>
  <c r="H4" i="70"/>
  <c r="G4" i="70"/>
  <c r="F4" i="70"/>
  <c r="E4" i="70"/>
  <c r="D4" i="70"/>
  <c r="E3" i="70"/>
  <c r="F3" i="70"/>
  <c r="G3" i="70"/>
  <c r="H3" i="70"/>
  <c r="I3" i="70"/>
  <c r="J3" i="70"/>
  <c r="K3" i="70"/>
  <c r="L3" i="70"/>
  <c r="D45" i="70"/>
  <c r="C45" i="70"/>
  <c r="D3" i="70"/>
  <c r="C4" i="70"/>
  <c r="C79" i="62"/>
  <c r="C78" i="62"/>
  <c r="C77" i="62"/>
  <c r="C76" i="62"/>
  <c r="C75" i="62"/>
  <c r="E75" i="62" s="1"/>
  <c r="I142" i="85" s="1"/>
  <c r="C73" i="62"/>
  <c r="C72" i="62"/>
  <c r="C71" i="62"/>
  <c r="C70" i="62"/>
  <c r="C69" i="62"/>
  <c r="C68" i="62"/>
  <c r="C67" i="62"/>
  <c r="C66" i="62"/>
  <c r="C65" i="62"/>
  <c r="C63" i="62"/>
  <c r="E63" i="62" s="1"/>
  <c r="I142" i="97" s="1"/>
  <c r="C62" i="62"/>
  <c r="E62" i="62" s="1"/>
  <c r="C64" i="62"/>
  <c r="E64" i="62" s="1"/>
  <c r="I35" i="62"/>
  <c r="I34" i="62"/>
  <c r="I33" i="62"/>
  <c r="I32" i="62"/>
  <c r="I23" i="62"/>
  <c r="G17" i="62"/>
  <c r="G3" i="62"/>
  <c r="G2" i="62"/>
  <c r="H2" i="62"/>
  <c r="H54" i="91"/>
  <c r="I54" i="91"/>
  <c r="J54" i="91"/>
  <c r="K54" i="91"/>
  <c r="L54" i="91"/>
  <c r="G54" i="91"/>
  <c r="E49" i="91"/>
  <c r="E50" i="91"/>
  <c r="E51" i="91"/>
  <c r="E52" i="91"/>
  <c r="E53" i="91"/>
  <c r="D54" i="91"/>
  <c r="AG65" i="90"/>
  <c r="AG64" i="90"/>
  <c r="AG63" i="90"/>
  <c r="AG62" i="90"/>
  <c r="AG61" i="90"/>
  <c r="AG60" i="90"/>
  <c r="D63" i="62" l="1"/>
  <c r="I143" i="75"/>
  <c r="I142" i="79"/>
  <c r="I142" i="22"/>
  <c r="D62" i="62"/>
  <c r="D64" i="62"/>
  <c r="N45" i="70"/>
  <c r="N4" i="70"/>
  <c r="G5" i="70"/>
  <c r="D5" i="70"/>
  <c r="F5" i="70"/>
  <c r="M4" i="70"/>
  <c r="N3" i="70"/>
  <c r="C5" i="70"/>
  <c r="E5" i="70"/>
  <c r="M3" i="70"/>
  <c r="D75" i="62"/>
  <c r="I36" i="62"/>
  <c r="I35" i="96"/>
  <c r="AC11" i="97" l="1"/>
  <c r="O46" i="99"/>
  <c r="N46" i="99"/>
  <c r="M46" i="99"/>
  <c r="F46" i="99"/>
  <c r="E34" i="99"/>
  <c r="E33" i="99"/>
  <c r="E32" i="99"/>
  <c r="E31" i="99"/>
  <c r="E30" i="99"/>
  <c r="U6" i="99"/>
  <c r="F6" i="99"/>
  <c r="L4" i="98"/>
  <c r="L5" i="98"/>
  <c r="L6" i="98"/>
  <c r="L7" i="98"/>
  <c r="L3" i="98"/>
  <c r="K8" i="98"/>
  <c r="F3" i="98"/>
  <c r="D8" i="98"/>
  <c r="C4" i="98"/>
  <c r="C5" i="98"/>
  <c r="C6" i="98"/>
  <c r="C7" i="98"/>
  <c r="C8" i="98"/>
  <c r="C3" i="98"/>
  <c r="E143" i="97"/>
  <c r="E144" i="97"/>
  <c r="E145" i="97"/>
  <c r="E146" i="97"/>
  <c r="E142" i="97"/>
  <c r="L25" i="56"/>
  <c r="L129" i="97" s="1"/>
  <c r="L53" i="91" s="1"/>
  <c r="L24" i="56"/>
  <c r="L128" i="97" s="1"/>
  <c r="L23" i="56"/>
  <c r="L127" i="97" s="1"/>
  <c r="L22" i="56"/>
  <c r="L126" i="97" s="1"/>
  <c r="L21" i="56"/>
  <c r="L125" i="97" s="1"/>
  <c r="L49" i="91" s="1"/>
  <c r="L16" i="56"/>
  <c r="K129" i="97" s="1"/>
  <c r="L15" i="56"/>
  <c r="K128" i="97" s="1"/>
  <c r="K52" i="91" s="1"/>
  <c r="L14" i="56"/>
  <c r="K127" i="97" s="1"/>
  <c r="L13" i="56"/>
  <c r="K126" i="97" s="1"/>
  <c r="L7" i="56"/>
  <c r="D129" i="97" s="1"/>
  <c r="L6" i="56"/>
  <c r="D128" i="97" s="1"/>
  <c r="L5" i="56"/>
  <c r="D127" i="97" s="1"/>
  <c r="D51" i="91" s="1"/>
  <c r="L4" i="56"/>
  <c r="D126" i="97" s="1"/>
  <c r="D50" i="91" s="1"/>
  <c r="L3" i="56"/>
  <c r="D125" i="97" s="1"/>
  <c r="D49" i="91" s="1"/>
  <c r="L12" i="56"/>
  <c r="K125" i="97" s="1"/>
  <c r="AC70" i="97"/>
  <c r="AA70" i="97"/>
  <c r="V70" i="97"/>
  <c r="W70" i="97"/>
  <c r="X70" i="97"/>
  <c r="Y70" i="97"/>
  <c r="U70" i="97"/>
  <c r="AE70" i="97"/>
  <c r="N70" i="97"/>
  <c r="E70" i="97"/>
  <c r="F70" i="97"/>
  <c r="G70" i="97"/>
  <c r="H70" i="97"/>
  <c r="I70" i="97"/>
  <c r="D70" i="97"/>
  <c r="AE69" i="97"/>
  <c r="AD69" i="97" s="1"/>
  <c r="AC69" i="97"/>
  <c r="AA69" i="97"/>
  <c r="V69" i="97"/>
  <c r="W69" i="97"/>
  <c r="X69" i="97"/>
  <c r="Y69" i="97"/>
  <c r="U69" i="97"/>
  <c r="N69" i="97"/>
  <c r="AB69" i="97" s="1"/>
  <c r="E69" i="97"/>
  <c r="F69" i="97"/>
  <c r="G69" i="97"/>
  <c r="H69" i="97"/>
  <c r="I69" i="97"/>
  <c r="D69" i="97"/>
  <c r="AE68" i="97"/>
  <c r="AC68" i="97"/>
  <c r="AA68" i="97"/>
  <c r="V68" i="97"/>
  <c r="W68" i="97"/>
  <c r="X68" i="97"/>
  <c r="Y68" i="97"/>
  <c r="U68" i="97"/>
  <c r="N68" i="97"/>
  <c r="E68" i="97"/>
  <c r="F68" i="97"/>
  <c r="G68" i="97"/>
  <c r="H68" i="97"/>
  <c r="I68" i="97"/>
  <c r="D68" i="97"/>
  <c r="AE67" i="97"/>
  <c r="AD67" i="97" s="1"/>
  <c r="AC67" i="97"/>
  <c r="AA67" i="97"/>
  <c r="V67" i="97"/>
  <c r="W67" i="97"/>
  <c r="X67" i="97"/>
  <c r="Y67" i="97"/>
  <c r="U67" i="97"/>
  <c r="N67" i="97"/>
  <c r="AB67" i="97" s="1"/>
  <c r="J71" i="97"/>
  <c r="E67" i="97"/>
  <c r="F67" i="97"/>
  <c r="G67" i="97"/>
  <c r="H67" i="97"/>
  <c r="I67" i="97"/>
  <c r="D67" i="97"/>
  <c r="AE66" i="97"/>
  <c r="AC66" i="97"/>
  <c r="AA66" i="97"/>
  <c r="V66" i="97"/>
  <c r="W66" i="97"/>
  <c r="X66" i="97"/>
  <c r="Y66" i="97"/>
  <c r="U66" i="97"/>
  <c r="N66" i="97"/>
  <c r="E66" i="97"/>
  <c r="F66" i="97"/>
  <c r="G66" i="97"/>
  <c r="H66" i="97"/>
  <c r="I66" i="97"/>
  <c r="D66" i="97"/>
  <c r="AE51" i="97"/>
  <c r="AD51" i="97" s="1"/>
  <c r="AC51" i="97"/>
  <c r="AA51" i="97"/>
  <c r="Y51" i="97"/>
  <c r="V51" i="97"/>
  <c r="W51" i="97"/>
  <c r="X51" i="97"/>
  <c r="U51" i="97"/>
  <c r="N51" i="97"/>
  <c r="AB51" i="97" s="1"/>
  <c r="E51" i="97"/>
  <c r="F51" i="97"/>
  <c r="G51" i="97"/>
  <c r="H51" i="97"/>
  <c r="I51" i="97"/>
  <c r="D51" i="97"/>
  <c r="AE50" i="97"/>
  <c r="AD50" i="97" s="1"/>
  <c r="AC50" i="97"/>
  <c r="AA50" i="97"/>
  <c r="V50" i="97"/>
  <c r="W50" i="97"/>
  <c r="X50" i="97"/>
  <c r="Y50" i="97"/>
  <c r="U50" i="97"/>
  <c r="N50" i="97"/>
  <c r="AB50" i="97" s="1"/>
  <c r="E50" i="97"/>
  <c r="F50" i="97"/>
  <c r="G50" i="97"/>
  <c r="H50" i="97"/>
  <c r="I50" i="97"/>
  <c r="D50" i="97"/>
  <c r="AC49" i="97"/>
  <c r="AA49" i="97"/>
  <c r="V49" i="97"/>
  <c r="W49" i="97"/>
  <c r="X49" i="97"/>
  <c r="Y49" i="97"/>
  <c r="U49" i="97"/>
  <c r="AE49" i="97"/>
  <c r="AD49" i="97" s="1"/>
  <c r="N49" i="97"/>
  <c r="AB49" i="97" s="1"/>
  <c r="E49" i="97"/>
  <c r="F49" i="97"/>
  <c r="G49" i="97"/>
  <c r="H49" i="97"/>
  <c r="I49" i="97"/>
  <c r="D49" i="97"/>
  <c r="AC48" i="97"/>
  <c r="AA48" i="97"/>
  <c r="V48" i="97"/>
  <c r="W48" i="97"/>
  <c r="X48" i="97"/>
  <c r="Y48" i="97"/>
  <c r="U48" i="97"/>
  <c r="AE48" i="97"/>
  <c r="AD48" i="97" s="1"/>
  <c r="N48" i="97"/>
  <c r="AB48" i="97" s="1"/>
  <c r="E48" i="97"/>
  <c r="F48" i="97"/>
  <c r="G48" i="97"/>
  <c r="H48" i="97"/>
  <c r="I48" i="97"/>
  <c r="D48" i="97"/>
  <c r="AE47" i="97"/>
  <c r="AD47" i="97" s="1"/>
  <c r="AC47" i="97"/>
  <c r="AA47" i="97"/>
  <c r="V47" i="97"/>
  <c r="W47" i="97"/>
  <c r="X47" i="97"/>
  <c r="Y47" i="97"/>
  <c r="U47" i="97"/>
  <c r="N47" i="97"/>
  <c r="E47" i="97"/>
  <c r="F47" i="97"/>
  <c r="G47" i="97"/>
  <c r="H47" i="97"/>
  <c r="I47" i="97"/>
  <c r="D47" i="97"/>
  <c r="AC31" i="97"/>
  <c r="AC30" i="97"/>
  <c r="AC28" i="97"/>
  <c r="AA31" i="97"/>
  <c r="V31" i="97"/>
  <c r="W31" i="97"/>
  <c r="X31" i="97"/>
  <c r="Y31" i="97"/>
  <c r="U31" i="97"/>
  <c r="AE31" i="97"/>
  <c r="AD31" i="97" s="1"/>
  <c r="N31" i="97"/>
  <c r="AB31" i="97" s="1"/>
  <c r="E31" i="97"/>
  <c r="F31" i="97"/>
  <c r="G31" i="97"/>
  <c r="H31" i="97"/>
  <c r="I31" i="97"/>
  <c r="D31" i="97"/>
  <c r="AA30" i="97"/>
  <c r="V30" i="97"/>
  <c r="W30" i="97"/>
  <c r="X30" i="97"/>
  <c r="Y30" i="97"/>
  <c r="U30" i="97"/>
  <c r="AE30" i="97"/>
  <c r="N30" i="97"/>
  <c r="E30" i="97"/>
  <c r="F30" i="97"/>
  <c r="G30" i="97"/>
  <c r="H30" i="97"/>
  <c r="I30" i="97"/>
  <c r="D30" i="97"/>
  <c r="AA28" i="97"/>
  <c r="V28" i="97"/>
  <c r="W28" i="97"/>
  <c r="X28" i="97"/>
  <c r="Y28" i="97"/>
  <c r="U28" i="97"/>
  <c r="AE28" i="97"/>
  <c r="N28" i="97"/>
  <c r="E28" i="97"/>
  <c r="F28" i="97"/>
  <c r="G28" i="97"/>
  <c r="H28" i="97"/>
  <c r="I28" i="97"/>
  <c r="D28" i="97"/>
  <c r="AE32" i="97"/>
  <c r="AC32" i="97"/>
  <c r="AA32" i="97"/>
  <c r="Y32" i="97"/>
  <c r="X32" i="97"/>
  <c r="W32" i="97"/>
  <c r="V32" i="97"/>
  <c r="U32" i="97"/>
  <c r="N32" i="97"/>
  <c r="AB32" i="97" s="1"/>
  <c r="E32" i="97"/>
  <c r="F32" i="97"/>
  <c r="G32" i="97"/>
  <c r="H32" i="97"/>
  <c r="I32" i="97"/>
  <c r="D32" i="97"/>
  <c r="AC13" i="97"/>
  <c r="AA13" i="97"/>
  <c r="AE13" i="97"/>
  <c r="V13" i="97"/>
  <c r="W13" i="97"/>
  <c r="X13" i="97"/>
  <c r="Y13" i="97"/>
  <c r="U13" i="97"/>
  <c r="N13" i="97"/>
  <c r="E13" i="97"/>
  <c r="F13" i="97"/>
  <c r="G13" i="97"/>
  <c r="H13" i="97"/>
  <c r="I13" i="97"/>
  <c r="D13" i="97"/>
  <c r="AE12" i="97"/>
  <c r="AC12" i="97"/>
  <c r="AA12" i="97"/>
  <c r="V12" i="97"/>
  <c r="W12" i="97"/>
  <c r="X12" i="97"/>
  <c r="Y12" i="97"/>
  <c r="U12" i="97"/>
  <c r="N12" i="97"/>
  <c r="E12" i="97"/>
  <c r="F12" i="97"/>
  <c r="G12" i="97"/>
  <c r="H12" i="97"/>
  <c r="I12" i="97"/>
  <c r="J107" i="97"/>
  <c r="J63" i="90" s="1"/>
  <c r="D12" i="97"/>
  <c r="AE11" i="97"/>
  <c r="AA11" i="97"/>
  <c r="V11" i="97"/>
  <c r="W11" i="97"/>
  <c r="X11" i="97"/>
  <c r="Y11" i="97"/>
  <c r="U11" i="97"/>
  <c r="N11" i="97"/>
  <c r="E11" i="97"/>
  <c r="F11" i="97"/>
  <c r="G11" i="97"/>
  <c r="H11" i="97"/>
  <c r="I11" i="97"/>
  <c r="D11" i="97"/>
  <c r="AE10" i="97"/>
  <c r="AC9" i="97"/>
  <c r="AA10" i="97"/>
  <c r="AA9" i="97"/>
  <c r="Z9" i="97"/>
  <c r="V10" i="97"/>
  <c r="W10" i="97"/>
  <c r="X10" i="97"/>
  <c r="Y10" i="97"/>
  <c r="U10" i="97"/>
  <c r="N10" i="97"/>
  <c r="E10" i="97"/>
  <c r="F10" i="97"/>
  <c r="G10" i="97"/>
  <c r="H10" i="97"/>
  <c r="I10" i="97"/>
  <c r="J105" i="97"/>
  <c r="J61" i="90" s="1"/>
  <c r="D10" i="97"/>
  <c r="AE9" i="97"/>
  <c r="V9" i="97"/>
  <c r="W9" i="97"/>
  <c r="X9" i="97"/>
  <c r="Y9" i="97"/>
  <c r="U9" i="97"/>
  <c r="N9" i="97"/>
  <c r="AB9" i="97" s="1"/>
  <c r="E9" i="97"/>
  <c r="F9" i="97"/>
  <c r="G9" i="97"/>
  <c r="H9" i="97"/>
  <c r="I9" i="97"/>
  <c r="D9" i="97"/>
  <c r="X7" i="99"/>
  <c r="U7" i="99"/>
  <c r="H145" i="97"/>
  <c r="G6" i="98" s="1"/>
  <c r="H143" i="97"/>
  <c r="G4" i="98" s="1"/>
  <c r="E130" i="97"/>
  <c r="I128" i="97"/>
  <c r="I126" i="97"/>
  <c r="AG107" i="97"/>
  <c r="AH107" i="97" s="1"/>
  <c r="AF107" i="97"/>
  <c r="AF63" i="90" s="1"/>
  <c r="AD107" i="97"/>
  <c r="L107" i="97"/>
  <c r="L105" i="97"/>
  <c r="L104" i="97"/>
  <c r="X102" i="97"/>
  <c r="U102" i="97"/>
  <c r="L90" i="97"/>
  <c r="AD88" i="97"/>
  <c r="AB88" i="97"/>
  <c r="Z88" i="97"/>
  <c r="AF88" i="97" s="1"/>
  <c r="K88" i="97"/>
  <c r="M88" i="97" s="1"/>
  <c r="O88" i="97" s="1"/>
  <c r="AD86" i="97"/>
  <c r="AB86" i="97"/>
  <c r="Z86" i="97"/>
  <c r="AF86" i="97" s="1"/>
  <c r="K86" i="97"/>
  <c r="M86" i="97" s="1"/>
  <c r="O86" i="97" s="1"/>
  <c r="X83" i="97"/>
  <c r="U83" i="97"/>
  <c r="L71" i="97"/>
  <c r="Z70" i="97"/>
  <c r="Z69" i="97"/>
  <c r="Z68" i="97"/>
  <c r="Z67" i="97"/>
  <c r="Z66" i="97"/>
  <c r="X64" i="97"/>
  <c r="U64" i="97"/>
  <c r="L52" i="97"/>
  <c r="J52" i="97"/>
  <c r="Z51" i="97"/>
  <c r="Z50" i="97"/>
  <c r="Z49" i="97"/>
  <c r="Z48" i="97"/>
  <c r="Z47" i="97"/>
  <c r="X45" i="97"/>
  <c r="U45" i="97"/>
  <c r="L33" i="97"/>
  <c r="J33" i="97"/>
  <c r="Z32" i="97"/>
  <c r="Z31" i="97"/>
  <c r="Z30" i="97"/>
  <c r="AD29" i="97"/>
  <c r="Z29" i="97"/>
  <c r="AB29" i="97"/>
  <c r="Z28" i="97"/>
  <c r="X26" i="97"/>
  <c r="U26" i="97"/>
  <c r="L108" i="97"/>
  <c r="Z12" i="97"/>
  <c r="Z11" i="97"/>
  <c r="L106" i="97"/>
  <c r="Z10" i="97"/>
  <c r="X7" i="97"/>
  <c r="U7" i="97"/>
  <c r="K7" i="97"/>
  <c r="Y7" i="97" s="1"/>
  <c r="G7" i="97"/>
  <c r="G102" i="97" s="1"/>
  <c r="V102" i="97" s="1"/>
  <c r="D7" i="97"/>
  <c r="D6" i="97"/>
  <c r="D25" i="97" s="1"/>
  <c r="N3" i="97"/>
  <c r="N60" i="97" s="1"/>
  <c r="AD60" i="97" s="1"/>
  <c r="L45" i="70"/>
  <c r="K45" i="70"/>
  <c r="K5" i="70"/>
  <c r="J45" i="70"/>
  <c r="I45" i="70"/>
  <c r="H45" i="70"/>
  <c r="G45" i="70"/>
  <c r="F45" i="70"/>
  <c r="E45" i="70"/>
  <c r="G55" i="62"/>
  <c r="E73" i="62" s="1"/>
  <c r="I146" i="97" s="1"/>
  <c r="G45" i="62"/>
  <c r="E71" i="62" s="1"/>
  <c r="I145" i="97" s="1"/>
  <c r="F6" i="98" s="1"/>
  <c r="G36" i="62"/>
  <c r="E68" i="62" s="1"/>
  <c r="I144" i="97" s="1"/>
  <c r="F5" i="98" s="1"/>
  <c r="G27" i="62"/>
  <c r="E66" i="62" s="1"/>
  <c r="I143" i="97" s="1"/>
  <c r="F4" i="98" s="1"/>
  <c r="I13" i="62"/>
  <c r="G4" i="62"/>
  <c r="G5" i="62"/>
  <c r="D31" i="96"/>
  <c r="E69" i="96"/>
  <c r="J35" i="96"/>
  <c r="G35" i="96"/>
  <c r="F35" i="96"/>
  <c r="E35" i="96"/>
  <c r="D35" i="96"/>
  <c r="G33" i="96"/>
  <c r="F33" i="96"/>
  <c r="E33" i="96"/>
  <c r="D33" i="96"/>
  <c r="G31" i="96"/>
  <c r="F31" i="96"/>
  <c r="E31" i="96"/>
  <c r="AG88" i="97" l="1"/>
  <c r="AH88" i="97" s="1"/>
  <c r="Z71" i="97"/>
  <c r="I33" i="99"/>
  <c r="I52" i="91"/>
  <c r="I31" i="99"/>
  <c r="I50" i="91"/>
  <c r="AD12" i="99"/>
  <c r="AD63" i="90"/>
  <c r="L12" i="99"/>
  <c r="L63" i="90"/>
  <c r="L10" i="99"/>
  <c r="L61" i="90"/>
  <c r="L9" i="99"/>
  <c r="L60" i="90"/>
  <c r="L13" i="99"/>
  <c r="L64" i="90"/>
  <c r="L11" i="99"/>
  <c r="L62" i="90"/>
  <c r="D102" i="97"/>
  <c r="D7" i="99" s="1"/>
  <c r="D45" i="97"/>
  <c r="F7" i="98"/>
  <c r="I147" i="97"/>
  <c r="F8" i="98" s="1"/>
  <c r="K30" i="99"/>
  <c r="K49" i="91"/>
  <c r="D71" i="62"/>
  <c r="D68" i="62"/>
  <c r="D66" i="62"/>
  <c r="G7" i="99"/>
  <c r="V7" i="99" s="1"/>
  <c r="G26" i="97"/>
  <c r="V26" i="97" s="1"/>
  <c r="D63" i="97"/>
  <c r="M7" i="98"/>
  <c r="M6" i="98"/>
  <c r="M3" i="98"/>
  <c r="M4" i="98"/>
  <c r="M5" i="98"/>
  <c r="E6" i="98"/>
  <c r="E3" i="98"/>
  <c r="E5" i="98"/>
  <c r="E7" i="98"/>
  <c r="E4" i="98"/>
  <c r="AC106" i="97"/>
  <c r="AC11" i="99" s="1"/>
  <c r="AD10" i="97"/>
  <c r="J12" i="99"/>
  <c r="J10" i="99"/>
  <c r="K53" i="91"/>
  <c r="K34" i="99"/>
  <c r="L50" i="91"/>
  <c r="L31" i="99"/>
  <c r="K51" i="91"/>
  <c r="K32" i="99"/>
  <c r="K50" i="91"/>
  <c r="K31" i="99"/>
  <c r="L51" i="91"/>
  <c r="L32" i="99"/>
  <c r="L52" i="91"/>
  <c r="L33" i="99"/>
  <c r="K33" i="99"/>
  <c r="L34" i="99"/>
  <c r="L30" i="99"/>
  <c r="E131" i="97"/>
  <c r="E54" i="91"/>
  <c r="L8" i="98"/>
  <c r="E35" i="99"/>
  <c r="L9" i="98"/>
  <c r="M22" i="36" s="1"/>
  <c r="D73" i="62"/>
  <c r="G6" i="62"/>
  <c r="D52" i="91"/>
  <c r="D33" i="99"/>
  <c r="K6" i="98"/>
  <c r="D53" i="91"/>
  <c r="D34" i="99"/>
  <c r="K7" i="98"/>
  <c r="K5" i="98"/>
  <c r="K4" i="98"/>
  <c r="K3" i="98"/>
  <c r="D30" i="99"/>
  <c r="D31" i="99"/>
  <c r="D32" i="99"/>
  <c r="E147" i="97"/>
  <c r="L26" i="56"/>
  <c r="L27" i="56" s="1"/>
  <c r="L17" i="56"/>
  <c r="L18" i="56" s="1"/>
  <c r="L8" i="56"/>
  <c r="L9" i="56" s="1"/>
  <c r="G143" i="97"/>
  <c r="AF69" i="97"/>
  <c r="G145" i="97"/>
  <c r="K67" i="97"/>
  <c r="M67" i="97" s="1"/>
  <c r="O67" i="97" s="1"/>
  <c r="K69" i="97"/>
  <c r="M69" i="97" s="1"/>
  <c r="O69" i="97" s="1"/>
  <c r="J126" i="97"/>
  <c r="K31" i="97"/>
  <c r="M31" i="97" s="1"/>
  <c r="O31" i="97" s="1"/>
  <c r="H126" i="97"/>
  <c r="K29" i="97"/>
  <c r="M29" i="97" s="1"/>
  <c r="O29" i="97" s="1"/>
  <c r="Z33" i="97"/>
  <c r="AF29" i="97"/>
  <c r="F145" i="97"/>
  <c r="K32" i="97"/>
  <c r="M32" i="97" s="1"/>
  <c r="O32" i="97" s="1"/>
  <c r="F146" i="97"/>
  <c r="AD32" i="97"/>
  <c r="AF32" i="97" s="1"/>
  <c r="AD12" i="97"/>
  <c r="W105" i="97"/>
  <c r="X105" i="97"/>
  <c r="G129" i="97"/>
  <c r="Z107" i="97"/>
  <c r="D107" i="97"/>
  <c r="N52" i="97"/>
  <c r="G107" i="97"/>
  <c r="D105" i="97"/>
  <c r="Z105" i="97"/>
  <c r="E107" i="97"/>
  <c r="AA107" i="97"/>
  <c r="U52" i="97"/>
  <c r="Y105" i="97"/>
  <c r="W52" i="97"/>
  <c r="I107" i="97"/>
  <c r="Y52" i="97"/>
  <c r="N107" i="97"/>
  <c r="G125" i="97"/>
  <c r="U107" i="97"/>
  <c r="G105" i="97"/>
  <c r="F52" i="97"/>
  <c r="AB47" i="97"/>
  <c r="AF47" i="97" s="1"/>
  <c r="E105" i="97"/>
  <c r="AC105" i="97"/>
  <c r="X107" i="97"/>
  <c r="H52" i="97"/>
  <c r="K12" i="97"/>
  <c r="M12" i="97" s="1"/>
  <c r="O12" i="97" s="1"/>
  <c r="H107" i="97"/>
  <c r="X52" i="97"/>
  <c r="Z52" i="97"/>
  <c r="F105" i="97"/>
  <c r="AA52" i="97"/>
  <c r="H105" i="97"/>
  <c r="N105" i="97"/>
  <c r="Y107" i="97"/>
  <c r="I52" i="97"/>
  <c r="AD52" i="97"/>
  <c r="V105" i="97"/>
  <c r="AC107" i="97"/>
  <c r="AA105" i="97"/>
  <c r="K49" i="97"/>
  <c r="M49" i="97" s="1"/>
  <c r="O49" i="97" s="1"/>
  <c r="AE52" i="97"/>
  <c r="F107" i="97"/>
  <c r="E52" i="97"/>
  <c r="AF48" i="97"/>
  <c r="AF50" i="97"/>
  <c r="AB10" i="97"/>
  <c r="AB105" i="97" s="1"/>
  <c r="G52" i="97"/>
  <c r="AC52" i="97"/>
  <c r="W107" i="97"/>
  <c r="U105" i="97"/>
  <c r="K10" i="97"/>
  <c r="M10" i="97" s="1"/>
  <c r="O10" i="97" s="1"/>
  <c r="G126" i="97"/>
  <c r="G128" i="97"/>
  <c r="AF49" i="97"/>
  <c r="AF51" i="97"/>
  <c r="V107" i="97"/>
  <c r="V52" i="97"/>
  <c r="C9" i="98"/>
  <c r="AG86" i="97"/>
  <c r="AH86" i="97" s="1"/>
  <c r="L109" i="97"/>
  <c r="L65" i="90" s="1"/>
  <c r="AF31" i="97"/>
  <c r="D52" i="97"/>
  <c r="J14" i="97"/>
  <c r="D26" i="97"/>
  <c r="D44" i="97"/>
  <c r="N79" i="97"/>
  <c r="AD79" i="97" s="1"/>
  <c r="K102" i="97"/>
  <c r="I105" i="97"/>
  <c r="G127" i="97"/>
  <c r="L14" i="97"/>
  <c r="K26" i="97"/>
  <c r="Y26" i="97" s="1"/>
  <c r="G45" i="97"/>
  <c r="V45" i="97" s="1"/>
  <c r="K47" i="97"/>
  <c r="K48" i="97"/>
  <c r="M48" i="97" s="1"/>
  <c r="O48" i="97" s="1"/>
  <c r="K50" i="97"/>
  <c r="M50" i="97" s="1"/>
  <c r="O50" i="97" s="1"/>
  <c r="K51" i="97"/>
  <c r="M51" i="97" s="1"/>
  <c r="O51" i="97" s="1"/>
  <c r="D64" i="97"/>
  <c r="D82" i="97"/>
  <c r="K45" i="97"/>
  <c r="Y45" i="97" s="1"/>
  <c r="G64" i="97"/>
  <c r="V64" i="97" s="1"/>
  <c r="D83" i="97"/>
  <c r="H129" i="97"/>
  <c r="K64" i="97"/>
  <c r="Y64" i="97" s="1"/>
  <c r="G83" i="97"/>
  <c r="V83" i="97" s="1"/>
  <c r="F143" i="97"/>
  <c r="AD3" i="97"/>
  <c r="K83" i="97"/>
  <c r="Y83" i="97" s="1"/>
  <c r="AE105" i="97"/>
  <c r="AF67" i="97"/>
  <c r="M117" i="97"/>
  <c r="N22" i="99" s="1"/>
  <c r="N98" i="97"/>
  <c r="G122" i="97"/>
  <c r="H27" i="99" s="1"/>
  <c r="K122" i="97"/>
  <c r="K27" i="99" s="1"/>
  <c r="H128" i="97"/>
  <c r="V7" i="97"/>
  <c r="AB12" i="97"/>
  <c r="Z13" i="97"/>
  <c r="N22" i="97"/>
  <c r="AD22" i="97" s="1"/>
  <c r="D101" i="97"/>
  <c r="D6" i="99" s="1"/>
  <c r="AE107" i="97"/>
  <c r="N41" i="97"/>
  <c r="AD41" i="97" s="1"/>
  <c r="J128" i="97"/>
  <c r="E260" i="59"/>
  <c r="F254" i="59"/>
  <c r="E255" i="59"/>
  <c r="AD30" i="97" s="1"/>
  <c r="E254" i="59"/>
  <c r="F248" i="59"/>
  <c r="E249" i="59"/>
  <c r="E248" i="59"/>
  <c r="AD28" i="97"/>
  <c r="E43" i="59"/>
  <c r="AB11" i="97"/>
  <c r="AD11" i="97"/>
  <c r="F9" i="98" l="1"/>
  <c r="G22" i="36" s="1"/>
  <c r="L14" i="99"/>
  <c r="L45" i="99" s="1"/>
  <c r="C15" i="98"/>
  <c r="D22" i="36"/>
  <c r="AD98" i="97"/>
  <c r="N3" i="99"/>
  <c r="AD3" i="99" s="1"/>
  <c r="Y102" i="97"/>
  <c r="K7" i="99"/>
  <c r="Y7" i="99" s="1"/>
  <c r="J52" i="91"/>
  <c r="J33" i="99"/>
  <c r="J50" i="91"/>
  <c r="J31" i="99"/>
  <c r="K145" i="97"/>
  <c r="H52" i="91"/>
  <c r="H33" i="99"/>
  <c r="K146" i="97"/>
  <c r="H53" i="91"/>
  <c r="H34" i="99"/>
  <c r="K143" i="97"/>
  <c r="H50" i="91"/>
  <c r="H31" i="99"/>
  <c r="AC62" i="90"/>
  <c r="G61" i="90"/>
  <c r="G10" i="99"/>
  <c r="J145" i="97"/>
  <c r="G52" i="91"/>
  <c r="G33" i="99"/>
  <c r="D6" i="98"/>
  <c r="F61" i="90"/>
  <c r="F10" i="99"/>
  <c r="U63" i="90"/>
  <c r="U12" i="99"/>
  <c r="G63" i="90"/>
  <c r="G12" i="99"/>
  <c r="D61" i="90"/>
  <c r="D10" i="99"/>
  <c r="I4" i="98"/>
  <c r="AE63" i="90"/>
  <c r="AE12" i="99"/>
  <c r="AD105" i="97"/>
  <c r="AE61" i="90"/>
  <c r="AE10" i="99"/>
  <c r="J143" i="97"/>
  <c r="G50" i="91"/>
  <c r="G31" i="99"/>
  <c r="D4" i="98"/>
  <c r="J142" i="97"/>
  <c r="G49" i="91"/>
  <c r="G30" i="99"/>
  <c r="D3" i="98"/>
  <c r="F63" i="90"/>
  <c r="F12" i="99"/>
  <c r="J144" i="97"/>
  <c r="G51" i="91"/>
  <c r="D5" i="98"/>
  <c r="G32" i="99"/>
  <c r="AA61" i="90"/>
  <c r="AA10" i="99"/>
  <c r="N63" i="90"/>
  <c r="J6" i="98"/>
  <c r="N12" i="99"/>
  <c r="D63" i="90"/>
  <c r="D12" i="99"/>
  <c r="I6" i="98"/>
  <c r="U61" i="90"/>
  <c r="U10" i="99"/>
  <c r="AC63" i="90"/>
  <c r="AC12" i="99"/>
  <c r="H63" i="90"/>
  <c r="H12" i="99"/>
  <c r="Z63" i="90"/>
  <c r="Z12" i="99"/>
  <c r="I61" i="90"/>
  <c r="I10" i="99"/>
  <c r="W63" i="90"/>
  <c r="W12" i="99"/>
  <c r="V61" i="90"/>
  <c r="V10" i="99"/>
  <c r="I63" i="90"/>
  <c r="I12" i="99"/>
  <c r="J146" i="97"/>
  <c r="G53" i="91"/>
  <c r="D7" i="98"/>
  <c r="G34" i="99"/>
  <c r="X61" i="90"/>
  <c r="X10" i="99"/>
  <c r="X63" i="90"/>
  <c r="X12" i="99"/>
  <c r="Y61" i="90"/>
  <c r="Y10" i="99"/>
  <c r="W61" i="90"/>
  <c r="W10" i="99"/>
  <c r="AB61" i="90"/>
  <c r="AB10" i="99"/>
  <c r="Y63" i="90"/>
  <c r="Y12" i="99"/>
  <c r="AC61" i="90"/>
  <c r="AC10" i="99"/>
  <c r="E61" i="90"/>
  <c r="E10" i="99"/>
  <c r="AA63" i="90"/>
  <c r="AA12" i="99"/>
  <c r="V63" i="90"/>
  <c r="V12" i="99"/>
  <c r="N61" i="90"/>
  <c r="N10" i="99"/>
  <c r="J4" i="98"/>
  <c r="E63" i="90"/>
  <c r="E12" i="99"/>
  <c r="H61" i="90"/>
  <c r="H10" i="99"/>
  <c r="Z61" i="90"/>
  <c r="Z10" i="99"/>
  <c r="E55" i="91"/>
  <c r="E36" i="99"/>
  <c r="E46" i="99" s="1"/>
  <c r="AG69" i="97"/>
  <c r="AH69" i="97" s="1"/>
  <c r="AG67" i="97"/>
  <c r="AH67" i="97" s="1"/>
  <c r="AG31" i="97"/>
  <c r="AH31" i="97" s="1"/>
  <c r="D33" i="97"/>
  <c r="AE33" i="97"/>
  <c r="E33" i="97"/>
  <c r="AG29" i="97"/>
  <c r="AH29" i="97" s="1"/>
  <c r="AG32" i="97"/>
  <c r="AH32" i="97" s="1"/>
  <c r="Y54" i="97"/>
  <c r="AB52" i="97"/>
  <c r="AG51" i="97"/>
  <c r="AH51" i="97" s="1"/>
  <c r="AG50" i="97"/>
  <c r="AH50" i="97" s="1"/>
  <c r="AG48" i="97"/>
  <c r="AH48" i="97" s="1"/>
  <c r="AG49" i="97"/>
  <c r="AH49" i="97" s="1"/>
  <c r="K105" i="97"/>
  <c r="K107" i="97"/>
  <c r="E14" i="97"/>
  <c r="AF10" i="97"/>
  <c r="AG10" i="97" s="1"/>
  <c r="AH10" i="97" s="1"/>
  <c r="K11" i="97"/>
  <c r="M11" i="97" s="1"/>
  <c r="O11" i="97" s="1"/>
  <c r="AF52" i="97"/>
  <c r="D14" i="97"/>
  <c r="AB107" i="97"/>
  <c r="AF12" i="97"/>
  <c r="AG12" i="97" s="1"/>
  <c r="AH12" i="97" s="1"/>
  <c r="K52" i="97"/>
  <c r="M47" i="97"/>
  <c r="G131" i="97"/>
  <c r="G55" i="91" s="1"/>
  <c r="Z14" i="97"/>
  <c r="AD33" i="97"/>
  <c r="E261" i="59"/>
  <c r="AO478" i="55"/>
  <c r="AN478" i="55"/>
  <c r="AM478" i="55"/>
  <c r="AL478" i="55"/>
  <c r="AK478" i="55"/>
  <c r="AJ478" i="55"/>
  <c r="AI478" i="55"/>
  <c r="AH478" i="55"/>
  <c r="AG478" i="55"/>
  <c r="AF478" i="55"/>
  <c r="AE478" i="55"/>
  <c r="AD478" i="55"/>
  <c r="AC478" i="55"/>
  <c r="AB478" i="55"/>
  <c r="AA478" i="55"/>
  <c r="Z478" i="55"/>
  <c r="Y478" i="55"/>
  <c r="X478" i="55"/>
  <c r="W478" i="55"/>
  <c r="V478" i="55"/>
  <c r="U478" i="55"/>
  <c r="T478" i="55"/>
  <c r="S478" i="55"/>
  <c r="R478" i="55"/>
  <c r="Q478" i="55"/>
  <c r="P478" i="55"/>
  <c r="O478" i="55"/>
  <c r="N478" i="55"/>
  <c r="M478" i="55"/>
  <c r="L478" i="55"/>
  <c r="K478" i="55"/>
  <c r="J478" i="55"/>
  <c r="I478" i="55"/>
  <c r="H478" i="55"/>
  <c r="J147" i="97" l="1"/>
  <c r="M105" i="97"/>
  <c r="K61" i="90"/>
  <c r="AD61" i="90"/>
  <c r="AD10" i="99"/>
  <c r="AB63" i="90"/>
  <c r="AB12" i="99"/>
  <c r="AF105" i="97"/>
  <c r="AF61" i="90" s="1"/>
  <c r="M107" i="97"/>
  <c r="K63" i="90"/>
  <c r="AF11" i="97"/>
  <c r="AG11" i="97" s="1"/>
  <c r="AH11" i="97" s="1"/>
  <c r="K13" i="97"/>
  <c r="M13" i="97" s="1"/>
  <c r="O13" i="97" s="1"/>
  <c r="AB13" i="97"/>
  <c r="M52" i="97"/>
  <c r="O47" i="97"/>
  <c r="O105" i="97" l="1"/>
  <c r="M61" i="90"/>
  <c r="O107" i="97"/>
  <c r="O63" i="90" s="1"/>
  <c r="M63" i="90"/>
  <c r="AD68" i="97"/>
  <c r="O52" i="97"/>
  <c r="AG47" i="97"/>
  <c r="AD70" i="97"/>
  <c r="O61" i="90" l="1"/>
  <c r="AG105" i="97"/>
  <c r="AH105" i="97" s="1"/>
  <c r="AG52" i="97"/>
  <c r="AH52" i="97" s="1"/>
  <c r="AH47" i="97"/>
  <c r="AO458" i="55"/>
  <c r="AN458" i="55"/>
  <c r="AM458" i="55"/>
  <c r="AL458" i="55"/>
  <c r="AK458" i="55"/>
  <c r="AJ458" i="55"/>
  <c r="AI458" i="55"/>
  <c r="AH458" i="55"/>
  <c r="AG458" i="55"/>
  <c r="AF458" i="55"/>
  <c r="AE458" i="55"/>
  <c r="AD458" i="55"/>
  <c r="AC458" i="55"/>
  <c r="AB458" i="55"/>
  <c r="AA458" i="55"/>
  <c r="Z458" i="55"/>
  <c r="Y458" i="55"/>
  <c r="X458" i="55"/>
  <c r="W458" i="55"/>
  <c r="V458" i="55"/>
  <c r="U458" i="55"/>
  <c r="T458" i="55"/>
  <c r="S458" i="55"/>
  <c r="R458" i="55"/>
  <c r="Q458" i="55"/>
  <c r="P458" i="55"/>
  <c r="O458" i="55"/>
  <c r="N458" i="55"/>
  <c r="M458" i="55"/>
  <c r="L458" i="55"/>
  <c r="K458" i="55"/>
  <c r="J458" i="55"/>
  <c r="I458" i="55"/>
  <c r="H458" i="55"/>
  <c r="AP57" i="55"/>
  <c r="AO57" i="55"/>
  <c r="AN57" i="55"/>
  <c r="AM57" i="55"/>
  <c r="AL57" i="55"/>
  <c r="AK57" i="55"/>
  <c r="AJ57" i="55"/>
  <c r="AI57" i="55"/>
  <c r="AH57" i="55"/>
  <c r="AG57" i="55"/>
  <c r="AF57" i="55"/>
  <c r="AE57" i="55"/>
  <c r="AD57" i="55"/>
  <c r="AC57" i="55"/>
  <c r="AB57" i="55"/>
  <c r="AA57" i="55"/>
  <c r="Z57" i="55"/>
  <c r="Y57" i="55"/>
  <c r="X57" i="55"/>
  <c r="W57" i="55"/>
  <c r="V57" i="55"/>
  <c r="U57" i="55"/>
  <c r="T57" i="55"/>
  <c r="S57" i="55"/>
  <c r="R57" i="55"/>
  <c r="Q57" i="55"/>
  <c r="P57" i="55"/>
  <c r="O57" i="55"/>
  <c r="N57" i="55"/>
  <c r="M57" i="55"/>
  <c r="L57" i="55"/>
  <c r="K57" i="55"/>
  <c r="J57" i="55"/>
  <c r="I57" i="55"/>
  <c r="H57" i="55"/>
  <c r="N14" i="97" l="1"/>
  <c r="U14" i="97"/>
  <c r="H14" i="97"/>
  <c r="V14" i="97"/>
  <c r="I14" i="97"/>
  <c r="W14" i="97"/>
  <c r="X14" i="97"/>
  <c r="Y14" i="97"/>
  <c r="F14" i="97"/>
  <c r="K9" i="97"/>
  <c r="G14" i="97"/>
  <c r="O27" i="95"/>
  <c r="O28" i="95"/>
  <c r="O29" i="95"/>
  <c r="O30" i="95"/>
  <c r="N31" i="95"/>
  <c r="O31" i="95" s="1"/>
  <c r="M31" i="95"/>
  <c r="K31" i="95"/>
  <c r="P21" i="95"/>
  <c r="N21" i="95"/>
  <c r="L21" i="95"/>
  <c r="J21" i="95"/>
  <c r="H21" i="95"/>
  <c r="F21" i="95"/>
  <c r="P10" i="95"/>
  <c r="N10" i="95"/>
  <c r="L10" i="95"/>
  <c r="J10" i="95"/>
  <c r="H10" i="95"/>
  <c r="F10" i="95"/>
  <c r="K14" i="97" l="1"/>
  <c r="M9" i="97"/>
  <c r="AC14" i="97"/>
  <c r="AA14" i="97"/>
  <c r="Y16" i="97"/>
  <c r="AB14" i="97"/>
  <c r="K32" i="95"/>
  <c r="AD13" i="97" l="1"/>
  <c r="AF13" i="97" s="1"/>
  <c r="AG13" i="97" s="1"/>
  <c r="AH13" i="97" s="1"/>
  <c r="AE14" i="97"/>
  <c r="AD9" i="97"/>
  <c r="M14" i="97"/>
  <c r="O9" i="97"/>
  <c r="O14" i="97" s="1"/>
  <c r="AD66" i="97" l="1"/>
  <c r="AD71" i="97" s="1"/>
  <c r="AE71" i="97"/>
  <c r="E71" i="97"/>
  <c r="D71" i="97"/>
  <c r="AD14" i="97"/>
  <c r="AF9" i="97"/>
  <c r="R427" i="59"/>
  <c r="Q427" i="59"/>
  <c r="P427" i="59"/>
  <c r="O427" i="59"/>
  <c r="N427" i="59"/>
  <c r="M427" i="59"/>
  <c r="L427" i="59"/>
  <c r="K427" i="59"/>
  <c r="J427" i="59"/>
  <c r="I427" i="59"/>
  <c r="H427" i="59"/>
  <c r="G427" i="59"/>
  <c r="R415" i="59"/>
  <c r="Q415" i="59"/>
  <c r="P415" i="59"/>
  <c r="O415" i="59"/>
  <c r="N415" i="59"/>
  <c r="M415" i="59"/>
  <c r="L415" i="59"/>
  <c r="K415" i="59"/>
  <c r="J415" i="59"/>
  <c r="I415" i="59"/>
  <c r="H415" i="59"/>
  <c r="G415" i="59"/>
  <c r="AF14" i="97" l="1"/>
  <c r="AG9" i="97"/>
  <c r="AH9" i="97" l="1"/>
  <c r="AG14" i="97"/>
  <c r="AH14" i="97" s="1"/>
  <c r="F147" i="59"/>
  <c r="E148" i="59"/>
  <c r="F356" i="59" l="1"/>
  <c r="E357" i="59"/>
  <c r="F260" i="59"/>
  <c r="R138" i="59"/>
  <c r="Q138" i="59"/>
  <c r="P138" i="59"/>
  <c r="O138" i="59"/>
  <c r="N138" i="59"/>
  <c r="M138" i="59"/>
  <c r="L138" i="59"/>
  <c r="K138" i="59"/>
  <c r="J138" i="59"/>
  <c r="I138" i="59"/>
  <c r="H138" i="59"/>
  <c r="G138" i="59"/>
  <c r="S54" i="59"/>
  <c r="R54" i="59"/>
  <c r="Q54" i="59"/>
  <c r="P54" i="59"/>
  <c r="O54" i="59"/>
  <c r="N54" i="59"/>
  <c r="M54" i="59"/>
  <c r="L54" i="59"/>
  <c r="K54" i="59"/>
  <c r="J54" i="59"/>
  <c r="I54" i="59"/>
  <c r="H54" i="59"/>
  <c r="G54" i="59"/>
  <c r="S48" i="59"/>
  <c r="R48" i="59"/>
  <c r="Q48" i="59"/>
  <c r="P48" i="59"/>
  <c r="O48" i="59"/>
  <c r="N48" i="59"/>
  <c r="M48" i="59"/>
  <c r="L48" i="59"/>
  <c r="K48" i="59"/>
  <c r="J48" i="59"/>
  <c r="I48" i="59"/>
  <c r="H48" i="59"/>
  <c r="G48" i="59"/>
  <c r="S42" i="59"/>
  <c r="R42" i="59"/>
  <c r="Q42" i="59"/>
  <c r="P42" i="59"/>
  <c r="O42" i="59"/>
  <c r="N42" i="59"/>
  <c r="M42" i="59"/>
  <c r="L42" i="59"/>
  <c r="K42" i="59"/>
  <c r="J42" i="59"/>
  <c r="I42" i="59"/>
  <c r="H42" i="59"/>
  <c r="G42" i="59"/>
  <c r="AB28" i="97" l="1"/>
  <c r="AF28" i="97" s="1"/>
  <c r="F142" i="97"/>
  <c r="H125" i="97"/>
  <c r="K28" i="97"/>
  <c r="AA13" i="22"/>
  <c r="AC13" i="22"/>
  <c r="AA50" i="85"/>
  <c r="AC50" i="85"/>
  <c r="AA51" i="79"/>
  <c r="AC51" i="79"/>
  <c r="AA50" i="79"/>
  <c r="AC50" i="79"/>
  <c r="AA49" i="79"/>
  <c r="AC49" i="79"/>
  <c r="AA48" i="79"/>
  <c r="AC48" i="79"/>
  <c r="AA12" i="79"/>
  <c r="AC12" i="79"/>
  <c r="AA10" i="79"/>
  <c r="AC10" i="79"/>
  <c r="AA51" i="75"/>
  <c r="AC51" i="75"/>
  <c r="AA49" i="75"/>
  <c r="AC49" i="75"/>
  <c r="AA48" i="75"/>
  <c r="AC48" i="75"/>
  <c r="AA47" i="75"/>
  <c r="AC47" i="75"/>
  <c r="AA13" i="75"/>
  <c r="AC13" i="75"/>
  <c r="AA11" i="75"/>
  <c r="AC11" i="75"/>
  <c r="AA9" i="75"/>
  <c r="AC9" i="75"/>
  <c r="H49" i="91" l="1"/>
  <c r="H30" i="99"/>
  <c r="M28" i="97"/>
  <c r="K142" i="97"/>
  <c r="D47" i="22"/>
  <c r="O28" i="97" l="1"/>
  <c r="AA9" i="22"/>
  <c r="AC9" i="85"/>
  <c r="AC11" i="79"/>
  <c r="AA51" i="85"/>
  <c r="AA11" i="79"/>
  <c r="AC50" i="75"/>
  <c r="AA47" i="79"/>
  <c r="AC9" i="79"/>
  <c r="AC48" i="22"/>
  <c r="AA11" i="85"/>
  <c r="AC47" i="79"/>
  <c r="AC9" i="22"/>
  <c r="AC11" i="85"/>
  <c r="AA11" i="22"/>
  <c r="AA47" i="85"/>
  <c r="AA9" i="85"/>
  <c r="AA10" i="22"/>
  <c r="AA49" i="85"/>
  <c r="AA12" i="75"/>
  <c r="AC11" i="22"/>
  <c r="AC10" i="22"/>
  <c r="AC49" i="85"/>
  <c r="AC12" i="75"/>
  <c r="AA50" i="75"/>
  <c r="AC47" i="85"/>
  <c r="AA48" i="85"/>
  <c r="AA51" i="22"/>
  <c r="AC51" i="85"/>
  <c r="AA9" i="79"/>
  <c r="AA48" i="22"/>
  <c r="AC48" i="85"/>
  <c r="AC51" i="22"/>
  <c r="AG28" i="97" l="1"/>
  <c r="AC50" i="22"/>
  <c r="AA47" i="22"/>
  <c r="AA49" i="22"/>
  <c r="AC47" i="22"/>
  <c r="AC49" i="22"/>
  <c r="AA50" i="22"/>
  <c r="L14" i="22"/>
  <c r="AH28" i="97" l="1"/>
  <c r="AC13" i="85"/>
  <c r="AA13" i="85"/>
  <c r="AC12" i="85" l="1"/>
  <c r="AA13" i="79"/>
  <c r="AA12" i="85"/>
  <c r="AC13" i="79"/>
  <c r="R202" i="61"/>
  <c r="Q202" i="61"/>
  <c r="P202" i="61"/>
  <c r="O202" i="61"/>
  <c r="N202" i="61"/>
  <c r="M202" i="61"/>
  <c r="L202" i="61"/>
  <c r="K202" i="61"/>
  <c r="J202" i="61"/>
  <c r="I202" i="61"/>
  <c r="H202" i="61"/>
  <c r="G202" i="61"/>
  <c r="F202" i="61"/>
  <c r="AB68" i="97" l="1"/>
  <c r="J127" i="97"/>
  <c r="G144" i="97"/>
  <c r="K68" i="97"/>
  <c r="M68" i="97" s="1"/>
  <c r="O68" i="97" s="1"/>
  <c r="R260" i="59"/>
  <c r="Q260" i="59"/>
  <c r="P260" i="59"/>
  <c r="O260" i="59"/>
  <c r="N260" i="59"/>
  <c r="M260" i="59"/>
  <c r="L260" i="59"/>
  <c r="K260" i="59"/>
  <c r="J260" i="59"/>
  <c r="I260" i="59"/>
  <c r="H260" i="59"/>
  <c r="G260" i="59"/>
  <c r="R254" i="59"/>
  <c r="Q254" i="59"/>
  <c r="P254" i="59"/>
  <c r="O254" i="59"/>
  <c r="N254" i="59"/>
  <c r="M254" i="59"/>
  <c r="L254" i="59"/>
  <c r="K254" i="59"/>
  <c r="J254" i="59"/>
  <c r="I254" i="59"/>
  <c r="H254" i="59"/>
  <c r="G254" i="59"/>
  <c r="R248" i="59"/>
  <c r="Q248" i="59"/>
  <c r="P248" i="59"/>
  <c r="O248" i="59"/>
  <c r="N248" i="59"/>
  <c r="M248" i="59"/>
  <c r="L248" i="59"/>
  <c r="K248" i="59"/>
  <c r="J248" i="59"/>
  <c r="I248" i="59"/>
  <c r="H248" i="59"/>
  <c r="G248" i="59"/>
  <c r="J51" i="91" l="1"/>
  <c r="J32" i="99"/>
  <c r="AF68" i="97"/>
  <c r="AG68" i="97" s="1"/>
  <c r="AH68" i="97" s="1"/>
  <c r="G33" i="97"/>
  <c r="K30" i="97"/>
  <c r="F33" i="97"/>
  <c r="H33" i="97"/>
  <c r="U33" i="97"/>
  <c r="X33" i="97"/>
  <c r="AB30" i="97"/>
  <c r="F144" i="97"/>
  <c r="F147" i="97" s="1"/>
  <c r="H127" i="97"/>
  <c r="N33" i="97"/>
  <c r="E8" i="98" s="1"/>
  <c r="W33" i="97"/>
  <c r="AA33" i="97"/>
  <c r="I33" i="97"/>
  <c r="V33" i="97"/>
  <c r="Y33" i="97"/>
  <c r="AC33" i="97"/>
  <c r="AA10" i="75"/>
  <c r="H51" i="91" l="1"/>
  <c r="H32" i="99"/>
  <c r="Y35" i="97"/>
  <c r="AF30" i="97"/>
  <c r="AB33" i="97"/>
  <c r="M30" i="97"/>
  <c r="K33" i="97"/>
  <c r="K144" i="97"/>
  <c r="K147" i="97" s="1"/>
  <c r="H131" i="97"/>
  <c r="H55" i="91" s="1"/>
  <c r="AC10" i="75"/>
  <c r="O30" i="97" l="1"/>
  <c r="O33" i="97" s="1"/>
  <c r="M33" i="97"/>
  <c r="AF33" i="97"/>
  <c r="H13" i="70"/>
  <c r="G13" i="70"/>
  <c r="E13" i="70"/>
  <c r="F13" i="70"/>
  <c r="I13" i="70"/>
  <c r="J13" i="70"/>
  <c r="K13" i="70"/>
  <c r="L13" i="70"/>
  <c r="AG30" i="97" l="1"/>
  <c r="AG33" i="97" s="1"/>
  <c r="AH33" i="97" s="1"/>
  <c r="AA12" i="22"/>
  <c r="AC12" i="22"/>
  <c r="AH30" i="97" l="1"/>
  <c r="AB66" i="97"/>
  <c r="G142" i="97"/>
  <c r="J125" i="97"/>
  <c r="K66" i="97"/>
  <c r="AA104" i="97"/>
  <c r="R147" i="59"/>
  <c r="Q147" i="59"/>
  <c r="P147" i="59"/>
  <c r="O147" i="59"/>
  <c r="N147" i="59"/>
  <c r="M147" i="59"/>
  <c r="L147" i="59"/>
  <c r="K147" i="59"/>
  <c r="J147" i="59"/>
  <c r="I147" i="59"/>
  <c r="H147" i="59"/>
  <c r="G147" i="59"/>
  <c r="R135" i="59"/>
  <c r="Q135" i="59"/>
  <c r="P135" i="59"/>
  <c r="O135" i="59"/>
  <c r="N135" i="59"/>
  <c r="M135" i="59"/>
  <c r="L135" i="59"/>
  <c r="K135" i="59"/>
  <c r="J135" i="59"/>
  <c r="I135" i="59"/>
  <c r="H135" i="59"/>
  <c r="G135" i="59"/>
  <c r="J49" i="91" l="1"/>
  <c r="J30" i="99"/>
  <c r="AA60" i="90"/>
  <c r="AA9" i="99"/>
  <c r="AF66" i="97"/>
  <c r="M66" i="97"/>
  <c r="R351" i="61"/>
  <c r="Q351" i="61"/>
  <c r="P351" i="61"/>
  <c r="O351" i="61"/>
  <c r="N351" i="61"/>
  <c r="M351" i="61"/>
  <c r="L351" i="61"/>
  <c r="K351" i="61"/>
  <c r="J351" i="61"/>
  <c r="I351" i="61"/>
  <c r="H351" i="61"/>
  <c r="G351" i="61"/>
  <c r="F351" i="61"/>
  <c r="AC108" i="97" l="1"/>
  <c r="K70" i="97"/>
  <c r="H71" i="97"/>
  <c r="G71" i="97"/>
  <c r="W71" i="97"/>
  <c r="Y71" i="97"/>
  <c r="V71" i="97"/>
  <c r="X71" i="97"/>
  <c r="AA71" i="97"/>
  <c r="AB70" i="97"/>
  <c r="J129" i="97"/>
  <c r="G146" i="97"/>
  <c r="G147" i="97" s="1"/>
  <c r="N71" i="97"/>
  <c r="M8" i="98" s="1"/>
  <c r="U71" i="97"/>
  <c r="O66" i="97"/>
  <c r="I71" i="97"/>
  <c r="F71" i="97"/>
  <c r="AA10" i="85"/>
  <c r="J131" i="97" l="1"/>
  <c r="J55" i="91" s="1"/>
  <c r="J53" i="91"/>
  <c r="J34" i="99"/>
  <c r="AC64" i="90"/>
  <c r="AC13" i="99"/>
  <c r="AC71" i="97"/>
  <c r="AB71" i="97"/>
  <c r="AG66" i="97"/>
  <c r="Y73" i="97"/>
  <c r="AF70" i="97"/>
  <c r="M70" i="97"/>
  <c r="K71" i="97"/>
  <c r="AC10" i="85"/>
  <c r="U82" i="22"/>
  <c r="C14" i="36"/>
  <c r="N8" i="98" l="1"/>
  <c r="AF71" i="97"/>
  <c r="O70" i="97"/>
  <c r="O71" i="97" s="1"/>
  <c r="M71" i="97"/>
  <c r="AH66" i="97"/>
  <c r="D365" i="61"/>
  <c r="R421" i="59"/>
  <c r="Q421" i="59"/>
  <c r="P421" i="59"/>
  <c r="O421" i="59"/>
  <c r="N421" i="59"/>
  <c r="M421" i="59"/>
  <c r="L421" i="59"/>
  <c r="K421" i="59"/>
  <c r="J421" i="59"/>
  <c r="I421" i="59"/>
  <c r="H421" i="59"/>
  <c r="G421" i="59"/>
  <c r="D33" i="58"/>
  <c r="D31" i="58"/>
  <c r="AG70" i="97" l="1"/>
  <c r="E130" i="22"/>
  <c r="C4" i="83"/>
  <c r="C5" i="83"/>
  <c r="C6" i="83"/>
  <c r="C7" i="83"/>
  <c r="C8" i="83"/>
  <c r="C3" i="83"/>
  <c r="E143" i="85"/>
  <c r="E144" i="85"/>
  <c r="E145" i="85"/>
  <c r="E146" i="85"/>
  <c r="E142" i="85"/>
  <c r="E130" i="85"/>
  <c r="C4" i="80"/>
  <c r="C5" i="80"/>
  <c r="C6" i="80"/>
  <c r="C7" i="80"/>
  <c r="C8" i="80"/>
  <c r="C3" i="80"/>
  <c r="E143" i="79"/>
  <c r="E144" i="79"/>
  <c r="E145" i="79"/>
  <c r="E146" i="79"/>
  <c r="E142" i="79"/>
  <c r="E130" i="79"/>
  <c r="C4" i="77"/>
  <c r="C5" i="77"/>
  <c r="C6" i="77"/>
  <c r="C7" i="77"/>
  <c r="C8" i="77"/>
  <c r="C3" i="77"/>
  <c r="E143" i="75"/>
  <c r="E144" i="75"/>
  <c r="E145" i="75"/>
  <c r="E146" i="75"/>
  <c r="E142" i="75"/>
  <c r="E130" i="75"/>
  <c r="AH70" i="97" l="1"/>
  <c r="AG71" i="97"/>
  <c r="AH71" i="97" s="1"/>
  <c r="C81" i="62" l="1"/>
  <c r="U44" i="69"/>
  <c r="U25" i="69"/>
  <c r="U6" i="69"/>
  <c r="H7" i="64"/>
  <c r="H6" i="64"/>
  <c r="H5" i="64"/>
  <c r="H4" i="64"/>
  <c r="H3" i="64"/>
  <c r="D61" i="67"/>
  <c r="C62" i="67"/>
  <c r="C61" i="67"/>
  <c r="D49" i="67"/>
  <c r="C50" i="67"/>
  <c r="C49" i="67"/>
  <c r="D36" i="67"/>
  <c r="C37" i="67"/>
  <c r="AD30" i="69" s="1"/>
  <c r="C36" i="67"/>
  <c r="D23" i="67"/>
  <c r="C24" i="67"/>
  <c r="C23" i="67"/>
  <c r="D10" i="67"/>
  <c r="C11" i="67"/>
  <c r="C10" i="67"/>
  <c r="D62" i="68"/>
  <c r="C63" i="68"/>
  <c r="C62" i="68"/>
  <c r="D49" i="68"/>
  <c r="C50" i="68"/>
  <c r="C49" i="68"/>
  <c r="D36" i="68"/>
  <c r="C37" i="68"/>
  <c r="C36" i="68"/>
  <c r="D23" i="68"/>
  <c r="C24" i="68"/>
  <c r="C23" i="68"/>
  <c r="D10" i="68"/>
  <c r="C11" i="68"/>
  <c r="C10" i="68"/>
  <c r="R347" i="59"/>
  <c r="Q347" i="59"/>
  <c r="P347" i="59"/>
  <c r="O347" i="59"/>
  <c r="N347" i="59"/>
  <c r="M347" i="59"/>
  <c r="L347" i="59"/>
  <c r="K347" i="59"/>
  <c r="J347" i="59"/>
  <c r="I347" i="59"/>
  <c r="H347" i="59"/>
  <c r="G347" i="59"/>
  <c r="H10" i="64" l="1"/>
  <c r="F45" i="62"/>
  <c r="E69" i="62" s="1"/>
  <c r="I145" i="75" s="1"/>
  <c r="D69" i="62" l="1"/>
  <c r="AC32" i="22"/>
  <c r="E365" i="61"/>
  <c r="D366" i="61"/>
  <c r="AC66" i="22" l="1"/>
  <c r="F35" i="71"/>
  <c r="D101" i="22" l="1"/>
  <c r="D13" i="70"/>
  <c r="C13" i="70"/>
  <c r="D21" i="70" l="1"/>
  <c r="E21" i="70"/>
  <c r="F21" i="70"/>
  <c r="G21" i="70"/>
  <c r="H21" i="70"/>
  <c r="I21" i="70"/>
  <c r="J21" i="70"/>
  <c r="K21" i="70"/>
  <c r="L21" i="70"/>
  <c r="C21" i="70"/>
  <c r="D37" i="70"/>
  <c r="E37" i="70"/>
  <c r="F37" i="70"/>
  <c r="G37" i="70"/>
  <c r="H37" i="70"/>
  <c r="I37" i="70"/>
  <c r="J37" i="70"/>
  <c r="K37" i="70"/>
  <c r="L37" i="70"/>
  <c r="C37" i="70"/>
  <c r="M21" i="70" l="1"/>
  <c r="R365" i="61"/>
  <c r="Q365" i="61"/>
  <c r="P365" i="61"/>
  <c r="O365" i="61"/>
  <c r="N365" i="61"/>
  <c r="M365" i="61"/>
  <c r="L365" i="61"/>
  <c r="K365" i="61"/>
  <c r="J365" i="61"/>
  <c r="I365" i="61"/>
  <c r="H365" i="61"/>
  <c r="G365" i="61"/>
  <c r="F365" i="61"/>
  <c r="R356" i="59"/>
  <c r="Q356" i="59"/>
  <c r="P356" i="59"/>
  <c r="O356" i="59"/>
  <c r="N356" i="59"/>
  <c r="M356" i="59"/>
  <c r="L356" i="59"/>
  <c r="K356" i="59"/>
  <c r="J356" i="59"/>
  <c r="I356" i="59"/>
  <c r="H356" i="59"/>
  <c r="G356" i="59"/>
  <c r="R344" i="59"/>
  <c r="Q344" i="59"/>
  <c r="P344" i="59"/>
  <c r="O344" i="59"/>
  <c r="N344" i="59"/>
  <c r="M344" i="59"/>
  <c r="L344" i="59"/>
  <c r="K344" i="59"/>
  <c r="J344" i="59"/>
  <c r="I344" i="59"/>
  <c r="H344" i="59"/>
  <c r="G344" i="59"/>
  <c r="G33" i="58" l="1"/>
  <c r="E69" i="66"/>
  <c r="E69" i="71"/>
  <c r="E69" i="58"/>
  <c r="F7" i="64" l="1"/>
  <c r="O61" i="67"/>
  <c r="N61" i="67"/>
  <c r="M61" i="67"/>
  <c r="L61" i="67"/>
  <c r="K61" i="67"/>
  <c r="J61" i="67"/>
  <c r="I61" i="67"/>
  <c r="N32" i="69" s="1"/>
  <c r="H61" i="67"/>
  <c r="G61" i="67"/>
  <c r="F61" i="67"/>
  <c r="E61" i="67"/>
  <c r="O49" i="67"/>
  <c r="N49" i="67"/>
  <c r="M49" i="67"/>
  <c r="L49" i="67"/>
  <c r="K49" i="67"/>
  <c r="J49" i="67"/>
  <c r="I49" i="67"/>
  <c r="H49" i="67"/>
  <c r="G49" i="67"/>
  <c r="F49" i="67"/>
  <c r="E49" i="67"/>
  <c r="O36" i="67" l="1"/>
  <c r="N36" i="67"/>
  <c r="M36" i="67"/>
  <c r="L36" i="67"/>
  <c r="K36" i="67"/>
  <c r="J36" i="67"/>
  <c r="I36" i="67"/>
  <c r="N30" i="69" s="1"/>
  <c r="H36" i="67"/>
  <c r="G36" i="67"/>
  <c r="F36" i="67"/>
  <c r="E36" i="67"/>
  <c r="O23" i="67"/>
  <c r="N23" i="67"/>
  <c r="M23" i="67"/>
  <c r="L23" i="67"/>
  <c r="K23" i="67"/>
  <c r="J23" i="67"/>
  <c r="I23" i="67"/>
  <c r="H23" i="67"/>
  <c r="G23" i="67"/>
  <c r="F23" i="67"/>
  <c r="E23" i="67"/>
  <c r="O10" i="67"/>
  <c r="N10" i="67"/>
  <c r="M10" i="67"/>
  <c r="L10" i="67"/>
  <c r="K10" i="67"/>
  <c r="J10" i="67"/>
  <c r="I10" i="67"/>
  <c r="N28" i="69" s="1"/>
  <c r="H10" i="67"/>
  <c r="G10" i="67"/>
  <c r="F10" i="67"/>
  <c r="E10" i="67"/>
  <c r="P36" i="68"/>
  <c r="O36" i="68"/>
  <c r="N36" i="68"/>
  <c r="M36" i="68"/>
  <c r="L36" i="68"/>
  <c r="K36" i="68"/>
  <c r="J36" i="68"/>
  <c r="I36" i="68"/>
  <c r="H36" i="68"/>
  <c r="G36" i="68"/>
  <c r="F36" i="68"/>
  <c r="E36" i="68"/>
  <c r="P23" i="68"/>
  <c r="O23" i="68"/>
  <c r="N23" i="68"/>
  <c r="M23" i="68"/>
  <c r="L23" i="68"/>
  <c r="K23" i="68"/>
  <c r="J23" i="68"/>
  <c r="I23" i="68"/>
  <c r="H23" i="68"/>
  <c r="G23" i="68"/>
  <c r="F23" i="68"/>
  <c r="E23" i="68"/>
  <c r="P10" i="68"/>
  <c r="O10" i="68"/>
  <c r="N10" i="68"/>
  <c r="M10" i="68"/>
  <c r="L10" i="68"/>
  <c r="K10" i="68"/>
  <c r="J10" i="68"/>
  <c r="I10" i="68"/>
  <c r="H10" i="68"/>
  <c r="G10" i="68"/>
  <c r="F10" i="68"/>
  <c r="E10" i="68"/>
  <c r="H45" i="62" l="1"/>
  <c r="E78" i="62" s="1"/>
  <c r="I145" i="85" s="1"/>
  <c r="D78" i="62" l="1"/>
  <c r="H27" i="62" l="1"/>
  <c r="E76" i="62" s="1"/>
  <c r="I143" i="85" s="1"/>
  <c r="D76" i="62" l="1"/>
  <c r="D9" i="22"/>
  <c r="C2" i="62"/>
  <c r="C3" i="62"/>
  <c r="C4" i="62"/>
  <c r="AC31" i="79" l="1"/>
  <c r="AC29" i="79"/>
  <c r="AC32" i="75"/>
  <c r="AC30" i="75"/>
  <c r="AC28" i="75"/>
  <c r="AC32" i="79" l="1"/>
  <c r="AC31" i="75"/>
  <c r="AC31" i="22"/>
  <c r="AC30" i="22"/>
  <c r="AC28" i="85"/>
  <c r="AA28" i="85"/>
  <c r="AC28" i="79"/>
  <c r="AA28" i="79"/>
  <c r="AC28" i="22"/>
  <c r="AA28" i="22"/>
  <c r="F11" i="64" l="1"/>
  <c r="AC31" i="85" l="1"/>
  <c r="AC30" i="85"/>
  <c r="AC30" i="79"/>
  <c r="AC29" i="85"/>
  <c r="AC29" i="75"/>
  <c r="AC29" i="22"/>
  <c r="AA66" i="85"/>
  <c r="AA66" i="79"/>
  <c r="AA66" i="22"/>
  <c r="F35" i="58"/>
  <c r="AC66" i="79" l="1"/>
  <c r="AC66" i="85"/>
  <c r="F6" i="64"/>
  <c r="F5" i="64"/>
  <c r="F4" i="64"/>
  <c r="F3" i="64"/>
  <c r="F9" i="64" l="1"/>
  <c r="F13" i="64" s="1"/>
  <c r="F12" i="64" l="1"/>
  <c r="C8" i="87"/>
  <c r="C7" i="87"/>
  <c r="C6" i="87"/>
  <c r="C5" i="87"/>
  <c r="C4" i="87"/>
  <c r="C3" i="87"/>
  <c r="E146" i="86"/>
  <c r="E145" i="86"/>
  <c r="E144" i="86"/>
  <c r="E143" i="86"/>
  <c r="E142" i="86"/>
  <c r="E130" i="86"/>
  <c r="D44" i="22" l="1"/>
  <c r="D45" i="22"/>
  <c r="G45" i="22"/>
  <c r="K45" i="22"/>
  <c r="D48" i="22"/>
  <c r="E48" i="22"/>
  <c r="F48" i="22"/>
  <c r="G48" i="22"/>
  <c r="H48" i="22"/>
  <c r="I48" i="22"/>
  <c r="N48" i="22"/>
  <c r="D50" i="22"/>
  <c r="E50" i="22"/>
  <c r="F50" i="22"/>
  <c r="G50" i="22"/>
  <c r="H50" i="22"/>
  <c r="I50" i="22"/>
  <c r="N50" i="22"/>
  <c r="J52" i="22"/>
  <c r="L52" i="22"/>
  <c r="G126" i="22" l="1"/>
  <c r="J143" i="22" s="1"/>
  <c r="K48" i="22"/>
  <c r="M48" i="22" s="1"/>
  <c r="O48" i="22" s="1"/>
  <c r="K50" i="22"/>
  <c r="M50" i="22" s="1"/>
  <c r="O50" i="22" s="1"/>
  <c r="E51" i="22" l="1"/>
  <c r="D51" i="22"/>
  <c r="E47" i="22"/>
  <c r="M35" i="70" l="1"/>
  <c r="C55" i="62" l="1"/>
  <c r="E72" i="62" s="1"/>
  <c r="C36" i="62"/>
  <c r="E67" i="62" s="1"/>
  <c r="I146" i="79" l="1"/>
  <c r="I144" i="79"/>
  <c r="D72" i="62"/>
  <c r="D67" i="62"/>
  <c r="N47" i="22"/>
  <c r="G125" i="22" s="1"/>
  <c r="I47" i="22"/>
  <c r="H47" i="22"/>
  <c r="G47" i="22"/>
  <c r="F47" i="22"/>
  <c r="K47" i="22" l="1"/>
  <c r="M47" i="22" s="1"/>
  <c r="O47" i="22" l="1"/>
  <c r="N51" i="22"/>
  <c r="I51" i="22"/>
  <c r="H51" i="22"/>
  <c r="G51" i="22"/>
  <c r="F51" i="22"/>
  <c r="E49" i="22"/>
  <c r="D49" i="22"/>
  <c r="D52" i="22" s="1"/>
  <c r="K51" i="22" l="1"/>
  <c r="M51" i="22" s="1"/>
  <c r="O51" i="22" s="1"/>
  <c r="E52" i="22"/>
  <c r="M12" i="70" l="1"/>
  <c r="M11" i="70"/>
  <c r="M13" i="70" l="1"/>
  <c r="AE11" i="75"/>
  <c r="AE13" i="75"/>
  <c r="AE12" i="22"/>
  <c r="AE12" i="85" l="1"/>
  <c r="AE12" i="75"/>
  <c r="AE13" i="85"/>
  <c r="AE13" i="22"/>
  <c r="N49" i="22"/>
  <c r="N52" i="22" s="1"/>
  <c r="I49" i="22"/>
  <c r="I52" i="22" s="1"/>
  <c r="H49" i="22"/>
  <c r="H52" i="22" s="1"/>
  <c r="G49" i="22"/>
  <c r="G52" i="22" s="1"/>
  <c r="F49" i="22"/>
  <c r="AE11" i="22"/>
  <c r="AE10" i="85"/>
  <c r="AE10" i="75"/>
  <c r="AE10" i="22"/>
  <c r="F52" i="22" l="1"/>
  <c r="K49" i="22"/>
  <c r="AE11" i="85"/>
  <c r="M49" i="22" l="1"/>
  <c r="K52" i="22"/>
  <c r="O49" i="22" l="1"/>
  <c r="O52" i="22" s="1"/>
  <c r="M52" i="22"/>
  <c r="E147" i="22" l="1"/>
  <c r="P62" i="68" l="1"/>
  <c r="O62" i="68"/>
  <c r="N62" i="68"/>
  <c r="M62" i="68"/>
  <c r="L62" i="68"/>
  <c r="K62" i="68"/>
  <c r="J62" i="68"/>
  <c r="I62" i="68"/>
  <c r="H62" i="68"/>
  <c r="G62" i="68"/>
  <c r="F62" i="68"/>
  <c r="E62" i="68"/>
  <c r="P49" i="68" l="1"/>
  <c r="O49" i="68"/>
  <c r="N49" i="68"/>
  <c r="M49" i="68"/>
  <c r="L49" i="68"/>
  <c r="K49" i="68"/>
  <c r="J49" i="68"/>
  <c r="I49" i="68"/>
  <c r="H49" i="68"/>
  <c r="G49" i="68"/>
  <c r="F49" i="68"/>
  <c r="E49" i="68"/>
  <c r="U6" i="88" l="1"/>
  <c r="U6" i="82"/>
  <c r="U6" i="81"/>
  <c r="U6" i="76"/>
  <c r="U6" i="39"/>
  <c r="F5" i="80" l="1"/>
  <c r="F7" i="80"/>
  <c r="F3" i="80"/>
  <c r="K87" i="75" l="1"/>
  <c r="M87" i="75" s="1"/>
  <c r="H36" i="62" l="1"/>
  <c r="E77" i="62" s="1"/>
  <c r="I144" i="22" l="1"/>
  <c r="I144" i="85"/>
  <c r="D77" i="62"/>
  <c r="N36" i="70"/>
  <c r="M36" i="70"/>
  <c r="N35" i="70"/>
  <c r="N20" i="70"/>
  <c r="M20" i="70"/>
  <c r="N19" i="70"/>
  <c r="M19" i="70"/>
  <c r="N11" i="70"/>
  <c r="M37" i="70" l="1"/>
  <c r="I52" i="62" l="1"/>
  <c r="H55" i="62"/>
  <c r="E79" i="62" s="1"/>
  <c r="I146" i="22" l="1"/>
  <c r="I146" i="85"/>
  <c r="D79" i="62"/>
  <c r="I54" i="62"/>
  <c r="I53" i="62"/>
  <c r="I51" i="62"/>
  <c r="J51" i="62" s="1"/>
  <c r="I44" i="62"/>
  <c r="I43" i="62"/>
  <c r="I42" i="62"/>
  <c r="I41" i="62"/>
  <c r="I26" i="62"/>
  <c r="I25" i="62"/>
  <c r="I24" i="62"/>
  <c r="I16" i="62"/>
  <c r="I15" i="62"/>
  <c r="I14" i="62"/>
  <c r="F55" i="62"/>
  <c r="E55" i="62"/>
  <c r="D55" i="62"/>
  <c r="E45" i="62"/>
  <c r="D45" i="62"/>
  <c r="E70" i="62"/>
  <c r="F36" i="62"/>
  <c r="E36" i="62"/>
  <c r="D36" i="62"/>
  <c r="E27" i="62"/>
  <c r="D27" i="62"/>
  <c r="C27" i="62"/>
  <c r="E65" i="62" s="1"/>
  <c r="I143" i="22" s="1"/>
  <c r="F17" i="62"/>
  <c r="E17" i="62"/>
  <c r="D17" i="62"/>
  <c r="I145" i="79" l="1"/>
  <c r="F6" i="80" s="1"/>
  <c r="I145" i="22"/>
  <c r="I143" i="79"/>
  <c r="I17" i="62"/>
  <c r="D70" i="62"/>
  <c r="D65" i="62"/>
  <c r="C3" i="56"/>
  <c r="I45" i="62"/>
  <c r="I27" i="62"/>
  <c r="I55" i="62"/>
  <c r="I147" i="22" l="1"/>
  <c r="F4" i="80"/>
  <c r="I147" i="79"/>
  <c r="O30" i="36" s="1"/>
  <c r="D31" i="66"/>
  <c r="E31" i="66"/>
  <c r="F31" i="66"/>
  <c r="G31" i="66"/>
  <c r="D33" i="66"/>
  <c r="E33" i="66"/>
  <c r="F33" i="66"/>
  <c r="G33" i="66"/>
  <c r="D35" i="66"/>
  <c r="E35" i="66"/>
  <c r="F35" i="66"/>
  <c r="G35" i="66"/>
  <c r="I35" i="66"/>
  <c r="J35" i="66"/>
  <c r="X125" i="90" l="1"/>
  <c r="U125" i="90"/>
  <c r="L82" i="91"/>
  <c r="K82" i="91"/>
  <c r="J82" i="91"/>
  <c r="I82" i="91"/>
  <c r="H82" i="91"/>
  <c r="G82" i="91"/>
  <c r="E82" i="91"/>
  <c r="E81" i="91"/>
  <c r="E80" i="91"/>
  <c r="E79" i="91"/>
  <c r="E78" i="91"/>
  <c r="E77" i="91"/>
  <c r="D82" i="91"/>
  <c r="L68" i="91"/>
  <c r="K68" i="91"/>
  <c r="J68" i="91"/>
  <c r="I68" i="91"/>
  <c r="H68" i="91"/>
  <c r="G68" i="91"/>
  <c r="E68" i="91"/>
  <c r="E67" i="91"/>
  <c r="E66" i="91"/>
  <c r="E65" i="91"/>
  <c r="E64" i="91"/>
  <c r="E63" i="91"/>
  <c r="D68" i="91"/>
  <c r="L40" i="91"/>
  <c r="K40" i="91"/>
  <c r="J40" i="91"/>
  <c r="I40" i="91"/>
  <c r="H40" i="91"/>
  <c r="G40" i="91"/>
  <c r="E40" i="91"/>
  <c r="E39" i="91"/>
  <c r="E38" i="91"/>
  <c r="E37" i="91"/>
  <c r="E36" i="91"/>
  <c r="E35" i="91"/>
  <c r="D40" i="91"/>
  <c r="L26" i="91"/>
  <c r="K26" i="91"/>
  <c r="J26" i="91"/>
  <c r="I26" i="91"/>
  <c r="H26" i="91"/>
  <c r="G26" i="91"/>
  <c r="E26" i="91"/>
  <c r="E25" i="91"/>
  <c r="E24" i="91"/>
  <c r="E23" i="91"/>
  <c r="E22" i="91"/>
  <c r="E21" i="91"/>
  <c r="D26" i="91"/>
  <c r="L11" i="91"/>
  <c r="L97" i="91" s="1"/>
  <c r="K11" i="91"/>
  <c r="J11" i="91"/>
  <c r="I11" i="91"/>
  <c r="H11" i="91"/>
  <c r="G11" i="91"/>
  <c r="E11" i="91"/>
  <c r="E10" i="91"/>
  <c r="E9" i="91"/>
  <c r="E8" i="91"/>
  <c r="E7" i="91"/>
  <c r="E6" i="91"/>
  <c r="D11" i="91"/>
  <c r="C14" i="87"/>
  <c r="C14" i="83"/>
  <c r="C14" i="80"/>
  <c r="C9" i="36"/>
  <c r="K97" i="91" l="1"/>
  <c r="J97" i="91"/>
  <c r="I97" i="91"/>
  <c r="G97" i="91"/>
  <c r="E96" i="91"/>
  <c r="H97" i="91"/>
  <c r="E95" i="91"/>
  <c r="E94" i="91"/>
  <c r="E93" i="91"/>
  <c r="E92" i="91"/>
  <c r="D97" i="91"/>
  <c r="E97" i="91"/>
  <c r="C15" i="36"/>
  <c r="J35" i="58"/>
  <c r="I35" i="58"/>
  <c r="G35" i="58"/>
  <c r="E35" i="58"/>
  <c r="D35" i="58"/>
  <c r="F33" i="58"/>
  <c r="E33" i="58"/>
  <c r="G31" i="58"/>
  <c r="F31" i="58"/>
  <c r="E31" i="58"/>
  <c r="J35" i="57"/>
  <c r="I35" i="57"/>
  <c r="G35" i="57"/>
  <c r="F35" i="57"/>
  <c r="E35" i="57"/>
  <c r="D35" i="57"/>
  <c r="G33" i="57"/>
  <c r="F33" i="57"/>
  <c r="E33" i="57"/>
  <c r="D33" i="57"/>
  <c r="G31" i="57"/>
  <c r="F31" i="57"/>
  <c r="E31" i="57"/>
  <c r="D31" i="57"/>
  <c r="J35" i="71"/>
  <c r="I35" i="71"/>
  <c r="G35" i="71"/>
  <c r="E35" i="71"/>
  <c r="D35" i="71"/>
  <c r="G33" i="71"/>
  <c r="F33" i="71"/>
  <c r="E33" i="71"/>
  <c r="D33" i="71"/>
  <c r="G31" i="71"/>
  <c r="F31" i="71"/>
  <c r="E31" i="71"/>
  <c r="D31" i="71"/>
  <c r="O45" i="39" l="1"/>
  <c r="N45" i="39"/>
  <c r="M45" i="39"/>
  <c r="AC69" i="85" l="1"/>
  <c r="AC67" i="85"/>
  <c r="AA67" i="85"/>
  <c r="AC69" i="79" l="1"/>
  <c r="AC68" i="79"/>
  <c r="AC67" i="79"/>
  <c r="AA67" i="79"/>
  <c r="AA68" i="79"/>
  <c r="AA69" i="79"/>
  <c r="AC70" i="75" l="1"/>
  <c r="AC66" i="75"/>
  <c r="AA66" i="75"/>
  <c r="AC68" i="22" l="1"/>
  <c r="AC68" i="85"/>
  <c r="F6" i="36" l="1"/>
  <c r="F3" i="36"/>
  <c r="F4" i="36"/>
  <c r="AA70" i="79"/>
  <c r="AA70" i="22"/>
  <c r="AC14" i="22" l="1"/>
  <c r="AC70" i="22"/>
  <c r="AC70" i="79"/>
  <c r="AC68" i="75"/>
  <c r="AC67" i="22" l="1"/>
  <c r="J27" i="62"/>
  <c r="F7" i="77" l="1"/>
  <c r="F6" i="77"/>
  <c r="F4" i="77"/>
  <c r="F3" i="77"/>
  <c r="AA70" i="85" l="1"/>
  <c r="AC32" i="85"/>
  <c r="AC70" i="85" l="1"/>
  <c r="AC69" i="75"/>
  <c r="AC67" i="75"/>
  <c r="Z355" i="55"/>
  <c r="Y355" i="55"/>
  <c r="X355" i="55"/>
  <c r="AA70" i="75" l="1"/>
  <c r="AC69" i="22" l="1"/>
  <c r="AA69" i="22"/>
  <c r="AA67" i="75"/>
  <c r="AA67" i="22"/>
  <c r="L29" i="70" l="1"/>
  <c r="K29" i="70"/>
  <c r="K6" i="70" s="1"/>
  <c r="J29" i="70"/>
  <c r="I29" i="70"/>
  <c r="H29" i="70"/>
  <c r="G29" i="70"/>
  <c r="G6" i="70" s="1"/>
  <c r="AA68" i="75"/>
  <c r="AA68" i="22"/>
  <c r="AA69" i="75" l="1"/>
  <c r="T16" i="89" l="1"/>
  <c r="S16" i="89"/>
  <c r="R16" i="89"/>
  <c r="Q16" i="89"/>
  <c r="P16" i="89"/>
  <c r="I16" i="89"/>
  <c r="H16" i="89"/>
  <c r="G16" i="89"/>
  <c r="F16" i="89"/>
  <c r="E16" i="89"/>
  <c r="D16" i="89"/>
  <c r="T15" i="89"/>
  <c r="S15" i="89"/>
  <c r="R15" i="89"/>
  <c r="Q15" i="89"/>
  <c r="P15" i="89"/>
  <c r="I15" i="89"/>
  <c r="H15" i="89"/>
  <c r="G15" i="89"/>
  <c r="F15" i="89"/>
  <c r="E15" i="89"/>
  <c r="D15" i="89"/>
  <c r="T14" i="89"/>
  <c r="S14" i="89"/>
  <c r="R14" i="89"/>
  <c r="Q14" i="89"/>
  <c r="P14" i="89"/>
  <c r="I14" i="89"/>
  <c r="H14" i="89"/>
  <c r="G14" i="89"/>
  <c r="F14" i="89"/>
  <c r="E14" i="89"/>
  <c r="D14" i="89"/>
  <c r="T13" i="89"/>
  <c r="S13" i="89"/>
  <c r="R13" i="89"/>
  <c r="Q13" i="89"/>
  <c r="P13" i="89"/>
  <c r="I13" i="89"/>
  <c r="H13" i="89"/>
  <c r="G13" i="89"/>
  <c r="F13" i="89"/>
  <c r="E13" i="89"/>
  <c r="D13" i="89"/>
  <c r="T12" i="89"/>
  <c r="S12" i="89"/>
  <c r="R12" i="89"/>
  <c r="Q12" i="89"/>
  <c r="P12" i="89"/>
  <c r="I12" i="89"/>
  <c r="H12" i="89"/>
  <c r="G12" i="89"/>
  <c r="F12" i="89"/>
  <c r="E12" i="89"/>
  <c r="D12" i="89"/>
  <c r="J16" i="89" l="1"/>
  <c r="G102" i="22"/>
  <c r="F10" i="89" s="1"/>
  <c r="T17" i="89" l="1"/>
  <c r="S17" i="89"/>
  <c r="R17" i="89"/>
  <c r="Q17" i="89"/>
  <c r="P17" i="89"/>
  <c r="I17" i="89"/>
  <c r="H17" i="89"/>
  <c r="G17" i="89"/>
  <c r="F17" i="89"/>
  <c r="E17" i="89"/>
  <c r="D17" i="89"/>
  <c r="U16" i="89"/>
  <c r="U15" i="89"/>
  <c r="J15" i="89"/>
  <c r="U14" i="89"/>
  <c r="J14" i="89"/>
  <c r="U13" i="89"/>
  <c r="J13" i="89"/>
  <c r="U12" i="89"/>
  <c r="J12" i="89"/>
  <c r="V16" i="89" l="1"/>
  <c r="W16" i="89" s="1"/>
  <c r="V15" i="89"/>
  <c r="W15" i="89" s="1"/>
  <c r="V14" i="89"/>
  <c r="W14" i="89" s="1"/>
  <c r="U17" i="89"/>
  <c r="V13" i="89"/>
  <c r="W13" i="89" s="1"/>
  <c r="J17" i="89"/>
  <c r="J20" i="89" s="1"/>
  <c r="T19" i="89"/>
  <c r="V12" i="89"/>
  <c r="V17" i="89" l="1"/>
  <c r="W17" i="89" s="1"/>
  <c r="W12" i="89"/>
  <c r="J23" i="62" l="1"/>
  <c r="U7" i="22" l="1"/>
  <c r="J24" i="62" l="1"/>
  <c r="J25" i="62"/>
  <c r="Y10" i="22" l="1"/>
  <c r="X10" i="22"/>
  <c r="W10" i="22"/>
  <c r="V10" i="22"/>
  <c r="U10" i="22"/>
  <c r="N10" i="22"/>
  <c r="I10" i="22"/>
  <c r="H10" i="22"/>
  <c r="G10" i="22"/>
  <c r="F10" i="22"/>
  <c r="AE9" i="75"/>
  <c r="N70" i="86" l="1"/>
  <c r="N69" i="86"/>
  <c r="N68" i="86"/>
  <c r="N67" i="86"/>
  <c r="N66" i="86"/>
  <c r="N68" i="85"/>
  <c r="N69" i="79"/>
  <c r="N68" i="79"/>
  <c r="N67" i="79"/>
  <c r="N66" i="79"/>
  <c r="N66" i="75"/>
  <c r="J47" i="69" l="1"/>
  <c r="J85" i="97" s="1"/>
  <c r="J104" i="97" s="1"/>
  <c r="J9" i="99" l="1"/>
  <c r="J60" i="90"/>
  <c r="Z13" i="69"/>
  <c r="Z12" i="69"/>
  <c r="Z11" i="69"/>
  <c r="Z10" i="69"/>
  <c r="Z9" i="69"/>
  <c r="E13" i="69" l="1"/>
  <c r="AD13" i="69"/>
  <c r="AC13" i="69" s="1"/>
  <c r="D13" i="69"/>
  <c r="U10" i="69"/>
  <c r="F10" i="69"/>
  <c r="AA9" i="69"/>
  <c r="Y9" i="69"/>
  <c r="X9" i="69"/>
  <c r="W9" i="69"/>
  <c r="V9" i="69"/>
  <c r="U9" i="69"/>
  <c r="N9" i="69"/>
  <c r="AB9" i="69" s="1"/>
  <c r="I9" i="69"/>
  <c r="H9" i="69"/>
  <c r="G9" i="69"/>
  <c r="F9" i="69"/>
  <c r="E9" i="69"/>
  <c r="AD9" i="69"/>
  <c r="AC9" i="69" s="1"/>
  <c r="D9" i="69"/>
  <c r="K9" i="69" l="1"/>
  <c r="M9" i="69" s="1"/>
  <c r="O9" i="69" s="1"/>
  <c r="AE9" i="69"/>
  <c r="N68" i="22"/>
  <c r="AA13" i="69" l="1"/>
  <c r="Y13" i="69"/>
  <c r="X13" i="69"/>
  <c r="W13" i="69"/>
  <c r="V13" i="69"/>
  <c r="U13" i="69"/>
  <c r="N13" i="69"/>
  <c r="AB13" i="69" s="1"/>
  <c r="I13" i="69"/>
  <c r="H13" i="69"/>
  <c r="G13" i="69"/>
  <c r="F13" i="69"/>
  <c r="AA12" i="69"/>
  <c r="Y12" i="69"/>
  <c r="X12" i="69"/>
  <c r="W12" i="69"/>
  <c r="V12" i="69"/>
  <c r="U12" i="69"/>
  <c r="N12" i="69"/>
  <c r="AB12" i="69" s="1"/>
  <c r="I12" i="69"/>
  <c r="H12" i="69"/>
  <c r="G12" i="69"/>
  <c r="F12" i="69"/>
  <c r="D12" i="69"/>
  <c r="AA11" i="69"/>
  <c r="Y11" i="69"/>
  <c r="X11" i="69"/>
  <c r="W11" i="69"/>
  <c r="V11" i="69"/>
  <c r="U11" i="69"/>
  <c r="N11" i="69"/>
  <c r="AB11" i="69" s="1"/>
  <c r="I11" i="69"/>
  <c r="H11" i="69"/>
  <c r="G11" i="69"/>
  <c r="F11" i="69"/>
  <c r="D11" i="69"/>
  <c r="AA10" i="69"/>
  <c r="Y10" i="69"/>
  <c r="X10" i="69"/>
  <c r="W10" i="69"/>
  <c r="V10" i="69"/>
  <c r="N10" i="69"/>
  <c r="AB10" i="69" s="1"/>
  <c r="I10" i="69"/>
  <c r="H10" i="69"/>
  <c r="G10" i="69"/>
  <c r="N70" i="79"/>
  <c r="N70" i="75"/>
  <c r="N70" i="22"/>
  <c r="N68" i="75"/>
  <c r="N66" i="22"/>
  <c r="AE13" i="69" l="1"/>
  <c r="K13" i="69"/>
  <c r="M13" i="69" s="1"/>
  <c r="O13" i="69" s="1"/>
  <c r="E10" i="22"/>
  <c r="D10" i="22"/>
  <c r="E35" i="76" l="1"/>
  <c r="I129" i="86" l="1"/>
  <c r="I128" i="86"/>
  <c r="I127" i="86"/>
  <c r="I126" i="86"/>
  <c r="I125" i="86"/>
  <c r="I129" i="85"/>
  <c r="I128" i="85"/>
  <c r="I127" i="85"/>
  <c r="I126" i="85"/>
  <c r="I125" i="85"/>
  <c r="I128" i="79"/>
  <c r="I126" i="79"/>
  <c r="I129" i="75"/>
  <c r="I125" i="75"/>
  <c r="I34" i="82" l="1"/>
  <c r="I67" i="91"/>
  <c r="I30" i="88"/>
  <c r="I77" i="91"/>
  <c r="I32" i="82"/>
  <c r="I65" i="91"/>
  <c r="I31" i="88"/>
  <c r="I78" i="91"/>
  <c r="I30" i="76"/>
  <c r="I21" i="91"/>
  <c r="I31" i="81"/>
  <c r="I36" i="91"/>
  <c r="I32" i="88"/>
  <c r="I79" i="91"/>
  <c r="I33" i="82"/>
  <c r="I66" i="91"/>
  <c r="I33" i="81"/>
  <c r="I38" i="91"/>
  <c r="I30" i="82"/>
  <c r="I63" i="91"/>
  <c r="I33" i="88"/>
  <c r="I80" i="91"/>
  <c r="I34" i="76"/>
  <c r="I25" i="91"/>
  <c r="I31" i="82"/>
  <c r="I64" i="91"/>
  <c r="I34" i="88"/>
  <c r="I81" i="91"/>
  <c r="I131" i="86"/>
  <c r="I83" i="91" s="1"/>
  <c r="I131" i="85"/>
  <c r="I69" i="91" l="1"/>
  <c r="M32" i="36"/>
  <c r="AA29" i="69"/>
  <c r="N67" i="22"/>
  <c r="AA32" i="69"/>
  <c r="AA51" i="69" s="1"/>
  <c r="AA89" i="97" s="1"/>
  <c r="Y32" i="69"/>
  <c r="X32" i="69"/>
  <c r="W32" i="69"/>
  <c r="V32" i="69"/>
  <c r="U32" i="69"/>
  <c r="AB32" i="69"/>
  <c r="Y29" i="69"/>
  <c r="X29" i="69"/>
  <c r="W29" i="69"/>
  <c r="V29" i="69"/>
  <c r="U29" i="69"/>
  <c r="N29" i="69"/>
  <c r="AB29" i="69" s="1"/>
  <c r="AB48" i="69" s="1"/>
  <c r="E12" i="69"/>
  <c r="K12" i="69" s="1"/>
  <c r="M12" i="69" s="1"/>
  <c r="O12" i="69" s="1"/>
  <c r="AD12" i="69"/>
  <c r="AC12" i="69" s="1"/>
  <c r="AE12" i="69" s="1"/>
  <c r="E11" i="69"/>
  <c r="K11" i="69" s="1"/>
  <c r="M11" i="69" s="1"/>
  <c r="O11" i="69" s="1"/>
  <c r="AD11" i="69"/>
  <c r="AC11" i="69" s="1"/>
  <c r="AE11" i="69" s="1"/>
  <c r="E10" i="69"/>
  <c r="AD10" i="69"/>
  <c r="AC10" i="69" s="1"/>
  <c r="AE10" i="69" s="1"/>
  <c r="D10" i="69"/>
  <c r="N70" i="85"/>
  <c r="N67" i="85"/>
  <c r="N67" i="75"/>
  <c r="N66" i="85"/>
  <c r="AC10" i="86"/>
  <c r="AC9" i="86"/>
  <c r="AA108" i="97" l="1"/>
  <c r="AA89" i="22"/>
  <c r="AA89" i="79"/>
  <c r="K10" i="69"/>
  <c r="M10" i="69" s="1"/>
  <c r="O10" i="69" s="1"/>
  <c r="D14" i="69"/>
  <c r="J54" i="62"/>
  <c r="J44" i="62"/>
  <c r="J35" i="62"/>
  <c r="H5" i="62"/>
  <c r="F5" i="62"/>
  <c r="E5" i="62"/>
  <c r="D5" i="62"/>
  <c r="C5" i="62"/>
  <c r="J26" i="62"/>
  <c r="J16" i="62"/>
  <c r="AA64" i="90" l="1"/>
  <c r="AA13" i="99"/>
  <c r="I5" i="62"/>
  <c r="C9" i="80"/>
  <c r="C15" i="80" l="1"/>
  <c r="D21" i="36"/>
  <c r="AG107" i="79"/>
  <c r="AG46" i="90" l="1"/>
  <c r="AH107" i="79"/>
  <c r="AC13" i="86"/>
  <c r="AC12" i="86"/>
  <c r="AC11" i="86" l="1"/>
  <c r="L9" i="79" l="1"/>
  <c r="N69" i="85" l="1"/>
  <c r="N69" i="75"/>
  <c r="N69" i="22"/>
  <c r="AE9" i="22"/>
  <c r="J55" i="62"/>
  <c r="J53" i="62"/>
  <c r="J52" i="62"/>
  <c r="J45" i="62"/>
  <c r="J43" i="62"/>
  <c r="J42" i="62"/>
  <c r="J41" i="62"/>
  <c r="J36" i="62"/>
  <c r="J34" i="62"/>
  <c r="J33" i="62"/>
  <c r="J32" i="62"/>
  <c r="J17" i="62"/>
  <c r="J15" i="62"/>
  <c r="J14" i="62"/>
  <c r="J13" i="62"/>
  <c r="AA66" i="86" l="1"/>
  <c r="F7" i="83" l="1"/>
  <c r="F6" i="83"/>
  <c r="F5" i="83"/>
  <c r="F4" i="83"/>
  <c r="F3" i="83"/>
  <c r="AC108" i="86" l="1"/>
  <c r="AC107" i="86"/>
  <c r="AC106" i="86"/>
  <c r="AC90" i="86"/>
  <c r="AC71" i="86"/>
  <c r="AC52" i="86"/>
  <c r="AC33" i="86"/>
  <c r="AC105" i="86"/>
  <c r="AC94" i="90" s="1"/>
  <c r="AC108" i="85"/>
  <c r="AC107" i="85"/>
  <c r="AC106" i="85"/>
  <c r="AC90" i="85"/>
  <c r="AC71" i="85"/>
  <c r="AC52" i="85"/>
  <c r="AC33" i="85"/>
  <c r="AC108" i="79"/>
  <c r="AC107" i="79"/>
  <c r="AC71" i="79"/>
  <c r="AC52" i="79"/>
  <c r="AC33" i="79"/>
  <c r="AC108" i="75"/>
  <c r="AC107" i="75"/>
  <c r="AC106" i="75"/>
  <c r="AC90" i="75"/>
  <c r="AC71" i="75"/>
  <c r="AC52" i="75"/>
  <c r="AC33" i="75"/>
  <c r="AC108" i="22"/>
  <c r="AC107" i="22"/>
  <c r="AC71" i="22"/>
  <c r="AC52" i="22"/>
  <c r="AC33" i="22"/>
  <c r="AC12" i="76" l="1"/>
  <c r="AC29" i="90"/>
  <c r="AC12" i="39"/>
  <c r="AC12" i="90"/>
  <c r="AC13" i="76"/>
  <c r="AC30" i="90"/>
  <c r="AC11" i="82"/>
  <c r="AC78" i="90"/>
  <c r="AC11" i="88"/>
  <c r="AC95" i="90"/>
  <c r="AC13" i="39"/>
  <c r="AC13" i="90"/>
  <c r="AC12" i="82"/>
  <c r="AC79" i="90"/>
  <c r="AC12" i="88"/>
  <c r="AC96" i="90"/>
  <c r="AC13" i="81"/>
  <c r="AC47" i="90"/>
  <c r="AC11" i="76"/>
  <c r="AC28" i="90"/>
  <c r="AC12" i="81"/>
  <c r="AC46" i="90"/>
  <c r="AC13" i="82"/>
  <c r="AC80" i="90"/>
  <c r="AC13" i="88"/>
  <c r="AC97" i="90"/>
  <c r="AC14" i="86"/>
  <c r="AC10" i="88"/>
  <c r="AC104" i="86"/>
  <c r="AC105" i="79"/>
  <c r="AC114" i="90" l="1"/>
  <c r="AC113" i="90"/>
  <c r="AC10" i="81"/>
  <c r="AC44" i="90"/>
  <c r="AC9" i="88"/>
  <c r="AC14" i="88" s="1"/>
  <c r="AC93" i="90"/>
  <c r="AC109" i="86"/>
  <c r="AC98" i="90" s="1"/>
  <c r="AC105" i="75" l="1"/>
  <c r="F5" i="36"/>
  <c r="AC10" i="76" l="1"/>
  <c r="AC27" i="90"/>
  <c r="AC105" i="22"/>
  <c r="AC105" i="85"/>
  <c r="AC10" i="82" l="1"/>
  <c r="AC77" i="90"/>
  <c r="AC10" i="39"/>
  <c r="AC10" i="90"/>
  <c r="AC14" i="79"/>
  <c r="AC111" i="90" l="1"/>
  <c r="AE70" i="86"/>
  <c r="F5" i="77"/>
  <c r="L5" i="77"/>
  <c r="F7" i="36" l="1"/>
  <c r="R12" i="56" l="1"/>
  <c r="K125" i="86" s="1"/>
  <c r="O12" i="56"/>
  <c r="K125" i="85" s="1"/>
  <c r="I12" i="56"/>
  <c r="F16" i="56"/>
  <c r="K129" i="75" s="1"/>
  <c r="F15" i="56"/>
  <c r="K128" i="75" s="1"/>
  <c r="F14" i="56"/>
  <c r="K127" i="75" s="1"/>
  <c r="F13" i="56"/>
  <c r="K126" i="75" s="1"/>
  <c r="F12" i="56"/>
  <c r="K125" i="75" l="1"/>
  <c r="F17" i="56"/>
  <c r="K125" i="79"/>
  <c r="K34" i="76"/>
  <c r="K25" i="91"/>
  <c r="K33" i="76"/>
  <c r="K24" i="91"/>
  <c r="K31" i="76"/>
  <c r="K22" i="91"/>
  <c r="K30" i="88"/>
  <c r="K77" i="91"/>
  <c r="K32" i="76"/>
  <c r="K23" i="91"/>
  <c r="K30" i="82"/>
  <c r="K63" i="91"/>
  <c r="R7" i="56"/>
  <c r="R6" i="56"/>
  <c r="R5" i="56"/>
  <c r="R4" i="56"/>
  <c r="R3" i="56"/>
  <c r="AB70" i="22"/>
  <c r="K30" i="76" l="1"/>
  <c r="K36" i="76" s="1"/>
  <c r="K21" i="91"/>
  <c r="K30" i="81"/>
  <c r="K35" i="91"/>
  <c r="O22" i="56"/>
  <c r="L126" i="85" s="1"/>
  <c r="O25" i="56"/>
  <c r="L129" i="85" s="1"/>
  <c r="L31" i="82" l="1"/>
  <c r="L64" i="91"/>
  <c r="L34" i="82"/>
  <c r="L67" i="91"/>
  <c r="C21" i="56"/>
  <c r="AC104" i="75" l="1"/>
  <c r="AC26" i="90" s="1"/>
  <c r="AC14" i="75"/>
  <c r="AC104" i="85"/>
  <c r="AC76" i="90" s="1"/>
  <c r="AC14" i="85"/>
  <c r="AC109" i="85" l="1"/>
  <c r="AC81" i="90" s="1"/>
  <c r="AC9" i="82"/>
  <c r="AC14" i="82" s="1"/>
  <c r="AC109" i="75"/>
  <c r="AC31" i="90" s="1"/>
  <c r="AC9" i="76"/>
  <c r="AC14" i="76" s="1"/>
  <c r="Y28" i="69"/>
  <c r="X28" i="69"/>
  <c r="W28" i="69"/>
  <c r="V28" i="69"/>
  <c r="U28" i="69"/>
  <c r="AA28" i="69" l="1"/>
  <c r="C6" i="62" l="1"/>
  <c r="C7" i="62" s="1"/>
  <c r="F28" i="69"/>
  <c r="C12" i="56" l="1"/>
  <c r="N3" i="69"/>
  <c r="K7" i="69"/>
  <c r="H7" i="69"/>
  <c r="D7" i="69"/>
  <c r="D6" i="69"/>
  <c r="L8" i="36" l="1"/>
  <c r="AB70" i="79"/>
  <c r="AE68" i="86"/>
  <c r="F6" i="88" l="1"/>
  <c r="O45" i="88" l="1"/>
  <c r="N45" i="88"/>
  <c r="M45" i="88"/>
  <c r="F45" i="88"/>
  <c r="O46" i="81"/>
  <c r="N46" i="81"/>
  <c r="M46" i="81"/>
  <c r="F46" i="81"/>
  <c r="O45" i="82"/>
  <c r="N45" i="82"/>
  <c r="M45" i="82"/>
  <c r="F45" i="82"/>
  <c r="O45" i="76"/>
  <c r="N45" i="76"/>
  <c r="M45" i="76"/>
  <c r="F45" i="76"/>
  <c r="F45" i="39"/>
  <c r="E11" i="64"/>
  <c r="D11" i="64"/>
  <c r="C16" i="56"/>
  <c r="C24" i="56"/>
  <c r="C15" i="56"/>
  <c r="C23" i="56"/>
  <c r="C14" i="56"/>
  <c r="C22" i="56"/>
  <c r="C13" i="56"/>
  <c r="H4" i="62"/>
  <c r="F4" i="62"/>
  <c r="E4" i="62"/>
  <c r="D4" i="62"/>
  <c r="H3" i="62"/>
  <c r="F3" i="62"/>
  <c r="E3" i="62"/>
  <c r="D3" i="62"/>
  <c r="F2" i="62"/>
  <c r="E2" i="62"/>
  <c r="D2" i="62"/>
  <c r="I2" i="62" l="1"/>
  <c r="F6" i="62"/>
  <c r="F7" i="62" s="1"/>
  <c r="K131" i="75"/>
  <c r="K27" i="91" s="1"/>
  <c r="I4" i="62"/>
  <c r="I3" i="62"/>
  <c r="H6" i="62"/>
  <c r="H7" i="62" s="1"/>
  <c r="D6" i="62"/>
  <c r="D7" i="62" s="1"/>
  <c r="E6" i="62"/>
  <c r="E7" i="62" s="1"/>
  <c r="J5" i="70"/>
  <c r="J6" i="70" s="1"/>
  <c r="I5" i="70"/>
  <c r="I6" i="70" s="1"/>
  <c r="H5" i="70"/>
  <c r="H6" i="70" s="1"/>
  <c r="I6" i="62" l="1"/>
  <c r="D81" i="62" s="1"/>
  <c r="M5" i="70"/>
  <c r="I7" i="62" l="1"/>
  <c r="Y51" i="75"/>
  <c r="X51" i="75"/>
  <c r="W51" i="75"/>
  <c r="V51" i="75"/>
  <c r="U51" i="75"/>
  <c r="G51" i="75"/>
  <c r="U30" i="69" l="1"/>
  <c r="C25" i="56" l="1"/>
  <c r="L5" i="70"/>
  <c r="L6" i="70" s="1"/>
  <c r="N13" i="22"/>
  <c r="N12" i="22"/>
  <c r="N11" i="22"/>
  <c r="N9" i="22"/>
  <c r="N5" i="70" l="1"/>
  <c r="N3" i="79"/>
  <c r="N60" i="79" s="1"/>
  <c r="AD60" i="79" s="1"/>
  <c r="N3" i="85"/>
  <c r="N79" i="85" s="1"/>
  <c r="AD79" i="85" s="1"/>
  <c r="N3" i="86"/>
  <c r="N41" i="86" s="1"/>
  <c r="AD41" i="86" s="1"/>
  <c r="N3" i="75"/>
  <c r="N41" i="75" s="1"/>
  <c r="AD41" i="75" s="1"/>
  <c r="K7" i="79"/>
  <c r="K102" i="79" s="1"/>
  <c r="Y102" i="79" s="1"/>
  <c r="K7" i="85"/>
  <c r="K102" i="85" s="1"/>
  <c r="K7" i="86"/>
  <c r="K122" i="86" s="1"/>
  <c r="K7" i="75"/>
  <c r="K122" i="75" s="1"/>
  <c r="K27" i="76" s="1"/>
  <c r="G7" i="79"/>
  <c r="G102" i="79" s="1"/>
  <c r="V102" i="79" s="1"/>
  <c r="G7" i="85"/>
  <c r="G83" i="85" s="1"/>
  <c r="V83" i="85" s="1"/>
  <c r="G7" i="86"/>
  <c r="G45" i="86" s="1"/>
  <c r="V45" i="86" s="1"/>
  <c r="G7" i="75"/>
  <c r="G83" i="75" s="1"/>
  <c r="V83" i="75" s="1"/>
  <c r="D7" i="79"/>
  <c r="D26" i="79" s="1"/>
  <c r="D7" i="85"/>
  <c r="D83" i="85" s="1"/>
  <c r="D7" i="86"/>
  <c r="D45" i="86" s="1"/>
  <c r="D7" i="75"/>
  <c r="D83" i="75" s="1"/>
  <c r="D6" i="79"/>
  <c r="D63" i="79" s="1"/>
  <c r="D6" i="85"/>
  <c r="D101" i="85" s="1"/>
  <c r="D6" i="82" s="1"/>
  <c r="D6" i="86"/>
  <c r="D63" i="86" s="1"/>
  <c r="D6" i="75"/>
  <c r="D82" i="75" s="1"/>
  <c r="E34" i="88"/>
  <c r="E33" i="88"/>
  <c r="E32" i="88"/>
  <c r="E31" i="88"/>
  <c r="E30" i="88"/>
  <c r="D35" i="88"/>
  <c r="L7" i="87"/>
  <c r="L6" i="87"/>
  <c r="L5" i="87"/>
  <c r="L4" i="87"/>
  <c r="L3" i="87"/>
  <c r="H8" i="87"/>
  <c r="E35" i="88"/>
  <c r="R25" i="56"/>
  <c r="L129" i="86" s="1"/>
  <c r="R24" i="56"/>
  <c r="L128" i="86" s="1"/>
  <c r="R23" i="56"/>
  <c r="L127" i="86" s="1"/>
  <c r="R22" i="56"/>
  <c r="L126" i="86" s="1"/>
  <c r="R21" i="56"/>
  <c r="L125" i="86" s="1"/>
  <c r="L77" i="91" s="1"/>
  <c r="R16" i="56"/>
  <c r="K129" i="86" s="1"/>
  <c r="R15" i="56"/>
  <c r="K128" i="86" s="1"/>
  <c r="R14" i="56"/>
  <c r="K127" i="86" s="1"/>
  <c r="R13" i="56"/>
  <c r="K126" i="86" s="1"/>
  <c r="D129" i="86"/>
  <c r="D128" i="86"/>
  <c r="D80" i="91" s="1"/>
  <c r="D127" i="86"/>
  <c r="D79" i="91" s="1"/>
  <c r="D126" i="86"/>
  <c r="D78" i="91" s="1"/>
  <c r="AD70" i="86"/>
  <c r="AA70" i="86"/>
  <c r="Y70" i="86"/>
  <c r="X70" i="86"/>
  <c r="W70" i="86"/>
  <c r="V70" i="86"/>
  <c r="U70" i="86"/>
  <c r="I70" i="86"/>
  <c r="H70" i="86"/>
  <c r="G70" i="86"/>
  <c r="F70" i="86"/>
  <c r="E70" i="86"/>
  <c r="D70" i="86"/>
  <c r="J129" i="86" s="1"/>
  <c r="AE69" i="86"/>
  <c r="AD69" i="86" s="1"/>
  <c r="AA69" i="86"/>
  <c r="Y69" i="86"/>
  <c r="X69" i="86"/>
  <c r="W69" i="86"/>
  <c r="V69" i="86"/>
  <c r="U69" i="86"/>
  <c r="I69" i="86"/>
  <c r="H69" i="86"/>
  <c r="G69" i="86"/>
  <c r="F69" i="86"/>
  <c r="E69" i="86"/>
  <c r="D69" i="86"/>
  <c r="J128" i="86" s="1"/>
  <c r="AA68" i="86"/>
  <c r="Y68" i="86"/>
  <c r="X68" i="86"/>
  <c r="W68" i="86"/>
  <c r="V68" i="86"/>
  <c r="U68" i="86"/>
  <c r="I68" i="86"/>
  <c r="H68" i="86"/>
  <c r="G68" i="86"/>
  <c r="F68" i="86"/>
  <c r="E68" i="86"/>
  <c r="D68" i="86"/>
  <c r="AE67" i="86"/>
  <c r="AD67" i="86" s="1"/>
  <c r="AA67" i="86"/>
  <c r="Y67" i="86"/>
  <c r="X67" i="86"/>
  <c r="W67" i="86"/>
  <c r="V67" i="86"/>
  <c r="U67" i="86"/>
  <c r="I67" i="86"/>
  <c r="H67" i="86"/>
  <c r="G67" i="86"/>
  <c r="F67" i="86"/>
  <c r="E67" i="86"/>
  <c r="D67" i="86"/>
  <c r="J126" i="86" s="1"/>
  <c r="Y66" i="86"/>
  <c r="X66" i="86"/>
  <c r="W66" i="86"/>
  <c r="V66" i="86"/>
  <c r="U66" i="86"/>
  <c r="I66" i="86"/>
  <c r="H66" i="86"/>
  <c r="G66" i="86"/>
  <c r="F66" i="86"/>
  <c r="E66" i="86"/>
  <c r="D66" i="86"/>
  <c r="AE51" i="86"/>
  <c r="AD51" i="86" s="1"/>
  <c r="AA51" i="86"/>
  <c r="Y51" i="86"/>
  <c r="X51" i="86"/>
  <c r="W51" i="86"/>
  <c r="V51" i="86"/>
  <c r="U51" i="86"/>
  <c r="N51" i="86"/>
  <c r="AB51" i="86" s="1"/>
  <c r="I51" i="86"/>
  <c r="H51" i="86"/>
  <c r="G51" i="86"/>
  <c r="F51" i="86"/>
  <c r="E51" i="86"/>
  <c r="D51" i="86"/>
  <c r="AE50" i="86"/>
  <c r="AD50" i="86" s="1"/>
  <c r="AA50" i="86"/>
  <c r="Y50" i="86"/>
  <c r="X50" i="86"/>
  <c r="W50" i="86"/>
  <c r="V50" i="86"/>
  <c r="U50" i="86"/>
  <c r="N50" i="86"/>
  <c r="AB50" i="86" s="1"/>
  <c r="I50" i="86"/>
  <c r="H50" i="86"/>
  <c r="G50" i="86"/>
  <c r="F50" i="86"/>
  <c r="E50" i="86"/>
  <c r="D50" i="86"/>
  <c r="AE49" i="86"/>
  <c r="AD49" i="86" s="1"/>
  <c r="AA49" i="86"/>
  <c r="Y49" i="86"/>
  <c r="X49" i="86"/>
  <c r="W49" i="86"/>
  <c r="V49" i="86"/>
  <c r="U49" i="86"/>
  <c r="N49" i="86"/>
  <c r="AB49" i="86" s="1"/>
  <c r="I49" i="86"/>
  <c r="H49" i="86"/>
  <c r="G49" i="86"/>
  <c r="F49" i="86"/>
  <c r="E49" i="86"/>
  <c r="D49" i="86"/>
  <c r="AE48" i="86"/>
  <c r="AD48" i="86" s="1"/>
  <c r="AA48" i="86"/>
  <c r="Y48" i="86"/>
  <c r="X48" i="86"/>
  <c r="W48" i="86"/>
  <c r="V48" i="86"/>
  <c r="U48" i="86"/>
  <c r="N48" i="86"/>
  <c r="AB48" i="86" s="1"/>
  <c r="I48" i="86"/>
  <c r="H48" i="86"/>
  <c r="G48" i="86"/>
  <c r="F48" i="86"/>
  <c r="E48" i="86"/>
  <c r="D48" i="86"/>
  <c r="AE47" i="86"/>
  <c r="AA47" i="86"/>
  <c r="Y47" i="86"/>
  <c r="X47" i="86"/>
  <c r="W47" i="86"/>
  <c r="V47" i="86"/>
  <c r="U47" i="86"/>
  <c r="N47" i="86"/>
  <c r="I47" i="86"/>
  <c r="H47" i="86"/>
  <c r="G47" i="86"/>
  <c r="F47" i="86"/>
  <c r="E47" i="86"/>
  <c r="D47" i="86"/>
  <c r="Y32" i="86"/>
  <c r="U32" i="86"/>
  <c r="Y31" i="86"/>
  <c r="X31" i="86"/>
  <c r="U31" i="86"/>
  <c r="N31" i="86"/>
  <c r="AB31" i="86" s="1"/>
  <c r="AE30" i="86"/>
  <c r="AD30" i="86" s="1"/>
  <c r="X30" i="86"/>
  <c r="W30" i="86"/>
  <c r="N30" i="86"/>
  <c r="AB30" i="86" s="1"/>
  <c r="I30" i="86"/>
  <c r="F30" i="86"/>
  <c r="E30" i="86"/>
  <c r="AE28" i="86"/>
  <c r="N28" i="86"/>
  <c r="AB28" i="86" s="1"/>
  <c r="I28" i="86"/>
  <c r="F28" i="86"/>
  <c r="E28" i="86"/>
  <c r="AE13" i="86"/>
  <c r="AA13" i="86"/>
  <c r="Y13" i="86"/>
  <c r="X13" i="86"/>
  <c r="W13" i="86"/>
  <c r="V13" i="86"/>
  <c r="U13" i="86"/>
  <c r="N13" i="86"/>
  <c r="AB13" i="86" s="1"/>
  <c r="I13" i="86"/>
  <c r="H13" i="86"/>
  <c r="G13" i="86"/>
  <c r="F13" i="86"/>
  <c r="E13" i="86"/>
  <c r="D13" i="86"/>
  <c r="AE12" i="86"/>
  <c r="AA12" i="86"/>
  <c r="Y12" i="86"/>
  <c r="X12" i="86"/>
  <c r="W12" i="86"/>
  <c r="V12" i="86"/>
  <c r="U12" i="86"/>
  <c r="N12" i="86"/>
  <c r="I12" i="86"/>
  <c r="H12" i="86"/>
  <c r="G12" i="86"/>
  <c r="F12" i="86"/>
  <c r="E12" i="86"/>
  <c r="D12" i="86"/>
  <c r="AE9" i="86"/>
  <c r="AA9" i="86"/>
  <c r="Y9" i="86"/>
  <c r="X9" i="86"/>
  <c r="W9" i="86"/>
  <c r="V9" i="86"/>
  <c r="U9" i="86"/>
  <c r="N9" i="86"/>
  <c r="AB9" i="86" s="1"/>
  <c r="I9" i="86"/>
  <c r="H9" i="86"/>
  <c r="G9" i="86"/>
  <c r="F9" i="86"/>
  <c r="E9" i="86"/>
  <c r="D9" i="86"/>
  <c r="X7" i="88"/>
  <c r="U7" i="88"/>
  <c r="F9" i="87"/>
  <c r="I147" i="86"/>
  <c r="X102" i="86"/>
  <c r="U102" i="86"/>
  <c r="L90" i="86"/>
  <c r="Z89" i="86"/>
  <c r="AB89" i="86"/>
  <c r="AD89" i="86"/>
  <c r="G7" i="87"/>
  <c r="Z88" i="86"/>
  <c r="AB88" i="86"/>
  <c r="I90" i="86"/>
  <c r="Z87" i="86"/>
  <c r="AB87" i="86"/>
  <c r="AD87" i="86"/>
  <c r="AB86" i="86"/>
  <c r="Z86" i="86"/>
  <c r="AD86" i="86"/>
  <c r="AB85" i="86"/>
  <c r="Z85" i="86"/>
  <c r="Y90" i="86"/>
  <c r="X90" i="86"/>
  <c r="V90" i="86"/>
  <c r="U90" i="86"/>
  <c r="H90" i="86"/>
  <c r="G90" i="86"/>
  <c r="G3" i="87"/>
  <c r="X83" i="86"/>
  <c r="U83" i="86"/>
  <c r="N71" i="86"/>
  <c r="L71" i="86"/>
  <c r="J71" i="86"/>
  <c r="AB70" i="86"/>
  <c r="Z70" i="86"/>
  <c r="AB69" i="86"/>
  <c r="Z69" i="86"/>
  <c r="AD68" i="86"/>
  <c r="AB68" i="86"/>
  <c r="Z68" i="86"/>
  <c r="AB67" i="86"/>
  <c r="Z67" i="86"/>
  <c r="AB66" i="86"/>
  <c r="Z66" i="86"/>
  <c r="X64" i="86"/>
  <c r="U64" i="86"/>
  <c r="L52" i="86"/>
  <c r="J52" i="86"/>
  <c r="Z51" i="86"/>
  <c r="Z50" i="86"/>
  <c r="Z49" i="86"/>
  <c r="Z48" i="86"/>
  <c r="Z47" i="86"/>
  <c r="X45" i="86"/>
  <c r="U45" i="86"/>
  <c r="L33" i="86"/>
  <c r="J33" i="86"/>
  <c r="Z32" i="86"/>
  <c r="Z31" i="86"/>
  <c r="Z30" i="86"/>
  <c r="Z29" i="86"/>
  <c r="Z28" i="86"/>
  <c r="X26" i="86"/>
  <c r="U26" i="86"/>
  <c r="Z13" i="86"/>
  <c r="L108" i="86"/>
  <c r="J108" i="86"/>
  <c r="L107" i="86"/>
  <c r="Z11" i="86"/>
  <c r="L106" i="86"/>
  <c r="J105" i="86"/>
  <c r="Z9" i="86"/>
  <c r="L104" i="86"/>
  <c r="J104" i="86"/>
  <c r="X7" i="86"/>
  <c r="U7" i="86"/>
  <c r="E35" i="82"/>
  <c r="E34" i="82"/>
  <c r="E33" i="82"/>
  <c r="E32" i="82"/>
  <c r="E31" i="82"/>
  <c r="E30" i="82"/>
  <c r="L8" i="83"/>
  <c r="L7" i="83"/>
  <c r="L6" i="83"/>
  <c r="L5" i="83"/>
  <c r="L4" i="83"/>
  <c r="L3" i="83"/>
  <c r="H8" i="83"/>
  <c r="C9" i="83"/>
  <c r="O24" i="56"/>
  <c r="L128" i="85" s="1"/>
  <c r="O23" i="56"/>
  <c r="L127" i="85" s="1"/>
  <c r="O21" i="56"/>
  <c r="L125" i="85" s="1"/>
  <c r="L63" i="91" s="1"/>
  <c r="O16" i="56"/>
  <c r="K129" i="85" s="1"/>
  <c r="O15" i="56"/>
  <c r="K128" i="85" s="1"/>
  <c r="O14" i="56"/>
  <c r="K127" i="85" s="1"/>
  <c r="O13" i="56"/>
  <c r="K126" i="85" s="1"/>
  <c r="K64" i="91" s="1"/>
  <c r="O7" i="56"/>
  <c r="D129" i="85" s="1"/>
  <c r="D67" i="91" s="1"/>
  <c r="O6" i="56"/>
  <c r="D128" i="85" s="1"/>
  <c r="D66" i="91" s="1"/>
  <c r="O5" i="56"/>
  <c r="D127" i="85" s="1"/>
  <c r="O4" i="56"/>
  <c r="D126" i="85" s="1"/>
  <c r="D64" i="91" s="1"/>
  <c r="O3" i="56"/>
  <c r="D125" i="85" s="1"/>
  <c r="D63" i="91" s="1"/>
  <c r="AE69" i="85"/>
  <c r="AD69" i="85" s="1"/>
  <c r="AA69" i="85"/>
  <c r="Y69" i="85"/>
  <c r="X69" i="85"/>
  <c r="W69" i="85"/>
  <c r="V69" i="85"/>
  <c r="U69" i="85"/>
  <c r="I69" i="85"/>
  <c r="H69" i="85"/>
  <c r="G69" i="85"/>
  <c r="F69" i="85"/>
  <c r="E69" i="85"/>
  <c r="D69" i="85"/>
  <c r="AE68" i="85"/>
  <c r="AD68" i="85" s="1"/>
  <c r="AA68" i="85"/>
  <c r="Y68" i="85"/>
  <c r="X68" i="85"/>
  <c r="W68" i="85"/>
  <c r="V68" i="85"/>
  <c r="U68" i="85"/>
  <c r="I68" i="85"/>
  <c r="H68" i="85"/>
  <c r="G68" i="85"/>
  <c r="F68" i="85"/>
  <c r="E68" i="85"/>
  <c r="D68" i="85"/>
  <c r="AE66" i="85"/>
  <c r="Y66" i="85"/>
  <c r="X66" i="85"/>
  <c r="W66" i="85"/>
  <c r="V66" i="85"/>
  <c r="U66" i="85"/>
  <c r="I66" i="85"/>
  <c r="H66" i="85"/>
  <c r="G66" i="85"/>
  <c r="F66" i="85"/>
  <c r="E66" i="85"/>
  <c r="D66" i="85"/>
  <c r="AE50" i="85"/>
  <c r="Y50" i="85"/>
  <c r="X50" i="85"/>
  <c r="W50" i="85"/>
  <c r="V50" i="85"/>
  <c r="U50" i="85"/>
  <c r="N50" i="85"/>
  <c r="I50" i="85"/>
  <c r="H50" i="85"/>
  <c r="G50" i="85"/>
  <c r="F50" i="85"/>
  <c r="E50" i="85"/>
  <c r="D50" i="85"/>
  <c r="AE49" i="85"/>
  <c r="AE48" i="85"/>
  <c r="AE47" i="85"/>
  <c r="Y47" i="85"/>
  <c r="X47" i="85"/>
  <c r="W47" i="85"/>
  <c r="V47" i="85"/>
  <c r="U47" i="85"/>
  <c r="N47" i="85"/>
  <c r="I47" i="85"/>
  <c r="H47" i="85"/>
  <c r="G47" i="85"/>
  <c r="F47" i="85"/>
  <c r="E47" i="85"/>
  <c r="D47" i="85"/>
  <c r="F6" i="82"/>
  <c r="I147" i="85"/>
  <c r="O32" i="36" s="1"/>
  <c r="E131" i="85"/>
  <c r="E69" i="91" s="1"/>
  <c r="X102" i="85"/>
  <c r="U102" i="85"/>
  <c r="L90" i="85"/>
  <c r="Z90" i="85"/>
  <c r="X83" i="85"/>
  <c r="U83" i="85"/>
  <c r="N71" i="85"/>
  <c r="L71" i="85"/>
  <c r="J71" i="85"/>
  <c r="AB70" i="85"/>
  <c r="Z70" i="85"/>
  <c r="AB69" i="85"/>
  <c r="Z69" i="85"/>
  <c r="AB68" i="85"/>
  <c r="Z68" i="85"/>
  <c r="AB67" i="85"/>
  <c r="Z67" i="85"/>
  <c r="AB66" i="85"/>
  <c r="Z66" i="85"/>
  <c r="X64" i="85"/>
  <c r="U64" i="85"/>
  <c r="L52" i="85"/>
  <c r="J52" i="85"/>
  <c r="Z51" i="85"/>
  <c r="Z50" i="85"/>
  <c r="Z49" i="85"/>
  <c r="Z48" i="85"/>
  <c r="Z47" i="85"/>
  <c r="X45" i="85"/>
  <c r="U45" i="85"/>
  <c r="L33" i="85"/>
  <c r="J33" i="85"/>
  <c r="Z32" i="85"/>
  <c r="Z31" i="85"/>
  <c r="Z30" i="85"/>
  <c r="Z29" i="85"/>
  <c r="Z28" i="85"/>
  <c r="X26" i="85"/>
  <c r="U26" i="85"/>
  <c r="L108" i="85"/>
  <c r="L107" i="85"/>
  <c r="L106" i="85"/>
  <c r="L105" i="85"/>
  <c r="L104" i="85"/>
  <c r="L76" i="90" s="1"/>
  <c r="X7" i="85"/>
  <c r="U7" i="85"/>
  <c r="F9" i="83"/>
  <c r="G23" i="36" s="1"/>
  <c r="X7" i="82"/>
  <c r="U7" i="82"/>
  <c r="L7" i="80"/>
  <c r="L6" i="80"/>
  <c r="L5" i="80"/>
  <c r="L4" i="80"/>
  <c r="L3" i="80"/>
  <c r="I25" i="56"/>
  <c r="I24" i="56"/>
  <c r="I23" i="56"/>
  <c r="I22" i="56"/>
  <c r="I21" i="56"/>
  <c r="I16" i="56"/>
  <c r="I15" i="56"/>
  <c r="I14" i="56"/>
  <c r="I13" i="56"/>
  <c r="L8" i="80"/>
  <c r="N8" i="80" s="1"/>
  <c r="I7" i="56"/>
  <c r="I6" i="56"/>
  <c r="I5" i="56"/>
  <c r="I4" i="56"/>
  <c r="D143" i="97" s="1"/>
  <c r="L143" i="97" s="1"/>
  <c r="M143" i="97" s="1"/>
  <c r="I3" i="56"/>
  <c r="AE69" i="79"/>
  <c r="AD69" i="79" s="1"/>
  <c r="Y69" i="79"/>
  <c r="X69" i="79"/>
  <c r="W69" i="79"/>
  <c r="V69" i="79"/>
  <c r="U69" i="79"/>
  <c r="I69" i="79"/>
  <c r="H69" i="79"/>
  <c r="G69" i="79"/>
  <c r="F69" i="79"/>
  <c r="E69" i="79"/>
  <c r="D69" i="79"/>
  <c r="AE68" i="79"/>
  <c r="AD68" i="79" s="1"/>
  <c r="Y68" i="79"/>
  <c r="X68" i="79"/>
  <c r="W68" i="79"/>
  <c r="V68" i="79"/>
  <c r="U68" i="79"/>
  <c r="I68" i="79"/>
  <c r="H68" i="79"/>
  <c r="G68" i="79"/>
  <c r="F68" i="79"/>
  <c r="E68" i="79"/>
  <c r="D68" i="79"/>
  <c r="AE67" i="79"/>
  <c r="AD67" i="79" s="1"/>
  <c r="Y67" i="79"/>
  <c r="X67" i="79"/>
  <c r="W67" i="79"/>
  <c r="V67" i="79"/>
  <c r="U67" i="79"/>
  <c r="I67" i="79"/>
  <c r="H67" i="79"/>
  <c r="G67" i="79"/>
  <c r="F67" i="79"/>
  <c r="E67" i="79"/>
  <c r="D67" i="79"/>
  <c r="AE66" i="79"/>
  <c r="Y66" i="79"/>
  <c r="X66" i="79"/>
  <c r="W66" i="79"/>
  <c r="V66" i="79"/>
  <c r="U66" i="79"/>
  <c r="I66" i="79"/>
  <c r="H66" i="79"/>
  <c r="G66" i="79"/>
  <c r="F66" i="79"/>
  <c r="E66" i="79"/>
  <c r="D66" i="79"/>
  <c r="AE50" i="79"/>
  <c r="AD50" i="79" s="1"/>
  <c r="Y50" i="79"/>
  <c r="X50" i="79"/>
  <c r="W50" i="79"/>
  <c r="V50" i="79"/>
  <c r="U50" i="79"/>
  <c r="N50" i="79"/>
  <c r="AB50" i="79" s="1"/>
  <c r="I50" i="79"/>
  <c r="H50" i="79"/>
  <c r="G50" i="79"/>
  <c r="F50" i="79"/>
  <c r="E50" i="79"/>
  <c r="D50" i="79"/>
  <c r="AE49" i="79"/>
  <c r="AD49" i="79" s="1"/>
  <c r="Y49" i="79"/>
  <c r="X49" i="79"/>
  <c r="W49" i="79"/>
  <c r="V49" i="79"/>
  <c r="U49" i="79"/>
  <c r="N49" i="79"/>
  <c r="AB49" i="79" s="1"/>
  <c r="I49" i="79"/>
  <c r="H49" i="79"/>
  <c r="G49" i="79"/>
  <c r="F49" i="79"/>
  <c r="E49" i="79"/>
  <c r="D49" i="79"/>
  <c r="AE48" i="79"/>
  <c r="AD48" i="79" s="1"/>
  <c r="Y48" i="79"/>
  <c r="X48" i="79"/>
  <c r="W48" i="79"/>
  <c r="V48" i="79"/>
  <c r="U48" i="79"/>
  <c r="N48" i="79"/>
  <c r="AB48" i="79" s="1"/>
  <c r="I48" i="79"/>
  <c r="H48" i="79"/>
  <c r="G48" i="79"/>
  <c r="F48" i="79"/>
  <c r="E48" i="79"/>
  <c r="D48" i="79"/>
  <c r="AE47" i="79"/>
  <c r="Y47" i="79"/>
  <c r="X47" i="79"/>
  <c r="W47" i="79"/>
  <c r="V47" i="79"/>
  <c r="U47" i="79"/>
  <c r="N47" i="79"/>
  <c r="I47" i="79"/>
  <c r="H47" i="79"/>
  <c r="G47" i="79"/>
  <c r="F47" i="79"/>
  <c r="E47" i="79"/>
  <c r="D47" i="79"/>
  <c r="AE31" i="79"/>
  <c r="AD31" i="79" s="1"/>
  <c r="AA31" i="79"/>
  <c r="Y31" i="79"/>
  <c r="X31" i="79"/>
  <c r="W31" i="79"/>
  <c r="V31" i="79"/>
  <c r="U31" i="79"/>
  <c r="N31" i="79"/>
  <c r="AB31" i="79" s="1"/>
  <c r="I31" i="79"/>
  <c r="H31" i="79"/>
  <c r="G31" i="79"/>
  <c r="F31" i="79"/>
  <c r="E31" i="79"/>
  <c r="D31" i="79"/>
  <c r="AE30" i="79"/>
  <c r="AD30" i="79" s="1"/>
  <c r="AA30" i="79"/>
  <c r="Y30" i="79"/>
  <c r="X30" i="79"/>
  <c r="W30" i="79"/>
  <c r="V30" i="79"/>
  <c r="U30" i="79"/>
  <c r="N30" i="79"/>
  <c r="AB30" i="79" s="1"/>
  <c r="I30" i="79"/>
  <c r="H30" i="79"/>
  <c r="G30" i="79"/>
  <c r="F30" i="79"/>
  <c r="E30" i="79"/>
  <c r="D30" i="79"/>
  <c r="AE29" i="79"/>
  <c r="AD29" i="79" s="1"/>
  <c r="AA29" i="79"/>
  <c r="Y29" i="79"/>
  <c r="X29" i="79"/>
  <c r="W29" i="79"/>
  <c r="V29" i="79"/>
  <c r="U29" i="79"/>
  <c r="N29" i="79"/>
  <c r="AB29" i="79" s="1"/>
  <c r="I29" i="79"/>
  <c r="H29" i="79"/>
  <c r="G29" i="79"/>
  <c r="F29" i="79"/>
  <c r="E29" i="79"/>
  <c r="D29" i="79"/>
  <c r="AE28" i="79"/>
  <c r="AD28" i="79" s="1"/>
  <c r="Y28" i="79"/>
  <c r="X28" i="79"/>
  <c r="W28" i="79"/>
  <c r="V28" i="79"/>
  <c r="U28" i="79"/>
  <c r="N28" i="79"/>
  <c r="I28" i="79"/>
  <c r="H28" i="79"/>
  <c r="G28" i="79"/>
  <c r="F28" i="79"/>
  <c r="E28" i="79"/>
  <c r="D28" i="79"/>
  <c r="AA32" i="79"/>
  <c r="Y32" i="79"/>
  <c r="X32" i="79"/>
  <c r="W32" i="79"/>
  <c r="V32" i="79"/>
  <c r="U32" i="79"/>
  <c r="N32" i="79"/>
  <c r="AB32" i="79" s="1"/>
  <c r="I32" i="79"/>
  <c r="H32" i="79"/>
  <c r="G32" i="79"/>
  <c r="F32" i="79"/>
  <c r="E32" i="79"/>
  <c r="AE12" i="79"/>
  <c r="Y12" i="79"/>
  <c r="X12" i="79"/>
  <c r="W12" i="79"/>
  <c r="V12" i="79"/>
  <c r="U12" i="79"/>
  <c r="N12" i="79"/>
  <c r="I12" i="79"/>
  <c r="H12" i="79"/>
  <c r="G12" i="79"/>
  <c r="F12" i="79"/>
  <c r="E12" i="79"/>
  <c r="D12" i="79"/>
  <c r="AE11" i="79"/>
  <c r="Y11" i="79"/>
  <c r="X11" i="79"/>
  <c r="W11" i="79"/>
  <c r="V11" i="79"/>
  <c r="U11" i="79"/>
  <c r="N11" i="79"/>
  <c r="I11" i="79"/>
  <c r="H11" i="79"/>
  <c r="G11" i="79"/>
  <c r="F11" i="79"/>
  <c r="E11" i="79"/>
  <c r="D11" i="79"/>
  <c r="AE10" i="79"/>
  <c r="Y10" i="79"/>
  <c r="X10" i="79"/>
  <c r="W10" i="79"/>
  <c r="V10" i="79"/>
  <c r="U10" i="79"/>
  <c r="N10" i="79"/>
  <c r="I10" i="79"/>
  <c r="H10" i="79"/>
  <c r="G10" i="79"/>
  <c r="F10" i="79"/>
  <c r="E10" i="79"/>
  <c r="D10" i="79"/>
  <c r="AE9" i="79"/>
  <c r="Y9" i="79"/>
  <c r="X9" i="79"/>
  <c r="W9" i="79"/>
  <c r="V9" i="79"/>
  <c r="U9" i="79"/>
  <c r="N9" i="79"/>
  <c r="I9" i="79"/>
  <c r="H9" i="79"/>
  <c r="G9" i="79"/>
  <c r="F9" i="79"/>
  <c r="E9" i="79"/>
  <c r="D9" i="79"/>
  <c r="E34" i="81"/>
  <c r="E33" i="81"/>
  <c r="E32" i="81"/>
  <c r="E31" i="81"/>
  <c r="E30" i="81"/>
  <c r="F6" i="81"/>
  <c r="X7" i="81"/>
  <c r="U7" i="81"/>
  <c r="F9" i="80"/>
  <c r="G21" i="36" s="1"/>
  <c r="H8" i="80"/>
  <c r="X102" i="79"/>
  <c r="U102" i="79"/>
  <c r="AB88" i="79"/>
  <c r="Z88" i="79"/>
  <c r="AD88" i="79"/>
  <c r="H145" i="79"/>
  <c r="G6" i="80" s="1"/>
  <c r="AB86" i="79"/>
  <c r="Z86" i="79"/>
  <c r="AD86" i="79"/>
  <c r="H143" i="79"/>
  <c r="G4" i="80" s="1"/>
  <c r="X83" i="79"/>
  <c r="U83" i="79"/>
  <c r="N71" i="79"/>
  <c r="L71" i="79"/>
  <c r="J71" i="79"/>
  <c r="Z70" i="79"/>
  <c r="AB69" i="79"/>
  <c r="Z69" i="79"/>
  <c r="AB68" i="79"/>
  <c r="Z68" i="79"/>
  <c r="AB67" i="79"/>
  <c r="Z67" i="79"/>
  <c r="AB66" i="79"/>
  <c r="Z66" i="79"/>
  <c r="X64" i="79"/>
  <c r="U64" i="79"/>
  <c r="L52" i="79"/>
  <c r="J52" i="79"/>
  <c r="Z51" i="79"/>
  <c r="Z50" i="79"/>
  <c r="Z49" i="79"/>
  <c r="Z48" i="79"/>
  <c r="Z47" i="79"/>
  <c r="X45" i="79"/>
  <c r="U45" i="79"/>
  <c r="L33" i="79"/>
  <c r="J33" i="79"/>
  <c r="Z32" i="79"/>
  <c r="Z31" i="79"/>
  <c r="Z30" i="79"/>
  <c r="Z29" i="79"/>
  <c r="Z28" i="79"/>
  <c r="X26" i="79"/>
  <c r="U26" i="79"/>
  <c r="L107" i="79"/>
  <c r="L106" i="79"/>
  <c r="L105" i="79"/>
  <c r="L104" i="79"/>
  <c r="L43" i="90" s="1"/>
  <c r="X7" i="79"/>
  <c r="U7" i="79"/>
  <c r="F25" i="56"/>
  <c r="L129" i="75" s="1"/>
  <c r="F24" i="56"/>
  <c r="L128" i="75" s="1"/>
  <c r="F23" i="56"/>
  <c r="L127" i="75" s="1"/>
  <c r="F22" i="56"/>
  <c r="L126" i="75" s="1"/>
  <c r="F21" i="56"/>
  <c r="L125" i="75" s="1"/>
  <c r="L21" i="91" s="1"/>
  <c r="F7" i="56"/>
  <c r="D129" i="75" s="1"/>
  <c r="F6" i="56"/>
  <c r="D128" i="75" s="1"/>
  <c r="F5" i="56"/>
  <c r="D127" i="75" s="1"/>
  <c r="F4" i="56"/>
  <c r="F3" i="56"/>
  <c r="D125" i="75" s="1"/>
  <c r="L8" i="77"/>
  <c r="L7" i="77"/>
  <c r="L6" i="77"/>
  <c r="L4" i="77"/>
  <c r="L3" i="77"/>
  <c r="H8" i="77"/>
  <c r="C9" i="77"/>
  <c r="AE70" i="75"/>
  <c r="AD70" i="75" s="1"/>
  <c r="Y70" i="75"/>
  <c r="X70" i="75"/>
  <c r="W70" i="75"/>
  <c r="V70" i="75"/>
  <c r="U70" i="75"/>
  <c r="I70" i="75"/>
  <c r="H70" i="75"/>
  <c r="G70" i="75"/>
  <c r="F70" i="75"/>
  <c r="E70" i="75"/>
  <c r="D70" i="75"/>
  <c r="AE69" i="75"/>
  <c r="AD69" i="75" s="1"/>
  <c r="Y69" i="75"/>
  <c r="X69" i="75"/>
  <c r="W69" i="75"/>
  <c r="V69" i="75"/>
  <c r="U69" i="75"/>
  <c r="I69" i="75"/>
  <c r="H69" i="75"/>
  <c r="G69" i="75"/>
  <c r="F69" i="75"/>
  <c r="E69" i="75"/>
  <c r="D69" i="75"/>
  <c r="AE68" i="75"/>
  <c r="AD68" i="75" s="1"/>
  <c r="Y68" i="75"/>
  <c r="X68" i="75"/>
  <c r="W68" i="75"/>
  <c r="V68" i="75"/>
  <c r="U68" i="75"/>
  <c r="I68" i="75"/>
  <c r="H68" i="75"/>
  <c r="G68" i="75"/>
  <c r="F68" i="75"/>
  <c r="E68" i="75"/>
  <c r="D68" i="75"/>
  <c r="AE67" i="75"/>
  <c r="AD67" i="75" s="1"/>
  <c r="Y67" i="75"/>
  <c r="X67" i="75"/>
  <c r="W67" i="75"/>
  <c r="V67" i="75"/>
  <c r="U67" i="75"/>
  <c r="I67" i="75"/>
  <c r="H67" i="75"/>
  <c r="G67" i="75"/>
  <c r="F67" i="75"/>
  <c r="E67" i="75"/>
  <c r="D67" i="75"/>
  <c r="AE51" i="75"/>
  <c r="AD51" i="75" s="1"/>
  <c r="N51" i="75"/>
  <c r="AB51" i="75" s="1"/>
  <c r="I51" i="75"/>
  <c r="H51" i="75"/>
  <c r="F51" i="75"/>
  <c r="E51" i="75"/>
  <c r="D51" i="75"/>
  <c r="AE50" i="75"/>
  <c r="AD50" i="75" s="1"/>
  <c r="Y50" i="75"/>
  <c r="X50" i="75"/>
  <c r="W50" i="75"/>
  <c r="V50" i="75"/>
  <c r="U50" i="75"/>
  <c r="N50" i="75"/>
  <c r="I50" i="75"/>
  <c r="H50" i="75"/>
  <c r="G50" i="75"/>
  <c r="F50" i="75"/>
  <c r="E50" i="75"/>
  <c r="D50" i="75"/>
  <c r="AE49" i="75"/>
  <c r="AD49" i="75" s="1"/>
  <c r="Y49" i="75"/>
  <c r="X49" i="75"/>
  <c r="W49" i="75"/>
  <c r="V49" i="75"/>
  <c r="U49" i="75"/>
  <c r="N49" i="75"/>
  <c r="AB49" i="75" s="1"/>
  <c r="I49" i="75"/>
  <c r="H49" i="75"/>
  <c r="G49" i="75"/>
  <c r="F49" i="75"/>
  <c r="E49" i="75"/>
  <c r="D49" i="75"/>
  <c r="AE48" i="75"/>
  <c r="AD48" i="75" s="1"/>
  <c r="Y48" i="75"/>
  <c r="X48" i="75"/>
  <c r="W48" i="75"/>
  <c r="V48" i="75"/>
  <c r="U48" i="75"/>
  <c r="N48" i="75"/>
  <c r="I48" i="75"/>
  <c r="H48" i="75"/>
  <c r="G48" i="75"/>
  <c r="F48" i="75"/>
  <c r="E48" i="75"/>
  <c r="D48" i="75"/>
  <c r="AE47" i="75"/>
  <c r="Y47" i="75"/>
  <c r="X47" i="75"/>
  <c r="W47" i="75"/>
  <c r="V47" i="75"/>
  <c r="U47" i="75"/>
  <c r="N47" i="75"/>
  <c r="I47" i="75"/>
  <c r="H47" i="75"/>
  <c r="G47" i="75"/>
  <c r="F47" i="75"/>
  <c r="E47" i="75"/>
  <c r="D47" i="75"/>
  <c r="F9" i="77"/>
  <c r="G20" i="36" s="1"/>
  <c r="E34" i="76"/>
  <c r="E33" i="76"/>
  <c r="E32" i="76"/>
  <c r="E31" i="76"/>
  <c r="E30" i="76"/>
  <c r="X7" i="76"/>
  <c r="U7" i="76"/>
  <c r="F6" i="76"/>
  <c r="I147" i="75"/>
  <c r="O29" i="36" s="1"/>
  <c r="X102" i="75"/>
  <c r="U102" i="75"/>
  <c r="L90" i="75"/>
  <c r="K89" i="75"/>
  <c r="M89" i="75" s="1"/>
  <c r="O89" i="75" s="1"/>
  <c r="Z88" i="75"/>
  <c r="Z86" i="75"/>
  <c r="Z85" i="75"/>
  <c r="X83" i="75"/>
  <c r="U83" i="75"/>
  <c r="N71" i="75"/>
  <c r="L71" i="75"/>
  <c r="J71" i="75"/>
  <c r="AB70" i="75"/>
  <c r="Z70" i="75"/>
  <c r="AB69" i="75"/>
  <c r="Z69" i="75"/>
  <c r="AB68" i="75"/>
  <c r="Z68" i="75"/>
  <c r="AB67" i="75"/>
  <c r="Z67" i="75"/>
  <c r="AB66" i="75"/>
  <c r="Z66" i="75"/>
  <c r="X64" i="75"/>
  <c r="U64" i="75"/>
  <c r="L52" i="75"/>
  <c r="J52" i="75"/>
  <c r="Z51" i="75"/>
  <c r="Z50" i="75"/>
  <c r="Z49" i="75"/>
  <c r="Z48" i="75"/>
  <c r="Z47" i="75"/>
  <c r="X45" i="75"/>
  <c r="U45" i="75"/>
  <c r="L33" i="75"/>
  <c r="J33" i="75"/>
  <c r="Z32" i="75"/>
  <c r="Z31" i="75"/>
  <c r="Z30" i="75"/>
  <c r="Z29" i="75"/>
  <c r="Z28" i="75"/>
  <c r="X26" i="75"/>
  <c r="U26" i="75"/>
  <c r="L108" i="75"/>
  <c r="Z12" i="75"/>
  <c r="L107" i="75"/>
  <c r="L106" i="75"/>
  <c r="L105" i="75"/>
  <c r="L104" i="75"/>
  <c r="L26" i="90" s="1"/>
  <c r="X7" i="75"/>
  <c r="U7" i="75"/>
  <c r="AE69" i="22"/>
  <c r="AD69" i="22" s="1"/>
  <c r="Y69" i="22"/>
  <c r="X69" i="22"/>
  <c r="W69" i="22"/>
  <c r="V69" i="22"/>
  <c r="U69" i="22"/>
  <c r="I69" i="22"/>
  <c r="H69" i="22"/>
  <c r="G69" i="22"/>
  <c r="F69" i="22"/>
  <c r="E69" i="22"/>
  <c r="D69" i="22"/>
  <c r="AE68" i="22"/>
  <c r="AD68" i="22" s="1"/>
  <c r="Y68" i="22"/>
  <c r="X68" i="22"/>
  <c r="W68" i="22"/>
  <c r="V68" i="22"/>
  <c r="U68" i="22"/>
  <c r="I68" i="22"/>
  <c r="H68" i="22"/>
  <c r="G68" i="22"/>
  <c r="F68" i="22"/>
  <c r="E68" i="22"/>
  <c r="D68" i="22"/>
  <c r="Z70" i="22"/>
  <c r="AB69" i="22"/>
  <c r="Z69" i="22"/>
  <c r="AB68" i="22"/>
  <c r="Z68" i="22"/>
  <c r="AB67" i="22"/>
  <c r="Z67" i="22"/>
  <c r="E28" i="75"/>
  <c r="AE28" i="22"/>
  <c r="Y28" i="22"/>
  <c r="X28" i="22"/>
  <c r="W28" i="22"/>
  <c r="V28" i="22"/>
  <c r="U28" i="22"/>
  <c r="N28" i="22"/>
  <c r="I28" i="22"/>
  <c r="H28" i="22"/>
  <c r="G28" i="22"/>
  <c r="F28" i="22"/>
  <c r="E28" i="22"/>
  <c r="D70" i="85"/>
  <c r="Y70" i="85"/>
  <c r="X70" i="85"/>
  <c r="W70" i="85"/>
  <c r="V70" i="85"/>
  <c r="U70" i="85"/>
  <c r="I70" i="85"/>
  <c r="H70" i="85"/>
  <c r="G70" i="85"/>
  <c r="F70" i="85"/>
  <c r="E70" i="85"/>
  <c r="AE70" i="85"/>
  <c r="Y70" i="79"/>
  <c r="X70" i="79"/>
  <c r="W70" i="79"/>
  <c r="V70" i="79"/>
  <c r="U70" i="79"/>
  <c r="I70" i="79"/>
  <c r="H70" i="79"/>
  <c r="G70" i="79"/>
  <c r="F70" i="79"/>
  <c r="E70" i="79"/>
  <c r="AE70" i="79"/>
  <c r="D70" i="79"/>
  <c r="Y67" i="85"/>
  <c r="X67" i="85"/>
  <c r="W67" i="85"/>
  <c r="V67" i="85"/>
  <c r="U67" i="85"/>
  <c r="I67" i="85"/>
  <c r="H67" i="85"/>
  <c r="G67" i="85"/>
  <c r="F67" i="85"/>
  <c r="E67" i="85"/>
  <c r="AE67" i="85"/>
  <c r="D67" i="85"/>
  <c r="Y66" i="75"/>
  <c r="X66" i="75"/>
  <c r="W66" i="75"/>
  <c r="V66" i="75"/>
  <c r="U66" i="75"/>
  <c r="I66" i="75"/>
  <c r="H66" i="75"/>
  <c r="G66" i="75"/>
  <c r="F66" i="75"/>
  <c r="E66" i="75"/>
  <c r="AE66" i="75"/>
  <c r="D66" i="75"/>
  <c r="AE66" i="86"/>
  <c r="AA32" i="86"/>
  <c r="X32" i="86"/>
  <c r="W32" i="86"/>
  <c r="V32" i="86"/>
  <c r="N32" i="86"/>
  <c r="AB32" i="86" s="1"/>
  <c r="I32" i="86"/>
  <c r="H32" i="86"/>
  <c r="G32" i="86"/>
  <c r="F32" i="86"/>
  <c r="E32" i="86"/>
  <c r="AE32" i="86"/>
  <c r="AD32" i="86" s="1"/>
  <c r="D32" i="86"/>
  <c r="AA32" i="85"/>
  <c r="Y32" i="85"/>
  <c r="X32" i="85"/>
  <c r="W32" i="85"/>
  <c r="V32" i="85"/>
  <c r="U32" i="85"/>
  <c r="N32" i="85"/>
  <c r="I32" i="85"/>
  <c r="H32" i="85"/>
  <c r="G32" i="85"/>
  <c r="F32" i="85"/>
  <c r="E32" i="85"/>
  <c r="AE32" i="85"/>
  <c r="D32" i="85"/>
  <c r="AE32" i="79"/>
  <c r="D32" i="79"/>
  <c r="AA32" i="75"/>
  <c r="Y32" i="75"/>
  <c r="X32" i="75"/>
  <c r="W32" i="75"/>
  <c r="V32" i="75"/>
  <c r="U32" i="75"/>
  <c r="N32" i="75"/>
  <c r="AB32" i="75" s="1"/>
  <c r="I32" i="75"/>
  <c r="H32" i="75"/>
  <c r="G32" i="75"/>
  <c r="F32" i="75"/>
  <c r="E32" i="75"/>
  <c r="AE32" i="75"/>
  <c r="AD32" i="75" s="1"/>
  <c r="D32" i="75"/>
  <c r="AA31" i="86"/>
  <c r="W31" i="86"/>
  <c r="V31" i="86"/>
  <c r="I31" i="86"/>
  <c r="H31" i="86"/>
  <c r="G31" i="86"/>
  <c r="F31" i="86"/>
  <c r="E31" i="86"/>
  <c r="AE31" i="86"/>
  <c r="AD31" i="86" s="1"/>
  <c r="D31" i="86"/>
  <c r="AA31" i="85"/>
  <c r="Y31" i="85"/>
  <c r="X31" i="85"/>
  <c r="W31" i="85"/>
  <c r="V31" i="85"/>
  <c r="U31" i="85"/>
  <c r="N31" i="85"/>
  <c r="I31" i="85"/>
  <c r="H31" i="85"/>
  <c r="G31" i="85"/>
  <c r="F31" i="85"/>
  <c r="E31" i="85"/>
  <c r="AE31" i="85"/>
  <c r="D31" i="85"/>
  <c r="AA31" i="75"/>
  <c r="Y31" i="75"/>
  <c r="X31" i="75"/>
  <c r="W31" i="75"/>
  <c r="V31" i="75"/>
  <c r="U31" i="75"/>
  <c r="N31" i="75"/>
  <c r="AB31" i="75" s="1"/>
  <c r="I31" i="75"/>
  <c r="H31" i="75"/>
  <c r="G31" i="75"/>
  <c r="F31" i="75"/>
  <c r="E31" i="75"/>
  <c r="AE31" i="75"/>
  <c r="AD31" i="75" s="1"/>
  <c r="D31" i="75"/>
  <c r="AA30" i="86"/>
  <c r="Y30" i="86"/>
  <c r="V30" i="86"/>
  <c r="U30" i="86"/>
  <c r="H30" i="86"/>
  <c r="G30" i="86"/>
  <c r="D30" i="86"/>
  <c r="AA30" i="85"/>
  <c r="Y30" i="85"/>
  <c r="X30" i="85"/>
  <c r="W30" i="85"/>
  <c r="V30" i="85"/>
  <c r="U30" i="85"/>
  <c r="N30" i="85"/>
  <c r="AB30" i="85" s="1"/>
  <c r="I30" i="85"/>
  <c r="H30" i="85"/>
  <c r="G30" i="85"/>
  <c r="F30" i="85"/>
  <c r="E30" i="85"/>
  <c r="AE30" i="85"/>
  <c r="AD30" i="85" s="1"/>
  <c r="D30" i="85"/>
  <c r="AA30" i="75"/>
  <c r="Y30" i="75"/>
  <c r="X30" i="75"/>
  <c r="W30" i="75"/>
  <c r="V30" i="75"/>
  <c r="U30" i="75"/>
  <c r="N30" i="75"/>
  <c r="AB30" i="75" s="1"/>
  <c r="I30" i="75"/>
  <c r="H30" i="75"/>
  <c r="G30" i="75"/>
  <c r="F30" i="75"/>
  <c r="E30" i="75"/>
  <c r="AE30" i="75"/>
  <c r="AD30" i="75" s="1"/>
  <c r="D30" i="75"/>
  <c r="AA30" i="22"/>
  <c r="Y30" i="22"/>
  <c r="X30" i="22"/>
  <c r="W30" i="22"/>
  <c r="V30" i="22"/>
  <c r="U30" i="22"/>
  <c r="N30" i="22"/>
  <c r="I30" i="22"/>
  <c r="H30" i="22"/>
  <c r="G30" i="22"/>
  <c r="F30" i="22"/>
  <c r="E30" i="22"/>
  <c r="AE30" i="22"/>
  <c r="D30" i="22"/>
  <c r="AA29" i="86"/>
  <c r="Y29" i="86"/>
  <c r="X29" i="86"/>
  <c r="W29" i="86"/>
  <c r="V29" i="86"/>
  <c r="U29" i="86"/>
  <c r="N29" i="86"/>
  <c r="AB29" i="86" s="1"/>
  <c r="I29" i="86"/>
  <c r="H29" i="86"/>
  <c r="G29" i="86"/>
  <c r="F29" i="86"/>
  <c r="E29" i="86"/>
  <c r="AE29" i="86"/>
  <c r="AD29" i="86" s="1"/>
  <c r="D29" i="86"/>
  <c r="AA29" i="85"/>
  <c r="Y29" i="85"/>
  <c r="X29" i="85"/>
  <c r="W29" i="85"/>
  <c r="V29" i="85"/>
  <c r="U29" i="85"/>
  <c r="N29" i="85"/>
  <c r="AB29" i="85" s="1"/>
  <c r="I29" i="85"/>
  <c r="H29" i="85"/>
  <c r="G29" i="85"/>
  <c r="F29" i="85"/>
  <c r="E29" i="85"/>
  <c r="AE29" i="85"/>
  <c r="AD29" i="85" s="1"/>
  <c r="D29" i="85"/>
  <c r="AA29" i="75"/>
  <c r="Y29" i="75"/>
  <c r="X29" i="75"/>
  <c r="W29" i="75"/>
  <c r="V29" i="75"/>
  <c r="U29" i="75"/>
  <c r="N29" i="75"/>
  <c r="AB29" i="75" s="1"/>
  <c r="I29" i="75"/>
  <c r="H29" i="75"/>
  <c r="G29" i="75"/>
  <c r="F29" i="75"/>
  <c r="E29" i="75"/>
  <c r="AE29" i="75"/>
  <c r="AD29" i="75" s="1"/>
  <c r="D29" i="75"/>
  <c r="AA29" i="22"/>
  <c r="Y29" i="22"/>
  <c r="X29" i="22"/>
  <c r="W29" i="22"/>
  <c r="V29" i="22"/>
  <c r="U29" i="22"/>
  <c r="N29" i="22"/>
  <c r="I29" i="22"/>
  <c r="H29" i="22"/>
  <c r="G29" i="22"/>
  <c r="F29" i="22"/>
  <c r="E29" i="22"/>
  <c r="AE29" i="22"/>
  <c r="D29" i="22"/>
  <c r="AA28" i="86"/>
  <c r="Y28" i="86"/>
  <c r="X28" i="86"/>
  <c r="W28" i="86"/>
  <c r="V28" i="86"/>
  <c r="U28" i="86"/>
  <c r="H28" i="86"/>
  <c r="G28" i="86"/>
  <c r="D28" i="86"/>
  <c r="Y28" i="85"/>
  <c r="X28" i="85"/>
  <c r="W28" i="85"/>
  <c r="V28" i="85"/>
  <c r="U28" i="85"/>
  <c r="N28" i="85"/>
  <c r="I28" i="85"/>
  <c r="H28" i="85"/>
  <c r="G28" i="85"/>
  <c r="F28" i="85"/>
  <c r="E28" i="85"/>
  <c r="AE28" i="85"/>
  <c r="D28" i="85"/>
  <c r="AA28" i="75"/>
  <c r="Y28" i="75"/>
  <c r="X28" i="75"/>
  <c r="W28" i="75"/>
  <c r="V28" i="75"/>
  <c r="U28" i="75"/>
  <c r="N28" i="75"/>
  <c r="I28" i="75"/>
  <c r="H28" i="75"/>
  <c r="G28" i="75"/>
  <c r="F28" i="75"/>
  <c r="AE28" i="75"/>
  <c r="D28" i="75"/>
  <c r="D28" i="22"/>
  <c r="Y51" i="85"/>
  <c r="X51" i="85"/>
  <c r="W51" i="85"/>
  <c r="V51" i="85"/>
  <c r="U51" i="85"/>
  <c r="N51" i="85"/>
  <c r="I51" i="85"/>
  <c r="H51" i="85"/>
  <c r="G51" i="85"/>
  <c r="F51" i="85"/>
  <c r="E51" i="85"/>
  <c r="AE51" i="85"/>
  <c r="D51" i="85"/>
  <c r="Y13" i="85"/>
  <c r="X13" i="85"/>
  <c r="W13" i="85"/>
  <c r="V13" i="85"/>
  <c r="U13" i="85"/>
  <c r="N13" i="85"/>
  <c r="I13" i="85"/>
  <c r="H13" i="85"/>
  <c r="G13" i="85"/>
  <c r="F13" i="85"/>
  <c r="E13" i="85"/>
  <c r="D13" i="85"/>
  <c r="AE51" i="79"/>
  <c r="Y51" i="79"/>
  <c r="X51" i="79"/>
  <c r="W51" i="79"/>
  <c r="V51" i="79"/>
  <c r="U51" i="79"/>
  <c r="N51" i="79"/>
  <c r="I51" i="79"/>
  <c r="H51" i="79"/>
  <c r="G51" i="79"/>
  <c r="F51" i="79"/>
  <c r="E51" i="79"/>
  <c r="D51" i="79"/>
  <c r="Y13" i="79"/>
  <c r="X13" i="79"/>
  <c r="W13" i="79"/>
  <c r="V13" i="79"/>
  <c r="U13" i="79"/>
  <c r="N13" i="79"/>
  <c r="I13" i="79"/>
  <c r="H13" i="79"/>
  <c r="G13" i="79"/>
  <c r="F13" i="79"/>
  <c r="E13" i="79"/>
  <c r="AE13" i="79"/>
  <c r="D13" i="79"/>
  <c r="Y13" i="75"/>
  <c r="X13" i="75"/>
  <c r="W13" i="75"/>
  <c r="V13" i="75"/>
  <c r="U13" i="75"/>
  <c r="N13" i="75"/>
  <c r="I13" i="75"/>
  <c r="H13" i="75"/>
  <c r="G13" i="75"/>
  <c r="F13" i="75"/>
  <c r="E13" i="75"/>
  <c r="D13" i="75"/>
  <c r="Y13" i="22"/>
  <c r="X13" i="22"/>
  <c r="W13" i="22"/>
  <c r="V13" i="22"/>
  <c r="U13" i="22"/>
  <c r="I13" i="22"/>
  <c r="H13" i="22"/>
  <c r="G13" i="22"/>
  <c r="F13" i="22"/>
  <c r="E13" i="22"/>
  <c r="D13" i="22"/>
  <c r="Y12" i="85"/>
  <c r="X12" i="85"/>
  <c r="W12" i="85"/>
  <c r="V12" i="85"/>
  <c r="U12" i="85"/>
  <c r="N12" i="85"/>
  <c r="I12" i="85"/>
  <c r="H12" i="85"/>
  <c r="G12" i="85"/>
  <c r="F12" i="85"/>
  <c r="E12" i="85"/>
  <c r="D12" i="85"/>
  <c r="E12" i="75"/>
  <c r="D12" i="75"/>
  <c r="E12" i="22"/>
  <c r="D12" i="22"/>
  <c r="AE104" i="75" l="1"/>
  <c r="I17" i="56"/>
  <c r="I18" i="56" s="1"/>
  <c r="D145" i="97"/>
  <c r="L145" i="97" s="1"/>
  <c r="M145" i="97" s="1"/>
  <c r="D128" i="79"/>
  <c r="O33" i="36"/>
  <c r="D131" i="97"/>
  <c r="L127" i="79"/>
  <c r="L37" i="91" s="1"/>
  <c r="L128" i="79"/>
  <c r="L38" i="91" s="1"/>
  <c r="L129" i="79"/>
  <c r="L34" i="81" s="1"/>
  <c r="K127" i="79"/>
  <c r="K32" i="81" s="1"/>
  <c r="K128" i="79"/>
  <c r="K129" i="79"/>
  <c r="K34" i="81" s="1"/>
  <c r="L125" i="79"/>
  <c r="K126" i="79"/>
  <c r="K31" i="81" s="1"/>
  <c r="L126" i="79"/>
  <c r="J125" i="79"/>
  <c r="J30" i="81" s="1"/>
  <c r="J129" i="79"/>
  <c r="J34" i="81" s="1"/>
  <c r="E3" i="36"/>
  <c r="G24" i="36"/>
  <c r="C15" i="83"/>
  <c r="D23" i="36"/>
  <c r="C15" i="77"/>
  <c r="D20" i="36"/>
  <c r="K29" i="22"/>
  <c r="K28" i="22"/>
  <c r="F143" i="22"/>
  <c r="D104" i="86"/>
  <c r="D93" i="90" s="1"/>
  <c r="D101" i="79"/>
  <c r="D6" i="81" s="1"/>
  <c r="D25" i="79"/>
  <c r="F142" i="22"/>
  <c r="F144" i="22"/>
  <c r="F145" i="85"/>
  <c r="J127" i="22"/>
  <c r="J8" i="91" s="1"/>
  <c r="G144" i="22"/>
  <c r="J128" i="22"/>
  <c r="J9" i="91" s="1"/>
  <c r="G145" i="22"/>
  <c r="D44" i="79"/>
  <c r="D82" i="79"/>
  <c r="L34" i="76"/>
  <c r="L25" i="91"/>
  <c r="L13" i="76"/>
  <c r="L30" i="90"/>
  <c r="K3" i="77"/>
  <c r="D21" i="91"/>
  <c r="L11" i="81"/>
  <c r="L45" i="90"/>
  <c r="L9" i="88"/>
  <c r="L93" i="90"/>
  <c r="K33" i="88"/>
  <c r="K80" i="91"/>
  <c r="L12" i="81"/>
  <c r="L46" i="90"/>
  <c r="L11" i="82"/>
  <c r="L78" i="90"/>
  <c r="J10" i="88"/>
  <c r="J94" i="90"/>
  <c r="K32" i="82"/>
  <c r="K65" i="91"/>
  <c r="L12" i="82"/>
  <c r="L79" i="90"/>
  <c r="L11" i="88"/>
  <c r="L95" i="90"/>
  <c r="L31" i="88"/>
  <c r="L78" i="91"/>
  <c r="L10" i="82"/>
  <c r="L77" i="90"/>
  <c r="K7" i="77"/>
  <c r="D25" i="91"/>
  <c r="L13" i="82"/>
  <c r="L80" i="90"/>
  <c r="L32" i="88"/>
  <c r="L79" i="91"/>
  <c r="L32" i="82"/>
  <c r="L65" i="91"/>
  <c r="L12" i="88"/>
  <c r="L96" i="90"/>
  <c r="K7" i="87"/>
  <c r="D81" i="91"/>
  <c r="L33" i="88"/>
  <c r="L80" i="91"/>
  <c r="K34" i="88"/>
  <c r="K81" i="91"/>
  <c r="L10" i="81"/>
  <c r="L44" i="90"/>
  <c r="J13" i="88"/>
  <c r="J97" i="90"/>
  <c r="K31" i="88"/>
  <c r="K78" i="91"/>
  <c r="L34" i="88"/>
  <c r="L81" i="91"/>
  <c r="J9" i="88"/>
  <c r="J93" i="90"/>
  <c r="L13" i="88"/>
  <c r="L97" i="90"/>
  <c r="K32" i="88"/>
  <c r="K79" i="91"/>
  <c r="K34" i="82"/>
  <c r="K67" i="91"/>
  <c r="K33" i="82"/>
  <c r="K66" i="91"/>
  <c r="L33" i="82"/>
  <c r="L66" i="91"/>
  <c r="L33" i="76"/>
  <c r="L24" i="91"/>
  <c r="L32" i="76"/>
  <c r="L23" i="91"/>
  <c r="L31" i="76"/>
  <c r="L22" i="91"/>
  <c r="J33" i="88"/>
  <c r="J80" i="91"/>
  <c r="J34" i="88"/>
  <c r="J81" i="91"/>
  <c r="J31" i="88"/>
  <c r="J78" i="91"/>
  <c r="K6" i="77"/>
  <c r="D24" i="91"/>
  <c r="D32" i="82"/>
  <c r="D65" i="91"/>
  <c r="K5" i="77"/>
  <c r="D23" i="91"/>
  <c r="L12" i="76"/>
  <c r="L29" i="90"/>
  <c r="L11" i="76"/>
  <c r="L28" i="90"/>
  <c r="L10" i="76"/>
  <c r="L27" i="90"/>
  <c r="H125" i="86"/>
  <c r="K26" i="79"/>
  <c r="Y26" i="79" s="1"/>
  <c r="K131" i="85"/>
  <c r="K69" i="91" s="1"/>
  <c r="K31" i="82"/>
  <c r="L131" i="86"/>
  <c r="L83" i="91" s="1"/>
  <c r="L30" i="88"/>
  <c r="H125" i="79"/>
  <c r="H128" i="85"/>
  <c r="H129" i="75"/>
  <c r="H129" i="85"/>
  <c r="G128" i="86"/>
  <c r="L131" i="75"/>
  <c r="L27" i="91" s="1"/>
  <c r="L30" i="76"/>
  <c r="L131" i="85"/>
  <c r="L69" i="91" s="1"/>
  <c r="L30" i="82"/>
  <c r="G126" i="86"/>
  <c r="K131" i="86"/>
  <c r="K83" i="91" s="1"/>
  <c r="H127" i="79"/>
  <c r="H129" i="79"/>
  <c r="M6" i="77"/>
  <c r="J128" i="75"/>
  <c r="M5" i="77"/>
  <c r="J127" i="75"/>
  <c r="M4" i="80"/>
  <c r="J126" i="79"/>
  <c r="M3" i="87"/>
  <c r="J125" i="86"/>
  <c r="M5" i="87"/>
  <c r="J127" i="86"/>
  <c r="M5" i="80"/>
  <c r="J127" i="79"/>
  <c r="G144" i="85"/>
  <c r="J127" i="85"/>
  <c r="M7" i="77"/>
  <c r="J129" i="75"/>
  <c r="M6" i="80"/>
  <c r="J128" i="79"/>
  <c r="G145" i="85"/>
  <c r="J128" i="85"/>
  <c r="M7" i="83"/>
  <c r="J129" i="85"/>
  <c r="M4" i="77"/>
  <c r="J126" i="75"/>
  <c r="M4" i="83"/>
  <c r="J126" i="85"/>
  <c r="M3" i="83"/>
  <c r="J125" i="85"/>
  <c r="M3" i="77"/>
  <c r="J125" i="75"/>
  <c r="M3" i="80"/>
  <c r="H125" i="75"/>
  <c r="H127" i="85"/>
  <c r="H126" i="85"/>
  <c r="H128" i="86"/>
  <c r="H129" i="86"/>
  <c r="H128" i="75"/>
  <c r="H126" i="75"/>
  <c r="H126" i="86"/>
  <c r="H127" i="75"/>
  <c r="H127" i="86"/>
  <c r="H126" i="79"/>
  <c r="H128" i="79"/>
  <c r="H125" i="85"/>
  <c r="G126" i="75"/>
  <c r="G128" i="75"/>
  <c r="G24" i="91" s="1"/>
  <c r="G126" i="79"/>
  <c r="G128" i="79"/>
  <c r="G128" i="85"/>
  <c r="G125" i="86"/>
  <c r="G127" i="86"/>
  <c r="G129" i="86"/>
  <c r="G129" i="85"/>
  <c r="G129" i="79"/>
  <c r="G127" i="75"/>
  <c r="G129" i="75"/>
  <c r="G25" i="91" s="1"/>
  <c r="G127" i="79"/>
  <c r="G125" i="85"/>
  <c r="G125" i="75"/>
  <c r="G125" i="79"/>
  <c r="G26" i="85"/>
  <c r="V26" i="85" s="1"/>
  <c r="V7" i="85"/>
  <c r="N60" i="85"/>
  <c r="AD60" i="85" s="1"/>
  <c r="G102" i="85"/>
  <c r="V102" i="85" s="1"/>
  <c r="E36" i="82"/>
  <c r="E45" i="82" s="1"/>
  <c r="Y107" i="79"/>
  <c r="G122" i="85"/>
  <c r="H125" i="22"/>
  <c r="K142" i="22" s="1"/>
  <c r="N79" i="79"/>
  <c r="AD79" i="79" s="1"/>
  <c r="N98" i="79"/>
  <c r="AD98" i="79" s="1"/>
  <c r="G143" i="79"/>
  <c r="N107" i="79"/>
  <c r="V7" i="86"/>
  <c r="D63" i="85"/>
  <c r="AD3" i="85"/>
  <c r="G45" i="85"/>
  <c r="V45" i="85" s="1"/>
  <c r="G64" i="85"/>
  <c r="V64" i="85" s="1"/>
  <c r="N41" i="79"/>
  <c r="AD41" i="79" s="1"/>
  <c r="D64" i="79"/>
  <c r="D25" i="85"/>
  <c r="N98" i="85"/>
  <c r="AD98" i="85" s="1"/>
  <c r="M117" i="85"/>
  <c r="N22" i="82" s="1"/>
  <c r="G143" i="86"/>
  <c r="M4" i="87"/>
  <c r="G145" i="86"/>
  <c r="M6" i="87"/>
  <c r="G146" i="86"/>
  <c r="M7" i="87"/>
  <c r="V7" i="79"/>
  <c r="G26" i="79"/>
  <c r="V26" i="79" s="1"/>
  <c r="G83" i="79"/>
  <c r="V83" i="79" s="1"/>
  <c r="G122" i="79"/>
  <c r="H27" i="81" s="1"/>
  <c r="G45" i="79"/>
  <c r="V45" i="79" s="1"/>
  <c r="G64" i="79"/>
  <c r="V64" i="79" s="1"/>
  <c r="K122" i="79"/>
  <c r="K27" i="81" s="1"/>
  <c r="K64" i="79"/>
  <c r="Y64" i="79" s="1"/>
  <c r="D45" i="79"/>
  <c r="D102" i="79"/>
  <c r="D7" i="81" s="1"/>
  <c r="Y7" i="79"/>
  <c r="D83" i="79"/>
  <c r="K83" i="79"/>
  <c r="Y83" i="79" s="1"/>
  <c r="V107" i="79"/>
  <c r="H105" i="79"/>
  <c r="N22" i="85"/>
  <c r="AD22" i="85" s="1"/>
  <c r="N41" i="85"/>
  <c r="AD41" i="85" s="1"/>
  <c r="M117" i="79"/>
  <c r="AD3" i="79"/>
  <c r="N22" i="79"/>
  <c r="AD22" i="79" s="1"/>
  <c r="K122" i="85"/>
  <c r="K27" i="82" s="1"/>
  <c r="K45" i="79"/>
  <c r="Y45" i="79" s="1"/>
  <c r="D44" i="86"/>
  <c r="K45" i="85"/>
  <c r="Y45" i="85" s="1"/>
  <c r="Y7" i="85"/>
  <c r="D102" i="85"/>
  <c r="D7" i="82" s="1"/>
  <c r="K64" i="85"/>
  <c r="Y64" i="85" s="1"/>
  <c r="AA105" i="79"/>
  <c r="E131" i="79"/>
  <c r="AD3" i="86"/>
  <c r="D105" i="79"/>
  <c r="AA107" i="79"/>
  <c r="W105" i="79"/>
  <c r="AE107" i="79"/>
  <c r="W71" i="79"/>
  <c r="U107" i="79"/>
  <c r="E105" i="79"/>
  <c r="X105" i="79"/>
  <c r="AE71" i="75"/>
  <c r="G144" i="79"/>
  <c r="AE52" i="86"/>
  <c r="D25" i="86"/>
  <c r="D101" i="86"/>
  <c r="D124" i="90" s="1"/>
  <c r="G64" i="86"/>
  <c r="V64" i="86" s="1"/>
  <c r="G83" i="86"/>
  <c r="V83" i="86" s="1"/>
  <c r="N79" i="86"/>
  <c r="AD79" i="86" s="1"/>
  <c r="Z90" i="86"/>
  <c r="G145" i="75"/>
  <c r="I105" i="79"/>
  <c r="AE105" i="79"/>
  <c r="E107" i="79"/>
  <c r="W107" i="79"/>
  <c r="G144" i="75"/>
  <c r="L109" i="85"/>
  <c r="L81" i="90" s="1"/>
  <c r="D83" i="86"/>
  <c r="R26" i="56"/>
  <c r="AF68" i="75"/>
  <c r="AB71" i="75"/>
  <c r="K70" i="86"/>
  <c r="M70" i="86" s="1"/>
  <c r="O70" i="86" s="1"/>
  <c r="E36" i="88"/>
  <c r="M117" i="75"/>
  <c r="N22" i="76" s="1"/>
  <c r="N60" i="86"/>
  <c r="AD60" i="86" s="1"/>
  <c r="N98" i="86"/>
  <c r="M117" i="86"/>
  <c r="N22" i="86"/>
  <c r="AD22" i="86" s="1"/>
  <c r="K45" i="86"/>
  <c r="Y45" i="86" s="1"/>
  <c r="K26" i="86"/>
  <c r="Y26" i="86" s="1"/>
  <c r="G102" i="86"/>
  <c r="G122" i="86"/>
  <c r="G26" i="86"/>
  <c r="V26" i="86" s="1"/>
  <c r="D82" i="86"/>
  <c r="D127" i="79"/>
  <c r="D125" i="86"/>
  <c r="R8" i="56"/>
  <c r="R9" i="56" s="1"/>
  <c r="G143" i="75"/>
  <c r="E131" i="86"/>
  <c r="E83" i="91" s="1"/>
  <c r="AF67" i="75"/>
  <c r="Z71" i="86"/>
  <c r="E71" i="86"/>
  <c r="H71" i="79"/>
  <c r="I26" i="56"/>
  <c r="N105" i="79"/>
  <c r="F107" i="79"/>
  <c r="X107" i="79"/>
  <c r="AB71" i="85"/>
  <c r="G4" i="87"/>
  <c r="Z90" i="75"/>
  <c r="L9" i="82"/>
  <c r="G5" i="87"/>
  <c r="V105" i="79"/>
  <c r="I107" i="79"/>
  <c r="I71" i="86"/>
  <c r="AB71" i="79"/>
  <c r="Z71" i="79"/>
  <c r="D64" i="86"/>
  <c r="F26" i="56"/>
  <c r="AE33" i="75"/>
  <c r="H71" i="75"/>
  <c r="W71" i="75"/>
  <c r="G146" i="75"/>
  <c r="G71" i="85"/>
  <c r="V71" i="85"/>
  <c r="AA71" i="85"/>
  <c r="E71" i="75"/>
  <c r="I71" i="75"/>
  <c r="X71" i="75"/>
  <c r="E71" i="79"/>
  <c r="I71" i="79"/>
  <c r="X71" i="79"/>
  <c r="AF69" i="75"/>
  <c r="G145" i="79"/>
  <c r="F105" i="79"/>
  <c r="M6" i="83"/>
  <c r="K68" i="86"/>
  <c r="M68" i="86" s="1"/>
  <c r="O68" i="86" s="1"/>
  <c r="G71" i="86"/>
  <c r="AD70" i="85"/>
  <c r="AF70" i="85" s="1"/>
  <c r="F71" i="75"/>
  <c r="U71" i="75"/>
  <c r="Y71" i="75"/>
  <c r="F71" i="79"/>
  <c r="Y71" i="79"/>
  <c r="AF70" i="75"/>
  <c r="G142" i="79"/>
  <c r="AF67" i="79"/>
  <c r="AF68" i="79"/>
  <c r="AF69" i="79"/>
  <c r="G105" i="79"/>
  <c r="U105" i="79"/>
  <c r="Y105" i="79"/>
  <c r="G107" i="79"/>
  <c r="M5" i="83"/>
  <c r="G142" i="86"/>
  <c r="W71" i="86"/>
  <c r="G71" i="75"/>
  <c r="V71" i="75"/>
  <c r="AA71" i="75"/>
  <c r="G71" i="79"/>
  <c r="V71" i="79"/>
  <c r="AA71" i="79"/>
  <c r="D107" i="79"/>
  <c r="H107" i="79"/>
  <c r="AE71" i="85"/>
  <c r="AD67" i="85"/>
  <c r="AF67" i="85" s="1"/>
  <c r="AB31" i="85"/>
  <c r="AD31" i="85"/>
  <c r="V33" i="79"/>
  <c r="F33" i="75"/>
  <c r="N33" i="75"/>
  <c r="X33" i="75"/>
  <c r="V33" i="86"/>
  <c r="E4" i="77"/>
  <c r="E6" i="77"/>
  <c r="E3" i="77"/>
  <c r="E5" i="77"/>
  <c r="E7" i="77"/>
  <c r="I33" i="75"/>
  <c r="W33" i="75"/>
  <c r="H33" i="79"/>
  <c r="E4" i="83"/>
  <c r="E5" i="83"/>
  <c r="E33" i="75"/>
  <c r="E7" i="83"/>
  <c r="H33" i="75"/>
  <c r="V33" i="75"/>
  <c r="AA33" i="75"/>
  <c r="F33" i="85"/>
  <c r="N33" i="85"/>
  <c r="X33" i="85"/>
  <c r="AB32" i="85"/>
  <c r="F33" i="79"/>
  <c r="N33" i="79"/>
  <c r="X33" i="79"/>
  <c r="E6" i="83"/>
  <c r="E3" i="83"/>
  <c r="Z33" i="79"/>
  <c r="E4" i="80"/>
  <c r="E6" i="80"/>
  <c r="K32" i="86"/>
  <c r="M32" i="86" s="1"/>
  <c r="O32" i="86" s="1"/>
  <c r="AE33" i="85"/>
  <c r="AD32" i="85"/>
  <c r="AA33" i="79"/>
  <c r="G33" i="79"/>
  <c r="U33" i="79"/>
  <c r="Y33" i="79"/>
  <c r="E33" i="79"/>
  <c r="I33" i="79"/>
  <c r="W33" i="79"/>
  <c r="AF31" i="86"/>
  <c r="Z33" i="75"/>
  <c r="E3" i="80"/>
  <c r="E5" i="80"/>
  <c r="H33" i="86"/>
  <c r="G33" i="75"/>
  <c r="Y33" i="75"/>
  <c r="G33" i="85"/>
  <c r="U33" i="85"/>
  <c r="Y33" i="85"/>
  <c r="AF30" i="79"/>
  <c r="Z33" i="86"/>
  <c r="AA33" i="86"/>
  <c r="F33" i="86"/>
  <c r="X33" i="86"/>
  <c r="F52" i="86"/>
  <c r="X52" i="86"/>
  <c r="N52" i="75"/>
  <c r="AE108" i="75"/>
  <c r="U52" i="75"/>
  <c r="Y52" i="75"/>
  <c r="E52" i="75"/>
  <c r="F107" i="86"/>
  <c r="F96" i="90" s="1"/>
  <c r="K50" i="86"/>
  <c r="M50" i="86" s="1"/>
  <c r="O50" i="86" s="1"/>
  <c r="F108" i="75"/>
  <c r="F30" i="90" s="1"/>
  <c r="N108" i="75"/>
  <c r="X108" i="75"/>
  <c r="K12" i="86"/>
  <c r="M12" i="86" s="1"/>
  <c r="O12" i="86" s="1"/>
  <c r="AA107" i="86"/>
  <c r="G108" i="75"/>
  <c r="U108" i="75"/>
  <c r="Y108" i="75"/>
  <c r="U107" i="86"/>
  <c r="Y107" i="86"/>
  <c r="H52" i="79"/>
  <c r="V52" i="79"/>
  <c r="Y52" i="86"/>
  <c r="H52" i="75"/>
  <c r="V52" i="75"/>
  <c r="AD51" i="85"/>
  <c r="AA52" i="75"/>
  <c r="F52" i="75"/>
  <c r="X52" i="75"/>
  <c r="I52" i="75"/>
  <c r="W52" i="75"/>
  <c r="AE52" i="75"/>
  <c r="G52" i="75"/>
  <c r="E108" i="75"/>
  <c r="E30" i="90" s="1"/>
  <c r="I108" i="75"/>
  <c r="W108" i="75"/>
  <c r="F52" i="79"/>
  <c r="V108" i="86"/>
  <c r="AB48" i="75"/>
  <c r="AF48" i="75" s="1"/>
  <c r="AB50" i="75"/>
  <c r="AF50" i="75" s="1"/>
  <c r="AB47" i="86"/>
  <c r="AB52" i="86" s="1"/>
  <c r="AF50" i="86"/>
  <c r="V107" i="86"/>
  <c r="AB51" i="85"/>
  <c r="G52" i="79"/>
  <c r="Y52" i="79"/>
  <c r="AF49" i="79"/>
  <c r="Z108" i="86"/>
  <c r="Z52" i="86"/>
  <c r="K48" i="86"/>
  <c r="M48" i="86" s="1"/>
  <c r="O48" i="86" s="1"/>
  <c r="G52" i="86"/>
  <c r="D108" i="75"/>
  <c r="AF50" i="79"/>
  <c r="Y104" i="86"/>
  <c r="K51" i="86"/>
  <c r="M51" i="86" s="1"/>
  <c r="O51" i="86" s="1"/>
  <c r="H108" i="75"/>
  <c r="V108" i="75"/>
  <c r="E52" i="79"/>
  <c r="I52" i="79"/>
  <c r="W52" i="79"/>
  <c r="G108" i="86"/>
  <c r="I8" i="56"/>
  <c r="I9" i="56" s="1"/>
  <c r="F8" i="56"/>
  <c r="F9" i="56" s="1"/>
  <c r="D32" i="88"/>
  <c r="K5" i="87"/>
  <c r="K6" i="87"/>
  <c r="D33" i="88"/>
  <c r="D30" i="82"/>
  <c r="K3" i="83"/>
  <c r="D34" i="82"/>
  <c r="K7" i="83"/>
  <c r="D33" i="82"/>
  <c r="K6" i="83"/>
  <c r="D31" i="82"/>
  <c r="K4" i="83"/>
  <c r="D31" i="88"/>
  <c r="K4" i="87"/>
  <c r="D126" i="75"/>
  <c r="K5" i="83"/>
  <c r="D34" i="88"/>
  <c r="L8" i="87"/>
  <c r="E35" i="81"/>
  <c r="K64" i="75"/>
  <c r="Y64" i="75" s="1"/>
  <c r="Y7" i="86"/>
  <c r="K64" i="86"/>
  <c r="Y64" i="86" s="1"/>
  <c r="K83" i="86"/>
  <c r="Y83" i="86" s="1"/>
  <c r="K102" i="86"/>
  <c r="G102" i="75"/>
  <c r="G7" i="76" s="1"/>
  <c r="V7" i="76" s="1"/>
  <c r="G64" i="75"/>
  <c r="V64" i="75" s="1"/>
  <c r="D26" i="85"/>
  <c r="D45" i="85"/>
  <c r="D64" i="85"/>
  <c r="D102" i="75"/>
  <c r="D7" i="76" s="1"/>
  <c r="D45" i="75"/>
  <c r="D82" i="85"/>
  <c r="D101" i="75"/>
  <c r="D6" i="76" s="1"/>
  <c r="D25" i="75"/>
  <c r="AD3" i="75"/>
  <c r="N79" i="75"/>
  <c r="AD79" i="75" s="1"/>
  <c r="N22" i="75"/>
  <c r="AD22" i="75" s="1"/>
  <c r="N60" i="75"/>
  <c r="AD60" i="75" s="1"/>
  <c r="N98" i="75"/>
  <c r="N3" i="76" s="1"/>
  <c r="AD3" i="76" s="1"/>
  <c r="Y102" i="85"/>
  <c r="K7" i="82"/>
  <c r="Y7" i="75"/>
  <c r="K26" i="85"/>
  <c r="Y26" i="85" s="1"/>
  <c r="K83" i="85"/>
  <c r="Y83" i="85" s="1"/>
  <c r="K26" i="75"/>
  <c r="Y26" i="75" s="1"/>
  <c r="K45" i="75"/>
  <c r="Y45" i="75" s="1"/>
  <c r="K83" i="75"/>
  <c r="Y83" i="75" s="1"/>
  <c r="K102" i="75"/>
  <c r="K7" i="76" s="1"/>
  <c r="Y7" i="76" s="1"/>
  <c r="G26" i="75"/>
  <c r="V26" i="75" s="1"/>
  <c r="G122" i="75"/>
  <c r="H27" i="76" s="1"/>
  <c r="V7" i="75"/>
  <c r="G45" i="75"/>
  <c r="V45" i="75" s="1"/>
  <c r="D102" i="86"/>
  <c r="D125" i="90" s="1"/>
  <c r="D26" i="75"/>
  <c r="D64" i="75"/>
  <c r="D26" i="86"/>
  <c r="D44" i="85"/>
  <c r="D44" i="75"/>
  <c r="D63" i="75"/>
  <c r="AB90" i="86"/>
  <c r="AA71" i="86"/>
  <c r="H108" i="86"/>
  <c r="G144" i="86"/>
  <c r="F71" i="86"/>
  <c r="U71" i="86"/>
  <c r="Y71" i="86"/>
  <c r="H71" i="86"/>
  <c r="K66" i="86"/>
  <c r="M66" i="86" s="1"/>
  <c r="U104" i="86"/>
  <c r="D108" i="86"/>
  <c r="D97" i="90" s="1"/>
  <c r="H52" i="86"/>
  <c r="V52" i="86"/>
  <c r="AA52" i="86"/>
  <c r="W107" i="86"/>
  <c r="AF48" i="86"/>
  <c r="E52" i="86"/>
  <c r="I52" i="86"/>
  <c r="W52" i="86"/>
  <c r="I108" i="86"/>
  <c r="G33" i="86"/>
  <c r="AF30" i="86"/>
  <c r="AE33" i="86"/>
  <c r="I33" i="86"/>
  <c r="E33" i="86"/>
  <c r="W33" i="86"/>
  <c r="G104" i="86"/>
  <c r="C9" i="87"/>
  <c r="C15" i="87" s="1"/>
  <c r="J107" i="86"/>
  <c r="AD12" i="86"/>
  <c r="K13" i="86"/>
  <c r="M13" i="86" s="1"/>
  <c r="O13" i="86" s="1"/>
  <c r="E108" i="86"/>
  <c r="E97" i="90" s="1"/>
  <c r="AF29" i="86"/>
  <c r="AF49" i="86"/>
  <c r="E104" i="86"/>
  <c r="K9" i="86"/>
  <c r="I104" i="86"/>
  <c r="AE108" i="86"/>
  <c r="AE97" i="90" s="1"/>
  <c r="AD13" i="86"/>
  <c r="AF13" i="86" s="1"/>
  <c r="AF32" i="86"/>
  <c r="AE104" i="86"/>
  <c r="AE93" i="90" s="1"/>
  <c r="AD9" i="86"/>
  <c r="L105" i="86"/>
  <c r="L14" i="86"/>
  <c r="Z10" i="86"/>
  <c r="Z105" i="86" s="1"/>
  <c r="N107" i="86"/>
  <c r="N96" i="90" s="1"/>
  <c r="AB12" i="86"/>
  <c r="AB107" i="86" s="1"/>
  <c r="V104" i="86"/>
  <c r="Z104" i="86"/>
  <c r="AB33" i="86"/>
  <c r="F142" i="86"/>
  <c r="D33" i="86"/>
  <c r="N52" i="86"/>
  <c r="AF67" i="86"/>
  <c r="F104" i="86"/>
  <c r="N104" i="86"/>
  <c r="N93" i="90" s="1"/>
  <c r="W104" i="86"/>
  <c r="AA104" i="86"/>
  <c r="G107" i="86"/>
  <c r="X107" i="86"/>
  <c r="F108" i="86"/>
  <c r="F97" i="90" s="1"/>
  <c r="N108" i="86"/>
  <c r="N97" i="90" s="1"/>
  <c r="W108" i="86"/>
  <c r="AA108" i="86"/>
  <c r="AD28" i="86"/>
  <c r="AD33" i="86" s="1"/>
  <c r="F143" i="86"/>
  <c r="K29" i="86"/>
  <c r="M29" i="86" s="1"/>
  <c r="O29" i="86" s="1"/>
  <c r="N33" i="86"/>
  <c r="K47" i="86"/>
  <c r="AD47" i="86"/>
  <c r="AD52" i="86" s="1"/>
  <c r="K49" i="86"/>
  <c r="M49" i="86" s="1"/>
  <c r="O49" i="86" s="1"/>
  <c r="AF51" i="86"/>
  <c r="D52" i="86"/>
  <c r="X71" i="86"/>
  <c r="AB71" i="86"/>
  <c r="E90" i="86"/>
  <c r="AE90" i="86"/>
  <c r="AF86" i="86"/>
  <c r="AF89" i="86"/>
  <c r="X104" i="86"/>
  <c r="Z106" i="86"/>
  <c r="D107" i="86"/>
  <c r="D96" i="90" s="1"/>
  <c r="H107" i="86"/>
  <c r="X108" i="86"/>
  <c r="AB108" i="86"/>
  <c r="J14" i="86"/>
  <c r="K28" i="86"/>
  <c r="U33" i="86"/>
  <c r="Y33" i="86"/>
  <c r="F144" i="86"/>
  <c r="K30" i="86"/>
  <c r="M30" i="86" s="1"/>
  <c r="O30" i="86" s="1"/>
  <c r="U52" i="86"/>
  <c r="AE71" i="86"/>
  <c r="AD66" i="86"/>
  <c r="AD71" i="86" s="1"/>
  <c r="K67" i="86"/>
  <c r="M67" i="86" s="1"/>
  <c r="O67" i="86" s="1"/>
  <c r="K69" i="86"/>
  <c r="M69" i="86" s="1"/>
  <c r="O69" i="86" s="1"/>
  <c r="F90" i="86"/>
  <c r="J90" i="86"/>
  <c r="AD85" i="86"/>
  <c r="AF85" i="86" s="1"/>
  <c r="AF69" i="86"/>
  <c r="D71" i="86"/>
  <c r="H104" i="86"/>
  <c r="J106" i="86"/>
  <c r="E107" i="86"/>
  <c r="E96" i="90" s="1"/>
  <c r="I107" i="86"/>
  <c r="Z12" i="86"/>
  <c r="AE107" i="86"/>
  <c r="U108" i="86"/>
  <c r="Y108" i="86"/>
  <c r="F145" i="86"/>
  <c r="K31" i="86"/>
  <c r="M31" i="86" s="1"/>
  <c r="O31" i="86" s="1"/>
  <c r="F146" i="86"/>
  <c r="V71" i="86"/>
  <c r="AF68" i="86"/>
  <c r="AF70" i="86"/>
  <c r="AF87" i="86"/>
  <c r="K85" i="86"/>
  <c r="K86" i="86"/>
  <c r="M86" i="86" s="1"/>
  <c r="O86" i="86" s="1"/>
  <c r="AD88" i="86"/>
  <c r="AF88" i="86" s="1"/>
  <c r="H142" i="86"/>
  <c r="D90" i="86"/>
  <c r="K87" i="86"/>
  <c r="M87" i="86" s="1"/>
  <c r="O87" i="86" s="1"/>
  <c r="H144" i="86"/>
  <c r="H146" i="86"/>
  <c r="K89" i="86"/>
  <c r="M89" i="86" s="1"/>
  <c r="O89" i="86" s="1"/>
  <c r="N90" i="86"/>
  <c r="W90" i="86"/>
  <c r="Y92" i="86" s="1"/>
  <c r="AA90" i="86"/>
  <c r="H145" i="86"/>
  <c r="K88" i="86"/>
  <c r="M88" i="86" s="1"/>
  <c r="O88" i="86" s="1"/>
  <c r="E147" i="86"/>
  <c r="H143" i="86"/>
  <c r="G146" i="85"/>
  <c r="G143" i="85"/>
  <c r="G142" i="85"/>
  <c r="H71" i="85"/>
  <c r="W71" i="85"/>
  <c r="H33" i="85"/>
  <c r="AA33" i="85"/>
  <c r="E33" i="85"/>
  <c r="I33" i="85"/>
  <c r="W33" i="85"/>
  <c r="V33" i="85"/>
  <c r="AF30" i="75"/>
  <c r="AD51" i="79"/>
  <c r="AE52" i="79"/>
  <c r="F31" i="22"/>
  <c r="N31" i="22"/>
  <c r="X31" i="22"/>
  <c r="D32" i="22"/>
  <c r="H32" i="22"/>
  <c r="V32" i="22"/>
  <c r="AA32" i="22"/>
  <c r="X51" i="22"/>
  <c r="D66" i="22"/>
  <c r="H66" i="22"/>
  <c r="W66" i="22"/>
  <c r="AE66" i="22"/>
  <c r="G67" i="22"/>
  <c r="V67" i="22"/>
  <c r="D70" i="22"/>
  <c r="H70" i="22"/>
  <c r="W70" i="22"/>
  <c r="AE70" i="22"/>
  <c r="AD70" i="22" s="1"/>
  <c r="D33" i="75"/>
  <c r="Z52" i="75"/>
  <c r="AA52" i="79"/>
  <c r="AF29" i="85"/>
  <c r="E7" i="80"/>
  <c r="F146" i="79"/>
  <c r="E71" i="85"/>
  <c r="I71" i="85"/>
  <c r="X71" i="85"/>
  <c r="M7" i="80"/>
  <c r="G146" i="79"/>
  <c r="G31" i="22"/>
  <c r="U31" i="22"/>
  <c r="Y31" i="22"/>
  <c r="E32" i="22"/>
  <c r="I32" i="22"/>
  <c r="W32" i="22"/>
  <c r="AE32" i="22"/>
  <c r="U51" i="22"/>
  <c r="Y51" i="22"/>
  <c r="E66" i="22"/>
  <c r="I66" i="22"/>
  <c r="X66" i="22"/>
  <c r="D67" i="22"/>
  <c r="H67" i="22"/>
  <c r="W67" i="22"/>
  <c r="AE67" i="22"/>
  <c r="AD67" i="22" s="1"/>
  <c r="E70" i="22"/>
  <c r="I70" i="22"/>
  <c r="X70" i="22"/>
  <c r="Z107" i="75"/>
  <c r="Z71" i="75"/>
  <c r="AA108" i="75"/>
  <c r="AA14" i="79"/>
  <c r="AE33" i="79"/>
  <c r="AD32" i="79"/>
  <c r="AF32" i="79" s="1"/>
  <c r="F71" i="85"/>
  <c r="Y71" i="85"/>
  <c r="AD70" i="79"/>
  <c r="AF70" i="79" s="1"/>
  <c r="AE71" i="79"/>
  <c r="D31" i="22"/>
  <c r="H31" i="22"/>
  <c r="V31" i="22"/>
  <c r="AA31" i="22"/>
  <c r="F32" i="22"/>
  <c r="N32" i="22"/>
  <c r="X32" i="22"/>
  <c r="V51" i="22"/>
  <c r="F66" i="22"/>
  <c r="U66" i="22"/>
  <c r="Y66" i="22"/>
  <c r="E67" i="22"/>
  <c r="I67" i="22"/>
  <c r="X67" i="22"/>
  <c r="F70" i="22"/>
  <c r="U70" i="22"/>
  <c r="Y70" i="22"/>
  <c r="G142" i="75"/>
  <c r="N52" i="79"/>
  <c r="AB51" i="79"/>
  <c r="X52" i="79"/>
  <c r="E31" i="22"/>
  <c r="I31" i="22"/>
  <c r="W31" i="22"/>
  <c r="AE31" i="22"/>
  <c r="G32" i="22"/>
  <c r="U32" i="22"/>
  <c r="Y32" i="22"/>
  <c r="W51" i="22"/>
  <c r="AE51" i="22"/>
  <c r="G66" i="22"/>
  <c r="V66" i="22"/>
  <c r="F67" i="22"/>
  <c r="U67" i="22"/>
  <c r="Y67" i="22"/>
  <c r="G70" i="22"/>
  <c r="V70" i="22"/>
  <c r="O8" i="56"/>
  <c r="O9" i="56" s="1"/>
  <c r="Z52" i="79"/>
  <c r="R17" i="56"/>
  <c r="G7" i="81"/>
  <c r="V7" i="81" s="1"/>
  <c r="K7" i="81"/>
  <c r="Y7" i="81" s="1"/>
  <c r="D125" i="79"/>
  <c r="D129" i="79"/>
  <c r="D126" i="79"/>
  <c r="L9" i="80"/>
  <c r="M21" i="36" s="1"/>
  <c r="Z33" i="85"/>
  <c r="Z52" i="85"/>
  <c r="Z71" i="85"/>
  <c r="AF69" i="85"/>
  <c r="AF68" i="85"/>
  <c r="AF30" i="85"/>
  <c r="D33" i="85"/>
  <c r="F142" i="85"/>
  <c r="F146" i="85"/>
  <c r="Z9" i="85"/>
  <c r="Z11" i="85"/>
  <c r="Z106" i="85" s="1"/>
  <c r="AD12" i="85"/>
  <c r="K13" i="85"/>
  <c r="M13" i="85" s="1"/>
  <c r="O13" i="85" s="1"/>
  <c r="Z13" i="85"/>
  <c r="Z108" i="85" s="1"/>
  <c r="AB13" i="85"/>
  <c r="J14" i="85"/>
  <c r="L14" i="85"/>
  <c r="K28" i="85"/>
  <c r="AD28" i="85"/>
  <c r="K32" i="85"/>
  <c r="M32" i="85" s="1"/>
  <c r="O32" i="85" s="1"/>
  <c r="F143" i="85"/>
  <c r="F144" i="85"/>
  <c r="Z10" i="85"/>
  <c r="Z105" i="85" s="1"/>
  <c r="K12" i="85"/>
  <c r="M12" i="85" s="1"/>
  <c r="O12" i="85" s="1"/>
  <c r="Z12" i="85"/>
  <c r="Z107" i="85" s="1"/>
  <c r="AB12" i="85"/>
  <c r="AD13" i="85"/>
  <c r="AB28" i="85"/>
  <c r="K29" i="85"/>
  <c r="M29" i="85" s="1"/>
  <c r="O29" i="85" s="1"/>
  <c r="K30" i="85"/>
  <c r="M30" i="85" s="1"/>
  <c r="O30" i="85" s="1"/>
  <c r="K31" i="85"/>
  <c r="M31" i="85" s="1"/>
  <c r="O31" i="85" s="1"/>
  <c r="K66" i="85"/>
  <c r="K67" i="85"/>
  <c r="M67" i="85" s="1"/>
  <c r="O67" i="85" s="1"/>
  <c r="K68" i="85"/>
  <c r="M68" i="85" s="1"/>
  <c r="O68" i="85" s="1"/>
  <c r="K69" i="85"/>
  <c r="M69" i="85" s="1"/>
  <c r="O69" i="85" s="1"/>
  <c r="K70" i="85"/>
  <c r="M70" i="85" s="1"/>
  <c r="O70" i="85" s="1"/>
  <c r="D71" i="85"/>
  <c r="U71" i="85"/>
  <c r="E147" i="85"/>
  <c r="K51" i="85"/>
  <c r="M51" i="85" s="1"/>
  <c r="O51" i="85" s="1"/>
  <c r="AD66" i="85"/>
  <c r="L9" i="81"/>
  <c r="O8" i="80"/>
  <c r="P8" i="80" s="1"/>
  <c r="AF29" i="79"/>
  <c r="AF31" i="79"/>
  <c r="F143" i="79"/>
  <c r="F144" i="79"/>
  <c r="F145" i="79"/>
  <c r="Z10" i="79"/>
  <c r="Z105" i="79" s="1"/>
  <c r="AB10" i="79"/>
  <c r="AB105" i="79" s="1"/>
  <c r="Z12" i="79"/>
  <c r="Z107" i="79" s="1"/>
  <c r="AB12" i="79"/>
  <c r="AB107" i="79" s="1"/>
  <c r="E14" i="79"/>
  <c r="G14" i="79"/>
  <c r="I14" i="79"/>
  <c r="V14" i="79"/>
  <c r="X14" i="79"/>
  <c r="AE14" i="79"/>
  <c r="AB28" i="79"/>
  <c r="AB33" i="79" s="1"/>
  <c r="K29" i="79"/>
  <c r="M29" i="79" s="1"/>
  <c r="O29" i="79" s="1"/>
  <c r="K30" i="79"/>
  <c r="M30" i="79" s="1"/>
  <c r="O30" i="79" s="1"/>
  <c r="K31" i="79"/>
  <c r="M31" i="79" s="1"/>
  <c r="O31" i="79" s="1"/>
  <c r="D33" i="79"/>
  <c r="F142" i="79"/>
  <c r="Z9" i="79"/>
  <c r="AB9" i="79"/>
  <c r="Z11" i="79"/>
  <c r="AB11" i="79"/>
  <c r="Z13" i="79"/>
  <c r="AB13" i="79"/>
  <c r="D14" i="79"/>
  <c r="F14" i="79"/>
  <c r="H14" i="79"/>
  <c r="L14" i="79"/>
  <c r="N14" i="79"/>
  <c r="U14" i="79"/>
  <c r="W14" i="79"/>
  <c r="Y14" i="79"/>
  <c r="K28" i="79"/>
  <c r="AF48" i="79"/>
  <c r="AF86" i="79"/>
  <c r="AF88" i="79"/>
  <c r="K32" i="79"/>
  <c r="M32" i="79" s="1"/>
  <c r="O32" i="79" s="1"/>
  <c r="AB47" i="79"/>
  <c r="K48" i="79"/>
  <c r="M48" i="79" s="1"/>
  <c r="O48" i="79" s="1"/>
  <c r="K50" i="79"/>
  <c r="M50" i="79" s="1"/>
  <c r="O50" i="79" s="1"/>
  <c r="D52" i="79"/>
  <c r="U52" i="79"/>
  <c r="K66" i="79"/>
  <c r="K67" i="79"/>
  <c r="M67" i="79" s="1"/>
  <c r="O67" i="79" s="1"/>
  <c r="K68" i="79"/>
  <c r="M68" i="79" s="1"/>
  <c r="O68" i="79" s="1"/>
  <c r="K69" i="79"/>
  <c r="M69" i="79" s="1"/>
  <c r="O69" i="79" s="1"/>
  <c r="K70" i="79"/>
  <c r="M70" i="79" s="1"/>
  <c r="O70" i="79" s="1"/>
  <c r="D71" i="79"/>
  <c r="U71" i="79"/>
  <c r="E147" i="79"/>
  <c r="K47" i="79"/>
  <c r="AD47" i="79"/>
  <c r="K49" i="79"/>
  <c r="M49" i="79" s="1"/>
  <c r="O49" i="79" s="1"/>
  <c r="K51" i="79"/>
  <c r="M51" i="79" s="1"/>
  <c r="O51" i="79" s="1"/>
  <c r="AD66" i="79"/>
  <c r="K86" i="79"/>
  <c r="M86" i="79" s="1"/>
  <c r="O86" i="79" s="1"/>
  <c r="K88" i="79"/>
  <c r="M88" i="79" s="1"/>
  <c r="O88" i="79" s="1"/>
  <c r="L9" i="77"/>
  <c r="M20" i="36" s="1"/>
  <c r="N8" i="77"/>
  <c r="O8" i="77" s="1"/>
  <c r="P8" i="77" s="1"/>
  <c r="AF29" i="75"/>
  <c r="AF31" i="75"/>
  <c r="AF32" i="75"/>
  <c r="AF49" i="75"/>
  <c r="AF51" i="75"/>
  <c r="L109" i="75"/>
  <c r="L31" i="90" s="1"/>
  <c r="L9" i="76"/>
  <c r="F143" i="75"/>
  <c r="F144" i="75"/>
  <c r="F145" i="75"/>
  <c r="Z10" i="75"/>
  <c r="Z105" i="75" s="1"/>
  <c r="AB28" i="75"/>
  <c r="AB33" i="75" s="1"/>
  <c r="K29" i="75"/>
  <c r="M29" i="75" s="1"/>
  <c r="O29" i="75" s="1"/>
  <c r="K30" i="75"/>
  <c r="M30" i="75" s="1"/>
  <c r="O30" i="75" s="1"/>
  <c r="K31" i="75"/>
  <c r="M31" i="75" s="1"/>
  <c r="O31" i="75" s="1"/>
  <c r="U33" i="75"/>
  <c r="K47" i="75"/>
  <c r="AD47" i="75"/>
  <c r="AD52" i="75" s="1"/>
  <c r="K49" i="75"/>
  <c r="M49" i="75" s="1"/>
  <c r="O49" i="75" s="1"/>
  <c r="K51" i="75"/>
  <c r="M51" i="75" s="1"/>
  <c r="O51" i="75" s="1"/>
  <c r="AD66" i="75"/>
  <c r="AD71" i="75" s="1"/>
  <c r="AF89" i="75"/>
  <c r="AG89" i="75" s="1"/>
  <c r="AH89" i="75" s="1"/>
  <c r="F142" i="75"/>
  <c r="F146" i="75"/>
  <c r="H146" i="75"/>
  <c r="G7" i="77" s="1"/>
  <c r="Z9" i="75"/>
  <c r="Z11" i="75"/>
  <c r="Z106" i="75" s="1"/>
  <c r="Z13" i="75"/>
  <c r="Z108" i="75" s="1"/>
  <c r="AB13" i="75"/>
  <c r="AB108" i="75" s="1"/>
  <c r="L14" i="75"/>
  <c r="K28" i="75"/>
  <c r="AD28" i="75"/>
  <c r="AD33" i="75" s="1"/>
  <c r="K32" i="75"/>
  <c r="M32" i="75" s="1"/>
  <c r="O32" i="75" s="1"/>
  <c r="AB47" i="75"/>
  <c r="K48" i="75"/>
  <c r="M48" i="75" s="1"/>
  <c r="O48" i="75" s="1"/>
  <c r="K50" i="75"/>
  <c r="M50" i="75" s="1"/>
  <c r="O50" i="75" s="1"/>
  <c r="D52" i="75"/>
  <c r="K66" i="75"/>
  <c r="K67" i="75"/>
  <c r="M67" i="75" s="1"/>
  <c r="O67" i="75" s="1"/>
  <c r="K68" i="75"/>
  <c r="M68" i="75" s="1"/>
  <c r="O68" i="75" s="1"/>
  <c r="K69" i="75"/>
  <c r="M69" i="75" s="1"/>
  <c r="O69" i="75" s="1"/>
  <c r="K70" i="75"/>
  <c r="M70" i="75" s="1"/>
  <c r="O70" i="75" s="1"/>
  <c r="D71" i="75"/>
  <c r="E131" i="75"/>
  <c r="E27" i="91" s="1"/>
  <c r="E147" i="75"/>
  <c r="Y12" i="75"/>
  <c r="X12" i="75"/>
  <c r="W12" i="75"/>
  <c r="V12" i="75"/>
  <c r="U12" i="75"/>
  <c r="N12" i="75"/>
  <c r="I12" i="75"/>
  <c r="H12" i="75"/>
  <c r="G12" i="75"/>
  <c r="F12" i="75"/>
  <c r="Y12" i="22"/>
  <c r="X12" i="22"/>
  <c r="W12" i="22"/>
  <c r="V12" i="22"/>
  <c r="U12" i="22"/>
  <c r="I12" i="22"/>
  <c r="H12" i="22"/>
  <c r="G12" i="22"/>
  <c r="F12" i="22"/>
  <c r="AA11" i="86"/>
  <c r="AA106" i="86" s="1"/>
  <c r="Y11" i="86"/>
  <c r="X11" i="86"/>
  <c r="X106" i="86" s="1"/>
  <c r="W11" i="86"/>
  <c r="W106" i="86" s="1"/>
  <c r="V11" i="86"/>
  <c r="V106" i="86" s="1"/>
  <c r="U11" i="86"/>
  <c r="U106" i="86" s="1"/>
  <c r="N11" i="86"/>
  <c r="AB11" i="86" s="1"/>
  <c r="AB106" i="86" s="1"/>
  <c r="I11" i="86"/>
  <c r="I106" i="86" s="1"/>
  <c r="H11" i="86"/>
  <c r="H106" i="86" s="1"/>
  <c r="G11" i="86"/>
  <c r="G106" i="86" s="1"/>
  <c r="F11" i="86"/>
  <c r="F106" i="86" s="1"/>
  <c r="F95" i="90" s="1"/>
  <c r="E11" i="86"/>
  <c r="E106" i="86" s="1"/>
  <c r="E95" i="90" s="1"/>
  <c r="AE11" i="86"/>
  <c r="AD11" i="86" s="1"/>
  <c r="D11" i="86"/>
  <c r="Y11" i="85"/>
  <c r="X11" i="85"/>
  <c r="W11" i="85"/>
  <c r="V11" i="85"/>
  <c r="U11" i="85"/>
  <c r="N11" i="85"/>
  <c r="I11" i="85"/>
  <c r="H11" i="85"/>
  <c r="G11" i="85"/>
  <c r="F11" i="85"/>
  <c r="E11" i="85"/>
  <c r="D11" i="85"/>
  <c r="Y11" i="75"/>
  <c r="X11" i="75"/>
  <c r="W11" i="75"/>
  <c r="V11" i="75"/>
  <c r="U11" i="75"/>
  <c r="N11" i="75"/>
  <c r="I11" i="75"/>
  <c r="H11" i="75"/>
  <c r="G11" i="75"/>
  <c r="F11" i="75"/>
  <c r="E11" i="75"/>
  <c r="D11" i="75"/>
  <c r="Y11" i="22"/>
  <c r="X11" i="22"/>
  <c r="W11" i="22"/>
  <c r="V11" i="22"/>
  <c r="U11" i="22"/>
  <c r="I11" i="22"/>
  <c r="H11" i="22"/>
  <c r="G11" i="22"/>
  <c r="F11" i="22"/>
  <c r="E11" i="22"/>
  <c r="D11" i="22"/>
  <c r="Y49" i="85"/>
  <c r="X49" i="85"/>
  <c r="W49" i="85"/>
  <c r="V49" i="85"/>
  <c r="U49" i="85"/>
  <c r="N49" i="85"/>
  <c r="I49" i="85"/>
  <c r="H49" i="85"/>
  <c r="G49" i="85"/>
  <c r="F49" i="85"/>
  <c r="E49" i="85"/>
  <c r="D49" i="85"/>
  <c r="Y10" i="86"/>
  <c r="Y105" i="86" s="1"/>
  <c r="X10" i="86"/>
  <c r="X105" i="86" s="1"/>
  <c r="W10" i="86"/>
  <c r="W105" i="86" s="1"/>
  <c r="V10" i="86"/>
  <c r="V105" i="86" s="1"/>
  <c r="U10" i="86"/>
  <c r="N10" i="86"/>
  <c r="AB10" i="86" s="1"/>
  <c r="AB105" i="86" s="1"/>
  <c r="I10" i="86"/>
  <c r="H10" i="86"/>
  <c r="G10" i="86"/>
  <c r="F10" i="86"/>
  <c r="E10" i="86"/>
  <c r="E105" i="86" s="1"/>
  <c r="E94" i="90" s="1"/>
  <c r="AE10" i="86"/>
  <c r="AD10" i="86" s="1"/>
  <c r="D10" i="86"/>
  <c r="D105" i="86" s="1"/>
  <c r="D94" i="90" s="1"/>
  <c r="Y48" i="85"/>
  <c r="X48" i="85"/>
  <c r="W48" i="85"/>
  <c r="V48" i="85"/>
  <c r="U48" i="85"/>
  <c r="N48" i="85"/>
  <c r="I48" i="85"/>
  <c r="H48" i="85"/>
  <c r="G48" i="85"/>
  <c r="F48" i="85"/>
  <c r="E48" i="85"/>
  <c r="D48" i="85"/>
  <c r="Y10" i="85"/>
  <c r="X10" i="85"/>
  <c r="W10" i="85"/>
  <c r="V10" i="85"/>
  <c r="U10" i="85"/>
  <c r="N10" i="85"/>
  <c r="AB10" i="85" s="1"/>
  <c r="I10" i="85"/>
  <c r="H10" i="85"/>
  <c r="G10" i="85"/>
  <c r="F10" i="85"/>
  <c r="E10" i="85"/>
  <c r="AD10" i="85"/>
  <c r="D10" i="85"/>
  <c r="E10" i="75"/>
  <c r="Y10" i="75"/>
  <c r="X10" i="75"/>
  <c r="W10" i="75"/>
  <c r="V10" i="75"/>
  <c r="U10" i="75"/>
  <c r="N10" i="75"/>
  <c r="I10" i="75"/>
  <c r="H10" i="75"/>
  <c r="G10" i="75"/>
  <c r="F10" i="75"/>
  <c r="D10" i="75"/>
  <c r="Y9" i="85"/>
  <c r="X9" i="85"/>
  <c r="W9" i="85"/>
  <c r="V9" i="85"/>
  <c r="U9" i="85"/>
  <c r="N9" i="85"/>
  <c r="I9" i="85"/>
  <c r="H9" i="85"/>
  <c r="G9" i="85"/>
  <c r="F9" i="85"/>
  <c r="E9" i="85"/>
  <c r="AE9" i="85"/>
  <c r="D9" i="85"/>
  <c r="Y9" i="75"/>
  <c r="X9" i="75"/>
  <c r="W9" i="75"/>
  <c r="V9" i="75"/>
  <c r="U9" i="75"/>
  <c r="N9" i="75"/>
  <c r="I9" i="75"/>
  <c r="H9" i="75"/>
  <c r="G9" i="75"/>
  <c r="F9" i="75"/>
  <c r="E9" i="75"/>
  <c r="D9" i="75"/>
  <c r="Y9" i="22"/>
  <c r="X9" i="22"/>
  <c r="W9" i="22"/>
  <c r="V9" i="22"/>
  <c r="U9" i="22"/>
  <c r="I9" i="22"/>
  <c r="H9" i="22"/>
  <c r="G9" i="22"/>
  <c r="F9" i="22"/>
  <c r="E9" i="22"/>
  <c r="D145" i="79" l="1"/>
  <c r="D55" i="91"/>
  <c r="I31" i="36"/>
  <c r="P31" i="36" s="1"/>
  <c r="G143" i="22"/>
  <c r="J126" i="22"/>
  <c r="J7" i="91" s="1"/>
  <c r="L39" i="91"/>
  <c r="K39" i="91"/>
  <c r="K33" i="81"/>
  <c r="K36" i="81" s="1"/>
  <c r="L31" i="81"/>
  <c r="D36" i="91"/>
  <c r="D39" i="91"/>
  <c r="K131" i="79"/>
  <c r="K41" i="91" s="1"/>
  <c r="D35" i="91"/>
  <c r="D36" i="99"/>
  <c r="D46" i="99" s="1"/>
  <c r="K37" i="91"/>
  <c r="K36" i="91"/>
  <c r="K38" i="91"/>
  <c r="L36" i="91"/>
  <c r="K131" i="97"/>
  <c r="K55" i="91" s="1"/>
  <c r="K36" i="99"/>
  <c r="K46" i="99" s="1"/>
  <c r="L131" i="97"/>
  <c r="L55" i="91" s="1"/>
  <c r="L35" i="91"/>
  <c r="L36" i="99"/>
  <c r="L30" i="81"/>
  <c r="L131" i="79"/>
  <c r="L41" i="91" s="1"/>
  <c r="L33" i="81"/>
  <c r="L32" i="81"/>
  <c r="J39" i="91"/>
  <c r="J35" i="91"/>
  <c r="J36" i="91"/>
  <c r="J36" i="99"/>
  <c r="J46" i="99" s="1"/>
  <c r="M9" i="98"/>
  <c r="N22" i="36" s="1"/>
  <c r="E9" i="98"/>
  <c r="F22" i="36" s="1"/>
  <c r="H36" i="99"/>
  <c r="H46" i="99" s="1"/>
  <c r="E44" i="90"/>
  <c r="F46" i="90"/>
  <c r="D46" i="90"/>
  <c r="G38" i="91"/>
  <c r="H6" i="98"/>
  <c r="G36" i="91"/>
  <c r="H4" i="98"/>
  <c r="F44" i="90"/>
  <c r="Z46" i="90"/>
  <c r="AF12" i="99"/>
  <c r="E46" i="90"/>
  <c r="G39" i="91"/>
  <c r="E9" i="77"/>
  <c r="F20" i="36" s="1"/>
  <c r="E9" i="83"/>
  <c r="F23" i="36" s="1"/>
  <c r="D24" i="36"/>
  <c r="D25" i="36" s="1"/>
  <c r="F145" i="22"/>
  <c r="J33" i="39"/>
  <c r="J32" i="39"/>
  <c r="F146" i="22"/>
  <c r="J125" i="22"/>
  <c r="J6" i="91" s="1"/>
  <c r="G142" i="22"/>
  <c r="J129" i="22"/>
  <c r="J10" i="91" s="1"/>
  <c r="G146" i="22"/>
  <c r="H128" i="22"/>
  <c r="K145" i="22" s="1"/>
  <c r="L36" i="76"/>
  <c r="L14" i="76"/>
  <c r="L44" i="76" s="1"/>
  <c r="J11" i="88"/>
  <c r="J95" i="90"/>
  <c r="D38" i="91"/>
  <c r="J12" i="88"/>
  <c r="J96" i="90"/>
  <c r="L10" i="88"/>
  <c r="L14" i="88" s="1"/>
  <c r="L94" i="90"/>
  <c r="D30" i="88"/>
  <c r="D36" i="88" s="1"/>
  <c r="D77" i="91"/>
  <c r="K5" i="80"/>
  <c r="D37" i="91"/>
  <c r="J33" i="82"/>
  <c r="J66" i="91"/>
  <c r="J34" i="76"/>
  <c r="J25" i="91"/>
  <c r="J30" i="76"/>
  <c r="J21" i="91"/>
  <c r="J31" i="82"/>
  <c r="J64" i="91"/>
  <c r="J34" i="82"/>
  <c r="J67" i="91"/>
  <c r="J32" i="81"/>
  <c r="J37" i="91"/>
  <c r="J30" i="88"/>
  <c r="J77" i="91"/>
  <c r="J32" i="76"/>
  <c r="J23" i="91"/>
  <c r="J33" i="81"/>
  <c r="J38" i="91"/>
  <c r="J30" i="82"/>
  <c r="J63" i="91"/>
  <c r="J31" i="76"/>
  <c r="J22" i="91"/>
  <c r="J32" i="82"/>
  <c r="J65" i="91"/>
  <c r="J32" i="88"/>
  <c r="J79" i="91"/>
  <c r="J33" i="76"/>
  <c r="J24" i="91"/>
  <c r="H31" i="88"/>
  <c r="H78" i="91"/>
  <c r="H30" i="81"/>
  <c r="H35" i="91"/>
  <c r="H31" i="76"/>
  <c r="H22" i="91"/>
  <c r="H34" i="82"/>
  <c r="H67" i="91"/>
  <c r="H32" i="88"/>
  <c r="H79" i="91"/>
  <c r="H33" i="76"/>
  <c r="H24" i="91"/>
  <c r="H32" i="82"/>
  <c r="H65" i="91"/>
  <c r="H32" i="81"/>
  <c r="H37" i="91"/>
  <c r="H34" i="76"/>
  <c r="H25" i="91"/>
  <c r="H33" i="81"/>
  <c r="H38" i="91"/>
  <c r="H33" i="88"/>
  <c r="H80" i="91"/>
  <c r="H31" i="81"/>
  <c r="H36" i="91"/>
  <c r="H31" i="82"/>
  <c r="H64" i="91"/>
  <c r="H34" i="81"/>
  <c r="H39" i="91"/>
  <c r="H30" i="39"/>
  <c r="H6" i="91"/>
  <c r="H30" i="82"/>
  <c r="H63" i="91"/>
  <c r="H32" i="76"/>
  <c r="H23" i="91"/>
  <c r="H34" i="88"/>
  <c r="H81" i="91"/>
  <c r="H30" i="76"/>
  <c r="H21" i="91"/>
  <c r="H33" i="82"/>
  <c r="H66" i="91"/>
  <c r="H30" i="88"/>
  <c r="H77" i="91"/>
  <c r="AB10" i="88"/>
  <c r="AB94" i="90"/>
  <c r="X10" i="88"/>
  <c r="X94" i="90"/>
  <c r="G11" i="88"/>
  <c r="G95" i="90"/>
  <c r="U11" i="88"/>
  <c r="U95" i="90"/>
  <c r="AE12" i="88"/>
  <c r="AE96" i="90"/>
  <c r="X13" i="88"/>
  <c r="X97" i="90"/>
  <c r="X9" i="88"/>
  <c r="X93" i="90"/>
  <c r="AA13" i="88"/>
  <c r="AA97" i="90"/>
  <c r="X12" i="88"/>
  <c r="X96" i="90"/>
  <c r="V9" i="88"/>
  <c r="V93" i="90"/>
  <c r="I13" i="88"/>
  <c r="I97" i="90"/>
  <c r="Y9" i="88"/>
  <c r="Y93" i="90"/>
  <c r="V13" i="88"/>
  <c r="V97" i="90"/>
  <c r="Y13" i="76"/>
  <c r="Y30" i="90"/>
  <c r="Y10" i="81"/>
  <c r="Y44" i="90"/>
  <c r="X12" i="81"/>
  <c r="X46" i="90"/>
  <c r="N10" i="81"/>
  <c r="N44" i="90"/>
  <c r="W10" i="81"/>
  <c r="W44" i="90"/>
  <c r="G30" i="76"/>
  <c r="G21" i="91"/>
  <c r="G32" i="76"/>
  <c r="G23" i="91"/>
  <c r="G32" i="88"/>
  <c r="G79" i="91"/>
  <c r="G31" i="88"/>
  <c r="G78" i="91"/>
  <c r="G33" i="88"/>
  <c r="G80" i="91"/>
  <c r="Y10" i="88"/>
  <c r="Y94" i="90"/>
  <c r="H11" i="88"/>
  <c r="H95" i="90"/>
  <c r="V11" i="88"/>
  <c r="V95" i="90"/>
  <c r="AA11" i="88"/>
  <c r="AA95" i="90"/>
  <c r="Z10" i="82"/>
  <c r="Z77" i="90"/>
  <c r="H9" i="88"/>
  <c r="H93" i="90"/>
  <c r="H12" i="88"/>
  <c r="H96" i="90"/>
  <c r="W13" i="88"/>
  <c r="W97" i="90"/>
  <c r="G12" i="88"/>
  <c r="G96" i="90"/>
  <c r="F9" i="88"/>
  <c r="F93" i="90"/>
  <c r="AB12" i="88"/>
  <c r="AB96" i="90"/>
  <c r="E9" i="88"/>
  <c r="E93" i="90"/>
  <c r="G9" i="88"/>
  <c r="G93" i="90"/>
  <c r="W12" i="88"/>
  <c r="W96" i="90"/>
  <c r="H13" i="88"/>
  <c r="H97" i="90"/>
  <c r="G13" i="88"/>
  <c r="G97" i="90"/>
  <c r="V13" i="76"/>
  <c r="V30" i="90"/>
  <c r="U13" i="76"/>
  <c r="U30" i="90"/>
  <c r="X13" i="76"/>
  <c r="X30" i="90"/>
  <c r="U10" i="81"/>
  <c r="U44" i="90"/>
  <c r="U12" i="81"/>
  <c r="U46" i="90"/>
  <c r="AA12" i="81"/>
  <c r="AA46" i="90"/>
  <c r="AA10" i="81"/>
  <c r="AA44" i="90"/>
  <c r="Y12" i="81"/>
  <c r="Y46" i="90"/>
  <c r="G30" i="82"/>
  <c r="G63" i="91"/>
  <c r="G30" i="88"/>
  <c r="G77" i="91"/>
  <c r="V10" i="88"/>
  <c r="V94" i="90"/>
  <c r="I11" i="88"/>
  <c r="I95" i="90"/>
  <c r="W11" i="88"/>
  <c r="W95" i="90"/>
  <c r="AB13" i="76"/>
  <c r="AB30" i="90"/>
  <c r="AB12" i="81"/>
  <c r="AB46" i="90"/>
  <c r="AB10" i="81"/>
  <c r="AB44" i="90"/>
  <c r="Z11" i="82"/>
  <c r="Z78" i="90"/>
  <c r="Y13" i="88"/>
  <c r="Y97" i="90"/>
  <c r="I12" i="88"/>
  <c r="I96" i="90"/>
  <c r="AA9" i="88"/>
  <c r="AA93" i="90"/>
  <c r="U9" i="88"/>
  <c r="U93" i="90"/>
  <c r="H13" i="76"/>
  <c r="H30" i="90"/>
  <c r="I7" i="77"/>
  <c r="D30" i="90"/>
  <c r="Z13" i="88"/>
  <c r="Z97" i="90"/>
  <c r="W13" i="76"/>
  <c r="W30" i="90"/>
  <c r="Y12" i="88"/>
  <c r="Y96" i="90"/>
  <c r="G13" i="76"/>
  <c r="G30" i="90"/>
  <c r="N13" i="76"/>
  <c r="N30" i="90"/>
  <c r="AE13" i="76"/>
  <c r="AE30" i="90"/>
  <c r="G12" i="81"/>
  <c r="G46" i="90"/>
  <c r="G10" i="81"/>
  <c r="G44" i="90"/>
  <c r="V10" i="81"/>
  <c r="V44" i="90"/>
  <c r="AE10" i="81"/>
  <c r="AE44" i="90"/>
  <c r="D10" i="81"/>
  <c r="D44" i="90"/>
  <c r="H10" i="81"/>
  <c r="H44" i="90"/>
  <c r="N12" i="81"/>
  <c r="N46" i="90"/>
  <c r="G32" i="81"/>
  <c r="G37" i="91"/>
  <c r="G34" i="82"/>
  <c r="G67" i="91"/>
  <c r="G33" i="82"/>
  <c r="G66" i="91"/>
  <c r="G31" i="76"/>
  <c r="G22" i="91"/>
  <c r="W10" i="88"/>
  <c r="W94" i="90"/>
  <c r="AB11" i="88"/>
  <c r="AB95" i="90"/>
  <c r="X11" i="88"/>
  <c r="X95" i="90"/>
  <c r="Z13" i="76"/>
  <c r="Z30" i="90"/>
  <c r="Z10" i="81"/>
  <c r="Z44" i="90"/>
  <c r="Z12" i="82"/>
  <c r="Z79" i="90"/>
  <c r="Z13" i="82"/>
  <c r="Z80" i="90"/>
  <c r="AA13" i="76"/>
  <c r="AA30" i="90"/>
  <c r="U13" i="88"/>
  <c r="U97" i="90"/>
  <c r="AB13" i="88"/>
  <c r="AB97" i="90"/>
  <c r="Z11" i="88"/>
  <c r="Z95" i="90"/>
  <c r="W9" i="88"/>
  <c r="W93" i="90"/>
  <c r="Z9" i="88"/>
  <c r="Z93" i="90"/>
  <c r="Z10" i="88"/>
  <c r="Z94" i="90"/>
  <c r="I9" i="88"/>
  <c r="I93" i="90"/>
  <c r="V12" i="88"/>
  <c r="V96" i="90"/>
  <c r="I13" i="76"/>
  <c r="I30" i="90"/>
  <c r="U12" i="88"/>
  <c r="U96" i="90"/>
  <c r="AA12" i="88"/>
  <c r="AA96" i="90"/>
  <c r="H12" i="81"/>
  <c r="H46" i="90"/>
  <c r="I12" i="81"/>
  <c r="I46" i="90"/>
  <c r="W12" i="81"/>
  <c r="W46" i="90"/>
  <c r="I10" i="81"/>
  <c r="I44" i="90"/>
  <c r="X10" i="81"/>
  <c r="X44" i="90"/>
  <c r="AE12" i="81"/>
  <c r="AE46" i="90"/>
  <c r="V12" i="81"/>
  <c r="V46" i="90"/>
  <c r="G30" i="81"/>
  <c r="G35" i="91"/>
  <c r="G34" i="88"/>
  <c r="G81" i="91"/>
  <c r="K4" i="77"/>
  <c r="D22" i="91"/>
  <c r="Z12" i="76"/>
  <c r="Z29" i="90"/>
  <c r="Z11" i="76"/>
  <c r="Z28" i="90"/>
  <c r="Z10" i="76"/>
  <c r="Z27" i="90"/>
  <c r="E36" i="81"/>
  <c r="E46" i="81" s="1"/>
  <c r="E41" i="91"/>
  <c r="AD98" i="86"/>
  <c r="AD121" i="90" s="1"/>
  <c r="N121" i="90"/>
  <c r="Y102" i="86"/>
  <c r="Y125" i="90" s="1"/>
  <c r="K125" i="90"/>
  <c r="V102" i="86"/>
  <c r="V125" i="90" s="1"/>
  <c r="G125" i="90"/>
  <c r="U105" i="86"/>
  <c r="D4" i="77"/>
  <c r="J131" i="79"/>
  <c r="J31" i="81"/>
  <c r="D5" i="77"/>
  <c r="D4" i="80"/>
  <c r="H4" i="80" s="1"/>
  <c r="G31" i="81"/>
  <c r="D7" i="80"/>
  <c r="G34" i="81"/>
  <c r="D6" i="77"/>
  <c r="G33" i="76"/>
  <c r="D7" i="77"/>
  <c r="H7" i="77" s="1"/>
  <c r="G34" i="76"/>
  <c r="J145" i="79"/>
  <c r="G33" i="81"/>
  <c r="E36" i="76"/>
  <c r="E45" i="76" s="1"/>
  <c r="M9" i="80"/>
  <c r="N21" i="36" s="1"/>
  <c r="M9" i="77"/>
  <c r="N20" i="36" s="1"/>
  <c r="J131" i="75"/>
  <c r="J131" i="86"/>
  <c r="J83" i="91" s="1"/>
  <c r="J131" i="85"/>
  <c r="H131" i="86"/>
  <c r="H83" i="91" s="1"/>
  <c r="H131" i="85"/>
  <c r="H131" i="75"/>
  <c r="H131" i="79"/>
  <c r="G131" i="75"/>
  <c r="D3" i="77"/>
  <c r="G127" i="85"/>
  <c r="G126" i="85"/>
  <c r="G131" i="86"/>
  <c r="G83" i="91" s="1"/>
  <c r="G131" i="79"/>
  <c r="G7" i="82"/>
  <c r="N22" i="81"/>
  <c r="H27" i="82"/>
  <c r="D12" i="81"/>
  <c r="AG30" i="86"/>
  <c r="AH30" i="86" s="1"/>
  <c r="N3" i="81"/>
  <c r="AD3" i="81" s="1"/>
  <c r="J6" i="80"/>
  <c r="N3" i="82"/>
  <c r="G147" i="86"/>
  <c r="AG69" i="86"/>
  <c r="AH69" i="86" s="1"/>
  <c r="AG68" i="79"/>
  <c r="AH68" i="79" s="1"/>
  <c r="AG70" i="86"/>
  <c r="AH70" i="86" s="1"/>
  <c r="AG68" i="86"/>
  <c r="AH68" i="86" s="1"/>
  <c r="I4" i="80"/>
  <c r="E10" i="81"/>
  <c r="AG69" i="79"/>
  <c r="AH69" i="79" s="1"/>
  <c r="AD98" i="75"/>
  <c r="D32" i="81"/>
  <c r="Y102" i="75"/>
  <c r="D143" i="79"/>
  <c r="AG68" i="75"/>
  <c r="AH68" i="75" s="1"/>
  <c r="J142" i="79"/>
  <c r="AG50" i="79"/>
  <c r="AH50" i="79" s="1"/>
  <c r="I6" i="80"/>
  <c r="F12" i="81"/>
  <c r="J143" i="79"/>
  <c r="AG67" i="75"/>
  <c r="AH67" i="75" s="1"/>
  <c r="E12" i="81"/>
  <c r="V102" i="75"/>
  <c r="F10" i="81"/>
  <c r="M9" i="87"/>
  <c r="J4" i="80"/>
  <c r="AF31" i="85"/>
  <c r="AG31" i="85" s="1"/>
  <c r="AH31" i="85" s="1"/>
  <c r="J146" i="75"/>
  <c r="E45" i="88"/>
  <c r="K3" i="87"/>
  <c r="K9" i="87" s="1"/>
  <c r="D131" i="86"/>
  <c r="D83" i="91" s="1"/>
  <c r="L109" i="86"/>
  <c r="G6" i="87"/>
  <c r="G9" i="87" s="1"/>
  <c r="AD90" i="86"/>
  <c r="G147" i="75"/>
  <c r="AG70" i="75"/>
  <c r="AH70" i="75" s="1"/>
  <c r="Y73" i="75"/>
  <c r="Y73" i="79"/>
  <c r="G147" i="79"/>
  <c r="AD71" i="79"/>
  <c r="AD71" i="85"/>
  <c r="AG67" i="79"/>
  <c r="AH67" i="79" s="1"/>
  <c r="AG69" i="75"/>
  <c r="AH69" i="75" s="1"/>
  <c r="G147" i="85"/>
  <c r="AF32" i="85"/>
  <c r="AG32" i="85" s="1"/>
  <c r="AH32" i="85" s="1"/>
  <c r="AB33" i="85"/>
  <c r="F13" i="76"/>
  <c r="E13" i="76"/>
  <c r="Y35" i="79"/>
  <c r="AD33" i="85"/>
  <c r="E9" i="80"/>
  <c r="F21" i="36" s="1"/>
  <c r="AG29" i="85"/>
  <c r="AH29" i="85" s="1"/>
  <c r="AG32" i="86"/>
  <c r="AH32" i="86" s="1"/>
  <c r="Y35" i="75"/>
  <c r="AG30" i="75"/>
  <c r="AH30" i="75" s="1"/>
  <c r="AG30" i="79"/>
  <c r="AH30" i="79" s="1"/>
  <c r="Y35" i="85"/>
  <c r="AF28" i="86"/>
  <c r="AF33" i="86" s="1"/>
  <c r="K146" i="86"/>
  <c r="E7" i="87"/>
  <c r="F147" i="79"/>
  <c r="K145" i="85"/>
  <c r="K143" i="85"/>
  <c r="AG31" i="86"/>
  <c r="AH31" i="86" s="1"/>
  <c r="K144" i="86"/>
  <c r="E5" i="87"/>
  <c r="K143" i="86"/>
  <c r="E4" i="87"/>
  <c r="AD33" i="79"/>
  <c r="E3" i="87"/>
  <c r="K144" i="85"/>
  <c r="K146" i="85"/>
  <c r="K145" i="86"/>
  <c r="E6" i="87"/>
  <c r="F14" i="86"/>
  <c r="H14" i="86"/>
  <c r="D13" i="76"/>
  <c r="F12" i="88"/>
  <c r="I14" i="86"/>
  <c r="D6" i="80"/>
  <c r="H6" i="80" s="1"/>
  <c r="D5" i="80"/>
  <c r="AG51" i="86"/>
  <c r="AH51" i="86" s="1"/>
  <c r="AF51" i="85"/>
  <c r="AG51" i="85" s="1"/>
  <c r="AH51" i="85" s="1"/>
  <c r="J144" i="79"/>
  <c r="D3" i="80"/>
  <c r="AG50" i="86"/>
  <c r="AH50" i="86" s="1"/>
  <c r="G14" i="86"/>
  <c r="Y54" i="75"/>
  <c r="J7" i="77"/>
  <c r="E14" i="75"/>
  <c r="AG49" i="79"/>
  <c r="AH49" i="79" s="1"/>
  <c r="AG50" i="75"/>
  <c r="AH50" i="75" s="1"/>
  <c r="J142" i="75"/>
  <c r="N106" i="86"/>
  <c r="K11" i="86"/>
  <c r="M11" i="86" s="1"/>
  <c r="O11" i="86" s="1"/>
  <c r="AB52" i="79"/>
  <c r="AG48" i="86"/>
  <c r="AH48" i="86" s="1"/>
  <c r="AB52" i="75"/>
  <c r="J144" i="75"/>
  <c r="H105" i="86"/>
  <c r="Y14" i="86"/>
  <c r="AE14" i="85"/>
  <c r="G105" i="86"/>
  <c r="W14" i="86"/>
  <c r="X14" i="86"/>
  <c r="AF11" i="86"/>
  <c r="N14" i="86"/>
  <c r="AE105" i="86"/>
  <c r="AE94" i="90" s="1"/>
  <c r="D14" i="86"/>
  <c r="V14" i="86"/>
  <c r="AE14" i="86"/>
  <c r="E14" i="86"/>
  <c r="AE106" i="86"/>
  <c r="F105" i="86"/>
  <c r="F94" i="90" s="1"/>
  <c r="N105" i="86"/>
  <c r="AA10" i="86"/>
  <c r="AF10" i="86" s="1"/>
  <c r="AF51" i="79"/>
  <c r="AG51" i="79" s="1"/>
  <c r="AH51" i="79" s="1"/>
  <c r="I105" i="86"/>
  <c r="K10" i="86"/>
  <c r="M10" i="86" s="1"/>
  <c r="O10" i="86" s="1"/>
  <c r="U14" i="86"/>
  <c r="Y106" i="86"/>
  <c r="D106" i="86"/>
  <c r="E14" i="85"/>
  <c r="W14" i="85"/>
  <c r="AG48" i="75"/>
  <c r="AH48" i="75" s="1"/>
  <c r="AF47" i="86"/>
  <c r="AF52" i="86" s="1"/>
  <c r="J145" i="75"/>
  <c r="J3" i="87"/>
  <c r="N9" i="88"/>
  <c r="J143" i="75"/>
  <c r="AD52" i="79"/>
  <c r="AF13" i="85"/>
  <c r="AG13" i="85" s="1"/>
  <c r="AH13" i="85" s="1"/>
  <c r="AB104" i="86"/>
  <c r="D146" i="86"/>
  <c r="N13" i="88"/>
  <c r="J7" i="87"/>
  <c r="E10" i="88"/>
  <c r="AD108" i="86"/>
  <c r="AE13" i="88"/>
  <c r="E11" i="88"/>
  <c r="E12" i="88"/>
  <c r="J145" i="86"/>
  <c r="D6" i="87"/>
  <c r="F14" i="75"/>
  <c r="X14" i="75"/>
  <c r="F14" i="85"/>
  <c r="N14" i="85"/>
  <c r="X14" i="85"/>
  <c r="Y54" i="79"/>
  <c r="F11" i="88"/>
  <c r="I3" i="87"/>
  <c r="D9" i="88"/>
  <c r="J144" i="86"/>
  <c r="D5" i="87"/>
  <c r="F13" i="88"/>
  <c r="D10" i="88"/>
  <c r="I4" i="87"/>
  <c r="AD104" i="86"/>
  <c r="AE9" i="88"/>
  <c r="E13" i="88"/>
  <c r="J146" i="86"/>
  <c r="D7" i="87"/>
  <c r="N12" i="88"/>
  <c r="J6" i="87"/>
  <c r="N14" i="75"/>
  <c r="J146" i="79"/>
  <c r="D12" i="88"/>
  <c r="I6" i="87"/>
  <c r="D13" i="88"/>
  <c r="I7" i="87"/>
  <c r="J143" i="86"/>
  <c r="D4" i="87"/>
  <c r="J146" i="85"/>
  <c r="D7" i="83"/>
  <c r="J142" i="86"/>
  <c r="D3" i="87"/>
  <c r="N8" i="87"/>
  <c r="O8" i="87" s="1"/>
  <c r="P8" i="87" s="1"/>
  <c r="L9" i="87"/>
  <c r="AG88" i="86"/>
  <c r="AH88" i="86" s="1"/>
  <c r="K71" i="86"/>
  <c r="Y73" i="86"/>
  <c r="Y54" i="86"/>
  <c r="Y35" i="86"/>
  <c r="AD14" i="86"/>
  <c r="AG13" i="86"/>
  <c r="AH13" i="86" s="1"/>
  <c r="J109" i="86"/>
  <c r="J98" i="90" s="1"/>
  <c r="AF9" i="86"/>
  <c r="AF90" i="86"/>
  <c r="K90" i="86"/>
  <c r="M85" i="86"/>
  <c r="H147" i="86"/>
  <c r="AB14" i="86"/>
  <c r="D142" i="86"/>
  <c r="K104" i="86"/>
  <c r="K93" i="90" s="1"/>
  <c r="M71" i="86"/>
  <c r="O66" i="86"/>
  <c r="O71" i="86" s="1"/>
  <c r="W109" i="86"/>
  <c r="W98" i="90" s="1"/>
  <c r="F147" i="86"/>
  <c r="Z14" i="86"/>
  <c r="AG49" i="86"/>
  <c r="AH49" i="86" s="1"/>
  <c r="AG87" i="86"/>
  <c r="AH87" i="86" s="1"/>
  <c r="K108" i="86"/>
  <c r="Z107" i="86"/>
  <c r="AF12" i="86"/>
  <c r="AG12" i="86" s="1"/>
  <c r="AH12" i="86" s="1"/>
  <c r="D145" i="86"/>
  <c r="K107" i="86"/>
  <c r="AG67" i="86"/>
  <c r="AH67" i="86" s="1"/>
  <c r="K142" i="86"/>
  <c r="M9" i="86"/>
  <c r="AG29" i="86"/>
  <c r="AH29" i="86" s="1"/>
  <c r="AD107" i="86"/>
  <c r="AG89" i="86"/>
  <c r="AH89" i="86" s="1"/>
  <c r="E109" i="86"/>
  <c r="E98" i="90" s="1"/>
  <c r="M28" i="86"/>
  <c r="K33" i="86"/>
  <c r="X109" i="86"/>
  <c r="X98" i="90" s="1"/>
  <c r="K52" i="86"/>
  <c r="M47" i="86"/>
  <c r="V109" i="86"/>
  <c r="V98" i="90" s="1"/>
  <c r="AG86" i="86"/>
  <c r="AH86" i="86" s="1"/>
  <c r="AF66" i="86"/>
  <c r="AG70" i="85"/>
  <c r="AH70" i="85" s="1"/>
  <c r="AG69" i="85"/>
  <c r="AH69" i="85" s="1"/>
  <c r="AG68" i="85"/>
  <c r="AH68" i="85" s="1"/>
  <c r="AG67" i="85"/>
  <c r="AH67" i="85" s="1"/>
  <c r="Y73" i="85"/>
  <c r="V48" i="22"/>
  <c r="W49" i="22"/>
  <c r="X50" i="22"/>
  <c r="AB12" i="75"/>
  <c r="AG32" i="79"/>
  <c r="AH32" i="79" s="1"/>
  <c r="G14" i="85"/>
  <c r="K10" i="85"/>
  <c r="M10" i="85" s="1"/>
  <c r="O10" i="85" s="1"/>
  <c r="K7" i="80"/>
  <c r="D34" i="81"/>
  <c r="M9" i="83"/>
  <c r="N23" i="36" s="1"/>
  <c r="W48" i="22"/>
  <c r="AB10" i="75"/>
  <c r="AF10" i="85"/>
  <c r="AB49" i="85"/>
  <c r="X49" i="22"/>
  <c r="U50" i="22"/>
  <c r="Y50" i="22"/>
  <c r="AE50" i="22"/>
  <c r="Y14" i="75"/>
  <c r="D14" i="75"/>
  <c r="V14" i="75"/>
  <c r="AD9" i="85"/>
  <c r="U14" i="85"/>
  <c r="H14" i="85"/>
  <c r="AB11" i="85"/>
  <c r="AB9" i="85"/>
  <c r="K3" i="80"/>
  <c r="D30" i="81"/>
  <c r="D131" i="79"/>
  <c r="AB48" i="85"/>
  <c r="U49" i="22"/>
  <c r="Y49" i="22"/>
  <c r="AD49" i="85"/>
  <c r="AE49" i="22"/>
  <c r="V50" i="22"/>
  <c r="W14" i="75"/>
  <c r="AB11" i="75"/>
  <c r="I14" i="75"/>
  <c r="AG70" i="79"/>
  <c r="AH70" i="79" s="1"/>
  <c r="V14" i="85"/>
  <c r="K4" i="80"/>
  <c r="D31" i="81"/>
  <c r="K6" i="80"/>
  <c r="D33" i="81"/>
  <c r="X48" i="22"/>
  <c r="U48" i="22"/>
  <c r="Y48" i="22"/>
  <c r="AD48" i="85"/>
  <c r="AE48" i="22"/>
  <c r="V49" i="22"/>
  <c r="W50" i="22"/>
  <c r="U14" i="75"/>
  <c r="H14" i="75"/>
  <c r="AB9" i="75"/>
  <c r="AE14" i="75"/>
  <c r="G14" i="75"/>
  <c r="I14" i="85"/>
  <c r="AD11" i="85"/>
  <c r="Y14" i="85"/>
  <c r="D14" i="85"/>
  <c r="K11" i="85"/>
  <c r="M11" i="85" s="1"/>
  <c r="O11" i="85" s="1"/>
  <c r="K9" i="85"/>
  <c r="AF28" i="85"/>
  <c r="F147" i="85"/>
  <c r="K71" i="85"/>
  <c r="M66" i="85"/>
  <c r="K33" i="85"/>
  <c r="M28" i="85"/>
  <c r="Z104" i="85"/>
  <c r="Z14" i="85"/>
  <c r="K142" i="85"/>
  <c r="AF66" i="85"/>
  <c r="AF12" i="85"/>
  <c r="AG12" i="85" s="1"/>
  <c r="AH12" i="85" s="1"/>
  <c r="AG30" i="85"/>
  <c r="AH30" i="85" s="1"/>
  <c r="K146" i="79"/>
  <c r="K145" i="79"/>
  <c r="K144" i="79"/>
  <c r="K143" i="79"/>
  <c r="AG29" i="79"/>
  <c r="AH29" i="79" s="1"/>
  <c r="Z12" i="81"/>
  <c r="K52" i="79"/>
  <c r="M47" i="79"/>
  <c r="AB14" i="79"/>
  <c r="K33" i="79"/>
  <c r="M28" i="79"/>
  <c r="Z14" i="79"/>
  <c r="AG48" i="79"/>
  <c r="AH48" i="79" s="1"/>
  <c r="AG88" i="79"/>
  <c r="AH88" i="79" s="1"/>
  <c r="AF66" i="79"/>
  <c r="AF28" i="79"/>
  <c r="Y16" i="79"/>
  <c r="AF47" i="79"/>
  <c r="AG31" i="79"/>
  <c r="AH31" i="79" s="1"/>
  <c r="K71" i="79"/>
  <c r="M66" i="79"/>
  <c r="K142" i="79"/>
  <c r="AG86" i="79"/>
  <c r="AH86" i="79" s="1"/>
  <c r="K33" i="75"/>
  <c r="M28" i="75"/>
  <c r="Z104" i="75"/>
  <c r="Z26" i="90" s="1"/>
  <c r="Z14" i="75"/>
  <c r="K146" i="75"/>
  <c r="K142" i="75"/>
  <c r="M47" i="75"/>
  <c r="K52" i="75"/>
  <c r="K145" i="75"/>
  <c r="K144" i="75"/>
  <c r="K143" i="75"/>
  <c r="AF66" i="75"/>
  <c r="AF47" i="75"/>
  <c r="AG49" i="75"/>
  <c r="AH49" i="75" s="1"/>
  <c r="AG32" i="75"/>
  <c r="AH32" i="75" s="1"/>
  <c r="AG29" i="75"/>
  <c r="AH29" i="75" s="1"/>
  <c r="K71" i="75"/>
  <c r="M66" i="75"/>
  <c r="F147" i="75"/>
  <c r="AF28" i="75"/>
  <c r="AG51" i="75"/>
  <c r="AH51" i="75" s="1"/>
  <c r="AG31" i="75"/>
  <c r="AH31" i="75" s="1"/>
  <c r="AF10" i="99" l="1"/>
  <c r="J94" i="91"/>
  <c r="J95" i="91"/>
  <c r="J96" i="91"/>
  <c r="J92" i="91"/>
  <c r="J93" i="91"/>
  <c r="H92" i="91"/>
  <c r="L46" i="99"/>
  <c r="L36" i="81"/>
  <c r="K9" i="98"/>
  <c r="L22" i="36" s="1"/>
  <c r="N6" i="98"/>
  <c r="O6" i="98" s="1"/>
  <c r="P6" i="98" s="1"/>
  <c r="K12" i="99"/>
  <c r="M12" i="99" s="1"/>
  <c r="O12" i="99" s="1"/>
  <c r="AG12" i="99" s="1"/>
  <c r="AH12" i="99" s="1"/>
  <c r="N4" i="98"/>
  <c r="O4" i="98" s="1"/>
  <c r="P4" i="98" s="1"/>
  <c r="G36" i="99"/>
  <c r="G46" i="99" s="1"/>
  <c r="D9" i="98"/>
  <c r="E22" i="36" s="1"/>
  <c r="K10" i="99"/>
  <c r="M10" i="99" s="1"/>
  <c r="O10" i="99" s="1"/>
  <c r="F24" i="36"/>
  <c r="N24" i="36"/>
  <c r="J69" i="91"/>
  <c r="N32" i="36"/>
  <c r="J41" i="91"/>
  <c r="N30" i="36"/>
  <c r="J27" i="91"/>
  <c r="N29" i="36"/>
  <c r="H41" i="91"/>
  <c r="L30" i="36"/>
  <c r="H27" i="91"/>
  <c r="L29" i="36"/>
  <c r="H69" i="91"/>
  <c r="L32" i="36"/>
  <c r="G41" i="91"/>
  <c r="K30" i="36"/>
  <c r="G27" i="91"/>
  <c r="K29" i="36"/>
  <c r="D41" i="91"/>
  <c r="I30" i="36"/>
  <c r="F147" i="22"/>
  <c r="J34" i="39"/>
  <c r="J14" i="88"/>
  <c r="J44" i="88" s="1"/>
  <c r="J131" i="22"/>
  <c r="J12" i="91" s="1"/>
  <c r="J30" i="39"/>
  <c r="G147" i="22"/>
  <c r="G127" i="22"/>
  <c r="J144" i="22" s="1"/>
  <c r="J31" i="39"/>
  <c r="L145" i="79"/>
  <c r="M145" i="79" s="1"/>
  <c r="H36" i="81"/>
  <c r="J36" i="81"/>
  <c r="J46" i="81" s="1"/>
  <c r="L44" i="88"/>
  <c r="L98" i="90"/>
  <c r="J36" i="76"/>
  <c r="J45" i="76" s="1"/>
  <c r="H36" i="76"/>
  <c r="V14" i="88"/>
  <c r="W14" i="88"/>
  <c r="X14" i="88"/>
  <c r="AD12" i="88"/>
  <c r="AD96" i="90"/>
  <c r="D11" i="88"/>
  <c r="K11" i="88" s="1"/>
  <c r="M11" i="88" s="1"/>
  <c r="D95" i="90"/>
  <c r="I10" i="88"/>
  <c r="I14" i="88" s="1"/>
  <c r="I94" i="90"/>
  <c r="G10" i="88"/>
  <c r="G14" i="88" s="1"/>
  <c r="G94" i="90"/>
  <c r="M107" i="86"/>
  <c r="K96" i="90"/>
  <c r="M108" i="86"/>
  <c r="K97" i="90"/>
  <c r="K9" i="88"/>
  <c r="M9" i="88" s="1"/>
  <c r="O9" i="88" s="1"/>
  <c r="AB9" i="88"/>
  <c r="AB14" i="88" s="1"/>
  <c r="AB93" i="90"/>
  <c r="Y11" i="88"/>
  <c r="Y14" i="88" s="1"/>
  <c r="Y95" i="90"/>
  <c r="AE11" i="88"/>
  <c r="AE95" i="90"/>
  <c r="N11" i="88"/>
  <c r="N95" i="90"/>
  <c r="AD9" i="88"/>
  <c r="AD93" i="90"/>
  <c r="AD13" i="88"/>
  <c r="AF13" i="88" s="1"/>
  <c r="AD97" i="90"/>
  <c r="J4" i="87"/>
  <c r="N4" i="87" s="1"/>
  <c r="N94" i="90"/>
  <c r="H10" i="88"/>
  <c r="H14" i="88" s="1"/>
  <c r="H94" i="90"/>
  <c r="G31" i="82"/>
  <c r="G64" i="91"/>
  <c r="Z9" i="82"/>
  <c r="Z76" i="90"/>
  <c r="Z12" i="88"/>
  <c r="Z14" i="88" s="1"/>
  <c r="Z96" i="90"/>
  <c r="G32" i="82"/>
  <c r="G65" i="91"/>
  <c r="U10" i="88"/>
  <c r="U14" i="88" s="1"/>
  <c r="U94" i="90"/>
  <c r="U109" i="86"/>
  <c r="U98" i="90" s="1"/>
  <c r="G36" i="81"/>
  <c r="G36" i="76"/>
  <c r="D9" i="77"/>
  <c r="E20" i="36" s="1"/>
  <c r="J36" i="88"/>
  <c r="J45" i="88" s="1"/>
  <c r="J36" i="82"/>
  <c r="G131" i="85"/>
  <c r="L143" i="79"/>
  <c r="M143" i="79" s="1"/>
  <c r="N6" i="80"/>
  <c r="O6" i="80" s="1"/>
  <c r="P6" i="80" s="1"/>
  <c r="N4" i="80"/>
  <c r="O4" i="80" s="1"/>
  <c r="P4" i="80" s="1"/>
  <c r="H7" i="87"/>
  <c r="L146" i="86"/>
  <c r="M146" i="86" s="1"/>
  <c r="D45" i="88"/>
  <c r="K147" i="86"/>
  <c r="H5" i="87"/>
  <c r="H3" i="87"/>
  <c r="K147" i="79"/>
  <c r="H109" i="86"/>
  <c r="H6" i="87"/>
  <c r="E9" i="87"/>
  <c r="K147" i="85"/>
  <c r="Z109" i="86"/>
  <c r="Z98" i="90" s="1"/>
  <c r="J147" i="79"/>
  <c r="D9" i="80"/>
  <c r="E21" i="36" s="1"/>
  <c r="AF9" i="85"/>
  <c r="AG11" i="86"/>
  <c r="AH11" i="86" s="1"/>
  <c r="AF11" i="85"/>
  <c r="AD106" i="86"/>
  <c r="K106" i="86"/>
  <c r="D144" i="86"/>
  <c r="L144" i="86" s="1"/>
  <c r="M144" i="86" s="1"/>
  <c r="J5" i="87"/>
  <c r="J147" i="75"/>
  <c r="K14" i="85"/>
  <c r="I5" i="87"/>
  <c r="I9" i="87" s="1"/>
  <c r="AE109" i="86"/>
  <c r="AE98" i="90" s="1"/>
  <c r="D109" i="86"/>
  <c r="D98" i="90" s="1"/>
  <c r="D143" i="86"/>
  <c r="L143" i="86" s="1"/>
  <c r="M143" i="86" s="1"/>
  <c r="G109" i="86"/>
  <c r="F10" i="88"/>
  <c r="F14" i="88" s="1"/>
  <c r="N10" i="88"/>
  <c r="N109" i="86"/>
  <c r="N98" i="90" s="1"/>
  <c r="F109" i="86"/>
  <c r="F98" i="90" s="1"/>
  <c r="K14" i="86"/>
  <c r="AG10" i="86"/>
  <c r="AH10" i="86" s="1"/>
  <c r="Y16" i="86"/>
  <c r="I109" i="86"/>
  <c r="K105" i="86"/>
  <c r="AE10" i="88"/>
  <c r="AG10" i="85"/>
  <c r="AH10" i="85" s="1"/>
  <c r="AD105" i="86"/>
  <c r="Y16" i="85"/>
  <c r="Y109" i="86"/>
  <c r="Y98" i="90" s="1"/>
  <c r="N6" i="87"/>
  <c r="AA14" i="86"/>
  <c r="AA105" i="86"/>
  <c r="AA94" i="90" s="1"/>
  <c r="AB14" i="85"/>
  <c r="AF104" i="86"/>
  <c r="AF93" i="90" s="1"/>
  <c r="J147" i="86"/>
  <c r="N3" i="87"/>
  <c r="AD14" i="85"/>
  <c r="AB14" i="75"/>
  <c r="L145" i="86"/>
  <c r="M145" i="86" s="1"/>
  <c r="K12" i="88"/>
  <c r="M12" i="88" s="1"/>
  <c r="O12" i="88" s="1"/>
  <c r="Y16" i="75"/>
  <c r="AF108" i="86"/>
  <c r="AB109" i="86"/>
  <c r="AB98" i="90" s="1"/>
  <c r="M9" i="85"/>
  <c r="M14" i="85" s="1"/>
  <c r="D9" i="87"/>
  <c r="H4" i="87"/>
  <c r="N7" i="87"/>
  <c r="E14" i="88"/>
  <c r="E44" i="88" s="1"/>
  <c r="K13" i="88"/>
  <c r="M13" i="88" s="1"/>
  <c r="O13" i="88" s="1"/>
  <c r="M104" i="86"/>
  <c r="M93" i="90" s="1"/>
  <c r="L142" i="86"/>
  <c r="M142" i="86" s="1"/>
  <c r="AF71" i="86"/>
  <c r="AG66" i="86"/>
  <c r="AH66" i="86" s="1"/>
  <c r="AF107" i="86"/>
  <c r="M90" i="86"/>
  <c r="O85" i="86"/>
  <c r="M52" i="86"/>
  <c r="O47" i="86"/>
  <c r="O28" i="86"/>
  <c r="M33" i="86"/>
  <c r="AF14" i="86"/>
  <c r="O9" i="86"/>
  <c r="M14" i="86"/>
  <c r="AA52" i="85"/>
  <c r="X47" i="22"/>
  <c r="K9" i="80"/>
  <c r="L21" i="36" s="1"/>
  <c r="AA14" i="85"/>
  <c r="AA14" i="75"/>
  <c r="V47" i="22"/>
  <c r="U47" i="22"/>
  <c r="Y47" i="22"/>
  <c r="K49" i="85"/>
  <c r="M49" i="85" s="1"/>
  <c r="O49" i="85" s="1"/>
  <c r="K50" i="85"/>
  <c r="M50" i="85" s="1"/>
  <c r="O50" i="85" s="1"/>
  <c r="AB50" i="85"/>
  <c r="AE47" i="22"/>
  <c r="AF48" i="85"/>
  <c r="W47" i="22"/>
  <c r="AF49" i="85"/>
  <c r="D36" i="81"/>
  <c r="D46" i="81" s="1"/>
  <c r="AD50" i="85"/>
  <c r="K48" i="85"/>
  <c r="M48" i="85" s="1"/>
  <c r="O48" i="85" s="1"/>
  <c r="M33" i="85"/>
  <c r="O28" i="85"/>
  <c r="O33" i="85" s="1"/>
  <c r="M71" i="85"/>
  <c r="O66" i="85"/>
  <c r="O71" i="85" s="1"/>
  <c r="AF71" i="85"/>
  <c r="Z109" i="85"/>
  <c r="Z81" i="90" s="1"/>
  <c r="AF33" i="85"/>
  <c r="M71" i="79"/>
  <c r="O66" i="79"/>
  <c r="O71" i="79" s="1"/>
  <c r="AF52" i="79"/>
  <c r="AF71" i="79"/>
  <c r="M52" i="79"/>
  <c r="O47" i="79"/>
  <c r="O52" i="79" s="1"/>
  <c r="AF33" i="79"/>
  <c r="M33" i="79"/>
  <c r="O28" i="79"/>
  <c r="O33" i="79" s="1"/>
  <c r="AF71" i="75"/>
  <c r="Z9" i="76"/>
  <c r="Z109" i="75"/>
  <c r="Z31" i="90" s="1"/>
  <c r="AF33" i="75"/>
  <c r="O66" i="75"/>
  <c r="O71" i="75" s="1"/>
  <c r="M71" i="75"/>
  <c r="AF52" i="75"/>
  <c r="O47" i="75"/>
  <c r="O52" i="75" s="1"/>
  <c r="M52" i="75"/>
  <c r="M33" i="75"/>
  <c r="O28" i="75"/>
  <c r="O33" i="75" s="1"/>
  <c r="K147" i="75"/>
  <c r="AG10" i="99" l="1"/>
  <c r="AH10" i="99" s="1"/>
  <c r="J98" i="91"/>
  <c r="N33" i="36"/>
  <c r="L33" i="36"/>
  <c r="G69" i="91"/>
  <c r="K32" i="36"/>
  <c r="AG66" i="79"/>
  <c r="AH66" i="79" s="1"/>
  <c r="J36" i="39"/>
  <c r="G7" i="91"/>
  <c r="G93" i="91" s="1"/>
  <c r="Y16" i="88"/>
  <c r="AE14" i="88"/>
  <c r="AG13" i="88"/>
  <c r="AH13" i="88" s="1"/>
  <c r="AF9" i="88"/>
  <c r="AG9" i="88" s="1"/>
  <c r="AH9" i="88" s="1"/>
  <c r="N14" i="88"/>
  <c r="N44" i="88" s="1"/>
  <c r="O11" i="88"/>
  <c r="J9" i="87"/>
  <c r="D14" i="88"/>
  <c r="D44" i="88" s="1"/>
  <c r="AF12" i="88"/>
  <c r="AG12" i="88" s="1"/>
  <c r="AH12" i="88" s="1"/>
  <c r="M106" i="86"/>
  <c r="K95" i="90"/>
  <c r="AF96" i="90"/>
  <c r="AF97" i="90"/>
  <c r="AD11" i="88"/>
  <c r="AF11" i="88" s="1"/>
  <c r="AD95" i="90"/>
  <c r="M105" i="86"/>
  <c r="K94" i="90"/>
  <c r="H44" i="88"/>
  <c r="H98" i="90"/>
  <c r="O108" i="86"/>
  <c r="O97" i="90" s="1"/>
  <c r="M97" i="90"/>
  <c r="AD10" i="88"/>
  <c r="AD94" i="90"/>
  <c r="I44" i="88"/>
  <c r="I98" i="90"/>
  <c r="G44" i="88"/>
  <c r="G98" i="90"/>
  <c r="O107" i="86"/>
  <c r="O96" i="90" s="1"/>
  <c r="M96" i="90"/>
  <c r="Y111" i="86"/>
  <c r="D4" i="36"/>
  <c r="G31" i="39"/>
  <c r="O7" i="87"/>
  <c r="P7" i="87" s="1"/>
  <c r="F44" i="88"/>
  <c r="O3" i="87"/>
  <c r="P3" i="87" s="1"/>
  <c r="H9" i="87"/>
  <c r="AG28" i="85"/>
  <c r="AH28" i="85" s="1"/>
  <c r="O6" i="87"/>
  <c r="P6" i="87" s="1"/>
  <c r="AF106" i="86"/>
  <c r="AF14" i="85"/>
  <c r="AG11" i="85"/>
  <c r="AH11" i="85" s="1"/>
  <c r="D147" i="86"/>
  <c r="N5" i="87"/>
  <c r="O5" i="87" s="1"/>
  <c r="P5" i="87" s="1"/>
  <c r="O9" i="85"/>
  <c r="O14" i="85" s="1"/>
  <c r="AD109" i="86"/>
  <c r="AD98" i="90" s="1"/>
  <c r="AF50" i="85"/>
  <c r="AG50" i="85" s="1"/>
  <c r="AH50" i="85" s="1"/>
  <c r="K10" i="88"/>
  <c r="M10" i="88" s="1"/>
  <c r="O10" i="88" s="1"/>
  <c r="K109" i="86"/>
  <c r="K98" i="90" s="1"/>
  <c r="AF105" i="86"/>
  <c r="AA10" i="88"/>
  <c r="AA14" i="88" s="1"/>
  <c r="AA109" i="86"/>
  <c r="AA98" i="90" s="1"/>
  <c r="J143" i="85"/>
  <c r="D4" i="83"/>
  <c r="O4" i="87"/>
  <c r="P4" i="87" s="1"/>
  <c r="J144" i="85"/>
  <c r="D5" i="83"/>
  <c r="J145" i="85"/>
  <c r="D6" i="83"/>
  <c r="O14" i="86"/>
  <c r="AG9" i="86"/>
  <c r="AH9" i="86" s="1"/>
  <c r="O52" i="86"/>
  <c r="AG47" i="86"/>
  <c r="AH47" i="86" s="1"/>
  <c r="O104" i="86"/>
  <c r="O93" i="90" s="1"/>
  <c r="AG71" i="86"/>
  <c r="AH71" i="86" s="1"/>
  <c r="L147" i="86"/>
  <c r="M147" i="86" s="1"/>
  <c r="O90" i="86"/>
  <c r="AG85" i="86"/>
  <c r="AH85" i="86" s="1"/>
  <c r="O33" i="86"/>
  <c r="AG28" i="86"/>
  <c r="AH28" i="86" s="1"/>
  <c r="AG49" i="85"/>
  <c r="AH49" i="85" s="1"/>
  <c r="AG48" i="85"/>
  <c r="AH48" i="85" s="1"/>
  <c r="N52" i="85"/>
  <c r="AB47" i="85"/>
  <c r="W52" i="85"/>
  <c r="X52" i="85"/>
  <c r="F52" i="85"/>
  <c r="AE52" i="85"/>
  <c r="AD47" i="85"/>
  <c r="AD52" i="85" s="1"/>
  <c r="U52" i="85"/>
  <c r="D52" i="85"/>
  <c r="K47" i="85"/>
  <c r="V52" i="85"/>
  <c r="AG66" i="85"/>
  <c r="AH66" i="85" s="1"/>
  <c r="Y52" i="85"/>
  <c r="G52" i="85"/>
  <c r="I52" i="85"/>
  <c r="H52" i="85"/>
  <c r="E52" i="85"/>
  <c r="AG28" i="79"/>
  <c r="AH28" i="79" s="1"/>
  <c r="AG47" i="79"/>
  <c r="AH47" i="79" s="1"/>
  <c r="AG47" i="75"/>
  <c r="AH47" i="75" s="1"/>
  <c r="Z14" i="76"/>
  <c r="AG28" i="75"/>
  <c r="AH28" i="75" s="1"/>
  <c r="AG66" i="75"/>
  <c r="AH66" i="75" s="1"/>
  <c r="G32" i="69"/>
  <c r="G31" i="69"/>
  <c r="G30" i="69"/>
  <c r="G29" i="69"/>
  <c r="G48" i="69" s="1"/>
  <c r="G28" i="69"/>
  <c r="K33" i="36" l="1"/>
  <c r="AG71" i="85"/>
  <c r="AH71" i="85" s="1"/>
  <c r="AG33" i="85"/>
  <c r="AH33" i="85" s="1"/>
  <c r="AG52" i="75"/>
  <c r="AH52" i="75" s="1"/>
  <c r="O14" i="88"/>
  <c r="AD14" i="88"/>
  <c r="AG11" i="88"/>
  <c r="AH11" i="88" s="1"/>
  <c r="M109" i="86"/>
  <c r="M98" i="90" s="1"/>
  <c r="AG107" i="86"/>
  <c r="AH107" i="86" s="1"/>
  <c r="AF94" i="90"/>
  <c r="AF95" i="90"/>
  <c r="O105" i="86"/>
  <c r="O94" i="90" s="1"/>
  <c r="M94" i="90"/>
  <c r="AG108" i="86"/>
  <c r="AH108" i="86" s="1"/>
  <c r="O106" i="86"/>
  <c r="O95" i="90" s="1"/>
  <c r="M95" i="90"/>
  <c r="AG71" i="79"/>
  <c r="AH71" i="79" s="1"/>
  <c r="G33" i="69"/>
  <c r="AG9" i="85"/>
  <c r="AH9" i="85" s="1"/>
  <c r="G50" i="69"/>
  <c r="G88" i="75" s="1"/>
  <c r="G51" i="69"/>
  <c r="G14" i="69"/>
  <c r="G47" i="69"/>
  <c r="G49" i="69"/>
  <c r="G87" i="97" s="1"/>
  <c r="G106" i="97" s="1"/>
  <c r="G86" i="75"/>
  <c r="G86" i="22"/>
  <c r="M14" i="88"/>
  <c r="AF109" i="86"/>
  <c r="AF98" i="90" s="1"/>
  <c r="N9" i="87"/>
  <c r="K14" i="88"/>
  <c r="K44" i="88" s="1"/>
  <c r="AF10" i="88"/>
  <c r="AF14" i="88" s="1"/>
  <c r="D3" i="83"/>
  <c r="O9" i="87"/>
  <c r="P9" i="87" s="1"/>
  <c r="AG14" i="86"/>
  <c r="AH14" i="86" s="1"/>
  <c r="AG104" i="86"/>
  <c r="AH104" i="86" s="1"/>
  <c r="AG90" i="86"/>
  <c r="AH90" i="86" s="1"/>
  <c r="AG52" i="86"/>
  <c r="AH52" i="86" s="1"/>
  <c r="AG33" i="86"/>
  <c r="AH33" i="86" s="1"/>
  <c r="AF47" i="85"/>
  <c r="AF52" i="85" s="1"/>
  <c r="J142" i="85"/>
  <c r="M47" i="85"/>
  <c r="K52" i="85"/>
  <c r="AB52" i="85"/>
  <c r="Y54" i="85"/>
  <c r="AG52" i="79"/>
  <c r="AH52" i="79" s="1"/>
  <c r="AG33" i="79"/>
  <c r="AH33" i="79" s="1"/>
  <c r="AG33" i="75"/>
  <c r="AH33" i="75" s="1"/>
  <c r="AG71" i="75"/>
  <c r="AH71" i="75" s="1"/>
  <c r="G14" i="22"/>
  <c r="G89" i="79" l="1"/>
  <c r="G89" i="97"/>
  <c r="G108" i="97" s="1"/>
  <c r="G85" i="79"/>
  <c r="G104" i="79" s="1"/>
  <c r="G85" i="97"/>
  <c r="G11" i="99"/>
  <c r="G62" i="90"/>
  <c r="AG93" i="90"/>
  <c r="AG14" i="85"/>
  <c r="AH14" i="85" s="1"/>
  <c r="G87" i="22"/>
  <c r="G87" i="79"/>
  <c r="G106" i="79" s="1"/>
  <c r="O109" i="86"/>
  <c r="O44" i="88" s="1"/>
  <c r="M44" i="88"/>
  <c r="AG106" i="86"/>
  <c r="AH106" i="86" s="1"/>
  <c r="AG97" i="90"/>
  <c r="AG105" i="86"/>
  <c r="AH105" i="86" s="1"/>
  <c r="AG96" i="90"/>
  <c r="J147" i="85"/>
  <c r="G88" i="22"/>
  <c r="G52" i="69"/>
  <c r="G89" i="22"/>
  <c r="G85" i="22"/>
  <c r="AG10" i="88"/>
  <c r="O47" i="85"/>
  <c r="M52" i="85"/>
  <c r="J45" i="82"/>
  <c r="G71" i="22"/>
  <c r="G33" i="22"/>
  <c r="L129" i="22"/>
  <c r="L10" i="91" s="1"/>
  <c r="L96" i="91" s="1"/>
  <c r="L128" i="22"/>
  <c r="L9" i="91" s="1"/>
  <c r="L95" i="91" s="1"/>
  <c r="L127" i="22"/>
  <c r="L8" i="91" s="1"/>
  <c r="L94" i="91" s="1"/>
  <c r="L126" i="22"/>
  <c r="L7" i="91" s="1"/>
  <c r="L93" i="91" s="1"/>
  <c r="L125" i="22"/>
  <c r="K128" i="22"/>
  <c r="K9" i="91" s="1"/>
  <c r="K95" i="91" s="1"/>
  <c r="K127" i="22"/>
  <c r="K8" i="91" s="1"/>
  <c r="K94" i="91" s="1"/>
  <c r="K126" i="22"/>
  <c r="K7" i="91" s="1"/>
  <c r="K93" i="91" s="1"/>
  <c r="K125" i="22"/>
  <c r="K129" i="22"/>
  <c r="K10" i="91" s="1"/>
  <c r="K96" i="91" s="1"/>
  <c r="I27" i="56"/>
  <c r="M27" i="70"/>
  <c r="G9" i="81" l="1"/>
  <c r="G43" i="90"/>
  <c r="G64" i="90"/>
  <c r="G13" i="99"/>
  <c r="G104" i="97"/>
  <c r="G90" i="97"/>
  <c r="AG14" i="88"/>
  <c r="AH14" i="88" s="1"/>
  <c r="AH10" i="88"/>
  <c r="G11" i="81"/>
  <c r="G45" i="90"/>
  <c r="O98" i="90"/>
  <c r="L30" i="39"/>
  <c r="L6" i="91"/>
  <c r="L92" i="91" s="1"/>
  <c r="K30" i="39"/>
  <c r="K6" i="91"/>
  <c r="K92" i="91" s="1"/>
  <c r="AG109" i="86"/>
  <c r="AH109" i="86" s="1"/>
  <c r="AG94" i="90"/>
  <c r="AG95" i="90"/>
  <c r="K32" i="39"/>
  <c r="L32" i="39"/>
  <c r="K31" i="39"/>
  <c r="L31" i="39"/>
  <c r="K33" i="39"/>
  <c r="L33" i="39"/>
  <c r="L34" i="39"/>
  <c r="L45" i="76"/>
  <c r="K34" i="39"/>
  <c r="K36" i="88"/>
  <c r="K45" i="88" s="1"/>
  <c r="K46" i="81"/>
  <c r="L131" i="22"/>
  <c r="O52" i="85"/>
  <c r="AG47" i="85"/>
  <c r="AH47" i="85" s="1"/>
  <c r="N37" i="70"/>
  <c r="G109" i="97" l="1"/>
  <c r="G65" i="90" s="1"/>
  <c r="G9" i="99"/>
  <c r="G60" i="90"/>
  <c r="L12" i="91"/>
  <c r="L98" i="91" s="1"/>
  <c r="P4" i="70"/>
  <c r="AG98" i="90"/>
  <c r="K36" i="39"/>
  <c r="L36" i="39"/>
  <c r="L45" i="39" s="1"/>
  <c r="K45" i="76"/>
  <c r="L46" i="81"/>
  <c r="K36" i="82"/>
  <c r="K45" i="82" s="1"/>
  <c r="L36" i="88"/>
  <c r="L45" i="88" s="1"/>
  <c r="L36" i="82"/>
  <c r="L45" i="82" s="1"/>
  <c r="AG52" i="85"/>
  <c r="AH52" i="85" s="1"/>
  <c r="C17" i="56" l="1"/>
  <c r="C18" i="56" s="1"/>
  <c r="N8" i="83" l="1"/>
  <c r="O8" i="83" s="1"/>
  <c r="P8" i="83" s="1"/>
  <c r="L9" i="83"/>
  <c r="M23" i="36" s="1"/>
  <c r="M24" i="36" s="1"/>
  <c r="F29" i="70"/>
  <c r="F6" i="70" s="1"/>
  <c r="E29" i="70"/>
  <c r="E6" i="70" s="1"/>
  <c r="D29" i="70"/>
  <c r="D6" i="70" s="1"/>
  <c r="C29" i="70"/>
  <c r="C6" i="70" s="1"/>
  <c r="N28" i="70"/>
  <c r="R27" i="56" s="1"/>
  <c r="M28" i="70"/>
  <c r="R18" i="56" s="1"/>
  <c r="N27" i="70"/>
  <c r="F27" i="56"/>
  <c r="F18" i="56"/>
  <c r="N12" i="70"/>
  <c r="N13" i="70" s="1"/>
  <c r="O26" i="56" l="1"/>
  <c r="O27" i="56" s="1"/>
  <c r="O17" i="56"/>
  <c r="O18" i="56" s="1"/>
  <c r="N21" i="70"/>
  <c r="N29" i="70"/>
  <c r="M29" i="70"/>
  <c r="M6" i="70" s="1"/>
  <c r="C26" i="56"/>
  <c r="C27" i="56" s="1"/>
  <c r="K131" i="22"/>
  <c r="N6" i="70" l="1"/>
  <c r="K45" i="39"/>
  <c r="K12" i="91"/>
  <c r="K98" i="91" s="1"/>
  <c r="J45" i="39"/>
  <c r="AA31" i="69"/>
  <c r="AA50" i="69" s="1"/>
  <c r="Y31" i="69"/>
  <c r="X31" i="69"/>
  <c r="W31" i="69"/>
  <c r="V31" i="69"/>
  <c r="U31" i="69"/>
  <c r="N31" i="69"/>
  <c r="F6" i="39" l="1"/>
  <c r="AA30" i="69" l="1"/>
  <c r="Y30" i="69"/>
  <c r="X30" i="69"/>
  <c r="W30" i="69"/>
  <c r="V30" i="69"/>
  <c r="AD31" i="69" l="1"/>
  <c r="AA48" i="69" l="1"/>
  <c r="D30" i="76" l="1"/>
  <c r="K66" i="22" l="1"/>
  <c r="M7" i="36"/>
  <c r="K70" i="22"/>
  <c r="G129" i="22"/>
  <c r="G8" i="91"/>
  <c r="G94" i="91" s="1"/>
  <c r="G128" i="22"/>
  <c r="AD47" i="22"/>
  <c r="G10" i="91" l="1"/>
  <c r="G96" i="91" s="1"/>
  <c r="J146" i="22"/>
  <c r="G9" i="91"/>
  <c r="G95" i="91" s="1"/>
  <c r="J145" i="22"/>
  <c r="G33" i="39"/>
  <c r="G34" i="39"/>
  <c r="G32" i="39"/>
  <c r="J142" i="22"/>
  <c r="J147" i="22" l="1"/>
  <c r="G30" i="39"/>
  <c r="G36" i="39" s="1"/>
  <c r="G6" i="91"/>
  <c r="G92" i="91" s="1"/>
  <c r="G46" i="81"/>
  <c r="G36" i="88"/>
  <c r="G45" i="88" s="1"/>
  <c r="G45" i="76"/>
  <c r="G36" i="82"/>
  <c r="G45" i="82" s="1"/>
  <c r="D9" i="83" l="1"/>
  <c r="E23" i="36" s="1"/>
  <c r="E24" i="36" s="1"/>
  <c r="F9" i="36" l="1"/>
  <c r="G25" i="36" s="1"/>
  <c r="J51" i="69" l="1"/>
  <c r="J50" i="69"/>
  <c r="J49" i="69"/>
  <c r="J48" i="69"/>
  <c r="J85" i="79"/>
  <c r="N51" i="69"/>
  <c r="N48" i="69"/>
  <c r="E28" i="69"/>
  <c r="AA49" i="69"/>
  <c r="AA87" i="97" s="1"/>
  <c r="AD32" i="69"/>
  <c r="AC32" i="69" s="1"/>
  <c r="U51" i="69"/>
  <c r="U89" i="97" s="1"/>
  <c r="I32" i="69"/>
  <c r="H32" i="69"/>
  <c r="F32" i="69"/>
  <c r="E32" i="69"/>
  <c r="D32" i="69"/>
  <c r="AC31" i="69"/>
  <c r="U50" i="69"/>
  <c r="D31" i="69"/>
  <c r="I31" i="69"/>
  <c r="H31" i="69"/>
  <c r="F31" i="69"/>
  <c r="E31" i="69"/>
  <c r="AC30" i="69"/>
  <c r="X49" i="69"/>
  <c r="I30" i="69"/>
  <c r="H30" i="69"/>
  <c r="F30" i="69"/>
  <c r="E30" i="69"/>
  <c r="AD29" i="69"/>
  <c r="AC29" i="69" s="1"/>
  <c r="W48" i="69"/>
  <c r="I29" i="69"/>
  <c r="H29" i="69"/>
  <c r="F29" i="69"/>
  <c r="E29" i="69"/>
  <c r="D29" i="69"/>
  <c r="AD28" i="69"/>
  <c r="AC28" i="69" s="1"/>
  <c r="I28" i="69"/>
  <c r="H28" i="69"/>
  <c r="L52" i="69"/>
  <c r="Z51" i="69"/>
  <c r="Z50" i="69"/>
  <c r="Z49" i="69"/>
  <c r="Z48" i="69"/>
  <c r="Z47" i="69"/>
  <c r="X45" i="69"/>
  <c r="U45" i="69"/>
  <c r="K45" i="69"/>
  <c r="Y45" i="69" s="1"/>
  <c r="H45" i="69"/>
  <c r="V45" i="69" s="1"/>
  <c r="D45" i="69"/>
  <c r="D44" i="69"/>
  <c r="N41" i="69"/>
  <c r="AC41" i="69" s="1"/>
  <c r="L33" i="69"/>
  <c r="J33" i="69"/>
  <c r="Z32" i="69"/>
  <c r="Z31" i="69"/>
  <c r="Z30" i="69"/>
  <c r="Z29" i="69"/>
  <c r="Z28" i="69"/>
  <c r="X26" i="69"/>
  <c r="U26" i="69"/>
  <c r="K26" i="69"/>
  <c r="Y26" i="69" s="1"/>
  <c r="H26" i="69"/>
  <c r="V26" i="69" s="1"/>
  <c r="D26" i="69"/>
  <c r="D25" i="69"/>
  <c r="N22" i="69"/>
  <c r="AC22" i="69" s="1"/>
  <c r="Y7" i="69"/>
  <c r="X7" i="69"/>
  <c r="V7" i="69"/>
  <c r="U7" i="69"/>
  <c r="AC3" i="69"/>
  <c r="J89" i="79" l="1"/>
  <c r="J89" i="97"/>
  <c r="J108" i="97" s="1"/>
  <c r="J87" i="79"/>
  <c r="J87" i="97"/>
  <c r="Z89" i="79"/>
  <c r="Z108" i="79" s="1"/>
  <c r="Z89" i="97"/>
  <c r="Z108" i="97" s="1"/>
  <c r="Z87" i="79"/>
  <c r="Z106" i="79" s="1"/>
  <c r="Z87" i="97"/>
  <c r="Z106" i="97" s="1"/>
  <c r="Z85" i="79"/>
  <c r="Z85" i="97"/>
  <c r="N89" i="79"/>
  <c r="N89" i="97"/>
  <c r="N108" i="97" s="1"/>
  <c r="AA90" i="97"/>
  <c r="AA106" i="97"/>
  <c r="U108" i="97"/>
  <c r="X87" i="79"/>
  <c r="X106" i="79" s="1"/>
  <c r="X87" i="97"/>
  <c r="X106" i="97" s="1"/>
  <c r="AA87" i="79"/>
  <c r="AA106" i="79" s="1"/>
  <c r="AA87" i="22"/>
  <c r="AC106" i="79"/>
  <c r="AC106" i="22"/>
  <c r="K29" i="69"/>
  <c r="M29" i="69" s="1"/>
  <c r="O29" i="69" s="1"/>
  <c r="K32" i="69"/>
  <c r="K31" i="69"/>
  <c r="M31" i="69" s="1"/>
  <c r="O31" i="69" s="1"/>
  <c r="N86" i="22"/>
  <c r="N86" i="75"/>
  <c r="J86" i="22"/>
  <c r="J86" i="75"/>
  <c r="W86" i="22"/>
  <c r="W105" i="85"/>
  <c r="W86" i="75"/>
  <c r="W105" i="75" s="1"/>
  <c r="U89" i="22"/>
  <c r="U89" i="79"/>
  <c r="AA106" i="85"/>
  <c r="AA106" i="75"/>
  <c r="N89" i="22"/>
  <c r="J87" i="22"/>
  <c r="U88" i="22"/>
  <c r="U88" i="75"/>
  <c r="AA88" i="22"/>
  <c r="AA107" i="22" s="1"/>
  <c r="J19" i="94" s="1"/>
  <c r="J27" i="94" s="1"/>
  <c r="AA107" i="85"/>
  <c r="AA88" i="75"/>
  <c r="AA107" i="75" s="1"/>
  <c r="AA108" i="85"/>
  <c r="J88" i="22"/>
  <c r="J88" i="75"/>
  <c r="X87" i="22"/>
  <c r="X106" i="85"/>
  <c r="X106" i="75"/>
  <c r="J85" i="22"/>
  <c r="J85" i="75"/>
  <c r="J89" i="22"/>
  <c r="AE32" i="69"/>
  <c r="E49" i="69"/>
  <c r="E87" i="97" s="1"/>
  <c r="E106" i="97" s="1"/>
  <c r="D30" i="69"/>
  <c r="K30" i="69" s="1"/>
  <c r="M30" i="69" s="1"/>
  <c r="AE29" i="69"/>
  <c r="AB30" i="69"/>
  <c r="Y47" i="69"/>
  <c r="E50" i="69"/>
  <c r="E88" i="22" s="1"/>
  <c r="E107" i="22" s="1"/>
  <c r="E47" i="69"/>
  <c r="AB28" i="69"/>
  <c r="D28" i="69"/>
  <c r="V51" i="69"/>
  <c r="V89" i="97" s="1"/>
  <c r="H51" i="69"/>
  <c r="W51" i="69"/>
  <c r="W89" i="97" s="1"/>
  <c r="W108" i="97" s="1"/>
  <c r="E51" i="69"/>
  <c r="Y51" i="69"/>
  <c r="Y89" i="97" s="1"/>
  <c r="Y108" i="97" s="1"/>
  <c r="AD51" i="69"/>
  <c r="AE89" i="97" s="1"/>
  <c r="AE108" i="97" s="1"/>
  <c r="I51" i="69"/>
  <c r="X51" i="69"/>
  <c r="X89" i="97" s="1"/>
  <c r="X108" i="97" s="1"/>
  <c r="D51" i="69"/>
  <c r="W50" i="69"/>
  <c r="X50" i="69"/>
  <c r="V50" i="69"/>
  <c r="F50" i="69"/>
  <c r="AD50" i="69"/>
  <c r="I50" i="69"/>
  <c r="Y50" i="69"/>
  <c r="D50" i="69"/>
  <c r="D88" i="22" s="1"/>
  <c r="D107" i="22" s="1"/>
  <c r="U49" i="69"/>
  <c r="H49" i="69"/>
  <c r="W49" i="69"/>
  <c r="Y49" i="69"/>
  <c r="F49" i="69"/>
  <c r="AD49" i="69"/>
  <c r="V49" i="69"/>
  <c r="H48" i="69"/>
  <c r="U48" i="69"/>
  <c r="Y33" i="69"/>
  <c r="I48" i="69"/>
  <c r="F48" i="69"/>
  <c r="F33" i="69"/>
  <c r="D48" i="69"/>
  <c r="V48" i="69"/>
  <c r="AD48" i="69"/>
  <c r="V47" i="69"/>
  <c r="I47" i="69"/>
  <c r="X47" i="69"/>
  <c r="U47" i="69"/>
  <c r="H47" i="69"/>
  <c r="W47" i="69"/>
  <c r="AA47" i="69"/>
  <c r="AC85" i="97" s="1"/>
  <c r="AD47" i="69"/>
  <c r="V33" i="69"/>
  <c r="H50" i="69"/>
  <c r="F51" i="69"/>
  <c r="F89" i="97" s="1"/>
  <c r="I49" i="69"/>
  <c r="E48" i="69"/>
  <c r="E86" i="22" s="1"/>
  <c r="X48" i="69"/>
  <c r="Y48" i="69"/>
  <c r="F14" i="69"/>
  <c r="H33" i="69"/>
  <c r="J52" i="69"/>
  <c r="E33" i="69"/>
  <c r="I33" i="69"/>
  <c r="F47" i="69"/>
  <c r="U33" i="69"/>
  <c r="AD33" i="69"/>
  <c r="AA33" i="69"/>
  <c r="W33" i="69"/>
  <c r="AC33" i="69"/>
  <c r="Z33" i="69"/>
  <c r="V14" i="69"/>
  <c r="AC47" i="69"/>
  <c r="AC49" i="69"/>
  <c r="J14" i="69"/>
  <c r="Z14" i="69"/>
  <c r="X33" i="69"/>
  <c r="I14" i="69"/>
  <c r="AD14" i="69"/>
  <c r="W14" i="69"/>
  <c r="AC50" i="69"/>
  <c r="E14" i="69"/>
  <c r="N14" i="69"/>
  <c r="AA14" i="69"/>
  <c r="Z52" i="69"/>
  <c r="X14" i="69"/>
  <c r="H14" i="69"/>
  <c r="L14" i="69"/>
  <c r="U14" i="69"/>
  <c r="Z104" i="79" l="1"/>
  <c r="Z109" i="79" s="1"/>
  <c r="Z48" i="90" s="1"/>
  <c r="Z90" i="79"/>
  <c r="Z45" i="90"/>
  <c r="Z11" i="81"/>
  <c r="Z9" i="81"/>
  <c r="Z43" i="90"/>
  <c r="J13" i="99"/>
  <c r="J64" i="90"/>
  <c r="J106" i="97"/>
  <c r="J90" i="97"/>
  <c r="Z13" i="99"/>
  <c r="Z64" i="90"/>
  <c r="Z11" i="99"/>
  <c r="Z62" i="90"/>
  <c r="Z104" i="97"/>
  <c r="Z90" i="97"/>
  <c r="X11" i="81"/>
  <c r="X45" i="90"/>
  <c r="N13" i="99"/>
  <c r="J7" i="98"/>
  <c r="N64" i="90"/>
  <c r="AA109" i="97"/>
  <c r="AA65" i="90" s="1"/>
  <c r="AA11" i="99"/>
  <c r="AA62" i="90"/>
  <c r="U13" i="99"/>
  <c r="U64" i="90"/>
  <c r="X11" i="99"/>
  <c r="X62" i="90"/>
  <c r="E11" i="99"/>
  <c r="E62" i="90"/>
  <c r="Y85" i="79"/>
  <c r="Y104" i="79" s="1"/>
  <c r="Y85" i="97"/>
  <c r="E85" i="79"/>
  <c r="E104" i="79" s="1"/>
  <c r="E85" i="97"/>
  <c r="V108" i="97"/>
  <c r="H89" i="79"/>
  <c r="H89" i="97"/>
  <c r="W64" i="90"/>
  <c r="W13" i="99"/>
  <c r="E89" i="22"/>
  <c r="E89" i="97"/>
  <c r="E108" i="97" s="1"/>
  <c r="Y13" i="99"/>
  <c r="Y64" i="90"/>
  <c r="AE64" i="90"/>
  <c r="AD108" i="97"/>
  <c r="AE13" i="99"/>
  <c r="I89" i="79"/>
  <c r="I108" i="79" s="1"/>
  <c r="I89" i="97"/>
  <c r="I108" i="97" s="1"/>
  <c r="X13" i="99"/>
  <c r="X64" i="90"/>
  <c r="D89" i="22"/>
  <c r="H146" i="22" s="1"/>
  <c r="D89" i="97"/>
  <c r="K89" i="97" s="1"/>
  <c r="M89" i="97" s="1"/>
  <c r="O89" i="97" s="1"/>
  <c r="U87" i="79"/>
  <c r="U106" i="79" s="1"/>
  <c r="U87" i="97"/>
  <c r="H87" i="79"/>
  <c r="H106" i="79" s="1"/>
  <c r="H87" i="97"/>
  <c r="H106" i="97" s="1"/>
  <c r="W87" i="79"/>
  <c r="W106" i="79" s="1"/>
  <c r="W87" i="97"/>
  <c r="Y87" i="79"/>
  <c r="Y106" i="79" s="1"/>
  <c r="Y87" i="97"/>
  <c r="Y106" i="97" s="1"/>
  <c r="F87" i="79"/>
  <c r="F106" i="79" s="1"/>
  <c r="F87" i="97"/>
  <c r="AE87" i="79"/>
  <c r="AE106" i="79" s="1"/>
  <c r="AE87" i="97"/>
  <c r="V87" i="79"/>
  <c r="V106" i="79" s="1"/>
  <c r="V87" i="97"/>
  <c r="V106" i="97" s="1"/>
  <c r="V85" i="79"/>
  <c r="V104" i="79" s="1"/>
  <c r="V85" i="97"/>
  <c r="I85" i="79"/>
  <c r="I85" i="97"/>
  <c r="X85" i="79"/>
  <c r="X104" i="79" s="1"/>
  <c r="X85" i="97"/>
  <c r="U85" i="79"/>
  <c r="U85" i="97"/>
  <c r="H85" i="79"/>
  <c r="H104" i="79" s="1"/>
  <c r="H85" i="97"/>
  <c r="H104" i="97" s="1"/>
  <c r="W85" i="79"/>
  <c r="W104" i="79" s="1"/>
  <c r="W85" i="97"/>
  <c r="W104" i="97" s="1"/>
  <c r="AC104" i="97"/>
  <c r="AC90" i="97"/>
  <c r="AE85" i="79"/>
  <c r="AE104" i="79" s="1"/>
  <c r="AE85" i="97"/>
  <c r="AE104" i="97" s="1"/>
  <c r="F108" i="97"/>
  <c r="I87" i="79"/>
  <c r="I106" i="79" s="1"/>
  <c r="I87" i="97"/>
  <c r="I106" i="97" s="1"/>
  <c r="F85" i="79"/>
  <c r="F104" i="79" s="1"/>
  <c r="F85" i="97"/>
  <c r="F104" i="97" s="1"/>
  <c r="AD85" i="79"/>
  <c r="AD85" i="97"/>
  <c r="AD87" i="79"/>
  <c r="AD87" i="97"/>
  <c r="AA11" i="81"/>
  <c r="Z47" i="90"/>
  <c r="M32" i="69"/>
  <c r="O32" i="69" s="1"/>
  <c r="AF32" i="69" s="1"/>
  <c r="AG32" i="69" s="1"/>
  <c r="K28" i="69"/>
  <c r="M28" i="69" s="1"/>
  <c r="AE30" i="69"/>
  <c r="AB49" i="69"/>
  <c r="AB87" i="97" s="1"/>
  <c r="AB106" i="97" s="1"/>
  <c r="AE28" i="69"/>
  <c r="AB47" i="69"/>
  <c r="AB85" i="97" s="1"/>
  <c r="D86" i="22"/>
  <c r="H143" i="22" s="1"/>
  <c r="K48" i="69"/>
  <c r="M48" i="69" s="1"/>
  <c r="O48" i="69" s="1"/>
  <c r="AA45" i="90"/>
  <c r="AC11" i="39"/>
  <c r="AC11" i="90"/>
  <c r="AC11" i="81"/>
  <c r="AC45" i="90"/>
  <c r="AA104" i="79"/>
  <c r="AC85" i="79"/>
  <c r="AC85" i="22"/>
  <c r="AC104" i="22" s="1"/>
  <c r="E87" i="79"/>
  <c r="E106" i="79" s="1"/>
  <c r="E87" i="22"/>
  <c r="AA12" i="82"/>
  <c r="AA79" i="90"/>
  <c r="AA11" i="82"/>
  <c r="AA78" i="90"/>
  <c r="AA13" i="82"/>
  <c r="AA80" i="90"/>
  <c r="X11" i="82"/>
  <c r="X78" i="90"/>
  <c r="W10" i="82"/>
  <c r="W77" i="90"/>
  <c r="AA12" i="76"/>
  <c r="AA29" i="90"/>
  <c r="X11" i="76"/>
  <c r="X28" i="90"/>
  <c r="AA11" i="76"/>
  <c r="AA28" i="90"/>
  <c r="W10" i="76"/>
  <c r="W27" i="90"/>
  <c r="D47" i="69"/>
  <c r="K50" i="69"/>
  <c r="M50" i="69" s="1"/>
  <c r="K51" i="69"/>
  <c r="H87" i="22"/>
  <c r="G106" i="85"/>
  <c r="H106" i="85"/>
  <c r="H106" i="75"/>
  <c r="G106" i="75"/>
  <c r="G106" i="22"/>
  <c r="G25" i="93" s="1"/>
  <c r="G34" i="93" s="1"/>
  <c r="I89" i="22"/>
  <c r="I108" i="85"/>
  <c r="Z13" i="81"/>
  <c r="U107" i="85"/>
  <c r="Y86" i="22"/>
  <c r="Y105" i="85"/>
  <c r="Y86" i="75"/>
  <c r="Y105" i="75" s="1"/>
  <c r="F89" i="22"/>
  <c r="F108" i="85"/>
  <c r="F80" i="90" s="1"/>
  <c r="F89" i="79"/>
  <c r="AA104" i="22"/>
  <c r="X85" i="22"/>
  <c r="V86" i="22"/>
  <c r="V105" i="85"/>
  <c r="V86" i="75"/>
  <c r="V105" i="75" s="1"/>
  <c r="AA86" i="22"/>
  <c r="AA105" i="85"/>
  <c r="AA86" i="75"/>
  <c r="AA105" i="75" s="1"/>
  <c r="H86" i="22"/>
  <c r="G105" i="85"/>
  <c r="H105" i="85"/>
  <c r="G105" i="75"/>
  <c r="H86" i="75"/>
  <c r="H105" i="75" s="1"/>
  <c r="G105" i="22"/>
  <c r="G24" i="93" s="1"/>
  <c r="G33" i="93" s="1"/>
  <c r="Y87" i="22"/>
  <c r="Y106" i="85"/>
  <c r="Y106" i="75"/>
  <c r="D88" i="75"/>
  <c r="F88" i="22"/>
  <c r="F107" i="85"/>
  <c r="F79" i="90" s="1"/>
  <c r="F88" i="75"/>
  <c r="F107" i="75" s="1"/>
  <c r="F29" i="90" s="1"/>
  <c r="D89" i="79"/>
  <c r="I129" i="79" s="1"/>
  <c r="Y89" i="22"/>
  <c r="Y108" i="85"/>
  <c r="Y89" i="79"/>
  <c r="V89" i="22"/>
  <c r="V108" i="85"/>
  <c r="V89" i="79"/>
  <c r="E85" i="22"/>
  <c r="J90" i="75"/>
  <c r="U108" i="79"/>
  <c r="I88" i="22"/>
  <c r="I107" i="85"/>
  <c r="I88" i="75"/>
  <c r="I107" i="75" s="1"/>
  <c r="X86" i="22"/>
  <c r="X105" i="85"/>
  <c r="X86" i="75"/>
  <c r="X105" i="75" s="1"/>
  <c r="H88" i="22"/>
  <c r="H107" i="85"/>
  <c r="G107" i="85"/>
  <c r="H88" i="75"/>
  <c r="H107" i="75" s="1"/>
  <c r="G107" i="75"/>
  <c r="G107" i="22"/>
  <c r="G26" i="93" s="1"/>
  <c r="G35" i="93" s="1"/>
  <c r="W85" i="22"/>
  <c r="I85" i="22"/>
  <c r="D86" i="75"/>
  <c r="I126" i="75" s="1"/>
  <c r="I86" i="22"/>
  <c r="I105" i="85"/>
  <c r="I86" i="75"/>
  <c r="I105" i="75" s="1"/>
  <c r="V87" i="22"/>
  <c r="V106" i="85"/>
  <c r="V106" i="75"/>
  <c r="W87" i="22"/>
  <c r="W106" i="85"/>
  <c r="W106" i="75"/>
  <c r="Y88" i="22"/>
  <c r="Y107" i="85"/>
  <c r="Y88" i="75"/>
  <c r="Y107" i="75" s="1"/>
  <c r="V88" i="22"/>
  <c r="V107" i="85"/>
  <c r="V88" i="75"/>
  <c r="V107" i="75" s="1"/>
  <c r="X89" i="22"/>
  <c r="X108" i="85"/>
  <c r="X89" i="79"/>
  <c r="E108" i="85"/>
  <c r="E80" i="90" s="1"/>
  <c r="E89" i="79"/>
  <c r="E107" i="85"/>
  <c r="E79" i="90" s="1"/>
  <c r="E88" i="75"/>
  <c r="E107" i="75" s="1"/>
  <c r="E29" i="90" s="1"/>
  <c r="J104" i="85"/>
  <c r="J90" i="85"/>
  <c r="J107" i="85"/>
  <c r="U107" i="75"/>
  <c r="U29" i="90" s="1"/>
  <c r="J106" i="85"/>
  <c r="U108" i="85"/>
  <c r="AB86" i="75"/>
  <c r="AB105" i="75" s="1"/>
  <c r="N105" i="75"/>
  <c r="N27" i="90" s="1"/>
  <c r="H85" i="22"/>
  <c r="E105" i="22"/>
  <c r="E24" i="93" s="1"/>
  <c r="E33" i="93" s="1"/>
  <c r="E105" i="85"/>
  <c r="E77" i="90" s="1"/>
  <c r="E86" i="75"/>
  <c r="E105" i="75" s="1"/>
  <c r="E27" i="90" s="1"/>
  <c r="AE87" i="22"/>
  <c r="AE106" i="85"/>
  <c r="AE106" i="75"/>
  <c r="X88" i="22"/>
  <c r="X107" i="85"/>
  <c r="X88" i="75"/>
  <c r="X107" i="75" s="1"/>
  <c r="W89" i="22"/>
  <c r="W108" i="85"/>
  <c r="W89" i="79"/>
  <c r="Y85" i="22"/>
  <c r="J108" i="85"/>
  <c r="AB105" i="85"/>
  <c r="N105" i="85"/>
  <c r="N77" i="90" s="1"/>
  <c r="I87" i="22"/>
  <c r="I106" i="85"/>
  <c r="I106" i="75"/>
  <c r="AE85" i="22"/>
  <c r="AD85" i="75"/>
  <c r="U85" i="22"/>
  <c r="AE86" i="22"/>
  <c r="AE105" i="85"/>
  <c r="AE86" i="75"/>
  <c r="AE105" i="75" s="1"/>
  <c r="F86" i="22"/>
  <c r="F105" i="85"/>
  <c r="F77" i="90" s="1"/>
  <c r="F86" i="75"/>
  <c r="F105" i="75" s="1"/>
  <c r="F27" i="90" s="1"/>
  <c r="U86" i="22"/>
  <c r="U86" i="75"/>
  <c r="F87" i="22"/>
  <c r="F106" i="85"/>
  <c r="F78" i="90" s="1"/>
  <c r="F106" i="75"/>
  <c r="F28" i="90" s="1"/>
  <c r="U87" i="22"/>
  <c r="AE88" i="22"/>
  <c r="AE107" i="85"/>
  <c r="AE88" i="75"/>
  <c r="AE107" i="75" s="1"/>
  <c r="W88" i="22"/>
  <c r="W107" i="85"/>
  <c r="W88" i="75"/>
  <c r="W107" i="75" s="1"/>
  <c r="AE89" i="22"/>
  <c r="AE108" i="85"/>
  <c r="AE89" i="79"/>
  <c r="H89" i="22"/>
  <c r="G108" i="85"/>
  <c r="H108" i="85"/>
  <c r="G108" i="22"/>
  <c r="G27" i="93" s="1"/>
  <c r="G36" i="93" s="1"/>
  <c r="E106" i="85"/>
  <c r="E78" i="90" s="1"/>
  <c r="E106" i="75"/>
  <c r="E28" i="90" s="1"/>
  <c r="AA90" i="79"/>
  <c r="AA108" i="79"/>
  <c r="AB108" i="85"/>
  <c r="N108" i="85"/>
  <c r="N80" i="90" s="1"/>
  <c r="J105" i="85"/>
  <c r="AB51" i="69"/>
  <c r="D33" i="69"/>
  <c r="D49" i="69"/>
  <c r="O30" i="69"/>
  <c r="N49" i="69"/>
  <c r="N87" i="97" s="1"/>
  <c r="N106" i="97" s="1"/>
  <c r="AD52" i="69"/>
  <c r="AB31" i="69"/>
  <c r="AE31" i="69" s="1"/>
  <c r="AE33" i="69" s="1"/>
  <c r="N50" i="69"/>
  <c r="Y14" i="69"/>
  <c r="Y16" i="69" s="1"/>
  <c r="N33" i="69"/>
  <c r="AA52" i="69"/>
  <c r="N47" i="69"/>
  <c r="W52" i="69"/>
  <c r="V52" i="69"/>
  <c r="V85" i="22"/>
  <c r="U52" i="69"/>
  <c r="H52" i="69"/>
  <c r="Y52" i="69"/>
  <c r="I52" i="69"/>
  <c r="X52" i="69"/>
  <c r="E52" i="69"/>
  <c r="F52" i="69"/>
  <c r="F85" i="22"/>
  <c r="AF13" i="69"/>
  <c r="AG13" i="69" s="1"/>
  <c r="AC51" i="69"/>
  <c r="AF10" i="69"/>
  <c r="AG10" i="69" s="1"/>
  <c r="AC48" i="69"/>
  <c r="Y35" i="69"/>
  <c r="AF29" i="69"/>
  <c r="AG29" i="69" s="1"/>
  <c r="AF12" i="69"/>
  <c r="AG12" i="69" s="1"/>
  <c r="AF11" i="69"/>
  <c r="AG11" i="69" s="1"/>
  <c r="AC14" i="69"/>
  <c r="AB14" i="69"/>
  <c r="Z14" i="81" l="1"/>
  <c r="J109" i="97"/>
  <c r="J65" i="90" s="1"/>
  <c r="J11" i="99"/>
  <c r="J14" i="99" s="1"/>
  <c r="J45" i="99" s="1"/>
  <c r="J62" i="90"/>
  <c r="Z109" i="97"/>
  <c r="Z65" i="90" s="1"/>
  <c r="Z9" i="99"/>
  <c r="Z14" i="99" s="1"/>
  <c r="Z60" i="90"/>
  <c r="E9" i="81"/>
  <c r="E43" i="90"/>
  <c r="F9" i="81"/>
  <c r="F43" i="90"/>
  <c r="Y9" i="81"/>
  <c r="Y43" i="90"/>
  <c r="H11" i="81"/>
  <c r="H45" i="90"/>
  <c r="W11" i="81"/>
  <c r="W45" i="90"/>
  <c r="Y11" i="81"/>
  <c r="Y45" i="90"/>
  <c r="AE11" i="81"/>
  <c r="AE45" i="90"/>
  <c r="V11" i="81"/>
  <c r="V45" i="90"/>
  <c r="V9" i="81"/>
  <c r="V43" i="90"/>
  <c r="I104" i="79"/>
  <c r="I109" i="79" s="1"/>
  <c r="I48" i="90" s="1"/>
  <c r="I90" i="79"/>
  <c r="X43" i="90"/>
  <c r="X9" i="81"/>
  <c r="U104" i="79"/>
  <c r="U90" i="79"/>
  <c r="H9" i="81"/>
  <c r="H43" i="90"/>
  <c r="W9" i="81"/>
  <c r="W43" i="90"/>
  <c r="AE9" i="81"/>
  <c r="AE43" i="90"/>
  <c r="I11" i="81"/>
  <c r="I45" i="90"/>
  <c r="Y104" i="97"/>
  <c r="Y90" i="97"/>
  <c r="AF85" i="97"/>
  <c r="E104" i="97"/>
  <c r="E90" i="97"/>
  <c r="V13" i="99"/>
  <c r="V64" i="90"/>
  <c r="H108" i="97"/>
  <c r="H109" i="97" s="1"/>
  <c r="H65" i="90" s="1"/>
  <c r="H90" i="97"/>
  <c r="E13" i="99"/>
  <c r="E64" i="90"/>
  <c r="AD13" i="99"/>
  <c r="AD64" i="90"/>
  <c r="I13" i="99"/>
  <c r="I64" i="90"/>
  <c r="D108" i="97"/>
  <c r="I129" i="97"/>
  <c r="H146" i="97"/>
  <c r="G7" i="98" s="1"/>
  <c r="H7" i="98" s="1"/>
  <c r="U106" i="97"/>
  <c r="AF87" i="97"/>
  <c r="H11" i="99"/>
  <c r="H62" i="90"/>
  <c r="W106" i="97"/>
  <c r="W109" i="97" s="1"/>
  <c r="W65" i="90" s="1"/>
  <c r="W90" i="97"/>
  <c r="Y11" i="99"/>
  <c r="Y62" i="90"/>
  <c r="F106" i="97"/>
  <c r="F109" i="97" s="1"/>
  <c r="F65" i="90" s="1"/>
  <c r="F90" i="97"/>
  <c r="AE106" i="97"/>
  <c r="AE109" i="97" s="1"/>
  <c r="AE65" i="90" s="1"/>
  <c r="AE90" i="97"/>
  <c r="V11" i="99"/>
  <c r="V62" i="90"/>
  <c r="V104" i="97"/>
  <c r="V90" i="97"/>
  <c r="I104" i="97"/>
  <c r="I90" i="97"/>
  <c r="X104" i="97"/>
  <c r="X90" i="97"/>
  <c r="U104" i="97"/>
  <c r="U90" i="97"/>
  <c r="H9" i="99"/>
  <c r="H60" i="90"/>
  <c r="W60" i="90"/>
  <c r="W9" i="99"/>
  <c r="AC109" i="97"/>
  <c r="AC65" i="90" s="1"/>
  <c r="AC9" i="99"/>
  <c r="AC60" i="90"/>
  <c r="AD104" i="97"/>
  <c r="AE9" i="99"/>
  <c r="AE60" i="90"/>
  <c r="F64" i="90"/>
  <c r="F13" i="99"/>
  <c r="I11" i="99"/>
  <c r="I62" i="90"/>
  <c r="F9" i="99"/>
  <c r="F60" i="90"/>
  <c r="AB11" i="99"/>
  <c r="AB62" i="90"/>
  <c r="AB104" i="97"/>
  <c r="D85" i="22"/>
  <c r="D85" i="97"/>
  <c r="AB89" i="79"/>
  <c r="AB89" i="97"/>
  <c r="AB90" i="97" s="1"/>
  <c r="D87" i="22"/>
  <c r="K87" i="22" s="1"/>
  <c r="D87" i="97"/>
  <c r="J5" i="98"/>
  <c r="N62" i="90"/>
  <c r="N11" i="99"/>
  <c r="N85" i="79"/>
  <c r="N104" i="79" s="1"/>
  <c r="N43" i="90" s="1"/>
  <c r="N85" i="97"/>
  <c r="AD89" i="79"/>
  <c r="AD90" i="79" s="1"/>
  <c r="AD89" i="97"/>
  <c r="AD90" i="97" s="1"/>
  <c r="AC112" i="90"/>
  <c r="E45" i="90"/>
  <c r="I47" i="90"/>
  <c r="AA47" i="90"/>
  <c r="AA9" i="81"/>
  <c r="U47" i="90"/>
  <c r="AF30" i="69"/>
  <c r="AG30" i="69" s="1"/>
  <c r="AA43" i="90"/>
  <c r="J16" i="94"/>
  <c r="J24" i="94" s="1"/>
  <c r="AC90" i="22"/>
  <c r="AC104" i="79"/>
  <c r="AC90" i="79"/>
  <c r="G13" i="90"/>
  <c r="G12" i="90"/>
  <c r="G11" i="90"/>
  <c r="E10" i="90"/>
  <c r="E111" i="90" s="1"/>
  <c r="G10" i="90"/>
  <c r="E11" i="81"/>
  <c r="AE49" i="69"/>
  <c r="AB87" i="79"/>
  <c r="F45" i="90"/>
  <c r="F11" i="81"/>
  <c r="O87" i="75"/>
  <c r="N87" i="79"/>
  <c r="N106" i="79" s="1"/>
  <c r="U11" i="81"/>
  <c r="U45" i="90"/>
  <c r="K49" i="69"/>
  <c r="M49" i="69" s="1"/>
  <c r="O49" i="69" s="1"/>
  <c r="D87" i="79"/>
  <c r="J10" i="82"/>
  <c r="J77" i="90"/>
  <c r="J13" i="82"/>
  <c r="J80" i="90"/>
  <c r="J11" i="82"/>
  <c r="J78" i="90"/>
  <c r="J9" i="82"/>
  <c r="J76" i="90"/>
  <c r="J12" i="82"/>
  <c r="J79" i="90"/>
  <c r="AE12" i="82"/>
  <c r="AE79" i="90"/>
  <c r="AE11" i="82"/>
  <c r="AE78" i="90"/>
  <c r="U13" i="82"/>
  <c r="U80" i="90"/>
  <c r="W11" i="82"/>
  <c r="W78" i="90"/>
  <c r="H12" i="82"/>
  <c r="H79" i="90"/>
  <c r="Y13" i="82"/>
  <c r="Y80" i="90"/>
  <c r="G10" i="82"/>
  <c r="G77" i="90"/>
  <c r="U12" i="82"/>
  <c r="U79" i="90"/>
  <c r="H11" i="82"/>
  <c r="H78" i="90"/>
  <c r="V13" i="82"/>
  <c r="V80" i="90"/>
  <c r="G11" i="82"/>
  <c r="G78" i="90"/>
  <c r="Y12" i="82"/>
  <c r="Y79" i="90"/>
  <c r="H13" i="82"/>
  <c r="H80" i="90"/>
  <c r="AB10" i="82"/>
  <c r="AB77" i="90"/>
  <c r="W13" i="82"/>
  <c r="W80" i="90"/>
  <c r="V12" i="82"/>
  <c r="V79" i="90"/>
  <c r="I10" i="82"/>
  <c r="I77" i="90"/>
  <c r="I12" i="82"/>
  <c r="I79" i="90"/>
  <c r="Y11" i="82"/>
  <c r="Y78" i="90"/>
  <c r="V10" i="82"/>
  <c r="V77" i="90"/>
  <c r="Y10" i="82"/>
  <c r="Y77" i="90"/>
  <c r="W12" i="82"/>
  <c r="W79" i="90"/>
  <c r="AE10" i="82"/>
  <c r="AE77" i="90"/>
  <c r="X12" i="82"/>
  <c r="X79" i="90"/>
  <c r="AE13" i="82"/>
  <c r="AE80" i="90"/>
  <c r="AB13" i="82"/>
  <c r="AB80" i="90"/>
  <c r="G13" i="82"/>
  <c r="G80" i="90"/>
  <c r="I11" i="82"/>
  <c r="I78" i="90"/>
  <c r="X13" i="82"/>
  <c r="X80" i="90"/>
  <c r="V11" i="82"/>
  <c r="V78" i="90"/>
  <c r="G12" i="82"/>
  <c r="G79" i="90"/>
  <c r="X10" i="82"/>
  <c r="X77" i="90"/>
  <c r="H10" i="82"/>
  <c r="H77" i="90"/>
  <c r="AA10" i="82"/>
  <c r="AA77" i="90"/>
  <c r="I13" i="82"/>
  <c r="I80" i="90"/>
  <c r="I34" i="81"/>
  <c r="I39" i="91"/>
  <c r="W12" i="76"/>
  <c r="W29" i="90"/>
  <c r="X12" i="76"/>
  <c r="X29" i="90"/>
  <c r="H12" i="76"/>
  <c r="H29" i="90"/>
  <c r="AE12" i="76"/>
  <c r="AE29" i="90"/>
  <c r="Y12" i="76"/>
  <c r="Y29" i="90"/>
  <c r="V12" i="76"/>
  <c r="V29" i="90"/>
  <c r="G12" i="76"/>
  <c r="G29" i="90"/>
  <c r="I12" i="76"/>
  <c r="I29" i="90"/>
  <c r="Y11" i="76"/>
  <c r="Y28" i="90"/>
  <c r="I11" i="76"/>
  <c r="I28" i="90"/>
  <c r="V11" i="76"/>
  <c r="V28" i="90"/>
  <c r="G11" i="76"/>
  <c r="G28" i="90"/>
  <c r="AE11" i="76"/>
  <c r="AE28" i="90"/>
  <c r="W11" i="76"/>
  <c r="W28" i="90"/>
  <c r="H11" i="76"/>
  <c r="H28" i="90"/>
  <c r="AB10" i="76"/>
  <c r="AB27" i="90"/>
  <c r="I31" i="76"/>
  <c r="I22" i="91"/>
  <c r="I10" i="76"/>
  <c r="I27" i="90"/>
  <c r="H10" i="76"/>
  <c r="H27" i="90"/>
  <c r="V10" i="76"/>
  <c r="V27" i="90"/>
  <c r="Y10" i="76"/>
  <c r="Y27" i="90"/>
  <c r="AE10" i="76"/>
  <c r="AE27" i="90"/>
  <c r="X10" i="76"/>
  <c r="X27" i="90"/>
  <c r="G10" i="76"/>
  <c r="G27" i="90"/>
  <c r="AA10" i="76"/>
  <c r="AA27" i="90"/>
  <c r="G4" i="36"/>
  <c r="D105" i="22"/>
  <c r="AE47" i="69"/>
  <c r="AB85" i="79"/>
  <c r="AB104" i="79" s="1"/>
  <c r="K47" i="69"/>
  <c r="M47" i="69" s="1"/>
  <c r="O47" i="69" s="1"/>
  <c r="D85" i="79"/>
  <c r="I126" i="22"/>
  <c r="I7" i="91" s="1"/>
  <c r="I93" i="91" s="1"/>
  <c r="I129" i="22"/>
  <c r="I10" i="91" s="1"/>
  <c r="K86" i="22"/>
  <c r="K89" i="22"/>
  <c r="K88" i="22"/>
  <c r="AE90" i="22"/>
  <c r="N13" i="82"/>
  <c r="J7" i="83"/>
  <c r="F11" i="82"/>
  <c r="E10" i="82"/>
  <c r="E13" i="82"/>
  <c r="E12" i="82"/>
  <c r="E11" i="82"/>
  <c r="F12" i="82"/>
  <c r="F13" i="82"/>
  <c r="F10" i="82"/>
  <c r="J4" i="83"/>
  <c r="N10" i="82"/>
  <c r="AD107" i="85"/>
  <c r="AD106" i="85"/>
  <c r="AD105" i="85"/>
  <c r="AA13" i="81"/>
  <c r="AA109" i="79"/>
  <c r="AA48" i="90" s="1"/>
  <c r="U106" i="85"/>
  <c r="Y90" i="85"/>
  <c r="Y104" i="85"/>
  <c r="Y76" i="90" s="1"/>
  <c r="E11" i="76"/>
  <c r="G90" i="79"/>
  <c r="G108" i="79"/>
  <c r="AE90" i="79"/>
  <c r="AE108" i="79"/>
  <c r="AE109" i="79" s="1"/>
  <c r="F11" i="76"/>
  <c r="U105" i="85"/>
  <c r="U90" i="75"/>
  <c r="U104" i="75"/>
  <c r="U26" i="90" s="1"/>
  <c r="AE90" i="85"/>
  <c r="AE104" i="85"/>
  <c r="W90" i="79"/>
  <c r="W108" i="79"/>
  <c r="G104" i="22"/>
  <c r="G23" i="93" s="1"/>
  <c r="G32" i="93" s="1"/>
  <c r="G90" i="22"/>
  <c r="G90" i="85"/>
  <c r="G104" i="85"/>
  <c r="G76" i="90" s="1"/>
  <c r="U12" i="76"/>
  <c r="E90" i="79"/>
  <c r="E108" i="79"/>
  <c r="I90" i="75"/>
  <c r="I104" i="75"/>
  <c r="I26" i="90" s="1"/>
  <c r="W90" i="85"/>
  <c r="W104" i="85"/>
  <c r="V90" i="85"/>
  <c r="V104" i="85"/>
  <c r="AD87" i="75"/>
  <c r="E90" i="75"/>
  <c r="E104" i="75"/>
  <c r="E26" i="90" s="1"/>
  <c r="F12" i="76"/>
  <c r="K88" i="85"/>
  <c r="M88" i="85" s="1"/>
  <c r="D107" i="85"/>
  <c r="D79" i="90" s="1"/>
  <c r="AA90" i="75"/>
  <c r="AA104" i="75"/>
  <c r="AA26" i="90" s="1"/>
  <c r="G11" i="39"/>
  <c r="N85" i="22"/>
  <c r="U106" i="75"/>
  <c r="U28" i="90" s="1"/>
  <c r="U90" i="85"/>
  <c r="U104" i="85"/>
  <c r="Y90" i="75"/>
  <c r="Y104" i="75"/>
  <c r="Y26" i="90" s="1"/>
  <c r="E10" i="76"/>
  <c r="H90" i="75"/>
  <c r="H104" i="75"/>
  <c r="H26" i="90" s="1"/>
  <c r="AF89" i="85"/>
  <c r="J109" i="85"/>
  <c r="J81" i="90" s="1"/>
  <c r="E12" i="76"/>
  <c r="K86" i="75"/>
  <c r="M86" i="75" s="1"/>
  <c r="O86" i="75" s="1"/>
  <c r="H143" i="75"/>
  <c r="G4" i="77" s="1"/>
  <c r="H4" i="77" s="1"/>
  <c r="D105" i="75"/>
  <c r="D27" i="90" s="1"/>
  <c r="I90" i="85"/>
  <c r="I104" i="85"/>
  <c r="I76" i="90" s="1"/>
  <c r="AD88" i="75"/>
  <c r="E90" i="85"/>
  <c r="E104" i="85"/>
  <c r="D108" i="79"/>
  <c r="G10" i="39"/>
  <c r="X90" i="75"/>
  <c r="X104" i="75"/>
  <c r="X26" i="90" s="1"/>
  <c r="AA90" i="85"/>
  <c r="AA104" i="85"/>
  <c r="AA76" i="90" s="1"/>
  <c r="H90" i="79"/>
  <c r="H108" i="79"/>
  <c r="G90" i="75"/>
  <c r="G104" i="75"/>
  <c r="G26" i="90" s="1"/>
  <c r="H143" i="85"/>
  <c r="G4" i="83" s="1"/>
  <c r="H4" i="83" s="1"/>
  <c r="K86" i="85"/>
  <c r="M86" i="85" s="1"/>
  <c r="O86" i="85" s="1"/>
  <c r="D105" i="85"/>
  <c r="D77" i="90" s="1"/>
  <c r="G12" i="39"/>
  <c r="U13" i="81"/>
  <c r="Y90" i="79"/>
  <c r="Y108" i="79"/>
  <c r="K89" i="85"/>
  <c r="M89" i="85" s="1"/>
  <c r="O89" i="85" s="1"/>
  <c r="D108" i="85"/>
  <c r="D80" i="90" s="1"/>
  <c r="H146" i="85"/>
  <c r="G7" i="83" s="1"/>
  <c r="H7" i="83" s="1"/>
  <c r="X90" i="85"/>
  <c r="X104" i="85"/>
  <c r="X76" i="90" s="1"/>
  <c r="F90" i="75"/>
  <c r="F104" i="75"/>
  <c r="F26" i="90" s="1"/>
  <c r="M51" i="69"/>
  <c r="J90" i="79"/>
  <c r="F10" i="76"/>
  <c r="N10" i="76"/>
  <c r="J4" i="77"/>
  <c r="G7" i="36"/>
  <c r="N88" i="22"/>
  <c r="H145" i="22" s="1"/>
  <c r="N88" i="75"/>
  <c r="H145" i="75" s="1"/>
  <c r="G6" i="77" s="1"/>
  <c r="H6" i="77" s="1"/>
  <c r="N87" i="22"/>
  <c r="G13" i="39"/>
  <c r="U105" i="75"/>
  <c r="U27" i="90" s="1"/>
  <c r="AE90" i="75"/>
  <c r="AE26" i="90"/>
  <c r="AD108" i="85"/>
  <c r="AD80" i="90" s="1"/>
  <c r="H90" i="85"/>
  <c r="H104" i="85"/>
  <c r="H76" i="90" s="1"/>
  <c r="I13" i="81"/>
  <c r="X90" i="79"/>
  <c r="X108" i="79"/>
  <c r="W90" i="75"/>
  <c r="W104" i="75"/>
  <c r="AD86" i="75"/>
  <c r="AF86" i="75" s="1"/>
  <c r="V90" i="75"/>
  <c r="V104" i="75"/>
  <c r="V90" i="79"/>
  <c r="V108" i="79"/>
  <c r="K88" i="75"/>
  <c r="M88" i="75" s="1"/>
  <c r="D107" i="75"/>
  <c r="D29" i="90" s="1"/>
  <c r="F90" i="79"/>
  <c r="F108" i="79"/>
  <c r="F90" i="85"/>
  <c r="F104" i="85"/>
  <c r="K14" i="69"/>
  <c r="AE51" i="69"/>
  <c r="AE48" i="69"/>
  <c r="AF48" i="69" s="1"/>
  <c r="AG48" i="69" s="1"/>
  <c r="D52" i="69"/>
  <c r="AF31" i="69"/>
  <c r="AG31" i="69" s="1"/>
  <c r="N52" i="69"/>
  <c r="K33" i="69"/>
  <c r="AB33" i="69"/>
  <c r="O50" i="69"/>
  <c r="AB50" i="69"/>
  <c r="H8" i="36"/>
  <c r="Y54" i="69"/>
  <c r="AC52" i="69"/>
  <c r="AE14" i="69"/>
  <c r="O28" i="69"/>
  <c r="M35" i="69" s="1"/>
  <c r="M33" i="69"/>
  <c r="M14" i="69"/>
  <c r="AC14" i="99" l="1"/>
  <c r="I43" i="90"/>
  <c r="I9" i="81"/>
  <c r="I14" i="81" s="1"/>
  <c r="I45" i="81" s="1"/>
  <c r="H144" i="22"/>
  <c r="U9" i="81"/>
  <c r="U14" i="81" s="1"/>
  <c r="U43" i="90"/>
  <c r="U109" i="79"/>
  <c r="U48" i="90" s="1"/>
  <c r="AB108" i="79"/>
  <c r="AF89" i="79"/>
  <c r="J3" i="80"/>
  <c r="N9" i="81"/>
  <c r="Y109" i="97"/>
  <c r="Y65" i="90" s="1"/>
  <c r="Y9" i="99"/>
  <c r="Y14" i="99" s="1"/>
  <c r="Y60" i="90"/>
  <c r="E109" i="97"/>
  <c r="E65" i="90" s="1"/>
  <c r="E9" i="99"/>
  <c r="E14" i="99" s="1"/>
  <c r="E60" i="90"/>
  <c r="H64" i="90"/>
  <c r="H13" i="99"/>
  <c r="H14" i="99" s="1"/>
  <c r="H45" i="99" s="1"/>
  <c r="D146" i="97"/>
  <c r="L146" i="97" s="1"/>
  <c r="M146" i="97" s="1"/>
  <c r="K108" i="97"/>
  <c r="I7" i="98"/>
  <c r="D13" i="99"/>
  <c r="D64" i="90"/>
  <c r="I34" i="99"/>
  <c r="I53" i="91"/>
  <c r="I96" i="91" s="1"/>
  <c r="U11" i="99"/>
  <c r="U62" i="90"/>
  <c r="W11" i="99"/>
  <c r="W14" i="99" s="1"/>
  <c r="W62" i="90"/>
  <c r="F62" i="90"/>
  <c r="F11" i="99"/>
  <c r="F14" i="99" s="1"/>
  <c r="F45" i="99" s="1"/>
  <c r="AE11" i="99"/>
  <c r="AE14" i="99" s="1"/>
  <c r="AE62" i="90"/>
  <c r="AD106" i="97"/>
  <c r="V109" i="97"/>
  <c r="V65" i="90" s="1"/>
  <c r="V9" i="99"/>
  <c r="V14" i="99" s="1"/>
  <c r="V60" i="90"/>
  <c r="I109" i="97"/>
  <c r="I65" i="90" s="1"/>
  <c r="I9" i="99"/>
  <c r="I14" i="99" s="1"/>
  <c r="I60" i="90"/>
  <c r="X109" i="97"/>
  <c r="X65" i="90" s="1"/>
  <c r="X60" i="90"/>
  <c r="X9" i="99"/>
  <c r="X14" i="99" s="1"/>
  <c r="U109" i="97"/>
  <c r="AF104" i="97"/>
  <c r="U9" i="99"/>
  <c r="U60" i="90"/>
  <c r="AD60" i="90"/>
  <c r="AD9" i="99"/>
  <c r="AB9" i="99"/>
  <c r="AB60" i="90"/>
  <c r="D104" i="97"/>
  <c r="K85" i="97"/>
  <c r="D90" i="97"/>
  <c r="I125" i="97"/>
  <c r="H142" i="97"/>
  <c r="AF89" i="97"/>
  <c r="AB108" i="97"/>
  <c r="AB109" i="97" s="1"/>
  <c r="AB65" i="90" s="1"/>
  <c r="D106" i="97"/>
  <c r="I127" i="97"/>
  <c r="K87" i="97"/>
  <c r="M87" i="97" s="1"/>
  <c r="O87" i="97" s="1"/>
  <c r="AG87" i="97" s="1"/>
  <c r="AH87" i="97" s="1"/>
  <c r="H144" i="97"/>
  <c r="G5" i="98" s="1"/>
  <c r="H5" i="98" s="1"/>
  <c r="N104" i="97"/>
  <c r="N90" i="97"/>
  <c r="Y92" i="97"/>
  <c r="G111" i="90"/>
  <c r="G112" i="90"/>
  <c r="G113" i="90"/>
  <c r="AA14" i="81"/>
  <c r="AA14" i="99"/>
  <c r="AE47" i="90"/>
  <c r="H47" i="90"/>
  <c r="Y47" i="90"/>
  <c r="G47" i="90"/>
  <c r="G114" i="90" s="1"/>
  <c r="G14" i="99"/>
  <c r="G45" i="99" s="1"/>
  <c r="X47" i="90"/>
  <c r="F47" i="90"/>
  <c r="D47" i="90"/>
  <c r="E47" i="90"/>
  <c r="D24" i="93"/>
  <c r="D33" i="93" s="1"/>
  <c r="AF28" i="69"/>
  <c r="AF49" i="69"/>
  <c r="AG49" i="69" s="1"/>
  <c r="AC43" i="90"/>
  <c r="AC9" i="81"/>
  <c r="AC14" i="81" s="1"/>
  <c r="AC109" i="79"/>
  <c r="AC48" i="90" s="1"/>
  <c r="AC9" i="90"/>
  <c r="AC109" i="22"/>
  <c r="AC14" i="90" s="1"/>
  <c r="AC9" i="39"/>
  <c r="AC14" i="39" s="1"/>
  <c r="V76" i="90"/>
  <c r="W26" i="90"/>
  <c r="W76" i="90"/>
  <c r="V47" i="90"/>
  <c r="W47" i="90"/>
  <c r="V26" i="90"/>
  <c r="H142" i="22"/>
  <c r="H147" i="22" s="1"/>
  <c r="AB90" i="79"/>
  <c r="D10" i="90"/>
  <c r="D111" i="90" s="1"/>
  <c r="G9" i="90"/>
  <c r="G110" i="90" s="1"/>
  <c r="K85" i="22"/>
  <c r="D90" i="22"/>
  <c r="I127" i="79"/>
  <c r="D106" i="79"/>
  <c r="D144" i="79" s="1"/>
  <c r="H144" i="79"/>
  <c r="G5" i="80" s="1"/>
  <c r="H5" i="80" s="1"/>
  <c r="K87" i="79"/>
  <c r="M87" i="79" s="1"/>
  <c r="O87" i="79" s="1"/>
  <c r="J5" i="80"/>
  <c r="N11" i="81"/>
  <c r="N45" i="90"/>
  <c r="AB106" i="79"/>
  <c r="AF87" i="79"/>
  <c r="N104" i="22"/>
  <c r="N23" i="93" s="1"/>
  <c r="N32" i="93" s="1"/>
  <c r="AD104" i="85"/>
  <c r="AD109" i="85" s="1"/>
  <c r="AD81" i="90" s="1"/>
  <c r="AE76" i="90"/>
  <c r="U10" i="82"/>
  <c r="U77" i="90"/>
  <c r="AD10" i="82"/>
  <c r="AD77" i="90"/>
  <c r="E9" i="82"/>
  <c r="E76" i="90"/>
  <c r="U9" i="82"/>
  <c r="U76" i="90"/>
  <c r="U11" i="82"/>
  <c r="U78" i="90"/>
  <c r="AD11" i="82"/>
  <c r="AD78" i="90"/>
  <c r="F9" i="82"/>
  <c r="F76" i="90"/>
  <c r="AD12" i="82"/>
  <c r="AD79" i="90"/>
  <c r="AF9" i="69"/>
  <c r="AF14" i="69" s="1"/>
  <c r="O14" i="69"/>
  <c r="I127" i="75"/>
  <c r="I128" i="75"/>
  <c r="D90" i="79"/>
  <c r="I125" i="79"/>
  <c r="I35" i="91" s="1"/>
  <c r="I34" i="39"/>
  <c r="I31" i="39"/>
  <c r="H142" i="79"/>
  <c r="G3" i="80" s="1"/>
  <c r="H3" i="80" s="1"/>
  <c r="K85" i="79"/>
  <c r="M85" i="79" s="1"/>
  <c r="O85" i="79" s="1"/>
  <c r="D104" i="79"/>
  <c r="AF85" i="79"/>
  <c r="G5" i="36"/>
  <c r="K89" i="79"/>
  <c r="Y92" i="79"/>
  <c r="O88" i="75"/>
  <c r="I128" i="22"/>
  <c r="I9" i="91" s="1"/>
  <c r="AG86" i="75"/>
  <c r="AH86" i="75" s="1"/>
  <c r="I127" i="22"/>
  <c r="I8" i="91" s="1"/>
  <c r="I125" i="22"/>
  <c r="AA109" i="85"/>
  <c r="AA81" i="90" s="1"/>
  <c r="AA9" i="82"/>
  <c r="D12" i="82"/>
  <c r="I6" i="83"/>
  <c r="V109" i="85"/>
  <c r="V81" i="90" s="1"/>
  <c r="V9" i="82"/>
  <c r="G109" i="85"/>
  <c r="G81" i="90" s="1"/>
  <c r="G9" i="82"/>
  <c r="G14" i="82" s="1"/>
  <c r="I4" i="83"/>
  <c r="D10" i="82"/>
  <c r="X109" i="85"/>
  <c r="X81" i="90" s="1"/>
  <c r="X9" i="82"/>
  <c r="W109" i="85"/>
  <c r="W81" i="90" s="1"/>
  <c r="W9" i="82"/>
  <c r="Y109" i="85"/>
  <c r="Y81" i="90" s="1"/>
  <c r="Y9" i="82"/>
  <c r="AF108" i="85"/>
  <c r="AF80" i="90" s="1"/>
  <c r="AD13" i="82"/>
  <c r="D13" i="82"/>
  <c r="I7" i="83"/>
  <c r="H109" i="85"/>
  <c r="H81" i="90" s="1"/>
  <c r="H9" i="82"/>
  <c r="I109" i="85"/>
  <c r="I81" i="90" s="1"/>
  <c r="I9" i="82"/>
  <c r="AE109" i="85"/>
  <c r="AE81" i="90" s="1"/>
  <c r="AE9" i="82"/>
  <c r="AD90" i="85"/>
  <c r="AF105" i="85"/>
  <c r="AF77" i="90" s="1"/>
  <c r="AE9" i="76"/>
  <c r="AE14" i="76" s="1"/>
  <c r="AE109" i="75"/>
  <c r="AE31" i="90" s="1"/>
  <c r="N106" i="85"/>
  <c r="N78" i="90" s="1"/>
  <c r="G6" i="36"/>
  <c r="O51" i="69"/>
  <c r="O52" i="69" s="1"/>
  <c r="AD90" i="75"/>
  <c r="D13" i="81"/>
  <c r="I7" i="80"/>
  <c r="E109" i="85"/>
  <c r="E81" i="90" s="1"/>
  <c r="AG89" i="85"/>
  <c r="AH89" i="85" s="1"/>
  <c r="N90" i="75"/>
  <c r="AB85" i="75"/>
  <c r="N104" i="75"/>
  <c r="N26" i="90" s="1"/>
  <c r="K107" i="85"/>
  <c r="W13" i="81"/>
  <c r="W14" i="81" s="1"/>
  <c r="W109" i="79"/>
  <c r="W48" i="90" s="1"/>
  <c r="AE13" i="81"/>
  <c r="AE14" i="81" s="1"/>
  <c r="AE48" i="90"/>
  <c r="F109" i="79"/>
  <c r="F48" i="90" s="1"/>
  <c r="F13" i="81"/>
  <c r="F14" i="81" s="1"/>
  <c r="W109" i="75"/>
  <c r="W31" i="90" s="1"/>
  <c r="W9" i="76"/>
  <c r="W14" i="76" s="1"/>
  <c r="F109" i="75"/>
  <c r="F31" i="90" s="1"/>
  <c r="F9" i="76"/>
  <c r="F14" i="76" s="1"/>
  <c r="H13" i="81"/>
  <c r="H14" i="81" s="1"/>
  <c r="H109" i="79"/>
  <c r="H48" i="90" s="1"/>
  <c r="H9" i="76"/>
  <c r="H14" i="76" s="1"/>
  <c r="H109" i="75"/>
  <c r="H31" i="90" s="1"/>
  <c r="Y109" i="75"/>
  <c r="Y31" i="90" s="1"/>
  <c r="Y9" i="76"/>
  <c r="Y14" i="76" s="1"/>
  <c r="Y92" i="85"/>
  <c r="D90" i="75"/>
  <c r="K85" i="75"/>
  <c r="H142" i="75"/>
  <c r="D104" i="75"/>
  <c r="D26" i="90" s="1"/>
  <c r="N90" i="85"/>
  <c r="N104" i="85"/>
  <c r="N76" i="90" s="1"/>
  <c r="O88" i="85"/>
  <c r="I9" i="76"/>
  <c r="I14" i="76" s="1"/>
  <c r="I109" i="75"/>
  <c r="I31" i="90" s="1"/>
  <c r="AF86" i="85"/>
  <c r="AG86" i="85" s="1"/>
  <c r="AH86" i="85" s="1"/>
  <c r="U10" i="76"/>
  <c r="K105" i="85"/>
  <c r="X9" i="76"/>
  <c r="X14" i="76" s="1"/>
  <c r="X109" i="75"/>
  <c r="X31" i="90" s="1"/>
  <c r="I4" i="77"/>
  <c r="D10" i="76"/>
  <c r="H144" i="75"/>
  <c r="G5" i="77" s="1"/>
  <c r="H5" i="77" s="1"/>
  <c r="D106" i="75"/>
  <c r="D28" i="90" s="1"/>
  <c r="D90" i="85"/>
  <c r="K85" i="85"/>
  <c r="H142" i="85"/>
  <c r="G3" i="83" s="1"/>
  <c r="H3" i="83" s="1"/>
  <c r="D104" i="85"/>
  <c r="AA109" i="75"/>
  <c r="AA31" i="90" s="1"/>
  <c r="AA9" i="76"/>
  <c r="AA14" i="76" s="1"/>
  <c r="E109" i="75"/>
  <c r="E31" i="90" s="1"/>
  <c r="E9" i="76"/>
  <c r="E14" i="76" s="1"/>
  <c r="U109" i="75"/>
  <c r="U31" i="90" s="1"/>
  <c r="U9" i="76"/>
  <c r="G13" i="81"/>
  <c r="G14" i="81" s="1"/>
  <c r="G109" i="79"/>
  <c r="G48" i="90" s="1"/>
  <c r="V9" i="76"/>
  <c r="V14" i="76" s="1"/>
  <c r="V109" i="75"/>
  <c r="V31" i="90" s="1"/>
  <c r="AB88" i="75"/>
  <c r="N107" i="75"/>
  <c r="N29" i="90" s="1"/>
  <c r="Y13" i="81"/>
  <c r="Y14" i="81" s="1"/>
  <c r="Y109" i="79"/>
  <c r="Y48" i="90" s="1"/>
  <c r="F109" i="85"/>
  <c r="F81" i="90" s="1"/>
  <c r="I6" i="77"/>
  <c r="D12" i="76"/>
  <c r="V13" i="81"/>
  <c r="V14" i="81" s="1"/>
  <c r="V109" i="79"/>
  <c r="V48" i="90" s="1"/>
  <c r="X13" i="81"/>
  <c r="X14" i="81" s="1"/>
  <c r="X109" i="79"/>
  <c r="X48" i="90" s="1"/>
  <c r="N106" i="75"/>
  <c r="N28" i="90" s="1"/>
  <c r="N107" i="85"/>
  <c r="K108" i="85"/>
  <c r="G9" i="76"/>
  <c r="G14" i="76" s="1"/>
  <c r="G109" i="75"/>
  <c r="G31" i="90" s="1"/>
  <c r="U109" i="85"/>
  <c r="U81" i="90" s="1"/>
  <c r="U11" i="76"/>
  <c r="H144" i="85"/>
  <c r="G5" i="83" s="1"/>
  <c r="H5" i="83" s="1"/>
  <c r="K87" i="85"/>
  <c r="M87" i="85" s="1"/>
  <c r="O87" i="85" s="1"/>
  <c r="D106" i="85"/>
  <c r="D78" i="90" s="1"/>
  <c r="H145" i="85"/>
  <c r="G6" i="83" s="1"/>
  <c r="H6" i="83" s="1"/>
  <c r="E109" i="79"/>
  <c r="E48" i="90" s="1"/>
  <c r="E13" i="81"/>
  <c r="E14" i="81" s="1"/>
  <c r="G9" i="39"/>
  <c r="G14" i="39" s="1"/>
  <c r="G109" i="22"/>
  <c r="Y92" i="75"/>
  <c r="M52" i="69"/>
  <c r="AF47" i="69"/>
  <c r="AG47" i="69" s="1"/>
  <c r="K52" i="69"/>
  <c r="AE50" i="69"/>
  <c r="AB52" i="69"/>
  <c r="O33" i="69"/>
  <c r="I45" i="99" l="1"/>
  <c r="E45" i="99"/>
  <c r="U14" i="99"/>
  <c r="Y16" i="99" s="1"/>
  <c r="AB47" i="90"/>
  <c r="AB13" i="81"/>
  <c r="AG89" i="97"/>
  <c r="AH89" i="97" s="1"/>
  <c r="AF90" i="97"/>
  <c r="M108" i="97"/>
  <c r="K64" i="90"/>
  <c r="AD11" i="99"/>
  <c r="AD62" i="90"/>
  <c r="U65" i="90"/>
  <c r="Y111" i="97"/>
  <c r="AF60" i="90"/>
  <c r="D142" i="97"/>
  <c r="K104" i="97"/>
  <c r="D9" i="99"/>
  <c r="I3" i="98"/>
  <c r="D60" i="90"/>
  <c r="D109" i="97"/>
  <c r="M85" i="97"/>
  <c r="K90" i="97"/>
  <c r="I30" i="99"/>
  <c r="I49" i="91"/>
  <c r="I131" i="97"/>
  <c r="I55" i="91" s="1"/>
  <c r="G3" i="98"/>
  <c r="H147" i="97"/>
  <c r="G8" i="98" s="1"/>
  <c r="H8" i="98" s="1"/>
  <c r="O8" i="98" s="1"/>
  <c r="P8" i="98" s="1"/>
  <c r="AB13" i="99"/>
  <c r="AB14" i="99" s="1"/>
  <c r="AB64" i="90"/>
  <c r="AF108" i="97"/>
  <c r="D144" i="97"/>
  <c r="L144" i="97" s="1"/>
  <c r="M144" i="97" s="1"/>
  <c r="K106" i="97"/>
  <c r="I5" i="98"/>
  <c r="N5" i="98" s="1"/>
  <c r="O5" i="98" s="1"/>
  <c r="P5" i="98" s="1"/>
  <c r="D62" i="90"/>
  <c r="D11" i="99"/>
  <c r="K11" i="99" s="1"/>
  <c r="M11" i="99" s="1"/>
  <c r="O11" i="99" s="1"/>
  <c r="I32" i="99"/>
  <c r="I51" i="91"/>
  <c r="N109" i="97"/>
  <c r="J3" i="98"/>
  <c r="N9" i="99"/>
  <c r="N60" i="90"/>
  <c r="AD109" i="97"/>
  <c r="AD65" i="90" s="1"/>
  <c r="AF106" i="97"/>
  <c r="AC110" i="90"/>
  <c r="AC115" i="90"/>
  <c r="K13" i="99"/>
  <c r="M13" i="99" s="1"/>
  <c r="K24" i="94"/>
  <c r="G14" i="90"/>
  <c r="G115" i="90" s="1"/>
  <c r="G28" i="93"/>
  <c r="D76" i="90"/>
  <c r="I3" i="83"/>
  <c r="G3" i="36"/>
  <c r="G9" i="36" s="1"/>
  <c r="N79" i="90"/>
  <c r="D145" i="85"/>
  <c r="N9" i="90"/>
  <c r="AF90" i="79"/>
  <c r="AB11" i="81"/>
  <c r="AB45" i="90"/>
  <c r="I5" i="80"/>
  <c r="N5" i="80" s="1"/>
  <c r="O5" i="80" s="1"/>
  <c r="P5" i="80" s="1"/>
  <c r="D11" i="81"/>
  <c r="L144" i="79"/>
  <c r="M144" i="79" s="1"/>
  <c r="D45" i="90"/>
  <c r="AG87" i="79"/>
  <c r="AH87" i="79" s="1"/>
  <c r="I32" i="81"/>
  <c r="I37" i="91"/>
  <c r="M107" i="85"/>
  <c r="M79" i="90" s="1"/>
  <c r="K79" i="90"/>
  <c r="AD9" i="82"/>
  <c r="AD76" i="90"/>
  <c r="M108" i="85"/>
  <c r="K80" i="90"/>
  <c r="M105" i="85"/>
  <c r="K77" i="90"/>
  <c r="I33" i="76"/>
  <c r="I24" i="91"/>
  <c r="I95" i="91" s="1"/>
  <c r="I32" i="76"/>
  <c r="I23" i="91"/>
  <c r="AB9" i="81"/>
  <c r="AB43" i="90"/>
  <c r="I30" i="39"/>
  <c r="I6" i="91"/>
  <c r="D109" i="79"/>
  <c r="D43" i="90"/>
  <c r="I131" i="79"/>
  <c r="I30" i="81"/>
  <c r="I131" i="75"/>
  <c r="I33" i="39"/>
  <c r="I32" i="39"/>
  <c r="AB109" i="79"/>
  <c r="AB48" i="90" s="1"/>
  <c r="AG85" i="79"/>
  <c r="AH85" i="79" s="1"/>
  <c r="D9" i="81"/>
  <c r="D142" i="79"/>
  <c r="L142" i="79" s="1"/>
  <c r="I3" i="80"/>
  <c r="N3" i="80" s="1"/>
  <c r="O3" i="80" s="1"/>
  <c r="P3" i="80" s="1"/>
  <c r="K90" i="79"/>
  <c r="D142" i="85"/>
  <c r="G44" i="82"/>
  <c r="E44" i="76"/>
  <c r="E45" i="81"/>
  <c r="F45" i="81"/>
  <c r="H45" i="81"/>
  <c r="G45" i="81"/>
  <c r="H44" i="76"/>
  <c r="I44" i="76"/>
  <c r="G44" i="76"/>
  <c r="F44" i="76"/>
  <c r="G44" i="39"/>
  <c r="M89" i="79"/>
  <c r="O89" i="79" s="1"/>
  <c r="I131" i="22"/>
  <c r="I12" i="91" s="1"/>
  <c r="Y111" i="85"/>
  <c r="Y16" i="81"/>
  <c r="Y111" i="79"/>
  <c r="N9" i="82"/>
  <c r="J3" i="83"/>
  <c r="N11" i="82"/>
  <c r="J5" i="83"/>
  <c r="D9" i="82"/>
  <c r="D11" i="82"/>
  <c r="I5" i="83"/>
  <c r="N12" i="82"/>
  <c r="J6" i="83"/>
  <c r="Y111" i="75"/>
  <c r="N109" i="85"/>
  <c r="G3" i="77"/>
  <c r="H147" i="75"/>
  <c r="N90" i="79"/>
  <c r="N108" i="79"/>
  <c r="H146" i="79"/>
  <c r="AB106" i="85"/>
  <c r="AB78" i="90" s="1"/>
  <c r="AF87" i="85"/>
  <c r="AG87" i="85" s="1"/>
  <c r="AH87" i="85" s="1"/>
  <c r="G9" i="83"/>
  <c r="H23" i="36" s="1"/>
  <c r="AB107" i="85"/>
  <c r="AB79" i="90" s="1"/>
  <c r="AF88" i="85"/>
  <c r="AG88" i="85" s="1"/>
  <c r="AH88" i="85" s="1"/>
  <c r="N12" i="76"/>
  <c r="J6" i="77"/>
  <c r="U14" i="76"/>
  <c r="Y16" i="76" s="1"/>
  <c r="D109" i="85"/>
  <c r="K104" i="85"/>
  <c r="K76" i="90" s="1"/>
  <c r="AB90" i="85"/>
  <c r="AB104" i="85"/>
  <c r="AF85" i="85"/>
  <c r="K90" i="75"/>
  <c r="M85" i="75"/>
  <c r="K106" i="85"/>
  <c r="N11" i="76"/>
  <c r="J5" i="77"/>
  <c r="AB107" i="75"/>
  <c r="AB29" i="90" s="1"/>
  <c r="AF88" i="75"/>
  <c r="AG88" i="75" s="1"/>
  <c r="AH88" i="75" s="1"/>
  <c r="H147" i="85"/>
  <c r="I5" i="77"/>
  <c r="D11" i="76"/>
  <c r="J3" i="77"/>
  <c r="N109" i="75"/>
  <c r="N9" i="76"/>
  <c r="AB106" i="75"/>
  <c r="AB28" i="90" s="1"/>
  <c r="AF87" i="75"/>
  <c r="AG87" i="75" s="1"/>
  <c r="AH87" i="75" s="1"/>
  <c r="M85" i="85"/>
  <c r="K90" i="85"/>
  <c r="I3" i="77"/>
  <c r="D109" i="75"/>
  <c r="D9" i="76"/>
  <c r="D142" i="75"/>
  <c r="L142" i="75" s="1"/>
  <c r="M142" i="75" s="1"/>
  <c r="AB90" i="75"/>
  <c r="AB104" i="75"/>
  <c r="AB26" i="90" s="1"/>
  <c r="AF85" i="75"/>
  <c r="L90" i="79"/>
  <c r="L108" i="79"/>
  <c r="L47" i="90" s="1"/>
  <c r="AF51" i="69"/>
  <c r="AG51" i="69" s="1"/>
  <c r="AE52" i="69"/>
  <c r="AF50" i="69"/>
  <c r="AG9" i="69"/>
  <c r="AG14" i="69"/>
  <c r="AF33" i="69"/>
  <c r="AG33" i="69" s="1"/>
  <c r="AG28" i="69"/>
  <c r="I92" i="91" l="1"/>
  <c r="N110" i="90"/>
  <c r="I94" i="91"/>
  <c r="I36" i="99"/>
  <c r="I46" i="99" s="1"/>
  <c r="AF109" i="97"/>
  <c r="AF65" i="90" s="1"/>
  <c r="O108" i="97"/>
  <c r="M64" i="90"/>
  <c r="D147" i="97"/>
  <c r="L142" i="97"/>
  <c r="K109" i="97"/>
  <c r="K65" i="90" s="1"/>
  <c r="M104" i="97"/>
  <c r="K60" i="90"/>
  <c r="D65" i="90"/>
  <c r="D31" i="36"/>
  <c r="O85" i="97"/>
  <c r="M90" i="97"/>
  <c r="H3" i="98"/>
  <c r="H9" i="98" s="1"/>
  <c r="I22" i="36" s="1"/>
  <c r="G9" i="98"/>
  <c r="H22" i="36" s="1"/>
  <c r="AF64" i="90"/>
  <c r="M106" i="97"/>
  <c r="K62" i="90"/>
  <c r="N65" i="90"/>
  <c r="E31" i="36"/>
  <c r="AF62" i="90"/>
  <c r="N47" i="90"/>
  <c r="N14" i="99"/>
  <c r="N45" i="99" s="1"/>
  <c r="K9" i="99"/>
  <c r="D14" i="99"/>
  <c r="D45" i="99" s="1"/>
  <c r="N3" i="98"/>
  <c r="I9" i="98"/>
  <c r="J22" i="36" s="1"/>
  <c r="I27" i="91"/>
  <c r="M29" i="36"/>
  <c r="I41" i="91"/>
  <c r="M30" i="36"/>
  <c r="P30" i="36" s="1"/>
  <c r="N31" i="90"/>
  <c r="E29" i="36"/>
  <c r="D81" i="90"/>
  <c r="D32" i="36"/>
  <c r="D31" i="90"/>
  <c r="D29" i="36"/>
  <c r="N81" i="90"/>
  <c r="E32" i="36"/>
  <c r="D48" i="90"/>
  <c r="D30" i="36"/>
  <c r="AB14" i="81"/>
  <c r="I36" i="81"/>
  <c r="D14" i="81"/>
  <c r="D45" i="81" s="1"/>
  <c r="O107" i="85"/>
  <c r="O79" i="90" s="1"/>
  <c r="O105" i="85"/>
  <c r="M77" i="90"/>
  <c r="AB9" i="82"/>
  <c r="AB76" i="90"/>
  <c r="M106" i="85"/>
  <c r="K78" i="90"/>
  <c r="O108" i="85"/>
  <c r="M80" i="90"/>
  <c r="I36" i="76"/>
  <c r="I45" i="76" s="1"/>
  <c r="I36" i="39"/>
  <c r="I45" i="39" s="1"/>
  <c r="I36" i="82"/>
  <c r="I45" i="82" s="1"/>
  <c r="I36" i="88"/>
  <c r="I45" i="88" s="1"/>
  <c r="I9" i="80"/>
  <c r="J21" i="36" s="1"/>
  <c r="M142" i="79"/>
  <c r="M90" i="79"/>
  <c r="N14" i="76"/>
  <c r="N44" i="76" s="1"/>
  <c r="I9" i="77"/>
  <c r="J20" i="36" s="1"/>
  <c r="AF106" i="85"/>
  <c r="AB11" i="82"/>
  <c r="AF107" i="85"/>
  <c r="AB12" i="82"/>
  <c r="AF90" i="75"/>
  <c r="O90" i="79"/>
  <c r="AG89" i="79"/>
  <c r="AH89" i="79" s="1"/>
  <c r="AB11" i="76"/>
  <c r="AB109" i="85"/>
  <c r="AB81" i="90" s="1"/>
  <c r="AF104" i="85"/>
  <c r="AF76" i="90" s="1"/>
  <c r="K109" i="85"/>
  <c r="K81" i="90" s="1"/>
  <c r="M104" i="85"/>
  <c r="M76" i="90" s="1"/>
  <c r="G9" i="77"/>
  <c r="H20" i="36" s="1"/>
  <c r="H3" i="77"/>
  <c r="H9" i="77" s="1"/>
  <c r="I20" i="36" s="1"/>
  <c r="AB9" i="76"/>
  <c r="AB109" i="75"/>
  <c r="AB31" i="90" s="1"/>
  <c r="O85" i="75"/>
  <c r="O90" i="75" s="1"/>
  <c r="M90" i="75"/>
  <c r="H9" i="83"/>
  <c r="I23" i="36" s="1"/>
  <c r="G7" i="80"/>
  <c r="H147" i="79"/>
  <c r="D14" i="76"/>
  <c r="D44" i="76" s="1"/>
  <c r="O85" i="85"/>
  <c r="O90" i="85" s="1"/>
  <c r="M90" i="85"/>
  <c r="AB12" i="76"/>
  <c r="L13" i="81"/>
  <c r="L14" i="81" s="1"/>
  <c r="L109" i="79"/>
  <c r="L48" i="90" s="1"/>
  <c r="J9" i="77"/>
  <c r="K20" i="36" s="1"/>
  <c r="AF90" i="85"/>
  <c r="L142" i="85"/>
  <c r="M142" i="85" s="1"/>
  <c r="N13" i="81"/>
  <c r="N14" i="81" s="1"/>
  <c r="J7" i="80"/>
  <c r="N109" i="79"/>
  <c r="D146" i="79"/>
  <c r="AG50" i="69"/>
  <c r="AF52" i="69"/>
  <c r="AG52" i="69" s="1"/>
  <c r="F31" i="36" l="1"/>
  <c r="G31" i="36" s="1"/>
  <c r="O64" i="90"/>
  <c r="AG108" i="97"/>
  <c r="AH108" i="97" s="1"/>
  <c r="I98" i="91"/>
  <c r="L147" i="97"/>
  <c r="M147" i="97" s="1"/>
  <c r="M142" i="97"/>
  <c r="M109" i="97"/>
  <c r="M65" i="90" s="1"/>
  <c r="O104" i="97"/>
  <c r="M60" i="90"/>
  <c r="AG85" i="97"/>
  <c r="O90" i="97"/>
  <c r="O106" i="97"/>
  <c r="M62" i="90"/>
  <c r="O3" i="98"/>
  <c r="K14" i="99"/>
  <c r="K45" i="99" s="1"/>
  <c r="M9" i="99"/>
  <c r="O13" i="99"/>
  <c r="J9" i="98"/>
  <c r="K22" i="36" s="1"/>
  <c r="N7" i="98"/>
  <c r="O7" i="98" s="1"/>
  <c r="P7" i="98" s="1"/>
  <c r="M33" i="36"/>
  <c r="F29" i="36"/>
  <c r="F32" i="36"/>
  <c r="G32" i="36" s="1"/>
  <c r="D33" i="36"/>
  <c r="N48" i="90"/>
  <c r="E30" i="36"/>
  <c r="F30" i="36" s="1"/>
  <c r="G30" i="36" s="1"/>
  <c r="AG107" i="85"/>
  <c r="AH107" i="85" s="1"/>
  <c r="AF79" i="90"/>
  <c r="O80" i="90"/>
  <c r="AG108" i="85"/>
  <c r="AH108" i="85" s="1"/>
  <c r="AF78" i="90"/>
  <c r="O106" i="85"/>
  <c r="O78" i="90" s="1"/>
  <c r="M78" i="90"/>
  <c r="O77" i="90"/>
  <c r="AG105" i="85"/>
  <c r="AH105" i="85" s="1"/>
  <c r="AG85" i="85"/>
  <c r="AH85" i="85" s="1"/>
  <c r="L45" i="81"/>
  <c r="I46" i="81"/>
  <c r="N45" i="81"/>
  <c r="AG85" i="75"/>
  <c r="AH85" i="75" s="1"/>
  <c r="L146" i="79"/>
  <c r="M146" i="79" s="1"/>
  <c r="D147" i="79"/>
  <c r="H7" i="80"/>
  <c r="G9" i="80"/>
  <c r="H21" i="36" s="1"/>
  <c r="H24" i="36" s="1"/>
  <c r="H25" i="36" s="1"/>
  <c r="AF109" i="85"/>
  <c r="AF81" i="90" s="1"/>
  <c r="AB14" i="76"/>
  <c r="AG90" i="79"/>
  <c r="AH90" i="79" s="1"/>
  <c r="J9" i="80"/>
  <c r="K21" i="36" s="1"/>
  <c r="N7" i="80"/>
  <c r="M109" i="85"/>
  <c r="M81" i="90" s="1"/>
  <c r="O104" i="85"/>
  <c r="AG104" i="97" l="1"/>
  <c r="O109" i="97"/>
  <c r="O65" i="90" s="1"/>
  <c r="O60" i="90"/>
  <c r="AH85" i="97"/>
  <c r="AG90" i="97"/>
  <c r="AH90" i="97" s="1"/>
  <c r="AG106" i="97"/>
  <c r="AH106" i="97" s="1"/>
  <c r="O62" i="90"/>
  <c r="M14" i="99"/>
  <c r="M45" i="99" s="1"/>
  <c r="O9" i="99"/>
  <c r="O14" i="99" s="1"/>
  <c r="P3" i="98"/>
  <c r="O9" i="98"/>
  <c r="P9" i="98" s="1"/>
  <c r="N9" i="98"/>
  <c r="O22" i="36" s="1"/>
  <c r="N9" i="80"/>
  <c r="O21" i="36" s="1"/>
  <c r="O7" i="80"/>
  <c r="P7" i="80" s="1"/>
  <c r="Q30" i="36"/>
  <c r="E33" i="36"/>
  <c r="F33" i="36"/>
  <c r="G33" i="36" s="1"/>
  <c r="G29" i="36"/>
  <c r="AG90" i="85"/>
  <c r="AH90" i="85" s="1"/>
  <c r="O109" i="85"/>
  <c r="O81" i="90" s="1"/>
  <c r="O76" i="90"/>
  <c r="AG80" i="90"/>
  <c r="AG77" i="90"/>
  <c r="AG106" i="85"/>
  <c r="AH106" i="85" s="1"/>
  <c r="AG79" i="90"/>
  <c r="AG104" i="85"/>
  <c r="AH104" i="85" s="1"/>
  <c r="L147" i="79"/>
  <c r="M147" i="79" s="1"/>
  <c r="H9" i="80"/>
  <c r="I21" i="36" s="1"/>
  <c r="I24" i="36" s="1"/>
  <c r="AG90" i="75"/>
  <c r="AH90" i="75" s="1"/>
  <c r="K30" i="22"/>
  <c r="K31" i="22"/>
  <c r="K32" i="22"/>
  <c r="D33" i="22"/>
  <c r="E33" i="22"/>
  <c r="D7" i="36"/>
  <c r="D6" i="36"/>
  <c r="D5" i="36"/>
  <c r="D3" i="36"/>
  <c r="D125" i="22"/>
  <c r="AD30" i="22"/>
  <c r="Y108" i="22"/>
  <c r="U108" i="22"/>
  <c r="C7" i="56"/>
  <c r="D146" i="85" s="1"/>
  <c r="L146" i="85" s="1"/>
  <c r="M146" i="85" s="1"/>
  <c r="C6" i="56"/>
  <c r="C5" i="56"/>
  <c r="D144" i="85" s="1"/>
  <c r="L144" i="85" s="1"/>
  <c r="M144" i="85" s="1"/>
  <c r="C4" i="56"/>
  <c r="AB29" i="22"/>
  <c r="AB28" i="22"/>
  <c r="AB30" i="22"/>
  <c r="AB32" i="22"/>
  <c r="AD32" i="22"/>
  <c r="AD31" i="22"/>
  <c r="I33" i="22"/>
  <c r="F33" i="22"/>
  <c r="L5" i="36"/>
  <c r="L7" i="36"/>
  <c r="L6" i="36"/>
  <c r="L4" i="36"/>
  <c r="L3" i="36"/>
  <c r="E35" i="39"/>
  <c r="E131" i="22"/>
  <c r="N8" i="36"/>
  <c r="O8" i="36" s="1"/>
  <c r="P8" i="36" s="1"/>
  <c r="L108" i="22"/>
  <c r="Q30" i="95" s="1"/>
  <c r="S30" i="95" s="1"/>
  <c r="L107" i="22"/>
  <c r="Q29" i="95" s="1"/>
  <c r="S29" i="95" s="1"/>
  <c r="L104" i="22"/>
  <c r="Q26" i="95" s="1"/>
  <c r="S26" i="95" s="1"/>
  <c r="L106" i="22"/>
  <c r="Q28" i="95" s="1"/>
  <c r="S28" i="95" s="1"/>
  <c r="L105" i="22"/>
  <c r="Q27" i="95" s="1"/>
  <c r="S27" i="95" s="1"/>
  <c r="AD89" i="22"/>
  <c r="AD88" i="22"/>
  <c r="AD87" i="22"/>
  <c r="AD86" i="22"/>
  <c r="AD85" i="22"/>
  <c r="AD66" i="22"/>
  <c r="AD51" i="22"/>
  <c r="AD50" i="22"/>
  <c r="AD49" i="22"/>
  <c r="AE52" i="22"/>
  <c r="AD48" i="22"/>
  <c r="Z32" i="22"/>
  <c r="AD28" i="22"/>
  <c r="I4" i="64"/>
  <c r="I5" i="64"/>
  <c r="I6" i="64"/>
  <c r="I7" i="64"/>
  <c r="I3" i="64"/>
  <c r="Z31" i="22"/>
  <c r="Z30" i="22"/>
  <c r="Z29" i="22"/>
  <c r="Z28" i="22"/>
  <c r="Z13" i="22"/>
  <c r="Z12" i="22"/>
  <c r="Z11" i="22"/>
  <c r="Z10" i="22"/>
  <c r="Z9" i="22"/>
  <c r="E34" i="39"/>
  <c r="E33" i="39"/>
  <c r="E32" i="39"/>
  <c r="E31" i="39"/>
  <c r="E30" i="39"/>
  <c r="X7" i="39"/>
  <c r="U7" i="39"/>
  <c r="M117" i="22"/>
  <c r="N22" i="88" s="1"/>
  <c r="K122" i="22"/>
  <c r="K27" i="88" s="1"/>
  <c r="G122" i="22"/>
  <c r="H27" i="88" s="1"/>
  <c r="N98" i="22"/>
  <c r="K102" i="22"/>
  <c r="I10" i="89" s="1"/>
  <c r="N79" i="22"/>
  <c r="AD79" i="22" s="1"/>
  <c r="K83" i="22"/>
  <c r="Y83" i="22" s="1"/>
  <c r="G83" i="22"/>
  <c r="V83" i="22" s="1"/>
  <c r="N60" i="22"/>
  <c r="AD60" i="22" s="1"/>
  <c r="K64" i="22"/>
  <c r="G64" i="22"/>
  <c r="N41" i="22"/>
  <c r="AD41" i="22" s="1"/>
  <c r="Y45" i="22"/>
  <c r="V45" i="22"/>
  <c r="N22" i="22"/>
  <c r="AD22" i="22" s="1"/>
  <c r="K26" i="22"/>
  <c r="Y26" i="22" s="1"/>
  <c r="G26" i="22"/>
  <c r="V26" i="22" s="1"/>
  <c r="D102" i="22"/>
  <c r="D7" i="88" s="1"/>
  <c r="D6" i="88"/>
  <c r="D83" i="22"/>
  <c r="D82" i="22"/>
  <c r="D64" i="22"/>
  <c r="D63" i="22"/>
  <c r="D26" i="22"/>
  <c r="D25" i="22"/>
  <c r="X102" i="22"/>
  <c r="U102" i="22"/>
  <c r="AA90" i="22"/>
  <c r="Y90" i="22"/>
  <c r="X90" i="22"/>
  <c r="W90" i="22"/>
  <c r="V90" i="22"/>
  <c r="U90" i="22"/>
  <c r="N90" i="22"/>
  <c r="L90" i="22"/>
  <c r="J90" i="22"/>
  <c r="I90" i="22"/>
  <c r="H90" i="22"/>
  <c r="F90" i="22"/>
  <c r="E90" i="22"/>
  <c r="AB89" i="22"/>
  <c r="Z89" i="22"/>
  <c r="M89" i="22"/>
  <c r="O89" i="22" s="1"/>
  <c r="AB88" i="22"/>
  <c r="Z88" i="22"/>
  <c r="M88" i="22"/>
  <c r="O88" i="22" s="1"/>
  <c r="AB87" i="22"/>
  <c r="Z87" i="22"/>
  <c r="M87" i="22"/>
  <c r="O87" i="22" s="1"/>
  <c r="AB86" i="22"/>
  <c r="Z86" i="22"/>
  <c r="M86" i="22"/>
  <c r="O86" i="22" s="1"/>
  <c r="AB85" i="22"/>
  <c r="Z85" i="22"/>
  <c r="M85" i="22"/>
  <c r="X83" i="22"/>
  <c r="U83" i="22"/>
  <c r="L71" i="22"/>
  <c r="J71" i="22"/>
  <c r="M70" i="22"/>
  <c r="O70" i="22" s="1"/>
  <c r="Z66" i="22"/>
  <c r="X64" i="22"/>
  <c r="U64" i="22"/>
  <c r="AA52" i="22"/>
  <c r="Y52" i="22"/>
  <c r="X52" i="22"/>
  <c r="W52" i="22"/>
  <c r="V52" i="22"/>
  <c r="U52" i="22"/>
  <c r="AB51" i="22"/>
  <c r="Z51" i="22"/>
  <c r="AB50" i="22"/>
  <c r="Z50" i="22"/>
  <c r="AB49" i="22"/>
  <c r="Z49" i="22"/>
  <c r="AB48" i="22"/>
  <c r="Z48" i="22"/>
  <c r="AB47" i="22"/>
  <c r="Z47" i="22"/>
  <c r="X45" i="22"/>
  <c r="U45" i="22"/>
  <c r="L33" i="22"/>
  <c r="J33" i="22"/>
  <c r="X26" i="22"/>
  <c r="U26" i="22"/>
  <c r="AD3" i="22"/>
  <c r="Y7" i="22"/>
  <c r="X7" i="22"/>
  <c r="V7" i="22"/>
  <c r="G131" i="22"/>
  <c r="G12" i="91" s="1"/>
  <c r="G98" i="91" s="1"/>
  <c r="O45" i="99" l="1"/>
  <c r="AH104" i="97"/>
  <c r="AG109" i="97"/>
  <c r="AH109" i="97" s="1"/>
  <c r="E12" i="91"/>
  <c r="E98" i="91" s="1"/>
  <c r="J32" i="36"/>
  <c r="C8" i="56"/>
  <c r="C9" i="56" s="1"/>
  <c r="L26" i="93"/>
  <c r="L35" i="93" s="1"/>
  <c r="L27" i="93"/>
  <c r="L36" i="93" s="1"/>
  <c r="L24" i="93"/>
  <c r="L33" i="93" s="1"/>
  <c r="L25" i="93"/>
  <c r="L34" i="93" s="1"/>
  <c r="L23" i="93"/>
  <c r="L32" i="93" s="1"/>
  <c r="U13" i="90"/>
  <c r="U114" i="90" s="1"/>
  <c r="D20" i="94"/>
  <c r="D28" i="94" s="1"/>
  <c r="Y13" i="90"/>
  <c r="Y114" i="90" s="1"/>
  <c r="H20" i="94"/>
  <c r="H28" i="94" s="1"/>
  <c r="D6" i="91"/>
  <c r="D92" i="91" s="1"/>
  <c r="AG76" i="90"/>
  <c r="L145" i="85"/>
  <c r="M145" i="85" s="1"/>
  <c r="D128" i="22"/>
  <c r="AG78" i="90"/>
  <c r="L13" i="90"/>
  <c r="L114" i="90" s="1"/>
  <c r="L12" i="90"/>
  <c r="L113" i="90" s="1"/>
  <c r="L11" i="90"/>
  <c r="L112" i="90" s="1"/>
  <c r="L10" i="90"/>
  <c r="L111" i="90" s="1"/>
  <c r="L9" i="90"/>
  <c r="L110" i="90" s="1"/>
  <c r="V64" i="22"/>
  <c r="Y64" i="22"/>
  <c r="J9" i="22"/>
  <c r="AD3" i="82"/>
  <c r="N3" i="88"/>
  <c r="AD3" i="88" s="1"/>
  <c r="Y7" i="82"/>
  <c r="K7" i="88"/>
  <c r="Y7" i="88" s="1"/>
  <c r="V7" i="82"/>
  <c r="G7" i="88"/>
  <c r="V7" i="88" s="1"/>
  <c r="J11" i="22"/>
  <c r="J11" i="79" s="1"/>
  <c r="N22" i="39"/>
  <c r="J13" i="22"/>
  <c r="L12" i="39"/>
  <c r="O9" i="80"/>
  <c r="P9" i="80" s="1"/>
  <c r="J12" i="22"/>
  <c r="J12" i="79" s="1"/>
  <c r="L10" i="39"/>
  <c r="L13" i="39"/>
  <c r="J104" i="75"/>
  <c r="J26" i="90" s="1"/>
  <c r="AD9" i="75"/>
  <c r="K9" i="75"/>
  <c r="J10" i="22"/>
  <c r="L9" i="39"/>
  <c r="E36" i="39"/>
  <c r="E45" i="39" s="1"/>
  <c r="D131" i="85"/>
  <c r="D143" i="85"/>
  <c r="AG109" i="85"/>
  <c r="AH109" i="85" s="1"/>
  <c r="D127" i="22"/>
  <c r="D129" i="22"/>
  <c r="N3" i="77"/>
  <c r="D126" i="22"/>
  <c r="Y13" i="39"/>
  <c r="K67" i="22"/>
  <c r="M67" i="22" s="1"/>
  <c r="O67" i="22" s="1"/>
  <c r="M5" i="36"/>
  <c r="K68" i="22"/>
  <c r="M68" i="22" s="1"/>
  <c r="O68" i="22" s="1"/>
  <c r="M6" i="36"/>
  <c r="K69" i="22"/>
  <c r="M69" i="22" s="1"/>
  <c r="O69" i="22" s="1"/>
  <c r="D14" i="22"/>
  <c r="V102" i="22"/>
  <c r="AF48" i="22"/>
  <c r="AG48" i="22" s="1"/>
  <c r="AH48" i="22" s="1"/>
  <c r="H27" i="39"/>
  <c r="AF50" i="22"/>
  <c r="AG50" i="22" s="1"/>
  <c r="AH50" i="22" s="1"/>
  <c r="AF51" i="22"/>
  <c r="AG51" i="22" s="1"/>
  <c r="AH51" i="22" s="1"/>
  <c r="AF49" i="22"/>
  <c r="AG49" i="22" s="1"/>
  <c r="AH49" i="22" s="1"/>
  <c r="AF86" i="22"/>
  <c r="AG86" i="22" s="1"/>
  <c r="AH86" i="22" s="1"/>
  <c r="AF89" i="22"/>
  <c r="AG89" i="22" s="1"/>
  <c r="AH89" i="22" s="1"/>
  <c r="AD90" i="22"/>
  <c r="K3" i="36"/>
  <c r="D30" i="39"/>
  <c r="AB90" i="22"/>
  <c r="AB52" i="22"/>
  <c r="Y54" i="22"/>
  <c r="Y92" i="22"/>
  <c r="AD52" i="22"/>
  <c r="AF87" i="22"/>
  <c r="AG87" i="22" s="1"/>
  <c r="AH87" i="22" s="1"/>
  <c r="AF47" i="22"/>
  <c r="AF85" i="22"/>
  <c r="AF88" i="22"/>
  <c r="AG88" i="22" s="1"/>
  <c r="AH88" i="22" s="1"/>
  <c r="M90" i="22"/>
  <c r="K90" i="22"/>
  <c r="O85" i="22"/>
  <c r="O90" i="22" s="1"/>
  <c r="Z52" i="22"/>
  <c r="Z90" i="22"/>
  <c r="D7" i="39"/>
  <c r="AF70" i="22"/>
  <c r="AG70" i="22" s="1"/>
  <c r="AH70" i="22" s="1"/>
  <c r="D9" i="36"/>
  <c r="E25" i="36" s="1"/>
  <c r="G45" i="39"/>
  <c r="L11" i="39"/>
  <c r="Y102" i="22"/>
  <c r="G7" i="39"/>
  <c r="V7" i="39" s="1"/>
  <c r="M4" i="36"/>
  <c r="Z71" i="22"/>
  <c r="L109" i="22"/>
  <c r="Q31" i="95" s="1"/>
  <c r="S31" i="95" s="1"/>
  <c r="AD98" i="22"/>
  <c r="N3" i="39"/>
  <c r="AD3" i="39" s="1"/>
  <c r="K7" i="39"/>
  <c r="Y7" i="39" s="1"/>
  <c r="K27" i="39"/>
  <c r="D6" i="39"/>
  <c r="Z104" i="22"/>
  <c r="V71" i="22"/>
  <c r="F105" i="22"/>
  <c r="F24" i="93" s="1"/>
  <c r="F33" i="93" s="1"/>
  <c r="F71" i="22"/>
  <c r="AF68" i="22"/>
  <c r="D71" i="22"/>
  <c r="W71" i="22"/>
  <c r="AA71" i="22"/>
  <c r="AF67" i="22"/>
  <c r="U71" i="22"/>
  <c r="AF69" i="22"/>
  <c r="I71" i="22"/>
  <c r="X71" i="22"/>
  <c r="H71" i="22"/>
  <c r="Y71" i="22"/>
  <c r="V107" i="22"/>
  <c r="E19" i="94" s="1"/>
  <c r="E27" i="94" s="1"/>
  <c r="E71" i="22"/>
  <c r="AA33" i="22"/>
  <c r="AE71" i="22"/>
  <c r="E6" i="36"/>
  <c r="H6" i="36" s="1"/>
  <c r="H129" i="22"/>
  <c r="M28" i="22"/>
  <c r="O28" i="22" s="1"/>
  <c r="E104" i="22"/>
  <c r="E23" i="93" s="1"/>
  <c r="E32" i="93" s="1"/>
  <c r="V33" i="22"/>
  <c r="X33" i="22"/>
  <c r="Z33" i="22"/>
  <c r="H33" i="22"/>
  <c r="AF28" i="22"/>
  <c r="Y33" i="22"/>
  <c r="M32" i="22"/>
  <c r="O32" i="22" s="1"/>
  <c r="M29" i="22"/>
  <c r="O29" i="22" s="1"/>
  <c r="H126" i="22"/>
  <c r="K143" i="22" s="1"/>
  <c r="M31" i="22"/>
  <c r="O31" i="22" s="1"/>
  <c r="AF32" i="22"/>
  <c r="W33" i="22"/>
  <c r="H3" i="36"/>
  <c r="E7" i="36"/>
  <c r="H7" i="36" s="1"/>
  <c r="AE33" i="22"/>
  <c r="X108" i="22"/>
  <c r="D104" i="22"/>
  <c r="D23" i="93" s="1"/>
  <c r="D32" i="93" s="1"/>
  <c r="N105" i="22"/>
  <c r="Z105" i="22"/>
  <c r="F107" i="22"/>
  <c r="F26" i="93" s="1"/>
  <c r="F35" i="93" s="1"/>
  <c r="H9" i="91"/>
  <c r="H95" i="91" s="1"/>
  <c r="H127" i="22"/>
  <c r="E108" i="22"/>
  <c r="E27" i="93" s="1"/>
  <c r="E36" i="93" s="1"/>
  <c r="AA108" i="22"/>
  <c r="AD71" i="22"/>
  <c r="AF30" i="22"/>
  <c r="U105" i="22"/>
  <c r="H106" i="22"/>
  <c r="H25" i="93" s="1"/>
  <c r="H34" i="93" s="1"/>
  <c r="W106" i="22"/>
  <c r="F18" i="94" s="1"/>
  <c r="F26" i="94" s="1"/>
  <c r="W108" i="22"/>
  <c r="F20" i="94" s="1"/>
  <c r="F28" i="94" s="1"/>
  <c r="N33" i="22"/>
  <c r="E5" i="36"/>
  <c r="H5" i="36" s="1"/>
  <c r="V105" i="22"/>
  <c r="E17" i="94" s="1"/>
  <c r="E25" i="94" s="1"/>
  <c r="I106" i="22"/>
  <c r="I25" i="93" s="1"/>
  <c r="I34" i="93" s="1"/>
  <c r="X106" i="22"/>
  <c r="U107" i="22"/>
  <c r="M30" i="22"/>
  <c r="O30" i="22" s="1"/>
  <c r="U33" i="22"/>
  <c r="Z106" i="22"/>
  <c r="Z108" i="22"/>
  <c r="AB31" i="22"/>
  <c r="AF31" i="22" s="1"/>
  <c r="E4" i="36"/>
  <c r="H4" i="36" s="1"/>
  <c r="AD29" i="22"/>
  <c r="AD33" i="22" s="1"/>
  <c r="H105" i="22"/>
  <c r="H24" i="93" s="1"/>
  <c r="H33" i="93" s="1"/>
  <c r="W105" i="22"/>
  <c r="F17" i="94" s="1"/>
  <c r="F25" i="94" s="1"/>
  <c r="E106" i="22"/>
  <c r="U106" i="22"/>
  <c r="Y106" i="22"/>
  <c r="Y107" i="22"/>
  <c r="D108" i="22"/>
  <c r="D27" i="93" s="1"/>
  <c r="D36" i="93" s="1"/>
  <c r="H107" i="22"/>
  <c r="H26" i="93" s="1"/>
  <c r="H35" i="93" s="1"/>
  <c r="F108" i="22"/>
  <c r="F27" i="93" s="1"/>
  <c r="F36" i="93" s="1"/>
  <c r="V108" i="22"/>
  <c r="E20" i="94" s="1"/>
  <c r="E28" i="94" s="1"/>
  <c r="Y105" i="22"/>
  <c r="Z107" i="22"/>
  <c r="I105" i="22"/>
  <c r="I24" i="93" s="1"/>
  <c r="I33" i="93" s="1"/>
  <c r="X105" i="22"/>
  <c r="F106" i="22"/>
  <c r="F25" i="93" s="1"/>
  <c r="F34" i="93" s="1"/>
  <c r="V106" i="22"/>
  <c r="E18" i="94" s="1"/>
  <c r="E26" i="94" s="1"/>
  <c r="I108" i="22"/>
  <c r="I27" i="93" s="1"/>
  <c r="I36" i="93" s="1"/>
  <c r="D26" i="93"/>
  <c r="D35" i="93" s="1"/>
  <c r="I107" i="22"/>
  <c r="I26" i="93" s="1"/>
  <c r="I35" i="93" s="1"/>
  <c r="X107" i="22"/>
  <c r="AE107" i="22"/>
  <c r="AE106" i="22"/>
  <c r="Z14" i="22"/>
  <c r="AA12" i="90"/>
  <c r="AA113" i="90" s="1"/>
  <c r="N106" i="22"/>
  <c r="N25" i="93" s="1"/>
  <c r="N34" i="93" s="1"/>
  <c r="K26" i="94" s="1"/>
  <c r="AB11" i="22"/>
  <c r="AB106" i="22" s="1"/>
  <c r="AA105" i="22"/>
  <c r="E26" i="93"/>
  <c r="E35" i="93" s="1"/>
  <c r="E14" i="22"/>
  <c r="D106" i="22"/>
  <c r="D25" i="93" s="1"/>
  <c r="D34" i="93" s="1"/>
  <c r="N107" i="22"/>
  <c r="N26" i="93" s="1"/>
  <c r="N35" i="93" s="1"/>
  <c r="K27" i="94" s="1"/>
  <c r="AB12" i="22"/>
  <c r="AE108" i="22"/>
  <c r="H108" i="22"/>
  <c r="H27" i="93" s="1"/>
  <c r="H36" i="93" s="1"/>
  <c r="W107" i="22"/>
  <c r="F19" i="94" s="1"/>
  <c r="F27" i="94" s="1"/>
  <c r="AE105" i="22"/>
  <c r="AB10" i="22"/>
  <c r="AB105" i="22" s="1"/>
  <c r="N108" i="22"/>
  <c r="N27" i="93" s="1"/>
  <c r="N36" i="93" s="1"/>
  <c r="K28" i="94" s="1"/>
  <c r="AB13" i="22"/>
  <c r="U13" i="39"/>
  <c r="AE14" i="22"/>
  <c r="F104" i="22"/>
  <c r="F23" i="93" s="1"/>
  <c r="F32" i="93" s="1"/>
  <c r="F14" i="22"/>
  <c r="N14" i="22"/>
  <c r="AB9" i="22"/>
  <c r="V104" i="22"/>
  <c r="E16" i="94" s="1"/>
  <c r="E24" i="94" s="1"/>
  <c r="V14" i="22"/>
  <c r="H104" i="22"/>
  <c r="H23" i="93" s="1"/>
  <c r="H32" i="93" s="1"/>
  <c r="H14" i="22"/>
  <c r="W104" i="22"/>
  <c r="F16" i="94" s="1"/>
  <c r="F24" i="94" s="1"/>
  <c r="W14" i="22"/>
  <c r="I14" i="22"/>
  <c r="I104" i="22"/>
  <c r="I23" i="93" s="1"/>
  <c r="I32" i="93" s="1"/>
  <c r="X14" i="22"/>
  <c r="X104" i="22"/>
  <c r="G16" i="94" s="1"/>
  <c r="G24" i="94" s="1"/>
  <c r="U14" i="22"/>
  <c r="U104" i="22"/>
  <c r="D16" i="94" s="1"/>
  <c r="D24" i="94" s="1"/>
  <c r="Y14" i="22"/>
  <c r="Y104" i="22"/>
  <c r="H16" i="94" s="1"/>
  <c r="H24" i="94" s="1"/>
  <c r="AE104" i="22"/>
  <c r="L9" i="36"/>
  <c r="M25" i="36" s="1"/>
  <c r="J107" i="79" l="1"/>
  <c r="AD12" i="79"/>
  <c r="AF12" i="79" s="1"/>
  <c r="K12" i="79"/>
  <c r="M12" i="79" s="1"/>
  <c r="O12" i="79" s="1"/>
  <c r="AD10" i="22"/>
  <c r="AF10" i="22" s="1"/>
  <c r="J10" i="79"/>
  <c r="D69" i="91"/>
  <c r="I32" i="36"/>
  <c r="P32" i="36" s="1"/>
  <c r="J33" i="36"/>
  <c r="L28" i="93"/>
  <c r="N24" i="93"/>
  <c r="N33" i="93" s="1"/>
  <c r="K25" i="94" s="1"/>
  <c r="D143" i="22"/>
  <c r="L143" i="22" s="1"/>
  <c r="E25" i="93"/>
  <c r="E34" i="93" s="1"/>
  <c r="AE11" i="90"/>
  <c r="AE112" i="90" s="1"/>
  <c r="L18" i="94"/>
  <c r="X10" i="90"/>
  <c r="X111" i="90" s="1"/>
  <c r="G17" i="94"/>
  <c r="G25" i="94" s="1"/>
  <c r="Y12" i="90"/>
  <c r="Y113" i="90" s="1"/>
  <c r="H19" i="94"/>
  <c r="H27" i="94" s="1"/>
  <c r="AE12" i="90"/>
  <c r="AE113" i="90" s="1"/>
  <c r="L19" i="94"/>
  <c r="Y11" i="90"/>
  <c r="Y112" i="90" s="1"/>
  <c r="H18" i="94"/>
  <c r="H26" i="94" s="1"/>
  <c r="Z13" i="90"/>
  <c r="Z114" i="90" s="1"/>
  <c r="I20" i="94"/>
  <c r="AA13" i="90"/>
  <c r="AA114" i="90" s="1"/>
  <c r="J20" i="94"/>
  <c r="J28" i="94" s="1"/>
  <c r="X13" i="90"/>
  <c r="X114" i="90" s="1"/>
  <c r="G20" i="94"/>
  <c r="G28" i="94" s="1"/>
  <c r="AB10" i="90"/>
  <c r="AB111" i="90" s="1"/>
  <c r="K17" i="94"/>
  <c r="AE9" i="90"/>
  <c r="AE110" i="90" s="1"/>
  <c r="L16" i="94"/>
  <c r="N24" i="94" s="1"/>
  <c r="AE10" i="90"/>
  <c r="AE111" i="90" s="1"/>
  <c r="L17" i="94"/>
  <c r="X12" i="90"/>
  <c r="X113" i="90" s="1"/>
  <c r="G19" i="94"/>
  <c r="G27" i="94" s="1"/>
  <c r="Z12" i="90"/>
  <c r="Z113" i="90" s="1"/>
  <c r="I19" i="94"/>
  <c r="I27" i="94" s="1"/>
  <c r="U11" i="90"/>
  <c r="U112" i="90" s="1"/>
  <c r="D18" i="94"/>
  <c r="D26" i="94" s="1"/>
  <c r="Z11" i="90"/>
  <c r="Z112" i="90" s="1"/>
  <c r="I18" i="94"/>
  <c r="I26" i="94" s="1"/>
  <c r="AA10" i="90"/>
  <c r="AA111" i="90" s="1"/>
  <c r="J17" i="94"/>
  <c r="Y10" i="90"/>
  <c r="Y111" i="90" s="1"/>
  <c r="H17" i="94"/>
  <c r="H25" i="94" s="1"/>
  <c r="U9" i="90"/>
  <c r="U110" i="90" s="1"/>
  <c r="AE13" i="90"/>
  <c r="AE114" i="90" s="1"/>
  <c r="L20" i="94"/>
  <c r="U12" i="90"/>
  <c r="U113" i="90" s="1"/>
  <c r="D19" i="94"/>
  <c r="D27" i="94" s="1"/>
  <c r="AB11" i="90"/>
  <c r="AB112" i="90" s="1"/>
  <c r="K18" i="94"/>
  <c r="X11" i="90"/>
  <c r="X112" i="90" s="1"/>
  <c r="G18" i="94"/>
  <c r="G26" i="94" s="1"/>
  <c r="U10" i="90"/>
  <c r="U111" i="90" s="1"/>
  <c r="D17" i="94"/>
  <c r="D25" i="94" s="1"/>
  <c r="Z10" i="90"/>
  <c r="Z111" i="90" s="1"/>
  <c r="I17" i="94"/>
  <c r="I25" i="94" s="1"/>
  <c r="Z9" i="90"/>
  <c r="Z110" i="90" s="1"/>
  <c r="I16" i="94"/>
  <c r="I24" i="94" s="1"/>
  <c r="D142" i="22"/>
  <c r="L142" i="22" s="1"/>
  <c r="I3" i="36"/>
  <c r="I9" i="64"/>
  <c r="J107" i="75"/>
  <c r="J29" i="90" s="1"/>
  <c r="AD12" i="22"/>
  <c r="AF12" i="22" s="1"/>
  <c r="K12" i="22"/>
  <c r="M12" i="22" s="1"/>
  <c r="O12" i="22" s="1"/>
  <c r="J13" i="79"/>
  <c r="J108" i="79" s="1"/>
  <c r="AD13" i="22"/>
  <c r="AF13" i="22" s="1"/>
  <c r="J106" i="79"/>
  <c r="AD106" i="79" s="1"/>
  <c r="AD11" i="22"/>
  <c r="AF11" i="22" s="1"/>
  <c r="D144" i="22"/>
  <c r="L144" i="22" s="1"/>
  <c r="D145" i="22"/>
  <c r="D146" i="22"/>
  <c r="H7" i="91"/>
  <c r="H93" i="91" s="1"/>
  <c r="H8" i="91"/>
  <c r="H94" i="91" s="1"/>
  <c r="K144" i="22"/>
  <c r="H10" i="91"/>
  <c r="H96" i="91" s="1"/>
  <c r="K146" i="22"/>
  <c r="I13" i="90"/>
  <c r="I114" i="90" s="1"/>
  <c r="V13" i="90"/>
  <c r="V114" i="90" s="1"/>
  <c r="E13" i="90"/>
  <c r="E114" i="90" s="1"/>
  <c r="H13" i="90"/>
  <c r="H114" i="90" s="1"/>
  <c r="F13" i="90"/>
  <c r="F114" i="90" s="1"/>
  <c r="W13" i="90"/>
  <c r="W114" i="90" s="1"/>
  <c r="N13" i="90"/>
  <c r="N114" i="90" s="1"/>
  <c r="D13" i="90"/>
  <c r="D114" i="90" s="1"/>
  <c r="D12" i="90"/>
  <c r="D113" i="90" s="1"/>
  <c r="F12" i="90"/>
  <c r="F113" i="90" s="1"/>
  <c r="E12" i="90"/>
  <c r="E113" i="90" s="1"/>
  <c r="V12" i="90"/>
  <c r="V113" i="90" s="1"/>
  <c r="W12" i="90"/>
  <c r="W113" i="90" s="1"/>
  <c r="N12" i="90"/>
  <c r="N113" i="90" s="1"/>
  <c r="I12" i="90"/>
  <c r="I113" i="90" s="1"/>
  <c r="H12" i="90"/>
  <c r="H113" i="90" s="1"/>
  <c r="E11" i="90"/>
  <c r="E112" i="90" s="1"/>
  <c r="H11" i="90"/>
  <c r="H112" i="90" s="1"/>
  <c r="V11" i="90"/>
  <c r="V112" i="90" s="1"/>
  <c r="I11" i="90"/>
  <c r="I112" i="90" s="1"/>
  <c r="D11" i="90"/>
  <c r="D112" i="90" s="1"/>
  <c r="N11" i="90"/>
  <c r="N112" i="90" s="1"/>
  <c r="F11" i="90"/>
  <c r="F112" i="90" s="1"/>
  <c r="W11" i="90"/>
  <c r="W112" i="90" s="1"/>
  <c r="I10" i="90"/>
  <c r="I111" i="90" s="1"/>
  <c r="W10" i="90"/>
  <c r="W111" i="90" s="1"/>
  <c r="H10" i="90"/>
  <c r="H111" i="90" s="1"/>
  <c r="N10" i="90"/>
  <c r="N111" i="90" s="1"/>
  <c r="V10" i="90"/>
  <c r="V111" i="90" s="1"/>
  <c r="F10" i="90"/>
  <c r="F111" i="90" s="1"/>
  <c r="F9" i="90"/>
  <c r="F110" i="90" s="1"/>
  <c r="H9" i="90"/>
  <c r="H110" i="90" s="1"/>
  <c r="E9" i="90"/>
  <c r="E110" i="90" s="1"/>
  <c r="V9" i="90"/>
  <c r="V110" i="90" s="1"/>
  <c r="D9" i="90"/>
  <c r="D110" i="90" s="1"/>
  <c r="AG81" i="90"/>
  <c r="K7" i="36"/>
  <c r="D10" i="91"/>
  <c r="D96" i="91" s="1"/>
  <c r="K6" i="36"/>
  <c r="D9" i="91"/>
  <c r="D95" i="91" s="1"/>
  <c r="K5" i="36"/>
  <c r="D8" i="91"/>
  <c r="D94" i="91" s="1"/>
  <c r="D31" i="39"/>
  <c r="D7" i="91"/>
  <c r="D93" i="91" s="1"/>
  <c r="X14" i="82"/>
  <c r="X9" i="90"/>
  <c r="X110" i="90" s="1"/>
  <c r="Y14" i="82"/>
  <c r="Y9" i="90"/>
  <c r="Y110" i="90" s="1"/>
  <c r="W14" i="82"/>
  <c r="W9" i="90"/>
  <c r="W110" i="90" s="1"/>
  <c r="I14" i="82"/>
  <c r="I44" i="82" s="1"/>
  <c r="I9" i="90"/>
  <c r="I110" i="90" s="1"/>
  <c r="L14" i="90"/>
  <c r="L115" i="90" s="1"/>
  <c r="H33" i="39"/>
  <c r="H31" i="39"/>
  <c r="H34" i="39"/>
  <c r="H32" i="39"/>
  <c r="D33" i="39"/>
  <c r="J105" i="75"/>
  <c r="J27" i="90" s="1"/>
  <c r="K9" i="22"/>
  <c r="M9" i="22" s="1"/>
  <c r="O9" i="22" s="1"/>
  <c r="J9" i="79"/>
  <c r="D32" i="39"/>
  <c r="AG47" i="22"/>
  <c r="AH47" i="22" s="1"/>
  <c r="J106" i="22"/>
  <c r="J25" i="93" s="1"/>
  <c r="J34" i="93" s="1"/>
  <c r="K11" i="22"/>
  <c r="M11" i="22" s="1"/>
  <c r="O11" i="22" s="1"/>
  <c r="J105" i="22"/>
  <c r="K10" i="22"/>
  <c r="M10" i="22" s="1"/>
  <c r="O10" i="22" s="1"/>
  <c r="J108" i="22"/>
  <c r="J27" i="93" s="1"/>
  <c r="J36" i="93" s="1"/>
  <c r="K13" i="22"/>
  <c r="M13" i="22" s="1"/>
  <c r="O13" i="22" s="1"/>
  <c r="J107" i="22"/>
  <c r="L14" i="39"/>
  <c r="L44" i="39" s="1"/>
  <c r="D131" i="22"/>
  <c r="D12" i="91" s="1"/>
  <c r="K4" i="36"/>
  <c r="K12" i="82"/>
  <c r="M12" i="82" s="1"/>
  <c r="N6" i="83"/>
  <c r="O6" i="83" s="1"/>
  <c r="P6" i="83" s="1"/>
  <c r="K13" i="82"/>
  <c r="M13" i="82" s="1"/>
  <c r="E14" i="82"/>
  <c r="E44" i="82" s="1"/>
  <c r="N6" i="77"/>
  <c r="O6" i="77" s="1"/>
  <c r="P6" i="77" s="1"/>
  <c r="N5" i="77"/>
  <c r="O5" i="77" s="1"/>
  <c r="P5" i="77" s="1"/>
  <c r="L143" i="85"/>
  <c r="M143" i="85" s="1"/>
  <c r="D147" i="85"/>
  <c r="L14" i="82"/>
  <c r="L44" i="82" s="1"/>
  <c r="M9" i="75"/>
  <c r="U14" i="82"/>
  <c r="V14" i="82"/>
  <c r="F14" i="82"/>
  <c r="F44" i="82" s="1"/>
  <c r="Z14" i="82"/>
  <c r="N4" i="77"/>
  <c r="O4" i="77" s="1"/>
  <c r="P4" i="77" s="1"/>
  <c r="D36" i="82"/>
  <c r="D45" i="82" s="1"/>
  <c r="AF9" i="75"/>
  <c r="K9" i="83"/>
  <c r="L23" i="36" s="1"/>
  <c r="J108" i="75"/>
  <c r="J30" i="90" s="1"/>
  <c r="AD13" i="75"/>
  <c r="AF13" i="75" s="1"/>
  <c r="K13" i="75"/>
  <c r="M13" i="75" s="1"/>
  <c r="O13" i="75" s="1"/>
  <c r="J104" i="22"/>
  <c r="J23" i="93" s="1"/>
  <c r="J32" i="93" s="1"/>
  <c r="J106" i="75"/>
  <c r="J28" i="90" s="1"/>
  <c r="AD11" i="75"/>
  <c r="AF11" i="75" s="1"/>
  <c r="K11" i="75"/>
  <c r="M11" i="75" s="1"/>
  <c r="O11" i="75" s="1"/>
  <c r="AE14" i="82"/>
  <c r="H14" i="82"/>
  <c r="H44" i="82" s="1"/>
  <c r="N5" i="83"/>
  <c r="O5" i="83" s="1"/>
  <c r="P5" i="83" s="1"/>
  <c r="K11" i="82"/>
  <c r="M11" i="82" s="1"/>
  <c r="O11" i="82" s="1"/>
  <c r="AF11" i="82"/>
  <c r="N4" i="83"/>
  <c r="O4" i="83" s="1"/>
  <c r="P4" i="83" s="1"/>
  <c r="K10" i="82"/>
  <c r="M10" i="82" s="1"/>
  <c r="O10" i="82" s="1"/>
  <c r="J9" i="76"/>
  <c r="AD104" i="75"/>
  <c r="AD26" i="90" s="1"/>
  <c r="K104" i="75"/>
  <c r="K26" i="90" s="1"/>
  <c r="D34" i="39"/>
  <c r="N7" i="77"/>
  <c r="O7" i="77" s="1"/>
  <c r="P7" i="77" s="1"/>
  <c r="D33" i="76"/>
  <c r="D145" i="75"/>
  <c r="L145" i="75" s="1"/>
  <c r="M145" i="75" s="1"/>
  <c r="D31" i="76"/>
  <c r="D143" i="75"/>
  <c r="D131" i="75"/>
  <c r="O3" i="77"/>
  <c r="P3" i="77" s="1"/>
  <c r="D34" i="76"/>
  <c r="D146" i="75"/>
  <c r="L146" i="75" s="1"/>
  <c r="M146" i="75" s="1"/>
  <c r="D32" i="76"/>
  <c r="D144" i="75"/>
  <c r="L144" i="75" s="1"/>
  <c r="M144" i="75" s="1"/>
  <c r="N11" i="39"/>
  <c r="Y10" i="39"/>
  <c r="V12" i="39"/>
  <c r="Y12" i="39"/>
  <c r="W10" i="39"/>
  <c r="U10" i="39"/>
  <c r="Z10" i="39"/>
  <c r="J3" i="36"/>
  <c r="H10" i="39"/>
  <c r="W13" i="39"/>
  <c r="X13" i="39"/>
  <c r="F10" i="39"/>
  <c r="D12" i="39"/>
  <c r="D13" i="39"/>
  <c r="D9" i="39"/>
  <c r="AG67" i="22"/>
  <c r="AH67" i="22" s="1"/>
  <c r="J14" i="22"/>
  <c r="AD9" i="22"/>
  <c r="AF9" i="22" s="1"/>
  <c r="AF52" i="22"/>
  <c r="AF90" i="22"/>
  <c r="AG69" i="22"/>
  <c r="AH69" i="22" s="1"/>
  <c r="AG85" i="22"/>
  <c r="AH85" i="22" s="1"/>
  <c r="M3" i="36"/>
  <c r="M9" i="36" s="1"/>
  <c r="Y73" i="22"/>
  <c r="Y35" i="22"/>
  <c r="Z9" i="39"/>
  <c r="N71" i="22"/>
  <c r="AB66" i="22"/>
  <c r="AB104" i="22" s="1"/>
  <c r="AG68" i="22"/>
  <c r="AH68" i="22" s="1"/>
  <c r="K71" i="22"/>
  <c r="M66" i="22"/>
  <c r="E9" i="39"/>
  <c r="U11" i="39"/>
  <c r="F11" i="39"/>
  <c r="H131" i="22"/>
  <c r="H12" i="91" s="1"/>
  <c r="H98" i="91" s="1"/>
  <c r="I11" i="39"/>
  <c r="I4" i="36"/>
  <c r="D10" i="39"/>
  <c r="AG28" i="22"/>
  <c r="AH28" i="22" s="1"/>
  <c r="H11" i="39"/>
  <c r="Z11" i="39"/>
  <c r="X12" i="39"/>
  <c r="E11" i="39"/>
  <c r="I7" i="36"/>
  <c r="AG31" i="22"/>
  <c r="AH31" i="22" s="1"/>
  <c r="E13" i="39"/>
  <c r="N10" i="39"/>
  <c r="I10" i="39"/>
  <c r="W11" i="39"/>
  <c r="AA13" i="39"/>
  <c r="F12" i="39"/>
  <c r="Y11" i="39"/>
  <c r="F13" i="39"/>
  <c r="J4" i="36"/>
  <c r="Z109" i="22"/>
  <c r="H12" i="39"/>
  <c r="AF29" i="22"/>
  <c r="AG29" i="22" s="1"/>
  <c r="AH29" i="22" s="1"/>
  <c r="X11" i="39"/>
  <c r="E9" i="36"/>
  <c r="F25" i="36" s="1"/>
  <c r="AG32" i="22"/>
  <c r="AH32" i="22" s="1"/>
  <c r="I6" i="36"/>
  <c r="U12" i="39"/>
  <c r="AB33" i="22"/>
  <c r="V13" i="39"/>
  <c r="AB107" i="22"/>
  <c r="K19" i="94" s="1"/>
  <c r="E109" i="22"/>
  <c r="I13" i="39"/>
  <c r="K33" i="22"/>
  <c r="Z13" i="39"/>
  <c r="AG30" i="22"/>
  <c r="AH30" i="22" s="1"/>
  <c r="M33" i="22"/>
  <c r="I12" i="39"/>
  <c r="V10" i="39"/>
  <c r="X10" i="39"/>
  <c r="V11" i="39"/>
  <c r="Z12" i="39"/>
  <c r="O33" i="22"/>
  <c r="AA14" i="22"/>
  <c r="AE11" i="39"/>
  <c r="J5" i="36"/>
  <c r="E10" i="39"/>
  <c r="AB11" i="39"/>
  <c r="AA12" i="39"/>
  <c r="AE12" i="39"/>
  <c r="F9" i="39"/>
  <c r="F109" i="22"/>
  <c r="D109" i="22"/>
  <c r="D34" i="36" s="1"/>
  <c r="AA10" i="39"/>
  <c r="AB14" i="22"/>
  <c r="AE10" i="39"/>
  <c r="AE13" i="39"/>
  <c r="J6" i="36"/>
  <c r="N12" i="39"/>
  <c r="E12" i="39"/>
  <c r="AB108" i="22"/>
  <c r="K20" i="94" s="1"/>
  <c r="AA106" i="22"/>
  <c r="H13" i="39"/>
  <c r="I5" i="36"/>
  <c r="D11" i="39"/>
  <c r="N13" i="39"/>
  <c r="J7" i="36"/>
  <c r="N109" i="22"/>
  <c r="AB10" i="39"/>
  <c r="W12" i="39"/>
  <c r="N9" i="39"/>
  <c r="V9" i="39"/>
  <c r="V109" i="22"/>
  <c r="E21" i="94" s="1"/>
  <c r="E29" i="94" s="1"/>
  <c r="U109" i="22"/>
  <c r="U9" i="39"/>
  <c r="Y9" i="39"/>
  <c r="Y109" i="22"/>
  <c r="Y16" i="22"/>
  <c r="I109" i="22"/>
  <c r="I9" i="39"/>
  <c r="W109" i="22"/>
  <c r="W9" i="39"/>
  <c r="AE109" i="22"/>
  <c r="AE9" i="39"/>
  <c r="X9" i="39"/>
  <c r="X109" i="22"/>
  <c r="H109" i="22"/>
  <c r="H9" i="39"/>
  <c r="J47" i="90" l="1"/>
  <c r="AD108" i="79"/>
  <c r="J26" i="93"/>
  <c r="J35" i="93" s="1"/>
  <c r="K107" i="22"/>
  <c r="M107" i="22" s="1"/>
  <c r="AG12" i="79"/>
  <c r="AH12" i="79" s="1"/>
  <c r="J46" i="90"/>
  <c r="AD107" i="79"/>
  <c r="J12" i="81"/>
  <c r="K12" i="81" s="1"/>
  <c r="M12" i="81" s="1"/>
  <c r="O12" i="81" s="1"/>
  <c r="K107" i="79"/>
  <c r="J105" i="79"/>
  <c r="AD10" i="79"/>
  <c r="AF10" i="79" s="1"/>
  <c r="K10" i="79"/>
  <c r="M10" i="79" s="1"/>
  <c r="O10" i="79" s="1"/>
  <c r="E34" i="36"/>
  <c r="F34" i="36"/>
  <c r="L24" i="94"/>
  <c r="D27" i="91"/>
  <c r="D98" i="91" s="1"/>
  <c r="I29" i="36"/>
  <c r="P29" i="36" s="1"/>
  <c r="P33" i="36" s="1"/>
  <c r="Q32" i="36"/>
  <c r="P3" i="70"/>
  <c r="N25" i="36"/>
  <c r="L27" i="94"/>
  <c r="N27" i="94"/>
  <c r="L28" i="94"/>
  <c r="N28" i="94"/>
  <c r="L25" i="94"/>
  <c r="N25" i="94"/>
  <c r="L26" i="94"/>
  <c r="N26" i="94"/>
  <c r="J24" i="93"/>
  <c r="J33" i="93" s="1"/>
  <c r="AD105" i="22"/>
  <c r="M17" i="94" s="1"/>
  <c r="M25" i="94" s="1"/>
  <c r="D14" i="90"/>
  <c r="D115" i="90" s="1"/>
  <c r="D28" i="93"/>
  <c r="Z14" i="90"/>
  <c r="Z115" i="90" s="1"/>
  <c r="I21" i="94"/>
  <c r="I29" i="94" s="1"/>
  <c r="F14" i="90"/>
  <c r="F115" i="90" s="1"/>
  <c r="F28" i="93"/>
  <c r="U14" i="90"/>
  <c r="U115" i="90" s="1"/>
  <c r="Y111" i="22"/>
  <c r="D21" i="94"/>
  <c r="D29" i="94" s="1"/>
  <c r="AB9" i="90"/>
  <c r="AB110" i="90" s="1"/>
  <c r="K16" i="94"/>
  <c r="W14" i="90"/>
  <c r="W115" i="90" s="1"/>
  <c r="F21" i="94"/>
  <c r="F29" i="94" s="1"/>
  <c r="AE14" i="90"/>
  <c r="AE115" i="90" s="1"/>
  <c r="L21" i="94"/>
  <c r="L29" i="94" s="1"/>
  <c r="E14" i="90"/>
  <c r="E115" i="90" s="1"/>
  <c r="E28" i="93"/>
  <c r="Y14" i="90"/>
  <c r="Y115" i="90" s="1"/>
  <c r="H21" i="94"/>
  <c r="H29" i="94" s="1"/>
  <c r="H14" i="90"/>
  <c r="H115" i="90" s="1"/>
  <c r="H28" i="93"/>
  <c r="I14" i="90"/>
  <c r="I115" i="90" s="1"/>
  <c r="I28" i="93"/>
  <c r="N14" i="90"/>
  <c r="N115" i="90" s="1"/>
  <c r="N28" i="93"/>
  <c r="X14" i="90"/>
  <c r="X115" i="90" s="1"/>
  <c r="G21" i="94"/>
  <c r="G29" i="94" s="1"/>
  <c r="AA11" i="90"/>
  <c r="AA112" i="90" s="1"/>
  <c r="J18" i="94"/>
  <c r="J26" i="94" s="1"/>
  <c r="M143" i="22"/>
  <c r="L146" i="22"/>
  <c r="M146" i="22" s="1"/>
  <c r="M144" i="22"/>
  <c r="L145" i="22"/>
  <c r="M145" i="22" s="1"/>
  <c r="N3" i="36"/>
  <c r="O3" i="36" s="1"/>
  <c r="P3" i="36" s="1"/>
  <c r="AG52" i="22"/>
  <c r="AH52" i="22" s="1"/>
  <c r="K12" i="75"/>
  <c r="M12" i="75" s="1"/>
  <c r="O12" i="75" s="1"/>
  <c r="AD12" i="75"/>
  <c r="AF12" i="75" s="1"/>
  <c r="K11" i="79"/>
  <c r="M11" i="79" s="1"/>
  <c r="O11" i="79" s="1"/>
  <c r="AD13" i="79"/>
  <c r="AF13" i="79" s="1"/>
  <c r="AD11" i="79"/>
  <c r="AF11" i="79" s="1"/>
  <c r="K13" i="79"/>
  <c r="M13" i="79" s="1"/>
  <c r="J14" i="79"/>
  <c r="K147" i="22"/>
  <c r="D147" i="22"/>
  <c r="V14" i="90"/>
  <c r="V115" i="90" s="1"/>
  <c r="J12" i="90"/>
  <c r="J13" i="90"/>
  <c r="J9" i="90"/>
  <c r="J45" i="90"/>
  <c r="J11" i="81"/>
  <c r="K11" i="81" s="1"/>
  <c r="M11" i="81" s="1"/>
  <c r="O11" i="81" s="1"/>
  <c r="AF11" i="99"/>
  <c r="K106" i="79"/>
  <c r="K9" i="36"/>
  <c r="E21" i="64"/>
  <c r="G21" i="64" s="1"/>
  <c r="J11" i="90"/>
  <c r="E20" i="64"/>
  <c r="H20" i="64" s="1"/>
  <c r="J10" i="90"/>
  <c r="AF13" i="82"/>
  <c r="AB13" i="90"/>
  <c r="AB114" i="90" s="1"/>
  <c r="AF12" i="82"/>
  <c r="AB12" i="90"/>
  <c r="AB113" i="90" s="1"/>
  <c r="AA14" i="82"/>
  <c r="AA9" i="90"/>
  <c r="AA110" i="90" s="1"/>
  <c r="J11" i="39"/>
  <c r="K11" i="39" s="1"/>
  <c r="M11" i="39" s="1"/>
  <c r="O11" i="39" s="1"/>
  <c r="AD107" i="22"/>
  <c r="M19" i="94" s="1"/>
  <c r="M27" i="94" s="1"/>
  <c r="E22" i="64"/>
  <c r="J14" i="82"/>
  <c r="J44" i="82" s="1"/>
  <c r="E19" i="64"/>
  <c r="J13" i="39"/>
  <c r="K13" i="39" s="1"/>
  <c r="M13" i="39" s="1"/>
  <c r="O13" i="39" s="1"/>
  <c r="E23" i="64"/>
  <c r="J10" i="39"/>
  <c r="K10" i="39" s="1"/>
  <c r="M10" i="39" s="1"/>
  <c r="O10" i="39" s="1"/>
  <c r="D36" i="76"/>
  <c r="D45" i="76" s="1"/>
  <c r="H36" i="39"/>
  <c r="H45" i="39" s="1"/>
  <c r="H36" i="88"/>
  <c r="H45" i="88" s="1"/>
  <c r="H45" i="76"/>
  <c r="H36" i="82"/>
  <c r="H45" i="82" s="1"/>
  <c r="H46" i="81"/>
  <c r="J14" i="75"/>
  <c r="K10" i="75"/>
  <c r="M10" i="75" s="1"/>
  <c r="O10" i="75" s="1"/>
  <c r="AD10" i="75"/>
  <c r="AF10" i="75" s="1"/>
  <c r="J104" i="79"/>
  <c r="K9" i="79"/>
  <c r="M9" i="79" s="1"/>
  <c r="O9" i="79" s="1"/>
  <c r="AD9" i="79"/>
  <c r="AF9" i="79" s="1"/>
  <c r="D36" i="39"/>
  <c r="D45" i="39" s="1"/>
  <c r="AD108" i="22"/>
  <c r="M20" i="94" s="1"/>
  <c r="M28" i="94" s="1"/>
  <c r="K108" i="22"/>
  <c r="K27" i="93" s="1"/>
  <c r="K36" i="93" s="1"/>
  <c r="AG9" i="22"/>
  <c r="AH9" i="22" s="1"/>
  <c r="J12" i="39"/>
  <c r="K12" i="39" s="1"/>
  <c r="M12" i="39" s="1"/>
  <c r="O12" i="39" s="1"/>
  <c r="K105" i="22"/>
  <c r="K24" i="93" s="1"/>
  <c r="K33" i="93" s="1"/>
  <c r="AD106" i="22"/>
  <c r="M18" i="94" s="1"/>
  <c r="M26" i="94" s="1"/>
  <c r="K106" i="22"/>
  <c r="AD14" i="22"/>
  <c r="K14" i="22"/>
  <c r="AG11" i="22"/>
  <c r="AH11" i="22" s="1"/>
  <c r="AG10" i="22"/>
  <c r="AH10" i="22" s="1"/>
  <c r="Y16" i="82"/>
  <c r="AG11" i="82"/>
  <c r="AH11" i="82" s="1"/>
  <c r="AG13" i="75"/>
  <c r="AH13" i="75" s="1"/>
  <c r="AG11" i="75"/>
  <c r="AH11" i="75" s="1"/>
  <c r="J109" i="75"/>
  <c r="J31" i="90" s="1"/>
  <c r="AD104" i="22"/>
  <c r="M16" i="94" s="1"/>
  <c r="M24" i="94" s="1"/>
  <c r="J109" i="22"/>
  <c r="AB14" i="82"/>
  <c r="K9" i="76"/>
  <c r="J12" i="76"/>
  <c r="K12" i="76" s="1"/>
  <c r="M12" i="76" s="1"/>
  <c r="O12" i="76" s="1"/>
  <c r="AD107" i="75"/>
  <c r="K107" i="75"/>
  <c r="J10" i="76"/>
  <c r="K10" i="76" s="1"/>
  <c r="M10" i="76" s="1"/>
  <c r="O10" i="76" s="1"/>
  <c r="AD105" i="75"/>
  <c r="AD27" i="90" s="1"/>
  <c r="K105" i="75"/>
  <c r="AF9" i="82"/>
  <c r="L147" i="85"/>
  <c r="M147" i="85" s="1"/>
  <c r="J9" i="83"/>
  <c r="K23" i="36" s="1"/>
  <c r="K24" i="36" s="1"/>
  <c r="N7" i="83"/>
  <c r="O7" i="83" s="1"/>
  <c r="P7" i="83" s="1"/>
  <c r="AD14" i="82"/>
  <c r="AD106" i="75"/>
  <c r="AD28" i="90" s="1"/>
  <c r="J11" i="76"/>
  <c r="K11" i="76" s="1"/>
  <c r="M11" i="76" s="1"/>
  <c r="O11" i="76" s="1"/>
  <c r="K106" i="75"/>
  <c r="J13" i="81"/>
  <c r="K108" i="79"/>
  <c r="K47" i="90" s="1"/>
  <c r="K108" i="75"/>
  <c r="J13" i="76"/>
  <c r="K13" i="76" s="1"/>
  <c r="M13" i="76" s="1"/>
  <c r="O13" i="76" s="1"/>
  <c r="AD108" i="75"/>
  <c r="AD30" i="90" s="1"/>
  <c r="I9" i="83"/>
  <c r="J23" i="36" s="1"/>
  <c r="J24" i="36" s="1"/>
  <c r="N3" i="83"/>
  <c r="O13" i="82"/>
  <c r="M104" i="75"/>
  <c r="M26" i="90" s="1"/>
  <c r="D14" i="82"/>
  <c r="D44" i="82" s="1"/>
  <c r="K9" i="82"/>
  <c r="J9" i="39"/>
  <c r="K104" i="22"/>
  <c r="K23" i="93" s="1"/>
  <c r="K32" i="93" s="1"/>
  <c r="AD9" i="76"/>
  <c r="AF104" i="75"/>
  <c r="AF26" i="90" s="1"/>
  <c r="O9" i="75"/>
  <c r="N14" i="82"/>
  <c r="N44" i="82" s="1"/>
  <c r="O12" i="82"/>
  <c r="L143" i="75"/>
  <c r="M143" i="75" s="1"/>
  <c r="D147" i="75"/>
  <c r="N9" i="77"/>
  <c r="O20" i="36" s="1"/>
  <c r="K9" i="77"/>
  <c r="L20" i="36" s="1"/>
  <c r="L24" i="36" s="1"/>
  <c r="O9" i="77"/>
  <c r="P9" i="77" s="1"/>
  <c r="AA9" i="39"/>
  <c r="AG12" i="22"/>
  <c r="AH12" i="22" s="1"/>
  <c r="AG13" i="22"/>
  <c r="AH13" i="22" s="1"/>
  <c r="M142" i="22"/>
  <c r="N7" i="36"/>
  <c r="N6" i="36"/>
  <c r="O6" i="36" s="1"/>
  <c r="P6" i="36" s="1"/>
  <c r="N5" i="36"/>
  <c r="O5" i="36" s="1"/>
  <c r="P5" i="36" s="1"/>
  <c r="AG90" i="22"/>
  <c r="AH90" i="22" s="1"/>
  <c r="N4" i="36"/>
  <c r="O4" i="36" s="1"/>
  <c r="P4" i="36" s="1"/>
  <c r="Y14" i="39"/>
  <c r="I14" i="39"/>
  <c r="I44" i="39" s="1"/>
  <c r="AF33" i="22"/>
  <c r="AG33" i="22"/>
  <c r="AH33" i="22" s="1"/>
  <c r="X14" i="39"/>
  <c r="F14" i="39"/>
  <c r="F44" i="39" s="1"/>
  <c r="AB9" i="39"/>
  <c r="AB109" i="22"/>
  <c r="AB71" i="22"/>
  <c r="AF66" i="22"/>
  <c r="AF71" i="22" s="1"/>
  <c r="O66" i="22"/>
  <c r="M71" i="22"/>
  <c r="Z14" i="39"/>
  <c r="AB12" i="39"/>
  <c r="V14" i="39"/>
  <c r="H14" i="39"/>
  <c r="H44" i="39" s="1"/>
  <c r="E14" i="39"/>
  <c r="E44" i="39" s="1"/>
  <c r="D14" i="39"/>
  <c r="D44" i="39" s="1"/>
  <c r="J9" i="36"/>
  <c r="AE14" i="39"/>
  <c r="I9" i="36"/>
  <c r="AA11" i="39"/>
  <c r="W14" i="39"/>
  <c r="AA109" i="22"/>
  <c r="J21" i="94" s="1"/>
  <c r="J29" i="94" s="1"/>
  <c r="N14" i="39"/>
  <c r="N44" i="39" s="1"/>
  <c r="AB13" i="39"/>
  <c r="U14" i="39"/>
  <c r="H9" i="36"/>
  <c r="I25" i="36" s="1"/>
  <c r="J25" i="36" l="1"/>
  <c r="J114" i="90"/>
  <c r="K26" i="93"/>
  <c r="K35" i="93" s="1"/>
  <c r="M107" i="79"/>
  <c r="K46" i="90"/>
  <c r="AF107" i="79"/>
  <c r="AD12" i="81"/>
  <c r="AF12" i="81" s="1"/>
  <c r="AG12" i="81" s="1"/>
  <c r="AH12" i="81" s="1"/>
  <c r="AD46" i="90"/>
  <c r="J113" i="90"/>
  <c r="K25" i="93"/>
  <c r="K34" i="93" s="1"/>
  <c r="M106" i="22"/>
  <c r="AG10" i="79"/>
  <c r="AH10" i="79" s="1"/>
  <c r="J44" i="90"/>
  <c r="J111" i="90" s="1"/>
  <c r="J10" i="81"/>
  <c r="K10" i="81" s="1"/>
  <c r="M10" i="81" s="1"/>
  <c r="O10" i="81" s="1"/>
  <c r="AD105" i="79"/>
  <c r="K105" i="79"/>
  <c r="AD29" i="90"/>
  <c r="AF107" i="75"/>
  <c r="J112" i="90"/>
  <c r="AG11" i="99"/>
  <c r="AH11" i="99" s="1"/>
  <c r="AD47" i="90"/>
  <c r="AF13" i="99"/>
  <c r="AG13" i="99" s="1"/>
  <c r="AH13" i="99" s="1"/>
  <c r="N29" i="94"/>
  <c r="L25" i="36"/>
  <c r="K25" i="36"/>
  <c r="I33" i="36"/>
  <c r="J14" i="90"/>
  <c r="J28" i="93"/>
  <c r="AB14" i="90"/>
  <c r="AB115" i="90" s="1"/>
  <c r="K21" i="94"/>
  <c r="K29" i="94" s="1"/>
  <c r="AA14" i="90"/>
  <c r="AA115" i="90" s="1"/>
  <c r="L147" i="22"/>
  <c r="M147" i="22" s="1"/>
  <c r="AG12" i="75"/>
  <c r="AH12" i="75" s="1"/>
  <c r="AG11" i="79"/>
  <c r="AH11" i="79" s="1"/>
  <c r="AF106" i="79"/>
  <c r="AD45" i="90"/>
  <c r="AD11" i="81"/>
  <c r="AF11" i="81" s="1"/>
  <c r="AG11" i="81" s="1"/>
  <c r="AH11" i="81" s="1"/>
  <c r="M106" i="79"/>
  <c r="K45" i="90"/>
  <c r="F19" i="64"/>
  <c r="H19" i="64"/>
  <c r="F20" i="64"/>
  <c r="G20" i="64"/>
  <c r="F21" i="64"/>
  <c r="H21" i="64"/>
  <c r="AG13" i="82"/>
  <c r="AH13" i="82" s="1"/>
  <c r="AG12" i="82"/>
  <c r="AH12" i="82" s="1"/>
  <c r="M108" i="75"/>
  <c r="K30" i="90"/>
  <c r="J109" i="79"/>
  <c r="J48" i="90" s="1"/>
  <c r="J43" i="90"/>
  <c r="J110" i="90" s="1"/>
  <c r="AD13" i="39"/>
  <c r="AF13" i="39" s="1"/>
  <c r="AG13" i="39" s="1"/>
  <c r="AH13" i="39" s="1"/>
  <c r="AD13" i="90"/>
  <c r="M108" i="22"/>
  <c r="K13" i="90"/>
  <c r="O107" i="22"/>
  <c r="K12" i="90"/>
  <c r="AD12" i="39"/>
  <c r="AF12" i="39" s="1"/>
  <c r="AG12" i="39" s="1"/>
  <c r="AH12" i="39" s="1"/>
  <c r="AD12" i="90"/>
  <c r="M107" i="75"/>
  <c r="M29" i="90" s="1"/>
  <c r="K29" i="90"/>
  <c r="M106" i="75"/>
  <c r="O106" i="75" s="1"/>
  <c r="O28" i="90" s="1"/>
  <c r="K28" i="90"/>
  <c r="K11" i="90"/>
  <c r="AD11" i="39"/>
  <c r="AF11" i="39" s="1"/>
  <c r="AG11" i="39" s="1"/>
  <c r="AH11" i="39" s="1"/>
  <c r="AD11" i="90"/>
  <c r="M105" i="22"/>
  <c r="K10" i="90"/>
  <c r="AF10" i="82"/>
  <c r="AG10" i="82" s="1"/>
  <c r="AH10" i="82" s="1"/>
  <c r="AD10" i="90"/>
  <c r="M105" i="75"/>
  <c r="M27" i="90" s="1"/>
  <c r="K27" i="90"/>
  <c r="AF104" i="22"/>
  <c r="AD9" i="90"/>
  <c r="M104" i="22"/>
  <c r="K9" i="90"/>
  <c r="H23" i="64"/>
  <c r="F23" i="64"/>
  <c r="G23" i="64"/>
  <c r="AF107" i="22"/>
  <c r="G19" i="64"/>
  <c r="H22" i="64"/>
  <c r="F22" i="64"/>
  <c r="G22" i="64"/>
  <c r="E24" i="64"/>
  <c r="M14" i="75"/>
  <c r="O14" i="75"/>
  <c r="K14" i="75"/>
  <c r="AG10" i="75"/>
  <c r="AH10" i="75" s="1"/>
  <c r="AD14" i="79"/>
  <c r="AD14" i="75"/>
  <c r="AF14" i="75"/>
  <c r="K14" i="79"/>
  <c r="AG9" i="79"/>
  <c r="AH9" i="79" s="1"/>
  <c r="J9" i="81"/>
  <c r="K9" i="81" s="1"/>
  <c r="M9" i="81" s="1"/>
  <c r="O9" i="81" s="1"/>
  <c r="K104" i="79"/>
  <c r="AD104" i="79"/>
  <c r="J14" i="39"/>
  <c r="J44" i="39" s="1"/>
  <c r="AF108" i="22"/>
  <c r="N20" i="94" s="1"/>
  <c r="O28" i="94" s="1"/>
  <c r="AF106" i="22"/>
  <c r="N18" i="94" s="1"/>
  <c r="O26" i="94" s="1"/>
  <c r="AF105" i="22"/>
  <c r="N17" i="94" s="1"/>
  <c r="O25" i="94" s="1"/>
  <c r="AD10" i="39"/>
  <c r="AF10" i="39" s="1"/>
  <c r="AG10" i="39" s="1"/>
  <c r="AH10" i="39" s="1"/>
  <c r="K9" i="39"/>
  <c r="M9" i="39" s="1"/>
  <c r="O9" i="39" s="1"/>
  <c r="O14" i="39" s="1"/>
  <c r="AF14" i="22"/>
  <c r="AG14" i="22"/>
  <c r="AH14" i="22" s="1"/>
  <c r="AD9" i="39"/>
  <c r="AD109" i="75"/>
  <c r="AD31" i="90" s="1"/>
  <c r="K109" i="22"/>
  <c r="AD109" i="22"/>
  <c r="K109" i="75"/>
  <c r="K31" i="90" s="1"/>
  <c r="M108" i="79"/>
  <c r="M47" i="90" s="1"/>
  <c r="AD10" i="76"/>
  <c r="AF10" i="76" s="1"/>
  <c r="AG10" i="76" s="1"/>
  <c r="AH10" i="76" s="1"/>
  <c r="AF105" i="75"/>
  <c r="J14" i="76"/>
  <c r="J44" i="76" s="1"/>
  <c r="O104" i="75"/>
  <c r="O26" i="90" s="1"/>
  <c r="AD13" i="76"/>
  <c r="AF13" i="76" s="1"/>
  <c r="AG13" i="76" s="1"/>
  <c r="AH13" i="76" s="1"/>
  <c r="AF108" i="75"/>
  <c r="AF14" i="79"/>
  <c r="AF9" i="76"/>
  <c r="M9" i="82"/>
  <c r="K14" i="82"/>
  <c r="K44" i="82" s="1"/>
  <c r="AD13" i="81"/>
  <c r="AF108" i="79"/>
  <c r="AF47" i="90" s="1"/>
  <c r="AD11" i="76"/>
  <c r="AF11" i="76" s="1"/>
  <c r="AG11" i="76" s="1"/>
  <c r="AH11" i="76" s="1"/>
  <c r="AF106" i="75"/>
  <c r="O13" i="79"/>
  <c r="O14" i="79" s="1"/>
  <c r="M14" i="79"/>
  <c r="AG9" i="75"/>
  <c r="AH9" i="75" s="1"/>
  <c r="N9" i="83"/>
  <c r="O23" i="36" s="1"/>
  <c r="O24" i="36" s="1"/>
  <c r="O3" i="83"/>
  <c r="P3" i="83" s="1"/>
  <c r="K13" i="81"/>
  <c r="AD12" i="76"/>
  <c r="AF12" i="76" s="1"/>
  <c r="AG12" i="76" s="1"/>
  <c r="AH12" i="76" s="1"/>
  <c r="M9" i="76"/>
  <c r="K14" i="76"/>
  <c r="L147" i="75"/>
  <c r="M147" i="75" s="1"/>
  <c r="M14" i="22"/>
  <c r="O7" i="36"/>
  <c r="P7" i="36" s="1"/>
  <c r="N9" i="36"/>
  <c r="O71" i="22"/>
  <c r="AG66" i="22"/>
  <c r="AH66" i="22" s="1"/>
  <c r="Y16" i="39"/>
  <c r="AB14" i="39"/>
  <c r="AA14" i="39"/>
  <c r="O14" i="22"/>
  <c r="AD113" i="90" l="1"/>
  <c r="O107" i="79"/>
  <c r="O46" i="90" s="1"/>
  <c r="M46" i="90"/>
  <c r="K44" i="90"/>
  <c r="K111" i="90" s="1"/>
  <c r="M105" i="79"/>
  <c r="AF105" i="79"/>
  <c r="AD44" i="90"/>
  <c r="AD111" i="90" s="1"/>
  <c r="AD10" i="81"/>
  <c r="AF10" i="81" s="1"/>
  <c r="AG10" i="81" s="1"/>
  <c r="AH10" i="81" s="1"/>
  <c r="AD109" i="79"/>
  <c r="K114" i="90"/>
  <c r="AD114" i="90"/>
  <c r="K113" i="90"/>
  <c r="AD112" i="90"/>
  <c r="K112" i="90"/>
  <c r="J115" i="90"/>
  <c r="AD14" i="99"/>
  <c r="AF9" i="99"/>
  <c r="Q29" i="36"/>
  <c r="Q33" i="36" s="1"/>
  <c r="O25" i="36"/>
  <c r="AF12" i="90"/>
  <c r="N19" i="94"/>
  <c r="O27" i="94" s="1"/>
  <c r="M11" i="90"/>
  <c r="M25" i="93"/>
  <c r="M34" i="93" s="1"/>
  <c r="AG107" i="22"/>
  <c r="M26" i="93"/>
  <c r="M35" i="93" s="1"/>
  <c r="M13" i="90"/>
  <c r="M27" i="93"/>
  <c r="M36" i="93" s="1"/>
  <c r="M9" i="90"/>
  <c r="M23" i="93"/>
  <c r="M32" i="93" s="1"/>
  <c r="O105" i="22"/>
  <c r="AG105" i="22" s="1"/>
  <c r="M24" i="93"/>
  <c r="M33" i="93" s="1"/>
  <c r="AD14" i="90"/>
  <c r="M21" i="94"/>
  <c r="M29" i="94" s="1"/>
  <c r="K14" i="90"/>
  <c r="K28" i="93"/>
  <c r="AF9" i="90"/>
  <c r="N16" i="94"/>
  <c r="O24" i="94" s="1"/>
  <c r="O106" i="79"/>
  <c r="O45" i="90" s="1"/>
  <c r="M45" i="90"/>
  <c r="AF45" i="90"/>
  <c r="O108" i="22"/>
  <c r="O104" i="22"/>
  <c r="O105" i="75"/>
  <c r="O27" i="90" s="1"/>
  <c r="O106" i="22"/>
  <c r="AF14" i="82"/>
  <c r="AF30" i="90"/>
  <c r="M28" i="90"/>
  <c r="O108" i="75"/>
  <c r="O30" i="90" s="1"/>
  <c r="M30" i="90"/>
  <c r="O107" i="75"/>
  <c r="O29" i="90" s="1"/>
  <c r="M12" i="90"/>
  <c r="M10" i="90"/>
  <c r="M109" i="22"/>
  <c r="M109" i="75"/>
  <c r="M31" i="90" s="1"/>
  <c r="M104" i="79"/>
  <c r="O104" i="79" s="1"/>
  <c r="O43" i="90" s="1"/>
  <c r="K43" i="90"/>
  <c r="K110" i="90" s="1"/>
  <c r="AD43" i="90"/>
  <c r="AD110" i="90" s="1"/>
  <c r="AF13" i="90"/>
  <c r="AF29" i="90"/>
  <c r="AF11" i="90"/>
  <c r="AG106" i="75"/>
  <c r="AH106" i="75" s="1"/>
  <c r="AF28" i="90"/>
  <c r="AF10" i="90"/>
  <c r="AF27" i="90"/>
  <c r="H24" i="64"/>
  <c r="G24" i="64"/>
  <c r="F24" i="64"/>
  <c r="J14" i="81"/>
  <c r="J45" i="81" s="1"/>
  <c r="K109" i="79"/>
  <c r="AD9" i="81"/>
  <c r="AF9" i="81" s="1"/>
  <c r="AG9" i="81" s="1"/>
  <c r="AH9" i="81" s="1"/>
  <c r="AF104" i="79"/>
  <c r="AF109" i="22"/>
  <c r="K14" i="39"/>
  <c r="K44" i="39" s="1"/>
  <c r="AD14" i="39"/>
  <c r="M14" i="39"/>
  <c r="K44" i="76"/>
  <c r="AF9" i="39"/>
  <c r="AG9" i="39" s="1"/>
  <c r="AH9" i="39" s="1"/>
  <c r="AG13" i="79"/>
  <c r="AH13" i="79" s="1"/>
  <c r="AF13" i="81"/>
  <c r="AD14" i="76"/>
  <c r="O108" i="79"/>
  <c r="O47" i="90" s="1"/>
  <c r="M13" i="81"/>
  <c r="K14" i="81"/>
  <c r="AG14" i="75"/>
  <c r="AH14" i="75" s="1"/>
  <c r="O9" i="82"/>
  <c r="M14" i="82"/>
  <c r="M44" i="82" s="1"/>
  <c r="AG104" i="75"/>
  <c r="AH104" i="75" s="1"/>
  <c r="M14" i="76"/>
  <c r="O9" i="76"/>
  <c r="O14" i="76" s="1"/>
  <c r="O9" i="83"/>
  <c r="P9" i="83" s="1"/>
  <c r="AF14" i="76"/>
  <c r="AF109" i="75"/>
  <c r="AF31" i="90" s="1"/>
  <c r="O9" i="36"/>
  <c r="P9" i="36" s="1"/>
  <c r="AG71" i="22"/>
  <c r="AH71" i="22" s="1"/>
  <c r="M113" i="90" l="1"/>
  <c r="AF114" i="90"/>
  <c r="AF112" i="90"/>
  <c r="AF44" i="90"/>
  <c r="AF111" i="90" s="1"/>
  <c r="O105" i="79"/>
  <c r="M44" i="90"/>
  <c r="M111" i="90" s="1"/>
  <c r="AD48" i="90"/>
  <c r="AD115" i="90" s="1"/>
  <c r="AF46" i="90"/>
  <c r="AF113" i="90" s="1"/>
  <c r="M112" i="90"/>
  <c r="M114" i="90"/>
  <c r="K48" i="90"/>
  <c r="K115" i="90" s="1"/>
  <c r="AF14" i="99"/>
  <c r="AG9" i="99"/>
  <c r="AH107" i="22"/>
  <c r="O19" i="94"/>
  <c r="O13" i="90"/>
  <c r="O114" i="90" s="1"/>
  <c r="O27" i="93"/>
  <c r="O36" i="93" s="1"/>
  <c r="M14" i="90"/>
  <c r="M28" i="93"/>
  <c r="AF14" i="90"/>
  <c r="N21" i="94"/>
  <c r="O29" i="94" s="1"/>
  <c r="O12" i="90"/>
  <c r="O113" i="90" s="1"/>
  <c r="O26" i="93"/>
  <c r="O35" i="93" s="1"/>
  <c r="AH105" i="22"/>
  <c r="O17" i="94"/>
  <c r="O11" i="90"/>
  <c r="O112" i="90" s="1"/>
  <c r="O25" i="93"/>
  <c r="O34" i="93" s="1"/>
  <c r="O10" i="90"/>
  <c r="O24" i="93"/>
  <c r="O33" i="93" s="1"/>
  <c r="O9" i="90"/>
  <c r="O110" i="90" s="1"/>
  <c r="O109" i="22"/>
  <c r="O28" i="93" s="1"/>
  <c r="O23" i="93"/>
  <c r="O32" i="93" s="1"/>
  <c r="AG14" i="79"/>
  <c r="AH14" i="79" s="1"/>
  <c r="AG26" i="90"/>
  <c r="AG106" i="79"/>
  <c r="AG104" i="22"/>
  <c r="AG108" i="22"/>
  <c r="AG107" i="75"/>
  <c r="AH107" i="75" s="1"/>
  <c r="AG106" i="22"/>
  <c r="AG105" i="75"/>
  <c r="AH105" i="75" s="1"/>
  <c r="M109" i="79"/>
  <c r="O109" i="75"/>
  <c r="O31" i="90" s="1"/>
  <c r="M43" i="90"/>
  <c r="M110" i="90" s="1"/>
  <c r="AG108" i="75"/>
  <c r="AH108" i="75" s="1"/>
  <c r="M44" i="76"/>
  <c r="M44" i="39"/>
  <c r="AG12" i="90"/>
  <c r="AG28" i="90"/>
  <c r="AG10" i="90"/>
  <c r="AG104" i="79"/>
  <c r="AH104" i="79" s="1"/>
  <c r="AF43" i="90"/>
  <c r="AF110" i="90" s="1"/>
  <c r="K45" i="81"/>
  <c r="AD14" i="81"/>
  <c r="AF14" i="39"/>
  <c r="AG108" i="79"/>
  <c r="AG9" i="76"/>
  <c r="AH9" i="76" s="1"/>
  <c r="O14" i="82"/>
  <c r="O44" i="82" s="1"/>
  <c r="AG9" i="82"/>
  <c r="AH9" i="82" s="1"/>
  <c r="O13" i="81"/>
  <c r="O14" i="81" s="1"/>
  <c r="M14" i="81"/>
  <c r="AF14" i="81"/>
  <c r="AG14" i="39"/>
  <c r="AH14" i="39" s="1"/>
  <c r="O44" i="90" l="1"/>
  <c r="O111" i="90" s="1"/>
  <c r="O109" i="79"/>
  <c r="AG105" i="79"/>
  <c r="AG109" i="79" s="1"/>
  <c r="AH109" i="79" s="1"/>
  <c r="AF109" i="79"/>
  <c r="AF48" i="90" s="1"/>
  <c r="AF115" i="90" s="1"/>
  <c r="AH9" i="99"/>
  <c r="AG14" i="99"/>
  <c r="AH14" i="99" s="1"/>
  <c r="M48" i="90"/>
  <c r="M115" i="90" s="1"/>
  <c r="AH108" i="22"/>
  <c r="O20" i="94"/>
  <c r="I28" i="94" s="1"/>
  <c r="AH104" i="22"/>
  <c r="O16" i="94"/>
  <c r="AH106" i="22"/>
  <c r="O18" i="94"/>
  <c r="O44" i="39"/>
  <c r="AG47" i="90"/>
  <c r="AH108" i="79"/>
  <c r="AG45" i="90"/>
  <c r="AH106" i="79"/>
  <c r="AG27" i="90"/>
  <c r="AG9" i="90"/>
  <c r="AG13" i="90"/>
  <c r="AG29" i="90"/>
  <c r="AG113" i="90" s="1"/>
  <c r="O14" i="90"/>
  <c r="AG11" i="90"/>
  <c r="AG109" i="22"/>
  <c r="AG109" i="75"/>
  <c r="AH109" i="75" s="1"/>
  <c r="M45" i="81"/>
  <c r="O44" i="76"/>
  <c r="AG30" i="90"/>
  <c r="AG43" i="90"/>
  <c r="AG14" i="82"/>
  <c r="AH14" i="82" s="1"/>
  <c r="AG14" i="76"/>
  <c r="AH14" i="76" s="1"/>
  <c r="AG13" i="81"/>
  <c r="AH13" i="81" s="1"/>
  <c r="O45" i="81" l="1"/>
  <c r="O48" i="90"/>
  <c r="O115" i="90" s="1"/>
  <c r="AH105" i="79"/>
  <c r="AG44" i="90"/>
  <c r="AG111" i="90" s="1"/>
  <c r="AG114" i="90"/>
  <c r="AG110" i="90"/>
  <c r="AG112" i="90"/>
  <c r="AH109" i="22"/>
  <c r="O21" i="94"/>
  <c r="AG14" i="90"/>
  <c r="AG31" i="90"/>
  <c r="AG48" i="90"/>
  <c r="AG14" i="81"/>
  <c r="AH14" i="81" s="1"/>
  <c r="AG115" i="9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<sst xmlns="http://schemas.openxmlformats.org/spreadsheetml/2006/main" count="7500" uniqueCount="344">
  <si>
    <t xml:space="preserve">Hora: </t>
  </si>
  <si>
    <t xml:space="preserve"> </t>
  </si>
  <si>
    <t>TOTAL</t>
  </si>
  <si>
    <t>ASE</t>
  </si>
  <si>
    <t>Recaudo Total</t>
  </si>
  <si>
    <t>Recaudo por disposicion final</t>
  </si>
  <si>
    <t>Recaudo por tratamiento de lixiviados</t>
  </si>
  <si>
    <t xml:space="preserve">Conceptos especiales </t>
  </si>
  <si>
    <t>PROCERASEO S.A.S.</t>
  </si>
  <si>
    <t>Concesionarios</t>
  </si>
  <si>
    <t>PROMOAMBIENTAL DISTRITO S.A.S. ESP.</t>
  </si>
  <si>
    <t>LIMPIEZA METROPOLITANA S.A. ESP.</t>
  </si>
  <si>
    <t>CIUDAD LIMPIA BOGOTA S.A. ESP.</t>
  </si>
  <si>
    <t>BOGOTA LIMPIA S.A.S. ESP.</t>
  </si>
  <si>
    <t>AREA LIMPIA DISTRITO CAPITAL S.A.S. ESP.</t>
  </si>
  <si>
    <t xml:space="preserve">Codigo Remuneración: </t>
  </si>
  <si>
    <t>NIT: 901 153 639 - 0</t>
  </si>
  <si>
    <t xml:space="preserve">Fecha de Proceso: </t>
  </si>
  <si>
    <t xml:space="preserve">Recaudo por aprovechamiento </t>
  </si>
  <si>
    <t>Balance de subsidio o contribuciones</t>
  </si>
  <si>
    <t>RECAUDO BASE DE REMUNERACION</t>
  </si>
  <si>
    <t>Costo de la Interventoría</t>
  </si>
  <si>
    <t>REMUNERACION FINAL</t>
  </si>
  <si>
    <t>REMUNERACION FINAL MAS CONCEPTOS ESPECIALES</t>
  </si>
  <si>
    <t>Recaudo del componente de comercializacion para Aprovechamiento (11,4%)</t>
  </si>
  <si>
    <t>Firma autorizada</t>
  </si>
  <si>
    <t xml:space="preserve">R1 - RECAUDO OPORTUNO </t>
  </si>
  <si>
    <t>Fecha Desde:</t>
  </si>
  <si>
    <t>Feha Hasta:</t>
  </si>
  <si>
    <t>3. ESQUEMA FINANCIERO DEL SERVICIO PUBLICO DE ASEO</t>
  </si>
  <si>
    <t>Resoluciòn UAESP Número 27 de 2018</t>
  </si>
  <si>
    <t>R2 - ANTICIPOS A USUARIOS</t>
  </si>
  <si>
    <t>R3 - RECAUDO EXTEMPORANEO</t>
  </si>
  <si>
    <t>R4 - REVERSIÓN DE PAGOS</t>
  </si>
  <si>
    <t>R5 - DEVOLUCIÓN A USUARIOS</t>
  </si>
  <si>
    <t>REPORTE CONSOLIDADO DE REMUNERACION</t>
  </si>
  <si>
    <t>PROCERASEO SAS</t>
  </si>
  <si>
    <t>REPORTE CONSOLIDADO DE ANTICIPOS</t>
  </si>
  <si>
    <t>ANTICIPOS GENERADOS</t>
  </si>
  <si>
    <t>Tarifa de Comercialización del Servicio.
 ( TCS)</t>
  </si>
  <si>
    <t>Tarifa de Limpieza Urbana del Servicio.
 ( TLU)</t>
  </si>
  <si>
    <t>Tarifa de Barrido y Limpieza del Servicio.
 ( TBL)</t>
  </si>
  <si>
    <t>Tarifa de Recolección
 y Transporte del Servicio.
 (TRT)</t>
  </si>
  <si>
    <t>Recaudo del componente de comercializacion para Aprovechamiento (18,6%)</t>
  </si>
  <si>
    <t>Recaudo REMUNERADO</t>
  </si>
  <si>
    <t>RECAUDO RECIBIDO</t>
  </si>
  <si>
    <t>Ajuste a la decena</t>
  </si>
  <si>
    <t>RECAUDO APLICADO PERIODOS ANTERIORES</t>
  </si>
  <si>
    <t>PAGOS PENDIENTES POR APLICAR</t>
  </si>
  <si>
    <t>VALIDACION DEL RECAUDO VERSUS REMUNERACION</t>
  </si>
  <si>
    <t>RECAUDO PERIODOS ANTERIORES</t>
  </si>
  <si>
    <t>RECAUDO APLICADO ANTICIPOS</t>
  </si>
  <si>
    <t>TOTAL RECAUDO</t>
  </si>
  <si>
    <t>REMUNERACION ANTICIPOS GENERADOS</t>
  </si>
  <si>
    <t>TOTAL REMUNERACION</t>
  </si>
  <si>
    <t>TOTAL RECAUDO RECIBIDO</t>
  </si>
  <si>
    <t>ANTICIPOS QUE DESCARGAN</t>
  </si>
  <si>
    <t>(REMUNERACION) ANTICIPOS QUE DESCARGAN</t>
  </si>
  <si>
    <t>REMUNERACION RECAUDO TOTAL</t>
  </si>
  <si>
    <t>REMUNERACION CONCEPTOS ESPECIALES</t>
  </si>
  <si>
    <t>REMUNERACION PAGOS PENDIENTES POR APLICAR</t>
  </si>
  <si>
    <t>Componente TBL</t>
  </si>
  <si>
    <t>Componente TRT</t>
  </si>
  <si>
    <t>Componente TLU</t>
  </si>
  <si>
    <t>Componente TDF</t>
  </si>
  <si>
    <t>Componente TTL</t>
  </si>
  <si>
    <t>Componente TCS</t>
  </si>
  <si>
    <t>CCSA Prest. No Aprov.</t>
  </si>
  <si>
    <t>CCSA Prest.Aprov.</t>
  </si>
  <si>
    <t>Aprovechamiento</t>
  </si>
  <si>
    <t>Total</t>
  </si>
  <si>
    <t>SERVICIO ESPECIALES</t>
  </si>
  <si>
    <t>Vlr Servicio</t>
  </si>
  <si>
    <t>Subsidio(-)/Contribucion(+)</t>
  </si>
  <si>
    <t>PROMOAMBIENTAL</t>
  </si>
  <si>
    <t>LIME</t>
  </si>
  <si>
    <t>CIUDAD LIMPIA</t>
  </si>
  <si>
    <t>Ajuste Decena</t>
  </si>
  <si>
    <t>Componente</t>
  </si>
  <si>
    <t>Subs/Cont</t>
  </si>
  <si>
    <t>Ajuste Recargo Aseo</t>
  </si>
  <si>
    <t>Vlr Intereses</t>
  </si>
  <si>
    <t>H</t>
  </si>
  <si>
    <t>Especiales</t>
  </si>
  <si>
    <t>Deb/Cred</t>
  </si>
  <si>
    <t>EAB</t>
  </si>
  <si>
    <t>O</t>
  </si>
  <si>
    <t>T</t>
  </si>
  <si>
    <t>BOGOTA LIMPIA</t>
  </si>
  <si>
    <t>X</t>
  </si>
  <si>
    <t>Recaudo pendiente de identificar</t>
  </si>
  <si>
    <t>R4 - REVERSION DE PAGOS</t>
  </si>
  <si>
    <t>REVERSION DE PAGOS</t>
  </si>
  <si>
    <t>AREA LIMPIA</t>
  </si>
  <si>
    <t>Anticipos generados por pago</t>
  </si>
  <si>
    <t>Sale del reporte Recaudo por Bancos.</t>
  </si>
  <si>
    <t>Resumen Recaudo Aplicado Por Servicio</t>
  </si>
  <si>
    <t>1-APLICADOS A FACTURACION</t>
  </si>
  <si>
    <t>2-SALDOS A FAVOR GENERADOS</t>
  </si>
  <si>
    <t>ASE 1</t>
  </si>
  <si>
    <t>ASE 2</t>
  </si>
  <si>
    <t>ASE 3</t>
  </si>
  <si>
    <t>ASE 4</t>
  </si>
  <si>
    <t>ASE 5</t>
  </si>
  <si>
    <t>Balance de subsidio o contribuciones (Recaudo)</t>
  </si>
  <si>
    <t>Diferencial Balance Subsidio y Contribución (Fac vs Rec)</t>
  </si>
  <si>
    <t>Balance S / C Con Baase en (Recaudo)</t>
  </si>
  <si>
    <t>Diferencial Balance S / C 
(Fac vs Rec)</t>
  </si>
  <si>
    <t>%</t>
  </si>
  <si>
    <t>CONTRIBUCION</t>
  </si>
  <si>
    <t>SUBSIDIO</t>
  </si>
  <si>
    <t>TOTAL BSC</t>
  </si>
  <si>
    <t>Mes</t>
  </si>
  <si>
    <t>PENDIENTE POR APLICAR</t>
  </si>
  <si>
    <t>ANTICIPOS 
GENERADOS 
POR PAGO</t>
  </si>
  <si>
    <t>1</t>
  </si>
  <si>
    <t>2</t>
  </si>
  <si>
    <t>3</t>
  </si>
  <si>
    <t>5</t>
  </si>
  <si>
    <t>OCCIDENTE</t>
  </si>
  <si>
    <t>NUEVO ESQUEMA</t>
  </si>
  <si>
    <t>REPORTE CONSOLIDADO DE REMUNERACION// TOTAL</t>
  </si>
  <si>
    <t>Aplicacion nuevos x reversion</t>
  </si>
  <si>
    <t xml:space="preserve">SALDOS A FAVOR POR NOTA </t>
  </si>
  <si>
    <t>RETRIBUCION NEGATIVA</t>
  </si>
  <si>
    <t>CONSOLIDADO SALDOS A FAVOR</t>
  </si>
  <si>
    <t>R5 - REMUNERACIÓN SALDOS A FAVOR POR NOTA</t>
  </si>
  <si>
    <t>RECAUDO PENDIENTE POR REVERSAR</t>
  </si>
  <si>
    <t>R5 - SALDOS A FAVOR POR NOTA</t>
  </si>
  <si>
    <t>RECAUDO POR REVERSAR</t>
  </si>
  <si>
    <t>SALDOS A FAVOR POR NOTA</t>
  </si>
  <si>
    <t>3-APLICADOS A FINANCIACIONES NUEVAS</t>
  </si>
  <si>
    <t>OPORTUNO</t>
  </si>
  <si>
    <t>EXTEMPORANEO</t>
  </si>
  <si>
    <t>VALOR MES</t>
  </si>
  <si>
    <t>Intereses Cte Financiac. Aseo</t>
  </si>
  <si>
    <t>VALOR 1° Q</t>
  </si>
  <si>
    <t>NUMERO REG. 1°Q</t>
  </si>
  <si>
    <t>VALOR 2° Q</t>
  </si>
  <si>
    <t>NUMERO REG. 2°Q</t>
  </si>
  <si>
    <t>EXTEMP.</t>
  </si>
  <si>
    <t>VALOR TOTAL MES</t>
  </si>
  <si>
    <t>NUMERO REGISTROS MES</t>
  </si>
  <si>
    <t>SALDOS A FAVOR GENERADOS RECAUDO EXTEMPORANEO</t>
  </si>
  <si>
    <t>SALDOS A FAVOR  QUE DESCARGAN POR REVERSIONES</t>
  </si>
  <si>
    <t>ANTICIPOS 
GENERADOS 
POR EXTEMPORANEOS</t>
  </si>
  <si>
    <t>Anticipos generados por pagos aplicados de reversiones</t>
  </si>
  <si>
    <t>Sale del reporte Recaudo reversado</t>
  </si>
  <si>
    <t>BANCO DE OCCIDENTE</t>
  </si>
  <si>
    <t>REPORTE 3</t>
  </si>
  <si>
    <t>REPORTE 4</t>
  </si>
  <si>
    <t>APLICADO</t>
  </si>
  <si>
    <t>ANTICIPOS</t>
  </si>
  <si>
    <t>EAAB RECIPROCIDAD</t>
  </si>
  <si>
    <t>EAAB CIUDAD LIMPIA</t>
  </si>
  <si>
    <t>ENEL</t>
  </si>
  <si>
    <t>E</t>
  </si>
  <si>
    <t>Ciudad Limpia - Prestador</t>
  </si>
  <si>
    <t>EAAB - Prestador</t>
  </si>
  <si>
    <t>Recaudo por Componente VIAT ( Decreto 2412/2018)</t>
  </si>
  <si>
    <t>RECIPROCIDAD</t>
  </si>
  <si>
    <t>CIUDAD LIMPIA-ACUEDUCTO</t>
  </si>
  <si>
    <t>REPORTE CONSOLIDADO DE REMUNERACION// ENEL</t>
  </si>
  <si>
    <t>Recaudo OCCIDENTE</t>
  </si>
  <si>
    <t>Componente TVIAT</t>
  </si>
  <si>
    <t>EAAB-CIUDADLIMPIA</t>
  </si>
  <si>
    <t>Rec.Intereses</t>
  </si>
  <si>
    <t>Otros</t>
  </si>
  <si>
    <t>7-APLICADOS A RECIBOS SERVICIOS ESPECIALES</t>
  </si>
  <si>
    <t>ANTICIPOS QUE CARGAN POR REVERSIONES</t>
  </si>
  <si>
    <t>Anticipos que cargan de reversiones</t>
  </si>
  <si>
    <t>REVERSIÓN DE PAGOS</t>
  </si>
  <si>
    <t>Exonera-Recargo Aseo</t>
  </si>
  <si>
    <t>INFORME AFaseo</t>
  </si>
  <si>
    <t xml:space="preserve">BENEFICIO TRANSITORIO ALIVIO SOBRE EL VALOR DE LA FACTURA </t>
  </si>
  <si>
    <t>Según Resoluciòn UAESP Número 273 de 2.020</t>
  </si>
  <si>
    <t>Valor Afaseo</t>
  </si>
  <si>
    <t>Afaseo por disposicion final</t>
  </si>
  <si>
    <t>Afaseo por tratamiento de lixiviados</t>
  </si>
  <si>
    <t>Afaseo por Componente VIAT ( Decreto 2412/2018)</t>
  </si>
  <si>
    <t xml:space="preserve">Afaseo por aprovechamiento </t>
  </si>
  <si>
    <t>Afaseo del componente de comercializacion para Aprovechamiento (11,4%)</t>
  </si>
  <si>
    <t>Afaseo
RBL</t>
  </si>
  <si>
    <t xml:space="preserve"> Componente de comercialización para Aprovechamiento (18,6%)</t>
  </si>
  <si>
    <r>
      <t xml:space="preserve">INFORME Afaseo   // </t>
    </r>
    <r>
      <rPr>
        <b/>
        <sz val="11"/>
        <color rgb="FFFF0000"/>
        <rFont val="Arial"/>
        <family val="2"/>
      </rPr>
      <t>RECAUDO</t>
    </r>
  </si>
  <si>
    <t>AFaseo</t>
  </si>
  <si>
    <t>REPORTE CONSOLIDADO DE REMUNERACION// RECIPROCIDAD - EAAB</t>
  </si>
  <si>
    <t>REPORTE CONSOLIDADO DE REMUNERACION// OCCIDENTE - Recaudo Facturación Directa</t>
  </si>
  <si>
    <t>REPORTE CONSOLIDADO DE REMUNERACION// EAAB-CIUDAD LIMPIA*</t>
  </si>
  <si>
    <t>*En el Esquema anterior, EAAB y CIUD LIMP son Prestadores. // Recaudo en cuentas bancarias de Esquema anterior.</t>
  </si>
  <si>
    <t>DIFERENCIA</t>
  </si>
  <si>
    <t>REPORTE CONSOLIDADO DE ANTICIPOS-reciprocidad</t>
  </si>
  <si>
    <t>REPORTE CONSOLIDADO DE ANTICIPOS -ENEL</t>
  </si>
  <si>
    <t>REPORTE CONSOLIDADO DE ANTICIPOS -OCCIDENTE</t>
  </si>
  <si>
    <t>REPORTE CONSOLIDADO DE ANTICIPOS EAAB-CIULIM</t>
  </si>
  <si>
    <t>REMUN TOTAL</t>
  </si>
  <si>
    <t>SISTEMA</t>
  </si>
  <si>
    <t>DIFERENCIA VALIDA 2</t>
  </si>
  <si>
    <t>VALIDA 2</t>
  </si>
  <si>
    <t>VALIDA 1</t>
  </si>
  <si>
    <t>VALIDACION</t>
  </si>
  <si>
    <t>TOTALES</t>
  </si>
  <si>
    <t>EAAB</t>
  </si>
  <si>
    <t>CIUD LIMPIA</t>
  </si>
  <si>
    <t>EAAB / RECIP.</t>
  </si>
  <si>
    <t>DIRECTA OCCIDENTE</t>
  </si>
  <si>
    <t>Recaudo ENEL - ASE 1</t>
  </si>
  <si>
    <t>Recaudo ENEL - ASE 5</t>
  </si>
  <si>
    <t>Recaudo Reciprocidad EAAB - ASE 2</t>
  </si>
  <si>
    <t>Recaudo Reciprocidad EAAB - ASE 4</t>
  </si>
  <si>
    <t>Recaudo ENEL - ASE 3</t>
  </si>
  <si>
    <t>REPORTE CONSOLIDADO TOTAL DE RECAUDO</t>
  </si>
  <si>
    <t>REPORTE DETALLADO SUBBOLSA RBL DISCRIMINADO POR ACTIVIDADES</t>
  </si>
  <si>
    <t>REPORTE CONSOLIDADO TOTAL DE RECAUDO // RECIPROCIDAD - EAAB</t>
  </si>
  <si>
    <t>REPORTE DETALLADO SUBBOLSA RBL DISCRIMINADO POR ACTIVIDADES // RECIPROCIDAD - EAAB</t>
  </si>
  <si>
    <t>REPORTE CONSOLIDADO TOTAL DE RECAUDO  // ENEL</t>
  </si>
  <si>
    <t>REPORTE DETALLADO SUBBOLSA RBL DISCRIMINADO POR ACTIVIDADES // ENEL</t>
  </si>
  <si>
    <t>REPORTE DETALLADO SUBBOLSA RBL DISCRIMINADO POR ACTIVIDADES // OCCIDENTE - Recaudo Facturación Directa</t>
  </si>
  <si>
    <t>REPORTE CONSOLIDADO TOTAL DE RECAUDO // OCCIDENTE - Recaudo Facturación Directa</t>
  </si>
  <si>
    <t>REPORTE CONSOLIDADO TOTAL DE RECAUDO //EAAB-CIUDAD LIMPIA*</t>
  </si>
  <si>
    <t>REPORTE DETALLADO SUBBOLSA RBL DISCRIMINADO POR ACTIVIDADES //EAAB-CIUDAD LIMPIA*</t>
  </si>
  <si>
    <t>Exonera-Ajuste Decena Aseo</t>
  </si>
  <si>
    <t>VALOR</t>
  </si>
  <si>
    <t>Balance S / C Con Base en (Recaudo)</t>
  </si>
  <si>
    <t>Deb/Cred-otros</t>
  </si>
  <si>
    <t>|</t>
  </si>
  <si>
    <t>Código Remuneración:</t>
  </si>
  <si>
    <t>Resolución UAESP Número 27 de 2018</t>
  </si>
  <si>
    <t>Fecha de Proceso:</t>
  </si>
  <si>
    <t>R10 - Recaudo Consolidado</t>
  </si>
  <si>
    <t>Hora:</t>
  </si>
  <si>
    <t>Fecha Hasta:</t>
  </si>
  <si>
    <t>CONCESIONARIOS</t>
  </si>
  <si>
    <t>RECAUDO TOTAL</t>
  </si>
  <si>
    <t>RECAUDO POR DISPOSICIÓN FINAL</t>
  </si>
  <si>
    <t>RECAUDO POR TRATAMIENTO DE LIXIVIADOS</t>
  </si>
  <si>
    <t>RECAUDO POR COMPONENTE VIAT (DECRETO 2412/2018)</t>
  </si>
  <si>
    <t>RECAUDO POR APROVECHAMIENTO</t>
  </si>
  <si>
    <t>RECAUDO DEL COMPONENTE DE COMERCIALIZACIÓN PARA APROVECHAMIENTO (11,4%)</t>
  </si>
  <si>
    <t>BALANCE DE SUBSIDIO O CONTRIBUCIONES</t>
  </si>
  <si>
    <t>RECAUDO BASE DE REMUNERACIÓN</t>
  </si>
  <si>
    <t>COSTO DE LA INTERVENTORÍA (*)</t>
  </si>
  <si>
    <t>REMUNERACIÓN FINAL</t>
  </si>
  <si>
    <t>CONCEPTOS ESPECIALES</t>
  </si>
  <si>
    <t>REMUNERACIÓN FINAL MAS CONCEPTOS ESPECIALES</t>
  </si>
  <si>
    <t>CIUDAD LIMPIA BOGOTA S.A. ESP</t>
  </si>
  <si>
    <t>4</t>
  </si>
  <si>
    <t/>
  </si>
  <si>
    <t>_____________________________________________________________________________</t>
  </si>
  <si>
    <t>TARIFA DE COMERCIALIZACIÓN DEL SERVICIO. (TCS)</t>
  </si>
  <si>
    <t>TARIFA DE LIMPIEZA URBANA DEL SERVICIO. (TLU)</t>
  </si>
  <si>
    <t>TARIFA DE BARRIDO Y LIMPIEZA DEL SERVICIO. (TBL)</t>
  </si>
  <si>
    <t>TARIFA DE RECOLECCIÓN Y TRANSPORTE DEL SERVICIO. (TRT)</t>
  </si>
  <si>
    <t>RECAUDO DEL COMPONENTE DE COMERCIALIZACIÓN PARA APROVECHAMIENTO (18,6%)</t>
  </si>
  <si>
    <t>COSTO DE LA INTERVENTORÍA</t>
  </si>
  <si>
    <t>AJUSTE A LA DECENA</t>
  </si>
  <si>
    <t>BALANCE SUBSIDIO Y CONTRIBUCIÓN BASADO EN EL RECAUDO</t>
  </si>
  <si>
    <t>DIF BSCF – BSCR</t>
  </si>
  <si>
    <t>VALIDACIÓN RETRIBUCIÓN</t>
  </si>
  <si>
    <t>Recaudo Banco Occidente ASE 1</t>
  </si>
  <si>
    <t>Recaudo Banco Occidente ASE 2</t>
  </si>
  <si>
    <t>Recaudo Banco Occidente ASE 3</t>
  </si>
  <si>
    <t>Recaudo Banco Occidente ASE 4</t>
  </si>
  <si>
    <t>Recaudo Banco Occidente ASE 5</t>
  </si>
  <si>
    <t>VALIDADOR DE POSTIVIOS EN REMUNERACION NEGATIVA</t>
  </si>
  <si>
    <t>Segunda quincena</t>
  </si>
  <si>
    <t>Primera quincena</t>
  </si>
  <si>
    <t>VALOR OFICIAL
MES</t>
  </si>
  <si>
    <t>CONCILIACIÓN CAJA</t>
  </si>
  <si>
    <t>CONCILIACIÓN _ REMUNERACIÓN</t>
  </si>
  <si>
    <t>VALIDACIÓN</t>
  </si>
  <si>
    <t>PxI</t>
  </si>
  <si>
    <t>SALDOS A FAVOR  POR NOTA+REMUNERA NEGATIVA</t>
  </si>
  <si>
    <t>TOTAL RECAUDO + CONCP ESP</t>
  </si>
  <si>
    <t>2026 01 2</t>
  </si>
  <si>
    <t>2026 02 1</t>
  </si>
  <si>
    <t>2026 02 2</t>
  </si>
  <si>
    <t>2026 03 1</t>
  </si>
  <si>
    <t>2026 03 2</t>
  </si>
  <si>
    <t>2026 04 1</t>
  </si>
  <si>
    <t>2026 04 2</t>
  </si>
  <si>
    <t>2026 05 1</t>
  </si>
  <si>
    <t>2026 05 2</t>
  </si>
  <si>
    <t>2026 06 1</t>
  </si>
  <si>
    <t>2026 06 2</t>
  </si>
  <si>
    <t>2026 07 1</t>
  </si>
  <si>
    <t xml:space="preserve"> MITAD 1
// ENERO -26</t>
  </si>
  <si>
    <t xml:space="preserve"> MITAD 2
// ENERO -26</t>
  </si>
  <si>
    <t xml:space="preserve"> MITAD 1
// FEBRERO -26</t>
  </si>
  <si>
    <t xml:space="preserve"> MITAD 2
// FEBRERO -26</t>
  </si>
  <si>
    <t xml:space="preserve"> MITAD 1
// MARZO -26</t>
  </si>
  <si>
    <t xml:space="preserve"> MITAD 2
// MARZO -26</t>
  </si>
  <si>
    <t xml:space="preserve"> MITAD 1
// ABRIL -26</t>
  </si>
  <si>
    <t xml:space="preserve"> MITAD 2
// ABRIL -26</t>
  </si>
  <si>
    <t xml:space="preserve"> MITAD 1
// MAYO -26</t>
  </si>
  <si>
    <t xml:space="preserve"> MITAD 2
// MAYO -26</t>
  </si>
  <si>
    <t xml:space="preserve"> MITAD 1
// JUNIO -26</t>
  </si>
  <si>
    <t xml:space="preserve"> MITAD 2
// JUNIO -26</t>
  </si>
  <si>
    <t>2026 07 2</t>
  </si>
  <si>
    <t>2026 08 1</t>
  </si>
  <si>
    <t>2026 08 2</t>
  </si>
  <si>
    <t>2026 09 1</t>
  </si>
  <si>
    <t>2026 09 2</t>
  </si>
  <si>
    <t>2026 10 1</t>
  </si>
  <si>
    <t>2026 10 2</t>
  </si>
  <si>
    <t>2026 11 1</t>
  </si>
  <si>
    <t>2026 11 2</t>
  </si>
  <si>
    <t>2026 12 1</t>
  </si>
  <si>
    <t>2026 12 2</t>
  </si>
  <si>
    <t>2027 01 1</t>
  </si>
  <si>
    <t xml:space="preserve"> MITAD 1
// JULIO -26</t>
  </si>
  <si>
    <t xml:space="preserve"> MITAD 2
// JULIO -26</t>
  </si>
  <si>
    <t xml:space="preserve"> MITAD 1
// AGOSTO -26</t>
  </si>
  <si>
    <t xml:space="preserve"> MITAD 2
// AGOSTO -26</t>
  </si>
  <si>
    <t xml:space="preserve"> MITAD 1
// SEPTIEMBRE -26</t>
  </si>
  <si>
    <t xml:space="preserve"> MITAD 2
// SEPTIEMBRE -26</t>
  </si>
  <si>
    <t xml:space="preserve"> MITAD 1
// OCTUBRE -26</t>
  </si>
  <si>
    <t xml:space="preserve"> MITAD 2
// OCTUBRE -26</t>
  </si>
  <si>
    <t xml:space="preserve"> MITAD 1
// NOVIEMBRE -26</t>
  </si>
  <si>
    <t xml:space="preserve"> MITAD 2
// NOVIEMBRE -26</t>
  </si>
  <si>
    <t xml:space="preserve"> MITAD 1
// DICIEMBRE -26</t>
  </si>
  <si>
    <t xml:space="preserve"> MITAD 2
// DICIEMBRE -26</t>
  </si>
  <si>
    <t>Recaudo ENEL - ASE 2</t>
  </si>
  <si>
    <t>Recaudo ENEL - ASE 4</t>
  </si>
  <si>
    <t>ENERBIT</t>
  </si>
  <si>
    <t>Recaudo ENERBIT - ASE 5</t>
  </si>
  <si>
    <t>REPORTE CONSOLIDADO TOTAL DE RECAUDO  // ENERBIT</t>
  </si>
  <si>
    <t>REPORTE CONSOLIDADO DE REMUNERACION// ENERBIT</t>
  </si>
  <si>
    <t>REPORTE CONSOLIDADO DE ANTICIPOS -ENERBIT</t>
  </si>
  <si>
    <t>Recaudo ENERBIT - ASE 1</t>
  </si>
  <si>
    <t>Recaudo ENERBIT - ASE 2</t>
  </si>
  <si>
    <t>Recaudo ENERBIT - ASE 3</t>
  </si>
  <si>
    <t>Recaudo ENERBIT - ASE 4</t>
  </si>
  <si>
    <t>QUINCENA</t>
  </si>
  <si>
    <t>OJO/// DILIGENCIAR</t>
  </si>
  <si>
    <t>* Costos de Interventoría: REMUNERACIÓN 202604-1</t>
  </si>
  <si>
    <t>ok</t>
  </si>
  <si>
    <t>Exonera-Intereses Cte Financiac. Aseo</t>
  </si>
  <si>
    <t>ENEL / RECIP.</t>
  </si>
  <si>
    <t>2026091</t>
  </si>
  <si>
    <t>17/09/2026</t>
  </si>
  <si>
    <t>08:44 AM</t>
  </si>
  <si>
    <t>01/09/2026</t>
  </si>
  <si>
    <t>15/09/2026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</si>
</sst>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6" formatCode="&quot;$&quot;\ #,##0;[Red]\-&quot;$&quot;\ #,##0"/>
    <numFmt numFmtId="8" formatCode="&quot;$&quot;\ #,##0.00;[Red]\-&quot;$&quot;\ #,##0.00"/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([$€]* #,##0.00_);_([$€]* \(#,##0.00\);_([$€]* &quot;-&quot;??_);_(@_)"/>
    <numFmt numFmtId="167" formatCode="_ &quot;$&quot;\ * #,##0.00_ ;_ &quot;$&quot;\ * \-#,##0.00_ ;_ &quot;$&quot;\ * &quot;-&quot;??_ ;_ @_ "/>
    <numFmt numFmtId="168" formatCode="_(&quot;$&quot;* #,##0.00_);_(&quot;$&quot;* \(#,##0.00\);_(&quot;$&quot;* &quot;-&quot;??_);_(@_)"/>
    <numFmt numFmtId="169" formatCode="_-* #,##0.0_-;\-* #,##0.0_-;_-* &quot;-&quot;?_-;_-@_-"/>
    <numFmt numFmtId="170" formatCode="_-* #,##0.0_-;\-* #,##0.0_-;_-* &quot;-&quot;_-;_-@_-"/>
    <numFmt numFmtId="171" formatCode="_-* #,##0.00_-;\-* #,##0.00_-;_-* &quot;-&quot;_-;_-@_-"/>
    <numFmt numFmtId="172" formatCode="[$-F400]h:mm\ AM/PM"/>
    <numFmt numFmtId="173" formatCode="#,##0_ ;[Red]\-#,##0\ "/>
    <numFmt numFmtId="174" formatCode="#,##0.0_ ;[Red]\-#,##0.0\ "/>
    <numFmt numFmtId="175" formatCode="_-* #,##0.000000_-;\-* #,##0.000000_-;_-* &quot;-&quot;??_-;_-@_-"/>
    <numFmt numFmtId="176" formatCode="_-* #,##0.000_-;\-* #,##0.000_-;_-* &quot;-&quot;??_-;_-@_-"/>
    <numFmt numFmtId="177" formatCode="_-* #,##0.000_-;\-* #,##0.000_-;_-* &quot;-&quot;???_-;_-@_-"/>
    <numFmt numFmtId="178" formatCode="_-* #,##0.0000000000_-;\-* #,##0.0000000000_-;_-* &quot;-&quot;_-;_-@_-"/>
    <numFmt numFmtId="179" formatCode="_-* #,##0.0_-;\-* #,##0.0_-;_-* &quot;-&quot;??_-;_-@_-"/>
    <numFmt numFmtId="180" formatCode="#,##0.0000"/>
    <numFmt numFmtId="181" formatCode="#,##0.00_ ;[Red]\-#,##0.00\ "/>
    <numFmt numFmtId="182" formatCode="_-* #,##0.000_-;\-* #,##0.000_-;_-* &quot;-&quot;?_-;_-@_-"/>
    <numFmt numFmtId="183" formatCode="#,##0.00000000000000"/>
    <numFmt numFmtId="184" formatCode="#,##0.0"/>
    <numFmt numFmtId="185" formatCode="_-* #,##0.000000000000_-;\-* #,##0.000000000000_-;_-* &quot;-&quot;??_-;_-@_-"/>
    <numFmt numFmtId="186" formatCode="#,##0.00;[Red]#,##0.00"/>
    <numFmt numFmtId="187" formatCode="#,##0.0;[Red]#,##0.0"/>
    <numFmt numFmtId="188" formatCode="#,##0.000000000"/>
    <numFmt numFmtId="189" formatCode="#,##0.0000000000"/>
    <numFmt numFmtId="190" formatCode="_-* #,##0.00000_-;\-* #,##0.00000_-;_-* &quot;-&quot;??_-;_-@_-"/>
    <numFmt numFmtId="191" formatCode="#,##0.000"/>
    <numFmt numFmtId="192" formatCode="_-* #,##0_-;\-* #,##0_-;_-* &quot;-&quot;?_-;_-@_-"/>
  </numFmts>
  <fonts count="7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618">
    <xf numFmtId="0" fontId="0" fillId="0" borderId="0"/>
    <xf numFmtId="166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164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7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7" fillId="31" borderId="0" applyNumberFormat="0" applyBorder="0" applyAlignment="0" applyProtection="0"/>
    <xf numFmtId="164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6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6" fillId="31" borderId="0" applyNumberFormat="0" applyBorder="0" applyAlignment="0" applyProtection="0"/>
    <xf numFmtId="164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6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164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6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6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164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43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6" fontId="43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43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43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30" borderId="0" applyNumberFormat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6" fontId="4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44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6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44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44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6" fontId="4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31" borderId="0" applyNumberFormat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6" fontId="4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44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6" fontId="45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45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31" borderId="0" applyNumberFormat="0" applyBorder="0" applyAlignment="0" applyProtection="0"/>
    <xf numFmtId="164" fontId="45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6" fontId="45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6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6" fontId="45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45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6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43" fontId="19" fillId="0" borderId="0" applyFont="0" applyFill="0" applyBorder="0" applyAlignment="0" applyProtection="0"/>
    <xf numFmtId="43" fontId="47" fillId="0" borderId="0" applyFont="0" applyFill="0" applyBorder="0" applyAlignment="0" applyProtection="0"/>
    <xf numFmtId="168" fontId="19" fillId="0" borderId="0" applyFont="0" applyFill="0" applyBorder="0" applyAlignment="0" applyProtection="0"/>
    <xf numFmtId="41" fontId="47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19" fillId="0" borderId="0"/>
    <xf numFmtId="0" fontId="4" fillId="0" borderId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1" fillId="0" borderId="0"/>
    <xf numFmtId="0" fontId="63" fillId="0" borderId="0"/>
    <xf numFmtId="43" fontId="64" fillId="0" borderId="0" applyFont="0" applyFill="0" applyBorder="0" applyAlignment="0" applyProtection="0"/>
    <xf numFmtId="0" fontId="19" fillId="0" borderId="0"/>
    <xf numFmtId="0" fontId="65" fillId="0" borderId="0"/>
  </cellStyleXfs>
  <cellXfs count="776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5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5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5" fontId="20" fillId="0" borderId="14" xfId="2599" applyNumberFormat="1" applyFont="1" applyBorder="1"/>
    <xf numFmtId="165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5" fontId="20" fillId="35" borderId="21" xfId="2599" applyNumberFormat="1" applyFont="1" applyFill="1" applyBorder="1"/>
    <xf numFmtId="165" fontId="20" fillId="35" borderId="22" xfId="2599" applyNumberFormat="1" applyFont="1" applyFill="1" applyBorder="1"/>
    <xf numFmtId="165" fontId="20" fillId="35" borderId="11" xfId="2599" applyNumberFormat="1" applyFont="1" applyFill="1" applyBorder="1"/>
    <xf numFmtId="165" fontId="25" fillId="0" borderId="2" xfId="2599" applyNumberFormat="1" applyFont="1" applyBorder="1"/>
    <xf numFmtId="0" fontId="20" fillId="33" borderId="0" xfId="0" applyFont="1" applyFill="1"/>
    <xf numFmtId="165" fontId="25" fillId="33" borderId="0" xfId="2599" applyNumberFormat="1" applyFont="1" applyFill="1"/>
    <xf numFmtId="0" fontId="23" fillId="0" borderId="0" xfId="0" applyFont="1"/>
    <xf numFmtId="165" fontId="25" fillId="0" borderId="37" xfId="2599" applyNumberFormat="1" applyFont="1" applyBorder="1"/>
    <xf numFmtId="165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5" fontId="20" fillId="35" borderId="23" xfId="2599" applyNumberFormat="1" applyFont="1" applyFill="1" applyBorder="1"/>
    <xf numFmtId="0" fontId="49" fillId="0" borderId="0" xfId="0" applyFont="1"/>
    <xf numFmtId="165" fontId="20" fillId="0" borderId="0" xfId="2599" applyNumberFormat="1" applyFont="1"/>
    <xf numFmtId="165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5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5" fontId="25" fillId="37" borderId="0" xfId="2599" applyNumberFormat="1" applyFont="1" applyFill="1"/>
    <xf numFmtId="165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5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5" fontId="25" fillId="0" borderId="15" xfId="2599" applyNumberFormat="1" applyFont="1" applyBorder="1"/>
    <xf numFmtId="165" fontId="25" fillId="0" borderId="22" xfId="2599" applyNumberFormat="1" applyFont="1" applyBorder="1"/>
    <xf numFmtId="165" fontId="20" fillId="38" borderId="11" xfId="2599" applyNumberFormat="1" applyFont="1" applyFill="1" applyBorder="1"/>
    <xf numFmtId="165" fontId="20" fillId="38" borderId="21" xfId="2599" applyNumberFormat="1" applyFont="1" applyFill="1" applyBorder="1"/>
    <xf numFmtId="165" fontId="20" fillId="38" borderId="22" xfId="2599" applyNumberFormat="1" applyFont="1" applyFill="1" applyBorder="1"/>
    <xf numFmtId="171" fontId="25" fillId="0" borderId="12" xfId="2601" applyNumberFormat="1" applyFont="1" applyBorder="1"/>
    <xf numFmtId="171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5" fontId="25" fillId="0" borderId="41" xfId="2599" applyNumberFormat="1" applyFont="1" applyBorder="1"/>
    <xf numFmtId="43" fontId="25" fillId="0" borderId="21" xfId="2599" applyFont="1" applyBorder="1"/>
    <xf numFmtId="165" fontId="22" fillId="35" borderId="11" xfId="2599" applyNumberFormat="1" applyFont="1" applyFill="1" applyBorder="1"/>
    <xf numFmtId="165" fontId="25" fillId="0" borderId="17" xfId="2599" applyNumberFormat="1" applyFont="1" applyBorder="1"/>
    <xf numFmtId="165" fontId="25" fillId="0" borderId="18" xfId="2599" applyNumberFormat="1" applyFont="1" applyBorder="1"/>
    <xf numFmtId="165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5" fontId="25" fillId="0" borderId="16" xfId="2599" applyNumberFormat="1" applyFont="1" applyBorder="1"/>
    <xf numFmtId="165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5" fontId="20" fillId="39" borderId="11" xfId="2599" applyNumberFormat="1" applyFont="1" applyFill="1" applyBorder="1"/>
    <xf numFmtId="165" fontId="25" fillId="0" borderId="47" xfId="2599" applyNumberFormat="1" applyFont="1" applyBorder="1"/>
    <xf numFmtId="165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41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5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5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5" fontId="25" fillId="0" borderId="40" xfId="2599" applyNumberFormat="1" applyFont="1" applyBorder="1"/>
    <xf numFmtId="165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5" fontId="20" fillId="38" borderId="54" xfId="2599" applyNumberFormat="1" applyFont="1" applyFill="1" applyBorder="1"/>
    <xf numFmtId="165" fontId="20" fillId="38" borderId="55" xfId="2599" applyNumberFormat="1" applyFont="1" applyFill="1" applyBorder="1"/>
    <xf numFmtId="170" fontId="25" fillId="0" borderId="21" xfId="2601" applyNumberFormat="1" applyFont="1" applyBorder="1"/>
    <xf numFmtId="170" fontId="25" fillId="0" borderId="22" xfId="2601" applyNumberFormat="1" applyFont="1" applyBorder="1"/>
    <xf numFmtId="170" fontId="25" fillId="0" borderId="23" xfId="2601" applyNumberFormat="1" applyFont="1" applyBorder="1"/>
    <xf numFmtId="170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41" fontId="41" fillId="38" borderId="20" xfId="2601" applyFont="1" applyFill="1" applyBorder="1" applyAlignment="1">
      <alignment horizontal="center"/>
    </xf>
    <xf numFmtId="41" fontId="41" fillId="38" borderId="45" xfId="2601" applyFont="1" applyFill="1" applyBorder="1" applyAlignment="1">
      <alignment horizontal="center"/>
    </xf>
    <xf numFmtId="43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5" fontId="25" fillId="0" borderId="58" xfId="2599" applyNumberFormat="1" applyFont="1" applyBorder="1"/>
    <xf numFmtId="165" fontId="25" fillId="0" borderId="63" xfId="2599" applyNumberFormat="1" applyFont="1" applyBorder="1"/>
    <xf numFmtId="165" fontId="25" fillId="0" borderId="60" xfId="2599" applyNumberFormat="1" applyFont="1" applyBorder="1"/>
    <xf numFmtId="43" fontId="0" fillId="0" borderId="0" xfId="0" applyNumberFormat="1"/>
    <xf numFmtId="0" fontId="20" fillId="0" borderId="58" xfId="0" applyFont="1" applyBorder="1"/>
    <xf numFmtId="165" fontId="25" fillId="0" borderId="64" xfId="2599" applyNumberFormat="1" applyFont="1" applyBorder="1"/>
    <xf numFmtId="165" fontId="25" fillId="0" borderId="51" xfId="2599" applyNumberFormat="1" applyFont="1" applyBorder="1"/>
    <xf numFmtId="165" fontId="0" fillId="0" borderId="0" xfId="0" applyNumberFormat="1"/>
    <xf numFmtId="0" fontId="19" fillId="0" borderId="0" xfId="0" applyFont="1"/>
    <xf numFmtId="41" fontId="0" fillId="0" borderId="0" xfId="2601" applyFont="1"/>
    <xf numFmtId="171" fontId="0" fillId="0" borderId="0" xfId="2601" applyNumberFormat="1" applyFont="1"/>
    <xf numFmtId="171" fontId="0" fillId="41" borderId="0" xfId="2601" applyNumberFormat="1" applyFont="1" applyFill="1" applyAlignment="1">
      <alignment vertical="top"/>
    </xf>
    <xf numFmtId="171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6" fontId="25" fillId="0" borderId="0" xfId="0" applyNumberFormat="1" applyFont="1"/>
    <xf numFmtId="0" fontId="19" fillId="0" borderId="0" xfId="2"/>
    <xf numFmtId="41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41" fontId="22" fillId="40" borderId="34" xfId="2604" applyFont="1" applyFill="1" applyBorder="1" applyAlignment="1">
      <alignment horizontal="center"/>
    </xf>
    <xf numFmtId="41" fontId="22" fillId="40" borderId="20" xfId="2604" applyFont="1" applyFill="1" applyBorder="1" applyAlignment="1">
      <alignment horizontal="center"/>
    </xf>
    <xf numFmtId="41" fontId="22" fillId="40" borderId="45" xfId="2604" applyFont="1" applyFill="1" applyBorder="1" applyAlignment="1">
      <alignment horizontal="center"/>
    </xf>
    <xf numFmtId="41" fontId="22" fillId="0" borderId="0" xfId="2604" applyFont="1" applyAlignment="1">
      <alignment horizontal="center"/>
    </xf>
    <xf numFmtId="41" fontId="0" fillId="0" borderId="21" xfId="2604" applyFont="1" applyBorder="1"/>
    <xf numFmtId="41" fontId="0" fillId="0" borderId="15" xfId="2604" applyFont="1" applyBorder="1"/>
    <xf numFmtId="41" fontId="0" fillId="0" borderId="4" xfId="2604" applyFont="1" applyBorder="1"/>
    <xf numFmtId="41" fontId="0" fillId="0" borderId="41" xfId="2604" applyFont="1" applyBorder="1"/>
    <xf numFmtId="41" fontId="0" fillId="0" borderId="22" xfId="2604" applyFont="1" applyBorder="1"/>
    <xf numFmtId="41" fontId="0" fillId="0" borderId="16" xfId="2604" applyFont="1" applyBorder="1"/>
    <xf numFmtId="41" fontId="0" fillId="0" borderId="3" xfId="2604" applyFont="1" applyBorder="1"/>
    <xf numFmtId="41" fontId="0" fillId="0" borderId="49" xfId="2604" applyFont="1" applyBorder="1"/>
    <xf numFmtId="41" fontId="0" fillId="0" borderId="23" xfId="2604" applyFont="1" applyBorder="1" applyAlignment="1">
      <alignment horizontal="right"/>
    </xf>
    <xf numFmtId="41" fontId="0" fillId="0" borderId="17" xfId="2604" applyFont="1" applyBorder="1"/>
    <xf numFmtId="41" fontId="0" fillId="0" borderId="18" xfId="2604" applyFont="1" applyBorder="1"/>
    <xf numFmtId="41" fontId="0" fillId="0" borderId="46" xfId="2604" applyFont="1" applyBorder="1"/>
    <xf numFmtId="41" fontId="22" fillId="40" borderId="11" xfId="2604" applyFont="1" applyFill="1" applyBorder="1"/>
    <xf numFmtId="41" fontId="22" fillId="40" borderId="57" xfId="2604" applyFont="1" applyFill="1" applyBorder="1" applyAlignment="1">
      <alignment horizontal="center"/>
    </xf>
    <xf numFmtId="41" fontId="22" fillId="40" borderId="65" xfId="2604" applyFont="1" applyFill="1" applyBorder="1" applyAlignment="1">
      <alignment horizontal="center"/>
    </xf>
    <xf numFmtId="0" fontId="22" fillId="0" borderId="0" xfId="2" applyFont="1"/>
    <xf numFmtId="41" fontId="0" fillId="0" borderId="54" xfId="2604" applyFont="1" applyBorder="1"/>
    <xf numFmtId="41" fontId="0" fillId="0" borderId="40" xfId="2604" applyFont="1" applyBorder="1"/>
    <xf numFmtId="41" fontId="0" fillId="0" borderId="52" xfId="2604" applyFont="1" applyBorder="1"/>
    <xf numFmtId="41" fontId="0" fillId="0" borderId="55" xfId="2604" applyFont="1" applyBorder="1"/>
    <xf numFmtId="41" fontId="0" fillId="0" borderId="68" xfId="2604" applyFont="1" applyBorder="1" applyAlignment="1">
      <alignment horizontal="right"/>
    </xf>
    <xf numFmtId="41" fontId="0" fillId="40" borderId="17" xfId="2604" applyFont="1" applyFill="1" applyBorder="1"/>
    <xf numFmtId="41" fontId="0" fillId="40" borderId="18" xfId="2604" applyFont="1" applyFill="1" applyBorder="1"/>
    <xf numFmtId="41" fontId="0" fillId="40" borderId="46" xfId="2604" applyFont="1" applyFill="1" applyBorder="1"/>
    <xf numFmtId="41" fontId="22" fillId="40" borderId="13" xfId="2604" applyFont="1" applyFill="1" applyBorder="1"/>
    <xf numFmtId="41" fontId="22" fillId="39" borderId="19" xfId="2604" applyFont="1" applyFill="1" applyBorder="1" applyAlignment="1">
      <alignment horizontal="center"/>
    </xf>
    <xf numFmtId="41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41" fontId="0" fillId="0" borderId="59" xfId="2604" applyFont="1" applyBorder="1"/>
    <xf numFmtId="41" fontId="0" fillId="0" borderId="60" xfId="2604" applyFont="1" applyBorder="1"/>
    <xf numFmtId="41" fontId="22" fillId="39" borderId="19" xfId="2604" applyFont="1" applyFill="1" applyBorder="1"/>
    <xf numFmtId="41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41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2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41" fontId="0" fillId="0" borderId="3" xfId="2601" applyFont="1" applyBorder="1" applyAlignment="1">
      <alignment vertical="top"/>
    </xf>
    <xf numFmtId="41" fontId="0" fillId="0" borderId="3" xfId="2601" applyFont="1" applyBorder="1"/>
    <xf numFmtId="41" fontId="0" fillId="51" borderId="3" xfId="2601" applyFont="1" applyFill="1" applyBorder="1" applyAlignment="1">
      <alignment vertical="top"/>
    </xf>
    <xf numFmtId="41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41" fontId="0" fillId="0" borderId="3" xfId="0" applyNumberFormat="1" applyBorder="1"/>
    <xf numFmtId="41" fontId="22" fillId="0" borderId="3" xfId="0" applyNumberFormat="1" applyFont="1" applyBorder="1"/>
    <xf numFmtId="41" fontId="0" fillId="34" borderId="0" xfId="0" applyNumberFormat="1" applyFill="1"/>
    <xf numFmtId="41" fontId="19" fillId="0" borderId="63" xfId="0" applyNumberFormat="1" applyFont="1" applyBorder="1"/>
    <xf numFmtId="41" fontId="0" fillId="0" borderId="58" xfId="0" applyNumberFormat="1" applyBorder="1"/>
    <xf numFmtId="41" fontId="22" fillId="0" borderId="19" xfId="0" applyNumberFormat="1" applyFont="1" applyBorder="1"/>
    <xf numFmtId="41" fontId="22" fillId="0" borderId="20" xfId="0" applyNumberFormat="1" applyFont="1" applyBorder="1"/>
    <xf numFmtId="41" fontId="22" fillId="0" borderId="45" xfId="0" applyNumberFormat="1" applyFont="1" applyBorder="1"/>
    <xf numFmtId="41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41" fontId="22" fillId="0" borderId="16" xfId="0" applyNumberFormat="1" applyFont="1" applyBorder="1"/>
    <xf numFmtId="41" fontId="22" fillId="0" borderId="59" xfId="0" applyNumberFormat="1" applyFont="1" applyBorder="1"/>
    <xf numFmtId="41" fontId="22" fillId="0" borderId="60" xfId="0" applyNumberFormat="1" applyFont="1" applyBorder="1"/>
    <xf numFmtId="171" fontId="0" fillId="0" borderId="49" xfId="2601" applyNumberFormat="1" applyFont="1" applyBorder="1"/>
    <xf numFmtId="171" fontId="0" fillId="0" borderId="46" xfId="2601" applyNumberFormat="1" applyFont="1" applyBorder="1"/>
    <xf numFmtId="171" fontId="0" fillId="0" borderId="11" xfId="2601" applyNumberFormat="1" applyFont="1" applyBorder="1"/>
    <xf numFmtId="171" fontId="22" fillId="0" borderId="11" xfId="2601" applyNumberFormat="1" applyFont="1" applyBorder="1"/>
    <xf numFmtId="171" fontId="0" fillId="34" borderId="0" xfId="2601" applyNumberFormat="1" applyFont="1" applyFill="1"/>
    <xf numFmtId="171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69" fontId="0" fillId="0" borderId="0" xfId="0" applyNumberFormat="1"/>
    <xf numFmtId="170" fontId="25" fillId="0" borderId="0" xfId="2601" applyNumberFormat="1" applyFont="1"/>
    <xf numFmtId="170" fontId="20" fillId="0" borderId="0" xfId="2601" applyNumberFormat="1" applyFont="1"/>
    <xf numFmtId="170" fontId="20" fillId="0" borderId="0" xfId="2601" applyNumberFormat="1" applyFont="1" applyAlignment="1">
      <alignment horizontal="center" vertical="center" wrapText="1"/>
    </xf>
    <xf numFmtId="170" fontId="25" fillId="33" borderId="0" xfId="2601" applyNumberFormat="1" applyFont="1" applyFill="1"/>
    <xf numFmtId="170" fontId="25" fillId="37" borderId="0" xfId="2601" applyNumberFormat="1" applyFont="1" applyFill="1"/>
    <xf numFmtId="6" fontId="0" fillId="0" borderId="0" xfId="0" applyNumberFormat="1"/>
    <xf numFmtId="41" fontId="0" fillId="0" borderId="15" xfId="2604" applyFont="1" applyFill="1" applyBorder="1"/>
    <xf numFmtId="41" fontId="0" fillId="0" borderId="16" xfId="2604" applyFont="1" applyFill="1" applyBorder="1"/>
    <xf numFmtId="41" fontId="0" fillId="0" borderId="17" xfId="2604" applyFont="1" applyFill="1" applyBorder="1"/>
    <xf numFmtId="41" fontId="0" fillId="0" borderId="0" xfId="2604" applyFont="1" applyFill="1"/>
    <xf numFmtId="41" fontId="0" fillId="0" borderId="51" xfId="2604" applyFont="1" applyFill="1" applyBorder="1"/>
    <xf numFmtId="41" fontId="0" fillId="0" borderId="4" xfId="2604" applyFont="1" applyFill="1" applyBorder="1"/>
    <xf numFmtId="41" fontId="0" fillId="0" borderId="3" xfId="2604" applyFont="1" applyFill="1" applyBorder="1"/>
    <xf numFmtId="41" fontId="0" fillId="45" borderId="23" xfId="2604" applyFont="1" applyFill="1" applyBorder="1" applyAlignment="1">
      <alignment horizontal="right"/>
    </xf>
    <xf numFmtId="41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3" fontId="25" fillId="0" borderId="41" xfId="2599" applyNumberFormat="1" applyFont="1" applyBorder="1"/>
    <xf numFmtId="173" fontId="25" fillId="0" borderId="46" xfId="2599" applyNumberFormat="1" applyFont="1" applyBorder="1"/>
    <xf numFmtId="173" fontId="20" fillId="0" borderId="11" xfId="2599" applyNumberFormat="1" applyFont="1" applyBorder="1"/>
    <xf numFmtId="173" fontId="25" fillId="0" borderId="15" xfId="2599" applyNumberFormat="1" applyFont="1" applyBorder="1"/>
    <xf numFmtId="173" fontId="25" fillId="0" borderId="4" xfId="2599" applyNumberFormat="1" applyFont="1" applyBorder="1"/>
    <xf numFmtId="173" fontId="20" fillId="35" borderId="21" xfId="2599" applyNumberFormat="1" applyFont="1" applyFill="1" applyBorder="1"/>
    <xf numFmtId="173" fontId="25" fillId="0" borderId="37" xfId="2599" applyNumberFormat="1" applyFont="1" applyBorder="1"/>
    <xf numFmtId="173" fontId="20" fillId="35" borderId="22" xfId="2599" applyNumberFormat="1" applyFont="1" applyFill="1" applyBorder="1"/>
    <xf numFmtId="173" fontId="25" fillId="0" borderId="17" xfId="2599" applyNumberFormat="1" applyFont="1" applyBorder="1"/>
    <xf numFmtId="173" fontId="25" fillId="0" borderId="18" xfId="2599" applyNumberFormat="1" applyFont="1" applyBorder="1"/>
    <xf numFmtId="173" fontId="20" fillId="35" borderId="23" xfId="2599" applyNumberFormat="1" applyFont="1" applyFill="1" applyBorder="1"/>
    <xf numFmtId="173" fontId="25" fillId="0" borderId="38" xfId="2599" applyNumberFormat="1" applyFont="1" applyBorder="1"/>
    <xf numFmtId="173" fontId="20" fillId="35" borderId="11" xfId="2599" applyNumberFormat="1" applyFont="1" applyFill="1" applyBorder="1"/>
    <xf numFmtId="173" fontId="20" fillId="0" borderId="14" xfId="2599" applyNumberFormat="1" applyFont="1" applyBorder="1"/>
    <xf numFmtId="173" fontId="22" fillId="35" borderId="11" xfId="2599" applyNumberFormat="1" applyFont="1" applyFill="1" applyBorder="1"/>
    <xf numFmtId="173" fontId="20" fillId="0" borderId="15" xfId="0" applyNumberFormat="1" applyFont="1" applyBorder="1" applyAlignment="1">
      <alignment horizontal="center"/>
    </xf>
    <xf numFmtId="173" fontId="20" fillId="0" borderId="35" xfId="0" applyNumberFormat="1" applyFont="1" applyBorder="1"/>
    <xf numFmtId="173" fontId="25" fillId="0" borderId="0" xfId="0" applyNumberFormat="1" applyFont="1"/>
    <xf numFmtId="173" fontId="25" fillId="33" borderId="0" xfId="0" applyNumberFormat="1" applyFont="1" applyFill="1"/>
    <xf numFmtId="173" fontId="25" fillId="0" borderId="51" xfId="2599" applyNumberFormat="1" applyFont="1" applyBorder="1"/>
    <xf numFmtId="173" fontId="25" fillId="0" borderId="40" xfId="2599" applyNumberFormat="1" applyFont="1" applyBorder="1"/>
    <xf numFmtId="173" fontId="25" fillId="0" borderId="52" xfId="2599" applyNumberFormat="1" applyFont="1" applyBorder="1"/>
    <xf numFmtId="173" fontId="25" fillId="0" borderId="47" xfId="2599" applyNumberFormat="1" applyFont="1" applyBorder="1"/>
    <xf numFmtId="173" fontId="25" fillId="0" borderId="21" xfId="2601" applyNumberFormat="1" applyFont="1" applyBorder="1"/>
    <xf numFmtId="173" fontId="25" fillId="0" borderId="21" xfId="2599" applyNumberFormat="1" applyFont="1" applyBorder="1"/>
    <xf numFmtId="173" fontId="20" fillId="38" borderId="54" xfId="2599" applyNumberFormat="1" applyFont="1" applyFill="1" applyBorder="1"/>
    <xf numFmtId="173" fontId="20" fillId="0" borderId="16" xfId="0" applyNumberFormat="1" applyFont="1" applyBorder="1" applyAlignment="1">
      <alignment horizontal="center"/>
    </xf>
    <xf numFmtId="173" fontId="20" fillId="0" borderId="36" xfId="0" applyNumberFormat="1" applyFont="1" applyBorder="1"/>
    <xf numFmtId="173" fontId="25" fillId="0" borderId="16" xfId="2599" applyNumberFormat="1" applyFont="1" applyBorder="1"/>
    <xf numFmtId="173" fontId="25" fillId="0" borderId="3" xfId="2599" applyNumberFormat="1" applyFont="1" applyBorder="1"/>
    <xf numFmtId="173" fontId="25" fillId="0" borderId="49" xfId="2599" applyNumberFormat="1" applyFont="1" applyBorder="1"/>
    <xf numFmtId="173" fontId="25" fillId="0" borderId="48" xfId="2599" applyNumberFormat="1" applyFont="1" applyBorder="1"/>
    <xf numFmtId="173" fontId="25" fillId="0" borderId="22" xfId="2599" applyNumberFormat="1" applyFont="1" applyBorder="1"/>
    <xf numFmtId="173" fontId="25" fillId="0" borderId="43" xfId="2599" applyNumberFormat="1" applyFont="1" applyBorder="1"/>
    <xf numFmtId="173" fontId="20" fillId="38" borderId="55" xfId="2599" applyNumberFormat="1" applyFont="1" applyFill="1" applyBorder="1"/>
    <xf numFmtId="173" fontId="25" fillId="0" borderId="22" xfId="2601" applyNumberFormat="1" applyFont="1" applyBorder="1"/>
    <xf numFmtId="173" fontId="20" fillId="0" borderId="17" xfId="0" applyNumberFormat="1" applyFont="1" applyBorder="1" applyAlignment="1">
      <alignment horizontal="center"/>
    </xf>
    <xf numFmtId="173" fontId="20" fillId="0" borderId="39" xfId="0" applyNumberFormat="1" applyFont="1" applyBorder="1"/>
    <xf numFmtId="173" fontId="25" fillId="0" borderId="23" xfId="2601" applyNumberFormat="1" applyFont="1" applyBorder="1"/>
    <xf numFmtId="173" fontId="20" fillId="0" borderId="5" xfId="0" applyNumberFormat="1" applyFont="1" applyBorder="1"/>
    <xf numFmtId="173" fontId="20" fillId="0" borderId="11" xfId="0" applyNumberFormat="1" applyFont="1" applyBorder="1" applyAlignment="1">
      <alignment horizontal="center"/>
    </xf>
    <xf numFmtId="173" fontId="20" fillId="0" borderId="0" xfId="0" applyNumberFormat="1" applyFont="1"/>
    <xf numFmtId="173" fontId="20" fillId="0" borderId="13" xfId="2599" applyNumberFormat="1" applyFont="1" applyBorder="1"/>
    <xf numFmtId="173" fontId="20" fillId="38" borderId="11" xfId="2599" applyNumberFormat="1" applyFont="1" applyFill="1" applyBorder="1"/>
    <xf numFmtId="173" fontId="20" fillId="0" borderId="13" xfId="2601" applyNumberFormat="1" applyFont="1" applyBorder="1"/>
    <xf numFmtId="173" fontId="25" fillId="0" borderId="0" xfId="2601" applyNumberFormat="1" applyFont="1"/>
    <xf numFmtId="173" fontId="20" fillId="0" borderId="51" xfId="0" applyNumberFormat="1" applyFont="1" applyBorder="1" applyAlignment="1">
      <alignment horizontal="center"/>
    </xf>
    <xf numFmtId="173" fontId="20" fillId="0" borderId="40" xfId="0" applyNumberFormat="1" applyFont="1" applyBorder="1"/>
    <xf numFmtId="173" fontId="25" fillId="0" borderId="21" xfId="2604" applyNumberFormat="1" applyFont="1" applyBorder="1"/>
    <xf numFmtId="173" fontId="25" fillId="0" borderId="9" xfId="0" applyNumberFormat="1" applyFont="1" applyBorder="1"/>
    <xf numFmtId="173" fontId="20" fillId="0" borderId="3" xfId="0" applyNumberFormat="1" applyFont="1" applyBorder="1"/>
    <xf numFmtId="173" fontId="25" fillId="0" borderId="22" xfId="2604" applyNumberFormat="1" applyFont="1" applyBorder="1"/>
    <xf numFmtId="173" fontId="25" fillId="0" borderId="61" xfId="2599" applyNumberFormat="1" applyFont="1" applyBorder="1"/>
    <xf numFmtId="173" fontId="20" fillId="0" borderId="59" xfId="0" applyNumberFormat="1" applyFont="1" applyBorder="1" applyAlignment="1">
      <alignment horizontal="center"/>
    </xf>
    <xf numFmtId="173" fontId="20" fillId="0" borderId="58" xfId="0" applyNumberFormat="1" applyFont="1" applyBorder="1"/>
    <xf numFmtId="173" fontId="25" fillId="0" borderId="63" xfId="2599" applyNumberFormat="1" applyFont="1" applyBorder="1"/>
    <xf numFmtId="173" fontId="25" fillId="0" borderId="64" xfId="2599" applyNumberFormat="1" applyFont="1" applyBorder="1"/>
    <xf numFmtId="173" fontId="20" fillId="0" borderId="18" xfId="0" applyNumberFormat="1" applyFont="1" applyBorder="1"/>
    <xf numFmtId="173" fontId="25" fillId="0" borderId="23" xfId="2599" applyNumberFormat="1" applyFont="1" applyBorder="1"/>
    <xf numFmtId="173" fontId="25" fillId="0" borderId="66" xfId="2599" applyNumberFormat="1" applyFont="1" applyBorder="1"/>
    <xf numFmtId="173" fontId="20" fillId="0" borderId="50" xfId="0" applyNumberFormat="1" applyFont="1" applyBorder="1"/>
    <xf numFmtId="173" fontId="20" fillId="0" borderId="13" xfId="0" applyNumberFormat="1" applyFont="1" applyBorder="1" applyAlignment="1">
      <alignment horizontal="center"/>
    </xf>
    <xf numFmtId="173" fontId="20" fillId="34" borderId="13" xfId="2599" applyNumberFormat="1" applyFont="1" applyFill="1" applyBorder="1"/>
    <xf numFmtId="173" fontId="25" fillId="0" borderId="2" xfId="0" applyNumberFormat="1" applyFont="1" applyBorder="1"/>
    <xf numFmtId="173" fontId="25" fillId="0" borderId="10" xfId="0" applyNumberFormat="1" applyFont="1" applyBorder="1"/>
    <xf numFmtId="173" fontId="25" fillId="0" borderId="35" xfId="2599" applyNumberFormat="1" applyFont="1" applyBorder="1"/>
    <xf numFmtId="173" fontId="53" fillId="34" borderId="0" xfId="0" applyNumberFormat="1" applyFont="1" applyFill="1"/>
    <xf numFmtId="173" fontId="0" fillId="0" borderId="0" xfId="0" applyNumberFormat="1"/>
    <xf numFmtId="173" fontId="25" fillId="0" borderId="58" xfId="2599" applyNumberFormat="1" applyFont="1" applyBorder="1"/>
    <xf numFmtId="173" fontId="25" fillId="0" borderId="62" xfId="2599" applyNumberFormat="1" applyFont="1" applyBorder="1"/>
    <xf numFmtId="173" fontId="25" fillId="0" borderId="60" xfId="2599" applyNumberFormat="1" applyFont="1" applyBorder="1"/>
    <xf numFmtId="173" fontId="20" fillId="36" borderId="11" xfId="2599" applyNumberFormat="1" applyFont="1" applyFill="1" applyBorder="1"/>
    <xf numFmtId="173" fontId="25" fillId="0" borderId="0" xfId="2599" applyNumberFormat="1" applyFont="1"/>
    <xf numFmtId="173" fontId="25" fillId="33" borderId="0" xfId="2599" applyNumberFormat="1" applyFont="1" applyFill="1"/>
    <xf numFmtId="173" fontId="20" fillId="34" borderId="11" xfId="2599" applyNumberFormat="1" applyFont="1" applyFill="1" applyBorder="1"/>
    <xf numFmtId="173" fontId="20" fillId="38" borderId="21" xfId="2599" applyNumberFormat="1" applyFont="1" applyFill="1" applyBorder="1"/>
    <xf numFmtId="173" fontId="25" fillId="0" borderId="12" xfId="2601" applyNumberFormat="1" applyFont="1" applyBorder="1"/>
    <xf numFmtId="173" fontId="20" fillId="38" borderId="22" xfId="2599" applyNumberFormat="1" applyFont="1" applyFill="1" applyBorder="1"/>
    <xf numFmtId="173" fontId="25" fillId="0" borderId="44" xfId="2601" applyNumberFormat="1" applyFont="1" applyBorder="1"/>
    <xf numFmtId="173" fontId="20" fillId="0" borderId="70" xfId="0" applyNumberFormat="1" applyFont="1" applyBorder="1"/>
    <xf numFmtId="173" fontId="20" fillId="0" borderId="69" xfId="0" applyNumberFormat="1" applyFont="1" applyBorder="1"/>
    <xf numFmtId="41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5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5" fontId="20" fillId="0" borderId="13" xfId="2599" applyNumberFormat="1" applyFont="1" applyBorder="1"/>
    <xf numFmtId="43" fontId="25" fillId="0" borderId="22" xfId="2599" applyFont="1" applyBorder="1"/>
    <xf numFmtId="43" fontId="25" fillId="0" borderId="23" xfId="2599" applyFont="1" applyBorder="1"/>
    <xf numFmtId="0" fontId="19" fillId="0" borderId="0" xfId="0" applyFont="1" applyAlignment="1">
      <alignment vertical="top"/>
    </xf>
    <xf numFmtId="173" fontId="25" fillId="0" borderId="40" xfId="2599" applyNumberFormat="1" applyFont="1" applyFill="1" applyBorder="1"/>
    <xf numFmtId="173" fontId="25" fillId="0" borderId="15" xfId="2599" applyNumberFormat="1" applyFont="1" applyFill="1" applyBorder="1"/>
    <xf numFmtId="173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0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0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2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0" fontId="20" fillId="0" borderId="0" xfId="2612" applyNumberFormat="1" applyFont="1" applyAlignment="1">
      <alignment horizontal="center" vertical="center" wrapText="1"/>
    </xf>
    <xf numFmtId="173" fontId="20" fillId="0" borderId="15" xfId="2611" applyNumberFormat="1" applyFont="1" applyBorder="1" applyAlignment="1">
      <alignment horizontal="center"/>
    </xf>
    <xf numFmtId="173" fontId="20" fillId="0" borderId="35" xfId="2611" applyNumberFormat="1" applyFont="1" applyBorder="1"/>
    <xf numFmtId="173" fontId="25" fillId="0" borderId="15" xfId="2602" applyNumberFormat="1" applyFont="1" applyBorder="1"/>
    <xf numFmtId="173" fontId="25" fillId="0" borderId="4" xfId="2602" applyNumberFormat="1" applyFont="1" applyBorder="1"/>
    <xf numFmtId="173" fontId="20" fillId="35" borderId="22" xfId="2602" applyNumberFormat="1" applyFont="1" applyFill="1" applyBorder="1"/>
    <xf numFmtId="173" fontId="25" fillId="0" borderId="0" xfId="2611" applyNumberFormat="1" applyFont="1"/>
    <xf numFmtId="173" fontId="25" fillId="33" borderId="0" xfId="2611" applyNumberFormat="1" applyFont="1" applyFill="1"/>
    <xf numFmtId="173" fontId="25" fillId="0" borderId="51" xfId="2602" applyNumberFormat="1" applyFont="1" applyBorder="1"/>
    <xf numFmtId="173" fontId="25" fillId="0" borderId="40" xfId="2602" applyNumberFormat="1" applyFont="1" applyBorder="1"/>
    <xf numFmtId="173" fontId="25" fillId="0" borderId="0" xfId="2612" applyNumberFormat="1" applyFont="1"/>
    <xf numFmtId="173" fontId="20" fillId="0" borderId="16" xfId="2611" applyNumberFormat="1" applyFont="1" applyBorder="1" applyAlignment="1">
      <alignment horizontal="center"/>
    </xf>
    <xf numFmtId="173" fontId="20" fillId="0" borderId="36" xfId="2611" applyNumberFormat="1" applyFont="1" applyBorder="1"/>
    <xf numFmtId="173" fontId="25" fillId="0" borderId="16" xfId="2602" applyNumberFormat="1" applyFont="1" applyBorder="1"/>
    <xf numFmtId="173" fontId="25" fillId="0" borderId="3" xfId="2602" applyNumberFormat="1" applyFont="1" applyBorder="1"/>
    <xf numFmtId="173" fontId="20" fillId="0" borderId="17" xfId="2611" applyNumberFormat="1" applyFont="1" applyBorder="1" applyAlignment="1">
      <alignment horizontal="center"/>
    </xf>
    <xf numFmtId="173" fontId="20" fillId="0" borderId="39" xfId="2611" applyNumberFormat="1" applyFont="1" applyBorder="1"/>
    <xf numFmtId="173" fontId="25" fillId="0" borderId="17" xfId="2602" applyNumberFormat="1" applyFont="1" applyBorder="1"/>
    <xf numFmtId="173" fontId="25" fillId="0" borderId="18" xfId="2602" applyNumberFormat="1" applyFont="1" applyBorder="1"/>
    <xf numFmtId="173" fontId="20" fillId="0" borderId="5" xfId="2611" applyNumberFormat="1" applyFont="1" applyBorder="1"/>
    <xf numFmtId="173" fontId="20" fillId="0" borderId="11" xfId="2611" applyNumberFormat="1" applyFont="1" applyBorder="1" applyAlignment="1">
      <alignment horizontal="center"/>
    </xf>
    <xf numFmtId="173" fontId="20" fillId="0" borderId="11" xfId="2602" applyNumberFormat="1" applyFont="1" applyBorder="1"/>
    <xf numFmtId="173" fontId="20" fillId="35" borderId="11" xfId="2602" applyNumberFormat="1" applyFont="1" applyFill="1" applyBorder="1"/>
    <xf numFmtId="173" fontId="20" fillId="0" borderId="0" xfId="2611" applyNumberFormat="1" applyFont="1"/>
    <xf numFmtId="173" fontId="20" fillId="0" borderId="13" xfId="2602" applyNumberFormat="1" applyFont="1" applyBorder="1"/>
    <xf numFmtId="173" fontId="20" fillId="0" borderId="13" xfId="2612" applyNumberFormat="1" applyFont="1" applyBorder="1"/>
    <xf numFmtId="6" fontId="25" fillId="0" borderId="0" xfId="2611" applyNumberFormat="1" applyFont="1"/>
    <xf numFmtId="165" fontId="25" fillId="0" borderId="0" xfId="2602" applyNumberFormat="1" applyFont="1"/>
    <xf numFmtId="165" fontId="20" fillId="39" borderId="11" xfId="2602" applyNumberFormat="1" applyFont="1" applyFill="1" applyBorder="1"/>
    <xf numFmtId="165" fontId="25" fillId="0" borderId="2" xfId="2602" applyNumberFormat="1" applyFont="1" applyBorder="1"/>
    <xf numFmtId="165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5" fontId="25" fillId="37" borderId="0" xfId="2602" applyNumberFormat="1" applyFont="1" applyFill="1"/>
    <xf numFmtId="170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3" fontId="20" fillId="34" borderId="13" xfId="2602" applyNumberFormat="1" applyFont="1" applyFill="1" applyBorder="1"/>
    <xf numFmtId="173" fontId="20" fillId="34" borderId="3" xfId="2602" applyNumberFormat="1" applyFont="1" applyFill="1" applyBorder="1"/>
    <xf numFmtId="173" fontId="20" fillId="34" borderId="40" xfId="2602" applyNumberFormat="1" applyFont="1" applyFill="1" applyBorder="1"/>
    <xf numFmtId="173" fontId="25" fillId="0" borderId="52" xfId="2612" applyNumberFormat="1" applyFont="1" applyBorder="1"/>
    <xf numFmtId="173" fontId="25" fillId="0" borderId="49" xfId="2612" applyNumberFormat="1" applyFont="1" applyBorder="1"/>
    <xf numFmtId="173" fontId="20" fillId="34" borderId="18" xfId="2602" applyNumberFormat="1" applyFont="1" applyFill="1" applyBorder="1"/>
    <xf numFmtId="173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3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5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0" fontId="25" fillId="0" borderId="15" xfId="2604" applyNumberFormat="1" applyFont="1" applyBorder="1"/>
    <xf numFmtId="170" fontId="25" fillId="0" borderId="0" xfId="2604" applyNumberFormat="1" applyFont="1"/>
    <xf numFmtId="170" fontId="25" fillId="33" borderId="0" xfId="2604" applyNumberFormat="1" applyFont="1" applyFill="1"/>
    <xf numFmtId="170" fontId="20" fillId="0" borderId="15" xfId="2604" applyNumberFormat="1" applyFont="1" applyBorder="1" applyAlignment="1">
      <alignment horizontal="center"/>
    </xf>
    <xf numFmtId="170" fontId="20" fillId="0" borderId="35" xfId="2604" applyNumberFormat="1" applyFont="1" applyBorder="1"/>
    <xf numFmtId="170" fontId="20" fillId="0" borderId="16" xfId="2604" applyNumberFormat="1" applyFont="1" applyBorder="1" applyAlignment="1">
      <alignment horizontal="center"/>
    </xf>
    <xf numFmtId="170" fontId="20" fillId="0" borderId="36" xfId="2604" applyNumberFormat="1" applyFont="1" applyBorder="1"/>
    <xf numFmtId="170" fontId="20" fillId="0" borderId="17" xfId="2604" applyNumberFormat="1" applyFont="1" applyBorder="1" applyAlignment="1">
      <alignment horizontal="center"/>
    </xf>
    <xf numFmtId="170" fontId="20" fillId="0" borderId="39" xfId="2604" applyNumberFormat="1" applyFont="1" applyBorder="1"/>
    <xf numFmtId="170" fontId="20" fillId="0" borderId="0" xfId="2604" applyNumberFormat="1" applyFont="1"/>
    <xf numFmtId="170" fontId="20" fillId="0" borderId="5" xfId="2604" applyNumberFormat="1" applyFont="1" applyBorder="1"/>
    <xf numFmtId="170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41" fontId="0" fillId="37" borderId="0" xfId="2604" applyFont="1" applyFill="1"/>
    <xf numFmtId="0" fontId="0" fillId="37" borderId="0" xfId="0" applyFill="1" applyAlignment="1">
      <alignment horizontal="center"/>
    </xf>
    <xf numFmtId="41" fontId="0" fillId="37" borderId="0" xfId="2601" applyFont="1" applyFill="1"/>
    <xf numFmtId="43" fontId="0" fillId="37" borderId="0" xfId="0" applyNumberFormat="1" applyFill="1"/>
    <xf numFmtId="41" fontId="41" fillId="0" borderId="0" xfId="2601" applyFont="1" applyFill="1" applyBorder="1" applyAlignment="1">
      <alignment horizontal="center"/>
    </xf>
    <xf numFmtId="171" fontId="0" fillId="0" borderId="0" xfId="2601" applyNumberFormat="1" applyFont="1" applyFill="1" applyBorder="1"/>
    <xf numFmtId="171" fontId="0" fillId="0" borderId="0" xfId="2601" applyNumberFormat="1" applyFont="1" applyFill="1"/>
    <xf numFmtId="171" fontId="22" fillId="0" borderId="0" xfId="2601" applyNumberFormat="1" applyFont="1" applyFill="1" applyBorder="1"/>
    <xf numFmtId="41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41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41" fontId="41" fillId="38" borderId="19" xfId="2601" applyFont="1" applyFill="1" applyBorder="1" applyAlignment="1">
      <alignment horizontal="center"/>
    </xf>
    <xf numFmtId="41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1" fontId="0" fillId="0" borderId="54" xfId="2601" applyNumberFormat="1" applyFont="1" applyBorder="1"/>
    <xf numFmtId="0" fontId="0" fillId="0" borderId="40" xfId="0" applyBorder="1"/>
    <xf numFmtId="171" fontId="0" fillId="0" borderId="52" xfId="2601" applyNumberFormat="1" applyFont="1" applyBorder="1"/>
    <xf numFmtId="171" fontId="0" fillId="0" borderId="55" xfId="2601" applyNumberFormat="1" applyFont="1" applyBorder="1"/>
    <xf numFmtId="171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4" fontId="25" fillId="0" borderId="21" xfId="2601" applyNumberFormat="1" applyFont="1" applyBorder="1"/>
    <xf numFmtId="174" fontId="25" fillId="0" borderId="22" xfId="2601" applyNumberFormat="1" applyFont="1" applyBorder="1"/>
    <xf numFmtId="174" fontId="25" fillId="0" borderId="23" xfId="2601" applyNumberFormat="1" applyFont="1" applyBorder="1"/>
    <xf numFmtId="174" fontId="20" fillId="0" borderId="13" xfId="2601" applyNumberFormat="1" applyFont="1" applyBorder="1"/>
    <xf numFmtId="176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41" fontId="0" fillId="55" borderId="18" xfId="2601" applyFont="1" applyFill="1" applyBorder="1"/>
    <xf numFmtId="41" fontId="41" fillId="55" borderId="51" xfId="2601" applyFont="1" applyFill="1" applyBorder="1" applyAlignment="1">
      <alignment horizontal="left"/>
    </xf>
    <xf numFmtId="41" fontId="0" fillId="55" borderId="57" xfId="2601" applyFont="1" applyFill="1" applyBorder="1"/>
    <xf numFmtId="41" fontId="41" fillId="55" borderId="16" xfId="2601" applyFont="1" applyFill="1" applyBorder="1" applyAlignment="1">
      <alignment horizontal="left"/>
    </xf>
    <xf numFmtId="41" fontId="0" fillId="55" borderId="4" xfId="2601" applyFont="1" applyFill="1" applyBorder="1"/>
    <xf numFmtId="41" fontId="41" fillId="54" borderId="16" xfId="2601" applyFont="1" applyFill="1" applyBorder="1" applyAlignment="1">
      <alignment horizontal="left"/>
    </xf>
    <xf numFmtId="41" fontId="0" fillId="54" borderId="58" xfId="2601" applyFont="1" applyFill="1" applyBorder="1"/>
    <xf numFmtId="41" fontId="0" fillId="54" borderId="4" xfId="2601" applyFont="1" applyFill="1" applyBorder="1"/>
    <xf numFmtId="41" fontId="41" fillId="0" borderId="16" xfId="2601" applyFont="1" applyFill="1" applyBorder="1" applyAlignment="1">
      <alignment horizontal="left"/>
    </xf>
    <xf numFmtId="41" fontId="0" fillId="0" borderId="3" xfId="2601" applyFont="1" applyFill="1" applyBorder="1"/>
    <xf numFmtId="41" fontId="41" fillId="55" borderId="17" xfId="2601" applyFont="1" applyFill="1" applyBorder="1" applyAlignment="1">
      <alignment horizontal="left"/>
    </xf>
    <xf numFmtId="175" fontId="25" fillId="0" borderId="0" xfId="2599" applyNumberFormat="1" applyFont="1"/>
    <xf numFmtId="165" fontId="25" fillId="0" borderId="0" xfId="2602" applyNumberFormat="1" applyFont="1" applyFill="1"/>
    <xf numFmtId="0" fontId="20" fillId="0" borderId="73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0" fontId="25" fillId="0" borderId="51" xfId="2604" applyNumberFormat="1" applyFont="1" applyBorder="1"/>
    <xf numFmtId="170" fontId="25" fillId="0" borderId="74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2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5" xfId="0" applyFont="1" applyBorder="1" applyAlignment="1">
      <alignment horizontal="center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3" fontId="20" fillId="0" borderId="5" xfId="0" applyNumberFormat="1" applyFont="1" applyBorder="1" applyAlignment="1">
      <alignment horizontal="center"/>
    </xf>
    <xf numFmtId="173" fontId="20" fillId="0" borderId="10" xfId="2599" applyNumberFormat="1" applyFont="1" applyBorder="1"/>
    <xf numFmtId="173" fontId="25" fillId="0" borderId="47" xfId="2601" applyNumberFormat="1" applyFont="1" applyBorder="1"/>
    <xf numFmtId="173" fontId="25" fillId="0" borderId="76" xfId="2601" applyNumberFormat="1" applyFont="1" applyBorder="1"/>
    <xf numFmtId="173" fontId="25" fillId="0" borderId="71" xfId="2601" applyNumberFormat="1" applyFont="1" applyBorder="1"/>
    <xf numFmtId="173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3" fontId="25" fillId="0" borderId="66" xfId="2601" applyNumberFormat="1" applyFont="1" applyBorder="1"/>
    <xf numFmtId="173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41" fontId="25" fillId="0" borderId="0" xfId="2601" applyFont="1"/>
    <xf numFmtId="177" fontId="25" fillId="0" borderId="0" xfId="0" applyNumberFormat="1" applyFont="1"/>
    <xf numFmtId="3" fontId="63" fillId="0" borderId="3" xfId="2614" applyNumberFormat="1" applyBorder="1" applyAlignment="1">
      <alignment vertical="top"/>
    </xf>
    <xf numFmtId="43" fontId="25" fillId="0" borderId="0" xfId="2615" applyFont="1"/>
    <xf numFmtId="171" fontId="0" fillId="0" borderId="4" xfId="2604" applyNumberFormat="1" applyFont="1" applyBorder="1" applyAlignment="1">
      <alignment vertical="top"/>
    </xf>
    <xf numFmtId="171" fontId="0" fillId="0" borderId="49" xfId="2604" applyNumberFormat="1" applyFont="1" applyBorder="1"/>
    <xf numFmtId="171" fontId="0" fillId="0" borderId="49" xfId="2604" applyNumberFormat="1" applyFont="1" applyFill="1" applyBorder="1"/>
    <xf numFmtId="171" fontId="0" fillId="0" borderId="46" xfId="2604" applyNumberFormat="1" applyFont="1" applyBorder="1"/>
    <xf numFmtId="178" fontId="0" fillId="34" borderId="0" xfId="2601" applyNumberFormat="1" applyFont="1" applyFill="1"/>
    <xf numFmtId="179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5" fontId="0" fillId="0" borderId="0" xfId="2615" applyNumberFormat="1" applyFont="1"/>
    <xf numFmtId="171" fontId="0" fillId="0" borderId="3" xfId="2604" applyNumberFormat="1" applyFont="1" applyFill="1" applyBorder="1" applyAlignment="1">
      <alignment vertical="top"/>
    </xf>
    <xf numFmtId="171" fontId="0" fillId="0" borderId="42" xfId="2604" applyNumberFormat="1" applyFont="1" applyFill="1" applyBorder="1" applyAlignment="1">
      <alignment vertical="top"/>
    </xf>
    <xf numFmtId="173" fontId="25" fillId="0" borderId="75" xfId="2599" applyNumberFormat="1" applyFont="1" applyBorder="1"/>
    <xf numFmtId="173" fontId="25" fillId="0" borderId="80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3" fontId="20" fillId="0" borderId="53" xfId="2599" applyNumberFormat="1" applyFont="1" applyBorder="1"/>
    <xf numFmtId="173" fontId="25" fillId="0" borderId="10" xfId="2599" applyNumberFormat="1" applyFont="1" applyBorder="1"/>
    <xf numFmtId="0" fontId="65" fillId="0" borderId="0" xfId="2617"/>
    <xf numFmtId="49" fontId="65" fillId="0" borderId="3" xfId="2617" applyNumberFormat="1" applyBorder="1"/>
    <xf numFmtId="180" fontId="65" fillId="0" borderId="0" xfId="2617" applyNumberFormat="1"/>
    <xf numFmtId="171" fontId="0" fillId="0" borderId="41" xfId="2601" applyNumberFormat="1" applyFont="1" applyBorder="1" applyAlignment="1">
      <alignment horizontal="right"/>
    </xf>
    <xf numFmtId="171" fontId="0" fillId="0" borderId="49" xfId="2601" applyNumberFormat="1" applyFont="1" applyBorder="1" applyAlignment="1">
      <alignment horizontal="right"/>
    </xf>
    <xf numFmtId="171" fontId="0" fillId="0" borderId="46" xfId="2601" applyNumberFormat="1" applyFont="1" applyBorder="1" applyAlignment="1">
      <alignment horizontal="right"/>
    </xf>
    <xf numFmtId="41" fontId="0" fillId="0" borderId="0" xfId="2601" applyFont="1" applyAlignment="1">
      <alignment horizontal="right"/>
    </xf>
    <xf numFmtId="181" fontId="0" fillId="0" borderId="0" xfId="0" applyNumberFormat="1"/>
    <xf numFmtId="181" fontId="22" fillId="0" borderId="0" xfId="0" applyNumberFormat="1" applyFont="1"/>
    <xf numFmtId="181" fontId="0" fillId="0" borderId="0" xfId="0" applyNumberFormat="1" applyAlignment="1">
      <alignment vertical="top"/>
    </xf>
    <xf numFmtId="181" fontId="19" fillId="36" borderId="0" xfId="0" applyNumberFormat="1" applyFont="1" applyFill="1" applyAlignment="1">
      <alignment vertical="top"/>
    </xf>
    <xf numFmtId="181" fontId="19" fillId="0" borderId="0" xfId="0" applyNumberFormat="1" applyFont="1" applyAlignment="1">
      <alignment vertical="top"/>
    </xf>
    <xf numFmtId="181" fontId="0" fillId="55" borderId="0" xfId="0" applyNumberFormat="1" applyFill="1"/>
    <xf numFmtId="181" fontId="0" fillId="55" borderId="0" xfId="0" applyNumberFormat="1" applyFill="1" applyAlignment="1">
      <alignment vertical="top"/>
    </xf>
    <xf numFmtId="181" fontId="0" fillId="54" borderId="0" xfId="0" applyNumberFormat="1" applyFill="1"/>
    <xf numFmtId="181" fontId="0" fillId="54" borderId="0" xfId="0" applyNumberFormat="1" applyFill="1" applyAlignment="1">
      <alignment vertical="top"/>
    </xf>
    <xf numFmtId="181" fontId="0" fillId="38" borderId="0" xfId="0" applyNumberFormat="1" applyFill="1"/>
    <xf numFmtId="181" fontId="0" fillId="38" borderId="0" xfId="0" applyNumberFormat="1" applyFill="1" applyAlignment="1">
      <alignment vertical="top"/>
    </xf>
    <xf numFmtId="181" fontId="19" fillId="38" borderId="0" xfId="0" applyNumberFormat="1" applyFont="1" applyFill="1" applyAlignment="1">
      <alignment vertical="top"/>
    </xf>
    <xf numFmtId="181" fontId="0" fillId="33" borderId="0" xfId="0" applyNumberFormat="1" applyFill="1" applyAlignment="1">
      <alignment vertical="top"/>
    </xf>
    <xf numFmtId="181" fontId="19" fillId="33" borderId="0" xfId="0" applyNumberFormat="1" applyFont="1" applyFill="1" applyAlignment="1">
      <alignment vertical="top"/>
    </xf>
    <xf numFmtId="181" fontId="0" fillId="41" borderId="0" xfId="0" applyNumberFormat="1" applyFill="1" applyAlignment="1">
      <alignment vertical="top"/>
    </xf>
    <xf numFmtId="181" fontId="0" fillId="41" borderId="0" xfId="0" applyNumberFormat="1" applyFill="1"/>
    <xf numFmtId="181" fontId="0" fillId="46" borderId="0" xfId="0" applyNumberFormat="1" applyFill="1" applyAlignment="1">
      <alignment vertical="top"/>
    </xf>
    <xf numFmtId="181" fontId="0" fillId="39" borderId="0" xfId="0" applyNumberFormat="1" applyFill="1" applyAlignment="1">
      <alignment vertical="top"/>
    </xf>
    <xf numFmtId="181" fontId="0" fillId="48" borderId="0" xfId="0" applyNumberFormat="1" applyFill="1" applyAlignment="1">
      <alignment vertical="top"/>
    </xf>
    <xf numFmtId="181" fontId="0" fillId="37" borderId="0" xfId="0" applyNumberFormat="1" applyFill="1"/>
    <xf numFmtId="181" fontId="19" fillId="54" borderId="0" xfId="0" applyNumberFormat="1" applyFont="1" applyFill="1" applyAlignment="1">
      <alignment vertical="top"/>
    </xf>
    <xf numFmtId="181" fontId="0" fillId="39" borderId="0" xfId="0" applyNumberFormat="1" applyFill="1"/>
    <xf numFmtId="4" fontId="53" fillId="0" borderId="0" xfId="0" applyNumberFormat="1" applyFont="1"/>
    <xf numFmtId="165" fontId="25" fillId="0" borderId="0" xfId="2599" applyNumberFormat="1" applyFont="1" applyAlignment="1"/>
    <xf numFmtId="165" fontId="25" fillId="0" borderId="0" xfId="2602" applyNumberFormat="1" applyFont="1" applyBorder="1"/>
    <xf numFmtId="49" fontId="0" fillId="0" borderId="3" xfId="0" applyNumberFormat="1" applyBorder="1"/>
    <xf numFmtId="6" fontId="0" fillId="0" borderId="3" xfId="0" applyNumberFormat="1" applyBorder="1" applyAlignment="1">
      <alignment horizontal="center" vertical="center"/>
    </xf>
    <xf numFmtId="182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69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5" fillId="0" borderId="3" xfId="2617" applyNumberFormat="1" applyBorder="1"/>
    <xf numFmtId="173" fontId="20" fillId="0" borderId="3" xfId="0" applyNumberFormat="1" applyFont="1" applyBorder="1" applyAlignment="1">
      <alignment horizontal="center"/>
    </xf>
    <xf numFmtId="4" fontId="66" fillId="0" borderId="3" xfId="2617" quotePrefix="1" applyNumberFormat="1" applyFont="1" applyBorder="1"/>
    <xf numFmtId="4" fontId="65" fillId="0" borderId="3" xfId="2617" quotePrefix="1" applyNumberFormat="1" applyBorder="1"/>
    <xf numFmtId="4" fontId="65" fillId="0" borderId="0" xfId="2617" applyNumberFormat="1"/>
    <xf numFmtId="6" fontId="65" fillId="0" borderId="0" xfId="2617" applyNumberFormat="1"/>
    <xf numFmtId="4" fontId="66" fillId="0" borderId="3" xfId="2617" applyNumberFormat="1" applyFont="1" applyBorder="1"/>
    <xf numFmtId="0" fontId="66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5" fontId="25" fillId="0" borderId="0" xfId="2615" applyNumberFormat="1" applyFont="1"/>
    <xf numFmtId="183" fontId="65" fillId="0" borderId="3" xfId="2617" applyNumberFormat="1" applyBorder="1"/>
    <xf numFmtId="49" fontId="67" fillId="0" borderId="3" xfId="0" applyNumberFormat="1" applyFont="1" applyBorder="1" applyAlignment="1">
      <alignment horizontal="center" vertical="center"/>
    </xf>
    <xf numFmtId="49" fontId="67" fillId="60" borderId="3" xfId="0" applyNumberFormat="1" applyFont="1" applyFill="1" applyBorder="1" applyAlignment="1">
      <alignment horizontal="center" vertical="center" wrapText="1"/>
    </xf>
    <xf numFmtId="180" fontId="0" fillId="0" borderId="0" xfId="0" applyNumberFormat="1"/>
    <xf numFmtId="184" fontId="65" fillId="0" borderId="3" xfId="2617" applyNumberFormat="1" applyBorder="1"/>
    <xf numFmtId="0" fontId="68" fillId="0" borderId="0" xfId="0" applyFont="1" applyAlignment="1">
      <alignment wrapText="1"/>
    </xf>
    <xf numFmtId="171" fontId="55" fillId="0" borderId="0" xfId="2604" applyNumberFormat="1" applyFont="1"/>
    <xf numFmtId="171" fontId="62" fillId="0" borderId="12" xfId="2604" applyNumberFormat="1" applyFont="1" applyBorder="1" applyAlignment="1">
      <alignment horizontal="center" vertical="center" wrapText="1"/>
    </xf>
    <xf numFmtId="170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41" fontId="55" fillId="59" borderId="72" xfId="2604" applyFont="1" applyFill="1" applyBorder="1"/>
    <xf numFmtId="41" fontId="55" fillId="59" borderId="43" xfId="2604" applyFont="1" applyFill="1" applyBorder="1"/>
    <xf numFmtId="41" fontId="55" fillId="0" borderId="43" xfId="2604" applyFont="1" applyFill="1" applyBorder="1"/>
    <xf numFmtId="41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41" fontId="55" fillId="59" borderId="55" xfId="2604" applyFont="1" applyFill="1" applyBorder="1"/>
    <xf numFmtId="41" fontId="55" fillId="59" borderId="22" xfId="2604" applyFont="1" applyFill="1" applyBorder="1"/>
    <xf numFmtId="41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41" fontId="55" fillId="59" borderId="78" xfId="2604" applyFont="1" applyFill="1" applyBorder="1"/>
    <xf numFmtId="41" fontId="55" fillId="59" borderId="23" xfId="2604" applyFont="1" applyFill="1" applyBorder="1"/>
    <xf numFmtId="41" fontId="55" fillId="0" borderId="23" xfId="2604" applyFont="1" applyFill="1" applyBorder="1"/>
    <xf numFmtId="41" fontId="55" fillId="0" borderId="79" xfId="2604" applyFont="1" applyFill="1" applyBorder="1"/>
    <xf numFmtId="170" fontId="62" fillId="36" borderId="11" xfId="2604" applyNumberFormat="1" applyFont="1" applyFill="1" applyBorder="1"/>
    <xf numFmtId="41" fontId="62" fillId="59" borderId="11" xfId="2604" applyFont="1" applyFill="1" applyBorder="1"/>
    <xf numFmtId="41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41" fontId="55" fillId="36" borderId="41" xfId="2604" applyFont="1" applyFill="1" applyBorder="1"/>
    <xf numFmtId="41" fontId="55" fillId="36" borderId="49" xfId="2604" applyFont="1" applyFill="1" applyBorder="1"/>
    <xf numFmtId="41" fontId="19" fillId="0" borderId="3" xfId="2604" applyFont="1" applyBorder="1"/>
    <xf numFmtId="41" fontId="55" fillId="36" borderId="46" xfId="2604" applyFont="1" applyFill="1" applyBorder="1"/>
    <xf numFmtId="41" fontId="19" fillId="0" borderId="3" xfId="2604" applyFont="1" applyFill="1" applyBorder="1"/>
    <xf numFmtId="41" fontId="62" fillId="36" borderId="11" xfId="2604" applyFont="1" applyFill="1" applyBorder="1"/>
    <xf numFmtId="41" fontId="22" fillId="0" borderId="3" xfId="2604" applyFont="1" applyBorder="1"/>
    <xf numFmtId="165" fontId="0" fillId="0" borderId="0" xfId="2598" applyNumberFormat="1" applyFont="1"/>
    <xf numFmtId="41" fontId="0" fillId="34" borderId="3" xfId="0" applyNumberFormat="1" applyFill="1" applyBorder="1"/>
    <xf numFmtId="181" fontId="0" fillId="47" borderId="0" xfId="0" applyNumberFormat="1" applyFill="1"/>
    <xf numFmtId="181" fontId="0" fillId="47" borderId="0" xfId="0" applyNumberFormat="1" applyFill="1" applyAlignment="1">
      <alignment vertical="top"/>
    </xf>
    <xf numFmtId="181" fontId="19" fillId="47" borderId="0" xfId="0" applyNumberFormat="1" applyFont="1" applyFill="1" applyAlignment="1">
      <alignment vertical="top"/>
    </xf>
    <xf numFmtId="41" fontId="65" fillId="0" borderId="0" xfId="2617" applyNumberFormat="1"/>
    <xf numFmtId="41" fontId="65" fillId="0" borderId="3" xfId="2617" applyNumberFormat="1" applyBorder="1"/>
    <xf numFmtId="8" fontId="65" fillId="0" borderId="0" xfId="2617" applyNumberFormat="1"/>
    <xf numFmtId="185" fontId="65" fillId="0" borderId="0" xfId="0" applyNumberFormat="1" applyFont="1" applyAlignment="1">
      <alignment vertical="center"/>
    </xf>
    <xf numFmtId="0" fontId="22" fillId="36" borderId="0" xfId="0" applyFont="1" applyFill="1"/>
    <xf numFmtId="165" fontId="0" fillId="42" borderId="0" xfId="0" applyNumberFormat="1" applyFill="1"/>
    <xf numFmtId="186" fontId="0" fillId="0" borderId="0" xfId="2598" applyNumberFormat="1" applyFont="1"/>
    <xf numFmtId="186" fontId="0" fillId="0" borderId="0" xfId="0" applyNumberFormat="1"/>
    <xf numFmtId="187" fontId="0" fillId="0" borderId="0" xfId="2598" applyNumberFormat="1" applyFont="1"/>
    <xf numFmtId="165" fontId="0" fillId="42" borderId="0" xfId="2598" applyNumberFormat="1" applyFont="1" applyFill="1"/>
    <xf numFmtId="187" fontId="0" fillId="53" borderId="0" xfId="2598" applyNumberFormat="1" applyFont="1" applyFill="1"/>
    <xf numFmtId="165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88" fontId="65" fillId="0" borderId="3" xfId="2617" applyNumberFormat="1" applyBorder="1"/>
    <xf numFmtId="189" fontId="65" fillId="0" borderId="3" xfId="2617" applyNumberFormat="1" applyBorder="1"/>
    <xf numFmtId="190" fontId="25" fillId="0" borderId="0" xfId="2599" applyNumberFormat="1" applyFont="1"/>
    <xf numFmtId="181" fontId="19" fillId="46" borderId="0" xfId="0" applyNumberFormat="1" applyFont="1" applyFill="1" applyAlignment="1">
      <alignment vertical="top"/>
    </xf>
    <xf numFmtId="191" fontId="65" fillId="0" borderId="3" xfId="2617" applyNumberFormat="1" applyBorder="1"/>
    <xf numFmtId="192" fontId="0" fillId="0" borderId="3" xfId="0" applyNumberFormat="1" applyBorder="1"/>
    <xf numFmtId="41" fontId="0" fillId="0" borderId="72" xfId="2604" applyFont="1" applyBorder="1"/>
    <xf numFmtId="171" fontId="62" fillId="34" borderId="11" xfId="2601" applyNumberFormat="1" applyFont="1" applyFill="1" applyBorder="1" applyAlignment="1">
      <alignment horizontal="center" vertical="center" wrapText="1"/>
    </xf>
    <xf numFmtId="4" fontId="19" fillId="0" borderId="0" xfId="0" applyNumberFormat="1" applyFont="1" applyAlignment="1">
      <alignment vertical="top" wrapText="1"/>
    </xf>
    <xf numFmtId="4" fontId="19" fillId="33" borderId="0" xfId="0" applyNumberFormat="1" applyFont="1" applyFill="1" applyAlignment="1">
      <alignment vertical="top"/>
    </xf>
    <xf numFmtId="0" fontId="22" fillId="0" borderId="0" xfId="0" applyFont="1" applyAlignment="1">
      <alignment horizontal="center" vertical="center"/>
    </xf>
    <xf numFmtId="181" fontId="0" fillId="53" borderId="0" xfId="0" applyNumberFormat="1" applyFill="1" applyAlignment="1">
      <alignment vertical="top"/>
    </xf>
    <xf numFmtId="181" fontId="0" fillId="0" borderId="0" xfId="0" applyNumberFormat="1" applyAlignment="1">
      <alignment horizontal="center" vertical="center"/>
    </xf>
    <xf numFmtId="181" fontId="22" fillId="0" borderId="0" xfId="0" applyNumberFormat="1" applyFont="1" applyAlignment="1">
      <alignment horizontal="center" vertical="center"/>
    </xf>
    <xf numFmtId="0" fontId="0" fillId="52" borderId="0" xfId="0" applyFill="1"/>
    <xf numFmtId="43" fontId="20" fillId="38" borderId="22" xfId="2599" applyFont="1" applyFill="1" applyBorder="1"/>
    <xf numFmtId="176" fontId="25" fillId="0" borderId="15" xfId="2599" applyNumberFormat="1" applyFont="1" applyBorder="1"/>
    <xf numFmtId="176" fontId="20" fillId="35" borderId="22" xfId="2599" applyNumberFormat="1" applyFont="1" applyFill="1" applyBorder="1"/>
    <xf numFmtId="41" fontId="22" fillId="0" borderId="0" xfId="2604" applyFont="1" applyAlignment="1"/>
    <xf numFmtId="41" fontId="0" fillId="0" borderId="0" xfId="2604" applyFont="1" applyAlignment="1"/>
    <xf numFmtId="0" fontId="0" fillId="34" borderId="0" xfId="0" applyFill="1" applyAlignment="1">
      <alignment horizontal="right"/>
    </xf>
    <xf numFmtId="0" fontId="71" fillId="0" borderId="0" xfId="0" applyFont="1"/>
    <xf numFmtId="0" fontId="0" fillId="53" borderId="3" xfId="0" applyFill="1" applyBorder="1"/>
    <xf numFmtId="0" fontId="0" fillId="61" borderId="3" xfId="0" applyFill="1" applyBorder="1"/>
    <xf numFmtId="41" fontId="0" fillId="61" borderId="3" xfId="2601" applyFont="1" applyFill="1" applyBorder="1"/>
    <xf numFmtId="41" fontId="0" fillId="53" borderId="3" xfId="2601" applyFont="1" applyFill="1" applyBorder="1"/>
    <xf numFmtId="41" fontId="0" fillId="61" borderId="3" xfId="0" applyNumberFormat="1" applyFill="1" applyBorder="1"/>
    <xf numFmtId="41" fontId="0" fillId="53" borderId="3" xfId="0" applyNumberFormat="1" applyFill="1" applyBorder="1"/>
    <xf numFmtId="0" fontId="0" fillId="62" borderId="0" xfId="0" applyFill="1"/>
    <xf numFmtId="41" fontId="0" fillId="0" borderId="63" xfId="2601" applyFont="1" applyBorder="1"/>
    <xf numFmtId="4" fontId="19" fillId="38" borderId="0" xfId="0" applyNumberFormat="1" applyFont="1" applyFill="1" applyAlignment="1">
      <alignment vertical="top"/>
    </xf>
    <xf numFmtId="0" fontId="19" fillId="38" borderId="0" xfId="0" applyFont="1" applyFill="1" applyAlignment="1">
      <alignment vertical="top"/>
    </xf>
    <xf numFmtId="0" fontId="68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 wrapText="1"/>
    </xf>
    <xf numFmtId="0" fontId="0" fillId="51" borderId="0" xfId="0" applyFill="1"/>
    <xf numFmtId="0" fontId="0" fillId="51" borderId="0" xfId="0" applyFill="1" applyAlignment="1">
      <alignment vertical="top"/>
    </xf>
    <xf numFmtId="4" fontId="19" fillId="51" borderId="0" xfId="0" applyNumberFormat="1" applyFont="1" applyFill="1" applyAlignment="1">
      <alignment vertical="top"/>
    </xf>
    <xf numFmtId="4" fontId="0" fillId="51" borderId="0" xfId="0" applyNumberFormat="1" applyFill="1" applyAlignment="1">
      <alignment vertical="top"/>
    </xf>
    <xf numFmtId="181" fontId="0" fillId="33" borderId="0" xfId="0" applyNumberFormat="1" applyFill="1"/>
    <xf numFmtId="41" fontId="19" fillId="51" borderId="0" xfId="2604" applyFont="1" applyFill="1"/>
    <xf numFmtId="4" fontId="19" fillId="57" borderId="0" xfId="0" applyNumberFormat="1" applyFont="1" applyFill="1" applyAlignment="1">
      <alignment vertical="top"/>
    </xf>
    <xf numFmtId="0" fontId="62" fillId="63" borderId="53" xfId="0" applyFont="1" applyFill="1" applyBorder="1" applyAlignment="1">
      <alignment horizontal="center" vertical="center"/>
    </xf>
    <xf numFmtId="41" fontId="0" fillId="0" borderId="11" xfId="2601" applyFont="1" applyBorder="1" applyAlignment="1">
      <alignment horizontal="center"/>
    </xf>
    <xf numFmtId="41" fontId="0" fillId="55" borderId="40" xfId="2601" applyFont="1" applyFill="1" applyBorder="1"/>
    <xf numFmtId="41" fontId="0" fillId="0" borderId="65" xfId="2601" applyFont="1" applyBorder="1"/>
    <xf numFmtId="41" fontId="0" fillId="55" borderId="3" xfId="2601" applyFont="1" applyFill="1" applyBorder="1"/>
    <xf numFmtId="41" fontId="0" fillId="0" borderId="64" xfId="2601" applyFont="1" applyBorder="1"/>
    <xf numFmtId="41" fontId="0" fillId="54" borderId="3" xfId="2601" applyFont="1" applyFill="1" applyBorder="1"/>
    <xf numFmtId="41" fontId="0" fillId="0" borderId="58" xfId="2601" applyFont="1" applyBorder="1"/>
    <xf numFmtId="41" fontId="41" fillId="34" borderId="64" xfId="2601" applyFont="1" applyFill="1" applyBorder="1"/>
    <xf numFmtId="41" fontId="0" fillId="0" borderId="4" xfId="2601" applyFont="1" applyBorder="1"/>
    <xf numFmtId="41" fontId="41" fillId="34" borderId="81" xfId="2601" applyFont="1" applyFill="1" applyBorder="1"/>
    <xf numFmtId="181" fontId="19" fillId="39" borderId="0" xfId="0" applyNumberFormat="1" applyFont="1" applyFill="1" applyAlignment="1">
      <alignment vertical="top"/>
    </xf>
    <xf numFmtId="41" fontId="22" fillId="0" borderId="49" xfId="0" applyNumberFormat="1" applyFont="1" applyBorder="1"/>
    <xf numFmtId="0" fontId="62" fillId="34" borderId="53" xfId="0" applyFont="1" applyFill="1" applyBorder="1" applyAlignment="1">
      <alignment horizontal="center" vertical="center"/>
    </xf>
    <xf numFmtId="4" fontId="19" fillId="53" borderId="0" xfId="0" applyNumberFormat="1" applyFont="1" applyFill="1" applyAlignment="1">
      <alignment vertical="top"/>
    </xf>
    <xf numFmtId="0" fontId="2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34" borderId="0" xfId="0" applyFont="1" applyFill="1" applyAlignment="1">
      <alignment horizontal="center" vertical="center"/>
    </xf>
    <xf numFmtId="0" fontId="56" fillId="0" borderId="0" xfId="0" applyFont="1" applyAlignment="1">
      <alignment horizontal="center"/>
    </xf>
    <xf numFmtId="181" fontId="22" fillId="34" borderId="0" xfId="0" applyNumberFormat="1" applyFont="1" applyFill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1" fontId="22" fillId="0" borderId="0" xfId="0" applyNumberFormat="1" applyFont="1" applyAlignment="1">
      <alignment horizontal="center" vertical="center"/>
    </xf>
    <xf numFmtId="181" fontId="22" fillId="0" borderId="0" xfId="0" applyNumberFormat="1" applyFont="1" applyAlignment="1">
      <alignment horizontal="center" vertical="center" wrapText="1"/>
    </xf>
    <xf numFmtId="41" fontId="62" fillId="0" borderId="5" xfId="0" applyNumberFormat="1" applyFont="1" applyBorder="1" applyAlignment="1">
      <alignment horizontal="center"/>
    </xf>
    <xf numFmtId="41" fontId="62" fillId="0" borderId="53" xfId="0" applyNumberFormat="1" applyFont="1" applyBorder="1" applyAlignment="1">
      <alignment horizontal="center"/>
    </xf>
    <xf numFmtId="180" fontId="66" fillId="0" borderId="3" xfId="2617" applyNumberFormat="1" applyFont="1" applyBorder="1"/>
    <xf numFmtId="180" fontId="65" fillId="0" borderId="3" xfId="2617" applyNumberFormat="1" applyBorder="1"/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FFFF00"/>
      <color rgb="FF9ACDD4"/>
      <color rgb="FF00FF99"/>
      <color rgb="FFCCFF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67238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1456267</xdr:colOff>
      <xdr:row>25</xdr:row>
      <xdr:rowOff>29021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67237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1285875</xdr:colOff>
      <xdr:row>101</xdr:row>
      <xdr:rowOff>102162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140262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1</xdr:row>
      <xdr:rowOff>85725</xdr:rowOff>
    </xdr:from>
    <xdr:to>
      <xdr:col>19</xdr:col>
      <xdr:colOff>857250</xdr:colOff>
      <xdr:row>6</xdr:row>
      <xdr:rowOff>67237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45012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85725</xdr:rowOff>
    </xdr:from>
    <xdr:to>
      <xdr:col>19</xdr:col>
      <xdr:colOff>828675</xdr:colOff>
      <xdr:row>44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97350" y="80581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83112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86287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790575</xdr:colOff>
      <xdr:row>101</xdr:row>
      <xdr:rowOff>124387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56920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920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NTDATCAL\Comercial\Mis%20documentos\Comercial%20Aseo\Estudio%20Tarifa\Buga\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INFORMACION%20DOS%20EMPRESAS\TARIFAS%20SICO\A&#209;O%202011\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W3datcal\comercial\Comercial%20Aseo\Marco%20regulario2006\ESTIMACION%20TARIFAS\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NTNETPAL\Operaciones\HOJAS%202003\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workbookViewId="0">
      <selection activeCell="G45" sqref="G45"/>
    </sheetView>
  </sheetViews>
  <sheetFormatPr baseColWidth="10" defaultRowHeight="12.5" x14ac:dyDescent="0.25"/>
  <cols>
    <col min="1" max="1" width="2.26953125" customWidth="1"/>
    <col min="2" max="2" width="12.7265625" bestFit="1" customWidth="1"/>
    <col min="3" max="3" width="7.26953125" customWidth="1"/>
    <col min="4" max="4" width="15.26953125" style="167" customWidth="1"/>
    <col min="5" max="5" width="20.453125" style="167" customWidth="1"/>
    <col min="6" max="6" width="15.26953125" style="167" customWidth="1"/>
    <col min="7" max="7" width="20.26953125" style="167" customWidth="1"/>
    <col min="8" max="8" width="3.7265625" style="167" customWidth="1"/>
    <col min="9" max="10" width="26.54296875" style="167" bestFit="1" customWidth="1"/>
    <col min="11" max="13" width="19.7265625" style="167" customWidth="1"/>
  </cols>
  <sheetData>
    <row r="1" spans="2:13" ht="13" thickBot="1" x14ac:dyDescent="0.3"/>
    <row r="2" spans="2:13" s="102" customFormat="1" ht="13.5" thickBot="1" x14ac:dyDescent="0.35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5"/>
      <c r="K2" s="173"/>
      <c r="L2" s="173"/>
      <c r="M2" s="173"/>
    </row>
    <row r="3" spans="2:13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6"/>
    </row>
    <row r="4" spans="2:13" x14ac:dyDescent="0.25">
      <c r="C4" s="178">
        <v>2</v>
      </c>
      <c r="D4" s="179">
        <v>11627730</v>
      </c>
      <c r="E4" s="180">
        <v>116</v>
      </c>
      <c r="F4" s="180">
        <v>0</v>
      </c>
      <c r="G4" s="181">
        <v>0</v>
      </c>
      <c r="J4" s="726"/>
    </row>
    <row r="5" spans="2:13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6"/>
    </row>
    <row r="6" spans="2:13" ht="13.5" customHeight="1" x14ac:dyDescent="0.25">
      <c r="C6" s="178">
        <v>4</v>
      </c>
      <c r="D6" s="179">
        <v>7382710</v>
      </c>
      <c r="E6" s="180">
        <v>66</v>
      </c>
      <c r="F6" s="180">
        <v>0</v>
      </c>
      <c r="G6" s="181">
        <v>0</v>
      </c>
      <c r="J6" s="726"/>
    </row>
    <row r="7" spans="2:13" ht="13.5" customHeight="1" x14ac:dyDescent="0.25">
      <c r="C7" s="178">
        <v>5</v>
      </c>
      <c r="D7" s="179">
        <v>0</v>
      </c>
      <c r="E7" s="180">
        <v>0</v>
      </c>
      <c r="F7" s="180">
        <v>0</v>
      </c>
      <c r="G7" s="181">
        <v>0</v>
      </c>
      <c r="J7" s="726"/>
    </row>
    <row r="8" spans="2:13" ht="13" thickBot="1" x14ac:dyDescent="0.3">
      <c r="C8" s="182" t="s">
        <v>89</v>
      </c>
      <c r="D8" s="183"/>
      <c r="E8" s="184"/>
      <c r="F8" s="184"/>
      <c r="G8" s="185"/>
      <c r="J8" s="726"/>
    </row>
    <row r="9" spans="2:13" ht="13.5" thickBot="1" x14ac:dyDescent="0.35">
      <c r="D9" s="186">
        <v>19010440</v>
      </c>
      <c r="E9" s="186">
        <v>182</v>
      </c>
      <c r="F9" s="186">
        <v>0</v>
      </c>
      <c r="G9" s="186">
        <v>0</v>
      </c>
      <c r="J9" s="726"/>
    </row>
    <row r="10" spans="2:13" ht="13" thickBot="1" x14ac:dyDescent="0.3"/>
    <row r="11" spans="2:13" s="102" customFormat="1" ht="13.5" thickBot="1" x14ac:dyDescent="0.35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3" x14ac:dyDescent="0.3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x14ac:dyDescent="0.25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3" thickBot="1" x14ac:dyDescent="0.3">
      <c r="C17" s="182" t="s">
        <v>89</v>
      </c>
      <c r="D17" s="183"/>
      <c r="E17" s="184"/>
      <c r="F17" s="184"/>
      <c r="G17" s="185"/>
    </row>
    <row r="18" spans="1:11" ht="13.5" thickBot="1" x14ac:dyDescent="0.35">
      <c r="D18" s="186">
        <v>0</v>
      </c>
      <c r="E18" s="186">
        <v>0</v>
      </c>
      <c r="F18" s="186">
        <v>0</v>
      </c>
      <c r="G18" s="186">
        <v>0</v>
      </c>
    </row>
    <row r="19" spans="1:11" ht="13" thickBot="1" x14ac:dyDescent="0.3"/>
    <row r="20" spans="1:11" ht="13.5" thickBot="1" x14ac:dyDescent="0.35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3" x14ac:dyDescent="0.3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x14ac:dyDescent="0.25">
      <c r="B22"/>
      <c r="C22" s="178">
        <v>2</v>
      </c>
      <c r="D22" s="179">
        <v>11627730</v>
      </c>
      <c r="E22" s="180">
        <v>116</v>
      </c>
      <c r="F22" s="180">
        <v>0</v>
      </c>
      <c r="G22" s="181">
        <v>0</v>
      </c>
      <c r="I22" s="179">
        <v>11627730</v>
      </c>
      <c r="J22" s="181">
        <v>116</v>
      </c>
    </row>
    <row r="23" spans="1:11" s="167" customForma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x14ac:dyDescent="0.25">
      <c r="B24"/>
      <c r="C24" s="178">
        <v>4</v>
      </c>
      <c r="D24" s="179">
        <v>7382710</v>
      </c>
      <c r="E24" s="180">
        <v>66</v>
      </c>
      <c r="F24" s="180">
        <v>0</v>
      </c>
      <c r="G24" s="181">
        <v>0</v>
      </c>
      <c r="I24" s="179">
        <v>7382710</v>
      </c>
      <c r="J24" s="181">
        <v>66</v>
      </c>
    </row>
    <row r="25" spans="1:11" s="167" customFormat="1" x14ac:dyDescent="0.25">
      <c r="B25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1" ht="13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3.5" thickBot="1" x14ac:dyDescent="0.35">
      <c r="D27" s="186">
        <v>19010440</v>
      </c>
      <c r="E27" s="186">
        <v>182</v>
      </c>
      <c r="F27" s="186">
        <v>0</v>
      </c>
      <c r="G27" s="186">
        <v>0</v>
      </c>
      <c r="I27" s="204">
        <v>19010440</v>
      </c>
      <c r="J27" s="205">
        <v>182</v>
      </c>
    </row>
    <row r="29" spans="1:11" x14ac:dyDescent="0.25">
      <c r="A29" s="238"/>
      <c r="B29" s="238"/>
      <c r="C29" s="238"/>
      <c r="D29" s="496"/>
      <c r="E29" s="496"/>
      <c r="F29" s="496"/>
      <c r="G29" s="496"/>
      <c r="H29" s="496"/>
      <c r="I29" s="496"/>
      <c r="J29" s="496"/>
      <c r="K29" s="496"/>
    </row>
    <row r="31" spans="1:11" ht="13" x14ac:dyDescent="0.3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ht="13" x14ac:dyDescent="0.3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ht="13" x14ac:dyDescent="0.3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104" priority="5" operator="notEqual">
      <formula>TRUE</formula>
    </cfRule>
  </conditionalFormatting>
  <conditionalFormatting sqref="D33:G33">
    <cfRule type="cellIs" dxfId="103" priority="4" operator="notEqual">
      <formula>TRUE</formula>
    </cfRule>
  </conditionalFormatting>
  <conditionalFormatting sqref="D35:G35">
    <cfRule type="cellIs" dxfId="102" priority="3" operator="notEqual">
      <formula>TRUE</formula>
    </cfRule>
  </conditionalFormatting>
  <conditionalFormatting sqref="I35:J35">
    <cfRule type="cellIs" dxfId="101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"/>
  <sheetViews>
    <sheetView zoomScaleNormal="100" workbookViewId="0">
      <selection activeCell="G45" sqref="G45"/>
    </sheetView>
  </sheetViews>
  <sheetFormatPr baseColWidth="10" defaultRowHeight="12.5" x14ac:dyDescent="0.25"/>
  <cols>
    <col min="1" max="1" width="2.26953125" customWidth="1"/>
    <col min="2" max="2" width="12.7265625" bestFit="1" customWidth="1"/>
    <col min="3" max="3" width="7.26953125" customWidth="1"/>
    <col min="4" max="4" width="16" style="167" bestFit="1" customWidth="1"/>
    <col min="5" max="5" width="20.453125" style="167" customWidth="1"/>
    <col min="6" max="6" width="16" style="167" bestFit="1" customWidth="1"/>
    <col min="7" max="7" width="20.26953125" style="167" customWidth="1"/>
    <col min="8" max="8" width="3.7265625" style="167" customWidth="1"/>
    <col min="9" max="10" width="26.54296875" style="167" bestFit="1" customWidth="1"/>
    <col min="11" max="13" width="19.7265625" style="167" customWidth="1"/>
  </cols>
  <sheetData>
    <row r="1" spans="2:13" ht="14.65" customHeight="1" thickBot="1" x14ac:dyDescent="0.3"/>
    <row r="2" spans="2:13" s="102" customFormat="1" ht="12.65" customHeight="1" thickBot="1" x14ac:dyDescent="0.35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5"/>
      <c r="K2" s="173"/>
      <c r="L2" s="173"/>
      <c r="M2" s="173"/>
    </row>
    <row r="3" spans="2:13" ht="12.65" customHeight="1" x14ac:dyDescent="0.25">
      <c r="C3" s="174">
        <v>1</v>
      </c>
      <c r="D3" s="175">
        <v>16745673525</v>
      </c>
      <c r="E3" s="176">
        <v>356945</v>
      </c>
      <c r="F3" s="176">
        <v>0</v>
      </c>
      <c r="G3" s="177">
        <v>0</v>
      </c>
      <c r="J3" s="726"/>
    </row>
    <row r="4" spans="2:13" ht="12.65" customHeight="1" x14ac:dyDescent="0.25">
      <c r="C4" s="178">
        <v>2</v>
      </c>
      <c r="D4" s="179">
        <v>12677941411</v>
      </c>
      <c r="E4" s="180">
        <v>247628</v>
      </c>
      <c r="F4" s="180">
        <v>0</v>
      </c>
      <c r="G4" s="181">
        <v>0</v>
      </c>
      <c r="J4" s="726"/>
    </row>
    <row r="5" spans="2:13" ht="12.65" customHeight="1" x14ac:dyDescent="0.25">
      <c r="C5" s="178">
        <v>3</v>
      </c>
      <c r="D5" s="179">
        <v>10157711962</v>
      </c>
      <c r="E5" s="180">
        <v>233934</v>
      </c>
      <c r="F5" s="180">
        <v>0</v>
      </c>
      <c r="G5" s="181">
        <v>0</v>
      </c>
      <c r="J5" s="726"/>
    </row>
    <row r="6" spans="2:13" ht="12.65" customHeight="1" x14ac:dyDescent="0.25">
      <c r="C6" s="178">
        <v>4</v>
      </c>
      <c r="D6" s="179">
        <v>10972037248</v>
      </c>
      <c r="E6" s="180">
        <v>193770</v>
      </c>
      <c r="F6" s="180">
        <v>0</v>
      </c>
      <c r="G6" s="181">
        <v>0</v>
      </c>
    </row>
    <row r="7" spans="2:13" ht="12.65" customHeight="1" x14ac:dyDescent="0.25">
      <c r="C7" s="178">
        <v>5</v>
      </c>
      <c r="D7" s="179">
        <v>8639656940</v>
      </c>
      <c r="E7" s="180">
        <v>172542</v>
      </c>
      <c r="F7" s="180">
        <v>0</v>
      </c>
      <c r="G7" s="181">
        <v>0</v>
      </c>
    </row>
    <row r="8" spans="2:13" ht="12.65" customHeight="1" thickBot="1" x14ac:dyDescent="0.3">
      <c r="C8" s="182" t="s">
        <v>89</v>
      </c>
      <c r="D8" s="183"/>
      <c r="E8" s="184"/>
      <c r="F8" s="184"/>
      <c r="G8" s="185"/>
    </row>
    <row r="9" spans="2:13" ht="12.65" customHeight="1" thickBot="1" x14ac:dyDescent="0.35">
      <c r="D9" s="186">
        <v>59193021086</v>
      </c>
      <c r="E9" s="186">
        <v>1204819</v>
      </c>
      <c r="F9" s="186">
        <v>0</v>
      </c>
      <c r="G9" s="186">
        <v>0</v>
      </c>
    </row>
    <row r="10" spans="2:13" ht="12.65" customHeight="1" thickBot="1" x14ac:dyDescent="0.3"/>
    <row r="11" spans="2:13" s="102" customFormat="1" ht="12.65" customHeight="1" thickBot="1" x14ac:dyDescent="0.35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5" customHeight="1" x14ac:dyDescent="0.3">
      <c r="B12" s="97" t="s">
        <v>140</v>
      </c>
      <c r="C12" s="174">
        <v>1</v>
      </c>
      <c r="D12" s="175">
        <v>202711553</v>
      </c>
      <c r="E12" s="176">
        <v>2558</v>
      </c>
      <c r="F12" s="176">
        <v>0</v>
      </c>
      <c r="G12" s="177">
        <v>0</v>
      </c>
    </row>
    <row r="13" spans="2:13" ht="12.65" customHeight="1" x14ac:dyDescent="0.25">
      <c r="C13" s="178">
        <v>2</v>
      </c>
      <c r="D13" s="179">
        <v>73096641</v>
      </c>
      <c r="E13" s="180">
        <v>1473</v>
      </c>
      <c r="F13" s="180">
        <v>0</v>
      </c>
      <c r="G13" s="181">
        <v>0</v>
      </c>
    </row>
    <row r="14" spans="2:13" ht="12.65" customHeight="1" x14ac:dyDescent="0.25">
      <c r="C14" s="178">
        <v>3</v>
      </c>
      <c r="D14" s="179">
        <v>51248640</v>
      </c>
      <c r="E14" s="180">
        <v>963</v>
      </c>
      <c r="F14" s="180">
        <v>0</v>
      </c>
      <c r="G14" s="181">
        <v>0</v>
      </c>
    </row>
    <row r="15" spans="2:13" ht="12.65" customHeight="1" x14ac:dyDescent="0.25">
      <c r="C15" s="178">
        <v>4</v>
      </c>
      <c r="D15" s="179">
        <v>62236830</v>
      </c>
      <c r="E15" s="180">
        <v>857</v>
      </c>
      <c r="F15" s="180">
        <v>0</v>
      </c>
      <c r="G15" s="181">
        <v>0</v>
      </c>
    </row>
    <row r="16" spans="2:13" ht="12.65" customHeight="1" x14ac:dyDescent="0.25">
      <c r="C16" s="178">
        <v>5</v>
      </c>
      <c r="D16" s="179">
        <v>158575115</v>
      </c>
      <c r="E16" s="180">
        <v>2854</v>
      </c>
      <c r="F16" s="180">
        <v>0</v>
      </c>
      <c r="G16" s="181">
        <v>0</v>
      </c>
    </row>
    <row r="17" spans="1:11" ht="12.65" customHeight="1" thickBot="1" x14ac:dyDescent="0.3">
      <c r="C17" s="182" t="s">
        <v>89</v>
      </c>
      <c r="D17" s="183"/>
      <c r="E17" s="184"/>
      <c r="F17" s="184"/>
      <c r="G17" s="185"/>
    </row>
    <row r="18" spans="1:11" ht="12.65" customHeight="1" thickBot="1" x14ac:dyDescent="0.35">
      <c r="D18" s="186">
        <v>547868779</v>
      </c>
      <c r="E18" s="186">
        <v>8705</v>
      </c>
      <c r="F18" s="186">
        <v>0</v>
      </c>
      <c r="G18" s="186">
        <v>0</v>
      </c>
    </row>
    <row r="19" spans="1:11" ht="12.65" customHeight="1" thickBot="1" x14ac:dyDescent="0.3"/>
    <row r="20" spans="1:11" ht="12.65" customHeight="1" thickBot="1" x14ac:dyDescent="0.35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5" customHeight="1" x14ac:dyDescent="0.3">
      <c r="B21" s="207" t="s">
        <v>2</v>
      </c>
      <c r="C21" s="174">
        <v>1</v>
      </c>
      <c r="D21" s="175">
        <v>16948385078</v>
      </c>
      <c r="E21" s="176">
        <v>359503</v>
      </c>
      <c r="F21" s="176">
        <v>0</v>
      </c>
      <c r="G21" s="177">
        <v>0</v>
      </c>
      <c r="I21" s="175">
        <v>16948385078</v>
      </c>
      <c r="J21" s="177">
        <v>359503</v>
      </c>
    </row>
    <row r="22" spans="1:11" s="167" customFormat="1" ht="12.65" customHeight="1" x14ac:dyDescent="0.25">
      <c r="B22"/>
      <c r="C22" s="178">
        <v>2</v>
      </c>
      <c r="D22" s="179">
        <v>12751038052</v>
      </c>
      <c r="E22" s="180">
        <v>249101</v>
      </c>
      <c r="F22" s="180">
        <v>0</v>
      </c>
      <c r="G22" s="181">
        <v>0</v>
      </c>
      <c r="I22" s="179">
        <v>12751038052</v>
      </c>
      <c r="J22" s="181">
        <v>249101</v>
      </c>
    </row>
    <row r="23" spans="1:11" s="167" customFormat="1" ht="12.65" customHeight="1" x14ac:dyDescent="0.25">
      <c r="B23"/>
      <c r="C23" s="178">
        <v>3</v>
      </c>
      <c r="D23" s="179">
        <v>10208960602</v>
      </c>
      <c r="E23" s="180">
        <v>234897</v>
      </c>
      <c r="F23" s="180">
        <v>0</v>
      </c>
      <c r="G23" s="181">
        <v>0</v>
      </c>
      <c r="I23" s="179">
        <v>10208960602</v>
      </c>
      <c r="J23" s="181">
        <v>234897</v>
      </c>
    </row>
    <row r="24" spans="1:11" s="167" customFormat="1" ht="12.65" customHeight="1" x14ac:dyDescent="0.25">
      <c r="B24"/>
      <c r="C24" s="178">
        <v>4</v>
      </c>
      <c r="D24" s="179">
        <v>11034274078</v>
      </c>
      <c r="E24" s="180">
        <v>194627</v>
      </c>
      <c r="F24" s="180">
        <v>0</v>
      </c>
      <c r="G24" s="181">
        <v>0</v>
      </c>
      <c r="I24" s="179">
        <v>11034274078</v>
      </c>
      <c r="J24" s="181">
        <v>194627</v>
      </c>
    </row>
    <row r="25" spans="1:11" s="167" customFormat="1" ht="12.65" customHeight="1" x14ac:dyDescent="0.25">
      <c r="B25"/>
      <c r="C25" s="178">
        <v>5</v>
      </c>
      <c r="D25" s="179">
        <v>8798232055</v>
      </c>
      <c r="E25" s="180">
        <v>175396</v>
      </c>
      <c r="F25" s="180">
        <v>0</v>
      </c>
      <c r="G25" s="181">
        <v>0</v>
      </c>
      <c r="I25" s="179">
        <v>8798232055</v>
      </c>
      <c r="J25" s="181">
        <v>175396</v>
      </c>
    </row>
    <row r="26" spans="1:11" ht="12.65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5" customHeight="1" thickBot="1" x14ac:dyDescent="0.35">
      <c r="D27" s="186">
        <v>59740889865</v>
      </c>
      <c r="E27" s="186">
        <v>1213524</v>
      </c>
      <c r="F27" s="186">
        <v>0</v>
      </c>
      <c r="G27" s="186">
        <v>0</v>
      </c>
      <c r="I27" s="204">
        <v>59740889865</v>
      </c>
      <c r="J27" s="205">
        <v>1213524</v>
      </c>
    </row>
    <row r="29" spans="1:11" x14ac:dyDescent="0.25">
      <c r="A29" s="238"/>
      <c r="B29" s="238"/>
      <c r="C29" s="238"/>
      <c r="D29" s="496"/>
      <c r="E29" s="496"/>
      <c r="F29" s="496"/>
      <c r="G29" s="496"/>
      <c r="H29" s="496"/>
      <c r="I29" s="496"/>
      <c r="J29" s="496"/>
      <c r="K29" s="496"/>
    </row>
    <row r="31" spans="1:11" ht="13" x14ac:dyDescent="0.3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ht="13" x14ac:dyDescent="0.3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ht="13" x14ac:dyDescent="0.3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100" priority="5" operator="notEqual">
      <formula>TRUE</formula>
    </cfRule>
  </conditionalFormatting>
  <conditionalFormatting sqref="D33:G33">
    <cfRule type="cellIs" dxfId="99" priority="4" operator="notEqual">
      <formula>TRUE</formula>
    </cfRule>
  </conditionalFormatting>
  <conditionalFormatting sqref="D35:G35">
    <cfRule type="cellIs" dxfId="98" priority="3" operator="notEqual">
      <formula>TRUE</formula>
    </cfRule>
  </conditionalFormatting>
  <conditionalFormatting sqref="I35:J35">
    <cfRule type="cellIs" dxfId="97" priority="1" operator="not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F965-C917-49F6-90EC-EEF6E0E10FCD}">
  <dimension ref="A1:M69"/>
  <sheetViews>
    <sheetView zoomScaleNormal="100" workbookViewId="0">
      <selection activeCell="G45" sqref="G45"/>
    </sheetView>
  </sheetViews>
  <sheetFormatPr baseColWidth="10" defaultRowHeight="12.5" x14ac:dyDescent="0.25"/>
  <cols>
    <col min="1" max="1" width="2.26953125" customWidth="1"/>
    <col min="2" max="2" width="12.7265625" bestFit="1" customWidth="1"/>
    <col min="3" max="3" width="7.26953125" customWidth="1"/>
    <col min="4" max="4" width="16" style="167" bestFit="1" customWidth="1"/>
    <col min="5" max="5" width="20.453125" style="167" customWidth="1"/>
    <col min="6" max="6" width="16" style="167" bestFit="1" customWidth="1"/>
    <col min="7" max="7" width="20.26953125" style="167" customWidth="1"/>
    <col min="8" max="8" width="3.7265625" style="167" customWidth="1"/>
    <col min="9" max="10" width="26.54296875" style="167" bestFit="1" customWidth="1"/>
    <col min="11" max="13" width="19.7265625" style="167" customWidth="1"/>
  </cols>
  <sheetData>
    <row r="1" spans="2:13" ht="14.65" customHeight="1" thickBot="1" x14ac:dyDescent="0.3"/>
    <row r="2" spans="2:13" s="102" customFormat="1" ht="12.65" customHeight="1" thickBot="1" x14ac:dyDescent="0.35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5"/>
      <c r="K2" s="173"/>
      <c r="L2" s="173"/>
      <c r="M2" s="173"/>
    </row>
    <row r="3" spans="2:13" ht="12.65" customHeight="1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6"/>
    </row>
    <row r="4" spans="2:13" ht="12.65" customHeight="1" x14ac:dyDescent="0.25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6"/>
    </row>
    <row r="5" spans="2:13" ht="12.65" customHeight="1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6"/>
    </row>
    <row r="6" spans="2:13" ht="12.65" customHeight="1" x14ac:dyDescent="0.25">
      <c r="C6" s="178">
        <v>4</v>
      </c>
      <c r="D6" s="179">
        <v>0</v>
      </c>
      <c r="E6" s="180">
        <v>0</v>
      </c>
      <c r="F6" s="180">
        <v>0</v>
      </c>
      <c r="G6" s="181">
        <v>0</v>
      </c>
    </row>
    <row r="7" spans="2:13" ht="12.65" customHeight="1" x14ac:dyDescent="0.25">
      <c r="C7" s="178">
        <v>5</v>
      </c>
      <c r="D7" s="179">
        <v>137371512</v>
      </c>
      <c r="E7" s="180">
        <v>3020</v>
      </c>
      <c r="F7" s="180">
        <v>0</v>
      </c>
      <c r="G7" s="181">
        <v>0</v>
      </c>
    </row>
    <row r="8" spans="2:13" ht="12.65" customHeight="1" thickBot="1" x14ac:dyDescent="0.3">
      <c r="C8" s="182" t="s">
        <v>89</v>
      </c>
      <c r="D8" s="183"/>
      <c r="E8" s="184"/>
      <c r="F8" s="184"/>
      <c r="G8" s="185"/>
    </row>
    <row r="9" spans="2:13" ht="12.65" customHeight="1" thickBot="1" x14ac:dyDescent="0.35">
      <c r="D9" s="186">
        <v>137371512</v>
      </c>
      <c r="E9" s="186">
        <v>3020</v>
      </c>
      <c r="F9" s="186">
        <v>0</v>
      </c>
      <c r="G9" s="186">
        <v>0</v>
      </c>
    </row>
    <row r="10" spans="2:13" ht="12.65" customHeight="1" thickBot="1" x14ac:dyDescent="0.3"/>
    <row r="11" spans="2:13" s="102" customFormat="1" ht="12.65" customHeight="1" thickBot="1" x14ac:dyDescent="0.35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5" customHeight="1" x14ac:dyDescent="0.3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ht="12.65" customHeight="1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ht="12.65" customHeight="1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ht="12.65" customHeight="1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ht="12.65" customHeight="1" x14ac:dyDescent="0.25">
      <c r="C16" s="178">
        <v>5</v>
      </c>
      <c r="D16" s="179">
        <v>1179300</v>
      </c>
      <c r="E16" s="180">
        <v>6</v>
      </c>
      <c r="F16" s="180">
        <v>0</v>
      </c>
      <c r="G16" s="181">
        <v>0</v>
      </c>
    </row>
    <row r="17" spans="1:11" ht="12.65" customHeight="1" thickBot="1" x14ac:dyDescent="0.3">
      <c r="C17" s="182" t="s">
        <v>89</v>
      </c>
      <c r="D17" s="183"/>
      <c r="E17" s="184"/>
      <c r="F17" s="184"/>
      <c r="G17" s="185"/>
    </row>
    <row r="18" spans="1:11" ht="12.65" customHeight="1" thickBot="1" x14ac:dyDescent="0.35">
      <c r="D18" s="186">
        <v>1179300</v>
      </c>
      <c r="E18" s="186">
        <v>6</v>
      </c>
      <c r="F18" s="186">
        <v>0</v>
      </c>
      <c r="G18" s="186">
        <v>0</v>
      </c>
    </row>
    <row r="19" spans="1:11" ht="12.65" customHeight="1" thickBot="1" x14ac:dyDescent="0.3"/>
    <row r="20" spans="1:11" ht="12.65" customHeight="1" thickBot="1" x14ac:dyDescent="0.35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5" customHeight="1" x14ac:dyDescent="0.3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5" customHeight="1" x14ac:dyDescent="0.25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5" customHeigh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5" customHeight="1" x14ac:dyDescent="0.25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5" customHeight="1" x14ac:dyDescent="0.25">
      <c r="B25"/>
      <c r="C25" s="178">
        <v>5</v>
      </c>
      <c r="D25" s="179">
        <v>138550812</v>
      </c>
      <c r="E25" s="180">
        <v>3026</v>
      </c>
      <c r="F25" s="180">
        <v>0</v>
      </c>
      <c r="G25" s="181">
        <v>0</v>
      </c>
      <c r="I25" s="179">
        <v>138550812</v>
      </c>
      <c r="J25" s="181">
        <v>3026</v>
      </c>
    </row>
    <row r="26" spans="1:11" ht="12.65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5" customHeight="1" thickBot="1" x14ac:dyDescent="0.35">
      <c r="D27" s="186">
        <v>138550812</v>
      </c>
      <c r="E27" s="186">
        <v>3026</v>
      </c>
      <c r="F27" s="186">
        <v>0</v>
      </c>
      <c r="G27" s="186">
        <v>0</v>
      </c>
      <c r="I27" s="204">
        <v>138550812</v>
      </c>
      <c r="J27" s="205">
        <v>3026</v>
      </c>
    </row>
    <row r="29" spans="1:11" x14ac:dyDescent="0.25">
      <c r="A29" s="238"/>
      <c r="B29" s="238"/>
      <c r="C29" s="238"/>
      <c r="D29" s="496"/>
      <c r="E29" s="496"/>
      <c r="F29" s="496"/>
      <c r="G29" s="496"/>
      <c r="H29" s="496"/>
      <c r="I29" s="496"/>
      <c r="J29" s="496"/>
      <c r="K29" s="496"/>
    </row>
    <row r="31" spans="1:11" ht="13" x14ac:dyDescent="0.3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ht="13" x14ac:dyDescent="0.3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ht="13" x14ac:dyDescent="0.3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>I27=SUM(I21:I26)</f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6" priority="4" operator="notEqual">
      <formula>TRUE</formula>
    </cfRule>
  </conditionalFormatting>
  <conditionalFormatting sqref="D33:G33">
    <cfRule type="cellIs" dxfId="95" priority="3" operator="notEqual">
      <formula>TRUE</formula>
    </cfRule>
  </conditionalFormatting>
  <conditionalFormatting sqref="D35:G35">
    <cfRule type="cellIs" dxfId="94" priority="2" operator="notEqual">
      <formula>TRUE</formula>
    </cfRule>
  </conditionalFormatting>
  <conditionalFormatting sqref="I35:J35">
    <cfRule type="cellIs" dxfId="93" priority="1" operator="not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workbookViewId="0"/>
  </sheetViews>
  <sheetFormatPr baseColWidth="10" defaultColWidth="11.453125" defaultRowHeight="12.5" x14ac:dyDescent="0.25"/>
  <cols>
    <col min="1" max="1" width="2.26953125" style="213" customWidth="1"/>
    <col min="2" max="2" width="25" style="213" bestFit="1" customWidth="1"/>
    <col min="3" max="3" width="4.7265625" style="213" bestFit="1" customWidth="1"/>
    <col min="4" max="4" width="13.7265625" style="167" bestFit="1" customWidth="1"/>
    <col min="5" max="5" width="19" style="167" bestFit="1" customWidth="1"/>
    <col min="6" max="6" width="13.7265625" style="167" bestFit="1" customWidth="1"/>
    <col min="7" max="7" width="19" style="167" bestFit="1" customWidth="1"/>
    <col min="8" max="8" width="3.7265625" style="167" customWidth="1"/>
    <col min="9" max="9" width="20" style="167" bestFit="1" customWidth="1"/>
    <col min="10" max="10" width="26.54296875" style="167" bestFit="1" customWidth="1"/>
    <col min="11" max="13" width="19.7265625" style="167" customWidth="1"/>
    <col min="14" max="16384" width="11.453125" style="213"/>
  </cols>
  <sheetData>
    <row r="1" spans="2:13" ht="13" thickBot="1" x14ac:dyDescent="0.3"/>
    <row r="2" spans="2:13" s="214" customFormat="1" ht="13.5" thickBot="1" x14ac:dyDescent="0.35">
      <c r="B2" s="214" t="s">
        <v>157</v>
      </c>
      <c r="C2" s="215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173"/>
      <c r="K2" s="173"/>
      <c r="L2" s="173"/>
      <c r="M2" s="173"/>
    </row>
    <row r="3" spans="2:13" x14ac:dyDescent="0.25">
      <c r="C3" s="174">
        <v>1</v>
      </c>
      <c r="D3" s="175">
        <v>0</v>
      </c>
      <c r="E3" s="180">
        <v>0</v>
      </c>
      <c r="F3" s="176">
        <v>0</v>
      </c>
      <c r="G3" s="177">
        <v>0</v>
      </c>
    </row>
    <row r="4" spans="2:13" x14ac:dyDescent="0.25">
      <c r="C4" s="178">
        <v>2</v>
      </c>
      <c r="D4" s="180">
        <v>0</v>
      </c>
      <c r="E4" s="180">
        <v>0</v>
      </c>
      <c r="F4" s="180">
        <v>0</v>
      </c>
      <c r="G4" s="181">
        <v>0</v>
      </c>
    </row>
    <row r="5" spans="2:13" x14ac:dyDescent="0.25">
      <c r="C5" s="178">
        <v>3</v>
      </c>
      <c r="D5" s="180">
        <v>0</v>
      </c>
      <c r="E5" s="180">
        <v>0</v>
      </c>
      <c r="F5" s="180">
        <v>0</v>
      </c>
      <c r="G5" s="181">
        <v>0</v>
      </c>
    </row>
    <row r="6" spans="2:13" ht="13.5" customHeight="1" x14ac:dyDescent="0.25">
      <c r="C6" s="178">
        <v>4</v>
      </c>
      <c r="D6" s="180">
        <v>0</v>
      </c>
      <c r="E6" s="180">
        <v>0</v>
      </c>
      <c r="F6" s="180">
        <v>0</v>
      </c>
      <c r="G6" s="181">
        <v>0</v>
      </c>
    </row>
    <row r="7" spans="2:13" ht="13.5" customHeight="1" x14ac:dyDescent="0.25">
      <c r="C7" s="178">
        <v>5</v>
      </c>
      <c r="D7" s="180">
        <v>0</v>
      </c>
      <c r="E7" s="180">
        <v>0</v>
      </c>
      <c r="F7" s="180">
        <v>0</v>
      </c>
      <c r="G7" s="181">
        <v>0</v>
      </c>
    </row>
    <row r="8" spans="2:13" ht="13" thickBot="1" x14ac:dyDescent="0.3">
      <c r="C8" s="182" t="s">
        <v>89</v>
      </c>
      <c r="D8" s="183"/>
      <c r="E8" s="184"/>
      <c r="F8" s="184"/>
      <c r="G8" s="185"/>
    </row>
    <row r="9" spans="2:13" ht="13.5" thickBot="1" x14ac:dyDescent="0.35">
      <c r="D9" s="186">
        <v>0</v>
      </c>
      <c r="E9" s="186">
        <v>0</v>
      </c>
      <c r="F9" s="186">
        <v>0</v>
      </c>
      <c r="G9" s="186">
        <v>0</v>
      </c>
    </row>
    <row r="10" spans="2:13" ht="13" thickBot="1" x14ac:dyDescent="0.3"/>
    <row r="11" spans="2:13" s="214" customFormat="1" ht="13.5" thickBot="1" x14ac:dyDescent="0.35">
      <c r="C11" s="215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3" x14ac:dyDescent="0.3">
      <c r="B12" s="216" t="s">
        <v>158</v>
      </c>
      <c r="C12" s="174">
        <v>1</v>
      </c>
      <c r="D12" s="175">
        <v>0</v>
      </c>
      <c r="E12" s="180">
        <v>0</v>
      </c>
      <c r="F12" s="176">
        <v>0</v>
      </c>
      <c r="G12" s="177">
        <v>0</v>
      </c>
    </row>
    <row r="13" spans="2:13" x14ac:dyDescent="0.25">
      <c r="C13" s="178">
        <v>2</v>
      </c>
      <c r="D13" s="180">
        <v>0</v>
      </c>
      <c r="E13" s="180">
        <v>0</v>
      </c>
      <c r="F13" s="180">
        <v>0</v>
      </c>
      <c r="G13" s="181">
        <v>0</v>
      </c>
    </row>
    <row r="14" spans="2:13" x14ac:dyDescent="0.25">
      <c r="C14" s="178">
        <v>3</v>
      </c>
      <c r="D14" s="180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80">
        <v>0</v>
      </c>
      <c r="E15" s="180">
        <v>0</v>
      </c>
      <c r="F15" s="180">
        <v>0</v>
      </c>
      <c r="G15" s="181">
        <v>0</v>
      </c>
    </row>
    <row r="16" spans="2:13" x14ac:dyDescent="0.25">
      <c r="C16" s="178">
        <v>5</v>
      </c>
      <c r="D16" s="180">
        <v>0</v>
      </c>
      <c r="E16" s="180">
        <v>0</v>
      </c>
      <c r="F16" s="180">
        <v>0</v>
      </c>
      <c r="G16" s="181">
        <v>0</v>
      </c>
    </row>
    <row r="17" spans="1:13" ht="13" thickBot="1" x14ac:dyDescent="0.3">
      <c r="C17" s="182" t="s">
        <v>89</v>
      </c>
      <c r="D17" s="183"/>
      <c r="E17" s="184"/>
      <c r="F17" s="184"/>
      <c r="G17" s="185"/>
    </row>
    <row r="18" spans="1:13" ht="13.5" thickBot="1" x14ac:dyDescent="0.35">
      <c r="D18" s="186">
        <v>0</v>
      </c>
      <c r="E18" s="186">
        <v>0</v>
      </c>
      <c r="F18" s="186">
        <v>0</v>
      </c>
      <c r="G18" s="186">
        <v>0</v>
      </c>
    </row>
    <row r="19" spans="1:13" ht="13" thickBot="1" x14ac:dyDescent="0.3"/>
    <row r="20" spans="1:13" ht="13.5" thickBot="1" x14ac:dyDescent="0.35">
      <c r="C20" s="215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ht="13" x14ac:dyDescent="0.3">
      <c r="B21" s="21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5">
      <c r="B22" s="213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5">
      <c r="B23" s="21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5">
      <c r="B24" s="213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5">
      <c r="B25" s="213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3" ht="13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3" ht="13.5" thickBot="1" x14ac:dyDescent="0.35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5">
      <c r="A29" s="238"/>
      <c r="B29" s="238"/>
      <c r="C29" s="238"/>
      <c r="D29" s="496"/>
      <c r="E29" s="496"/>
      <c r="F29" s="496"/>
      <c r="G29" s="496"/>
      <c r="H29" s="496"/>
      <c r="I29" s="496"/>
      <c r="J29" s="496"/>
      <c r="K29" s="496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ht="13" x14ac:dyDescent="0.3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ht="13" x14ac:dyDescent="0.3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ht="13" x14ac:dyDescent="0.3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</sheetData>
  <conditionalFormatting sqref="D31:G31">
    <cfRule type="cellIs" dxfId="92" priority="5" operator="notEqual">
      <formula>TRUE</formula>
    </cfRule>
  </conditionalFormatting>
  <conditionalFormatting sqref="D33:G33">
    <cfRule type="cellIs" dxfId="91" priority="4" operator="notEqual">
      <formula>TRUE</formula>
    </cfRule>
  </conditionalFormatting>
  <conditionalFormatting sqref="D35:G35">
    <cfRule type="cellIs" dxfId="90" priority="3" operator="notEqual">
      <formula>TRUE</formula>
    </cfRule>
  </conditionalFormatting>
  <conditionalFormatting sqref="I35:J35">
    <cfRule type="cellIs" dxfId="89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9"/>
  <sheetViews>
    <sheetView zoomScaleNormal="100" workbookViewId="0">
      <selection activeCell="G45" sqref="G45"/>
    </sheetView>
  </sheetViews>
  <sheetFormatPr baseColWidth="10" defaultColWidth="11.453125" defaultRowHeight="12.5" x14ac:dyDescent="0.25"/>
  <cols>
    <col min="1" max="1" width="2.26953125" style="166" customWidth="1"/>
    <col min="2" max="2" width="12.7265625" style="166" bestFit="1" customWidth="1"/>
    <col min="3" max="3" width="7.26953125" style="166" customWidth="1"/>
    <col min="4" max="4" width="15.26953125" style="167" customWidth="1"/>
    <col min="5" max="5" width="20.453125" style="167" customWidth="1"/>
    <col min="6" max="6" width="15.26953125" style="167" customWidth="1"/>
    <col min="7" max="7" width="20.26953125" style="167" customWidth="1"/>
    <col min="8" max="8" width="3.7265625" style="167" customWidth="1"/>
    <col min="9" max="10" width="26.54296875" style="167" bestFit="1" customWidth="1"/>
    <col min="11" max="13" width="19.7265625" style="167" customWidth="1"/>
    <col min="14" max="16384" width="11.453125" style="166"/>
  </cols>
  <sheetData>
    <row r="1" spans="2:13" ht="13" thickBot="1" x14ac:dyDescent="0.3"/>
    <row r="2" spans="2:13" s="168" customFormat="1" ht="13.5" thickBot="1" x14ac:dyDescent="0.35">
      <c r="B2" s="168" t="s">
        <v>132</v>
      </c>
      <c r="C2" s="169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5"/>
      <c r="K2" s="173"/>
      <c r="L2" s="173"/>
      <c r="M2" s="173"/>
    </row>
    <row r="3" spans="2:13" x14ac:dyDescent="0.25">
      <c r="C3" s="174">
        <v>1</v>
      </c>
      <c r="D3" s="279">
        <v>510782327</v>
      </c>
      <c r="E3" s="176">
        <v>2083</v>
      </c>
      <c r="F3" s="176">
        <v>0</v>
      </c>
      <c r="G3" s="177">
        <v>0</v>
      </c>
      <c r="J3" s="726"/>
    </row>
    <row r="4" spans="2:13" x14ac:dyDescent="0.25">
      <c r="C4" s="178">
        <v>2</v>
      </c>
      <c r="D4" s="280">
        <v>1360190364</v>
      </c>
      <c r="E4" s="180">
        <v>4795</v>
      </c>
      <c r="F4" s="180">
        <v>0</v>
      </c>
      <c r="G4" s="181">
        <v>0</v>
      </c>
      <c r="J4" s="726"/>
    </row>
    <row r="5" spans="2:13" x14ac:dyDescent="0.25">
      <c r="C5" s="178">
        <v>3</v>
      </c>
      <c r="D5" s="280">
        <v>650826874</v>
      </c>
      <c r="E5" s="180">
        <v>1469</v>
      </c>
      <c r="F5" s="180">
        <v>0</v>
      </c>
      <c r="G5" s="181">
        <v>0</v>
      </c>
      <c r="J5" s="726"/>
    </row>
    <row r="6" spans="2:13" x14ac:dyDescent="0.25">
      <c r="C6" s="178">
        <v>4</v>
      </c>
      <c r="D6" s="280">
        <v>515587332</v>
      </c>
      <c r="E6" s="180">
        <v>3012</v>
      </c>
      <c r="F6" s="180">
        <v>0</v>
      </c>
      <c r="G6" s="181">
        <v>0</v>
      </c>
    </row>
    <row r="7" spans="2:13" x14ac:dyDescent="0.25">
      <c r="C7" s="178">
        <v>5</v>
      </c>
      <c r="D7" s="280">
        <v>224557157</v>
      </c>
      <c r="E7" s="180">
        <v>1221</v>
      </c>
      <c r="F7" s="180">
        <v>0</v>
      </c>
      <c r="G7" s="181">
        <v>0</v>
      </c>
    </row>
    <row r="8" spans="2:13" ht="13" thickBot="1" x14ac:dyDescent="0.3">
      <c r="C8" s="182" t="s">
        <v>89</v>
      </c>
      <c r="D8" s="281">
        <v>0</v>
      </c>
      <c r="E8" s="184">
        <v>0</v>
      </c>
      <c r="F8" s="184">
        <v>0</v>
      </c>
      <c r="G8" s="185">
        <v>0</v>
      </c>
    </row>
    <row r="9" spans="2:13" ht="13.5" thickBot="1" x14ac:dyDescent="0.35">
      <c r="D9" s="186">
        <v>3261944054</v>
      </c>
      <c r="E9" s="186">
        <v>12580</v>
      </c>
      <c r="F9" s="186">
        <v>0</v>
      </c>
      <c r="G9" s="186">
        <v>0</v>
      </c>
    </row>
    <row r="10" spans="2:13" ht="13" thickBot="1" x14ac:dyDescent="0.3">
      <c r="D10" s="282"/>
    </row>
    <row r="11" spans="2:13" s="168" customFormat="1" ht="13.5" thickBot="1" x14ac:dyDescent="0.35">
      <c r="C11" s="169" t="s">
        <v>3</v>
      </c>
      <c r="D11" s="169" t="s">
        <v>136</v>
      </c>
      <c r="E11" s="187" t="s">
        <v>137</v>
      </c>
      <c r="F11" s="187" t="s">
        <v>138</v>
      </c>
      <c r="G11" s="188" t="s">
        <v>139</v>
      </c>
      <c r="H11" s="173"/>
      <c r="I11" s="173"/>
      <c r="J11" s="173"/>
      <c r="K11" s="173"/>
      <c r="L11" s="173"/>
      <c r="M11" s="173"/>
    </row>
    <row r="12" spans="2:13" ht="13" x14ac:dyDescent="0.3">
      <c r="B12" s="189" t="s">
        <v>140</v>
      </c>
      <c r="C12" s="190">
        <v>1</v>
      </c>
      <c r="D12" s="283">
        <v>23795111</v>
      </c>
      <c r="E12" s="191">
        <v>50</v>
      </c>
      <c r="F12" s="191">
        <v>0</v>
      </c>
      <c r="G12" s="192">
        <v>0</v>
      </c>
    </row>
    <row r="13" spans="2:13" x14ac:dyDescent="0.25">
      <c r="C13" s="193">
        <v>2</v>
      </c>
      <c r="D13" s="280">
        <v>62759499</v>
      </c>
      <c r="E13" s="180">
        <v>134</v>
      </c>
      <c r="F13" s="180">
        <v>0</v>
      </c>
      <c r="G13" s="181">
        <v>0</v>
      </c>
    </row>
    <row r="14" spans="2:13" x14ac:dyDescent="0.25">
      <c r="C14" s="193">
        <v>3</v>
      </c>
      <c r="D14" s="280">
        <v>48196023</v>
      </c>
      <c r="E14" s="180">
        <v>55</v>
      </c>
      <c r="F14" s="180">
        <v>0</v>
      </c>
      <c r="G14" s="181">
        <v>0</v>
      </c>
    </row>
    <row r="15" spans="2:13" x14ac:dyDescent="0.25">
      <c r="C15" s="193">
        <v>4</v>
      </c>
      <c r="D15" s="280">
        <v>5014320</v>
      </c>
      <c r="E15" s="180">
        <v>32</v>
      </c>
      <c r="F15" s="180">
        <v>0</v>
      </c>
      <c r="G15" s="181">
        <v>0</v>
      </c>
    </row>
    <row r="16" spans="2:13" x14ac:dyDescent="0.25">
      <c r="C16" s="193">
        <v>5</v>
      </c>
      <c r="D16" s="280">
        <v>14004529</v>
      </c>
      <c r="E16" s="180">
        <v>30</v>
      </c>
      <c r="F16" s="180">
        <v>0</v>
      </c>
      <c r="G16" s="181">
        <v>0</v>
      </c>
    </row>
    <row r="17" spans="1:13" ht="13" thickBot="1" x14ac:dyDescent="0.3">
      <c r="C17" s="194" t="s">
        <v>89</v>
      </c>
      <c r="D17" s="195">
        <v>0</v>
      </c>
      <c r="E17" s="196">
        <v>0</v>
      </c>
      <c r="F17" s="196">
        <v>0</v>
      </c>
      <c r="G17" s="197">
        <v>0</v>
      </c>
    </row>
    <row r="18" spans="1:13" ht="13.5" thickBot="1" x14ac:dyDescent="0.35">
      <c r="D18" s="198">
        <v>153769482</v>
      </c>
      <c r="E18" s="198">
        <v>301</v>
      </c>
      <c r="F18" s="198">
        <v>0</v>
      </c>
      <c r="G18" s="198">
        <v>0</v>
      </c>
    </row>
    <row r="19" spans="1:13" ht="13" thickBot="1" x14ac:dyDescent="0.3"/>
    <row r="20" spans="1:13" ht="13.5" thickBot="1" x14ac:dyDescent="0.35">
      <c r="C20" s="169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ht="13" x14ac:dyDescent="0.3">
      <c r="B21" s="201" t="s">
        <v>2</v>
      </c>
      <c r="C21" s="174">
        <v>1</v>
      </c>
      <c r="D21" s="279">
        <v>534577438</v>
      </c>
      <c r="E21" s="284">
        <v>2133</v>
      </c>
      <c r="F21" s="176">
        <v>0</v>
      </c>
      <c r="G21" s="177">
        <v>0</v>
      </c>
      <c r="I21" s="175">
        <v>534577438</v>
      </c>
      <c r="J21" s="177">
        <v>2133</v>
      </c>
    </row>
    <row r="22" spans="1:13" s="167" customFormat="1" x14ac:dyDescent="0.25">
      <c r="B22" s="166"/>
      <c r="C22" s="178">
        <v>2</v>
      </c>
      <c r="D22" s="280">
        <v>1422949863</v>
      </c>
      <c r="E22" s="285">
        <v>4929</v>
      </c>
      <c r="F22" s="180">
        <v>0</v>
      </c>
      <c r="G22" s="181">
        <v>0</v>
      </c>
      <c r="I22" s="179">
        <v>1422949863</v>
      </c>
      <c r="J22" s="181">
        <v>4929</v>
      </c>
    </row>
    <row r="23" spans="1:13" s="167" customFormat="1" x14ac:dyDescent="0.25">
      <c r="B23" s="166"/>
      <c r="C23" s="178">
        <v>3</v>
      </c>
      <c r="D23" s="280">
        <v>699022897</v>
      </c>
      <c r="E23" s="285">
        <v>1524</v>
      </c>
      <c r="F23" s="180">
        <v>0</v>
      </c>
      <c r="G23" s="181">
        <v>0</v>
      </c>
      <c r="I23" s="179">
        <v>699022897</v>
      </c>
      <c r="J23" s="181">
        <v>1524</v>
      </c>
    </row>
    <row r="24" spans="1:13" s="167" customFormat="1" x14ac:dyDescent="0.25">
      <c r="B24" s="166"/>
      <c r="C24" s="178">
        <v>4</v>
      </c>
      <c r="D24" s="280">
        <v>520601652</v>
      </c>
      <c r="E24" s="285">
        <v>3044</v>
      </c>
      <c r="F24" s="180">
        <v>0</v>
      </c>
      <c r="G24" s="181">
        <v>0</v>
      </c>
      <c r="I24" s="179">
        <v>520601652</v>
      </c>
      <c r="J24" s="181">
        <v>3044</v>
      </c>
    </row>
    <row r="25" spans="1:13" s="167" customFormat="1" x14ac:dyDescent="0.25">
      <c r="B25" s="166"/>
      <c r="C25" s="178">
        <v>5</v>
      </c>
      <c r="D25" s="280">
        <v>238561686</v>
      </c>
      <c r="E25" s="285">
        <v>1251</v>
      </c>
      <c r="F25" s="180">
        <v>0</v>
      </c>
      <c r="G25" s="181">
        <v>0</v>
      </c>
      <c r="I25" s="179">
        <v>238561686</v>
      </c>
      <c r="J25" s="181">
        <v>1251</v>
      </c>
    </row>
    <row r="26" spans="1:13" ht="13" thickBot="1" x14ac:dyDescent="0.3">
      <c r="C26" s="286" t="s">
        <v>89</v>
      </c>
      <c r="D26" s="287">
        <v>0</v>
      </c>
      <c r="E26" s="285">
        <v>0</v>
      </c>
      <c r="F26" s="180">
        <v>0</v>
      </c>
      <c r="G26" s="181">
        <v>0</v>
      </c>
      <c r="I26" s="202">
        <v>0</v>
      </c>
      <c r="J26" s="203">
        <v>0</v>
      </c>
    </row>
    <row r="27" spans="1:13" ht="13.5" thickBot="1" x14ac:dyDescent="0.35">
      <c r="D27" s="186">
        <v>3415713536</v>
      </c>
      <c r="E27" s="186">
        <v>12881</v>
      </c>
      <c r="F27" s="186">
        <v>0</v>
      </c>
      <c r="G27" s="186">
        <v>0</v>
      </c>
      <c r="I27" s="204">
        <v>3415713536</v>
      </c>
      <c r="J27" s="205">
        <v>12881</v>
      </c>
    </row>
    <row r="29" spans="1:13" customFormat="1" x14ac:dyDescent="0.25">
      <c r="A29" s="238"/>
      <c r="B29" s="238"/>
      <c r="C29" s="238"/>
      <c r="D29" s="496"/>
      <c r="E29" s="496"/>
      <c r="F29" s="496"/>
      <c r="G29" s="496"/>
      <c r="H29" s="496"/>
      <c r="I29" s="496"/>
      <c r="J29" s="496"/>
      <c r="K29" s="496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ht="13" x14ac:dyDescent="0.3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ht="13" x14ac:dyDescent="0.3">
      <c r="B33" s="97" t="s">
        <v>140</v>
      </c>
      <c r="D33" s="167" t="b">
        <f>D18=SUM(D12:D17)</f>
        <v>1</v>
      </c>
      <c r="E33" s="167" t="b">
        <f t="shared" ref="E33:F33" si="1">E18=SUM(E12:E17)</f>
        <v>1</v>
      </c>
      <c r="F33" s="167" t="b">
        <f t="shared" si="1"/>
        <v>1</v>
      </c>
      <c r="G33" s="167" t="b">
        <f>G18=SUM(G12:G17)</f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ht="13" x14ac:dyDescent="0.3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  <row r="69" spans="5:5" x14ac:dyDescent="0.25">
      <c r="E69" s="167">
        <f>C69-G17</f>
        <v>0</v>
      </c>
    </row>
  </sheetData>
  <conditionalFormatting sqref="D31:G31">
    <cfRule type="cellIs" dxfId="88" priority="5" operator="notEqual">
      <formula>TRUE</formula>
    </cfRule>
  </conditionalFormatting>
  <conditionalFormatting sqref="D33:G33">
    <cfRule type="cellIs" dxfId="87" priority="4" operator="notEqual">
      <formula>TRUE</formula>
    </cfRule>
  </conditionalFormatting>
  <conditionalFormatting sqref="D35:G35">
    <cfRule type="cellIs" dxfId="86" priority="3" operator="notEqual">
      <formula>TRUE</formula>
    </cfRule>
  </conditionalFormatting>
  <conditionalFormatting sqref="I35:J35">
    <cfRule type="cellIs" dxfId="85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1"/>
  <sheetViews>
    <sheetView zoomScale="90" zoomScaleNormal="90" workbookViewId="0">
      <selection activeCell="G45" sqref="G45"/>
    </sheetView>
  </sheetViews>
  <sheetFormatPr baseColWidth="10" defaultRowHeight="12.5" x14ac:dyDescent="0.25"/>
  <cols>
    <col min="1" max="1" width="6" customWidth="1"/>
    <col min="2" max="2" width="47.7265625" bestFit="1" customWidth="1"/>
    <col min="3" max="9" width="22.7265625" customWidth="1"/>
    <col min="10" max="10" width="17.7265625" customWidth="1"/>
  </cols>
  <sheetData>
    <row r="1" spans="1:10" ht="13" x14ac:dyDescent="0.25">
      <c r="C1" s="248" t="s">
        <v>155</v>
      </c>
      <c r="D1" s="248" t="s">
        <v>76</v>
      </c>
      <c r="E1" s="248" t="s">
        <v>85</v>
      </c>
      <c r="F1" s="248" t="s">
        <v>120</v>
      </c>
      <c r="G1" s="248" t="s">
        <v>324</v>
      </c>
      <c r="H1" s="248" t="s">
        <v>119</v>
      </c>
      <c r="I1" s="248" t="s">
        <v>70</v>
      </c>
    </row>
    <row r="2" spans="1:10" ht="13" x14ac:dyDescent="0.3">
      <c r="B2" t="s">
        <v>97</v>
      </c>
      <c r="C2" s="249">
        <f>C13+C23+C32+C41+C51</f>
        <v>59646927181</v>
      </c>
      <c r="D2" s="249">
        <f t="shared" ref="D2:F2" si="0">D13+D23+D32+D41+D51</f>
        <v>0</v>
      </c>
      <c r="E2" s="249">
        <f t="shared" si="0"/>
        <v>0</v>
      </c>
      <c r="F2" s="249">
        <f t="shared" si="0"/>
        <v>5603210</v>
      </c>
      <c r="G2" s="249">
        <f>G13+G23+G32+G41+G51</f>
        <v>137170902</v>
      </c>
      <c r="H2" s="249">
        <f>H13+H23+H32+H41+H51</f>
        <v>3250701927.2400002</v>
      </c>
      <c r="I2" s="250">
        <f>SUM(C2:H2)</f>
        <v>63040403220.239998</v>
      </c>
    </row>
    <row r="3" spans="1:10" ht="13" x14ac:dyDescent="0.3">
      <c r="B3" t="s">
        <v>98</v>
      </c>
      <c r="C3" s="249">
        <f>C14+C24+C33+C42+C52</f>
        <v>95923744</v>
      </c>
      <c r="D3" s="249">
        <f t="shared" ref="D3:H5" si="1">D14+D24+D33+D42+D52</f>
        <v>0</v>
      </c>
      <c r="E3" s="249">
        <f t="shared" si="1"/>
        <v>0</v>
      </c>
      <c r="F3" s="249">
        <f t="shared" si="1"/>
        <v>13407230</v>
      </c>
      <c r="G3" s="249">
        <f>G14+G24+G33+G42+G52</f>
        <v>1379910</v>
      </c>
      <c r="H3" s="249">
        <f t="shared" si="1"/>
        <v>75193897.960000008</v>
      </c>
      <c r="I3" s="250">
        <f>SUM(C3:H3)</f>
        <v>185904781.96000001</v>
      </c>
      <c r="J3" s="252" t="s">
        <v>1</v>
      </c>
    </row>
    <row r="4" spans="1:10" ht="13" x14ac:dyDescent="0.3">
      <c r="B4" t="s">
        <v>131</v>
      </c>
      <c r="C4" s="249">
        <f>C15+C25+C34+C43+C53</f>
        <v>0</v>
      </c>
      <c r="D4" s="249">
        <f t="shared" si="1"/>
        <v>0</v>
      </c>
      <c r="E4" s="249">
        <f t="shared" si="1"/>
        <v>0</v>
      </c>
      <c r="F4" s="249">
        <f t="shared" si="1"/>
        <v>0</v>
      </c>
      <c r="G4" s="249">
        <f t="shared" ref="G4" si="2">G15+G25+G34+G43+G53</f>
        <v>0</v>
      </c>
      <c r="H4" s="249">
        <f t="shared" si="1"/>
        <v>89817710.799999997</v>
      </c>
      <c r="I4" s="250">
        <f>SUM(C4:H4)</f>
        <v>89817710.799999997</v>
      </c>
    </row>
    <row r="5" spans="1:10" ht="13" x14ac:dyDescent="0.3">
      <c r="B5" t="s">
        <v>168</v>
      </c>
      <c r="C5" s="249">
        <f>C16+C26+C35+C44+C54</f>
        <v>0</v>
      </c>
      <c r="D5" s="249">
        <f t="shared" si="1"/>
        <v>0</v>
      </c>
      <c r="E5" s="249">
        <f t="shared" si="1"/>
        <v>0</v>
      </c>
      <c r="F5" s="249">
        <f t="shared" si="1"/>
        <v>0</v>
      </c>
      <c r="G5" s="249">
        <f t="shared" ref="G5" si="3">G16+G26+G35+G44+G54</f>
        <v>0</v>
      </c>
      <c r="H5" s="249">
        <f t="shared" si="1"/>
        <v>0</v>
      </c>
      <c r="I5" s="250">
        <f>SUM(C5:H5)</f>
        <v>0</v>
      </c>
    </row>
    <row r="6" spans="1:10" ht="13" x14ac:dyDescent="0.3">
      <c r="B6" t="s">
        <v>70</v>
      </c>
      <c r="C6" s="250">
        <f>SUM(C2:C5)</f>
        <v>59742850925</v>
      </c>
      <c r="D6" s="250">
        <f t="shared" ref="D6:H6" si="4">SUM(D2:D5)</f>
        <v>0</v>
      </c>
      <c r="E6" s="250">
        <f t="shared" si="4"/>
        <v>0</v>
      </c>
      <c r="F6" s="250">
        <f t="shared" si="4"/>
        <v>19010440</v>
      </c>
      <c r="G6" s="250">
        <f>SUM(G2:G5)</f>
        <v>138550812</v>
      </c>
      <c r="H6" s="250">
        <f t="shared" si="4"/>
        <v>3415713536.0000005</v>
      </c>
      <c r="I6" s="250">
        <f>SUM(I2:I5)</f>
        <v>63316125713</v>
      </c>
    </row>
    <row r="7" spans="1:10" x14ac:dyDescent="0.25">
      <c r="C7" s="251" t="b">
        <f>C6=(C17+C27+C36+C45+C55)</f>
        <v>1</v>
      </c>
      <c r="D7" s="251" t="b">
        <f t="shared" ref="D7:H7" si="5">D6=(D17+D27+D36+D45+D55)</f>
        <v>1</v>
      </c>
      <c r="E7" s="251" t="b">
        <f t="shared" si="5"/>
        <v>1</v>
      </c>
      <c r="F7" s="251" t="b">
        <f t="shared" si="5"/>
        <v>1</v>
      </c>
      <c r="G7" s="251"/>
      <c r="H7" s="251" t="b">
        <f t="shared" si="5"/>
        <v>1</v>
      </c>
      <c r="I7" s="251" t="b">
        <f>I6=(I17+I27+I36+I45+I55)</f>
        <v>1</v>
      </c>
    </row>
    <row r="8" spans="1:10" x14ac:dyDescent="0.25">
      <c r="A8" s="238"/>
      <c r="B8" s="238"/>
      <c r="C8" s="238"/>
      <c r="D8" s="238"/>
      <c r="E8" s="238"/>
      <c r="F8" s="238"/>
      <c r="G8" s="238"/>
      <c r="H8" s="238"/>
      <c r="I8" s="238"/>
      <c r="J8" s="238"/>
    </row>
    <row r="10" spans="1:10" ht="13" x14ac:dyDescent="0.3">
      <c r="B10" s="97" t="s">
        <v>99</v>
      </c>
      <c r="H10" s="212"/>
    </row>
    <row r="11" spans="1:10" x14ac:dyDescent="0.25">
      <c r="B11" s="114" t="s">
        <v>96</v>
      </c>
    </row>
    <row r="12" spans="1:10" x14ac:dyDescent="0.25">
      <c r="C12" s="89" t="s">
        <v>155</v>
      </c>
      <c r="D12" s="89" t="s">
        <v>76</v>
      </c>
      <c r="E12" s="89" t="s">
        <v>85</v>
      </c>
      <c r="F12" s="89" t="s">
        <v>120</v>
      </c>
      <c r="G12" s="89" t="s">
        <v>324</v>
      </c>
      <c r="H12" s="89" t="s">
        <v>119</v>
      </c>
      <c r="I12" s="89" t="s">
        <v>70</v>
      </c>
    </row>
    <row r="13" spans="1:10" x14ac:dyDescent="0.25">
      <c r="B13" t="s">
        <v>97</v>
      </c>
      <c r="C13" s="244">
        <v>16922955923</v>
      </c>
      <c r="D13" s="244"/>
      <c r="E13" s="244"/>
      <c r="F13" s="244"/>
      <c r="G13" s="244"/>
      <c r="H13" s="244">
        <v>521287159.45999998</v>
      </c>
      <c r="I13" s="246">
        <f>SUM(C13:H13)</f>
        <v>17444243082.459999</v>
      </c>
      <c r="J13" s="251" t="b">
        <f>SUM(C13:H13)=I13</f>
        <v>1</v>
      </c>
    </row>
    <row r="14" spans="1:10" x14ac:dyDescent="0.25">
      <c r="B14" s="89" t="s">
        <v>98</v>
      </c>
      <c r="C14" s="244">
        <v>25429155</v>
      </c>
      <c r="D14" s="244"/>
      <c r="E14" s="244"/>
      <c r="F14" s="244"/>
      <c r="G14" s="244"/>
      <c r="H14" s="244">
        <v>7990275.4900000002</v>
      </c>
      <c r="I14" s="246">
        <f t="shared" ref="I14:I16" si="6">SUM(C14:H14)</f>
        <v>33419430.490000002</v>
      </c>
      <c r="J14" s="251" t="b">
        <f t="shared" ref="J14:J17" si="7">SUM(C14:H14)=I14</f>
        <v>1</v>
      </c>
    </row>
    <row r="15" spans="1:10" x14ac:dyDescent="0.25">
      <c r="B15" t="s">
        <v>131</v>
      </c>
      <c r="C15" s="244">
        <v>0</v>
      </c>
      <c r="D15" s="244"/>
      <c r="E15" s="244"/>
      <c r="F15" s="244"/>
      <c r="G15" s="244"/>
      <c r="H15" s="244">
        <v>5300003.05</v>
      </c>
      <c r="I15" s="246">
        <f t="shared" si="6"/>
        <v>5300003.05</v>
      </c>
      <c r="J15" s="251" t="b">
        <f t="shared" si="7"/>
        <v>1</v>
      </c>
    </row>
    <row r="16" spans="1:10" x14ac:dyDescent="0.25">
      <c r="B16" t="s">
        <v>168</v>
      </c>
      <c r="C16" s="244">
        <v>0</v>
      </c>
      <c r="D16" s="244"/>
      <c r="E16" s="244"/>
      <c r="F16" s="244"/>
      <c r="G16" s="244"/>
      <c r="H16" s="244"/>
      <c r="I16" s="246">
        <f t="shared" si="6"/>
        <v>0</v>
      </c>
      <c r="J16" s="251" t="b">
        <f t="shared" si="7"/>
        <v>1</v>
      </c>
    </row>
    <row r="17" spans="2:11" x14ac:dyDescent="0.25">
      <c r="B17" s="89" t="s">
        <v>70</v>
      </c>
      <c r="C17" s="244">
        <f>SUM(C13:C16)</f>
        <v>16948385078</v>
      </c>
      <c r="D17" s="244">
        <f t="shared" ref="D17:F17" si="8">SUM(D13:D16)</f>
        <v>0</v>
      </c>
      <c r="E17" s="244">
        <f t="shared" si="8"/>
        <v>0</v>
      </c>
      <c r="F17" s="244">
        <f t="shared" si="8"/>
        <v>0</v>
      </c>
      <c r="G17" s="244">
        <f>SUM(G13:G16)</f>
        <v>0</v>
      </c>
      <c r="H17" s="244">
        <f>SUM(H13:H16)</f>
        <v>534577438</v>
      </c>
      <c r="I17" s="247">
        <f>SUM(I13:I16)</f>
        <v>17482962516</v>
      </c>
      <c r="J17" s="251" t="b">
        <f t="shared" si="7"/>
        <v>1</v>
      </c>
      <c r="K17" s="122"/>
    </row>
    <row r="18" spans="2:11" x14ac:dyDescent="0.25">
      <c r="B18" s="89"/>
      <c r="C18" s="113"/>
      <c r="D18" s="113"/>
      <c r="E18" s="113"/>
      <c r="F18" s="113"/>
      <c r="G18" s="113"/>
      <c r="H18" s="113"/>
      <c r="I18" s="113"/>
    </row>
    <row r="19" spans="2:11" x14ac:dyDescent="0.25">
      <c r="C19" s="143"/>
      <c r="D19" s="212"/>
      <c r="I19" s="212"/>
    </row>
    <row r="20" spans="2:11" x14ac:dyDescent="0.25">
      <c r="B20" t="s">
        <v>100</v>
      </c>
    </row>
    <row r="21" spans="2:11" x14ac:dyDescent="0.25">
      <c r="B21" s="114" t="s">
        <v>96</v>
      </c>
    </row>
    <row r="22" spans="2:11" x14ac:dyDescent="0.25">
      <c r="C22" s="89" t="s">
        <v>155</v>
      </c>
      <c r="D22" s="89" t="s">
        <v>76</v>
      </c>
      <c r="E22" s="89" t="s">
        <v>85</v>
      </c>
      <c r="F22" s="89" t="s">
        <v>120</v>
      </c>
      <c r="G22" s="89" t="s">
        <v>324</v>
      </c>
      <c r="H22" s="89" t="s">
        <v>119</v>
      </c>
      <c r="I22" t="s">
        <v>70</v>
      </c>
    </row>
    <row r="23" spans="2:11" x14ac:dyDescent="0.25">
      <c r="B23" t="s">
        <v>97</v>
      </c>
      <c r="C23" s="244">
        <v>12724393063</v>
      </c>
      <c r="D23" s="244"/>
      <c r="E23" s="244">
        <v>0</v>
      </c>
      <c r="F23" s="244">
        <v>3445900</v>
      </c>
      <c r="G23" s="244"/>
      <c r="H23" s="244">
        <v>1361674149.6199999</v>
      </c>
      <c r="I23" s="246">
        <f>SUM(C23:H23)</f>
        <v>14089513112.619999</v>
      </c>
      <c r="J23" s="251" t="b">
        <f t="shared" ref="J23:J26" si="9">SUM(C23:H23)=I23</f>
        <v>1</v>
      </c>
    </row>
    <row r="24" spans="2:11" x14ac:dyDescent="0.25">
      <c r="B24" s="89" t="s">
        <v>98</v>
      </c>
      <c r="C24" s="244">
        <v>27050219</v>
      </c>
      <c r="D24" s="244"/>
      <c r="E24" s="244">
        <v>0</v>
      </c>
      <c r="F24" s="244">
        <v>8181830</v>
      </c>
      <c r="G24" s="244"/>
      <c r="H24" s="244">
        <v>52788864.75</v>
      </c>
      <c r="I24" s="246">
        <f t="shared" ref="I24:I26" si="10">SUM(C24:H24)</f>
        <v>88020913.75</v>
      </c>
      <c r="J24" s="251" t="b">
        <f t="shared" si="9"/>
        <v>1</v>
      </c>
    </row>
    <row r="25" spans="2:11" x14ac:dyDescent="0.25">
      <c r="B25" s="89" t="s">
        <v>131</v>
      </c>
      <c r="C25" s="244">
        <v>0</v>
      </c>
      <c r="D25" s="244"/>
      <c r="E25" s="244">
        <v>0</v>
      </c>
      <c r="F25" s="244">
        <v>0</v>
      </c>
      <c r="G25" s="244"/>
      <c r="H25" s="244">
        <v>8486848.6300000008</v>
      </c>
      <c r="I25" s="246">
        <f t="shared" si="10"/>
        <v>8486848.6300000008</v>
      </c>
      <c r="J25" s="251" t="b">
        <f t="shared" si="9"/>
        <v>1</v>
      </c>
    </row>
    <row r="26" spans="2:11" x14ac:dyDescent="0.25">
      <c r="B26" s="89" t="s">
        <v>168</v>
      </c>
      <c r="C26" s="244"/>
      <c r="D26" s="244"/>
      <c r="E26" s="244"/>
      <c r="F26" s="244">
        <v>0</v>
      </c>
      <c r="G26" s="244"/>
      <c r="H26" s="244">
        <v>0</v>
      </c>
      <c r="I26" s="246">
        <f t="shared" si="10"/>
        <v>0</v>
      </c>
      <c r="J26" s="251" t="b">
        <f t="shared" si="9"/>
        <v>1</v>
      </c>
    </row>
    <row r="27" spans="2:11" x14ac:dyDescent="0.25">
      <c r="B27" s="89" t="s">
        <v>70</v>
      </c>
      <c r="C27" s="244">
        <f>SUM(C23:C26)</f>
        <v>12751443282</v>
      </c>
      <c r="D27" s="244">
        <f t="shared" ref="D27:E27" si="11">SUM(D23:D26)</f>
        <v>0</v>
      </c>
      <c r="E27" s="244">
        <f t="shared" si="11"/>
        <v>0</v>
      </c>
      <c r="F27" s="244">
        <f>SUM(F23:F26)</f>
        <v>11627730</v>
      </c>
      <c r="G27" s="244">
        <f>SUM(G23:G26)</f>
        <v>0</v>
      </c>
      <c r="H27" s="244">
        <f>SUM(H23:H26)</f>
        <v>1422949863</v>
      </c>
      <c r="I27" s="247">
        <f>SUM(I23:I26)</f>
        <v>14186020874.999998</v>
      </c>
      <c r="J27" s="251" t="b">
        <f>SUM(C27:H27)=I27</f>
        <v>1</v>
      </c>
    </row>
    <row r="29" spans="2:11" x14ac:dyDescent="0.25">
      <c r="B29" t="s">
        <v>101</v>
      </c>
      <c r="H29" s="212"/>
      <c r="I29" s="212"/>
    </row>
    <row r="30" spans="2:11" x14ac:dyDescent="0.25">
      <c r="B30" s="114" t="s">
        <v>96</v>
      </c>
    </row>
    <row r="31" spans="2:11" x14ac:dyDescent="0.25">
      <c r="C31" s="89" t="s">
        <v>155</v>
      </c>
      <c r="D31" s="89" t="s">
        <v>76</v>
      </c>
      <c r="E31" s="89" t="s">
        <v>85</v>
      </c>
      <c r="F31" s="89" t="s">
        <v>120</v>
      </c>
      <c r="G31" s="89" t="s">
        <v>324</v>
      </c>
      <c r="H31" s="89" t="s">
        <v>119</v>
      </c>
      <c r="I31" t="s">
        <v>70</v>
      </c>
    </row>
    <row r="32" spans="2:11" x14ac:dyDescent="0.25">
      <c r="B32" s="89" t="s">
        <v>97</v>
      </c>
      <c r="C32" s="244">
        <v>10203127061</v>
      </c>
      <c r="D32" s="244"/>
      <c r="E32" s="244"/>
      <c r="F32" s="244">
        <v>0</v>
      </c>
      <c r="G32" s="244"/>
      <c r="H32" s="244">
        <v>693485018.07000005</v>
      </c>
      <c r="I32" s="246">
        <f>SUM(C32:H32)</f>
        <v>10896612079.07</v>
      </c>
      <c r="J32" s="251" t="b">
        <f>SUM(C32:H32)=I32</f>
        <v>1</v>
      </c>
    </row>
    <row r="33" spans="2:10" x14ac:dyDescent="0.25">
      <c r="B33" s="89" t="s">
        <v>98</v>
      </c>
      <c r="C33" s="244">
        <v>6025131</v>
      </c>
      <c r="D33" s="244"/>
      <c r="E33" s="244"/>
      <c r="F33" s="244">
        <v>0</v>
      </c>
      <c r="G33" s="244"/>
      <c r="H33" s="244">
        <v>2921040</v>
      </c>
      <c r="I33" s="246">
        <f>SUM(C33:H33)</f>
        <v>8946171</v>
      </c>
      <c r="J33" s="251" t="b">
        <f t="shared" ref="J33:J36" si="12">SUM(C33:H33)=I33</f>
        <v>1</v>
      </c>
    </row>
    <row r="34" spans="2:10" x14ac:dyDescent="0.25">
      <c r="B34" s="89" t="s">
        <v>131</v>
      </c>
      <c r="C34" s="244">
        <v>0</v>
      </c>
      <c r="D34" s="244"/>
      <c r="E34" s="244"/>
      <c r="F34" s="244">
        <v>0</v>
      </c>
      <c r="G34" s="244"/>
      <c r="H34" s="244">
        <v>2616838.9300000002</v>
      </c>
      <c r="I34" s="246">
        <f>SUM(C34:H34)</f>
        <v>2616838.9300000002</v>
      </c>
      <c r="J34" s="251" t="b">
        <f t="shared" si="12"/>
        <v>1</v>
      </c>
    </row>
    <row r="35" spans="2:10" x14ac:dyDescent="0.25">
      <c r="B35" s="89" t="s">
        <v>168</v>
      </c>
      <c r="C35" s="244">
        <v>0</v>
      </c>
      <c r="D35" s="244"/>
      <c r="E35" s="244"/>
      <c r="F35" s="244">
        <v>0</v>
      </c>
      <c r="G35" s="244"/>
      <c r="H35" s="244"/>
      <c r="I35" s="246">
        <f>SUM(C35:H35)</f>
        <v>0</v>
      </c>
      <c r="J35" s="251" t="b">
        <f t="shared" si="12"/>
        <v>1</v>
      </c>
    </row>
    <row r="36" spans="2:10" x14ac:dyDescent="0.25">
      <c r="B36" s="89" t="s">
        <v>70</v>
      </c>
      <c r="C36" s="244">
        <f>SUM(C32:C35)</f>
        <v>10209152192</v>
      </c>
      <c r="D36" s="244">
        <f t="shared" ref="D36:G36" si="13">SUM(D32:D35)</f>
        <v>0</v>
      </c>
      <c r="E36" s="244">
        <f t="shared" si="13"/>
        <v>0</v>
      </c>
      <c r="F36" s="244">
        <f t="shared" si="13"/>
        <v>0</v>
      </c>
      <c r="G36" s="244">
        <f t="shared" si="13"/>
        <v>0</v>
      </c>
      <c r="H36" s="244">
        <f>SUM(H32:H35)</f>
        <v>699022897</v>
      </c>
      <c r="I36" s="247">
        <f>SUM(I32:I35)</f>
        <v>10908175089</v>
      </c>
      <c r="J36" s="251" t="b">
        <f t="shared" si="12"/>
        <v>1</v>
      </c>
    </row>
    <row r="38" spans="2:10" x14ac:dyDescent="0.25">
      <c r="B38" t="s">
        <v>102</v>
      </c>
    </row>
    <row r="39" spans="2:10" x14ac:dyDescent="0.25">
      <c r="B39" s="114" t="s">
        <v>96</v>
      </c>
    </row>
    <row r="40" spans="2:10" x14ac:dyDescent="0.25">
      <c r="C40" s="89" t="s">
        <v>155</v>
      </c>
      <c r="D40" s="89" t="s">
        <v>76</v>
      </c>
      <c r="E40" s="89" t="s">
        <v>85</v>
      </c>
      <c r="F40" s="89" t="s">
        <v>120</v>
      </c>
      <c r="G40" s="89" t="s">
        <v>324</v>
      </c>
      <c r="H40" s="89" t="s">
        <v>119</v>
      </c>
      <c r="I40" s="89" t="s">
        <v>70</v>
      </c>
    </row>
    <row r="41" spans="2:10" x14ac:dyDescent="0.25">
      <c r="B41" s="89" t="s">
        <v>97</v>
      </c>
      <c r="C41" s="244">
        <v>11007626472</v>
      </c>
      <c r="D41" s="244"/>
      <c r="E41" s="244">
        <v>0</v>
      </c>
      <c r="F41" s="244">
        <v>2157310</v>
      </c>
      <c r="G41" s="244"/>
      <c r="H41" s="244">
        <v>441532359.04000002</v>
      </c>
      <c r="I41" s="246">
        <f t="shared" ref="I41:I44" si="14">SUM(C41:H41)</f>
        <v>11451316141.040001</v>
      </c>
      <c r="J41" s="251" t="b">
        <f>SUM(C41:H41)=I41</f>
        <v>1</v>
      </c>
    </row>
    <row r="42" spans="2:10" x14ac:dyDescent="0.25">
      <c r="B42" s="89" t="s">
        <v>98</v>
      </c>
      <c r="C42" s="244">
        <v>27660196</v>
      </c>
      <c r="D42" s="244"/>
      <c r="E42" s="244">
        <v>0</v>
      </c>
      <c r="F42" s="244">
        <v>5225400</v>
      </c>
      <c r="G42" s="244"/>
      <c r="H42" s="244">
        <v>8186683.7199999997</v>
      </c>
      <c r="I42" s="246">
        <f t="shared" si="14"/>
        <v>41072279.719999999</v>
      </c>
      <c r="J42" s="251" t="b">
        <f t="shared" ref="J42:J45" si="15">SUM(C42:H42)=I42</f>
        <v>1</v>
      </c>
    </row>
    <row r="43" spans="2:10" x14ac:dyDescent="0.25">
      <c r="B43" s="89" t="s">
        <v>131</v>
      </c>
      <c r="C43" s="244">
        <v>0</v>
      </c>
      <c r="D43" s="244"/>
      <c r="E43" s="244">
        <v>0</v>
      </c>
      <c r="F43" s="244">
        <v>0</v>
      </c>
      <c r="G43" s="244"/>
      <c r="H43" s="244">
        <v>70882609.239999995</v>
      </c>
      <c r="I43" s="246">
        <f t="shared" si="14"/>
        <v>70882609.239999995</v>
      </c>
      <c r="J43" s="251" t="b">
        <f t="shared" si="15"/>
        <v>1</v>
      </c>
    </row>
    <row r="44" spans="2:10" x14ac:dyDescent="0.25">
      <c r="B44" s="89" t="s">
        <v>168</v>
      </c>
      <c r="C44" s="244"/>
      <c r="D44" s="244"/>
      <c r="E44" s="244"/>
      <c r="F44" s="244"/>
      <c r="G44" s="244"/>
      <c r="H44" s="244"/>
      <c r="I44" s="246">
        <f t="shared" si="14"/>
        <v>0</v>
      </c>
      <c r="J44" s="251" t="b">
        <f t="shared" si="15"/>
        <v>1</v>
      </c>
    </row>
    <row r="45" spans="2:10" x14ac:dyDescent="0.25">
      <c r="B45" s="89" t="s">
        <v>70</v>
      </c>
      <c r="C45" s="244">
        <f>SUM(C41:C44)</f>
        <v>11035286668</v>
      </c>
      <c r="D45" s="244">
        <f t="shared" ref="D45:E45" si="16">SUM(D41:D44)</f>
        <v>0</v>
      </c>
      <c r="E45" s="244">
        <f t="shared" si="16"/>
        <v>0</v>
      </c>
      <c r="F45" s="244">
        <f>SUM(F41:F44)</f>
        <v>7382710</v>
      </c>
      <c r="G45" s="244">
        <f>SUM(G41:G44)</f>
        <v>0</v>
      </c>
      <c r="H45" s="244">
        <f>SUM(H41:H44)</f>
        <v>520601652.00000006</v>
      </c>
      <c r="I45" s="247">
        <f>SUM(I41:I44)</f>
        <v>11563271030</v>
      </c>
      <c r="J45" s="251" t="b">
        <f t="shared" si="15"/>
        <v>1</v>
      </c>
    </row>
    <row r="46" spans="2:10" x14ac:dyDescent="0.25">
      <c r="B46" s="89"/>
      <c r="C46" s="113"/>
      <c r="D46" s="113"/>
      <c r="E46" s="113"/>
      <c r="F46" s="113"/>
      <c r="G46" s="113"/>
      <c r="H46" s="113"/>
    </row>
    <row r="47" spans="2:10" x14ac:dyDescent="0.25">
      <c r="F47" s="212"/>
      <c r="G47" s="212"/>
    </row>
    <row r="48" spans="2:10" x14ac:dyDescent="0.25">
      <c r="B48" t="s">
        <v>103</v>
      </c>
    </row>
    <row r="49" spans="2:10" x14ac:dyDescent="0.25">
      <c r="B49" s="114" t="s">
        <v>96</v>
      </c>
    </row>
    <row r="50" spans="2:10" x14ac:dyDescent="0.25">
      <c r="C50" s="89" t="s">
        <v>155</v>
      </c>
      <c r="D50" s="89" t="s">
        <v>76</v>
      </c>
      <c r="E50" s="89" t="s">
        <v>85</v>
      </c>
      <c r="F50" s="89" t="s">
        <v>120</v>
      </c>
      <c r="G50" s="89" t="s">
        <v>324</v>
      </c>
      <c r="H50" s="89" t="s">
        <v>119</v>
      </c>
      <c r="I50" s="89" t="s">
        <v>70</v>
      </c>
    </row>
    <row r="51" spans="2:10" x14ac:dyDescent="0.25">
      <c r="B51" t="s">
        <v>97</v>
      </c>
      <c r="C51" s="582">
        <v>8788824662</v>
      </c>
      <c r="D51" s="244"/>
      <c r="E51" s="244"/>
      <c r="F51" s="244"/>
      <c r="G51" s="244">
        <v>137170902</v>
      </c>
      <c r="H51" s="582">
        <v>232723241.05000001</v>
      </c>
      <c r="I51" s="246">
        <f t="shared" ref="I51:I54" si="17">SUM(C51:H51)</f>
        <v>9158718805.0499992</v>
      </c>
      <c r="J51" s="251" t="b">
        <f>SUM(C51:H51)=I51</f>
        <v>1</v>
      </c>
    </row>
    <row r="52" spans="2:10" ht="11.5" customHeight="1" x14ac:dyDescent="0.25">
      <c r="B52" s="89" t="s">
        <v>98</v>
      </c>
      <c r="C52" s="582">
        <v>9759043</v>
      </c>
      <c r="D52" s="244"/>
      <c r="E52" s="244"/>
      <c r="F52" s="244"/>
      <c r="G52" s="244">
        <v>1379910</v>
      </c>
      <c r="H52" s="582">
        <v>3307034</v>
      </c>
      <c r="I52" s="246">
        <f>SUM(C52:H52)</f>
        <v>14445987</v>
      </c>
      <c r="J52" s="251" t="b">
        <f t="shared" ref="J52:J55" si="18">SUM(C52:H52)=I52</f>
        <v>1</v>
      </c>
    </row>
    <row r="53" spans="2:10" x14ac:dyDescent="0.25">
      <c r="B53" s="89" t="s">
        <v>131</v>
      </c>
      <c r="C53" s="582">
        <v>0</v>
      </c>
      <c r="D53" s="244"/>
      <c r="E53" s="244"/>
      <c r="F53" s="244"/>
      <c r="G53" s="244">
        <v>0</v>
      </c>
      <c r="H53" s="582">
        <v>2531410.9500000002</v>
      </c>
      <c r="I53" s="246">
        <f t="shared" si="17"/>
        <v>2531410.9500000002</v>
      </c>
      <c r="J53" s="251" t="b">
        <f t="shared" si="18"/>
        <v>1</v>
      </c>
    </row>
    <row r="54" spans="2:10" x14ac:dyDescent="0.25">
      <c r="B54" s="89" t="s">
        <v>168</v>
      </c>
      <c r="C54" s="244">
        <v>0</v>
      </c>
      <c r="D54" s="244"/>
      <c r="E54" s="244"/>
      <c r="F54" s="244"/>
      <c r="G54" s="244"/>
      <c r="H54" s="244"/>
      <c r="I54" s="246">
        <f t="shared" si="17"/>
        <v>0</v>
      </c>
      <c r="J54" s="251" t="b">
        <f t="shared" si="18"/>
        <v>1</v>
      </c>
    </row>
    <row r="55" spans="2:10" x14ac:dyDescent="0.25">
      <c r="B55" s="89" t="s">
        <v>70</v>
      </c>
      <c r="C55" s="244">
        <f>SUM(C51:C54)</f>
        <v>8798583705</v>
      </c>
      <c r="D55" s="244">
        <f t="shared" ref="D55:G55" si="19">SUM(D51:D54)</f>
        <v>0</v>
      </c>
      <c r="E55" s="244">
        <f t="shared" si="19"/>
        <v>0</v>
      </c>
      <c r="F55" s="244">
        <f t="shared" si="19"/>
        <v>0</v>
      </c>
      <c r="G55" s="244">
        <f t="shared" si="19"/>
        <v>138550812</v>
      </c>
      <c r="H55" s="244">
        <f>SUM(H51:H54)</f>
        <v>238561686</v>
      </c>
      <c r="I55" s="247">
        <f>SUM(I51:I54)</f>
        <v>9175696203</v>
      </c>
      <c r="J55" s="251" t="b">
        <f t="shared" si="18"/>
        <v>1</v>
      </c>
    </row>
    <row r="57" spans="2:10" x14ac:dyDescent="0.25">
      <c r="H57" s="212"/>
      <c r="I57" s="212"/>
    </row>
    <row r="58" spans="2:10" x14ac:dyDescent="0.25">
      <c r="F58" s="212"/>
      <c r="G58" s="212"/>
      <c r="H58" s="212"/>
      <c r="I58" s="212"/>
    </row>
    <row r="59" spans="2:10" ht="13" x14ac:dyDescent="0.3">
      <c r="B59" s="727" t="s">
        <v>333</v>
      </c>
      <c r="C59" s="209">
        <v>1</v>
      </c>
      <c r="D59" s="728" t="s">
        <v>334</v>
      </c>
      <c r="H59" s="143"/>
    </row>
    <row r="60" spans="2:10" x14ac:dyDescent="0.25">
      <c r="H60" s="212"/>
    </row>
    <row r="61" spans="2:10" x14ac:dyDescent="0.25">
      <c r="B61" t="s">
        <v>1</v>
      </c>
      <c r="C61" s="143"/>
      <c r="E61" s="142"/>
    </row>
    <row r="62" spans="2:10" x14ac:dyDescent="0.25">
      <c r="B62" s="730" t="s">
        <v>206</v>
      </c>
      <c r="C62" s="731">
        <f>IF($C$59=1,'Recaudo ENEL'!D21,'Recaudo ENEL'!F21)</f>
        <v>16948385078</v>
      </c>
      <c r="D62" s="730" t="b">
        <f>C17=C62</f>
        <v>1</v>
      </c>
      <c r="E62" s="733">
        <f>C17-C62</f>
        <v>0</v>
      </c>
      <c r="F62" s="212"/>
    </row>
    <row r="63" spans="2:10" x14ac:dyDescent="0.25">
      <c r="B63" s="730" t="s">
        <v>329</v>
      </c>
      <c r="C63" s="731">
        <f>IF($C$59=1,'Recaudo ENERBIT'!D21,'Recaudo ENERBIT'!F21)</f>
        <v>0</v>
      </c>
      <c r="D63" s="730" t="b">
        <f>G17=C63</f>
        <v>1</v>
      </c>
      <c r="E63" s="733">
        <f>G17-C63</f>
        <v>0</v>
      </c>
    </row>
    <row r="64" spans="2:10" x14ac:dyDescent="0.25">
      <c r="B64" s="729" t="s">
        <v>208</v>
      </c>
      <c r="C64" s="732">
        <f>IF($C$59=1,'Recaudo EAAB Reciprocidad'!D22,'Recaudo EAAB Reciprocidad'!F22)</f>
        <v>11627730</v>
      </c>
      <c r="D64" s="729" t="b">
        <f>F27=C64</f>
        <v>1</v>
      </c>
      <c r="E64" s="734">
        <f>F27-C64</f>
        <v>0</v>
      </c>
      <c r="H64" s="143"/>
    </row>
    <row r="65" spans="2:7" x14ac:dyDescent="0.25">
      <c r="B65" s="729" t="s">
        <v>322</v>
      </c>
      <c r="C65" s="732">
        <f>IF($C$59=1,'Recaudo ENEL'!D22,'Recaudo ENEL'!F22)</f>
        <v>12751038052</v>
      </c>
      <c r="D65" s="729" t="b">
        <f>C27=C65</f>
        <v>0</v>
      </c>
      <c r="E65" s="734">
        <f>C27-C65</f>
        <v>405230</v>
      </c>
      <c r="F65" s="142" t="s">
        <v>336</v>
      </c>
    </row>
    <row r="66" spans="2:7" x14ac:dyDescent="0.25">
      <c r="B66" s="729" t="s">
        <v>330</v>
      </c>
      <c r="C66" s="732">
        <f>IF($C$59=1,'Recaudo ENERBIT'!D22,'Recaudo ENERBIT'!F22)</f>
        <v>0</v>
      </c>
      <c r="D66" s="729" t="b">
        <f>G27=C66</f>
        <v>1</v>
      </c>
      <c r="E66" s="734">
        <f>G27-C66</f>
        <v>0</v>
      </c>
    </row>
    <row r="67" spans="2:7" x14ac:dyDescent="0.25">
      <c r="B67" s="730" t="s">
        <v>210</v>
      </c>
      <c r="C67" s="731">
        <f>IF($C$59=1,'Recaudo ENEL'!D23,'Recaudo ENEL'!F23)</f>
        <v>10208960602</v>
      </c>
      <c r="D67" s="730" t="b">
        <f>C36=C67</f>
        <v>0</v>
      </c>
      <c r="E67" s="733">
        <f>C36-C67</f>
        <v>191590</v>
      </c>
      <c r="F67" s="142" t="s">
        <v>336</v>
      </c>
    </row>
    <row r="68" spans="2:7" x14ac:dyDescent="0.25">
      <c r="B68" s="730" t="s">
        <v>331</v>
      </c>
      <c r="C68" s="731">
        <f>IF($C$59=1,'Recaudo ENERBIT'!D23,'Recaudo ENERBIT'!F23)</f>
        <v>0</v>
      </c>
      <c r="D68" s="730" t="b">
        <f>G36=C68</f>
        <v>1</v>
      </c>
      <c r="E68" s="733">
        <f>G36-C68</f>
        <v>0</v>
      </c>
    </row>
    <row r="69" spans="2:7" x14ac:dyDescent="0.25">
      <c r="B69" s="729" t="s">
        <v>209</v>
      </c>
      <c r="C69" s="732">
        <f>IF($C$59=1,'Recaudo EAAB Reciprocidad'!D24,'Recaudo EAAB Reciprocidad'!F24)</f>
        <v>7382710</v>
      </c>
      <c r="D69" s="729" t="b">
        <f>F45=C69</f>
        <v>1</v>
      </c>
      <c r="E69" s="734">
        <f>F45-C69</f>
        <v>0</v>
      </c>
    </row>
    <row r="70" spans="2:7" x14ac:dyDescent="0.25">
      <c r="B70" s="729" t="s">
        <v>323</v>
      </c>
      <c r="C70" s="732">
        <f>IF($C$59=1,'Recaudo ENEL'!D24,'Recaudo ENEL'!F24)</f>
        <v>11034274078</v>
      </c>
      <c r="D70" s="729" t="b">
        <f>C45=C70</f>
        <v>0</v>
      </c>
      <c r="E70" s="734">
        <f>C45-C70</f>
        <v>1012590</v>
      </c>
      <c r="F70" s="142" t="s">
        <v>336</v>
      </c>
    </row>
    <row r="71" spans="2:7" x14ac:dyDescent="0.25">
      <c r="B71" s="729" t="s">
        <v>332</v>
      </c>
      <c r="C71" s="732">
        <f>IF($C$59=1,'Recaudo ENERBIT'!D24,'Recaudo ENERBIT'!F24)</f>
        <v>0</v>
      </c>
      <c r="D71" s="729" t="b">
        <f>G45=C71</f>
        <v>1</v>
      </c>
      <c r="E71" s="734">
        <f>G45-C71</f>
        <v>0</v>
      </c>
    </row>
    <row r="72" spans="2:7" x14ac:dyDescent="0.25">
      <c r="B72" s="730" t="s">
        <v>207</v>
      </c>
      <c r="C72" s="731">
        <f>IF($C$59=1,'Recaudo ENEL'!D25,'Recaudo ENEL'!F25)</f>
        <v>8798232055</v>
      </c>
      <c r="D72" s="730" t="b">
        <f>C55=C72</f>
        <v>0</v>
      </c>
      <c r="E72" s="733">
        <f>C55-C72</f>
        <v>351650</v>
      </c>
      <c r="F72" s="142" t="s">
        <v>336</v>
      </c>
    </row>
    <row r="73" spans="2:7" x14ac:dyDescent="0.25">
      <c r="B73" s="730" t="s">
        <v>325</v>
      </c>
      <c r="C73" s="731">
        <f>IF($C$59=1,'Recaudo ENERBIT'!D25,'Recaudo ENERBIT'!F25)</f>
        <v>138550812</v>
      </c>
      <c r="D73" s="730" t="b">
        <f>G55=C73</f>
        <v>1</v>
      </c>
      <c r="E73" s="733">
        <f>G55-C73</f>
        <v>0</v>
      </c>
    </row>
    <row r="74" spans="2:7" x14ac:dyDescent="0.25">
      <c r="C74" s="143"/>
    </row>
    <row r="75" spans="2:7" x14ac:dyDescent="0.25">
      <c r="B75" s="730" t="s">
        <v>259</v>
      </c>
      <c r="C75" s="731">
        <f>IF($C$59=1,'Recaudo Directa Occidente'!D21,'Recaudo Directa Occidente'!F21)</f>
        <v>534577438</v>
      </c>
      <c r="D75" s="730" t="b">
        <f>C75=H17</f>
        <v>1</v>
      </c>
      <c r="E75" s="733">
        <f>H17-C75</f>
        <v>0</v>
      </c>
      <c r="F75" s="593"/>
      <c r="G75" s="593"/>
    </row>
    <row r="76" spans="2:7" x14ac:dyDescent="0.25">
      <c r="B76" s="729" t="s">
        <v>260</v>
      </c>
      <c r="C76" s="732">
        <f>IF($C$59=1,'Recaudo Directa Occidente'!D22,'Recaudo Directa Occidente'!F22)</f>
        <v>1422949863</v>
      </c>
      <c r="D76" s="729" t="b">
        <f>C76=H27</f>
        <v>1</v>
      </c>
      <c r="E76" s="734">
        <f>H27-C76</f>
        <v>0</v>
      </c>
    </row>
    <row r="77" spans="2:7" x14ac:dyDescent="0.25">
      <c r="B77" s="730" t="s">
        <v>261</v>
      </c>
      <c r="C77" s="731">
        <f>IF($C$59=1,'Recaudo Directa Occidente'!D23,'Recaudo Directa Occidente'!F23)</f>
        <v>699022897</v>
      </c>
      <c r="D77" s="730" t="b">
        <f>C77=H36</f>
        <v>1</v>
      </c>
      <c r="E77" s="733">
        <f>H36-C77</f>
        <v>0</v>
      </c>
      <c r="F77" s="212"/>
      <c r="G77" s="212"/>
    </row>
    <row r="78" spans="2:7" x14ac:dyDescent="0.25">
      <c r="B78" s="729" t="s">
        <v>262</v>
      </c>
      <c r="C78" s="732">
        <f>IF($C$59=1,'Recaudo Directa Occidente'!D24,'Recaudo Directa Occidente'!F24)</f>
        <v>520601652</v>
      </c>
      <c r="D78" s="729" t="b">
        <f>C78=H45</f>
        <v>1</v>
      </c>
      <c r="E78" s="734">
        <f>H45-C78</f>
        <v>0</v>
      </c>
    </row>
    <row r="79" spans="2:7" x14ac:dyDescent="0.25">
      <c r="B79" s="730" t="s">
        <v>263</v>
      </c>
      <c r="C79" s="731">
        <f>IF($C$59=1,'Recaudo Directa Occidente'!D25,'Recaudo Directa Occidente'!F25)</f>
        <v>238561686</v>
      </c>
      <c r="D79" s="730" t="b">
        <f>C79=H55</f>
        <v>1</v>
      </c>
      <c r="E79" s="733">
        <f>H55-C79</f>
        <v>0</v>
      </c>
    </row>
    <row r="81" spans="2:4" x14ac:dyDescent="0.25">
      <c r="B81" s="209" t="s">
        <v>52</v>
      </c>
      <c r="C81" s="251">
        <f>SUM(C62:C79)</f>
        <v>63314164653</v>
      </c>
      <c r="D81" s="209" t="b">
        <f>C81=(I6-SUM(E62:E79))</f>
        <v>1</v>
      </c>
    </row>
  </sheetData>
  <phoneticPr fontId="21" type="noConversion"/>
  <conditionalFormatting sqref="D81">
    <cfRule type="cellIs" dxfId="84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45"/>
  <sheetViews>
    <sheetView zoomScaleNormal="100" workbookViewId="0"/>
  </sheetViews>
  <sheetFormatPr baseColWidth="10" defaultRowHeight="12.5" x14ac:dyDescent="0.25"/>
  <cols>
    <col min="1" max="1" width="3.453125" customWidth="1"/>
    <col min="2" max="2" width="20.7265625" bestFit="1" customWidth="1"/>
    <col min="3" max="3" width="13.26953125" bestFit="1" customWidth="1"/>
    <col min="4" max="6" width="12.7265625" bestFit="1" customWidth="1"/>
    <col min="7" max="7" width="12.54296875" customWidth="1"/>
    <col min="8" max="14" width="12.7265625" bestFit="1" customWidth="1"/>
    <col min="16" max="16" width="12.7265625" bestFit="1" customWidth="1"/>
  </cols>
  <sheetData>
    <row r="1" spans="1:16" ht="13.5" thickBot="1" x14ac:dyDescent="0.35">
      <c r="C1" s="767" t="s">
        <v>99</v>
      </c>
      <c r="D1" s="767"/>
      <c r="E1" s="767" t="s">
        <v>100</v>
      </c>
      <c r="F1" s="767"/>
      <c r="G1" s="767" t="s">
        <v>101</v>
      </c>
      <c r="H1" s="767"/>
      <c r="I1" s="767" t="s">
        <v>102</v>
      </c>
      <c r="J1" s="767"/>
      <c r="K1" s="767" t="s">
        <v>103</v>
      </c>
      <c r="L1" s="767"/>
      <c r="M1" s="767" t="s">
        <v>2</v>
      </c>
      <c r="N1" s="767"/>
    </row>
    <row r="2" spans="1:16" ht="13" x14ac:dyDescent="0.3">
      <c r="C2" s="210" t="s">
        <v>149</v>
      </c>
      <c r="D2" s="210" t="s">
        <v>150</v>
      </c>
      <c r="E2" s="210" t="s">
        <v>149</v>
      </c>
      <c r="F2" s="210" t="s">
        <v>150</v>
      </c>
      <c r="G2" s="210" t="s">
        <v>149</v>
      </c>
      <c r="H2" s="210" t="s">
        <v>150</v>
      </c>
      <c r="I2" s="210" t="s">
        <v>149</v>
      </c>
      <c r="J2" s="210" t="s">
        <v>150</v>
      </c>
      <c r="K2" s="210" t="s">
        <v>149</v>
      </c>
      <c r="L2" s="210" t="s">
        <v>150</v>
      </c>
      <c r="M2" s="258" t="s">
        <v>149</v>
      </c>
      <c r="N2" s="259" t="s">
        <v>150</v>
      </c>
    </row>
    <row r="3" spans="1:16" ht="13" x14ac:dyDescent="0.3">
      <c r="B3" s="210" t="s">
        <v>151</v>
      </c>
      <c r="C3" s="249">
        <f t="shared" ref="C3:E4" si="0">C11+C19+C27+C35+C43</f>
        <v>42680</v>
      </c>
      <c r="D3" s="249">
        <f t="shared" si="0"/>
        <v>-3544507.29</v>
      </c>
      <c r="E3" s="249">
        <f t="shared" si="0"/>
        <v>0</v>
      </c>
      <c r="F3" s="249">
        <f t="shared" ref="F3:L3" si="1">F11+F19+F27+F35+F43</f>
        <v>-8739602.3699999992</v>
      </c>
      <c r="G3" s="249">
        <f t="shared" si="1"/>
        <v>169120</v>
      </c>
      <c r="H3" s="249">
        <f t="shared" si="1"/>
        <v>-6125983.8899999997</v>
      </c>
      <c r="I3" s="249">
        <f t="shared" si="1"/>
        <v>8635714</v>
      </c>
      <c r="J3" s="249">
        <f t="shared" si="1"/>
        <v>-22250059.780000001</v>
      </c>
      <c r="K3" s="249">
        <f t="shared" si="1"/>
        <v>61140</v>
      </c>
      <c r="L3" s="249">
        <f t="shared" si="1"/>
        <v>-9076100</v>
      </c>
      <c r="M3" s="260">
        <f>C3+E3+G3+I3+K3</f>
        <v>8908654</v>
      </c>
      <c r="N3" s="760">
        <f>D3+F3+H3+J3+L3</f>
        <v>-49736253.329999998</v>
      </c>
      <c r="P3" s="209" t="b">
        <f>N3=(-VALIDACION_TOTAL!M9)</f>
        <v>1</v>
      </c>
    </row>
    <row r="4" spans="1:16" ht="13.5" thickBot="1" x14ac:dyDescent="0.35">
      <c r="B4" s="210" t="s">
        <v>152</v>
      </c>
      <c r="C4" s="253">
        <f t="shared" si="0"/>
        <v>40630</v>
      </c>
      <c r="D4" s="253">
        <f t="shared" si="0"/>
        <v>-1752.71</v>
      </c>
      <c r="E4" s="253">
        <f t="shared" si="0"/>
        <v>0</v>
      </c>
      <c r="F4" s="253">
        <f t="shared" ref="F4:L4" si="2">F12+F20+F28+F36+F44</f>
        <v>-310.63</v>
      </c>
      <c r="G4" s="253">
        <f t="shared" si="2"/>
        <v>2320</v>
      </c>
      <c r="H4" s="253">
        <f t="shared" si="2"/>
        <v>-984746.11</v>
      </c>
      <c r="I4" s="253">
        <f t="shared" si="2"/>
        <v>10812878</v>
      </c>
      <c r="J4" s="253">
        <f t="shared" si="2"/>
        <v>-459462.22</v>
      </c>
      <c r="K4" s="253">
        <f t="shared" si="2"/>
        <v>309980</v>
      </c>
      <c r="L4" s="253">
        <f t="shared" si="2"/>
        <v>-133820</v>
      </c>
      <c r="M4" s="261">
        <f>C4+E4+G4+I4+K4</f>
        <v>11165808</v>
      </c>
      <c r="N4" s="262">
        <f>D4+F4+H4+J4+L4</f>
        <v>-1580091.67</v>
      </c>
      <c r="P4" s="209" t="b">
        <f>N4=(-'CONSOLIDADO_TOTAL RECAUDO'!L131)</f>
        <v>1</v>
      </c>
    </row>
    <row r="5" spans="1:16" ht="13.5" thickBot="1" x14ac:dyDescent="0.35">
      <c r="B5" s="211" t="s">
        <v>2</v>
      </c>
      <c r="C5" s="254">
        <f>SUM(C3:C4)</f>
        <v>83310</v>
      </c>
      <c r="D5" s="254">
        <f t="shared" ref="D5:G5" si="3">SUM(D3:D4)</f>
        <v>-3546260</v>
      </c>
      <c r="E5" s="254">
        <f t="shared" si="3"/>
        <v>0</v>
      </c>
      <c r="F5" s="254">
        <f t="shared" si="3"/>
        <v>-8739913</v>
      </c>
      <c r="G5" s="254">
        <f t="shared" si="3"/>
        <v>171440</v>
      </c>
      <c r="H5" s="255">
        <f t="shared" ref="H5:L5" si="4">SUM(H3:H4)</f>
        <v>-7110730</v>
      </c>
      <c r="I5" s="255">
        <f t="shared" si="4"/>
        <v>19448592</v>
      </c>
      <c r="J5" s="255">
        <f t="shared" si="4"/>
        <v>-22709522</v>
      </c>
      <c r="K5" s="255">
        <f>SUM(K3:K4)</f>
        <v>371120</v>
      </c>
      <c r="L5" s="257">
        <f t="shared" si="4"/>
        <v>-9209920</v>
      </c>
      <c r="M5" s="254">
        <f t="shared" ref="M5" si="5">SUM(M3:M4)</f>
        <v>20074462</v>
      </c>
      <c r="N5" s="256">
        <f>SUM(N3:N4)</f>
        <v>-51316345</v>
      </c>
    </row>
    <row r="6" spans="1:16" x14ac:dyDescent="0.25">
      <c r="C6" s="209" t="b">
        <f>C5=(C13+C21+C29+C37+C45)</f>
        <v>1</v>
      </c>
      <c r="D6" s="209" t="b">
        <f t="shared" ref="D6:N6" si="6">D5=(D13+D21+D29+D37+D45)</f>
        <v>1</v>
      </c>
      <c r="E6" s="209" t="b">
        <f t="shared" si="6"/>
        <v>1</v>
      </c>
      <c r="F6" s="209" t="b">
        <f t="shared" si="6"/>
        <v>1</v>
      </c>
      <c r="G6" s="209" t="b">
        <f t="shared" si="6"/>
        <v>1</v>
      </c>
      <c r="H6" s="209" t="b">
        <f t="shared" si="6"/>
        <v>1</v>
      </c>
      <c r="I6" s="209" t="b">
        <f t="shared" si="6"/>
        <v>1</v>
      </c>
      <c r="J6" s="209" t="b">
        <f t="shared" si="6"/>
        <v>1</v>
      </c>
      <c r="K6" s="209" t="b">
        <f t="shared" si="6"/>
        <v>1</v>
      </c>
      <c r="L6" s="209" t="b">
        <f t="shared" si="6"/>
        <v>1</v>
      </c>
      <c r="M6" s="209" t="b">
        <f t="shared" si="6"/>
        <v>1</v>
      </c>
      <c r="N6" s="209" t="b">
        <f t="shared" si="6"/>
        <v>1</v>
      </c>
    </row>
    <row r="7" spans="1:16" x14ac:dyDescent="0.25">
      <c r="A7" s="238"/>
      <c r="B7" s="238"/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</row>
    <row r="8" spans="1:16" ht="14.5" x14ac:dyDescent="0.35">
      <c r="B8" s="208" t="s">
        <v>148</v>
      </c>
      <c r="C8" s="209"/>
    </row>
    <row r="9" spans="1:16" ht="13" x14ac:dyDescent="0.3">
      <c r="C9" s="767" t="s">
        <v>99</v>
      </c>
      <c r="D9" s="767"/>
      <c r="E9" s="767" t="s">
        <v>100</v>
      </c>
      <c r="F9" s="767"/>
      <c r="G9" s="767" t="s">
        <v>101</v>
      </c>
      <c r="H9" s="767"/>
      <c r="I9" s="767" t="s">
        <v>102</v>
      </c>
      <c r="J9" s="767"/>
      <c r="K9" s="767" t="s">
        <v>103</v>
      </c>
      <c r="L9" s="767"/>
      <c r="M9" s="767" t="s">
        <v>2</v>
      </c>
      <c r="N9" s="767"/>
    </row>
    <row r="10" spans="1:16" ht="13" x14ac:dyDescent="0.3">
      <c r="C10" s="210" t="s">
        <v>149</v>
      </c>
      <c r="D10" s="210" t="s">
        <v>150</v>
      </c>
      <c r="E10" s="210" t="s">
        <v>149</v>
      </c>
      <c r="F10" s="210" t="s">
        <v>150</v>
      </c>
      <c r="G10" s="210" t="s">
        <v>149</v>
      </c>
      <c r="H10" s="210" t="s">
        <v>150</v>
      </c>
      <c r="I10" s="210" t="s">
        <v>149</v>
      </c>
      <c r="J10" s="210" t="s">
        <v>150</v>
      </c>
      <c r="K10" s="210" t="s">
        <v>149</v>
      </c>
      <c r="L10" s="210" t="s">
        <v>150</v>
      </c>
      <c r="M10" s="210" t="s">
        <v>149</v>
      </c>
      <c r="N10" s="210" t="s">
        <v>150</v>
      </c>
    </row>
    <row r="11" spans="1:16" ht="13" x14ac:dyDescent="0.3">
      <c r="B11" s="210" t="s">
        <v>151</v>
      </c>
      <c r="C11" s="245">
        <v>42680</v>
      </c>
      <c r="D11" s="245">
        <v>-83310</v>
      </c>
      <c r="E11" s="245">
        <v>0</v>
      </c>
      <c r="F11" s="245">
        <v>0</v>
      </c>
      <c r="G11" s="245">
        <v>33180</v>
      </c>
      <c r="H11" s="245">
        <v>-34410</v>
      </c>
      <c r="I11" s="245">
        <v>239834</v>
      </c>
      <c r="J11" s="245">
        <v>-1742535</v>
      </c>
      <c r="K11" s="244">
        <v>61140</v>
      </c>
      <c r="L11" s="245">
        <v>-304780</v>
      </c>
      <c r="M11" s="249">
        <f>C11+E11+G11+I11+K11</f>
        <v>376834</v>
      </c>
      <c r="N11" s="245">
        <f>D11+F11+H11+J11+L11</f>
        <v>-2165035</v>
      </c>
    </row>
    <row r="12" spans="1:16" ht="13" x14ac:dyDescent="0.3">
      <c r="B12" s="210" t="s">
        <v>152</v>
      </c>
      <c r="C12" s="245">
        <v>40630</v>
      </c>
      <c r="D12" s="245">
        <v>0</v>
      </c>
      <c r="E12" s="245">
        <v>0</v>
      </c>
      <c r="F12" s="245">
        <v>0</v>
      </c>
      <c r="G12" s="245">
        <v>1230</v>
      </c>
      <c r="H12" s="245">
        <v>0</v>
      </c>
      <c r="I12" s="245">
        <v>1438701</v>
      </c>
      <c r="J12" s="245">
        <v>0</v>
      </c>
      <c r="K12" s="244">
        <v>309980</v>
      </c>
      <c r="L12" s="245">
        <v>-66340</v>
      </c>
      <c r="M12" s="249">
        <f>C12+E12+G12+I12+K12</f>
        <v>1790541</v>
      </c>
      <c r="N12" s="245">
        <f>D12+F12+H12+J12+L12</f>
        <v>-66340</v>
      </c>
    </row>
    <row r="13" spans="1:16" ht="13" x14ac:dyDescent="0.3">
      <c r="B13" s="211" t="s">
        <v>2</v>
      </c>
      <c r="C13" s="249">
        <f>SUM(C11:C12)</f>
        <v>83310</v>
      </c>
      <c r="D13" s="249">
        <f t="shared" ref="D13:N13" si="7">SUM(D11:D12)</f>
        <v>-83310</v>
      </c>
      <c r="E13" s="249">
        <f t="shared" si="7"/>
        <v>0</v>
      </c>
      <c r="F13" s="249">
        <f t="shared" si="7"/>
        <v>0</v>
      </c>
      <c r="G13" s="249">
        <f>SUM(G11:G12)</f>
        <v>34410</v>
      </c>
      <c r="H13" s="249">
        <f>SUM(H11:H12)</f>
        <v>-34410</v>
      </c>
      <c r="I13" s="249">
        <f t="shared" si="7"/>
        <v>1678535</v>
      </c>
      <c r="J13" s="249">
        <f t="shared" si="7"/>
        <v>-1742535</v>
      </c>
      <c r="K13" s="249">
        <f t="shared" si="7"/>
        <v>371120</v>
      </c>
      <c r="L13" s="249">
        <f t="shared" si="7"/>
        <v>-371120</v>
      </c>
      <c r="M13" s="249">
        <f t="shared" si="7"/>
        <v>2167375</v>
      </c>
      <c r="N13" s="249">
        <f t="shared" si="7"/>
        <v>-2231375</v>
      </c>
    </row>
    <row r="14" spans="1:16" x14ac:dyDescent="0.25">
      <c r="E14" s="212"/>
    </row>
    <row r="16" spans="1:16" ht="14.5" x14ac:dyDescent="0.35">
      <c r="B16" s="208" t="s">
        <v>153</v>
      </c>
      <c r="C16" s="209"/>
    </row>
    <row r="17" spans="2:14" ht="13" x14ac:dyDescent="0.3">
      <c r="C17" s="767" t="s">
        <v>99</v>
      </c>
      <c r="D17" s="767"/>
      <c r="E17" s="767" t="s">
        <v>100</v>
      </c>
      <c r="F17" s="767"/>
      <c r="G17" s="767" t="s">
        <v>101</v>
      </c>
      <c r="H17" s="767"/>
      <c r="I17" s="767" t="s">
        <v>102</v>
      </c>
      <c r="J17" s="767"/>
      <c r="K17" s="767" t="s">
        <v>103</v>
      </c>
      <c r="L17" s="767"/>
      <c r="M17" s="767" t="s">
        <v>2</v>
      </c>
      <c r="N17" s="767"/>
    </row>
    <row r="18" spans="2:14" ht="13" x14ac:dyDescent="0.3">
      <c r="C18" s="210" t="s">
        <v>149</v>
      </c>
      <c r="D18" s="210" t="s">
        <v>150</v>
      </c>
      <c r="E18" s="210" t="s">
        <v>149</v>
      </c>
      <c r="F18" s="210" t="s">
        <v>150</v>
      </c>
      <c r="G18" s="210" t="s">
        <v>149</v>
      </c>
      <c r="H18" s="210" t="s">
        <v>150</v>
      </c>
      <c r="I18" s="210" t="s">
        <v>149</v>
      </c>
      <c r="J18" s="210" t="s">
        <v>150</v>
      </c>
      <c r="K18" s="210" t="s">
        <v>149</v>
      </c>
      <c r="L18" s="210" t="s">
        <v>150</v>
      </c>
      <c r="M18" s="210" t="s">
        <v>149</v>
      </c>
      <c r="N18" s="210" t="s">
        <v>150</v>
      </c>
    </row>
    <row r="19" spans="2:14" ht="13" x14ac:dyDescent="0.3">
      <c r="B19" s="210" t="s">
        <v>151</v>
      </c>
      <c r="C19" s="245">
        <v>0</v>
      </c>
      <c r="D19" s="245">
        <v>0</v>
      </c>
      <c r="E19" s="245">
        <v>0</v>
      </c>
      <c r="F19" s="245">
        <v>0</v>
      </c>
      <c r="G19" s="245">
        <v>0</v>
      </c>
      <c r="H19" s="245">
        <v>0</v>
      </c>
      <c r="I19" s="245">
        <v>208970</v>
      </c>
      <c r="J19" s="245">
        <v>-262000</v>
      </c>
      <c r="K19" s="244">
        <v>0</v>
      </c>
      <c r="L19" s="245">
        <v>0</v>
      </c>
      <c r="M19" s="245">
        <f>C19+E19+G19+I19+K19</f>
        <v>208970</v>
      </c>
      <c r="N19" s="245">
        <f>D19+F19+H19+J19+L19</f>
        <v>-262000</v>
      </c>
    </row>
    <row r="20" spans="2:14" ht="13" x14ac:dyDescent="0.3">
      <c r="B20" s="210" t="s">
        <v>152</v>
      </c>
      <c r="C20" s="245">
        <v>0</v>
      </c>
      <c r="D20" s="245">
        <v>0</v>
      </c>
      <c r="E20" s="245">
        <v>0</v>
      </c>
      <c r="F20" s="245">
        <v>0</v>
      </c>
      <c r="G20" s="245">
        <v>0</v>
      </c>
      <c r="H20" s="245">
        <v>0</v>
      </c>
      <c r="I20" s="245">
        <v>53030</v>
      </c>
      <c r="J20" s="538">
        <v>0</v>
      </c>
      <c r="K20" s="244">
        <v>0</v>
      </c>
      <c r="L20" s="245">
        <v>0</v>
      </c>
      <c r="M20" s="245">
        <f>C20+E20+G20+I20+K20</f>
        <v>53030</v>
      </c>
      <c r="N20" s="245">
        <f>D20+F20+H20+J20+L20</f>
        <v>0</v>
      </c>
    </row>
    <row r="21" spans="2:14" ht="13" x14ac:dyDescent="0.3">
      <c r="B21" s="211" t="s">
        <v>2</v>
      </c>
      <c r="C21" s="249">
        <f>SUM(C19:C20)</f>
        <v>0</v>
      </c>
      <c r="D21" s="249">
        <f t="shared" ref="D21:L21" si="8">SUM(D19:D20)</f>
        <v>0</v>
      </c>
      <c r="E21" s="249">
        <f t="shared" si="8"/>
        <v>0</v>
      </c>
      <c r="F21" s="249">
        <f t="shared" si="8"/>
        <v>0</v>
      </c>
      <c r="G21" s="249">
        <f t="shared" si="8"/>
        <v>0</v>
      </c>
      <c r="H21" s="249">
        <f t="shared" si="8"/>
        <v>0</v>
      </c>
      <c r="I21" s="249">
        <f t="shared" si="8"/>
        <v>262000</v>
      </c>
      <c r="J21" s="249">
        <f t="shared" si="8"/>
        <v>-262000</v>
      </c>
      <c r="K21" s="249">
        <f t="shared" si="8"/>
        <v>0</v>
      </c>
      <c r="L21" s="249">
        <f t="shared" si="8"/>
        <v>0</v>
      </c>
      <c r="M21" s="249">
        <f>C21+E21+G21+I21+K21</f>
        <v>262000</v>
      </c>
      <c r="N21" s="249">
        <f t="shared" ref="N21" si="9">SUM(N19:N20)</f>
        <v>-262000</v>
      </c>
    </row>
    <row r="24" spans="2:14" ht="14.5" x14ac:dyDescent="0.35">
      <c r="B24" s="208" t="s">
        <v>154</v>
      </c>
      <c r="C24" s="209"/>
    </row>
    <row r="25" spans="2:14" ht="13" x14ac:dyDescent="0.3">
      <c r="C25" s="767" t="s">
        <v>99</v>
      </c>
      <c r="D25" s="767"/>
      <c r="E25" s="767" t="s">
        <v>100</v>
      </c>
      <c r="F25" s="767"/>
      <c r="G25" s="767" t="s">
        <v>101</v>
      </c>
      <c r="H25" s="767"/>
      <c r="I25" s="767" t="s">
        <v>102</v>
      </c>
      <c r="J25" s="767"/>
      <c r="K25" s="767" t="s">
        <v>103</v>
      </c>
      <c r="L25" s="767"/>
      <c r="M25" s="767" t="s">
        <v>2</v>
      </c>
      <c r="N25" s="767"/>
    </row>
    <row r="26" spans="2:14" ht="13" x14ac:dyDescent="0.3">
      <c r="C26" s="210" t="s">
        <v>149</v>
      </c>
      <c r="D26" s="210" t="s">
        <v>150</v>
      </c>
      <c r="E26" s="210" t="s">
        <v>149</v>
      </c>
      <c r="F26" s="210" t="s">
        <v>150</v>
      </c>
      <c r="G26" s="210" t="s">
        <v>149</v>
      </c>
      <c r="H26" s="210" t="s">
        <v>150</v>
      </c>
      <c r="I26" s="210" t="s">
        <v>149</v>
      </c>
      <c r="J26" s="210" t="s">
        <v>150</v>
      </c>
      <c r="K26" s="210" t="s">
        <v>149</v>
      </c>
      <c r="L26" s="210" t="s">
        <v>150</v>
      </c>
      <c r="M26" s="210" t="s">
        <v>149</v>
      </c>
      <c r="N26" s="210" t="s">
        <v>150</v>
      </c>
    </row>
    <row r="27" spans="2:14" ht="13" x14ac:dyDescent="0.3">
      <c r="B27" s="210" t="s">
        <v>151</v>
      </c>
      <c r="C27" s="245">
        <v>0</v>
      </c>
      <c r="D27" s="245">
        <v>0</v>
      </c>
      <c r="E27" s="245">
        <v>0</v>
      </c>
      <c r="F27" s="245">
        <v>0</v>
      </c>
      <c r="G27" s="245">
        <v>0</v>
      </c>
      <c r="H27" s="245">
        <v>0</v>
      </c>
      <c r="I27" s="245">
        <v>0</v>
      </c>
      <c r="J27" s="245">
        <v>0</v>
      </c>
      <c r="K27" s="244">
        <v>0</v>
      </c>
      <c r="L27" s="245">
        <v>0</v>
      </c>
      <c r="M27" s="245">
        <f>C27+E27+G27+I27+K27</f>
        <v>0</v>
      </c>
      <c r="N27" s="245">
        <f>D27+F27+H27+J27+L27</f>
        <v>0</v>
      </c>
    </row>
    <row r="28" spans="2:14" ht="13" x14ac:dyDescent="0.3">
      <c r="B28" s="210" t="s">
        <v>152</v>
      </c>
      <c r="C28" s="245">
        <v>0</v>
      </c>
      <c r="D28" s="245">
        <v>0</v>
      </c>
      <c r="E28" s="245">
        <v>0</v>
      </c>
      <c r="F28" s="245">
        <v>0</v>
      </c>
      <c r="G28" s="245">
        <v>0</v>
      </c>
      <c r="H28" s="245">
        <v>0</v>
      </c>
      <c r="I28" s="245">
        <v>0</v>
      </c>
      <c r="J28" s="245">
        <v>0</v>
      </c>
      <c r="K28" s="244">
        <v>0</v>
      </c>
      <c r="L28" s="245">
        <v>0</v>
      </c>
      <c r="M28" s="245">
        <f>C28+E28+G28+I28+K28</f>
        <v>0</v>
      </c>
      <c r="N28" s="245">
        <f>D28+F28+H28+J28+L28</f>
        <v>0</v>
      </c>
    </row>
    <row r="29" spans="2:14" ht="13" x14ac:dyDescent="0.3">
      <c r="B29" s="211" t="s">
        <v>2</v>
      </c>
      <c r="C29" s="249">
        <f t="shared" ref="C29:N29" si="10">SUM(C27:C28)</f>
        <v>0</v>
      </c>
      <c r="D29" s="249">
        <f t="shared" si="10"/>
        <v>0</v>
      </c>
      <c r="E29" s="249">
        <f t="shared" si="10"/>
        <v>0</v>
      </c>
      <c r="F29" s="249">
        <f t="shared" si="10"/>
        <v>0</v>
      </c>
      <c r="G29" s="249">
        <f t="shared" si="10"/>
        <v>0</v>
      </c>
      <c r="H29" s="249">
        <f t="shared" si="10"/>
        <v>0</v>
      </c>
      <c r="I29" s="249">
        <f t="shared" si="10"/>
        <v>0</v>
      </c>
      <c r="J29" s="249">
        <f t="shared" si="10"/>
        <v>0</v>
      </c>
      <c r="K29" s="249">
        <f t="shared" si="10"/>
        <v>0</v>
      </c>
      <c r="L29" s="249">
        <f t="shared" si="10"/>
        <v>0</v>
      </c>
      <c r="M29" s="249">
        <f t="shared" si="10"/>
        <v>0</v>
      </c>
      <c r="N29" s="249">
        <f t="shared" si="10"/>
        <v>0</v>
      </c>
    </row>
    <row r="32" spans="2:14" x14ac:dyDescent="0.25">
      <c r="B32" s="209" t="s">
        <v>155</v>
      </c>
    </row>
    <row r="33" spans="2:14" ht="13" x14ac:dyDescent="0.3">
      <c r="C33" s="767" t="s">
        <v>99</v>
      </c>
      <c r="D33" s="767"/>
      <c r="E33" s="767" t="s">
        <v>100</v>
      </c>
      <c r="F33" s="767"/>
      <c r="G33" s="767" t="s">
        <v>101</v>
      </c>
      <c r="H33" s="767"/>
      <c r="I33" s="767" t="s">
        <v>102</v>
      </c>
      <c r="J33" s="767"/>
      <c r="K33" s="767" t="s">
        <v>103</v>
      </c>
      <c r="L33" s="767"/>
      <c r="M33" s="767" t="s">
        <v>2</v>
      </c>
      <c r="N33" s="767"/>
    </row>
    <row r="34" spans="2:14" ht="13" x14ac:dyDescent="0.3">
      <c r="C34" s="210" t="s">
        <v>149</v>
      </c>
      <c r="D34" s="210" t="s">
        <v>150</v>
      </c>
      <c r="E34" s="210" t="s">
        <v>149</v>
      </c>
      <c r="F34" s="210" t="s">
        <v>150</v>
      </c>
      <c r="G34" s="210" t="s">
        <v>149</v>
      </c>
      <c r="H34" s="210" t="s">
        <v>150</v>
      </c>
      <c r="I34" s="210" t="s">
        <v>149</v>
      </c>
      <c r="J34" s="210" t="s">
        <v>150</v>
      </c>
      <c r="K34" s="210" t="s">
        <v>149</v>
      </c>
      <c r="L34" s="210" t="s">
        <v>150</v>
      </c>
      <c r="M34" s="210" t="s">
        <v>149</v>
      </c>
      <c r="N34" s="210" t="s">
        <v>150</v>
      </c>
    </row>
    <row r="35" spans="2:14" ht="13" x14ac:dyDescent="0.3">
      <c r="B35" s="210" t="s">
        <v>151</v>
      </c>
      <c r="C35" s="245">
        <v>0</v>
      </c>
      <c r="D35" s="245">
        <v>-3461197.29</v>
      </c>
      <c r="E35" s="245">
        <v>0</v>
      </c>
      <c r="F35" s="245">
        <v>-8739602.3699999992</v>
      </c>
      <c r="G35" s="245">
        <v>135940</v>
      </c>
      <c r="H35" s="245">
        <v>-6091573.8899999997</v>
      </c>
      <c r="I35" s="245">
        <v>8186910</v>
      </c>
      <c r="J35" s="245">
        <v>-20245524.780000001</v>
      </c>
      <c r="K35" s="244">
        <v>0</v>
      </c>
      <c r="L35" s="245">
        <v>-8771320</v>
      </c>
      <c r="M35" s="245">
        <f>C35+E35+G35+I35+K35</f>
        <v>8322850</v>
      </c>
      <c r="N35" s="245">
        <f>D35+F35+H35+J35+L35</f>
        <v>-47309218.329999998</v>
      </c>
    </row>
    <row r="36" spans="2:14" ht="13" x14ac:dyDescent="0.3">
      <c r="B36" s="210" t="s">
        <v>152</v>
      </c>
      <c r="C36" s="245">
        <v>0</v>
      </c>
      <c r="D36" s="245">
        <v>-1752.71</v>
      </c>
      <c r="E36" s="245">
        <v>0</v>
      </c>
      <c r="F36" s="245">
        <v>-310.63</v>
      </c>
      <c r="G36" s="245">
        <v>1090</v>
      </c>
      <c r="H36" s="245">
        <v>-984746.11</v>
      </c>
      <c r="I36" s="245">
        <v>9321147</v>
      </c>
      <c r="J36" s="245">
        <v>-459462.22</v>
      </c>
      <c r="K36" s="244">
        <v>0</v>
      </c>
      <c r="L36" s="245">
        <v>-67480</v>
      </c>
      <c r="M36" s="245">
        <f>C36+E36+G36+I36+K36</f>
        <v>9322237</v>
      </c>
      <c r="N36" s="245">
        <f>D36+F36+H36+J36+L36</f>
        <v>-1513751.67</v>
      </c>
    </row>
    <row r="37" spans="2:14" ht="13" x14ac:dyDescent="0.3">
      <c r="B37" s="211" t="s">
        <v>2</v>
      </c>
      <c r="C37" s="249">
        <f>SUM(C35:C36)</f>
        <v>0</v>
      </c>
      <c r="D37" s="249">
        <f t="shared" ref="D37:L37" si="11">SUM(D35:D36)</f>
        <v>-3462950</v>
      </c>
      <c r="E37" s="249">
        <f t="shared" si="11"/>
        <v>0</v>
      </c>
      <c r="F37" s="249">
        <f t="shared" si="11"/>
        <v>-8739913</v>
      </c>
      <c r="G37" s="249">
        <f t="shared" si="11"/>
        <v>137030</v>
      </c>
      <c r="H37" s="249">
        <f t="shared" si="11"/>
        <v>-7076320</v>
      </c>
      <c r="I37" s="249">
        <f t="shared" si="11"/>
        <v>17508057</v>
      </c>
      <c r="J37" s="249">
        <f t="shared" si="11"/>
        <v>-20704987</v>
      </c>
      <c r="K37" s="249">
        <f t="shared" si="11"/>
        <v>0</v>
      </c>
      <c r="L37" s="249">
        <f t="shared" si="11"/>
        <v>-8838800</v>
      </c>
      <c r="M37" s="249">
        <f>SUM(M35:M36)</f>
        <v>17645087</v>
      </c>
      <c r="N37" s="249">
        <f t="shared" ref="N37" si="12">SUM(N35:N36)</f>
        <v>-48822970</v>
      </c>
    </row>
    <row r="39" spans="2:14" x14ac:dyDescent="0.25">
      <c r="L39" s="212"/>
    </row>
    <row r="40" spans="2:14" x14ac:dyDescent="0.25">
      <c r="B40" s="735" t="s">
        <v>324</v>
      </c>
    </row>
    <row r="41" spans="2:14" ht="13" x14ac:dyDescent="0.3">
      <c r="C41" s="767" t="s">
        <v>99</v>
      </c>
      <c r="D41" s="767"/>
      <c r="E41" s="767" t="s">
        <v>100</v>
      </c>
      <c r="F41" s="767"/>
      <c r="G41" s="767" t="s">
        <v>101</v>
      </c>
      <c r="H41" s="767"/>
      <c r="I41" s="767" t="s">
        <v>102</v>
      </c>
      <c r="J41" s="767"/>
      <c r="K41" s="767" t="s">
        <v>103</v>
      </c>
      <c r="L41" s="767"/>
      <c r="M41" s="767" t="s">
        <v>2</v>
      </c>
      <c r="N41" s="767"/>
    </row>
    <row r="42" spans="2:14" ht="13" x14ac:dyDescent="0.3">
      <c r="C42" s="210" t="s">
        <v>149</v>
      </c>
      <c r="D42" s="210" t="s">
        <v>150</v>
      </c>
      <c r="E42" s="210" t="s">
        <v>149</v>
      </c>
      <c r="F42" s="210" t="s">
        <v>150</v>
      </c>
      <c r="G42" s="210" t="s">
        <v>149</v>
      </c>
      <c r="H42" s="210" t="s">
        <v>150</v>
      </c>
      <c r="I42" s="210" t="s">
        <v>149</v>
      </c>
      <c r="J42" s="210" t="s">
        <v>150</v>
      </c>
      <c r="K42" s="210" t="s">
        <v>149</v>
      </c>
      <c r="L42" s="210" t="s">
        <v>150</v>
      </c>
      <c r="M42" s="210" t="s">
        <v>149</v>
      </c>
      <c r="N42" s="210" t="s">
        <v>150</v>
      </c>
    </row>
    <row r="43" spans="2:14" ht="13" x14ac:dyDescent="0.3">
      <c r="B43" s="210" t="s">
        <v>151</v>
      </c>
      <c r="C43" s="245">
        <v>0</v>
      </c>
      <c r="D43" s="245">
        <v>0</v>
      </c>
      <c r="E43" s="245">
        <v>0</v>
      </c>
      <c r="F43" s="245">
        <v>0</v>
      </c>
      <c r="G43" s="245">
        <v>0</v>
      </c>
      <c r="H43" s="245">
        <v>0</v>
      </c>
      <c r="I43" s="245">
        <v>0</v>
      </c>
      <c r="J43" s="245">
        <v>0</v>
      </c>
      <c r="K43" s="244">
        <v>0</v>
      </c>
      <c r="L43" s="245">
        <v>0</v>
      </c>
      <c r="M43" s="245">
        <f>C43+E43+G43+I43+K43</f>
        <v>0</v>
      </c>
      <c r="N43" s="245">
        <f>D43+F43+H43+J43+L43</f>
        <v>0</v>
      </c>
    </row>
    <row r="44" spans="2:14" ht="13" x14ac:dyDescent="0.3">
      <c r="B44" s="210" t="s">
        <v>152</v>
      </c>
      <c r="C44" s="245">
        <v>0</v>
      </c>
      <c r="D44" s="245">
        <v>0</v>
      </c>
      <c r="E44" s="245">
        <v>0</v>
      </c>
      <c r="F44" s="245">
        <v>0</v>
      </c>
      <c r="G44" s="245">
        <v>0</v>
      </c>
      <c r="H44" s="245">
        <v>0</v>
      </c>
      <c r="I44" s="245">
        <v>0</v>
      </c>
      <c r="J44" s="245">
        <v>0</v>
      </c>
      <c r="K44" s="244">
        <v>0</v>
      </c>
      <c r="L44" s="245">
        <v>0</v>
      </c>
      <c r="M44" s="245">
        <f>C44+E44+G44+I44+K44</f>
        <v>0</v>
      </c>
      <c r="N44" s="245">
        <f>D44+F44+H44+J44+L44</f>
        <v>0</v>
      </c>
    </row>
    <row r="45" spans="2:14" ht="13" x14ac:dyDescent="0.3">
      <c r="B45" s="211" t="s">
        <v>2</v>
      </c>
      <c r="C45" s="249">
        <f>SUM(C43:C44)</f>
        <v>0</v>
      </c>
      <c r="D45" s="249">
        <f>SUM(D43:D44)</f>
        <v>0</v>
      </c>
      <c r="E45" s="249">
        <f t="shared" ref="E45:J45" si="13">SUM(E43:E44)</f>
        <v>0</v>
      </c>
      <c r="F45" s="249">
        <f t="shared" si="13"/>
        <v>0</v>
      </c>
      <c r="G45" s="249">
        <f t="shared" si="13"/>
        <v>0</v>
      </c>
      <c r="H45" s="249">
        <f t="shared" si="13"/>
        <v>0</v>
      </c>
      <c r="I45" s="249">
        <f t="shared" si="13"/>
        <v>0</v>
      </c>
      <c r="J45" s="249">
        <f t="shared" si="13"/>
        <v>0</v>
      </c>
      <c r="K45" s="249">
        <f>SUM(K43:K44)</f>
        <v>0</v>
      </c>
      <c r="L45" s="249">
        <f>SUM(L43:L44)</f>
        <v>0</v>
      </c>
      <c r="M45" s="249">
        <f>SUM(M43:M44)</f>
        <v>0</v>
      </c>
      <c r="N45" s="249">
        <f>SUM(N43:N44)</f>
        <v>0</v>
      </c>
    </row>
  </sheetData>
  <mergeCells count="36">
    <mergeCell ref="M33:N33"/>
    <mergeCell ref="C33:D33"/>
    <mergeCell ref="E33:F33"/>
    <mergeCell ref="G33:H33"/>
    <mergeCell ref="I33:J33"/>
    <mergeCell ref="K33:L33"/>
    <mergeCell ref="M9:N9"/>
    <mergeCell ref="C9:D9"/>
    <mergeCell ref="E9:F9"/>
    <mergeCell ref="G9:H9"/>
    <mergeCell ref="I9:J9"/>
    <mergeCell ref="K9:L9"/>
    <mergeCell ref="M25:N25"/>
    <mergeCell ref="C17:D17"/>
    <mergeCell ref="E17:F17"/>
    <mergeCell ref="G17:H17"/>
    <mergeCell ref="I17:J17"/>
    <mergeCell ref="K17:L17"/>
    <mergeCell ref="M17:N17"/>
    <mergeCell ref="C25:D25"/>
    <mergeCell ref="E25:F25"/>
    <mergeCell ref="G25:H25"/>
    <mergeCell ref="I25:J25"/>
    <mergeCell ref="K25:L25"/>
    <mergeCell ref="M1:N1"/>
    <mergeCell ref="C1:D1"/>
    <mergeCell ref="E1:F1"/>
    <mergeCell ref="G1:H1"/>
    <mergeCell ref="I1:J1"/>
    <mergeCell ref="K1:L1"/>
    <mergeCell ref="M41:N41"/>
    <mergeCell ref="C41:D41"/>
    <mergeCell ref="E41:F41"/>
    <mergeCell ref="G41:H41"/>
    <mergeCell ref="I41:J41"/>
    <mergeCell ref="K41:L4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1:T2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8" sqref="C8"/>
    </sheetView>
  </sheetViews>
  <sheetFormatPr baseColWidth="10" defaultRowHeight="12.5" x14ac:dyDescent="0.25"/>
  <cols>
    <col min="1" max="1" width="2.453125" customWidth="1"/>
    <col min="2" max="2" width="8" customWidth="1"/>
    <col min="3" max="3" width="15.7265625" bestFit="1" customWidth="1"/>
    <col min="4" max="4" width="1.7265625" style="238" customWidth="1"/>
    <col min="5" max="5" width="14.7265625" customWidth="1"/>
    <col min="6" max="6" width="15.7265625" bestFit="1" customWidth="1"/>
    <col min="7" max="7" width="1.7265625" style="238" customWidth="1"/>
    <col min="8" max="8" width="9.26953125" customWidth="1"/>
    <col min="9" max="9" width="15.7265625" bestFit="1" customWidth="1"/>
    <col min="10" max="10" width="1.7265625" style="238" customWidth="1"/>
    <col min="11" max="11" width="14.26953125" customWidth="1"/>
    <col min="12" max="12" width="17.453125" customWidth="1"/>
    <col min="13" max="13" width="1.7265625" style="238" customWidth="1"/>
    <col min="14" max="14" width="14.26953125" customWidth="1"/>
    <col min="15" max="15" width="17.453125" customWidth="1"/>
    <col min="16" max="16" width="1.7265625" style="238" customWidth="1"/>
    <col min="17" max="17" width="20.26953125" customWidth="1"/>
    <col min="18" max="18" width="15.7265625" bestFit="1" customWidth="1"/>
    <col min="19" max="19" width="3.54296875" customWidth="1"/>
    <col min="20" max="20" width="48.453125" bestFit="1" customWidth="1"/>
  </cols>
  <sheetData>
    <row r="1" spans="2:20" ht="13" thickBot="1" x14ac:dyDescent="0.3">
      <c r="B1" s="142" t="s">
        <v>2</v>
      </c>
      <c r="E1" s="142" t="s">
        <v>160</v>
      </c>
      <c r="H1" t="s">
        <v>155</v>
      </c>
      <c r="K1" s="721" t="s">
        <v>324</v>
      </c>
      <c r="L1" s="721"/>
      <c r="N1" t="s">
        <v>119</v>
      </c>
      <c r="Q1" t="s">
        <v>165</v>
      </c>
    </row>
    <row r="2" spans="2:20" ht="35" thickBot="1" x14ac:dyDescent="0.3">
      <c r="B2" s="11" t="s">
        <v>3</v>
      </c>
      <c r="C2" s="12" t="s">
        <v>114</v>
      </c>
      <c r="E2" s="11" t="s">
        <v>3</v>
      </c>
      <c r="F2" s="12" t="s">
        <v>114</v>
      </c>
      <c r="H2" s="11" t="s">
        <v>3</v>
      </c>
      <c r="I2" s="12" t="s">
        <v>114</v>
      </c>
      <c r="K2" s="11" t="s">
        <v>3</v>
      </c>
      <c r="L2" s="12" t="s">
        <v>114</v>
      </c>
      <c r="N2" s="11" t="s">
        <v>3</v>
      </c>
      <c r="O2" s="12" t="s">
        <v>114</v>
      </c>
      <c r="Q2" s="11" t="s">
        <v>3</v>
      </c>
      <c r="R2" s="12" t="s">
        <v>114</v>
      </c>
      <c r="T2" t="s">
        <v>94</v>
      </c>
    </row>
    <row r="3" spans="2:20" x14ac:dyDescent="0.25">
      <c r="B3" s="14">
        <v>1</v>
      </c>
      <c r="C3" s="15">
        <f>'REPORTE RECAUDO x BANCO'!I14</f>
        <v>33419430.490000002</v>
      </c>
      <c r="E3" s="14">
        <v>1</v>
      </c>
      <c r="F3" s="15">
        <f>'REPORTE RECAUDO x BANCO'!F14</f>
        <v>0</v>
      </c>
      <c r="H3" s="14">
        <v>1</v>
      </c>
      <c r="I3" s="15">
        <f>'REPORTE RECAUDO x BANCO'!C14</f>
        <v>25429155</v>
      </c>
      <c r="K3" s="14">
        <v>1</v>
      </c>
      <c r="L3" s="15">
        <f>'REPORTE RECAUDO x BANCO'!G14</f>
        <v>0</v>
      </c>
      <c r="N3" s="14">
        <v>1</v>
      </c>
      <c r="O3" s="15">
        <f>'REPORTE RECAUDO x BANCO'!H14</f>
        <v>7990275.4900000002</v>
      </c>
      <c r="Q3" s="14">
        <v>1</v>
      </c>
      <c r="R3" s="15">
        <f>'REPORTE RECAUDO x BANCO'!D14+'REPORTE RECAUDO x BANCO'!E14</f>
        <v>0</v>
      </c>
      <c r="T3" t="s">
        <v>95</v>
      </c>
    </row>
    <row r="4" spans="2:20" x14ac:dyDescent="0.25">
      <c r="B4" s="16">
        <v>2</v>
      </c>
      <c r="C4" s="15">
        <f>'REPORTE RECAUDO x BANCO'!I24</f>
        <v>88020913.75</v>
      </c>
      <c r="E4" s="16">
        <v>2</v>
      </c>
      <c r="F4" s="15">
        <f>'REPORTE RECAUDO x BANCO'!F24</f>
        <v>8181830</v>
      </c>
      <c r="H4" s="16">
        <v>2</v>
      </c>
      <c r="I4" s="15">
        <f>'REPORTE RECAUDO x BANCO'!C24</f>
        <v>27050219</v>
      </c>
      <c r="K4" s="16">
        <v>2</v>
      </c>
      <c r="L4" s="15">
        <f>'REPORTE RECAUDO x BANCO'!G24</f>
        <v>0</v>
      </c>
      <c r="N4" s="16">
        <v>2</v>
      </c>
      <c r="O4" s="15">
        <f>'REPORTE RECAUDO x BANCO'!H24</f>
        <v>52788864.75</v>
      </c>
      <c r="Q4" s="16">
        <v>2</v>
      </c>
      <c r="R4" s="15">
        <f>'REPORTE RECAUDO x BANCO'!D24+'REPORTE RECAUDO x BANCO'!E24</f>
        <v>0</v>
      </c>
    </row>
    <row r="5" spans="2:20" x14ac:dyDescent="0.25">
      <c r="B5" s="16">
        <v>3</v>
      </c>
      <c r="C5" s="15">
        <f>'REPORTE RECAUDO x BANCO'!I33</f>
        <v>8946171</v>
      </c>
      <c r="E5" s="16">
        <v>3</v>
      </c>
      <c r="F5" s="15">
        <f>'REPORTE RECAUDO x BANCO'!F33</f>
        <v>0</v>
      </c>
      <c r="H5" s="16">
        <v>3</v>
      </c>
      <c r="I5" s="15">
        <f>'REPORTE RECAUDO x BANCO'!C33</f>
        <v>6025131</v>
      </c>
      <c r="K5" s="16">
        <v>3</v>
      </c>
      <c r="L5" s="15">
        <f>'REPORTE RECAUDO x BANCO'!G33</f>
        <v>0</v>
      </c>
      <c r="N5" s="16">
        <v>3</v>
      </c>
      <c r="O5" s="15">
        <f>'REPORTE RECAUDO x BANCO'!H33</f>
        <v>2921040</v>
      </c>
      <c r="Q5" s="16">
        <v>3</v>
      </c>
      <c r="R5" s="15">
        <f>'REPORTE RECAUDO x BANCO'!D33+'REPORTE RECAUDO x BANCO'!E33</f>
        <v>0</v>
      </c>
    </row>
    <row r="6" spans="2:20" x14ac:dyDescent="0.25">
      <c r="B6" s="16">
        <v>4</v>
      </c>
      <c r="C6" s="15">
        <f>'REPORTE RECAUDO x BANCO'!I42</f>
        <v>41072279.719999999</v>
      </c>
      <c r="E6" s="16">
        <v>4</v>
      </c>
      <c r="F6" s="15">
        <f>'REPORTE RECAUDO x BANCO'!F42</f>
        <v>5225400</v>
      </c>
      <c r="H6" s="16">
        <v>4</v>
      </c>
      <c r="I6" s="15">
        <f>'REPORTE RECAUDO x BANCO'!C42</f>
        <v>27660196</v>
      </c>
      <c r="K6" s="16">
        <v>4</v>
      </c>
      <c r="L6" s="15">
        <f>'REPORTE RECAUDO x BANCO'!G42</f>
        <v>0</v>
      </c>
      <c r="N6" s="16">
        <v>4</v>
      </c>
      <c r="O6" s="15">
        <f>'REPORTE RECAUDO x BANCO'!H42</f>
        <v>8186683.7199999997</v>
      </c>
      <c r="Q6" s="16">
        <v>4</v>
      </c>
      <c r="R6" s="15">
        <f>'REPORTE RECAUDO x BANCO'!D42+'REPORTE RECAUDO x BANCO'!E42</f>
        <v>0</v>
      </c>
    </row>
    <row r="7" spans="2:20" ht="13" thickBot="1" x14ac:dyDescent="0.3">
      <c r="B7" s="19">
        <v>5</v>
      </c>
      <c r="C7" s="15">
        <f>'REPORTE RECAUDO x BANCO'!I52</f>
        <v>14445987</v>
      </c>
      <c r="E7" s="19">
        <v>5</v>
      </c>
      <c r="F7" s="15">
        <f>'REPORTE RECAUDO x BANCO'!F52</f>
        <v>0</v>
      </c>
      <c r="H7" s="19">
        <v>5</v>
      </c>
      <c r="I7" s="15">
        <f>'REPORTE RECAUDO x BANCO'!C52</f>
        <v>9759043</v>
      </c>
      <c r="K7" s="19">
        <v>5</v>
      </c>
      <c r="L7" s="15">
        <f>'REPORTE RECAUDO x BANCO'!G52</f>
        <v>1379910</v>
      </c>
      <c r="N7" s="19">
        <v>5</v>
      </c>
      <c r="O7" s="15">
        <f>'REPORTE RECAUDO x BANCO'!H52</f>
        <v>3307034</v>
      </c>
      <c r="Q7" s="19">
        <v>5</v>
      </c>
      <c r="R7" s="15">
        <f>'REPORTE RECAUDO x BANCO'!D52+'REPORTE RECAUDO x BANCO'!E52</f>
        <v>0</v>
      </c>
    </row>
    <row r="8" spans="2:20" ht="13" thickBot="1" x14ac:dyDescent="0.3">
      <c r="B8" s="21"/>
      <c r="C8" s="47">
        <f>SUM(C3:C7)</f>
        <v>185904781.96000001</v>
      </c>
      <c r="E8" s="21"/>
      <c r="F8" s="47">
        <f>SUM(F3:F7)</f>
        <v>13407230</v>
      </c>
      <c r="H8" s="21"/>
      <c r="I8" s="47">
        <f>SUM(I3:I7)</f>
        <v>95923744</v>
      </c>
      <c r="K8" s="21"/>
      <c r="L8" s="47">
        <f>SUM(L3:L7)</f>
        <v>1379910</v>
      </c>
      <c r="N8" s="21"/>
      <c r="O8" s="47">
        <f>SUM(O3:O7)</f>
        <v>75193897.960000008</v>
      </c>
      <c r="Q8" s="21"/>
      <c r="R8" s="47">
        <f>SUM(R3:R7)</f>
        <v>0</v>
      </c>
    </row>
    <row r="9" spans="2:20" x14ac:dyDescent="0.25">
      <c r="C9" s="209" t="b">
        <f>C8='REPORTE RECAUDO x BANCO'!I3</f>
        <v>1</v>
      </c>
      <c r="F9" s="209" t="b">
        <f>F8='REPORTE RECAUDO x BANCO'!F3</f>
        <v>1</v>
      </c>
      <c r="I9" s="209" t="b">
        <f>I8='REPORTE RECAUDO x BANCO'!C3</f>
        <v>1</v>
      </c>
      <c r="L9" s="209" t="b">
        <f>L8='REPORTE RECAUDO x BANCO'!G3</f>
        <v>1</v>
      </c>
      <c r="O9" s="209" t="b">
        <f>O8='REPORTE RECAUDO x BANCO'!H3</f>
        <v>1</v>
      </c>
      <c r="R9" s="209" t="b">
        <f>R8='REPORTE RECAUDO x BANCO'!D3+'REPORTE RECAUDO x BANCO'!E3</f>
        <v>1</v>
      </c>
    </row>
    <row r="10" spans="2:20" ht="13" thickBot="1" x14ac:dyDescent="0.3"/>
    <row r="11" spans="2:20" ht="58" thickBot="1" x14ac:dyDescent="0.3">
      <c r="B11" s="11" t="s">
        <v>3</v>
      </c>
      <c r="C11" s="12" t="s">
        <v>145</v>
      </c>
      <c r="E11" s="11" t="s">
        <v>3</v>
      </c>
      <c r="F11" s="12" t="s">
        <v>145</v>
      </c>
      <c r="H11" s="11" t="s">
        <v>3</v>
      </c>
      <c r="I11" s="12" t="s">
        <v>145</v>
      </c>
      <c r="K11" s="11" t="s">
        <v>3</v>
      </c>
      <c r="L11" s="12" t="s">
        <v>145</v>
      </c>
      <c r="N11" s="11" t="s">
        <v>3</v>
      </c>
      <c r="O11" s="12" t="s">
        <v>145</v>
      </c>
      <c r="Q11" s="11" t="s">
        <v>3</v>
      </c>
      <c r="R11" s="12" t="s">
        <v>145</v>
      </c>
      <c r="T11" s="142" t="s">
        <v>146</v>
      </c>
    </row>
    <row r="12" spans="2:20" x14ac:dyDescent="0.25">
      <c r="B12" s="14">
        <v>1</v>
      </c>
      <c r="C12" s="15">
        <f>'ANT EXT-REV'!C4</f>
        <v>40630</v>
      </c>
      <c r="E12" s="14">
        <v>1</v>
      </c>
      <c r="F12" s="15">
        <f>'ANT EXT-REV'!C20</f>
        <v>0</v>
      </c>
      <c r="H12" s="14">
        <v>1</v>
      </c>
      <c r="I12" s="15">
        <f>'ANT EXT-REV'!C36</f>
        <v>0</v>
      </c>
      <c r="K12" s="14">
        <v>1</v>
      </c>
      <c r="L12" s="15">
        <f>'ANT EXT-REV'!A12</f>
        <v>0</v>
      </c>
      <c r="N12" s="14">
        <v>1</v>
      </c>
      <c r="O12" s="15">
        <f>'ANT EXT-REV'!C12</f>
        <v>40630</v>
      </c>
      <c r="Q12" s="14">
        <v>1</v>
      </c>
      <c r="R12" s="15">
        <f>'ANT EXT-REV'!C28</f>
        <v>0</v>
      </c>
      <c r="T12" s="142" t="s">
        <v>147</v>
      </c>
    </row>
    <row r="13" spans="2:20" x14ac:dyDescent="0.25">
      <c r="B13" s="16">
        <v>2</v>
      </c>
      <c r="C13" s="15">
        <f>'ANT EXT-REV'!E4</f>
        <v>0</v>
      </c>
      <c r="E13" s="16">
        <v>2</v>
      </c>
      <c r="F13" s="15">
        <f>'ANT EXT-REV'!E20</f>
        <v>0</v>
      </c>
      <c r="H13" s="16">
        <v>2</v>
      </c>
      <c r="I13" s="15">
        <f>'ANT EXT-REV'!E36</f>
        <v>0</v>
      </c>
      <c r="K13" s="16">
        <v>2</v>
      </c>
      <c r="L13" s="15">
        <f>'ANT EXT-REV'!E44</f>
        <v>0</v>
      </c>
      <c r="N13" s="16">
        <v>2</v>
      </c>
      <c r="O13" s="15">
        <f>'ANT EXT-REV'!E12</f>
        <v>0</v>
      </c>
      <c r="Q13" s="16">
        <v>2</v>
      </c>
      <c r="R13" s="15">
        <f>'ANT EXT-REV'!E28</f>
        <v>0</v>
      </c>
    </row>
    <row r="14" spans="2:20" x14ac:dyDescent="0.25">
      <c r="B14" s="16">
        <v>3</v>
      </c>
      <c r="C14" s="15">
        <f>'ANT EXT-REV'!G4</f>
        <v>2320</v>
      </c>
      <c r="E14" s="16">
        <v>3</v>
      </c>
      <c r="F14" s="15">
        <f>'ANT EXT-REV'!G20</f>
        <v>0</v>
      </c>
      <c r="H14" s="16">
        <v>3</v>
      </c>
      <c r="I14" s="15">
        <f>'ANT EXT-REV'!G36</f>
        <v>1090</v>
      </c>
      <c r="K14" s="16">
        <v>3</v>
      </c>
      <c r="L14" s="15">
        <f>'ANT EXT-REV'!G44</f>
        <v>0</v>
      </c>
      <c r="N14" s="16">
        <v>3</v>
      </c>
      <c r="O14" s="15">
        <f>'ANT EXT-REV'!G12</f>
        <v>1230</v>
      </c>
      <c r="Q14" s="16">
        <v>3</v>
      </c>
      <c r="R14" s="15">
        <f>'ANT EXT-REV'!G28</f>
        <v>0</v>
      </c>
    </row>
    <row r="15" spans="2:20" x14ac:dyDescent="0.25">
      <c r="B15" s="16">
        <v>4</v>
      </c>
      <c r="C15" s="15">
        <f>'ANT EXT-REV'!I4</f>
        <v>10812878</v>
      </c>
      <c r="E15" s="16">
        <v>4</v>
      </c>
      <c r="F15" s="15">
        <f>'ANT EXT-REV'!I20</f>
        <v>53030</v>
      </c>
      <c r="H15" s="16">
        <v>4</v>
      </c>
      <c r="I15" s="15">
        <f>'ANT EXT-REV'!I36</f>
        <v>9321147</v>
      </c>
      <c r="K15" s="16">
        <v>4</v>
      </c>
      <c r="L15" s="15">
        <f>'ANT EXT-REV'!I44</f>
        <v>0</v>
      </c>
      <c r="N15" s="16">
        <v>4</v>
      </c>
      <c r="O15" s="15">
        <f>'ANT EXT-REV'!I12</f>
        <v>1438701</v>
      </c>
      <c r="Q15" s="16">
        <v>4</v>
      </c>
      <c r="R15" s="15">
        <f>'ANT EXT-REV'!I28</f>
        <v>0</v>
      </c>
    </row>
    <row r="16" spans="2:20" ht="13" thickBot="1" x14ac:dyDescent="0.3">
      <c r="B16" s="19">
        <v>5</v>
      </c>
      <c r="C16" s="15">
        <f>'ANT EXT-REV'!K4</f>
        <v>309980</v>
      </c>
      <c r="E16" s="19">
        <v>5</v>
      </c>
      <c r="F16" s="15">
        <f>'ANT EXT-REV'!K20</f>
        <v>0</v>
      </c>
      <c r="H16" s="19">
        <v>5</v>
      </c>
      <c r="I16" s="15">
        <f>'ANT EXT-REV'!K36</f>
        <v>0</v>
      </c>
      <c r="K16" s="19">
        <v>5</v>
      </c>
      <c r="L16" s="15">
        <f>'ANT EXT-REV'!K44</f>
        <v>0</v>
      </c>
      <c r="N16" s="19">
        <v>5</v>
      </c>
      <c r="O16" s="15">
        <f>'ANT EXT-REV'!K12</f>
        <v>309980</v>
      </c>
      <c r="Q16" s="19">
        <v>5</v>
      </c>
      <c r="R16" s="15">
        <f>'ANT EXT-REV'!K28</f>
        <v>0</v>
      </c>
    </row>
    <row r="17" spans="2:20" ht="13" thickBot="1" x14ac:dyDescent="0.3">
      <c r="B17" s="21"/>
      <c r="C17" s="47">
        <f>SUM(C12:C16)</f>
        <v>11165808</v>
      </c>
      <c r="E17" s="21"/>
      <c r="F17" s="47">
        <f>SUM(F12:F16)</f>
        <v>53030</v>
      </c>
      <c r="H17" s="21"/>
      <c r="I17" s="47">
        <f>SUM(I12:I16)</f>
        <v>9322237</v>
      </c>
      <c r="K17" s="21"/>
      <c r="L17" s="47">
        <f>SUM(L12:L16)</f>
        <v>0</v>
      </c>
      <c r="N17" s="21"/>
      <c r="O17" s="47">
        <f>SUM(O12:O16)</f>
        <v>1790541</v>
      </c>
      <c r="Q17" s="21"/>
      <c r="R17" s="47">
        <f>SUM(R12:R16)</f>
        <v>0</v>
      </c>
    </row>
    <row r="18" spans="2:20" x14ac:dyDescent="0.25">
      <c r="C18" s="209" t="b">
        <f>C17='ANT EXT-REV'!M4</f>
        <v>1</v>
      </c>
      <c r="F18" s="209" t="b">
        <f>F17='ANT EXT-REV'!M20</f>
        <v>1</v>
      </c>
      <c r="I18" s="209" t="b">
        <f>I17='ANT EXT-REV'!M36</f>
        <v>1</v>
      </c>
      <c r="L18" s="209" t="b">
        <f>L17='ANT EXT-REV'!M44</f>
        <v>1</v>
      </c>
      <c r="O18" s="209" t="b">
        <f>O17='ANT EXT-REV'!M12</f>
        <v>1</v>
      </c>
      <c r="R18" s="209" t="b">
        <f>R17='ANT EXT-REV'!M28</f>
        <v>1</v>
      </c>
    </row>
    <row r="19" spans="2:20" ht="13" thickBot="1" x14ac:dyDescent="0.3"/>
    <row r="20" spans="2:20" ht="35" thickBot="1" x14ac:dyDescent="0.3">
      <c r="B20" s="11" t="s">
        <v>3</v>
      </c>
      <c r="C20" s="12" t="s">
        <v>169</v>
      </c>
      <c r="E20" s="11" t="s">
        <v>3</v>
      </c>
      <c r="F20" s="12" t="s">
        <v>169</v>
      </c>
      <c r="H20" s="11" t="s">
        <v>3</v>
      </c>
      <c r="I20" s="12" t="s">
        <v>169</v>
      </c>
      <c r="K20" s="11" t="s">
        <v>3</v>
      </c>
      <c r="L20" s="12" t="s">
        <v>169</v>
      </c>
      <c r="N20" s="11" t="s">
        <v>3</v>
      </c>
      <c r="O20" s="12" t="s">
        <v>169</v>
      </c>
      <c r="Q20" s="11" t="s">
        <v>3</v>
      </c>
      <c r="R20" s="12" t="s">
        <v>169</v>
      </c>
      <c r="T20" s="142" t="s">
        <v>170</v>
      </c>
    </row>
    <row r="21" spans="2:20" x14ac:dyDescent="0.25">
      <c r="B21" s="14">
        <v>1</v>
      </c>
      <c r="C21" s="15">
        <f>'ANT EXT-REV'!D4</f>
        <v>-1752.71</v>
      </c>
      <c r="E21" s="14">
        <v>1</v>
      </c>
      <c r="F21" s="15">
        <f>'ANT EXT-REV'!D20</f>
        <v>0</v>
      </c>
      <c r="H21" s="14">
        <v>1</v>
      </c>
      <c r="I21" s="15">
        <f>'ANT EXT-REV'!D36</f>
        <v>-1752.71</v>
      </c>
      <c r="K21" s="14">
        <v>1</v>
      </c>
      <c r="L21" s="15">
        <f>'ANT EXT-REV'!D44</f>
        <v>0</v>
      </c>
      <c r="N21" s="14">
        <v>1</v>
      </c>
      <c r="O21" s="15">
        <f>'ANT EXT-REV'!D12</f>
        <v>0</v>
      </c>
      <c r="Q21" s="14">
        <v>1</v>
      </c>
      <c r="R21" s="15">
        <f>'ANT EXT-REV'!D28</f>
        <v>0</v>
      </c>
      <c r="T21" s="142" t="s">
        <v>147</v>
      </c>
    </row>
    <row r="22" spans="2:20" x14ac:dyDescent="0.25">
      <c r="B22" s="16">
        <v>2</v>
      </c>
      <c r="C22" s="15">
        <f>'ANT EXT-REV'!F4</f>
        <v>-310.63</v>
      </c>
      <c r="E22" s="16">
        <v>2</v>
      </c>
      <c r="F22" s="15">
        <f>'ANT EXT-REV'!F20</f>
        <v>0</v>
      </c>
      <c r="H22" s="16">
        <v>2</v>
      </c>
      <c r="I22" s="15">
        <f>'ANT EXT-REV'!F36</f>
        <v>-310.63</v>
      </c>
      <c r="K22" s="16">
        <v>2</v>
      </c>
      <c r="L22" s="15">
        <f>'ANT EXT-REV'!F44</f>
        <v>0</v>
      </c>
      <c r="N22" s="16">
        <v>2</v>
      </c>
      <c r="O22" s="15">
        <f>'ANT EXT-REV'!F12</f>
        <v>0</v>
      </c>
      <c r="Q22" s="16">
        <v>2</v>
      </c>
      <c r="R22" s="15">
        <f>'ANT EXT-REV'!F28</f>
        <v>0</v>
      </c>
    </row>
    <row r="23" spans="2:20" x14ac:dyDescent="0.25">
      <c r="B23" s="16">
        <v>3</v>
      </c>
      <c r="C23" s="15">
        <f>'ANT EXT-REV'!H4</f>
        <v>-984746.11</v>
      </c>
      <c r="E23" s="16">
        <v>3</v>
      </c>
      <c r="F23" s="15">
        <f>'ANT EXT-REV'!H20</f>
        <v>0</v>
      </c>
      <c r="H23" s="16">
        <v>3</v>
      </c>
      <c r="I23" s="15">
        <f>'ANT EXT-REV'!H36</f>
        <v>-984746.11</v>
      </c>
      <c r="K23" s="16">
        <v>3</v>
      </c>
      <c r="L23" s="15">
        <f>'ANT EXT-REV'!H44</f>
        <v>0</v>
      </c>
      <c r="N23" s="16">
        <v>3</v>
      </c>
      <c r="O23" s="15">
        <f>'ANT EXT-REV'!H12</f>
        <v>0</v>
      </c>
      <c r="Q23" s="16">
        <v>3</v>
      </c>
      <c r="R23" s="15">
        <f>'ANT EXT-REV'!H28</f>
        <v>0</v>
      </c>
    </row>
    <row r="24" spans="2:20" x14ac:dyDescent="0.25">
      <c r="B24" s="16">
        <v>4</v>
      </c>
      <c r="C24" s="15">
        <f>'ANT EXT-REV'!J4</f>
        <v>-459462.22</v>
      </c>
      <c r="E24" s="16">
        <v>4</v>
      </c>
      <c r="F24" s="15">
        <f>'ANT EXT-REV'!J20</f>
        <v>0</v>
      </c>
      <c r="H24" s="16">
        <v>4</v>
      </c>
      <c r="I24" s="15">
        <f>'ANT EXT-REV'!J36</f>
        <v>-459462.22</v>
      </c>
      <c r="K24" s="16">
        <v>4</v>
      </c>
      <c r="L24" s="15">
        <f>'ANT EXT-REV'!J44</f>
        <v>0</v>
      </c>
      <c r="N24" s="16">
        <v>4</v>
      </c>
      <c r="O24" s="15">
        <f>'ANT EXT-REV'!J12</f>
        <v>0</v>
      </c>
      <c r="Q24" s="16">
        <v>4</v>
      </c>
      <c r="R24" s="15">
        <f>'ANT EXT-REV'!J28</f>
        <v>0</v>
      </c>
    </row>
    <row r="25" spans="2:20" ht="13" thickBot="1" x14ac:dyDescent="0.3">
      <c r="B25" s="19">
        <v>5</v>
      </c>
      <c r="C25" s="15">
        <f>'ANT EXT-REV'!L4</f>
        <v>-133820</v>
      </c>
      <c r="E25" s="19">
        <v>5</v>
      </c>
      <c r="F25" s="15">
        <f>'ANT EXT-REV'!L20</f>
        <v>0</v>
      </c>
      <c r="H25" s="19">
        <v>5</v>
      </c>
      <c r="I25" s="15">
        <f>'ANT EXT-REV'!L36</f>
        <v>-67480</v>
      </c>
      <c r="K25" s="19">
        <v>5</v>
      </c>
      <c r="L25" s="15">
        <f>'ANT EXT-REV'!L44</f>
        <v>0</v>
      </c>
      <c r="N25" s="19">
        <v>5</v>
      </c>
      <c r="O25" s="15">
        <f>'ANT EXT-REV'!L12</f>
        <v>-66340</v>
      </c>
      <c r="Q25" s="19">
        <v>5</v>
      </c>
      <c r="R25" s="15">
        <f>'ANT EXT-REV'!L28</f>
        <v>0</v>
      </c>
    </row>
    <row r="26" spans="2:20" ht="13" thickBot="1" x14ac:dyDescent="0.3">
      <c r="B26" s="21"/>
      <c r="C26" s="47">
        <f t="shared" ref="C26" si="0">SUM(C21:C25)</f>
        <v>-1580091.67</v>
      </c>
      <c r="E26" s="21"/>
      <c r="F26" s="47">
        <f t="shared" ref="F26" si="1">SUM(F21:F25)</f>
        <v>0</v>
      </c>
      <c r="H26" s="21"/>
      <c r="I26" s="47">
        <f t="shared" ref="I26" si="2">SUM(I21:I25)</f>
        <v>-1513751.67</v>
      </c>
      <c r="K26" s="21"/>
      <c r="L26" s="47">
        <f t="shared" ref="L26:O26" si="3">SUM(L21:L25)</f>
        <v>0</v>
      </c>
      <c r="N26" s="21"/>
      <c r="O26" s="47">
        <f t="shared" si="3"/>
        <v>-66340</v>
      </c>
      <c r="Q26" s="21"/>
      <c r="R26" s="47">
        <f t="shared" ref="R26" si="4">SUM(R21:R25)</f>
        <v>0</v>
      </c>
    </row>
    <row r="27" spans="2:20" x14ac:dyDescent="0.25">
      <c r="C27" s="209" t="b">
        <f>C26='ANT EXT-REV'!N4</f>
        <v>1</v>
      </c>
      <c r="F27" s="209" t="b">
        <f>F26='ANT EXT-REV'!N20</f>
        <v>1</v>
      </c>
      <c r="I27" s="209" t="b">
        <f>I26='ANT EXT-REV'!N36</f>
        <v>1</v>
      </c>
      <c r="L27" s="209" t="b">
        <f>L26='ANT EXT-REV'!N44</f>
        <v>1</v>
      </c>
      <c r="O27" s="209" t="b">
        <f>O26='ANT EXT-REV'!N12</f>
        <v>1</v>
      </c>
      <c r="R27" s="209" t="b">
        <f>R26='ANT EXT-REV'!N28</f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J35"/>
  <sheetViews>
    <sheetView zoomScaleNormal="100" workbookViewId="0">
      <selection activeCell="H10" sqref="H10"/>
    </sheetView>
  </sheetViews>
  <sheetFormatPr baseColWidth="10" defaultRowHeight="12.5" x14ac:dyDescent="0.25"/>
  <cols>
    <col min="3" max="3" width="11.453125" style="123"/>
    <col min="4" max="4" width="19.26953125" customWidth="1"/>
    <col min="5" max="5" width="18.26953125" customWidth="1"/>
    <col min="6" max="7" width="18" customWidth="1"/>
    <col min="8" max="8" width="27.7265625" customWidth="1"/>
    <col min="9" max="9" width="33.54296875" customWidth="1"/>
  </cols>
  <sheetData>
    <row r="1" spans="1:10" ht="13" thickBot="1" x14ac:dyDescent="0.3">
      <c r="H1" s="505" t="s">
        <v>1</v>
      </c>
    </row>
    <row r="2" spans="1:10" ht="15" thickBot="1" x14ac:dyDescent="0.4">
      <c r="C2" s="127" t="s">
        <v>3</v>
      </c>
      <c r="D2" s="128" t="s">
        <v>110</v>
      </c>
      <c r="E2" s="128" t="s">
        <v>109</v>
      </c>
      <c r="F2" s="129" t="s">
        <v>111</v>
      </c>
      <c r="G2" s="500"/>
      <c r="H2" s="504" t="s">
        <v>196</v>
      </c>
    </row>
    <row r="3" spans="1:10" x14ac:dyDescent="0.25">
      <c r="C3" s="126">
        <v>1</v>
      </c>
      <c r="D3" s="584">
        <v>-1214431106.6099999</v>
      </c>
      <c r="E3" s="584">
        <v>3803766823.1500001</v>
      </c>
      <c r="F3" s="585">
        <f>D3+E3</f>
        <v>2589335716.54</v>
      </c>
      <c r="G3" s="501"/>
      <c r="H3" s="604">
        <f>DetRetri2026091!J9</f>
        <v>2589335717</v>
      </c>
      <c r="I3" s="278">
        <f>F3-H3</f>
        <v>-0.46000003814697266</v>
      </c>
    </row>
    <row r="4" spans="1:10" x14ac:dyDescent="0.25">
      <c r="C4" s="124">
        <v>2</v>
      </c>
      <c r="D4" s="594">
        <v>-7020229276.9499998</v>
      </c>
      <c r="E4" s="594">
        <v>1926969479.73</v>
      </c>
      <c r="F4" s="585">
        <f>D4+E4</f>
        <v>-5093259797.2199993</v>
      </c>
      <c r="G4" s="501"/>
      <c r="H4" s="605">
        <f>DetRetri2026091!J10</f>
        <v>-5093259797</v>
      </c>
      <c r="I4" s="278">
        <f t="shared" ref="I4:I7" si="0">F4-H4</f>
        <v>-0.21999931335449219</v>
      </c>
    </row>
    <row r="5" spans="1:10" x14ac:dyDescent="0.25">
      <c r="C5" s="124">
        <v>3</v>
      </c>
      <c r="D5" s="594">
        <v>-3133698635.4699998</v>
      </c>
      <c r="E5" s="594">
        <v>1903301637.03</v>
      </c>
      <c r="F5" s="586">
        <f>D5+E5</f>
        <v>-1230396998.4399998</v>
      </c>
      <c r="G5" s="501"/>
      <c r="H5" s="605">
        <f>DetRetri2026091!J11</f>
        <v>-1230396998</v>
      </c>
      <c r="I5" s="278">
        <f t="shared" si="0"/>
        <v>-0.43999981880187988</v>
      </c>
    </row>
    <row r="6" spans="1:10" x14ac:dyDescent="0.25">
      <c r="C6" s="124">
        <v>4</v>
      </c>
      <c r="D6" s="594">
        <v>-447905736.62</v>
      </c>
      <c r="E6" s="594">
        <v>486039642.42000002</v>
      </c>
      <c r="F6" s="585">
        <f>D6+E6</f>
        <v>38133905.800000012</v>
      </c>
      <c r="G6" s="501"/>
      <c r="H6" s="605">
        <f>DetRetri2026091!J12</f>
        <v>38133906</v>
      </c>
      <c r="I6" s="278">
        <f t="shared" si="0"/>
        <v>-0.19999998807907104</v>
      </c>
    </row>
    <row r="7" spans="1:10" ht="13" thickBot="1" x14ac:dyDescent="0.3">
      <c r="C7" s="125">
        <v>5</v>
      </c>
      <c r="D7" s="595">
        <v>-2535461418.3200002</v>
      </c>
      <c r="E7" s="595">
        <v>1311360727.8599999</v>
      </c>
      <c r="F7" s="587">
        <f>D7+E7</f>
        <v>-1224100690.4600003</v>
      </c>
      <c r="G7" s="501"/>
      <c r="H7" s="606">
        <f>DetRetri2026091!J13</f>
        <v>-1224100690</v>
      </c>
      <c r="I7" s="278">
        <f t="shared" si="0"/>
        <v>-0.46000027656555176</v>
      </c>
    </row>
    <row r="8" spans="1:10" ht="13" thickBot="1" x14ac:dyDescent="0.3">
      <c r="D8" s="144"/>
      <c r="E8" s="144"/>
      <c r="F8" s="144"/>
      <c r="G8" s="502"/>
      <c r="H8" s="143"/>
      <c r="I8" s="278"/>
    </row>
    <row r="9" spans="1:10" ht="13" thickBot="1" x14ac:dyDescent="0.3">
      <c r="D9" s="144"/>
      <c r="E9" s="144"/>
      <c r="F9" s="265">
        <f>SUM(F3:F7)</f>
        <v>-4920287863.7799988</v>
      </c>
      <c r="G9" s="501"/>
      <c r="H9" s="607">
        <f>SUM(H3:H7)</f>
        <v>-4920287862</v>
      </c>
      <c r="I9" s="278">
        <f>F9-H9</f>
        <v>-1.779998779296875</v>
      </c>
    </row>
    <row r="10" spans="1:10" ht="13" thickBot="1" x14ac:dyDescent="0.3">
      <c r="D10" s="144"/>
      <c r="E10" s="144"/>
      <c r="F10" s="144"/>
      <c r="G10" s="502"/>
      <c r="H10" s="267" t="b">
        <f>H9=DetRetri2026091!J14</f>
        <v>1</v>
      </c>
    </row>
    <row r="11" spans="1:10" ht="13.5" thickBot="1" x14ac:dyDescent="0.35">
      <c r="D11" s="266">
        <f>SUM(D3:D7)</f>
        <v>-14351726173.969999</v>
      </c>
      <c r="E11" s="266">
        <f t="shared" ref="E11" si="1">SUM(E3:E7)</f>
        <v>9431438310.1900005</v>
      </c>
      <c r="F11" s="266">
        <f>SUM(D3:E7)</f>
        <v>-4920287863.7799997</v>
      </c>
      <c r="G11" s="503"/>
      <c r="H11" s="144"/>
    </row>
    <row r="12" spans="1:10" x14ac:dyDescent="0.25">
      <c r="D12" s="144"/>
      <c r="E12" s="144"/>
      <c r="F12" s="267" t="b">
        <f>ROUND(F11,2)=ROUND(F9,2)</f>
        <v>1</v>
      </c>
      <c r="H12" s="144"/>
    </row>
    <row r="13" spans="1:10" x14ac:dyDescent="0.25">
      <c r="D13" s="144"/>
      <c r="E13" s="144"/>
      <c r="F13" s="588">
        <f>ROUND(F11,2)-ROUND(F9,2)</f>
        <v>0</v>
      </c>
      <c r="G13" s="502"/>
      <c r="H13" s="144"/>
    </row>
    <row r="14" spans="1:10" x14ac:dyDescent="0.25">
      <c r="H14" s="143"/>
      <c r="I14" s="137"/>
    </row>
    <row r="15" spans="1:10" x14ac:dyDescent="0.25">
      <c r="H15" s="143"/>
      <c r="I15" s="137"/>
    </row>
    <row r="16" spans="1:10" x14ac:dyDescent="0.25">
      <c r="A16" s="238"/>
      <c r="B16" s="238"/>
      <c r="C16" s="497"/>
      <c r="D16" s="238"/>
      <c r="E16" s="238"/>
      <c r="F16" s="238"/>
      <c r="G16" s="238"/>
      <c r="H16" s="498"/>
      <c r="I16" s="499"/>
      <c r="J16" s="238"/>
    </row>
    <row r="17" spans="4:9" ht="13" thickBot="1" x14ac:dyDescent="0.3">
      <c r="D17" s="268"/>
      <c r="E17" s="268"/>
      <c r="F17" s="268"/>
      <c r="G17" s="268"/>
      <c r="H17" s="143"/>
      <c r="I17" s="137"/>
    </row>
    <row r="18" spans="4:9" ht="15" thickBot="1" x14ac:dyDescent="0.4">
      <c r="D18" s="127" t="s">
        <v>3</v>
      </c>
      <c r="E18" s="506" t="s">
        <v>195</v>
      </c>
      <c r="F18" s="510" t="s">
        <v>199</v>
      </c>
      <c r="G18" s="129" t="s">
        <v>198</v>
      </c>
      <c r="H18" s="511" t="s">
        <v>197</v>
      </c>
      <c r="I18" s="137"/>
    </row>
    <row r="19" spans="4:9" x14ac:dyDescent="0.25">
      <c r="D19" s="512">
        <v>1</v>
      </c>
      <c r="E19" s="515">
        <f>'CONSOLIDADO_TOTAL RECAUDO'!J104</f>
        <v>2589335716.54</v>
      </c>
      <c r="F19" s="516" t="b">
        <f>E19=F3</f>
        <v>1</v>
      </c>
      <c r="G19" s="516" t="b">
        <f>E19=H3</f>
        <v>0</v>
      </c>
      <c r="H19" s="517">
        <f>E19-H3</f>
        <v>-0.46000003814697266</v>
      </c>
      <c r="I19" s="137"/>
    </row>
    <row r="20" spans="4:9" x14ac:dyDescent="0.25">
      <c r="D20" s="513">
        <v>2</v>
      </c>
      <c r="E20" s="518">
        <f>'CONSOLIDADO_TOTAL RECAUDO'!J105</f>
        <v>-5093259797.2199993</v>
      </c>
      <c r="F20" s="507" t="b">
        <f t="shared" ref="F20:F23" si="2">E20=F4</f>
        <v>1</v>
      </c>
      <c r="G20" s="507" t="b">
        <f t="shared" ref="G20:G23" si="3">E20=H4</f>
        <v>0</v>
      </c>
      <c r="H20" s="263">
        <f t="shared" ref="H20:H23" si="4">E20-H4</f>
        <v>-0.21999931335449219</v>
      </c>
      <c r="I20" s="137"/>
    </row>
    <row r="21" spans="4:9" x14ac:dyDescent="0.25">
      <c r="D21" s="513">
        <v>3</v>
      </c>
      <c r="E21" s="518">
        <f>'CONSOLIDADO_TOTAL RECAUDO'!J106</f>
        <v>-1230396998.4399998</v>
      </c>
      <c r="F21" s="507" t="b">
        <f t="shared" si="2"/>
        <v>1</v>
      </c>
      <c r="G21" s="507" t="b">
        <f t="shared" si="3"/>
        <v>0</v>
      </c>
      <c r="H21" s="263">
        <f t="shared" si="4"/>
        <v>-0.43999981880187988</v>
      </c>
    </row>
    <row r="22" spans="4:9" x14ac:dyDescent="0.25">
      <c r="D22" s="513">
        <v>4</v>
      </c>
      <c r="E22" s="518">
        <f>'CONSOLIDADO_TOTAL RECAUDO'!J107</f>
        <v>38133905.800000012</v>
      </c>
      <c r="F22" s="507" t="b">
        <f t="shared" si="2"/>
        <v>1</v>
      </c>
      <c r="G22" s="507" t="b">
        <f t="shared" si="3"/>
        <v>0</v>
      </c>
      <c r="H22" s="263">
        <f t="shared" si="4"/>
        <v>-0.19999998807907104</v>
      </c>
    </row>
    <row r="23" spans="4:9" ht="13" thickBot="1" x14ac:dyDescent="0.3">
      <c r="D23" s="514">
        <v>5</v>
      </c>
      <c r="E23" s="519">
        <f>'CONSOLIDADO_TOTAL RECAUDO'!J108</f>
        <v>-1224100690.4600003</v>
      </c>
      <c r="F23" s="520" t="b">
        <f t="shared" si="2"/>
        <v>1</v>
      </c>
      <c r="G23" s="520" t="b">
        <f t="shared" si="3"/>
        <v>0</v>
      </c>
      <c r="H23" s="264">
        <f t="shared" si="4"/>
        <v>-0.46000027656555176</v>
      </c>
    </row>
    <row r="24" spans="4:9" ht="13.5" thickBot="1" x14ac:dyDescent="0.35">
      <c r="E24" s="266">
        <f>SUM(E19:E23)</f>
        <v>-4920287863.7799988</v>
      </c>
      <c r="F24" s="508" t="b">
        <f>E24=F9</f>
        <v>1</v>
      </c>
      <c r="G24" s="509" t="b">
        <f>E24=H9</f>
        <v>0</v>
      </c>
      <c r="H24" s="265">
        <f>E24-H9</f>
        <v>-1.779998779296875</v>
      </c>
    </row>
    <row r="26" spans="4:9" x14ac:dyDescent="0.25">
      <c r="F26" s="137"/>
    </row>
    <row r="28" spans="4:9" x14ac:dyDescent="0.25">
      <c r="F28" s="268"/>
    </row>
    <row r="29" spans="4:9" x14ac:dyDescent="0.25">
      <c r="F29" s="268"/>
    </row>
    <row r="30" spans="4:9" x14ac:dyDescent="0.25">
      <c r="F30" s="268"/>
    </row>
    <row r="31" spans="4:9" x14ac:dyDescent="0.25">
      <c r="F31" s="268"/>
    </row>
    <row r="32" spans="4:9" x14ac:dyDescent="0.25">
      <c r="F32" s="268"/>
    </row>
    <row r="33" spans="6:7" x14ac:dyDescent="0.25">
      <c r="F33" s="268"/>
    </row>
    <row r="34" spans="6:7" x14ac:dyDescent="0.25">
      <c r="F34" s="268"/>
      <c r="G34" s="137"/>
    </row>
    <row r="35" spans="6:7" x14ac:dyDescent="0.25">
      <c r="F35" s="268"/>
    </row>
  </sheetData>
  <conditionalFormatting sqref="F19:H24">
    <cfRule type="cellIs" dxfId="83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584"/>
  <sheetViews>
    <sheetView zoomScale="90" zoomScaleNormal="90" workbookViewId="0">
      <pane ySplit="5" topLeftCell="A25" activePane="bottomLeft" state="frozen"/>
      <selection activeCell="A6" sqref="A6"/>
      <selection pane="bottomLeft" activeCell="F68" sqref="F68"/>
    </sheetView>
  </sheetViews>
  <sheetFormatPr baseColWidth="10" defaultRowHeight="12.5" x14ac:dyDescent="0.25"/>
  <cols>
    <col min="1" max="1" width="13.7265625" customWidth="1"/>
    <col min="2" max="2" width="16.7265625" customWidth="1"/>
    <col min="3" max="3" width="15.7265625" bestFit="1" customWidth="1"/>
    <col min="4" max="4" width="16.7265625" bestFit="1" customWidth="1"/>
    <col min="5" max="5" width="17" bestFit="1" customWidth="1"/>
    <col min="6" max="6" width="17.453125" bestFit="1" customWidth="1"/>
    <col min="7" max="7" width="16.7265625" bestFit="1" customWidth="1"/>
    <col min="8" max="8" width="16.26953125" bestFit="1" customWidth="1"/>
    <col min="9" max="9" width="19.26953125" customWidth="1"/>
    <col min="10" max="10" width="17" customWidth="1"/>
    <col min="11" max="11" width="17.26953125" bestFit="1" customWidth="1"/>
    <col min="12" max="12" width="22.453125" bestFit="1" customWidth="1"/>
    <col min="13" max="13" width="16.7265625" bestFit="1" customWidth="1"/>
    <col min="14" max="14" width="20.453125" bestFit="1" customWidth="1"/>
    <col min="15" max="15" width="20.453125" customWidth="1"/>
    <col min="16" max="16" width="20.453125" bestFit="1" customWidth="1"/>
    <col min="17" max="17" width="25.26953125" customWidth="1"/>
    <col min="18" max="18" width="17.26953125" customWidth="1"/>
    <col min="19" max="19" width="24" customWidth="1"/>
    <col min="20" max="22" width="23.7265625" customWidth="1"/>
    <col min="23" max="24" width="20" bestFit="1" customWidth="1"/>
    <col min="25" max="25" width="18.7265625" customWidth="1"/>
    <col min="26" max="26" width="14.26953125" bestFit="1" customWidth="1"/>
  </cols>
  <sheetData>
    <row r="1" spans="1:26" x14ac:dyDescent="0.25">
      <c r="F1" s="630"/>
    </row>
    <row r="3" spans="1:26" s="238" customFormat="1" x14ac:dyDescent="0.25"/>
    <row r="4" spans="1:26" ht="13.5" customHeight="1" x14ac:dyDescent="0.3">
      <c r="B4" s="97" t="s">
        <v>74</v>
      </c>
    </row>
    <row r="5" spans="1:26" ht="12" customHeight="1" x14ac:dyDescent="0.25">
      <c r="F5" s="89" t="s">
        <v>70</v>
      </c>
      <c r="G5" s="89" t="s">
        <v>64</v>
      </c>
      <c r="H5" s="89" t="s">
        <v>65</v>
      </c>
      <c r="I5" s="218" t="s">
        <v>164</v>
      </c>
      <c r="J5" s="89" t="s">
        <v>69</v>
      </c>
      <c r="K5" s="89" t="s">
        <v>68</v>
      </c>
      <c r="L5" s="89" t="s">
        <v>71</v>
      </c>
      <c r="M5" s="89" t="s">
        <v>66</v>
      </c>
      <c r="N5" s="89" t="s">
        <v>63</v>
      </c>
      <c r="O5" s="89" t="s">
        <v>61</v>
      </c>
      <c r="P5" s="89" t="s">
        <v>62</v>
      </c>
      <c r="Q5" s="89" t="s">
        <v>67</v>
      </c>
      <c r="R5" s="89" t="s">
        <v>77</v>
      </c>
      <c r="S5" s="89" t="s">
        <v>80</v>
      </c>
      <c r="T5" s="89" t="s">
        <v>135</v>
      </c>
      <c r="U5" s="89" t="s">
        <v>172</v>
      </c>
      <c r="V5" s="89" t="s">
        <v>221</v>
      </c>
      <c r="W5" s="89" t="s">
        <v>172</v>
      </c>
      <c r="X5" t="s">
        <v>172</v>
      </c>
      <c r="Y5" s="89" t="s">
        <v>135</v>
      </c>
      <c r="Z5" s="89" t="s">
        <v>166</v>
      </c>
    </row>
    <row r="6" spans="1:26" ht="12.75" customHeight="1" x14ac:dyDescent="0.25">
      <c r="E6" s="89" t="s">
        <v>72</v>
      </c>
      <c r="F6" s="373">
        <v>-7108.83</v>
      </c>
      <c r="G6" s="90">
        <v>-502.98</v>
      </c>
      <c r="H6" s="90">
        <v>-213.69</v>
      </c>
      <c r="I6" s="90">
        <v>-93.3</v>
      </c>
      <c r="J6" s="90">
        <v>-1231.48</v>
      </c>
      <c r="K6" s="90">
        <v>-79.58</v>
      </c>
      <c r="L6" s="90">
        <v>0</v>
      </c>
      <c r="M6" s="90">
        <v>-698.02</v>
      </c>
      <c r="N6" s="90">
        <v>-584.16</v>
      </c>
      <c r="O6" s="90">
        <v>-2331.79</v>
      </c>
      <c r="P6" s="90">
        <v>-1243.99</v>
      </c>
      <c r="Q6" s="90">
        <v>-129.84</v>
      </c>
      <c r="R6" s="90">
        <v>0</v>
      </c>
      <c r="S6" s="90">
        <v>0</v>
      </c>
      <c r="T6" s="90">
        <v>0</v>
      </c>
      <c r="U6" s="90">
        <v>0</v>
      </c>
      <c r="V6" s="90">
        <v>0</v>
      </c>
      <c r="W6" s="90">
        <v>0</v>
      </c>
      <c r="X6" s="90">
        <v>0</v>
      </c>
      <c r="Y6" s="90">
        <v>0</v>
      </c>
      <c r="Z6" s="90">
        <v>0</v>
      </c>
    </row>
    <row r="7" spans="1:26" ht="12.65" customHeight="1" x14ac:dyDescent="0.25">
      <c r="D7" t="s">
        <v>156</v>
      </c>
      <c r="E7" s="89" t="s">
        <v>70</v>
      </c>
      <c r="F7" s="373">
        <v>-7108.83</v>
      </c>
      <c r="G7" s="90">
        <v>-502.98</v>
      </c>
      <c r="H7" s="90">
        <v>-213.69</v>
      </c>
      <c r="I7" s="90">
        <v>-93.3</v>
      </c>
      <c r="J7" s="90">
        <v>-1231.48</v>
      </c>
      <c r="K7" s="90">
        <v>-79.58</v>
      </c>
      <c r="L7" s="90">
        <v>0</v>
      </c>
      <c r="M7" s="90">
        <v>-698.02</v>
      </c>
      <c r="N7" s="90">
        <v>-584.16</v>
      </c>
      <c r="O7" s="90">
        <v>-2331.79</v>
      </c>
      <c r="P7" s="90">
        <v>-1243.99</v>
      </c>
      <c r="Q7" s="90">
        <v>-129.84</v>
      </c>
      <c r="R7" s="90">
        <v>0</v>
      </c>
      <c r="S7" s="90">
        <v>0</v>
      </c>
      <c r="T7" s="90">
        <v>0</v>
      </c>
      <c r="U7" s="90">
        <v>0</v>
      </c>
      <c r="V7" s="90">
        <v>0</v>
      </c>
      <c r="W7" s="90">
        <v>0</v>
      </c>
      <c r="X7" s="90">
        <v>0</v>
      </c>
      <c r="Y7" s="90">
        <v>0</v>
      </c>
      <c r="Z7" s="90">
        <v>0</v>
      </c>
    </row>
    <row r="8" spans="1:26" s="288" customFormat="1" ht="12.75" customHeight="1" x14ac:dyDescent="0.25">
      <c r="C8" s="288" t="s">
        <v>155</v>
      </c>
      <c r="D8" s="288" t="s">
        <v>70</v>
      </c>
      <c r="E8" s="229"/>
      <c r="F8" s="229">
        <v>-7108.83</v>
      </c>
      <c r="G8" s="230">
        <v>-502.98</v>
      </c>
      <c r="H8" s="230">
        <v>-213.69</v>
      </c>
      <c r="I8" s="230">
        <v>-93.3</v>
      </c>
      <c r="J8" s="230">
        <v>-1231.48</v>
      </c>
      <c r="K8" s="230">
        <v>-79.58</v>
      </c>
      <c r="L8" s="230">
        <v>0</v>
      </c>
      <c r="M8" s="230">
        <v>-698.02</v>
      </c>
      <c r="N8" s="230">
        <v>-584.16</v>
      </c>
      <c r="O8" s="230">
        <v>-2331.79</v>
      </c>
      <c r="P8" s="230">
        <v>-1243.99</v>
      </c>
      <c r="Q8" s="230">
        <v>-129.84</v>
      </c>
      <c r="R8" s="230">
        <v>0</v>
      </c>
      <c r="S8" s="230">
        <v>0</v>
      </c>
      <c r="T8" s="230">
        <v>0</v>
      </c>
      <c r="U8" s="230">
        <v>0</v>
      </c>
      <c r="V8" s="230">
        <v>0</v>
      </c>
      <c r="W8" s="230">
        <v>0</v>
      </c>
      <c r="X8" s="230">
        <v>0</v>
      </c>
      <c r="Y8" s="230">
        <v>0</v>
      </c>
      <c r="Z8" s="230">
        <v>0</v>
      </c>
    </row>
    <row r="9" spans="1:26" ht="12.75" customHeight="1" x14ac:dyDescent="0.25">
      <c r="B9" t="s">
        <v>112</v>
      </c>
      <c r="C9" s="89" t="s">
        <v>70</v>
      </c>
      <c r="D9" s="89"/>
      <c r="F9" s="90">
        <v>-7108.83</v>
      </c>
      <c r="G9" s="90">
        <v>-502.98</v>
      </c>
      <c r="H9" s="90">
        <v>-213.69</v>
      </c>
      <c r="I9" s="90">
        <v>-93.3</v>
      </c>
      <c r="J9" s="90">
        <v>-1231.48</v>
      </c>
      <c r="K9" s="90">
        <v>-79.58</v>
      </c>
      <c r="L9" s="90">
        <v>0</v>
      </c>
      <c r="M9" s="90">
        <v>-698.02</v>
      </c>
      <c r="N9" s="90">
        <v>-584.16</v>
      </c>
      <c r="O9" s="90">
        <v>-2331.79</v>
      </c>
      <c r="P9" s="90">
        <v>-1243.99</v>
      </c>
      <c r="Q9" s="90">
        <v>-129.84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0</v>
      </c>
      <c r="Z9" s="90">
        <v>0</v>
      </c>
    </row>
    <row r="10" spans="1:26" s="460" customFormat="1" x14ac:dyDescent="0.25">
      <c r="A10" s="460" t="s">
        <v>185</v>
      </c>
      <c r="B10" s="461" t="s">
        <v>70</v>
      </c>
      <c r="C10" s="461"/>
      <c r="F10" s="462">
        <v>-7108.83</v>
      </c>
      <c r="G10" s="462">
        <v>-502.98</v>
      </c>
      <c r="H10" s="462">
        <v>-213.69</v>
      </c>
      <c r="I10" s="462">
        <v>-93.3</v>
      </c>
      <c r="J10" s="462">
        <v>-1231.48</v>
      </c>
      <c r="K10" s="462">
        <v>-79.58</v>
      </c>
      <c r="L10" s="462">
        <v>0</v>
      </c>
      <c r="M10" s="462">
        <v>-698.02</v>
      </c>
      <c r="N10" s="462">
        <v>-584.16</v>
      </c>
      <c r="O10" s="462">
        <v>-2331.79</v>
      </c>
      <c r="P10" s="462">
        <v>-1243.99</v>
      </c>
      <c r="Q10" s="462">
        <v>-129.84</v>
      </c>
      <c r="R10" s="462">
        <v>0</v>
      </c>
      <c r="S10" s="462">
        <v>0</v>
      </c>
      <c r="T10" s="462">
        <v>0</v>
      </c>
      <c r="U10" s="462">
        <v>0</v>
      </c>
      <c r="V10" s="462">
        <v>0</v>
      </c>
      <c r="W10" s="462">
        <v>0</v>
      </c>
      <c r="X10" s="462">
        <v>0</v>
      </c>
      <c r="Y10" s="462">
        <v>0</v>
      </c>
      <c r="Z10" s="462">
        <v>0</v>
      </c>
    </row>
    <row r="11" spans="1:26" ht="12.75" customHeight="1" x14ac:dyDescent="0.25">
      <c r="E11" s="89" t="s">
        <v>72</v>
      </c>
      <c r="F11" s="373">
        <v>42672.75</v>
      </c>
      <c r="G11" s="90">
        <v>2083.59</v>
      </c>
      <c r="H11" s="90">
        <v>1160.96</v>
      </c>
      <c r="I11" s="90">
        <v>617.46</v>
      </c>
      <c r="J11" s="90">
        <v>10415.64</v>
      </c>
      <c r="K11" s="90">
        <v>383.02</v>
      </c>
      <c r="L11" s="90">
        <v>0</v>
      </c>
      <c r="M11" s="90">
        <v>3359.81</v>
      </c>
      <c r="N11" s="90">
        <v>3220.39</v>
      </c>
      <c r="O11" s="90">
        <v>15117.23</v>
      </c>
      <c r="P11" s="90">
        <v>5690.79</v>
      </c>
      <c r="Q11" s="90">
        <v>624.91999999999996</v>
      </c>
      <c r="R11" s="90">
        <v>-1.06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0</v>
      </c>
      <c r="Z11" s="90">
        <v>0</v>
      </c>
    </row>
    <row r="12" spans="1:26" ht="12.75" customHeight="1" x14ac:dyDescent="0.25">
      <c r="E12" s="89" t="s">
        <v>81</v>
      </c>
      <c r="F12" s="373">
        <v>7.25</v>
      </c>
      <c r="G12" s="90">
        <v>0.35</v>
      </c>
      <c r="H12" s="90">
        <v>0.2</v>
      </c>
      <c r="I12" s="90">
        <v>0.1</v>
      </c>
      <c r="J12" s="90">
        <v>1.77</v>
      </c>
      <c r="K12" s="90">
        <v>7.0000000000000007E-2</v>
      </c>
      <c r="L12" s="90">
        <v>0</v>
      </c>
      <c r="M12" s="90">
        <v>0.56999999999999995</v>
      </c>
      <c r="N12" s="90">
        <v>0.54</v>
      </c>
      <c r="O12" s="90">
        <v>2.57</v>
      </c>
      <c r="P12" s="90">
        <v>0.97</v>
      </c>
      <c r="Q12" s="90">
        <v>0.11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0</v>
      </c>
      <c r="Z12" s="90">
        <v>0</v>
      </c>
    </row>
    <row r="13" spans="1:26" ht="12.75" customHeight="1" x14ac:dyDescent="0.25">
      <c r="D13" t="s">
        <v>87</v>
      </c>
      <c r="E13" s="89" t="s">
        <v>70</v>
      </c>
      <c r="F13" s="373">
        <v>42680</v>
      </c>
      <c r="G13" s="90">
        <v>2083.94</v>
      </c>
      <c r="H13" s="90">
        <v>1161.1600000000001</v>
      </c>
      <c r="I13" s="90">
        <v>617.55999999999995</v>
      </c>
      <c r="J13" s="90">
        <v>10417.41</v>
      </c>
      <c r="K13" s="90">
        <v>383.09</v>
      </c>
      <c r="L13" s="90">
        <v>0</v>
      </c>
      <c r="M13" s="90">
        <v>3360.38</v>
      </c>
      <c r="N13" s="90">
        <v>3220.93</v>
      </c>
      <c r="O13" s="90">
        <v>15119.8</v>
      </c>
      <c r="P13" s="90">
        <v>5691.76</v>
      </c>
      <c r="Q13" s="90">
        <v>625.03</v>
      </c>
      <c r="R13" s="90">
        <v>-1.06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  <c r="Z13" s="90">
        <v>0</v>
      </c>
    </row>
    <row r="14" spans="1:26" s="94" customFormat="1" ht="12.75" customHeight="1" x14ac:dyDescent="0.25">
      <c r="C14" s="101" t="s">
        <v>119</v>
      </c>
      <c r="D14" s="101" t="s">
        <v>70</v>
      </c>
      <c r="F14" s="93">
        <v>42680</v>
      </c>
      <c r="G14" s="93">
        <v>2083.94</v>
      </c>
      <c r="H14" s="93">
        <v>1161.1600000000001</v>
      </c>
      <c r="I14" s="93">
        <v>617.55999999999995</v>
      </c>
      <c r="J14" s="93">
        <v>10417.41</v>
      </c>
      <c r="K14" s="93">
        <v>383.09</v>
      </c>
      <c r="L14" s="93">
        <v>0</v>
      </c>
      <c r="M14" s="93">
        <v>3360.38</v>
      </c>
      <c r="N14" s="93">
        <v>3220.93</v>
      </c>
      <c r="O14" s="93">
        <v>15119.8</v>
      </c>
      <c r="P14" s="93">
        <v>5691.76</v>
      </c>
      <c r="Q14" s="93">
        <v>625.03</v>
      </c>
      <c r="R14" s="93">
        <v>-1.06</v>
      </c>
      <c r="S14" s="93">
        <v>0</v>
      </c>
      <c r="T14" s="93">
        <v>0</v>
      </c>
      <c r="U14" s="93">
        <v>0</v>
      </c>
      <c r="V14" s="93">
        <v>0</v>
      </c>
      <c r="W14" s="93">
        <v>0</v>
      </c>
      <c r="X14" s="93">
        <v>0</v>
      </c>
      <c r="Y14" s="93">
        <v>0</v>
      </c>
      <c r="Z14" s="93">
        <v>0</v>
      </c>
    </row>
    <row r="15" spans="1:26" s="380" customFormat="1" ht="12.75" customHeight="1" x14ac:dyDescent="0.25">
      <c r="B15" s="380" t="s">
        <v>122</v>
      </c>
      <c r="C15" s="380" t="s">
        <v>70</v>
      </c>
      <c r="F15" s="380">
        <v>42680</v>
      </c>
      <c r="G15" s="380">
        <v>2083.94</v>
      </c>
      <c r="H15" s="380">
        <v>1161.1600000000001</v>
      </c>
      <c r="I15" s="380">
        <v>617.55999999999995</v>
      </c>
      <c r="J15" s="380">
        <v>10417.41</v>
      </c>
      <c r="K15" s="380">
        <v>383.09</v>
      </c>
      <c r="L15" s="380">
        <v>0</v>
      </c>
      <c r="M15" s="380">
        <v>3360.38</v>
      </c>
      <c r="N15" s="380">
        <v>3220.93</v>
      </c>
      <c r="O15" s="380">
        <v>15119.8</v>
      </c>
      <c r="P15" s="380">
        <v>5691.76</v>
      </c>
      <c r="Q15" s="380">
        <v>625.03</v>
      </c>
      <c r="R15" s="380">
        <v>-1.06</v>
      </c>
      <c r="S15" s="380">
        <v>0</v>
      </c>
      <c r="T15" s="380">
        <v>0</v>
      </c>
      <c r="U15" s="380">
        <v>0</v>
      </c>
      <c r="V15" s="380">
        <v>0</v>
      </c>
      <c r="W15" s="380">
        <v>0</v>
      </c>
      <c r="X15" s="380">
        <v>0</v>
      </c>
      <c r="Y15" s="380">
        <v>0</v>
      </c>
      <c r="Z15" s="380">
        <v>0</v>
      </c>
    </row>
    <row r="16" spans="1:26" ht="12.75" customHeight="1" x14ac:dyDescent="0.25">
      <c r="E16" s="89" t="s">
        <v>72</v>
      </c>
      <c r="F16" s="373">
        <v>19865857825.860001</v>
      </c>
      <c r="G16" s="90">
        <v>949827539.36000001</v>
      </c>
      <c r="H16" s="90">
        <v>530587819.87</v>
      </c>
      <c r="I16" s="90">
        <v>281179249.56999999</v>
      </c>
      <c r="J16" s="90">
        <v>4811539753.1400003</v>
      </c>
      <c r="K16" s="90">
        <v>180471248.41</v>
      </c>
      <c r="L16" s="90">
        <v>28843603</v>
      </c>
      <c r="M16" s="90">
        <v>1584057437.4100001</v>
      </c>
      <c r="N16" s="90">
        <v>1510956893.3699999</v>
      </c>
      <c r="O16" s="90">
        <v>7108872984.7600002</v>
      </c>
      <c r="P16" s="90">
        <v>2585076969.7199998</v>
      </c>
      <c r="Q16" s="90">
        <v>294490513.72000003</v>
      </c>
      <c r="R16" s="90">
        <v>-46186.47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</row>
    <row r="17" spans="1:26" ht="12.75" customHeight="1" x14ac:dyDescent="0.25">
      <c r="E17" s="89" t="s">
        <v>81</v>
      </c>
      <c r="F17" s="90">
        <v>3221187.2</v>
      </c>
      <c r="G17" s="90">
        <v>191257.04</v>
      </c>
      <c r="H17" s="90">
        <v>96240.8</v>
      </c>
      <c r="I17" s="90">
        <v>48070.33</v>
      </c>
      <c r="J17" s="90">
        <v>691627.43</v>
      </c>
      <c r="K17" s="90">
        <v>30779.35</v>
      </c>
      <c r="L17" s="90">
        <v>1888.23</v>
      </c>
      <c r="M17" s="90">
        <v>270442.28999999998</v>
      </c>
      <c r="N17" s="90">
        <v>245214.4</v>
      </c>
      <c r="O17" s="90">
        <v>1082415.01</v>
      </c>
      <c r="P17" s="90">
        <v>513014.61</v>
      </c>
      <c r="Q17" s="90">
        <v>50206.13</v>
      </c>
      <c r="R17" s="90">
        <v>-5.69</v>
      </c>
      <c r="S17" s="90">
        <v>0</v>
      </c>
      <c r="T17" s="90">
        <v>53.13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  <c r="Z17" s="90">
        <v>-15.86</v>
      </c>
    </row>
    <row r="18" spans="1:26" ht="12.75" customHeight="1" x14ac:dyDescent="0.25">
      <c r="D18" t="s">
        <v>156</v>
      </c>
      <c r="E18" s="89" t="s">
        <v>70</v>
      </c>
      <c r="F18" s="89">
        <v>19869079013.060001</v>
      </c>
      <c r="G18" s="90">
        <v>950018796.39999998</v>
      </c>
      <c r="H18" s="90">
        <v>530684060.67000002</v>
      </c>
      <c r="I18" s="90">
        <v>281227319.89999998</v>
      </c>
      <c r="J18" s="90">
        <v>4812231380.5699997</v>
      </c>
      <c r="K18" s="90">
        <v>180502027.75999999</v>
      </c>
      <c r="L18" s="90">
        <v>28845491.23</v>
      </c>
      <c r="M18" s="90">
        <v>1584327879.7</v>
      </c>
      <c r="N18" s="90">
        <v>1511202107.77</v>
      </c>
      <c r="O18" s="90">
        <v>7109955399.7700005</v>
      </c>
      <c r="P18" s="90">
        <v>2585589984.3299999</v>
      </c>
      <c r="Q18" s="90">
        <v>294540719.85000002</v>
      </c>
      <c r="R18" s="90">
        <v>-46192.160000000003</v>
      </c>
      <c r="S18" s="90">
        <v>0</v>
      </c>
      <c r="T18" s="90">
        <v>53.13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-15.86</v>
      </c>
    </row>
    <row r="19" spans="1:26" s="288" customFormat="1" ht="12.75" customHeight="1" x14ac:dyDescent="0.25">
      <c r="C19" s="288" t="s">
        <v>155</v>
      </c>
      <c r="D19" s="288" t="s">
        <v>70</v>
      </c>
      <c r="E19" s="229"/>
      <c r="F19" s="229">
        <v>19869079013.060001</v>
      </c>
      <c r="G19" s="230">
        <v>950018796.39999998</v>
      </c>
      <c r="H19" s="230">
        <v>530684060.67000002</v>
      </c>
      <c r="I19" s="230">
        <v>281227319.89999998</v>
      </c>
      <c r="J19" s="230">
        <v>4812231380.5699997</v>
      </c>
      <c r="K19" s="230">
        <v>180502027.75999999</v>
      </c>
      <c r="L19" s="230">
        <v>28845491.23</v>
      </c>
      <c r="M19" s="230">
        <v>1584327879.7</v>
      </c>
      <c r="N19" s="230">
        <v>1511202107.77</v>
      </c>
      <c r="O19" s="230">
        <v>7109955399.7700005</v>
      </c>
      <c r="P19" s="230">
        <v>2585589984.3299999</v>
      </c>
      <c r="Q19" s="230">
        <v>294540719.85000002</v>
      </c>
      <c r="R19" s="230">
        <v>-46192.160000000003</v>
      </c>
      <c r="S19" s="230">
        <v>0</v>
      </c>
      <c r="T19" s="230">
        <v>53.13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Z19" s="230">
        <v>-15.86</v>
      </c>
    </row>
    <row r="20" spans="1:26" ht="12.75" customHeight="1" x14ac:dyDescent="0.25">
      <c r="E20" s="89" t="s">
        <v>72</v>
      </c>
      <c r="F20" s="89">
        <v>34834776.310000002</v>
      </c>
      <c r="G20" s="90">
        <v>3050420.43</v>
      </c>
      <c r="H20" s="90">
        <v>1694569.42</v>
      </c>
      <c r="I20" s="90">
        <v>901684.59</v>
      </c>
      <c r="J20" s="90">
        <v>6258963.79</v>
      </c>
      <c r="K20" s="90">
        <v>206736.51</v>
      </c>
      <c r="L20" s="90">
        <v>0</v>
      </c>
      <c r="M20" s="90">
        <v>1810170.82</v>
      </c>
      <c r="N20" s="90">
        <v>2156347.41</v>
      </c>
      <c r="O20" s="90">
        <v>10098958.66</v>
      </c>
      <c r="P20" s="90">
        <v>8319284.6699999999</v>
      </c>
      <c r="Q20" s="90">
        <v>337911.22</v>
      </c>
      <c r="R20" s="90">
        <v>-271.20999999999998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  <c r="Z20" s="90">
        <v>0</v>
      </c>
    </row>
    <row r="21" spans="1:26" ht="12.75" customHeight="1" x14ac:dyDescent="0.25">
      <c r="E21" s="89" t="s">
        <v>81</v>
      </c>
      <c r="F21" s="90">
        <v>73612.429999999993</v>
      </c>
      <c r="G21" s="90">
        <v>3963.92</v>
      </c>
      <c r="H21" s="90">
        <v>2089.52</v>
      </c>
      <c r="I21" s="90">
        <v>1132.4000000000001</v>
      </c>
      <c r="J21" s="90">
        <v>18172.87</v>
      </c>
      <c r="K21" s="90">
        <v>548.71</v>
      </c>
      <c r="L21" s="90">
        <v>0</v>
      </c>
      <c r="M21" s="90">
        <v>4821.4399999999996</v>
      </c>
      <c r="N21" s="90">
        <v>5503.49</v>
      </c>
      <c r="O21" s="90">
        <v>25681.1</v>
      </c>
      <c r="P21" s="90">
        <v>10802.17</v>
      </c>
      <c r="Q21" s="90">
        <v>897.07</v>
      </c>
      <c r="R21" s="90">
        <v>-0.3</v>
      </c>
      <c r="S21" s="90">
        <v>0</v>
      </c>
      <c r="T21" s="90">
        <v>0.04</v>
      </c>
      <c r="U21" s="90">
        <v>0</v>
      </c>
      <c r="V21" s="90">
        <v>0</v>
      </c>
      <c r="W21" s="90">
        <v>0</v>
      </c>
      <c r="X21" s="90">
        <v>0</v>
      </c>
      <c r="Y21" s="90">
        <v>0</v>
      </c>
      <c r="Z21" s="90">
        <v>0</v>
      </c>
    </row>
    <row r="22" spans="1:26" ht="12.75" customHeight="1" x14ac:dyDescent="0.25">
      <c r="D22" s="89" t="s">
        <v>82</v>
      </c>
      <c r="E22" s="89" t="s">
        <v>70</v>
      </c>
      <c r="F22" s="90">
        <v>34908388.740000002</v>
      </c>
      <c r="G22" s="90">
        <v>3054384.35</v>
      </c>
      <c r="H22" s="90">
        <v>1696658.94</v>
      </c>
      <c r="I22" s="90">
        <v>902816.99</v>
      </c>
      <c r="J22" s="90">
        <v>6277136.6600000001</v>
      </c>
      <c r="K22" s="90">
        <v>207285.22</v>
      </c>
      <c r="L22" s="90">
        <v>0</v>
      </c>
      <c r="M22" s="90">
        <v>1814992.26</v>
      </c>
      <c r="N22" s="90">
        <v>2161850.9</v>
      </c>
      <c r="O22" s="90">
        <v>10124639.76</v>
      </c>
      <c r="P22" s="90">
        <v>8330086.8399999999</v>
      </c>
      <c r="Q22" s="90">
        <v>338808.29</v>
      </c>
      <c r="R22" s="90">
        <v>-271.51</v>
      </c>
      <c r="S22" s="90">
        <v>0</v>
      </c>
      <c r="T22" s="90">
        <v>0.04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  <c r="Z22" s="90">
        <v>0</v>
      </c>
    </row>
    <row r="23" spans="1:26" ht="12.75" customHeight="1" x14ac:dyDescent="0.25">
      <c r="E23" s="89" t="s">
        <v>72</v>
      </c>
      <c r="F23" s="90">
        <v>99460670.400000006</v>
      </c>
      <c r="G23" s="90">
        <v>8743467.5099999998</v>
      </c>
      <c r="H23" s="90">
        <v>4501924.45</v>
      </c>
      <c r="I23" s="90">
        <v>2257268.7999999998</v>
      </c>
      <c r="J23" s="90">
        <v>15226576.5</v>
      </c>
      <c r="K23" s="90">
        <v>720340.83</v>
      </c>
      <c r="L23" s="90">
        <v>71191.320000000007</v>
      </c>
      <c r="M23" s="90">
        <v>6347720.0899999999</v>
      </c>
      <c r="N23" s="90">
        <v>6458242.71</v>
      </c>
      <c r="O23" s="90">
        <v>29949150.079999998</v>
      </c>
      <c r="P23" s="90">
        <v>24008686.399999999</v>
      </c>
      <c r="Q23" s="90">
        <v>1175914.72</v>
      </c>
      <c r="R23" s="90">
        <v>186.99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0</v>
      </c>
      <c r="Z23" s="90">
        <v>0</v>
      </c>
    </row>
    <row r="24" spans="1:26" ht="12.75" customHeight="1" x14ac:dyDescent="0.25">
      <c r="E24" s="89" t="s">
        <v>81</v>
      </c>
      <c r="F24" s="90">
        <v>8554575.9900000002</v>
      </c>
      <c r="G24" s="90">
        <v>822696.95</v>
      </c>
      <c r="H24" s="90">
        <v>248641.09</v>
      </c>
      <c r="I24" s="90">
        <v>50902.54</v>
      </c>
      <c r="J24" s="90">
        <v>1306165.8400000001</v>
      </c>
      <c r="K24" s="90">
        <v>80047.98</v>
      </c>
      <c r="L24" s="90">
        <v>0</v>
      </c>
      <c r="M24" s="90">
        <v>702034.32</v>
      </c>
      <c r="N24" s="90">
        <v>586868.46</v>
      </c>
      <c r="O24" s="90">
        <v>2182750.4300000002</v>
      </c>
      <c r="P24" s="90">
        <v>2443333.54</v>
      </c>
      <c r="Q24" s="90">
        <v>130594.62</v>
      </c>
      <c r="R24" s="90">
        <v>184.84</v>
      </c>
      <c r="S24" s="90">
        <v>0</v>
      </c>
      <c r="T24" s="90">
        <v>355.38</v>
      </c>
      <c r="U24" s="90">
        <v>0</v>
      </c>
      <c r="V24" s="90">
        <v>0</v>
      </c>
      <c r="W24" s="90">
        <v>0</v>
      </c>
      <c r="X24" s="90">
        <v>0</v>
      </c>
      <c r="Y24" s="90">
        <v>0</v>
      </c>
      <c r="Z24" s="90">
        <v>0</v>
      </c>
    </row>
    <row r="25" spans="1:26" ht="12.75" customHeight="1" x14ac:dyDescent="0.25">
      <c r="D25" s="89" t="s">
        <v>86</v>
      </c>
      <c r="E25" s="89" t="s">
        <v>70</v>
      </c>
      <c r="F25" s="90">
        <v>108015246.39</v>
      </c>
      <c r="G25" s="90">
        <v>9566164.4600000009</v>
      </c>
      <c r="H25" s="90">
        <v>4750565.54</v>
      </c>
      <c r="I25" s="90">
        <v>2308171.34</v>
      </c>
      <c r="J25" s="90">
        <v>16532742.34</v>
      </c>
      <c r="K25" s="90">
        <v>800388.81</v>
      </c>
      <c r="L25" s="90">
        <v>71191.320000000007</v>
      </c>
      <c r="M25" s="90">
        <v>7049754.4100000001</v>
      </c>
      <c r="N25" s="90">
        <v>7045111.1699999999</v>
      </c>
      <c r="O25" s="90">
        <v>32131900.510000002</v>
      </c>
      <c r="P25" s="90">
        <v>26452019.940000001</v>
      </c>
      <c r="Q25" s="90">
        <v>1306509.3400000001</v>
      </c>
      <c r="R25" s="90">
        <v>371.83</v>
      </c>
      <c r="S25" s="90">
        <v>0</v>
      </c>
      <c r="T25" s="90">
        <v>355.38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  <c r="Z25" s="90">
        <v>0</v>
      </c>
    </row>
    <row r="26" spans="1:26" ht="12.75" customHeight="1" x14ac:dyDescent="0.25">
      <c r="C26" s="89"/>
      <c r="D26" s="89"/>
      <c r="E26" t="s">
        <v>72</v>
      </c>
      <c r="F26" s="90">
        <v>237384314.00999999</v>
      </c>
      <c r="G26" s="90">
        <v>38284621.899999999</v>
      </c>
      <c r="H26" s="90">
        <v>21414097.02</v>
      </c>
      <c r="I26" s="90">
        <v>11342632.34</v>
      </c>
      <c r="J26" s="90">
        <v>19779058.390000001</v>
      </c>
      <c r="K26" s="90">
        <v>508140.34</v>
      </c>
      <c r="L26" s="90">
        <v>1717780</v>
      </c>
      <c r="M26" s="90">
        <v>4440916.83</v>
      </c>
      <c r="N26" s="90">
        <v>6082873.4800000004</v>
      </c>
      <c r="O26" s="90">
        <v>28426344.850000001</v>
      </c>
      <c r="P26" s="90">
        <v>104559679.95</v>
      </c>
      <c r="Q26" s="90">
        <v>828965.34</v>
      </c>
      <c r="R26" s="90">
        <v>-796.43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  <c r="Z26" s="90">
        <v>0</v>
      </c>
    </row>
    <row r="27" spans="1:26" ht="12.75" customHeight="1" x14ac:dyDescent="0.25">
      <c r="B27" s="89"/>
      <c r="C27" s="89"/>
      <c r="E27" t="s">
        <v>81</v>
      </c>
      <c r="F27" s="90">
        <v>1223054.08</v>
      </c>
      <c r="G27" s="90">
        <v>158799.91</v>
      </c>
      <c r="H27" s="90">
        <v>78943.63</v>
      </c>
      <c r="I27" s="90">
        <v>38013.15</v>
      </c>
      <c r="J27" s="90">
        <v>162199.93</v>
      </c>
      <c r="K27" s="90">
        <v>5653.98</v>
      </c>
      <c r="L27" s="90">
        <v>1207.03</v>
      </c>
      <c r="M27" s="90">
        <v>49618.45</v>
      </c>
      <c r="N27" s="90">
        <v>61442.74</v>
      </c>
      <c r="O27" s="90">
        <v>241587.84</v>
      </c>
      <c r="P27" s="90">
        <v>416341.81</v>
      </c>
      <c r="Q27" s="90">
        <v>9230.5499999999993</v>
      </c>
      <c r="R27" s="90">
        <v>15.01</v>
      </c>
      <c r="S27" s="90">
        <v>-0.06</v>
      </c>
      <c r="T27" s="90">
        <v>0.11</v>
      </c>
      <c r="U27" s="90">
        <v>0</v>
      </c>
      <c r="V27" s="90">
        <v>0</v>
      </c>
      <c r="W27" s="90">
        <v>0</v>
      </c>
      <c r="X27" s="90">
        <v>0</v>
      </c>
      <c r="Y27" s="90">
        <v>0</v>
      </c>
      <c r="Z27" s="90">
        <v>0</v>
      </c>
    </row>
    <row r="28" spans="1:26" ht="12.75" customHeight="1" x14ac:dyDescent="0.25">
      <c r="C28" s="89"/>
      <c r="D28" s="89" t="s">
        <v>87</v>
      </c>
      <c r="E28" t="s">
        <v>70</v>
      </c>
      <c r="F28" s="90">
        <v>238607368.09</v>
      </c>
      <c r="G28" s="90">
        <v>38443421.810000002</v>
      </c>
      <c r="H28" s="90">
        <v>21493040.649999999</v>
      </c>
      <c r="I28" s="90">
        <v>11380645.49</v>
      </c>
      <c r="J28" s="90">
        <v>19941258.32</v>
      </c>
      <c r="K28" s="90">
        <v>513794.32</v>
      </c>
      <c r="L28" s="90">
        <v>1718987.03</v>
      </c>
      <c r="M28" s="90">
        <v>4490535.28</v>
      </c>
      <c r="N28" s="90">
        <v>6144316.2199999997</v>
      </c>
      <c r="O28" s="90">
        <v>28667932.690000001</v>
      </c>
      <c r="P28" s="90">
        <v>104976021.76000001</v>
      </c>
      <c r="Q28" s="90">
        <v>838195.89</v>
      </c>
      <c r="R28" s="90">
        <v>-781.42</v>
      </c>
      <c r="S28" s="90">
        <v>-0.06</v>
      </c>
      <c r="T28" s="90">
        <v>0.11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</row>
    <row r="29" spans="1:26" s="94" customFormat="1" ht="12.75" customHeight="1" x14ac:dyDescent="0.25">
      <c r="C29" s="101" t="s">
        <v>119</v>
      </c>
      <c r="D29" s="101" t="s">
        <v>70</v>
      </c>
      <c r="F29" s="93">
        <v>381531003.22000003</v>
      </c>
      <c r="G29" s="93">
        <v>51063970.619999997</v>
      </c>
      <c r="H29" s="93">
        <v>27940265.129999999</v>
      </c>
      <c r="I29" s="93">
        <v>14591633.82</v>
      </c>
      <c r="J29" s="93">
        <v>42751137.32</v>
      </c>
      <c r="K29" s="93">
        <v>1521468.35</v>
      </c>
      <c r="L29" s="93">
        <v>1790178.35</v>
      </c>
      <c r="M29" s="93">
        <v>13355281.949999999</v>
      </c>
      <c r="N29" s="93">
        <v>15351278.289999999</v>
      </c>
      <c r="O29" s="93">
        <v>70924472.959999993</v>
      </c>
      <c r="P29" s="93">
        <v>139758128.53999999</v>
      </c>
      <c r="Q29" s="93">
        <v>2483513.52</v>
      </c>
      <c r="R29" s="93">
        <v>-681.1</v>
      </c>
      <c r="S29" s="93">
        <v>-0.06</v>
      </c>
      <c r="T29" s="93">
        <v>355.53</v>
      </c>
      <c r="U29" s="93">
        <v>0</v>
      </c>
      <c r="V29" s="93">
        <v>0</v>
      </c>
      <c r="W29" s="93">
        <v>0</v>
      </c>
      <c r="X29" s="93">
        <v>0</v>
      </c>
      <c r="Y29" s="93">
        <v>0</v>
      </c>
      <c r="Z29" s="93">
        <v>0</v>
      </c>
    </row>
    <row r="30" spans="1:26" s="226" customFormat="1" ht="12.75" customHeight="1" x14ac:dyDescent="0.25">
      <c r="B30" s="98" t="s">
        <v>112</v>
      </c>
      <c r="C30" s="98" t="s">
        <v>70</v>
      </c>
      <c r="F30" s="100">
        <v>20250610016.279999</v>
      </c>
      <c r="G30" s="100">
        <v>1001082767.02</v>
      </c>
      <c r="H30" s="100">
        <v>558624325.79999995</v>
      </c>
      <c r="I30" s="100">
        <v>295818953.72000003</v>
      </c>
      <c r="J30" s="100">
        <v>4854982517.8900003</v>
      </c>
      <c r="K30" s="100">
        <v>182023496.11000001</v>
      </c>
      <c r="L30" s="100">
        <v>30635669.579999998</v>
      </c>
      <c r="M30" s="100">
        <v>1597683161.6500001</v>
      </c>
      <c r="N30" s="100">
        <v>1526553386.0599999</v>
      </c>
      <c r="O30" s="100">
        <v>7180879872.7299995</v>
      </c>
      <c r="P30" s="100">
        <v>2725348112.8699999</v>
      </c>
      <c r="Q30" s="100">
        <v>297024233.37</v>
      </c>
      <c r="R30" s="100">
        <v>-46873.26</v>
      </c>
      <c r="S30" s="100">
        <v>-0.06</v>
      </c>
      <c r="T30" s="100">
        <v>408.66</v>
      </c>
      <c r="U30" s="100">
        <v>0</v>
      </c>
      <c r="V30" s="100">
        <v>0</v>
      </c>
      <c r="W30" s="100">
        <v>0</v>
      </c>
      <c r="X30" s="100">
        <v>0</v>
      </c>
      <c r="Y30" s="100">
        <v>0</v>
      </c>
      <c r="Z30" s="100">
        <v>-15.86</v>
      </c>
    </row>
    <row r="31" spans="1:26" ht="12.75" customHeight="1" x14ac:dyDescent="0.25">
      <c r="A31" t="s">
        <v>78</v>
      </c>
      <c r="B31" t="s">
        <v>70</v>
      </c>
      <c r="E31" s="89"/>
      <c r="F31" s="89">
        <v>20250652696.279999</v>
      </c>
      <c r="G31" s="90">
        <v>1001084850.96</v>
      </c>
      <c r="H31" s="90">
        <v>558625486.96000004</v>
      </c>
      <c r="I31" s="90">
        <v>295819571.27999997</v>
      </c>
      <c r="J31" s="90">
        <v>4854992935.3000002</v>
      </c>
      <c r="K31" s="90">
        <v>182023879.19999999</v>
      </c>
      <c r="L31" s="90">
        <v>30635669.579999998</v>
      </c>
      <c r="M31" s="90">
        <v>1597686522.03</v>
      </c>
      <c r="N31" s="90">
        <v>1526556606.99</v>
      </c>
      <c r="O31" s="90">
        <v>7180894992.5299997</v>
      </c>
      <c r="P31" s="90">
        <v>2725353804.6300001</v>
      </c>
      <c r="Q31" s="90">
        <v>297024858.39999998</v>
      </c>
      <c r="R31" s="90">
        <v>-46874.32</v>
      </c>
      <c r="S31" s="90">
        <v>-0.06</v>
      </c>
      <c r="T31" s="90">
        <v>408.66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-15.86</v>
      </c>
    </row>
    <row r="32" spans="1:26" ht="12.75" customHeight="1" x14ac:dyDescent="0.25">
      <c r="E32" s="89" t="s">
        <v>73</v>
      </c>
      <c r="F32" s="386">
        <v>-2946115981.23</v>
      </c>
      <c r="G32" s="90">
        <v>-66231005.340000004</v>
      </c>
      <c r="H32" s="90">
        <v>-36832734.109999999</v>
      </c>
      <c r="I32" s="90">
        <v>-19652614.050000001</v>
      </c>
      <c r="J32" s="90">
        <v>-827185764.33000004</v>
      </c>
      <c r="K32" s="90">
        <v>-30673428.390000001</v>
      </c>
      <c r="L32" s="90">
        <v>0</v>
      </c>
      <c r="M32" s="90">
        <v>-269377256.72000003</v>
      </c>
      <c r="N32" s="90">
        <v>-257778348.69</v>
      </c>
      <c r="O32" s="90">
        <v>-1210915616.1199999</v>
      </c>
      <c r="P32" s="90">
        <v>-177422939.84</v>
      </c>
      <c r="Q32" s="90">
        <v>-50046273.640000001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</row>
    <row r="33" spans="1:42" ht="12.75" customHeight="1" x14ac:dyDescent="0.25">
      <c r="D33" t="s">
        <v>156</v>
      </c>
      <c r="E33" s="89" t="s">
        <v>70</v>
      </c>
      <c r="F33" s="386">
        <v>-2946115981.23</v>
      </c>
      <c r="G33" s="90">
        <v>-66231005.340000004</v>
      </c>
      <c r="H33" s="90">
        <v>-36832734.109999999</v>
      </c>
      <c r="I33" s="90">
        <v>-19652614.050000001</v>
      </c>
      <c r="J33" s="90">
        <v>-827185764.33000004</v>
      </c>
      <c r="K33" s="90">
        <v>-30673428.390000001</v>
      </c>
      <c r="L33" s="90">
        <v>0</v>
      </c>
      <c r="M33" s="90">
        <v>-269377256.72000003</v>
      </c>
      <c r="N33" s="90">
        <v>-257778348.69</v>
      </c>
      <c r="O33" s="90">
        <v>-1210915616.1199999</v>
      </c>
      <c r="P33" s="90">
        <v>-177422939.84</v>
      </c>
      <c r="Q33" s="90">
        <v>-50046273.640000001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</row>
    <row r="34" spans="1:42" s="288" customFormat="1" ht="12.75" customHeight="1" x14ac:dyDescent="0.25">
      <c r="C34" s="288" t="s">
        <v>155</v>
      </c>
      <c r="D34" s="288" t="s">
        <v>70</v>
      </c>
      <c r="E34" s="229"/>
      <c r="F34" s="229">
        <v>-2946115981.23</v>
      </c>
      <c r="G34" s="230">
        <v>-66231005.340000004</v>
      </c>
      <c r="H34" s="230">
        <v>-36832734.109999999</v>
      </c>
      <c r="I34" s="230">
        <v>-19652614.050000001</v>
      </c>
      <c r="J34" s="230">
        <v>-827185764.33000004</v>
      </c>
      <c r="K34" s="230">
        <v>-30673428.390000001</v>
      </c>
      <c r="L34" s="230">
        <v>0</v>
      </c>
      <c r="M34" s="230">
        <v>-269377256.72000003</v>
      </c>
      <c r="N34" s="230">
        <v>-257778348.69</v>
      </c>
      <c r="O34" s="230">
        <v>-1210915616.1199999</v>
      </c>
      <c r="P34" s="230">
        <v>-177422939.84</v>
      </c>
      <c r="Q34" s="230">
        <v>-50046273.640000001</v>
      </c>
      <c r="R34" s="230">
        <v>0</v>
      </c>
      <c r="S34" s="230">
        <v>0</v>
      </c>
      <c r="T34" s="230">
        <v>0</v>
      </c>
      <c r="U34" s="230">
        <v>0</v>
      </c>
      <c r="V34" s="230">
        <v>0</v>
      </c>
      <c r="W34" s="230">
        <v>0</v>
      </c>
      <c r="X34" s="230">
        <v>0</v>
      </c>
      <c r="Y34" s="230">
        <v>0</v>
      </c>
      <c r="Z34" s="230">
        <v>0</v>
      </c>
    </row>
    <row r="35" spans="1:42" ht="12.75" customHeight="1" x14ac:dyDescent="0.25">
      <c r="D35" s="89"/>
      <c r="E35" s="89" t="s">
        <v>73</v>
      </c>
      <c r="F35" s="90">
        <v>6948561.2599999998</v>
      </c>
      <c r="G35" s="90">
        <v>1410581.2</v>
      </c>
      <c r="H35" s="90">
        <v>792768.83</v>
      </c>
      <c r="I35" s="90">
        <v>419896.52</v>
      </c>
      <c r="J35" s="90">
        <v>180596.23</v>
      </c>
      <c r="K35" s="90">
        <v>-3882.3</v>
      </c>
      <c r="L35" s="90">
        <v>0</v>
      </c>
      <c r="M35" s="90">
        <v>-34057.21</v>
      </c>
      <c r="N35" s="90">
        <v>57414.32</v>
      </c>
      <c r="O35" s="90">
        <v>271593.34999999998</v>
      </c>
      <c r="P35" s="90">
        <v>3859983.64</v>
      </c>
      <c r="Q35" s="90">
        <v>-6333.32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0</v>
      </c>
      <c r="X35" s="90">
        <v>0</v>
      </c>
      <c r="Y35" s="90">
        <v>0</v>
      </c>
      <c r="Z35" s="90">
        <v>0</v>
      </c>
    </row>
    <row r="36" spans="1:42" ht="12.75" customHeight="1" x14ac:dyDescent="0.25">
      <c r="D36" t="s">
        <v>82</v>
      </c>
      <c r="E36" s="89" t="s">
        <v>70</v>
      </c>
      <c r="F36" s="90">
        <v>6948561.2599999998</v>
      </c>
      <c r="G36" s="90">
        <v>1410581.2</v>
      </c>
      <c r="H36" s="90">
        <v>792768.83</v>
      </c>
      <c r="I36" s="90">
        <v>419896.52</v>
      </c>
      <c r="J36" s="90">
        <v>180596.23</v>
      </c>
      <c r="K36" s="90">
        <v>-3882.3</v>
      </c>
      <c r="L36" s="90">
        <v>0</v>
      </c>
      <c r="M36" s="90">
        <v>-34057.21</v>
      </c>
      <c r="N36" s="90">
        <v>57414.32</v>
      </c>
      <c r="O36" s="90">
        <v>271593.34999999998</v>
      </c>
      <c r="P36" s="90">
        <v>3859983.64</v>
      </c>
      <c r="Q36" s="90">
        <v>-6333.32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  <c r="Z36" s="90">
        <v>0</v>
      </c>
    </row>
    <row r="37" spans="1:42" ht="12.75" customHeight="1" x14ac:dyDescent="0.25">
      <c r="D37" s="89"/>
      <c r="E37" s="89" t="s">
        <v>73</v>
      </c>
      <c r="F37" s="90">
        <v>18379766.120000001</v>
      </c>
      <c r="G37" s="90">
        <v>3896523.02</v>
      </c>
      <c r="H37" s="90">
        <v>1932685.53</v>
      </c>
      <c r="I37" s="90">
        <v>904936.27</v>
      </c>
      <c r="J37" s="90">
        <v>174866.47</v>
      </c>
      <c r="K37" s="90">
        <v>-4332.57</v>
      </c>
      <c r="L37" s="90">
        <v>0</v>
      </c>
      <c r="M37" s="90">
        <v>-47024.58</v>
      </c>
      <c r="N37" s="90">
        <v>133689.19</v>
      </c>
      <c r="O37" s="90">
        <v>548414.37</v>
      </c>
      <c r="P37" s="90">
        <v>10847077.07</v>
      </c>
      <c r="Q37" s="90">
        <v>-7068.65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  <c r="Z37" s="90">
        <v>0</v>
      </c>
    </row>
    <row r="38" spans="1:42" ht="12.75" customHeight="1" x14ac:dyDescent="0.25">
      <c r="D38" t="s">
        <v>86</v>
      </c>
      <c r="E38" s="89" t="s">
        <v>70</v>
      </c>
      <c r="F38" s="90">
        <v>18379766.120000001</v>
      </c>
      <c r="G38" s="90">
        <v>3896523.02</v>
      </c>
      <c r="H38" s="90">
        <v>1932685.53</v>
      </c>
      <c r="I38" s="90">
        <v>904936.27</v>
      </c>
      <c r="J38" s="90">
        <v>174866.47</v>
      </c>
      <c r="K38" s="90">
        <v>-4332.57</v>
      </c>
      <c r="L38" s="90">
        <v>0</v>
      </c>
      <c r="M38" s="90">
        <v>-47024.58</v>
      </c>
      <c r="N38" s="90">
        <v>133689.19</v>
      </c>
      <c r="O38" s="90">
        <v>548414.37</v>
      </c>
      <c r="P38" s="90">
        <v>10847077.07</v>
      </c>
      <c r="Q38" s="90">
        <v>-7068.65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0</v>
      </c>
    </row>
    <row r="39" spans="1:42" ht="12.75" customHeight="1" x14ac:dyDescent="0.25">
      <c r="D39" s="89"/>
      <c r="E39" s="89" t="s">
        <v>73</v>
      </c>
      <c r="F39" s="90">
        <v>119727831.91</v>
      </c>
      <c r="G39" s="90">
        <v>21174917.870000001</v>
      </c>
      <c r="H39" s="90">
        <v>11896575.210000001</v>
      </c>
      <c r="I39" s="90">
        <v>6266740.54</v>
      </c>
      <c r="J39" s="90">
        <v>7356037.7599999998</v>
      </c>
      <c r="K39" s="90">
        <v>191531.36</v>
      </c>
      <c r="L39" s="90">
        <v>0</v>
      </c>
      <c r="M39" s="90">
        <v>1677524.25</v>
      </c>
      <c r="N39" s="90">
        <v>2303266.9900000002</v>
      </c>
      <c r="O39" s="90">
        <v>10782216.24</v>
      </c>
      <c r="P39" s="90">
        <v>57766394.100000001</v>
      </c>
      <c r="Q39" s="90">
        <v>312627.59000000003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0</v>
      </c>
    </row>
    <row r="40" spans="1:42" ht="12.75" customHeight="1" x14ac:dyDescent="0.25">
      <c r="C40" s="89"/>
      <c r="D40" s="89" t="s">
        <v>87</v>
      </c>
      <c r="E40" t="s">
        <v>70</v>
      </c>
      <c r="F40" s="90">
        <v>119727831.91</v>
      </c>
      <c r="G40" s="90">
        <v>21174917.870000001</v>
      </c>
      <c r="H40" s="90">
        <v>11896575.210000001</v>
      </c>
      <c r="I40" s="90">
        <v>6266740.54</v>
      </c>
      <c r="J40" s="90">
        <v>7356037.7599999998</v>
      </c>
      <c r="K40" s="90">
        <v>191531.36</v>
      </c>
      <c r="L40" s="90">
        <v>0</v>
      </c>
      <c r="M40" s="90">
        <v>1677524.25</v>
      </c>
      <c r="N40" s="90">
        <v>2303266.9900000002</v>
      </c>
      <c r="O40" s="90">
        <v>10782216.24</v>
      </c>
      <c r="P40" s="90">
        <v>57766394.100000001</v>
      </c>
      <c r="Q40" s="90">
        <v>312627.59000000003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  <c r="Z40" s="90">
        <v>0</v>
      </c>
    </row>
    <row r="41" spans="1:42" s="94" customFormat="1" ht="12.75" customHeight="1" x14ac:dyDescent="0.25">
      <c r="C41" s="101" t="s">
        <v>119</v>
      </c>
      <c r="D41" s="101" t="s">
        <v>70</v>
      </c>
      <c r="F41" s="93">
        <v>145056159.28999999</v>
      </c>
      <c r="G41" s="93">
        <v>26482022.09</v>
      </c>
      <c r="H41" s="93">
        <v>14622029.57</v>
      </c>
      <c r="I41" s="93">
        <v>7591573.3300000001</v>
      </c>
      <c r="J41" s="93">
        <v>7711500.46</v>
      </c>
      <c r="K41" s="93">
        <v>183316.49</v>
      </c>
      <c r="L41" s="93">
        <v>0</v>
      </c>
      <c r="M41" s="93">
        <v>1596442.46</v>
      </c>
      <c r="N41" s="93">
        <v>2494370.5</v>
      </c>
      <c r="O41" s="93">
        <v>11602223.960000001</v>
      </c>
      <c r="P41" s="93">
        <v>72473454.810000002</v>
      </c>
      <c r="Q41" s="93">
        <v>299225.62</v>
      </c>
      <c r="R41" s="93">
        <v>0</v>
      </c>
      <c r="S41" s="93">
        <v>0</v>
      </c>
      <c r="T41" s="93">
        <v>0</v>
      </c>
      <c r="U41" s="93">
        <v>0</v>
      </c>
      <c r="V41" s="93">
        <v>0</v>
      </c>
      <c r="W41" s="93">
        <v>0</v>
      </c>
      <c r="X41" s="93">
        <v>0</v>
      </c>
      <c r="Y41" s="93">
        <v>0</v>
      </c>
      <c r="Z41" s="93">
        <v>0</v>
      </c>
    </row>
    <row r="42" spans="1:42" s="226" customFormat="1" ht="12.75" customHeight="1" x14ac:dyDescent="0.25">
      <c r="B42" s="98" t="s">
        <v>112</v>
      </c>
      <c r="C42" s="98" t="s">
        <v>70</v>
      </c>
      <c r="F42" s="100">
        <v>-2801059821.9400001</v>
      </c>
      <c r="G42" s="100">
        <v>-39748983.25</v>
      </c>
      <c r="H42" s="100">
        <v>-22210704.539999999</v>
      </c>
      <c r="I42" s="100">
        <v>-12061040.720000001</v>
      </c>
      <c r="J42" s="100">
        <v>-819474263.87</v>
      </c>
      <c r="K42" s="100">
        <v>-30490111.899999999</v>
      </c>
      <c r="L42" s="100">
        <v>0</v>
      </c>
      <c r="M42" s="100">
        <v>-267780814.25999999</v>
      </c>
      <c r="N42" s="100">
        <v>-255283978.19</v>
      </c>
      <c r="O42" s="100">
        <v>-1199313392.1600001</v>
      </c>
      <c r="P42" s="100">
        <v>-104949485.03</v>
      </c>
      <c r="Q42" s="100">
        <v>-49747048.020000003</v>
      </c>
      <c r="R42" s="100">
        <v>0</v>
      </c>
      <c r="S42" s="100">
        <v>0</v>
      </c>
      <c r="T42" s="100">
        <v>0</v>
      </c>
      <c r="U42" s="100">
        <v>0</v>
      </c>
      <c r="V42" s="100">
        <v>0</v>
      </c>
      <c r="W42" s="100">
        <v>0</v>
      </c>
      <c r="X42" s="100">
        <v>0</v>
      </c>
      <c r="Y42" s="100">
        <v>0</v>
      </c>
      <c r="Z42" s="100">
        <v>0</v>
      </c>
    </row>
    <row r="43" spans="1:42" ht="12.75" customHeight="1" x14ac:dyDescent="0.25">
      <c r="A43" s="89" t="s">
        <v>79</v>
      </c>
      <c r="B43" t="s">
        <v>70</v>
      </c>
      <c r="F43" s="90">
        <v>-2801059821.9400001</v>
      </c>
      <c r="G43" s="90">
        <v>-39748983.25</v>
      </c>
      <c r="H43" s="90">
        <v>-22210704.539999999</v>
      </c>
      <c r="I43" s="90">
        <v>-12061040.720000001</v>
      </c>
      <c r="J43" s="90">
        <v>-819474263.87</v>
      </c>
      <c r="K43" s="90">
        <v>-30490111.899999999</v>
      </c>
      <c r="L43" s="90">
        <v>0</v>
      </c>
      <c r="M43" s="90">
        <v>-267780814.25999999</v>
      </c>
      <c r="N43" s="90">
        <v>-255283978.19</v>
      </c>
      <c r="O43" s="90">
        <v>-1199313392.1600001</v>
      </c>
      <c r="P43" s="90">
        <v>-104949485.03</v>
      </c>
      <c r="Q43" s="90">
        <v>-49747048.020000003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0</v>
      </c>
      <c r="Z43" s="90">
        <v>0</v>
      </c>
    </row>
    <row r="44" spans="1:42" ht="12.75" customHeight="1" x14ac:dyDescent="0.25">
      <c r="A44" s="89" t="s">
        <v>70</v>
      </c>
      <c r="F44" s="90">
        <v>17449585765.509998</v>
      </c>
      <c r="G44" s="90">
        <v>961335364.73000002</v>
      </c>
      <c r="H44" s="90">
        <v>536414568.73000002</v>
      </c>
      <c r="I44" s="90">
        <v>283758437.25999999</v>
      </c>
      <c r="J44" s="90">
        <v>4035517439.9499998</v>
      </c>
      <c r="K44" s="90">
        <v>151533687.72</v>
      </c>
      <c r="L44" s="90">
        <v>30635669.579999998</v>
      </c>
      <c r="M44" s="90">
        <v>1329905009.75</v>
      </c>
      <c r="N44" s="90">
        <v>1271272044.6400001</v>
      </c>
      <c r="O44" s="90">
        <v>5981579268.5799999</v>
      </c>
      <c r="P44" s="90">
        <v>2620403075.6100001</v>
      </c>
      <c r="Q44" s="90">
        <v>247277680.53999999</v>
      </c>
      <c r="R44" s="90">
        <v>-46874.32</v>
      </c>
      <c r="S44" s="90">
        <v>-0.06</v>
      </c>
      <c r="T44">
        <v>408.66</v>
      </c>
      <c r="U44">
        <v>0</v>
      </c>
      <c r="V44">
        <v>0</v>
      </c>
      <c r="W44">
        <v>0</v>
      </c>
      <c r="X44" s="90">
        <v>0</v>
      </c>
      <c r="Y44" s="90">
        <v>0</v>
      </c>
      <c r="Z44">
        <v>-15.86</v>
      </c>
    </row>
    <row r="45" spans="1:42" ht="12.75" customHeight="1" x14ac:dyDescent="0.25">
      <c r="A45" s="89"/>
      <c r="D45" s="143"/>
      <c r="E45" s="137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X45" s="90"/>
      <c r="Y45" s="90"/>
    </row>
    <row r="46" spans="1:42" ht="12.75" customHeight="1" x14ac:dyDescent="0.25">
      <c r="A46" s="89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</row>
    <row r="47" spans="1:42" ht="12.75" customHeight="1" x14ac:dyDescent="0.25">
      <c r="C47" s="763" t="s">
        <v>2</v>
      </c>
      <c r="D47" s="764" t="s">
        <v>132</v>
      </c>
      <c r="E47" s="98" t="s">
        <v>70</v>
      </c>
      <c r="F47" s="100">
        <f>F30+F42+F9-L9-L30</f>
        <v>17418907415.929996</v>
      </c>
      <c r="G47" s="100">
        <f t="shared" ref="G47:AP47" si="0">G30+G9</f>
        <v>1001082264.04</v>
      </c>
      <c r="H47" s="100">
        <f t="shared" si="0"/>
        <v>558624112.1099999</v>
      </c>
      <c r="I47" s="100">
        <f t="shared" si="0"/>
        <v>295818860.42000002</v>
      </c>
      <c r="J47" s="100">
        <f t="shared" si="0"/>
        <v>4854981286.4100008</v>
      </c>
      <c r="K47" s="100">
        <f t="shared" si="0"/>
        <v>182023416.53</v>
      </c>
      <c r="L47" s="100">
        <f t="shared" si="0"/>
        <v>30635669.579999998</v>
      </c>
      <c r="M47" s="100">
        <f t="shared" si="0"/>
        <v>1597682463.6300001</v>
      </c>
      <c r="N47" s="100">
        <f t="shared" si="0"/>
        <v>1526552801.8999999</v>
      </c>
      <c r="O47" s="100">
        <f t="shared" si="0"/>
        <v>7180877540.9399996</v>
      </c>
      <c r="P47" s="100">
        <f t="shared" si="0"/>
        <v>2725346868.8800001</v>
      </c>
      <c r="Q47" s="100">
        <f t="shared" si="0"/>
        <v>297024103.53000003</v>
      </c>
      <c r="R47" s="100">
        <f t="shared" si="0"/>
        <v>-46873.26</v>
      </c>
      <c r="S47" s="100">
        <f t="shared" si="0"/>
        <v>-0.06</v>
      </c>
      <c r="T47" s="100">
        <f t="shared" si="0"/>
        <v>408.66</v>
      </c>
      <c r="U47" s="100">
        <f t="shared" si="0"/>
        <v>0</v>
      </c>
      <c r="V47" s="100">
        <f t="shared" si="0"/>
        <v>0</v>
      </c>
      <c r="W47" s="100">
        <f t="shared" si="0"/>
        <v>0</v>
      </c>
      <c r="X47" s="100">
        <f t="shared" si="0"/>
        <v>0</v>
      </c>
      <c r="Y47" s="100">
        <f t="shared" si="0"/>
        <v>0</v>
      </c>
      <c r="Z47" s="100">
        <f t="shared" si="0"/>
        <v>-15.86</v>
      </c>
      <c r="AA47" s="100">
        <f t="shared" si="0"/>
        <v>0</v>
      </c>
      <c r="AB47" s="100">
        <f t="shared" si="0"/>
        <v>0</v>
      </c>
      <c r="AC47" s="100">
        <f t="shared" si="0"/>
        <v>0</v>
      </c>
      <c r="AD47" s="100">
        <f t="shared" si="0"/>
        <v>0</v>
      </c>
      <c r="AE47" s="100">
        <f t="shared" si="0"/>
        <v>0</v>
      </c>
      <c r="AF47" s="100">
        <f t="shared" si="0"/>
        <v>0</v>
      </c>
      <c r="AG47" s="100">
        <f t="shared" si="0"/>
        <v>0</v>
      </c>
      <c r="AH47" s="100">
        <f t="shared" si="0"/>
        <v>0</v>
      </c>
      <c r="AI47" s="100">
        <f t="shared" si="0"/>
        <v>0</v>
      </c>
      <c r="AJ47" s="100">
        <f t="shared" si="0"/>
        <v>0</v>
      </c>
      <c r="AK47" s="100">
        <f t="shared" si="0"/>
        <v>0</v>
      </c>
      <c r="AL47" s="100">
        <f t="shared" si="0"/>
        <v>0</v>
      </c>
      <c r="AM47" s="100">
        <f t="shared" si="0"/>
        <v>0</v>
      </c>
      <c r="AN47" s="100">
        <f t="shared" si="0"/>
        <v>0</v>
      </c>
      <c r="AO47" s="100">
        <f t="shared" si="0"/>
        <v>0</v>
      </c>
      <c r="AP47" s="100">
        <f t="shared" si="0"/>
        <v>0</v>
      </c>
    </row>
    <row r="48" spans="1:42" ht="12.75" customHeight="1" x14ac:dyDescent="0.25">
      <c r="C48" s="763"/>
      <c r="D48" s="764"/>
      <c r="E48" s="98" t="s">
        <v>73</v>
      </c>
      <c r="F48" s="100">
        <f>F42</f>
        <v>-2801059821.9400001</v>
      </c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</row>
    <row r="49" spans="1:42" ht="12.75" customHeight="1" x14ac:dyDescent="0.25">
      <c r="C49" s="763"/>
      <c r="D49" s="764" t="s">
        <v>133</v>
      </c>
      <c r="E49" s="233" t="s">
        <v>70</v>
      </c>
      <c r="F49" s="234">
        <f>F15-L15</f>
        <v>42680</v>
      </c>
      <c r="G49" s="234">
        <f>G15</f>
        <v>2083.94</v>
      </c>
      <c r="H49" s="234">
        <f t="shared" ref="H49:AP49" si="1">H15</f>
        <v>1161.1600000000001</v>
      </c>
      <c r="I49" s="234">
        <f t="shared" si="1"/>
        <v>617.55999999999995</v>
      </c>
      <c r="J49" s="234">
        <f t="shared" si="1"/>
        <v>10417.41</v>
      </c>
      <c r="K49" s="234">
        <f t="shared" si="1"/>
        <v>383.09</v>
      </c>
      <c r="L49" s="234">
        <f t="shared" si="1"/>
        <v>0</v>
      </c>
      <c r="M49" s="234">
        <f t="shared" si="1"/>
        <v>3360.38</v>
      </c>
      <c r="N49" s="234">
        <f t="shared" si="1"/>
        <v>3220.93</v>
      </c>
      <c r="O49" s="234">
        <f t="shared" si="1"/>
        <v>15119.8</v>
      </c>
      <c r="P49" s="234">
        <f t="shared" si="1"/>
        <v>5691.76</v>
      </c>
      <c r="Q49" s="234">
        <f t="shared" si="1"/>
        <v>625.03</v>
      </c>
      <c r="R49" s="234">
        <f t="shared" si="1"/>
        <v>-1.06</v>
      </c>
      <c r="S49" s="234">
        <f t="shared" si="1"/>
        <v>0</v>
      </c>
      <c r="T49" s="234">
        <f t="shared" si="1"/>
        <v>0</v>
      </c>
      <c r="U49" s="234">
        <f t="shared" si="1"/>
        <v>0</v>
      </c>
      <c r="V49" s="234">
        <f t="shared" si="1"/>
        <v>0</v>
      </c>
      <c r="W49" s="234">
        <f t="shared" si="1"/>
        <v>0</v>
      </c>
      <c r="X49" s="234">
        <f t="shared" si="1"/>
        <v>0</v>
      </c>
      <c r="Y49" s="234">
        <f t="shared" si="1"/>
        <v>0</v>
      </c>
      <c r="Z49" s="234">
        <f t="shared" si="1"/>
        <v>0</v>
      </c>
      <c r="AA49" s="234">
        <f t="shared" si="1"/>
        <v>0</v>
      </c>
      <c r="AB49" s="234">
        <f t="shared" si="1"/>
        <v>0</v>
      </c>
      <c r="AC49" s="234">
        <f t="shared" si="1"/>
        <v>0</v>
      </c>
      <c r="AD49" s="234">
        <f t="shared" si="1"/>
        <v>0</v>
      </c>
      <c r="AE49" s="234">
        <f t="shared" si="1"/>
        <v>0</v>
      </c>
      <c r="AF49" s="234">
        <f t="shared" si="1"/>
        <v>0</v>
      </c>
      <c r="AG49" s="234">
        <f t="shared" si="1"/>
        <v>0</v>
      </c>
      <c r="AH49" s="234">
        <f t="shared" si="1"/>
        <v>0</v>
      </c>
      <c r="AI49" s="234">
        <f t="shared" si="1"/>
        <v>0</v>
      </c>
      <c r="AJ49" s="234">
        <f t="shared" si="1"/>
        <v>0</v>
      </c>
      <c r="AK49" s="234">
        <f t="shared" si="1"/>
        <v>0</v>
      </c>
      <c r="AL49" s="234">
        <f t="shared" si="1"/>
        <v>0</v>
      </c>
      <c r="AM49" s="234">
        <f t="shared" si="1"/>
        <v>0</v>
      </c>
      <c r="AN49" s="234">
        <f t="shared" si="1"/>
        <v>0</v>
      </c>
      <c r="AO49" s="234">
        <f t="shared" si="1"/>
        <v>0</v>
      </c>
      <c r="AP49" s="234">
        <f t="shared" si="1"/>
        <v>0</v>
      </c>
    </row>
    <row r="50" spans="1:42" ht="12.75" customHeight="1" x14ac:dyDescent="0.25">
      <c r="C50" s="763"/>
      <c r="D50" s="764"/>
      <c r="E50" s="233" t="s">
        <v>73</v>
      </c>
      <c r="F50" s="234">
        <v>0</v>
      </c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</row>
    <row r="51" spans="1:42" ht="12.75" customHeight="1" x14ac:dyDescent="0.3">
      <c r="A51" s="89"/>
      <c r="C51" s="97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</row>
    <row r="52" spans="1:42" ht="12.75" customHeight="1" x14ac:dyDescent="0.25">
      <c r="C52" s="763" t="s">
        <v>160</v>
      </c>
      <c r="D52" s="764" t="s">
        <v>132</v>
      </c>
      <c r="E52" s="223" t="s">
        <v>70</v>
      </c>
      <c r="F52" s="225">
        <v>0</v>
      </c>
      <c r="G52" s="225">
        <v>0</v>
      </c>
      <c r="H52" s="225">
        <v>0</v>
      </c>
      <c r="I52" s="225">
        <v>0</v>
      </c>
      <c r="J52" s="225">
        <v>0</v>
      </c>
      <c r="K52" s="225">
        <v>0</v>
      </c>
      <c r="L52" s="225">
        <v>0</v>
      </c>
      <c r="M52" s="225">
        <v>0</v>
      </c>
      <c r="N52" s="225">
        <v>0</v>
      </c>
      <c r="O52" s="225">
        <v>0</v>
      </c>
      <c r="P52" s="225">
        <v>0</v>
      </c>
      <c r="Q52" s="225">
        <v>0</v>
      </c>
      <c r="R52" s="225">
        <v>0</v>
      </c>
      <c r="S52" s="225">
        <v>0</v>
      </c>
      <c r="T52" s="225">
        <v>0</v>
      </c>
      <c r="U52" s="225">
        <v>0</v>
      </c>
      <c r="V52" s="225">
        <v>0</v>
      </c>
      <c r="W52" s="225">
        <v>0</v>
      </c>
      <c r="X52" s="225">
        <v>0</v>
      </c>
      <c r="Y52" s="225">
        <v>0</v>
      </c>
      <c r="Z52" s="225">
        <v>0</v>
      </c>
      <c r="AA52" s="225">
        <v>0</v>
      </c>
      <c r="AB52" s="225">
        <v>0</v>
      </c>
      <c r="AC52" s="225">
        <v>0</v>
      </c>
      <c r="AD52" s="225">
        <v>0</v>
      </c>
      <c r="AE52" s="225">
        <v>0</v>
      </c>
      <c r="AF52" s="225">
        <v>0</v>
      </c>
      <c r="AG52" s="225">
        <v>0</v>
      </c>
      <c r="AH52" s="225">
        <v>0</v>
      </c>
      <c r="AI52" s="225">
        <v>0</v>
      </c>
      <c r="AJ52" s="225">
        <v>0</v>
      </c>
      <c r="AK52" s="225">
        <v>0</v>
      </c>
      <c r="AL52" s="225">
        <v>0</v>
      </c>
      <c r="AM52" s="225">
        <v>0</v>
      </c>
      <c r="AN52" s="225">
        <v>0</v>
      </c>
      <c r="AO52" s="225">
        <v>0</v>
      </c>
      <c r="AP52" s="225">
        <v>0</v>
      </c>
    </row>
    <row r="53" spans="1:42" ht="12.75" customHeight="1" x14ac:dyDescent="0.25">
      <c r="C53" s="763"/>
      <c r="D53" s="764"/>
      <c r="E53" s="223" t="s">
        <v>73</v>
      </c>
      <c r="F53" s="225">
        <v>0</v>
      </c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</row>
    <row r="54" spans="1:42" ht="12.75" customHeight="1" x14ac:dyDescent="0.25">
      <c r="C54" s="763"/>
      <c r="D54" s="764" t="s">
        <v>133</v>
      </c>
      <c r="E54" s="227" t="s">
        <v>70</v>
      </c>
      <c r="F54" s="228">
        <v>0</v>
      </c>
      <c r="G54" s="228">
        <v>0</v>
      </c>
      <c r="H54" s="228">
        <v>0</v>
      </c>
      <c r="I54" s="228">
        <v>0</v>
      </c>
      <c r="J54" s="228">
        <v>0</v>
      </c>
      <c r="K54" s="228">
        <v>0</v>
      </c>
      <c r="L54" s="228">
        <v>0</v>
      </c>
      <c r="M54" s="228">
        <v>0</v>
      </c>
      <c r="N54" s="228">
        <v>0</v>
      </c>
      <c r="O54" s="228">
        <v>0</v>
      </c>
      <c r="P54" s="228">
        <v>0</v>
      </c>
      <c r="Q54" s="228">
        <v>0</v>
      </c>
      <c r="R54" s="228">
        <v>0</v>
      </c>
      <c r="S54" s="228">
        <v>0</v>
      </c>
      <c r="T54" s="228">
        <v>0</v>
      </c>
      <c r="U54" s="228">
        <v>0</v>
      </c>
      <c r="V54" s="228">
        <v>0</v>
      </c>
      <c r="W54" s="228">
        <v>0</v>
      </c>
      <c r="X54" s="228">
        <v>0</v>
      </c>
      <c r="Y54" s="228">
        <v>0</v>
      </c>
      <c r="Z54" s="228">
        <v>0</v>
      </c>
      <c r="AA54" s="228">
        <v>0</v>
      </c>
      <c r="AB54" s="228">
        <v>0</v>
      </c>
      <c r="AC54" s="228">
        <v>0</v>
      </c>
      <c r="AD54" s="228">
        <v>0</v>
      </c>
      <c r="AE54" s="228">
        <v>0</v>
      </c>
      <c r="AF54" s="228">
        <v>0</v>
      </c>
      <c r="AG54" s="228">
        <v>0</v>
      </c>
      <c r="AH54" s="228">
        <v>0</v>
      </c>
      <c r="AI54" s="228">
        <v>0</v>
      </c>
      <c r="AJ54" s="228">
        <v>0</v>
      </c>
      <c r="AK54" s="228">
        <v>0</v>
      </c>
      <c r="AL54" s="228">
        <v>0</v>
      </c>
      <c r="AM54" s="228">
        <v>0</v>
      </c>
      <c r="AN54" s="228">
        <v>0</v>
      </c>
      <c r="AO54" s="228">
        <v>0</v>
      </c>
      <c r="AP54" s="228">
        <v>0</v>
      </c>
    </row>
    <row r="55" spans="1:42" ht="12.75" customHeight="1" x14ac:dyDescent="0.25">
      <c r="C55" s="763"/>
      <c r="D55" s="764"/>
      <c r="E55" s="227" t="s">
        <v>73</v>
      </c>
      <c r="F55" s="228">
        <v>0</v>
      </c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</row>
    <row r="56" spans="1:42" ht="12.75" customHeight="1" x14ac:dyDescent="0.3">
      <c r="A56" s="89"/>
      <c r="C56" s="97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</row>
    <row r="57" spans="1:42" ht="12.75" customHeight="1" x14ac:dyDescent="0.25">
      <c r="C57" s="763" t="s">
        <v>155</v>
      </c>
      <c r="D57" s="764" t="s">
        <v>132</v>
      </c>
      <c r="E57" s="221" t="s">
        <v>70</v>
      </c>
      <c r="F57" s="222">
        <f>F34+F19+F8-L8-L19</f>
        <v>16894110431.770002</v>
      </c>
      <c r="G57" s="222">
        <f t="shared" ref="G57:AP57" si="2">G19</f>
        <v>950018796.39999998</v>
      </c>
      <c r="H57" s="222">
        <f t="shared" si="2"/>
        <v>530684060.67000002</v>
      </c>
      <c r="I57" s="222">
        <f t="shared" si="2"/>
        <v>281227319.89999998</v>
      </c>
      <c r="J57" s="222">
        <f t="shared" si="2"/>
        <v>4812231380.5699997</v>
      </c>
      <c r="K57" s="222">
        <f t="shared" si="2"/>
        <v>180502027.75999999</v>
      </c>
      <c r="L57" s="222">
        <f t="shared" si="2"/>
        <v>28845491.23</v>
      </c>
      <c r="M57" s="222">
        <f t="shared" si="2"/>
        <v>1584327879.7</v>
      </c>
      <c r="N57" s="222">
        <f t="shared" si="2"/>
        <v>1511202107.77</v>
      </c>
      <c r="O57" s="222">
        <f t="shared" si="2"/>
        <v>7109955399.7700005</v>
      </c>
      <c r="P57" s="222">
        <f t="shared" si="2"/>
        <v>2585589984.3299999</v>
      </c>
      <c r="Q57" s="222">
        <f t="shared" si="2"/>
        <v>294540719.85000002</v>
      </c>
      <c r="R57" s="222">
        <f t="shared" si="2"/>
        <v>-46192.160000000003</v>
      </c>
      <c r="S57" s="222">
        <f t="shared" si="2"/>
        <v>0</v>
      </c>
      <c r="T57" s="222">
        <f t="shared" si="2"/>
        <v>53.13</v>
      </c>
      <c r="U57" s="222">
        <f t="shared" si="2"/>
        <v>0</v>
      </c>
      <c r="V57" s="222">
        <f t="shared" si="2"/>
        <v>0</v>
      </c>
      <c r="W57" s="222">
        <f t="shared" si="2"/>
        <v>0</v>
      </c>
      <c r="X57" s="222">
        <f t="shared" si="2"/>
        <v>0</v>
      </c>
      <c r="Y57" s="222">
        <f t="shared" si="2"/>
        <v>0</v>
      </c>
      <c r="Z57" s="222">
        <f t="shared" si="2"/>
        <v>-15.86</v>
      </c>
      <c r="AA57" s="222">
        <f t="shared" si="2"/>
        <v>0</v>
      </c>
      <c r="AB57" s="222">
        <f t="shared" si="2"/>
        <v>0</v>
      </c>
      <c r="AC57" s="222">
        <f t="shared" si="2"/>
        <v>0</v>
      </c>
      <c r="AD57" s="222">
        <f t="shared" si="2"/>
        <v>0</v>
      </c>
      <c r="AE57" s="222">
        <f t="shared" si="2"/>
        <v>0</v>
      </c>
      <c r="AF57" s="222">
        <f t="shared" si="2"/>
        <v>0</v>
      </c>
      <c r="AG57" s="222">
        <f t="shared" si="2"/>
        <v>0</v>
      </c>
      <c r="AH57" s="222">
        <f t="shared" si="2"/>
        <v>0</v>
      </c>
      <c r="AI57" s="222">
        <f t="shared" si="2"/>
        <v>0</v>
      </c>
      <c r="AJ57" s="222">
        <f t="shared" si="2"/>
        <v>0</v>
      </c>
      <c r="AK57" s="222">
        <f t="shared" si="2"/>
        <v>0</v>
      </c>
      <c r="AL57" s="222">
        <f t="shared" si="2"/>
        <v>0</v>
      </c>
      <c r="AM57" s="222">
        <f t="shared" si="2"/>
        <v>0</v>
      </c>
      <c r="AN57" s="222">
        <f t="shared" si="2"/>
        <v>0</v>
      </c>
      <c r="AO57" s="222">
        <f t="shared" si="2"/>
        <v>0</v>
      </c>
      <c r="AP57" s="222">
        <f t="shared" si="2"/>
        <v>0</v>
      </c>
    </row>
    <row r="58" spans="1:42" ht="12.75" customHeight="1" x14ac:dyDescent="0.25">
      <c r="C58" s="763"/>
      <c r="D58" s="764"/>
      <c r="E58" s="221" t="s">
        <v>73</v>
      </c>
      <c r="F58" s="222">
        <f>F34</f>
        <v>-2946115981.23</v>
      </c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</row>
    <row r="59" spans="1:42" ht="12.75" customHeight="1" x14ac:dyDescent="0.25">
      <c r="B59" s="150"/>
      <c r="C59" s="763"/>
      <c r="D59" s="764" t="s">
        <v>133</v>
      </c>
      <c r="E59" s="229" t="s">
        <v>70</v>
      </c>
      <c r="F59" s="230">
        <v>0</v>
      </c>
      <c r="G59" s="230">
        <v>0</v>
      </c>
      <c r="H59" s="230">
        <v>0</v>
      </c>
      <c r="I59" s="230">
        <v>0</v>
      </c>
      <c r="J59" s="230">
        <v>0</v>
      </c>
      <c r="K59" s="230">
        <v>0</v>
      </c>
      <c r="L59" s="230">
        <v>0</v>
      </c>
      <c r="M59" s="230">
        <v>0</v>
      </c>
      <c r="N59" s="230">
        <v>0</v>
      </c>
      <c r="O59" s="230">
        <v>0</v>
      </c>
      <c r="P59" s="230">
        <v>0</v>
      </c>
      <c r="Q59" s="230">
        <v>0</v>
      </c>
      <c r="R59" s="230">
        <v>0</v>
      </c>
      <c r="S59" s="230">
        <v>0</v>
      </c>
      <c r="T59" s="230">
        <v>0</v>
      </c>
      <c r="U59" s="230">
        <v>0</v>
      </c>
      <c r="V59" s="230">
        <v>0</v>
      </c>
      <c r="W59" s="230">
        <v>0</v>
      </c>
      <c r="X59" s="230">
        <v>0</v>
      </c>
      <c r="Y59" s="230">
        <v>0</v>
      </c>
      <c r="Z59" s="230">
        <v>0</v>
      </c>
      <c r="AA59" s="230">
        <v>0</v>
      </c>
      <c r="AB59" s="230">
        <v>0</v>
      </c>
      <c r="AC59" s="230">
        <v>0</v>
      </c>
      <c r="AD59" s="230">
        <v>0</v>
      </c>
      <c r="AE59" s="230">
        <v>0</v>
      </c>
      <c r="AF59" s="230">
        <v>0</v>
      </c>
      <c r="AG59" s="230">
        <v>0</v>
      </c>
      <c r="AH59" s="230">
        <v>0</v>
      </c>
      <c r="AI59" s="230">
        <v>0</v>
      </c>
      <c r="AJ59" s="230">
        <v>0</v>
      </c>
      <c r="AK59" s="230">
        <v>0</v>
      </c>
      <c r="AL59" s="230">
        <v>0</v>
      </c>
      <c r="AM59" s="230">
        <v>0</v>
      </c>
      <c r="AN59" s="230">
        <v>0</v>
      </c>
      <c r="AO59" s="230">
        <v>0</v>
      </c>
      <c r="AP59" s="230">
        <v>0</v>
      </c>
    </row>
    <row r="60" spans="1:42" ht="12.75" customHeight="1" x14ac:dyDescent="0.25">
      <c r="B60" s="150"/>
      <c r="C60" s="763"/>
      <c r="D60" s="764"/>
      <c r="E60" s="229" t="s">
        <v>73</v>
      </c>
      <c r="F60" s="230">
        <v>0</v>
      </c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</row>
    <row r="61" spans="1:42" ht="12.75" customHeight="1" x14ac:dyDescent="0.3">
      <c r="A61" s="89"/>
      <c r="C61" s="97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</row>
    <row r="62" spans="1:42" ht="12.75" customHeight="1" x14ac:dyDescent="0.25">
      <c r="C62" s="766" t="s">
        <v>324</v>
      </c>
      <c r="D62" s="764" t="s">
        <v>132</v>
      </c>
      <c r="E62" s="375" t="s">
        <v>70</v>
      </c>
      <c r="F62" s="376">
        <v>0</v>
      </c>
      <c r="G62" s="376">
        <v>0</v>
      </c>
      <c r="H62" s="376">
        <v>0</v>
      </c>
      <c r="I62" s="376">
        <v>0</v>
      </c>
      <c r="J62" s="376">
        <v>0</v>
      </c>
      <c r="K62" s="376">
        <v>0</v>
      </c>
      <c r="L62" s="376">
        <v>0</v>
      </c>
      <c r="M62" s="376">
        <v>0</v>
      </c>
      <c r="N62" s="376">
        <v>0</v>
      </c>
      <c r="O62" s="376">
        <v>0</v>
      </c>
      <c r="P62" s="376">
        <v>0</v>
      </c>
      <c r="Q62" s="376">
        <v>0</v>
      </c>
      <c r="R62" s="376">
        <v>0</v>
      </c>
      <c r="S62" s="376">
        <v>0</v>
      </c>
      <c r="T62" s="376">
        <v>0</v>
      </c>
      <c r="U62" s="376">
        <v>0</v>
      </c>
      <c r="V62" s="376">
        <v>0</v>
      </c>
      <c r="W62" s="376">
        <v>0</v>
      </c>
      <c r="X62" s="376">
        <v>0</v>
      </c>
      <c r="Y62" s="376">
        <v>0</v>
      </c>
      <c r="Z62" s="376">
        <v>0</v>
      </c>
      <c r="AA62" s="376">
        <v>0</v>
      </c>
      <c r="AB62" s="376">
        <v>0</v>
      </c>
      <c r="AC62" s="376">
        <v>0</v>
      </c>
      <c r="AD62" s="376">
        <v>0</v>
      </c>
      <c r="AE62" s="376">
        <v>0</v>
      </c>
      <c r="AF62" s="376">
        <v>0</v>
      </c>
      <c r="AG62" s="376">
        <v>0</v>
      </c>
      <c r="AH62" s="376">
        <v>0</v>
      </c>
      <c r="AI62" s="376">
        <v>0</v>
      </c>
      <c r="AJ62" s="376">
        <v>0</v>
      </c>
      <c r="AK62" s="376">
        <v>0</v>
      </c>
      <c r="AL62" s="376">
        <v>0</v>
      </c>
      <c r="AM62" s="376">
        <v>0</v>
      </c>
      <c r="AN62" s="376">
        <v>0</v>
      </c>
      <c r="AO62" s="376">
        <v>0</v>
      </c>
    </row>
    <row r="63" spans="1:42" ht="12.75" customHeight="1" x14ac:dyDescent="0.25">
      <c r="C63" s="766"/>
      <c r="D63" s="764"/>
      <c r="E63" s="375" t="s">
        <v>73</v>
      </c>
      <c r="F63" s="376">
        <v>0</v>
      </c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</row>
    <row r="64" spans="1:42" ht="12.75" customHeight="1" x14ac:dyDescent="0.25">
      <c r="C64" s="766"/>
      <c r="D64" s="764" t="s">
        <v>133</v>
      </c>
      <c r="E64" s="242" t="s">
        <v>70</v>
      </c>
      <c r="F64" s="243">
        <v>0</v>
      </c>
      <c r="G64" s="243">
        <v>0</v>
      </c>
      <c r="H64" s="243">
        <v>0</v>
      </c>
      <c r="I64" s="243">
        <v>0</v>
      </c>
      <c r="J64" s="243">
        <v>0</v>
      </c>
      <c r="K64" s="243">
        <v>0</v>
      </c>
      <c r="L64" s="243">
        <v>0</v>
      </c>
      <c r="M64" s="243">
        <v>0</v>
      </c>
      <c r="N64" s="243">
        <v>0</v>
      </c>
      <c r="O64" s="243">
        <v>0</v>
      </c>
      <c r="P64" s="243">
        <v>0</v>
      </c>
      <c r="Q64" s="243">
        <v>0</v>
      </c>
      <c r="R64" s="243">
        <v>0</v>
      </c>
      <c r="S64" s="243">
        <v>0</v>
      </c>
      <c r="T64" s="243">
        <v>0</v>
      </c>
      <c r="U64" s="243">
        <v>0</v>
      </c>
      <c r="V64" s="243">
        <v>0</v>
      </c>
      <c r="W64" s="243">
        <v>0</v>
      </c>
      <c r="X64" s="243">
        <v>0</v>
      </c>
      <c r="Y64" s="243">
        <v>0</v>
      </c>
      <c r="Z64" s="243">
        <v>0</v>
      </c>
      <c r="AA64" s="243">
        <v>0</v>
      </c>
      <c r="AB64" s="243">
        <v>0</v>
      </c>
      <c r="AC64" s="243">
        <v>0</v>
      </c>
      <c r="AD64" s="243">
        <v>0</v>
      </c>
      <c r="AE64" s="243">
        <v>0</v>
      </c>
      <c r="AF64" s="243">
        <v>0</v>
      </c>
      <c r="AG64" s="243">
        <v>0</v>
      </c>
      <c r="AH64" s="243">
        <v>0</v>
      </c>
      <c r="AI64" s="243">
        <v>0</v>
      </c>
      <c r="AJ64" s="243">
        <v>0</v>
      </c>
      <c r="AK64" s="243">
        <v>0</v>
      </c>
      <c r="AL64" s="243">
        <v>0</v>
      </c>
      <c r="AM64" s="243">
        <v>0</v>
      </c>
      <c r="AN64" s="243">
        <v>0</v>
      </c>
      <c r="AO64" s="243">
        <v>0</v>
      </c>
    </row>
    <row r="65" spans="1:42" ht="12.75" customHeight="1" x14ac:dyDescent="0.25">
      <c r="C65" s="766"/>
      <c r="D65" s="764"/>
      <c r="E65" s="242" t="s">
        <v>73</v>
      </c>
      <c r="F65" s="243">
        <v>0</v>
      </c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</row>
    <row r="66" spans="1:42" ht="12.75" customHeight="1" x14ac:dyDescent="0.3">
      <c r="A66" s="89"/>
      <c r="C66" s="97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</row>
    <row r="67" spans="1:42" ht="12.75" customHeight="1" x14ac:dyDescent="0.25">
      <c r="C67" s="763" t="s">
        <v>119</v>
      </c>
      <c r="D67" s="764" t="s">
        <v>132</v>
      </c>
      <c r="E67" s="101" t="s">
        <v>70</v>
      </c>
      <c r="F67" s="93">
        <f>F41+F29-L29</f>
        <v>524796984.15999997</v>
      </c>
      <c r="G67" s="93">
        <f t="shared" ref="G67:AP67" si="3">G29+G8</f>
        <v>51063467.640000001</v>
      </c>
      <c r="H67" s="93">
        <f t="shared" si="3"/>
        <v>27940051.439999998</v>
      </c>
      <c r="I67" s="93">
        <f t="shared" si="3"/>
        <v>14591540.52</v>
      </c>
      <c r="J67" s="93">
        <f t="shared" si="3"/>
        <v>42749905.840000004</v>
      </c>
      <c r="K67" s="93">
        <f t="shared" si="3"/>
        <v>1521388.77</v>
      </c>
      <c r="L67" s="93">
        <f t="shared" si="3"/>
        <v>1790178.35</v>
      </c>
      <c r="M67" s="93">
        <f t="shared" si="3"/>
        <v>13354583.93</v>
      </c>
      <c r="N67" s="93">
        <f t="shared" si="3"/>
        <v>15350694.129999999</v>
      </c>
      <c r="O67" s="93">
        <f t="shared" si="3"/>
        <v>70922141.169999987</v>
      </c>
      <c r="P67" s="93">
        <f t="shared" si="3"/>
        <v>139756884.54999998</v>
      </c>
      <c r="Q67" s="93">
        <f t="shared" si="3"/>
        <v>2483383.6800000002</v>
      </c>
      <c r="R67" s="93">
        <f t="shared" si="3"/>
        <v>-681.1</v>
      </c>
      <c r="S67" s="93">
        <f t="shared" si="3"/>
        <v>-0.06</v>
      </c>
      <c r="T67" s="93">
        <f t="shared" si="3"/>
        <v>355.53</v>
      </c>
      <c r="U67" s="93">
        <f t="shared" si="3"/>
        <v>0</v>
      </c>
      <c r="V67" s="93">
        <f t="shared" si="3"/>
        <v>0</v>
      </c>
      <c r="W67" s="93">
        <f t="shared" si="3"/>
        <v>0</v>
      </c>
      <c r="X67" s="93">
        <f t="shared" si="3"/>
        <v>0</v>
      </c>
      <c r="Y67" s="93">
        <f t="shared" si="3"/>
        <v>0</v>
      </c>
      <c r="Z67" s="93">
        <f t="shared" si="3"/>
        <v>0</v>
      </c>
      <c r="AA67" s="93">
        <f t="shared" si="3"/>
        <v>0</v>
      </c>
      <c r="AB67" s="93">
        <f t="shared" si="3"/>
        <v>0</v>
      </c>
      <c r="AC67" s="93">
        <f t="shared" si="3"/>
        <v>0</v>
      </c>
      <c r="AD67" s="93">
        <f t="shared" si="3"/>
        <v>0</v>
      </c>
      <c r="AE67" s="93">
        <f t="shared" si="3"/>
        <v>0</v>
      </c>
      <c r="AF67" s="93">
        <f t="shared" si="3"/>
        <v>0</v>
      </c>
      <c r="AG67" s="93">
        <f t="shared" si="3"/>
        <v>0</v>
      </c>
      <c r="AH67" s="93">
        <f t="shared" si="3"/>
        <v>0</v>
      </c>
      <c r="AI67" s="93">
        <f t="shared" si="3"/>
        <v>0</v>
      </c>
      <c r="AJ67" s="93">
        <f t="shared" si="3"/>
        <v>0</v>
      </c>
      <c r="AK67" s="93">
        <f t="shared" si="3"/>
        <v>0</v>
      </c>
      <c r="AL67" s="93">
        <f t="shared" si="3"/>
        <v>0</v>
      </c>
      <c r="AM67" s="93">
        <f t="shared" si="3"/>
        <v>0</v>
      </c>
      <c r="AN67" s="93">
        <f t="shared" si="3"/>
        <v>0</v>
      </c>
      <c r="AO67" s="93">
        <f t="shared" si="3"/>
        <v>0</v>
      </c>
      <c r="AP67" s="93">
        <f t="shared" si="3"/>
        <v>0</v>
      </c>
    </row>
    <row r="68" spans="1:42" ht="12.75" customHeight="1" x14ac:dyDescent="0.25">
      <c r="C68" s="763"/>
      <c r="D68" s="764"/>
      <c r="E68" s="101" t="s">
        <v>73</v>
      </c>
      <c r="F68" s="93">
        <f>F41</f>
        <v>145056159.28999999</v>
      </c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</row>
    <row r="69" spans="1:42" ht="12.75" customHeight="1" x14ac:dyDescent="0.25">
      <c r="C69" s="763"/>
      <c r="D69" s="764" t="s">
        <v>133</v>
      </c>
      <c r="E69" s="235" t="s">
        <v>70</v>
      </c>
      <c r="F69" s="236">
        <f>F14-L14</f>
        <v>42680</v>
      </c>
      <c r="G69" s="236">
        <f t="shared" ref="G69:AP69" si="4">G14</f>
        <v>2083.94</v>
      </c>
      <c r="H69" s="236">
        <f t="shared" si="4"/>
        <v>1161.1600000000001</v>
      </c>
      <c r="I69" s="236">
        <f t="shared" si="4"/>
        <v>617.55999999999995</v>
      </c>
      <c r="J69" s="236">
        <f t="shared" si="4"/>
        <v>10417.41</v>
      </c>
      <c r="K69" s="236">
        <f t="shared" si="4"/>
        <v>383.09</v>
      </c>
      <c r="L69" s="236">
        <f t="shared" si="4"/>
        <v>0</v>
      </c>
      <c r="M69" s="236">
        <f t="shared" si="4"/>
        <v>3360.38</v>
      </c>
      <c r="N69" s="236">
        <f t="shared" si="4"/>
        <v>3220.93</v>
      </c>
      <c r="O69" s="236">
        <f t="shared" si="4"/>
        <v>15119.8</v>
      </c>
      <c r="P69" s="236">
        <f t="shared" si="4"/>
        <v>5691.76</v>
      </c>
      <c r="Q69" s="236">
        <f t="shared" si="4"/>
        <v>625.03</v>
      </c>
      <c r="R69" s="236">
        <f t="shared" si="4"/>
        <v>-1.06</v>
      </c>
      <c r="S69" s="236">
        <f t="shared" si="4"/>
        <v>0</v>
      </c>
      <c r="T69" s="236">
        <f t="shared" si="4"/>
        <v>0</v>
      </c>
      <c r="U69" s="236">
        <f t="shared" si="4"/>
        <v>0</v>
      </c>
      <c r="V69" s="236">
        <f t="shared" si="4"/>
        <v>0</v>
      </c>
      <c r="W69" s="236">
        <f t="shared" si="4"/>
        <v>0</v>
      </c>
      <c r="X69" s="236">
        <f t="shared" si="4"/>
        <v>0</v>
      </c>
      <c r="Y69" s="236">
        <f t="shared" si="4"/>
        <v>0</v>
      </c>
      <c r="Z69" s="236">
        <f t="shared" si="4"/>
        <v>0</v>
      </c>
      <c r="AA69" s="236">
        <f t="shared" si="4"/>
        <v>0</v>
      </c>
      <c r="AB69" s="236">
        <f t="shared" si="4"/>
        <v>0</v>
      </c>
      <c r="AC69" s="236">
        <f t="shared" si="4"/>
        <v>0</v>
      </c>
      <c r="AD69" s="236">
        <f t="shared" si="4"/>
        <v>0</v>
      </c>
      <c r="AE69" s="236">
        <f t="shared" si="4"/>
        <v>0</v>
      </c>
      <c r="AF69" s="236">
        <f t="shared" si="4"/>
        <v>0</v>
      </c>
      <c r="AG69" s="236">
        <f t="shared" si="4"/>
        <v>0</v>
      </c>
      <c r="AH69" s="236">
        <f t="shared" si="4"/>
        <v>0</v>
      </c>
      <c r="AI69" s="236">
        <f t="shared" si="4"/>
        <v>0</v>
      </c>
      <c r="AJ69" s="236">
        <f t="shared" si="4"/>
        <v>0</v>
      </c>
      <c r="AK69" s="236">
        <f t="shared" si="4"/>
        <v>0</v>
      </c>
      <c r="AL69" s="236">
        <f t="shared" si="4"/>
        <v>0</v>
      </c>
      <c r="AM69" s="236">
        <f t="shared" si="4"/>
        <v>0</v>
      </c>
      <c r="AN69" s="236">
        <f t="shared" si="4"/>
        <v>0</v>
      </c>
      <c r="AO69" s="236">
        <f t="shared" si="4"/>
        <v>0</v>
      </c>
      <c r="AP69" s="236">
        <f t="shared" si="4"/>
        <v>0</v>
      </c>
    </row>
    <row r="70" spans="1:42" ht="12.75" customHeight="1" x14ac:dyDescent="0.25">
      <c r="C70" s="763"/>
      <c r="D70" s="764"/>
      <c r="E70" s="235" t="s">
        <v>73</v>
      </c>
      <c r="F70" s="236">
        <v>0</v>
      </c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</row>
    <row r="71" spans="1:42" ht="12.75" customHeight="1" x14ac:dyDescent="0.3">
      <c r="A71" s="89"/>
      <c r="C71" s="97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</row>
    <row r="72" spans="1:42" ht="12.75" customHeight="1" x14ac:dyDescent="0.25">
      <c r="C72" s="765" t="s">
        <v>161</v>
      </c>
      <c r="D72" s="764" t="s">
        <v>132</v>
      </c>
      <c r="E72" s="231" t="s">
        <v>70</v>
      </c>
      <c r="F72" s="232">
        <v>0</v>
      </c>
      <c r="G72" s="232">
        <v>0</v>
      </c>
      <c r="H72" s="232">
        <v>0</v>
      </c>
      <c r="I72" s="232">
        <v>0</v>
      </c>
      <c r="J72" s="232">
        <v>0</v>
      </c>
      <c r="K72" s="232">
        <v>0</v>
      </c>
      <c r="L72" s="232">
        <v>0</v>
      </c>
      <c r="M72" s="232">
        <v>0</v>
      </c>
      <c r="N72" s="232">
        <v>0</v>
      </c>
      <c r="O72" s="232">
        <v>0</v>
      </c>
      <c r="P72" s="232">
        <v>0</v>
      </c>
      <c r="Q72" s="232">
        <v>0</v>
      </c>
      <c r="R72" s="232">
        <v>0</v>
      </c>
      <c r="S72" s="232">
        <v>0</v>
      </c>
      <c r="T72" s="232">
        <v>0</v>
      </c>
      <c r="U72" s="232">
        <v>0</v>
      </c>
      <c r="V72" s="232">
        <v>0</v>
      </c>
      <c r="W72" s="232">
        <v>0</v>
      </c>
      <c r="X72" s="232">
        <v>0</v>
      </c>
      <c r="Y72" s="232">
        <v>0</v>
      </c>
      <c r="Z72" s="232">
        <v>0</v>
      </c>
      <c r="AA72" s="232">
        <v>0</v>
      </c>
      <c r="AB72" s="232">
        <v>0</v>
      </c>
      <c r="AC72" s="232">
        <v>0</v>
      </c>
      <c r="AD72" s="232">
        <v>0</v>
      </c>
      <c r="AE72" s="232">
        <v>0</v>
      </c>
      <c r="AF72" s="232">
        <v>0</v>
      </c>
      <c r="AG72" s="232">
        <v>0</v>
      </c>
      <c r="AH72" s="232">
        <v>0</v>
      </c>
      <c r="AI72" s="232">
        <v>0</v>
      </c>
      <c r="AJ72" s="232">
        <v>0</v>
      </c>
      <c r="AK72" s="232">
        <v>0</v>
      </c>
      <c r="AL72" s="232">
        <v>0</v>
      </c>
      <c r="AM72" s="232">
        <v>0</v>
      </c>
      <c r="AN72" s="232">
        <v>0</v>
      </c>
      <c r="AO72" s="232">
        <v>0</v>
      </c>
      <c r="AP72" s="232">
        <v>0</v>
      </c>
    </row>
    <row r="73" spans="1:42" ht="12.75" customHeight="1" x14ac:dyDescent="0.25">
      <c r="C73" s="765"/>
      <c r="D73" s="764"/>
      <c r="E73" s="231" t="s">
        <v>73</v>
      </c>
      <c r="F73" s="232">
        <v>0</v>
      </c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</row>
    <row r="74" spans="1:42" ht="12.75" customHeight="1" x14ac:dyDescent="0.25">
      <c r="C74" s="765"/>
      <c r="D74" s="764" t="s">
        <v>133</v>
      </c>
      <c r="E74" s="148" t="s">
        <v>70</v>
      </c>
      <c r="F74" s="149">
        <v>0</v>
      </c>
      <c r="G74" s="149">
        <v>0</v>
      </c>
      <c r="H74" s="149">
        <v>0</v>
      </c>
      <c r="I74" s="149">
        <v>0</v>
      </c>
      <c r="J74" s="149">
        <v>0</v>
      </c>
      <c r="K74" s="149">
        <v>0</v>
      </c>
      <c r="L74" s="149">
        <v>0</v>
      </c>
      <c r="M74" s="149">
        <v>0</v>
      </c>
      <c r="N74" s="149">
        <v>0</v>
      </c>
      <c r="O74" s="149">
        <v>0</v>
      </c>
      <c r="P74" s="149">
        <v>0</v>
      </c>
      <c r="Q74" s="149">
        <v>0</v>
      </c>
      <c r="R74" s="149">
        <v>0</v>
      </c>
      <c r="S74" s="149">
        <v>0</v>
      </c>
      <c r="T74" s="149">
        <v>0</v>
      </c>
      <c r="U74" s="149">
        <v>0</v>
      </c>
      <c r="V74" s="149">
        <v>0</v>
      </c>
      <c r="W74" s="149">
        <v>0</v>
      </c>
      <c r="X74" s="149">
        <v>0</v>
      </c>
      <c r="Y74" s="149">
        <v>0</v>
      </c>
      <c r="Z74" s="149">
        <v>0</v>
      </c>
      <c r="AA74" s="149">
        <v>0</v>
      </c>
      <c r="AB74" s="149">
        <v>0</v>
      </c>
      <c r="AC74" s="149">
        <v>0</v>
      </c>
      <c r="AD74" s="149">
        <v>0</v>
      </c>
      <c r="AE74" s="149">
        <v>0</v>
      </c>
      <c r="AF74" s="149">
        <v>0</v>
      </c>
      <c r="AG74" s="149">
        <v>0</v>
      </c>
      <c r="AH74" s="149">
        <v>0</v>
      </c>
      <c r="AI74" s="149">
        <v>0</v>
      </c>
      <c r="AJ74" s="149">
        <v>0</v>
      </c>
      <c r="AK74" s="149">
        <v>0</v>
      </c>
      <c r="AL74" s="149">
        <v>0</v>
      </c>
      <c r="AM74" s="149">
        <v>0</v>
      </c>
      <c r="AN74" s="149">
        <v>0</v>
      </c>
      <c r="AO74" s="149">
        <v>0</v>
      </c>
      <c r="AP74" s="149">
        <v>0</v>
      </c>
    </row>
    <row r="75" spans="1:42" ht="12.75" customHeight="1" x14ac:dyDescent="0.25">
      <c r="C75" s="765"/>
      <c r="D75" s="764"/>
      <c r="E75" s="148" t="s">
        <v>73</v>
      </c>
      <c r="F75" s="149">
        <v>0</v>
      </c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</row>
    <row r="76" spans="1:42" ht="12.75" customHeight="1" x14ac:dyDescent="0.25">
      <c r="C76" s="390"/>
      <c r="D76" s="220"/>
      <c r="E76" s="89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</row>
    <row r="77" spans="1:42" ht="12.75" customHeight="1" x14ac:dyDescent="0.25">
      <c r="D77" s="460" t="s">
        <v>185</v>
      </c>
      <c r="E77" s="461" t="s">
        <v>70</v>
      </c>
      <c r="F77" s="462">
        <f t="shared" ref="F77:AP77" si="5">F10</f>
        <v>-7108.83</v>
      </c>
      <c r="G77" s="462">
        <f t="shared" si="5"/>
        <v>-502.98</v>
      </c>
      <c r="H77" s="462">
        <f t="shared" si="5"/>
        <v>-213.69</v>
      </c>
      <c r="I77" s="462">
        <f t="shared" si="5"/>
        <v>-93.3</v>
      </c>
      <c r="J77" s="462">
        <f t="shared" si="5"/>
        <v>-1231.48</v>
      </c>
      <c r="K77" s="462">
        <f t="shared" si="5"/>
        <v>-79.58</v>
      </c>
      <c r="L77" s="462">
        <f t="shared" si="5"/>
        <v>0</v>
      </c>
      <c r="M77" s="462">
        <f t="shared" si="5"/>
        <v>-698.02</v>
      </c>
      <c r="N77" s="462">
        <f t="shared" si="5"/>
        <v>-584.16</v>
      </c>
      <c r="O77" s="462">
        <f t="shared" si="5"/>
        <v>-2331.79</v>
      </c>
      <c r="P77" s="462">
        <f t="shared" si="5"/>
        <v>-1243.99</v>
      </c>
      <c r="Q77" s="462">
        <f t="shared" si="5"/>
        <v>-129.84</v>
      </c>
      <c r="R77" s="462">
        <f t="shared" si="5"/>
        <v>0</v>
      </c>
      <c r="S77" s="462">
        <f t="shared" si="5"/>
        <v>0</v>
      </c>
      <c r="T77" s="462">
        <f t="shared" si="5"/>
        <v>0</v>
      </c>
      <c r="U77" s="462">
        <f t="shared" si="5"/>
        <v>0</v>
      </c>
      <c r="V77" s="462">
        <f t="shared" si="5"/>
        <v>0</v>
      </c>
      <c r="W77" s="462">
        <f t="shared" si="5"/>
        <v>0</v>
      </c>
      <c r="X77" s="462">
        <f t="shared" si="5"/>
        <v>0</v>
      </c>
      <c r="Y77" s="462">
        <f t="shared" si="5"/>
        <v>0</v>
      </c>
      <c r="Z77" s="462">
        <f t="shared" si="5"/>
        <v>0</v>
      </c>
      <c r="AA77" s="462">
        <f t="shared" si="5"/>
        <v>0</v>
      </c>
      <c r="AB77" s="462">
        <f t="shared" si="5"/>
        <v>0</v>
      </c>
      <c r="AC77" s="462">
        <f t="shared" si="5"/>
        <v>0</v>
      </c>
      <c r="AD77" s="462">
        <f t="shared" si="5"/>
        <v>0</v>
      </c>
      <c r="AE77" s="462">
        <f t="shared" si="5"/>
        <v>0</v>
      </c>
      <c r="AF77" s="462">
        <f t="shared" si="5"/>
        <v>0</v>
      </c>
      <c r="AG77" s="462">
        <f t="shared" si="5"/>
        <v>0</v>
      </c>
      <c r="AH77" s="462">
        <f t="shared" si="5"/>
        <v>0</v>
      </c>
      <c r="AI77" s="462">
        <f t="shared" si="5"/>
        <v>0</v>
      </c>
      <c r="AJ77" s="462">
        <f t="shared" si="5"/>
        <v>0</v>
      </c>
      <c r="AK77" s="462">
        <f t="shared" si="5"/>
        <v>0</v>
      </c>
      <c r="AL77" s="462">
        <f t="shared" si="5"/>
        <v>0</v>
      </c>
      <c r="AM77" s="462">
        <f t="shared" si="5"/>
        <v>0</v>
      </c>
      <c r="AN77" s="462">
        <f t="shared" si="5"/>
        <v>0</v>
      </c>
      <c r="AO77" s="462">
        <f t="shared" si="5"/>
        <v>0</v>
      </c>
      <c r="AP77" s="462">
        <f t="shared" si="5"/>
        <v>0</v>
      </c>
    </row>
    <row r="78" spans="1:42" ht="12.75" customHeight="1" x14ac:dyDescent="0.25">
      <c r="C78" s="390"/>
      <c r="D78" s="220"/>
      <c r="E78" s="89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</row>
    <row r="79" spans="1:42" s="238" customFormat="1" ht="12.75" customHeight="1" x14ac:dyDescent="0.25">
      <c r="B79" s="239"/>
      <c r="C79" s="239"/>
      <c r="E79" s="240"/>
      <c r="F79" s="240"/>
      <c r="G79" s="240"/>
      <c r="H79" s="240"/>
      <c r="I79" s="240"/>
      <c r="J79" s="240"/>
      <c r="K79" s="240"/>
      <c r="L79" s="240"/>
      <c r="M79" s="240"/>
      <c r="N79" s="240"/>
      <c r="O79" s="240"/>
      <c r="P79" s="240"/>
      <c r="Q79" s="240"/>
      <c r="R79" s="240"/>
    </row>
    <row r="80" spans="1:42" ht="12" customHeight="1" x14ac:dyDescent="0.3">
      <c r="A80" s="89"/>
      <c r="B80" s="97" t="s">
        <v>75</v>
      </c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</row>
    <row r="81" spans="1:26" ht="12.75" customHeight="1" x14ac:dyDescent="0.25">
      <c r="F81" s="89" t="s">
        <v>70</v>
      </c>
      <c r="G81" s="89" t="s">
        <v>64</v>
      </c>
      <c r="H81" s="89" t="s">
        <v>65</v>
      </c>
      <c r="I81" s="218" t="s">
        <v>164</v>
      </c>
      <c r="J81" s="89" t="s">
        <v>69</v>
      </c>
      <c r="K81" s="89" t="s">
        <v>68</v>
      </c>
      <c r="L81" s="89" t="s">
        <v>71</v>
      </c>
      <c r="M81" s="89" t="s">
        <v>66</v>
      </c>
      <c r="N81" s="89" t="s">
        <v>63</v>
      </c>
      <c r="O81" s="89" t="s">
        <v>61</v>
      </c>
      <c r="P81" s="89" t="s">
        <v>62</v>
      </c>
      <c r="Q81" s="89" t="s">
        <v>67</v>
      </c>
      <c r="R81" s="89" t="s">
        <v>77</v>
      </c>
      <c r="S81" s="89" t="s">
        <v>80</v>
      </c>
      <c r="T81" s="89" t="s">
        <v>135</v>
      </c>
      <c r="U81" s="89" t="s">
        <v>172</v>
      </c>
      <c r="V81" s="89" t="s">
        <v>221</v>
      </c>
      <c r="W81" s="89" t="s">
        <v>172</v>
      </c>
      <c r="X81" t="s">
        <v>172</v>
      </c>
      <c r="Y81" s="89" t="s">
        <v>135</v>
      </c>
      <c r="Z81" s="89" t="s">
        <v>166</v>
      </c>
    </row>
    <row r="82" spans="1:26" ht="12.75" customHeight="1" x14ac:dyDescent="0.25">
      <c r="E82" t="s">
        <v>72</v>
      </c>
      <c r="F82" s="386">
        <v>-248232.18</v>
      </c>
      <c r="G82" s="89">
        <v>-22158.18</v>
      </c>
      <c r="H82" s="89">
        <v>-9413.4699999999993</v>
      </c>
      <c r="I82" s="657">
        <v>-4110.92</v>
      </c>
      <c r="J82" s="89">
        <v>-49703.6</v>
      </c>
      <c r="K82" s="89">
        <v>-2047.9</v>
      </c>
      <c r="L82" s="89">
        <v>0</v>
      </c>
      <c r="M82" s="89">
        <v>-17964.77</v>
      </c>
      <c r="N82" s="89">
        <v>-22519.09</v>
      </c>
      <c r="O82" s="89">
        <v>-75640.009999999995</v>
      </c>
      <c r="P82" s="89">
        <v>-41332.699999999997</v>
      </c>
      <c r="Q82" s="89">
        <v>-3341.54</v>
      </c>
      <c r="R82" s="89">
        <v>0</v>
      </c>
      <c r="S82" s="89">
        <v>0</v>
      </c>
      <c r="T82" s="89">
        <v>0</v>
      </c>
      <c r="U82" s="89">
        <v>0</v>
      </c>
      <c r="V82" s="89">
        <v>0</v>
      </c>
      <c r="W82" s="89">
        <v>0</v>
      </c>
      <c r="X82">
        <v>0</v>
      </c>
      <c r="Y82" s="89">
        <v>0</v>
      </c>
      <c r="Z82" s="89">
        <v>0</v>
      </c>
    </row>
    <row r="83" spans="1:26" ht="12.75" customHeight="1" x14ac:dyDescent="0.25">
      <c r="D83" t="s">
        <v>156</v>
      </c>
      <c r="E83" t="s">
        <v>70</v>
      </c>
      <c r="F83" s="386">
        <v>-248232.18</v>
      </c>
      <c r="G83" s="89">
        <v>-22158.18</v>
      </c>
      <c r="H83" s="89">
        <v>-9413.4699999999993</v>
      </c>
      <c r="I83" s="657">
        <v>-4110.92</v>
      </c>
      <c r="J83" s="89">
        <v>-49703.6</v>
      </c>
      <c r="K83" s="89">
        <v>-2047.9</v>
      </c>
      <c r="L83" s="89">
        <v>0</v>
      </c>
      <c r="M83" s="89">
        <v>-17964.77</v>
      </c>
      <c r="N83" s="89">
        <v>-22519.09</v>
      </c>
      <c r="O83" s="89">
        <v>-75640.009999999995</v>
      </c>
      <c r="P83" s="89">
        <v>-41332.699999999997</v>
      </c>
      <c r="Q83" s="89">
        <v>-3341.54</v>
      </c>
      <c r="R83" s="89">
        <v>0</v>
      </c>
      <c r="S83" s="89">
        <v>0</v>
      </c>
      <c r="T83" s="89">
        <v>0</v>
      </c>
      <c r="U83" s="89">
        <v>0</v>
      </c>
      <c r="V83" s="89">
        <v>0</v>
      </c>
      <c r="W83" s="89">
        <v>0</v>
      </c>
      <c r="X83">
        <v>0</v>
      </c>
      <c r="Y83" s="89">
        <v>0</v>
      </c>
      <c r="Z83" s="89">
        <v>0</v>
      </c>
    </row>
    <row r="84" spans="1:26" s="648" customFormat="1" ht="12.75" customHeight="1" x14ac:dyDescent="0.25">
      <c r="C84" s="648" t="s">
        <v>155</v>
      </c>
      <c r="D84" s="648" t="s">
        <v>70</v>
      </c>
      <c r="F84" s="738">
        <v>-248232.18</v>
      </c>
      <c r="G84" s="649">
        <v>-22158.18</v>
      </c>
      <c r="H84" s="649">
        <v>-9413.4699999999993</v>
      </c>
      <c r="I84" s="739">
        <v>-4110.92</v>
      </c>
      <c r="J84" s="649">
        <v>-49703.6</v>
      </c>
      <c r="K84" s="649">
        <v>-2047.9</v>
      </c>
      <c r="L84" s="649">
        <v>0</v>
      </c>
      <c r="M84" s="649">
        <v>-17964.77</v>
      </c>
      <c r="N84" s="649">
        <v>-22519.09</v>
      </c>
      <c r="O84" s="649">
        <v>-75640.009999999995</v>
      </c>
      <c r="P84" s="649">
        <v>-41332.699999999997</v>
      </c>
      <c r="Q84" s="649">
        <v>-3341.54</v>
      </c>
      <c r="R84" s="649">
        <v>0</v>
      </c>
      <c r="S84" s="649">
        <v>0</v>
      </c>
      <c r="T84" s="649">
        <v>0</v>
      </c>
      <c r="U84" s="649">
        <v>0</v>
      </c>
      <c r="V84" s="649">
        <v>0</v>
      </c>
      <c r="W84" s="649">
        <v>0</v>
      </c>
      <c r="X84" s="648">
        <v>0</v>
      </c>
      <c r="Y84" s="649">
        <v>0</v>
      </c>
      <c r="Z84" s="649">
        <v>0</v>
      </c>
    </row>
    <row r="85" spans="1:26" ht="12.75" customHeight="1" x14ac:dyDescent="0.25">
      <c r="E85" t="s">
        <v>72</v>
      </c>
      <c r="F85" s="386">
        <v>-3708.89</v>
      </c>
      <c r="G85" s="89">
        <v>-311.76</v>
      </c>
      <c r="H85" s="89">
        <v>-132.43</v>
      </c>
      <c r="I85" s="657">
        <v>-57.84</v>
      </c>
      <c r="J85" s="89">
        <v>-769.62</v>
      </c>
      <c r="K85" s="89">
        <v>-31.73</v>
      </c>
      <c r="L85" s="89">
        <v>0</v>
      </c>
      <c r="M85" s="89">
        <v>-278.16000000000003</v>
      </c>
      <c r="N85" s="89">
        <v>-348.68</v>
      </c>
      <c r="O85" s="89">
        <v>-1171.2</v>
      </c>
      <c r="P85" s="89">
        <v>-555.75</v>
      </c>
      <c r="Q85" s="89">
        <v>-51.72</v>
      </c>
      <c r="R85" s="89">
        <v>0</v>
      </c>
      <c r="S85" s="89">
        <v>0</v>
      </c>
      <c r="T85" s="89">
        <v>0</v>
      </c>
      <c r="U85" s="89">
        <v>0</v>
      </c>
      <c r="V85" s="89">
        <v>0</v>
      </c>
      <c r="W85" s="89">
        <v>0</v>
      </c>
      <c r="X85">
        <v>0</v>
      </c>
      <c r="Y85" s="89">
        <v>0</v>
      </c>
      <c r="Z85" s="89">
        <v>0</v>
      </c>
    </row>
    <row r="86" spans="1:26" ht="12.75" customHeight="1" x14ac:dyDescent="0.25">
      <c r="D86" t="s">
        <v>82</v>
      </c>
      <c r="E86" t="s">
        <v>70</v>
      </c>
      <c r="F86" s="386">
        <v>-3708.89</v>
      </c>
      <c r="G86" s="89">
        <v>-311.76</v>
      </c>
      <c r="H86" s="89">
        <v>-132.43</v>
      </c>
      <c r="I86" s="657">
        <v>-57.84</v>
      </c>
      <c r="J86" s="89">
        <v>-769.62</v>
      </c>
      <c r="K86" s="89">
        <v>-31.73</v>
      </c>
      <c r="L86" s="89">
        <v>0</v>
      </c>
      <c r="M86" s="89">
        <v>-278.16000000000003</v>
      </c>
      <c r="N86" s="89">
        <v>-348.68</v>
      </c>
      <c r="O86" s="89">
        <v>-1171.2</v>
      </c>
      <c r="P86" s="89">
        <v>-555.75</v>
      </c>
      <c r="Q86" s="89">
        <v>-51.72</v>
      </c>
      <c r="R86" s="89">
        <v>0</v>
      </c>
      <c r="S86" s="89">
        <v>0</v>
      </c>
      <c r="T86" s="89">
        <v>0</v>
      </c>
      <c r="U86" s="89">
        <v>0</v>
      </c>
      <c r="V86" s="89">
        <v>0</v>
      </c>
      <c r="W86" s="89">
        <v>0</v>
      </c>
      <c r="X86">
        <v>0</v>
      </c>
      <c r="Y86" s="89">
        <v>0</v>
      </c>
      <c r="Z86" s="89">
        <v>0</v>
      </c>
    </row>
    <row r="87" spans="1:26" ht="12.65" customHeight="1" x14ac:dyDescent="0.25">
      <c r="C87" s="89"/>
      <c r="D87" s="89"/>
      <c r="E87" t="s">
        <v>72</v>
      </c>
      <c r="F87" s="90">
        <v>-22830.34</v>
      </c>
      <c r="G87" s="90">
        <v>-2120.73</v>
      </c>
      <c r="H87" s="90">
        <v>-900.96</v>
      </c>
      <c r="I87" s="90">
        <v>-393.42</v>
      </c>
      <c r="J87" s="90">
        <v>-4489.3599999999997</v>
      </c>
      <c r="K87" s="90">
        <v>-184.98</v>
      </c>
      <c r="L87" s="90">
        <v>0</v>
      </c>
      <c r="M87" s="90">
        <v>-1622.61</v>
      </c>
      <c r="N87" s="90">
        <v>-2033.98</v>
      </c>
      <c r="O87" s="90">
        <v>-6831.99</v>
      </c>
      <c r="P87" s="90">
        <v>-3950.51</v>
      </c>
      <c r="Q87" s="90">
        <v>-301.8</v>
      </c>
      <c r="R87" s="90">
        <v>0</v>
      </c>
      <c r="S87" s="90">
        <v>0</v>
      </c>
      <c r="T87" s="90">
        <v>0</v>
      </c>
      <c r="U87" s="90">
        <v>0</v>
      </c>
      <c r="V87" s="90">
        <v>0</v>
      </c>
      <c r="W87" s="90">
        <v>0</v>
      </c>
      <c r="X87">
        <v>0</v>
      </c>
      <c r="Y87">
        <v>0</v>
      </c>
      <c r="Z87">
        <v>0</v>
      </c>
    </row>
    <row r="88" spans="1:26" ht="12.75" customHeight="1" x14ac:dyDescent="0.25">
      <c r="D88" t="s">
        <v>86</v>
      </c>
      <c r="E88" t="s">
        <v>70</v>
      </c>
      <c r="F88" s="386">
        <v>-22830.34</v>
      </c>
      <c r="G88" s="89">
        <v>-2120.73</v>
      </c>
      <c r="H88" s="89">
        <v>-900.96</v>
      </c>
      <c r="I88" s="657">
        <v>-393.42</v>
      </c>
      <c r="J88" s="89">
        <v>-4489.3599999999997</v>
      </c>
      <c r="K88" s="89">
        <v>-184.98</v>
      </c>
      <c r="L88" s="89">
        <v>0</v>
      </c>
      <c r="M88" s="89">
        <v>-1622.61</v>
      </c>
      <c r="N88" s="89">
        <v>-2033.98</v>
      </c>
      <c r="O88" s="89">
        <v>-6831.99</v>
      </c>
      <c r="P88" s="89">
        <v>-3950.51</v>
      </c>
      <c r="Q88" s="89">
        <v>-301.8</v>
      </c>
      <c r="R88" s="89">
        <v>0</v>
      </c>
      <c r="S88" s="89">
        <v>0</v>
      </c>
      <c r="T88" s="89">
        <v>0</v>
      </c>
      <c r="U88" s="89">
        <v>0</v>
      </c>
      <c r="V88" s="89">
        <v>0</v>
      </c>
      <c r="W88" s="89">
        <v>0</v>
      </c>
      <c r="X88">
        <v>0</v>
      </c>
      <c r="Y88" s="89">
        <v>0</v>
      </c>
      <c r="Z88" s="89">
        <v>0</v>
      </c>
    </row>
    <row r="89" spans="1:26" s="94" customFormat="1" ht="12.75" customHeight="1" x14ac:dyDescent="0.25">
      <c r="C89" s="94" t="s">
        <v>119</v>
      </c>
      <c r="D89" s="94" t="s">
        <v>70</v>
      </c>
      <c r="E89" s="101"/>
      <c r="F89" s="93">
        <v>-26539.23</v>
      </c>
      <c r="G89" s="93">
        <v>-2432.4899999999998</v>
      </c>
      <c r="H89" s="93">
        <v>-1033.3900000000001</v>
      </c>
      <c r="I89" s="93">
        <v>-451.26</v>
      </c>
      <c r="J89" s="93">
        <v>-5258.98</v>
      </c>
      <c r="K89" s="93">
        <v>-216.71</v>
      </c>
      <c r="L89" s="93">
        <v>0</v>
      </c>
      <c r="M89" s="93">
        <v>-1900.77</v>
      </c>
      <c r="N89" s="93">
        <v>-2382.66</v>
      </c>
      <c r="O89" s="93">
        <v>-8003.19</v>
      </c>
      <c r="P89" s="93">
        <v>-4506.26</v>
      </c>
      <c r="Q89" s="93">
        <v>-353.52</v>
      </c>
      <c r="R89" s="93">
        <v>0</v>
      </c>
      <c r="S89" s="93">
        <v>0</v>
      </c>
      <c r="T89" s="93">
        <v>0</v>
      </c>
      <c r="U89" s="93">
        <v>0</v>
      </c>
      <c r="V89" s="93">
        <v>0</v>
      </c>
      <c r="W89" s="93">
        <v>0</v>
      </c>
      <c r="X89" s="94">
        <v>0</v>
      </c>
      <c r="Y89" s="94">
        <v>0</v>
      </c>
      <c r="Z89" s="94">
        <v>0</v>
      </c>
    </row>
    <row r="90" spans="1:26" ht="12.75" customHeight="1" x14ac:dyDescent="0.25">
      <c r="B90" t="s">
        <v>112</v>
      </c>
      <c r="C90" t="s">
        <v>70</v>
      </c>
      <c r="E90" s="89"/>
      <c r="F90" s="90">
        <v>-274771.40999999997</v>
      </c>
      <c r="G90" s="90">
        <v>-24590.67</v>
      </c>
      <c r="H90" s="90">
        <v>-10446.86</v>
      </c>
      <c r="I90" s="90">
        <v>-4562.18</v>
      </c>
      <c r="J90" s="90">
        <v>-54962.58</v>
      </c>
      <c r="K90" s="90">
        <v>-2264.61</v>
      </c>
      <c r="L90" s="90">
        <v>0</v>
      </c>
      <c r="M90" s="90">
        <v>-19865.54</v>
      </c>
      <c r="N90" s="90">
        <v>-24901.75</v>
      </c>
      <c r="O90" s="90">
        <v>-83643.199999999997</v>
      </c>
      <c r="P90" s="90">
        <v>-45838.96</v>
      </c>
      <c r="Q90" s="90">
        <v>-3695.06</v>
      </c>
      <c r="R90" s="90">
        <v>0</v>
      </c>
      <c r="S90" s="90">
        <v>0</v>
      </c>
      <c r="T90" s="90">
        <v>0</v>
      </c>
      <c r="U90" s="90">
        <v>0</v>
      </c>
      <c r="V90" s="90">
        <v>0</v>
      </c>
      <c r="W90" s="90">
        <v>0</v>
      </c>
      <c r="X90">
        <v>0</v>
      </c>
      <c r="Y90">
        <v>0</v>
      </c>
      <c r="Z90">
        <v>0</v>
      </c>
    </row>
    <row r="91" spans="1:26" s="460" customFormat="1" x14ac:dyDescent="0.25">
      <c r="A91" s="460" t="s">
        <v>185</v>
      </c>
      <c r="B91" s="461" t="s">
        <v>70</v>
      </c>
      <c r="C91" s="461"/>
      <c r="F91" s="462">
        <v>-274771.40999999997</v>
      </c>
      <c r="G91" s="462">
        <v>-24590.67</v>
      </c>
      <c r="H91" s="462">
        <v>-10446.86</v>
      </c>
      <c r="I91" s="462">
        <v>-4562.18</v>
      </c>
      <c r="J91" s="462">
        <v>-54962.58</v>
      </c>
      <c r="K91" s="462">
        <v>-2264.61</v>
      </c>
      <c r="L91" s="462">
        <v>0</v>
      </c>
      <c r="M91" s="462">
        <v>-19865.54</v>
      </c>
      <c r="N91" s="462">
        <v>-24901.75</v>
      </c>
      <c r="O91" s="462">
        <v>-83643.199999999997</v>
      </c>
      <c r="P91" s="462">
        <v>-45838.96</v>
      </c>
      <c r="Q91" s="462">
        <v>-3695.06</v>
      </c>
      <c r="R91" s="462">
        <v>0</v>
      </c>
      <c r="S91" s="462">
        <v>0</v>
      </c>
      <c r="T91" s="462">
        <v>0</v>
      </c>
      <c r="U91" s="462">
        <v>0</v>
      </c>
      <c r="V91" s="462">
        <v>0</v>
      </c>
      <c r="W91" s="462">
        <v>0</v>
      </c>
      <c r="X91" s="462">
        <v>0</v>
      </c>
      <c r="Y91" s="462">
        <v>0</v>
      </c>
      <c r="Z91" s="462">
        <v>0</v>
      </c>
    </row>
    <row r="92" spans="1:26" ht="12.75" customHeight="1" x14ac:dyDescent="0.25">
      <c r="E92" s="89" t="s">
        <v>72</v>
      </c>
      <c r="F92" s="373">
        <v>16685740520.6</v>
      </c>
      <c r="G92" s="90">
        <v>919591019.15999997</v>
      </c>
      <c r="H92" s="90">
        <v>512739511.79000002</v>
      </c>
      <c r="I92" s="90">
        <v>271083437.77999997</v>
      </c>
      <c r="J92" s="90">
        <v>4291799399.9099998</v>
      </c>
      <c r="K92" s="90">
        <v>147082399.47</v>
      </c>
      <c r="L92" s="90">
        <v>12943377.24</v>
      </c>
      <c r="M92" s="90">
        <v>1289340543.1800001</v>
      </c>
      <c r="N92" s="90">
        <v>1264525361.3900001</v>
      </c>
      <c r="O92" s="90">
        <v>5933979600.3299999</v>
      </c>
      <c r="P92" s="90">
        <v>1802212521.97</v>
      </c>
      <c r="Q92" s="90">
        <v>240390838.22999999</v>
      </c>
      <c r="R92" s="90">
        <v>52510.15</v>
      </c>
      <c r="S92" s="90">
        <v>0</v>
      </c>
      <c r="T92" s="90">
        <v>0</v>
      </c>
      <c r="U92" s="90">
        <v>0</v>
      </c>
      <c r="V92" s="90">
        <v>0</v>
      </c>
      <c r="W92" s="90">
        <v>0</v>
      </c>
      <c r="X92">
        <v>0</v>
      </c>
      <c r="Y92">
        <v>0</v>
      </c>
      <c r="Z92">
        <v>0</v>
      </c>
    </row>
    <row r="93" spans="1:26" ht="12.75" customHeight="1" x14ac:dyDescent="0.25">
      <c r="E93" s="89" t="s">
        <v>81</v>
      </c>
      <c r="F93" s="373">
        <v>78737841.640000001</v>
      </c>
      <c r="G93" s="90">
        <v>9460273.4399999995</v>
      </c>
      <c r="H93" s="90">
        <v>4424900.5199999996</v>
      </c>
      <c r="I93" s="90">
        <v>1934558.97</v>
      </c>
      <c r="J93" s="90">
        <v>14260430.48</v>
      </c>
      <c r="K93" s="90">
        <v>511443.13</v>
      </c>
      <c r="L93" s="90">
        <v>15763.97</v>
      </c>
      <c r="M93" s="90">
        <v>4483671.12</v>
      </c>
      <c r="N93" s="90">
        <v>5230341.7300000004</v>
      </c>
      <c r="O93" s="90">
        <v>19009918.449999999</v>
      </c>
      <c r="P93" s="90">
        <v>18562622.969999999</v>
      </c>
      <c r="Q93" s="90">
        <v>834701.88</v>
      </c>
      <c r="R93" s="90">
        <v>9249.5499999999993</v>
      </c>
      <c r="S93" s="90">
        <v>-4.22</v>
      </c>
      <c r="T93" s="90">
        <v>0.1</v>
      </c>
      <c r="U93" s="90">
        <v>0</v>
      </c>
      <c r="V93" s="90">
        <v>0</v>
      </c>
      <c r="W93" s="90">
        <v>0</v>
      </c>
      <c r="X93">
        <v>0</v>
      </c>
      <c r="Y93">
        <v>0</v>
      </c>
      <c r="Z93">
        <v>-30.45</v>
      </c>
    </row>
    <row r="94" spans="1:26" ht="12.75" customHeight="1" x14ac:dyDescent="0.25">
      <c r="D94" t="s">
        <v>156</v>
      </c>
      <c r="E94" s="89" t="s">
        <v>70</v>
      </c>
      <c r="F94" s="373">
        <v>16764478362.24</v>
      </c>
      <c r="G94" s="90">
        <v>929051292.60000002</v>
      </c>
      <c r="H94" s="90">
        <v>517164412.31</v>
      </c>
      <c r="I94" s="90">
        <v>273017996.75</v>
      </c>
      <c r="J94" s="90">
        <v>4306059830.3900003</v>
      </c>
      <c r="K94" s="90">
        <v>147593842.59999999</v>
      </c>
      <c r="L94" s="90">
        <v>12959141.210000001</v>
      </c>
      <c r="M94" s="90">
        <v>1293824214.3</v>
      </c>
      <c r="N94" s="90">
        <v>1269755703.1199999</v>
      </c>
      <c r="O94" s="90">
        <v>5952989518.7799997</v>
      </c>
      <c r="P94" s="90">
        <v>1820775144.9400001</v>
      </c>
      <c r="Q94" s="90">
        <v>241225540.11000001</v>
      </c>
      <c r="R94" s="90">
        <v>61759.7</v>
      </c>
      <c r="S94" s="90">
        <v>-4.22</v>
      </c>
      <c r="T94" s="90">
        <v>0.1</v>
      </c>
      <c r="U94" s="90">
        <v>0</v>
      </c>
      <c r="V94" s="90">
        <v>0</v>
      </c>
      <c r="W94" s="90">
        <v>0</v>
      </c>
      <c r="X94">
        <v>0</v>
      </c>
      <c r="Y94">
        <v>0</v>
      </c>
      <c r="Z94">
        <v>-30.45</v>
      </c>
    </row>
    <row r="95" spans="1:26" s="648" customFormat="1" ht="12.75" customHeight="1" x14ac:dyDescent="0.25">
      <c r="C95" s="648" t="s">
        <v>155</v>
      </c>
      <c r="D95" s="648" t="s">
        <v>70</v>
      </c>
      <c r="E95" s="649"/>
      <c r="F95" s="737">
        <v>16764478362.24</v>
      </c>
      <c r="G95" s="650">
        <v>929051292.60000002</v>
      </c>
      <c r="H95" s="650">
        <v>517164412.31</v>
      </c>
      <c r="I95" s="650">
        <v>273017996.75</v>
      </c>
      <c r="J95" s="650">
        <v>4306059830.3900003</v>
      </c>
      <c r="K95" s="650">
        <v>147593842.59999999</v>
      </c>
      <c r="L95" s="650">
        <v>12959141.210000001</v>
      </c>
      <c r="M95" s="650">
        <v>1293824214.3</v>
      </c>
      <c r="N95" s="650">
        <v>1269755703.1199999</v>
      </c>
      <c r="O95" s="650">
        <v>5952989518.7799997</v>
      </c>
      <c r="P95" s="650">
        <v>1820775144.9400001</v>
      </c>
      <c r="Q95" s="650">
        <v>241225540.11000001</v>
      </c>
      <c r="R95" s="650">
        <v>61759.7</v>
      </c>
      <c r="S95" s="650">
        <v>-4.22</v>
      </c>
      <c r="T95" s="650">
        <v>0.1</v>
      </c>
      <c r="U95" s="650">
        <v>0</v>
      </c>
      <c r="V95" s="650">
        <v>0</v>
      </c>
      <c r="W95" s="650">
        <v>0</v>
      </c>
      <c r="X95" s="648">
        <v>0</v>
      </c>
      <c r="Y95" s="648">
        <v>0</v>
      </c>
      <c r="Z95" s="648">
        <v>-30.45</v>
      </c>
    </row>
    <row r="96" spans="1:26" ht="12.75" customHeight="1" x14ac:dyDescent="0.25">
      <c r="D96" s="89"/>
      <c r="E96" s="89" t="s">
        <v>72</v>
      </c>
      <c r="F96" s="90">
        <v>801481.23</v>
      </c>
      <c r="G96" s="90">
        <v>65507.33</v>
      </c>
      <c r="H96" s="90">
        <v>33525.01</v>
      </c>
      <c r="I96" s="90">
        <v>16830.45</v>
      </c>
      <c r="J96" s="90">
        <v>178494.6</v>
      </c>
      <c r="K96" s="90">
        <v>6230.79</v>
      </c>
      <c r="L96" s="90">
        <v>0</v>
      </c>
      <c r="M96" s="90">
        <v>54509.86</v>
      </c>
      <c r="N96" s="90">
        <v>57104.800000000003</v>
      </c>
      <c r="O96" s="90">
        <v>249196.3</v>
      </c>
      <c r="P96" s="90">
        <v>129916.42</v>
      </c>
      <c r="Q96" s="90">
        <v>10165.959999999999</v>
      </c>
      <c r="R96" s="90">
        <v>-0.28999999999999998</v>
      </c>
      <c r="S96" s="90">
        <v>0</v>
      </c>
      <c r="T96" s="90">
        <v>0</v>
      </c>
      <c r="U96" s="90">
        <v>0</v>
      </c>
      <c r="V96" s="90">
        <v>0</v>
      </c>
      <c r="W96" s="90">
        <v>0</v>
      </c>
      <c r="X96">
        <v>0</v>
      </c>
      <c r="Y96">
        <v>0</v>
      </c>
      <c r="Z96">
        <v>0</v>
      </c>
    </row>
    <row r="97" spans="3:26" ht="12.75" customHeight="1" x14ac:dyDescent="0.25">
      <c r="D97" s="89"/>
      <c r="E97" s="89" t="s">
        <v>81</v>
      </c>
      <c r="F97" s="90">
        <v>40975.589999999997</v>
      </c>
      <c r="G97" s="90">
        <v>3240.77</v>
      </c>
      <c r="H97" s="90">
        <v>1616.94</v>
      </c>
      <c r="I97" s="90">
        <v>765.23</v>
      </c>
      <c r="J97" s="90">
        <v>9414.75</v>
      </c>
      <c r="K97" s="90">
        <v>324.5</v>
      </c>
      <c r="L97" s="90">
        <v>0</v>
      </c>
      <c r="M97" s="90">
        <v>2843.79</v>
      </c>
      <c r="N97" s="90">
        <v>3391.48</v>
      </c>
      <c r="O97" s="90">
        <v>12527.15</v>
      </c>
      <c r="P97" s="90">
        <v>6321.75</v>
      </c>
      <c r="Q97" s="90">
        <v>529.49</v>
      </c>
      <c r="R97" s="90">
        <v>-1.68</v>
      </c>
      <c r="S97" s="90">
        <v>1.42</v>
      </c>
      <c r="T97" s="90">
        <v>0</v>
      </c>
      <c r="U97" s="90">
        <v>0</v>
      </c>
      <c r="V97" s="90">
        <v>0</v>
      </c>
      <c r="W97" s="90">
        <v>0</v>
      </c>
      <c r="X97">
        <v>0</v>
      </c>
      <c r="Y97">
        <v>0</v>
      </c>
      <c r="Z97">
        <v>0</v>
      </c>
    </row>
    <row r="98" spans="3:26" ht="12.75" customHeight="1" x14ac:dyDescent="0.25">
      <c r="D98" s="89" t="s">
        <v>115</v>
      </c>
      <c r="E98" s="89" t="s">
        <v>70</v>
      </c>
      <c r="F98" s="90">
        <v>842456.82</v>
      </c>
      <c r="G98" s="90">
        <v>68748.100000000006</v>
      </c>
      <c r="H98" s="90">
        <v>35141.949999999997</v>
      </c>
      <c r="I98" s="90">
        <v>17595.68</v>
      </c>
      <c r="J98" s="90">
        <v>187909.35</v>
      </c>
      <c r="K98" s="90">
        <v>6555.29</v>
      </c>
      <c r="L98" s="90">
        <v>0</v>
      </c>
      <c r="M98" s="90">
        <v>57353.65</v>
      </c>
      <c r="N98" s="90">
        <v>60496.28</v>
      </c>
      <c r="O98" s="90">
        <v>261723.45</v>
      </c>
      <c r="P98" s="90">
        <v>136238.17000000001</v>
      </c>
      <c r="Q98" s="90">
        <v>10695.45</v>
      </c>
      <c r="R98" s="90">
        <v>-1.97</v>
      </c>
      <c r="S98" s="90">
        <v>1.42</v>
      </c>
      <c r="T98" s="90">
        <v>0</v>
      </c>
      <c r="U98" s="90">
        <v>0</v>
      </c>
      <c r="V98" s="90">
        <v>0</v>
      </c>
      <c r="W98" s="90">
        <v>0</v>
      </c>
      <c r="X98">
        <v>0</v>
      </c>
      <c r="Y98">
        <v>0</v>
      </c>
      <c r="Z98">
        <v>0</v>
      </c>
    </row>
    <row r="99" spans="3:26" ht="12.75" customHeight="1" x14ac:dyDescent="0.25">
      <c r="D99" s="89"/>
      <c r="E99" s="89" t="s">
        <v>72</v>
      </c>
      <c r="F99" s="90">
        <v>143981.13</v>
      </c>
      <c r="G99" s="90">
        <v>12534.22</v>
      </c>
      <c r="H99" s="90">
        <v>10637.79</v>
      </c>
      <c r="I99" s="90">
        <v>5634.58</v>
      </c>
      <c r="J99" s="90">
        <v>35725.67</v>
      </c>
      <c r="K99" s="90">
        <v>880.45</v>
      </c>
      <c r="L99" s="90">
        <v>0</v>
      </c>
      <c r="M99" s="90">
        <v>3402.08</v>
      </c>
      <c r="N99" s="90">
        <v>4736.62</v>
      </c>
      <c r="O99" s="90">
        <v>52366.57</v>
      </c>
      <c r="P99" s="90">
        <v>16629.669999999998</v>
      </c>
      <c r="Q99" s="90">
        <v>1436.53</v>
      </c>
      <c r="R99" s="90">
        <v>-3.05</v>
      </c>
      <c r="S99" s="90">
        <v>0</v>
      </c>
      <c r="T99" s="90">
        <v>0</v>
      </c>
      <c r="U99" s="90">
        <v>0</v>
      </c>
      <c r="V99" s="90">
        <v>0</v>
      </c>
      <c r="W99" s="90">
        <v>0</v>
      </c>
      <c r="X99">
        <v>0</v>
      </c>
      <c r="Y99">
        <v>0</v>
      </c>
      <c r="Z99">
        <v>0</v>
      </c>
    </row>
    <row r="100" spans="3:26" ht="12.75" customHeight="1" x14ac:dyDescent="0.25">
      <c r="D100" s="89"/>
      <c r="E100" s="89" t="s">
        <v>81</v>
      </c>
      <c r="F100" s="90">
        <v>5018.2</v>
      </c>
      <c r="G100" s="90">
        <v>410.44</v>
      </c>
      <c r="H100" s="90">
        <v>387.85</v>
      </c>
      <c r="I100" s="90">
        <v>206.95</v>
      </c>
      <c r="J100" s="90">
        <v>1339.76</v>
      </c>
      <c r="K100" s="90">
        <v>32.340000000000003</v>
      </c>
      <c r="L100" s="90">
        <v>0</v>
      </c>
      <c r="M100" s="90">
        <v>94.55</v>
      </c>
      <c r="N100" s="90">
        <v>138.61000000000001</v>
      </c>
      <c r="O100" s="90">
        <v>1892.78</v>
      </c>
      <c r="P100" s="90">
        <v>462.17</v>
      </c>
      <c r="Q100" s="90">
        <v>52.75</v>
      </c>
      <c r="R100" s="90">
        <v>0</v>
      </c>
      <c r="S100" s="90">
        <v>0</v>
      </c>
      <c r="T100" s="90">
        <v>0</v>
      </c>
      <c r="U100" s="90">
        <v>0</v>
      </c>
      <c r="V100" s="90">
        <v>0</v>
      </c>
      <c r="W100" s="90">
        <v>0</v>
      </c>
      <c r="X100">
        <v>0</v>
      </c>
      <c r="Y100">
        <v>0</v>
      </c>
      <c r="Z100">
        <v>0</v>
      </c>
    </row>
    <row r="101" spans="3:26" ht="12.65" customHeight="1" x14ac:dyDescent="0.25">
      <c r="D101" t="s">
        <v>116</v>
      </c>
      <c r="E101" s="89" t="s">
        <v>70</v>
      </c>
      <c r="F101" s="90">
        <v>148999.32999999999</v>
      </c>
      <c r="G101" s="90">
        <v>12944.66</v>
      </c>
      <c r="H101" s="90">
        <v>11025.64</v>
      </c>
      <c r="I101" s="90">
        <v>5841.53</v>
      </c>
      <c r="J101" s="90">
        <v>37065.43</v>
      </c>
      <c r="K101" s="90">
        <v>912.79</v>
      </c>
      <c r="L101" s="90">
        <v>0</v>
      </c>
      <c r="M101" s="90">
        <v>3496.63</v>
      </c>
      <c r="N101" s="90">
        <v>4875.2299999999996</v>
      </c>
      <c r="O101" s="90">
        <v>54259.35</v>
      </c>
      <c r="P101" s="90">
        <v>17091.84</v>
      </c>
      <c r="Q101" s="90">
        <v>1489.28</v>
      </c>
      <c r="R101" s="90">
        <v>-3.05</v>
      </c>
      <c r="S101" s="90">
        <v>0</v>
      </c>
      <c r="T101" s="90">
        <v>0</v>
      </c>
      <c r="U101" s="90">
        <v>0</v>
      </c>
      <c r="V101" s="90">
        <v>0</v>
      </c>
      <c r="W101" s="90">
        <v>0</v>
      </c>
      <c r="X101">
        <v>0</v>
      </c>
      <c r="Y101">
        <v>0</v>
      </c>
      <c r="Z101">
        <v>0</v>
      </c>
    </row>
    <row r="102" spans="3:26" ht="12.75" customHeight="1" x14ac:dyDescent="0.25">
      <c r="D102" s="89"/>
      <c r="E102" s="89" t="s">
        <v>72</v>
      </c>
      <c r="F102" s="90">
        <v>3596790.29</v>
      </c>
      <c r="G102" s="90">
        <v>184464.34</v>
      </c>
      <c r="H102" s="90">
        <v>101131.59</v>
      </c>
      <c r="I102" s="90">
        <v>54378.84</v>
      </c>
      <c r="J102" s="90">
        <v>952840.52</v>
      </c>
      <c r="K102" s="90">
        <v>28739.95</v>
      </c>
      <c r="L102" s="90">
        <v>0</v>
      </c>
      <c r="M102" s="90">
        <v>251240.84</v>
      </c>
      <c r="N102" s="90">
        <v>284032.07</v>
      </c>
      <c r="O102" s="90">
        <v>1332401.02</v>
      </c>
      <c r="P102" s="90">
        <v>360636.4</v>
      </c>
      <c r="Q102" s="90">
        <v>46891.61</v>
      </c>
      <c r="R102" s="90">
        <v>33.11</v>
      </c>
      <c r="S102" s="90">
        <v>0</v>
      </c>
      <c r="T102" s="90">
        <v>0</v>
      </c>
      <c r="U102" s="90">
        <v>0</v>
      </c>
      <c r="V102" s="90">
        <v>0</v>
      </c>
      <c r="W102" s="90">
        <v>0</v>
      </c>
      <c r="X102">
        <v>0</v>
      </c>
      <c r="Y102">
        <v>0</v>
      </c>
      <c r="Z102">
        <v>0</v>
      </c>
    </row>
    <row r="103" spans="3:26" ht="12.75" customHeight="1" x14ac:dyDescent="0.25">
      <c r="E103" s="89" t="s">
        <v>81</v>
      </c>
      <c r="F103" s="90">
        <v>24410.77</v>
      </c>
      <c r="G103" s="90">
        <v>1307.03</v>
      </c>
      <c r="H103" s="90">
        <v>654</v>
      </c>
      <c r="I103" s="90">
        <v>363.03</v>
      </c>
      <c r="J103" s="90">
        <v>6808.05</v>
      </c>
      <c r="K103" s="90">
        <v>163.9</v>
      </c>
      <c r="L103" s="90">
        <v>0</v>
      </c>
      <c r="M103" s="90">
        <v>1437.9</v>
      </c>
      <c r="N103" s="90">
        <v>1902.43</v>
      </c>
      <c r="O103" s="90">
        <v>8907.0300000000007</v>
      </c>
      <c r="P103" s="90">
        <v>2599.83</v>
      </c>
      <c r="Q103" s="90">
        <v>267.45999999999998</v>
      </c>
      <c r="R103" s="90">
        <v>0.18</v>
      </c>
      <c r="S103" s="90">
        <v>0</v>
      </c>
      <c r="T103" s="90">
        <v>0</v>
      </c>
      <c r="U103" s="90">
        <v>0</v>
      </c>
      <c r="V103" s="90">
        <v>0</v>
      </c>
      <c r="W103" s="90">
        <v>0</v>
      </c>
      <c r="X103">
        <v>0</v>
      </c>
      <c r="Y103">
        <v>0</v>
      </c>
      <c r="Z103">
        <v>-7.0000000000000007E-2</v>
      </c>
    </row>
    <row r="104" spans="3:26" ht="12.75" customHeight="1" x14ac:dyDescent="0.25">
      <c r="D104" t="s">
        <v>118</v>
      </c>
      <c r="E104" s="89" t="s">
        <v>70</v>
      </c>
      <c r="F104" s="90">
        <v>3621201.06</v>
      </c>
      <c r="G104" s="90">
        <v>185771.37</v>
      </c>
      <c r="H104" s="90">
        <v>101785.59</v>
      </c>
      <c r="I104" s="90">
        <v>54741.87</v>
      </c>
      <c r="J104" s="90">
        <v>959648.57</v>
      </c>
      <c r="K104" s="90">
        <v>28903.85</v>
      </c>
      <c r="L104" s="90">
        <v>0</v>
      </c>
      <c r="M104" s="90">
        <v>252678.74</v>
      </c>
      <c r="N104" s="90">
        <v>285934.5</v>
      </c>
      <c r="O104" s="90">
        <v>1341308.05</v>
      </c>
      <c r="P104" s="90">
        <v>363236.23</v>
      </c>
      <c r="Q104" s="90">
        <v>47159.07</v>
      </c>
      <c r="R104" s="90">
        <v>33.29</v>
      </c>
      <c r="S104" s="90">
        <v>0</v>
      </c>
      <c r="T104" s="90">
        <v>0</v>
      </c>
      <c r="U104" s="90">
        <v>0</v>
      </c>
      <c r="V104" s="90">
        <v>0</v>
      </c>
      <c r="W104" s="90">
        <v>0</v>
      </c>
      <c r="X104">
        <v>0</v>
      </c>
      <c r="Y104">
        <v>0</v>
      </c>
      <c r="Z104">
        <v>-7.0000000000000007E-2</v>
      </c>
    </row>
    <row r="105" spans="3:26" s="224" customFormat="1" ht="12.75" customHeight="1" x14ac:dyDescent="0.25">
      <c r="C105" s="223" t="s">
        <v>120</v>
      </c>
      <c r="D105" s="223" t="s">
        <v>70</v>
      </c>
      <c r="F105" s="225">
        <v>4612657.21</v>
      </c>
      <c r="G105" s="225">
        <v>267464.13</v>
      </c>
      <c r="H105" s="225">
        <v>147953.18</v>
      </c>
      <c r="I105" s="225">
        <v>78179.08</v>
      </c>
      <c r="J105" s="225">
        <v>1184623.3500000001</v>
      </c>
      <c r="K105" s="225">
        <v>36371.93</v>
      </c>
      <c r="L105" s="225">
        <v>0</v>
      </c>
      <c r="M105" s="225">
        <v>313529.02</v>
      </c>
      <c r="N105" s="225">
        <v>351306.01</v>
      </c>
      <c r="O105" s="225">
        <v>1657290.85</v>
      </c>
      <c r="P105" s="225">
        <v>516566.24</v>
      </c>
      <c r="Q105" s="225">
        <v>59343.8</v>
      </c>
      <c r="R105" s="225">
        <v>28.27</v>
      </c>
      <c r="S105" s="225">
        <v>1.42</v>
      </c>
      <c r="T105" s="225">
        <v>0</v>
      </c>
      <c r="U105" s="225">
        <v>0</v>
      </c>
      <c r="V105" s="225">
        <v>0</v>
      </c>
      <c r="W105" s="225">
        <v>0</v>
      </c>
      <c r="X105" s="224">
        <v>0</v>
      </c>
      <c r="Y105" s="224">
        <v>0</v>
      </c>
      <c r="Z105" s="224">
        <v>-7.0000000000000007E-2</v>
      </c>
    </row>
    <row r="106" spans="3:26" ht="12.75" customHeight="1" x14ac:dyDescent="0.25">
      <c r="C106" s="89"/>
      <c r="D106" s="89"/>
      <c r="E106" t="s">
        <v>72</v>
      </c>
      <c r="F106" s="90">
        <v>278655165.42000002</v>
      </c>
      <c r="G106" s="90">
        <v>17004069.460000001</v>
      </c>
      <c r="H106" s="90">
        <v>9519465.1099999994</v>
      </c>
      <c r="I106" s="90">
        <v>5026439.62</v>
      </c>
      <c r="J106" s="90">
        <v>69338748.680000007</v>
      </c>
      <c r="K106" s="90">
        <v>1749839.12</v>
      </c>
      <c r="L106" s="90">
        <v>390000</v>
      </c>
      <c r="M106" s="90">
        <v>15331338.939999999</v>
      </c>
      <c r="N106" s="90">
        <v>21314920.239999998</v>
      </c>
      <c r="O106" s="90">
        <v>102636634.5</v>
      </c>
      <c r="P106" s="90">
        <v>33470803.07</v>
      </c>
      <c r="Q106" s="90">
        <v>2873532.72</v>
      </c>
      <c r="R106" s="90">
        <v>-626.04</v>
      </c>
      <c r="S106" s="90">
        <v>0</v>
      </c>
      <c r="T106" s="90">
        <v>0</v>
      </c>
      <c r="U106" s="90">
        <v>0</v>
      </c>
      <c r="V106" s="90">
        <v>0</v>
      </c>
      <c r="W106" s="90">
        <v>0</v>
      </c>
      <c r="X106">
        <v>0</v>
      </c>
      <c r="Y106">
        <v>0</v>
      </c>
      <c r="Z106">
        <v>0</v>
      </c>
    </row>
    <row r="107" spans="3:26" ht="12.75" customHeight="1" x14ac:dyDescent="0.25">
      <c r="C107" s="89"/>
      <c r="D107" s="89"/>
      <c r="E107" t="s">
        <v>81</v>
      </c>
      <c r="F107" s="90">
        <v>2510654.17</v>
      </c>
      <c r="G107" s="90">
        <v>228049.21</v>
      </c>
      <c r="H107" s="90">
        <v>126508.23</v>
      </c>
      <c r="I107" s="90">
        <v>67376.45</v>
      </c>
      <c r="J107" s="90">
        <v>536093.23</v>
      </c>
      <c r="K107" s="90">
        <v>13546.98</v>
      </c>
      <c r="L107" s="90">
        <v>2131.75</v>
      </c>
      <c r="M107" s="90">
        <v>118645.14</v>
      </c>
      <c r="N107" s="90">
        <v>165974.06</v>
      </c>
      <c r="O107" s="90">
        <v>777577.68</v>
      </c>
      <c r="P107" s="90">
        <v>452600.04</v>
      </c>
      <c r="Q107" s="90">
        <v>22150.15</v>
      </c>
      <c r="R107" s="90">
        <v>4.4800000000000004</v>
      </c>
      <c r="S107" s="90">
        <v>-3.17</v>
      </c>
      <c r="T107" s="90">
        <v>0</v>
      </c>
      <c r="U107" s="90">
        <v>0</v>
      </c>
      <c r="V107" s="90">
        <v>0</v>
      </c>
      <c r="W107" s="90">
        <v>0</v>
      </c>
      <c r="X107">
        <v>0</v>
      </c>
      <c r="Y107">
        <v>0</v>
      </c>
      <c r="Z107">
        <v>-0.06</v>
      </c>
    </row>
    <row r="108" spans="3:26" ht="12.75" customHeight="1" x14ac:dyDescent="0.25">
      <c r="D108" t="s">
        <v>82</v>
      </c>
      <c r="E108" s="89" t="s">
        <v>70</v>
      </c>
      <c r="F108" s="90">
        <v>281165819.58999997</v>
      </c>
      <c r="G108" s="90">
        <v>17232118.670000002</v>
      </c>
      <c r="H108" s="90">
        <v>9645973.3399999999</v>
      </c>
      <c r="I108" s="90">
        <v>5093816.07</v>
      </c>
      <c r="J108" s="90">
        <v>69874841.909999996</v>
      </c>
      <c r="K108" s="90">
        <v>1763386.1</v>
      </c>
      <c r="L108" s="90">
        <v>392131.75</v>
      </c>
      <c r="M108" s="90">
        <v>15449984.08</v>
      </c>
      <c r="N108" s="90">
        <v>21480894.300000001</v>
      </c>
      <c r="O108" s="90">
        <v>103414212.18000001</v>
      </c>
      <c r="P108" s="90">
        <v>33923403.109999999</v>
      </c>
      <c r="Q108" s="90">
        <v>2895682.87</v>
      </c>
      <c r="R108" s="90">
        <v>-621.55999999999995</v>
      </c>
      <c r="S108" s="90">
        <v>-3.17</v>
      </c>
      <c r="T108" s="90">
        <v>0</v>
      </c>
      <c r="U108" s="90">
        <v>0</v>
      </c>
      <c r="V108" s="90">
        <v>0</v>
      </c>
      <c r="W108" s="90">
        <v>0</v>
      </c>
      <c r="X108">
        <v>0</v>
      </c>
      <c r="Y108">
        <v>0</v>
      </c>
      <c r="Z108">
        <v>-0.06</v>
      </c>
    </row>
    <row r="109" spans="3:26" ht="12.75" customHeight="1" x14ac:dyDescent="0.25">
      <c r="E109" s="89" t="s">
        <v>72</v>
      </c>
      <c r="F109" s="90">
        <v>197865317.22</v>
      </c>
      <c r="G109" s="90">
        <v>23349813.43</v>
      </c>
      <c r="H109" s="90">
        <v>12922414.289999999</v>
      </c>
      <c r="I109" s="90">
        <v>6807384.0700000003</v>
      </c>
      <c r="J109" s="90">
        <v>34566256.759999998</v>
      </c>
      <c r="K109" s="90">
        <v>1024246.01</v>
      </c>
      <c r="L109" s="90">
        <v>179000</v>
      </c>
      <c r="M109" s="90">
        <v>8975669.1600000001</v>
      </c>
      <c r="N109" s="90">
        <v>11111515.970000001</v>
      </c>
      <c r="O109" s="90">
        <v>50911317.039999999</v>
      </c>
      <c r="P109" s="90">
        <v>46331241.049999997</v>
      </c>
      <c r="Q109" s="90">
        <v>1685715.33</v>
      </c>
      <c r="R109" s="90">
        <v>744.11</v>
      </c>
      <c r="S109" s="90">
        <v>0</v>
      </c>
      <c r="T109" s="90">
        <v>0</v>
      </c>
      <c r="U109" s="90">
        <v>0</v>
      </c>
      <c r="V109" s="90">
        <v>0</v>
      </c>
      <c r="W109" s="90">
        <v>0</v>
      </c>
      <c r="X109">
        <v>0</v>
      </c>
      <c r="Y109">
        <v>0</v>
      </c>
      <c r="Z109">
        <v>0</v>
      </c>
    </row>
    <row r="110" spans="3:26" ht="12.75" customHeight="1" x14ac:dyDescent="0.25">
      <c r="D110" s="89"/>
      <c r="E110" s="89" t="s">
        <v>81</v>
      </c>
      <c r="F110" s="90">
        <v>10117666.960000001</v>
      </c>
      <c r="G110" s="90">
        <v>1681999.63</v>
      </c>
      <c r="H110" s="90">
        <v>897472.28</v>
      </c>
      <c r="I110" s="90">
        <v>454565.02</v>
      </c>
      <c r="J110" s="90">
        <v>1209142.42</v>
      </c>
      <c r="K110" s="90">
        <v>39215.57</v>
      </c>
      <c r="L110" s="90">
        <v>533.1</v>
      </c>
      <c r="M110" s="90">
        <v>344368.89</v>
      </c>
      <c r="N110" s="90">
        <v>426855.66</v>
      </c>
      <c r="O110" s="90">
        <v>1667257.58</v>
      </c>
      <c r="P110" s="90">
        <v>3332174.19</v>
      </c>
      <c r="Q110" s="90">
        <v>64074.96</v>
      </c>
      <c r="R110" s="90">
        <v>-41.05</v>
      </c>
      <c r="S110" s="90">
        <v>49.93</v>
      </c>
      <c r="T110" s="90">
        <v>0.49</v>
      </c>
      <c r="U110" s="90">
        <v>0</v>
      </c>
      <c r="V110" s="90">
        <v>0</v>
      </c>
      <c r="W110" s="90">
        <v>0</v>
      </c>
      <c r="X110">
        <v>0</v>
      </c>
      <c r="Y110">
        <v>0</v>
      </c>
      <c r="Z110">
        <v>-1.71</v>
      </c>
    </row>
    <row r="111" spans="3:26" ht="12.75" customHeight="1" x14ac:dyDescent="0.25">
      <c r="D111" t="s">
        <v>86</v>
      </c>
      <c r="E111" s="89" t="s">
        <v>70</v>
      </c>
      <c r="F111" s="90">
        <v>207982984.18000001</v>
      </c>
      <c r="G111" s="90">
        <v>25031813.059999999</v>
      </c>
      <c r="H111" s="90">
        <v>13819886.57</v>
      </c>
      <c r="I111" s="90">
        <v>7261949.0899999999</v>
      </c>
      <c r="J111" s="90">
        <v>35775399.18</v>
      </c>
      <c r="K111" s="90">
        <v>1063461.58</v>
      </c>
      <c r="L111" s="90">
        <v>179533.1</v>
      </c>
      <c r="M111" s="90">
        <v>9320038.0500000007</v>
      </c>
      <c r="N111" s="90">
        <v>11538371.630000001</v>
      </c>
      <c r="O111" s="90">
        <v>52578574.619999997</v>
      </c>
      <c r="P111" s="90">
        <v>49663415.240000002</v>
      </c>
      <c r="Q111" s="90">
        <v>1749790.29</v>
      </c>
      <c r="R111" s="90">
        <v>703.06</v>
      </c>
      <c r="S111" s="90">
        <v>49.93</v>
      </c>
      <c r="T111" s="90">
        <v>0.49</v>
      </c>
      <c r="U111" s="90">
        <v>0</v>
      </c>
      <c r="V111" s="90">
        <v>0</v>
      </c>
      <c r="W111" s="90">
        <v>0</v>
      </c>
      <c r="X111">
        <v>0</v>
      </c>
      <c r="Y111">
        <v>0</v>
      </c>
      <c r="Z111">
        <v>-1.71</v>
      </c>
    </row>
    <row r="112" spans="3:26" ht="12.75" customHeight="1" x14ac:dyDescent="0.25">
      <c r="E112" s="89" t="s">
        <v>72</v>
      </c>
      <c r="F112" s="90">
        <v>577374967.75999999</v>
      </c>
      <c r="G112" s="90">
        <v>107172983.25</v>
      </c>
      <c r="H112" s="90">
        <v>57612983.659999996</v>
      </c>
      <c r="I112" s="90">
        <v>30979977.260000002</v>
      </c>
      <c r="J112" s="90">
        <v>44257386.409999996</v>
      </c>
      <c r="K112" s="90">
        <v>1113733.6299999999</v>
      </c>
      <c r="L112" s="90">
        <v>29820500</v>
      </c>
      <c r="M112" s="90">
        <v>9778691.1999999993</v>
      </c>
      <c r="N112" s="90">
        <v>13884957.470000001</v>
      </c>
      <c r="O112" s="90">
        <v>66802058.770000003</v>
      </c>
      <c r="P112" s="90">
        <v>214123032.06999999</v>
      </c>
      <c r="Q112" s="90">
        <v>1829612.31</v>
      </c>
      <c r="R112" s="90">
        <v>-948.27</v>
      </c>
      <c r="S112" s="90">
        <v>0</v>
      </c>
      <c r="T112" s="90">
        <v>0</v>
      </c>
      <c r="U112" s="90">
        <v>0</v>
      </c>
      <c r="V112" s="90">
        <v>0</v>
      </c>
      <c r="W112" s="90">
        <v>0</v>
      </c>
      <c r="X112">
        <v>0</v>
      </c>
      <c r="Y112">
        <v>0</v>
      </c>
      <c r="Z112">
        <v>0</v>
      </c>
    </row>
    <row r="113" spans="1:26" ht="12.75" customHeight="1" x14ac:dyDescent="0.25">
      <c r="D113" s="89"/>
      <c r="E113" s="89" t="s">
        <v>81</v>
      </c>
      <c r="F113" s="90">
        <v>38194204.170000002</v>
      </c>
      <c r="G113" s="90">
        <v>9471442.8200000003</v>
      </c>
      <c r="H113" s="90">
        <v>4689051.33</v>
      </c>
      <c r="I113" s="90">
        <v>2581818.46</v>
      </c>
      <c r="J113" s="90">
        <v>710451.95</v>
      </c>
      <c r="K113" s="90">
        <v>17737.79</v>
      </c>
      <c r="L113" s="90">
        <v>239895.54</v>
      </c>
      <c r="M113" s="90">
        <v>155547.43</v>
      </c>
      <c r="N113" s="90">
        <v>216057.5</v>
      </c>
      <c r="O113" s="90">
        <v>1016661.29</v>
      </c>
      <c r="P113" s="90">
        <v>19123422.82</v>
      </c>
      <c r="Q113" s="90">
        <v>28936.31</v>
      </c>
      <c r="R113" s="90">
        <v>0.73</v>
      </c>
      <c r="S113" s="90">
        <v>-56818.93</v>
      </c>
      <c r="T113" s="90">
        <v>0</v>
      </c>
      <c r="U113" s="90">
        <v>0</v>
      </c>
      <c r="V113" s="90">
        <v>0</v>
      </c>
      <c r="W113" s="90">
        <v>0</v>
      </c>
      <c r="X113">
        <v>0</v>
      </c>
      <c r="Y113">
        <v>0</v>
      </c>
      <c r="Z113">
        <v>-0.87</v>
      </c>
    </row>
    <row r="114" spans="1:26" ht="12.75" customHeight="1" x14ac:dyDescent="0.25">
      <c r="D114" t="s">
        <v>87</v>
      </c>
      <c r="E114" s="89" t="s">
        <v>70</v>
      </c>
      <c r="F114" s="90">
        <v>615569171.92999995</v>
      </c>
      <c r="G114" s="90">
        <v>116644426.06999999</v>
      </c>
      <c r="H114" s="90">
        <v>62302034.990000002</v>
      </c>
      <c r="I114" s="90">
        <v>33561795.719999999</v>
      </c>
      <c r="J114" s="90">
        <v>44967838.359999999</v>
      </c>
      <c r="K114" s="90">
        <v>1131471.42</v>
      </c>
      <c r="L114" s="90">
        <v>30060395.539999999</v>
      </c>
      <c r="M114" s="90">
        <v>9934238.6300000008</v>
      </c>
      <c r="N114" s="90">
        <v>14101014.970000001</v>
      </c>
      <c r="O114" s="90">
        <v>67818720.060000002</v>
      </c>
      <c r="P114" s="90">
        <v>233246454.88999999</v>
      </c>
      <c r="Q114" s="90">
        <v>1858548.62</v>
      </c>
      <c r="R114" s="90">
        <v>-947.54</v>
      </c>
      <c r="S114" s="90">
        <v>-56818.93</v>
      </c>
      <c r="T114" s="90">
        <v>0</v>
      </c>
      <c r="U114" s="90">
        <v>0</v>
      </c>
      <c r="V114" s="90">
        <v>0</v>
      </c>
      <c r="W114" s="90">
        <v>0</v>
      </c>
      <c r="X114">
        <v>0</v>
      </c>
      <c r="Y114">
        <v>0</v>
      </c>
      <c r="Z114">
        <v>-0.87</v>
      </c>
    </row>
    <row r="115" spans="1:26" s="94" customFormat="1" ht="12.75" customHeight="1" x14ac:dyDescent="0.25">
      <c r="C115" s="94" t="s">
        <v>119</v>
      </c>
      <c r="D115" s="94" t="s">
        <v>70</v>
      </c>
      <c r="E115" s="101"/>
      <c r="F115" s="93">
        <v>1104717975.7</v>
      </c>
      <c r="G115" s="93">
        <v>158908357.80000001</v>
      </c>
      <c r="H115" s="93">
        <v>85767894.900000006</v>
      </c>
      <c r="I115" s="93">
        <v>45917560.880000003</v>
      </c>
      <c r="J115" s="93">
        <v>150618079.44999999</v>
      </c>
      <c r="K115" s="93">
        <v>3958319.1</v>
      </c>
      <c r="L115" s="93">
        <v>30632060.390000001</v>
      </c>
      <c r="M115" s="93">
        <v>34704260.759999998</v>
      </c>
      <c r="N115" s="93">
        <v>47120280.899999999</v>
      </c>
      <c r="O115" s="93">
        <v>223811506.86000001</v>
      </c>
      <c r="P115" s="93">
        <v>316833273.24000001</v>
      </c>
      <c r="Q115" s="93">
        <v>6504021.7800000003</v>
      </c>
      <c r="R115" s="93">
        <v>-866.04</v>
      </c>
      <c r="S115" s="93">
        <v>-56772.17</v>
      </c>
      <c r="T115" s="93">
        <v>0.49</v>
      </c>
      <c r="U115" s="93">
        <v>0</v>
      </c>
      <c r="V115" s="93">
        <v>0</v>
      </c>
      <c r="W115" s="93">
        <v>0</v>
      </c>
      <c r="X115" s="94">
        <v>0</v>
      </c>
      <c r="Y115" s="94">
        <v>0</v>
      </c>
      <c r="Z115" s="94">
        <v>-2.64</v>
      </c>
    </row>
    <row r="116" spans="1:26" s="226" customFormat="1" ht="12.75" customHeight="1" x14ac:dyDescent="0.25">
      <c r="B116" s="98" t="s">
        <v>112</v>
      </c>
      <c r="C116" s="98" t="s">
        <v>70</v>
      </c>
      <c r="F116" s="100">
        <v>17873808995.150002</v>
      </c>
      <c r="G116" s="100">
        <v>1088227114.53</v>
      </c>
      <c r="H116" s="100">
        <v>603080260.38999999</v>
      </c>
      <c r="I116" s="100">
        <v>319013736.70999998</v>
      </c>
      <c r="J116" s="100">
        <v>4457862533.1899996</v>
      </c>
      <c r="K116" s="100">
        <v>151588533.63</v>
      </c>
      <c r="L116" s="100">
        <v>43591201.600000001</v>
      </c>
      <c r="M116" s="100">
        <v>1328842004.0799999</v>
      </c>
      <c r="N116" s="100">
        <v>1317227290.03</v>
      </c>
      <c r="O116" s="100">
        <v>6178458316.4899998</v>
      </c>
      <c r="P116" s="100">
        <v>2138124984.4200001</v>
      </c>
      <c r="Q116" s="100">
        <v>247788905.69</v>
      </c>
      <c r="R116" s="100">
        <v>60921.93</v>
      </c>
      <c r="S116" s="100">
        <v>-56774.97</v>
      </c>
      <c r="T116" s="100">
        <v>0.59</v>
      </c>
      <c r="U116" s="100">
        <v>0</v>
      </c>
      <c r="V116" s="100">
        <v>0</v>
      </c>
      <c r="W116" s="100">
        <v>0</v>
      </c>
      <c r="X116" s="226">
        <v>0</v>
      </c>
      <c r="Y116" s="226">
        <v>0</v>
      </c>
      <c r="Z116" s="226">
        <v>-33.159999999999997</v>
      </c>
    </row>
    <row r="117" spans="1:26" ht="12.75" customHeight="1" x14ac:dyDescent="0.25">
      <c r="A117" t="s">
        <v>78</v>
      </c>
      <c r="B117" s="89" t="s">
        <v>70</v>
      </c>
      <c r="C117" s="89"/>
      <c r="F117" s="90">
        <v>17873808995.150002</v>
      </c>
      <c r="G117" s="90">
        <v>1088227114.53</v>
      </c>
      <c r="H117" s="90">
        <v>603080260.38999999</v>
      </c>
      <c r="I117" s="90">
        <v>319013736.70999998</v>
      </c>
      <c r="J117" s="90">
        <v>4457862533.1899996</v>
      </c>
      <c r="K117" s="90">
        <v>151588533.63</v>
      </c>
      <c r="L117" s="90">
        <v>43591201.600000001</v>
      </c>
      <c r="M117" s="90">
        <v>1328842004.0799999</v>
      </c>
      <c r="N117" s="90">
        <v>1317227290.03</v>
      </c>
      <c r="O117" s="90">
        <v>6178458316.4899998</v>
      </c>
      <c r="P117" s="90">
        <v>2138124984.4200001</v>
      </c>
      <c r="Q117" s="90">
        <v>247788905.69</v>
      </c>
      <c r="R117" s="90">
        <v>60921.93</v>
      </c>
      <c r="S117" s="90">
        <v>-56774.97</v>
      </c>
      <c r="T117" s="90">
        <v>0.59</v>
      </c>
      <c r="U117" s="90">
        <v>0</v>
      </c>
      <c r="V117" s="90">
        <v>0</v>
      </c>
      <c r="W117" s="90">
        <v>0</v>
      </c>
      <c r="X117">
        <v>0</v>
      </c>
      <c r="Y117">
        <v>0</v>
      </c>
      <c r="Z117">
        <v>-33.159999999999997</v>
      </c>
    </row>
    <row r="118" spans="1:26" ht="12.75" customHeight="1" x14ac:dyDescent="0.25">
      <c r="D118" s="89"/>
      <c r="E118" s="89" t="s">
        <v>73</v>
      </c>
      <c r="F118" s="373">
        <v>-4039837067.0599999</v>
      </c>
      <c r="G118" s="90">
        <v>-90420814.959999993</v>
      </c>
      <c r="H118" s="90">
        <v>-50626863.950000003</v>
      </c>
      <c r="I118" s="90">
        <v>-26684936.469999999</v>
      </c>
      <c r="J118" s="90">
        <v>-1216402885.01</v>
      </c>
      <c r="K118" s="90">
        <v>-41199038.350000001</v>
      </c>
      <c r="L118" s="90">
        <v>0</v>
      </c>
      <c r="M118" s="90">
        <v>-361456007.58999997</v>
      </c>
      <c r="N118" s="90">
        <v>-353770013.18000001</v>
      </c>
      <c r="O118" s="90">
        <v>-1663893512.5899999</v>
      </c>
      <c r="P118" s="90">
        <v>-168164441.40000001</v>
      </c>
      <c r="Q118" s="90">
        <v>-67218553.560000002</v>
      </c>
      <c r="R118" s="90">
        <v>0</v>
      </c>
      <c r="S118" s="90">
        <v>0</v>
      </c>
      <c r="T118" s="90">
        <v>0</v>
      </c>
      <c r="U118" s="90">
        <v>0</v>
      </c>
      <c r="V118" s="90">
        <v>0</v>
      </c>
      <c r="W118" s="90">
        <v>0</v>
      </c>
      <c r="X118">
        <v>0</v>
      </c>
      <c r="Y118">
        <v>0</v>
      </c>
      <c r="Z118">
        <v>0</v>
      </c>
    </row>
    <row r="119" spans="1:26" ht="12.75" customHeight="1" x14ac:dyDescent="0.25">
      <c r="D119" s="89" t="s">
        <v>156</v>
      </c>
      <c r="E119" s="89" t="s">
        <v>70</v>
      </c>
      <c r="F119" s="373">
        <v>-4039837067.0599999</v>
      </c>
      <c r="G119" s="90">
        <v>-90420814.959999993</v>
      </c>
      <c r="H119" s="90">
        <v>-50626863.950000003</v>
      </c>
      <c r="I119" s="90">
        <v>-26684936.469999999</v>
      </c>
      <c r="J119" s="90">
        <v>-1216402885.01</v>
      </c>
      <c r="K119" s="90">
        <v>-41199038.350000001</v>
      </c>
      <c r="L119" s="90">
        <v>0</v>
      </c>
      <c r="M119" s="90">
        <v>-361456007.58999997</v>
      </c>
      <c r="N119" s="90">
        <v>-353770013.18000001</v>
      </c>
      <c r="O119" s="90">
        <v>-1663893512.5899999</v>
      </c>
      <c r="P119" s="90">
        <v>-168164441.40000001</v>
      </c>
      <c r="Q119" s="90">
        <v>-67218553.560000002</v>
      </c>
      <c r="R119" s="90">
        <v>0</v>
      </c>
      <c r="S119" s="90">
        <v>0</v>
      </c>
      <c r="T119" s="90">
        <v>0</v>
      </c>
      <c r="U119" s="90">
        <v>0</v>
      </c>
      <c r="V119" s="90">
        <v>0</v>
      </c>
      <c r="W119" s="90">
        <v>0</v>
      </c>
      <c r="X119">
        <v>0</v>
      </c>
      <c r="Y119">
        <v>0</v>
      </c>
      <c r="Z119">
        <v>0</v>
      </c>
    </row>
    <row r="120" spans="1:26" s="648" customFormat="1" ht="12.75" customHeight="1" x14ac:dyDescent="0.25">
      <c r="C120" s="648" t="s">
        <v>155</v>
      </c>
      <c r="D120" s="649" t="s">
        <v>70</v>
      </c>
      <c r="E120" s="649"/>
      <c r="F120" s="737">
        <v>-4039837067.0599999</v>
      </c>
      <c r="G120" s="650">
        <v>-90420814.959999993</v>
      </c>
      <c r="H120" s="650">
        <v>-50626863.950000003</v>
      </c>
      <c r="I120" s="650">
        <v>-26684936.469999999</v>
      </c>
      <c r="J120" s="650">
        <v>-1216402885.01</v>
      </c>
      <c r="K120" s="650">
        <v>-41199038.350000001</v>
      </c>
      <c r="L120" s="650">
        <v>0</v>
      </c>
      <c r="M120" s="650">
        <v>-361456007.58999997</v>
      </c>
      <c r="N120" s="650">
        <v>-353770013.18000001</v>
      </c>
      <c r="O120" s="650">
        <v>-1663893512.5899999</v>
      </c>
      <c r="P120" s="650">
        <v>-168164441.40000001</v>
      </c>
      <c r="Q120" s="650">
        <v>-67218553.560000002</v>
      </c>
      <c r="R120" s="650">
        <v>0</v>
      </c>
      <c r="S120" s="650">
        <v>0</v>
      </c>
      <c r="T120" s="650">
        <v>0</v>
      </c>
      <c r="U120" s="650">
        <v>0</v>
      </c>
      <c r="V120" s="650">
        <v>0</v>
      </c>
      <c r="W120" s="650">
        <v>0</v>
      </c>
      <c r="X120" s="648">
        <v>0</v>
      </c>
      <c r="Y120" s="648">
        <v>0</v>
      </c>
      <c r="Z120" s="648">
        <v>0</v>
      </c>
    </row>
    <row r="121" spans="1:26" ht="12.75" customHeight="1" x14ac:dyDescent="0.25">
      <c r="D121" s="89"/>
      <c r="E121" s="89" t="s">
        <v>73</v>
      </c>
      <c r="F121" s="373">
        <v>40203.18</v>
      </c>
      <c r="G121" s="90">
        <v>7599.21</v>
      </c>
      <c r="H121" s="90">
        <v>5502.69</v>
      </c>
      <c r="I121" s="90">
        <v>3387.85</v>
      </c>
      <c r="J121" s="90">
        <v>4052.63</v>
      </c>
      <c r="K121" s="90">
        <v>-16.46</v>
      </c>
      <c r="L121" s="90">
        <v>0</v>
      </c>
      <c r="M121" s="90">
        <v>-144.51</v>
      </c>
      <c r="N121" s="90">
        <v>-477.81</v>
      </c>
      <c r="O121" s="90">
        <v>4724.68</v>
      </c>
      <c r="P121" s="90">
        <v>15601.76</v>
      </c>
      <c r="Q121" s="90">
        <v>-26.86</v>
      </c>
      <c r="R121" s="90">
        <v>0</v>
      </c>
      <c r="S121" s="90">
        <v>0</v>
      </c>
      <c r="T121" s="90">
        <v>0</v>
      </c>
      <c r="U121" s="90">
        <v>0</v>
      </c>
      <c r="V121" s="90">
        <v>0</v>
      </c>
      <c r="W121" s="90">
        <v>0</v>
      </c>
      <c r="X121">
        <v>0</v>
      </c>
      <c r="Y121">
        <v>0</v>
      </c>
      <c r="Z121">
        <v>0</v>
      </c>
    </row>
    <row r="122" spans="1:26" ht="12.75" customHeight="1" x14ac:dyDescent="0.25">
      <c r="D122" s="89" t="s">
        <v>115</v>
      </c>
      <c r="E122" s="89" t="s">
        <v>70</v>
      </c>
      <c r="F122" s="373">
        <v>40203.18</v>
      </c>
      <c r="G122" s="90">
        <v>7599.21</v>
      </c>
      <c r="H122" s="90">
        <v>5502.69</v>
      </c>
      <c r="I122" s="90">
        <v>3387.85</v>
      </c>
      <c r="J122" s="90">
        <v>4052.63</v>
      </c>
      <c r="K122" s="90">
        <v>-16.46</v>
      </c>
      <c r="L122" s="90">
        <v>0</v>
      </c>
      <c r="M122" s="90">
        <v>-144.51</v>
      </c>
      <c r="N122" s="90">
        <v>-477.81</v>
      </c>
      <c r="O122" s="90">
        <v>4724.68</v>
      </c>
      <c r="P122" s="90">
        <v>15601.76</v>
      </c>
      <c r="Q122" s="90">
        <v>-26.86</v>
      </c>
      <c r="R122" s="90">
        <v>0</v>
      </c>
      <c r="S122" s="90">
        <v>0</v>
      </c>
      <c r="T122" s="90">
        <v>0</v>
      </c>
      <c r="U122" s="90">
        <v>0</v>
      </c>
      <c r="V122" s="90">
        <v>0</v>
      </c>
      <c r="W122" s="90">
        <v>0</v>
      </c>
      <c r="X122">
        <v>0</v>
      </c>
      <c r="Y122">
        <v>0</v>
      </c>
      <c r="Z122">
        <v>0</v>
      </c>
    </row>
    <row r="123" spans="1:26" ht="12.75" customHeight="1" x14ac:dyDescent="0.25">
      <c r="D123" s="89"/>
      <c r="E123" s="89" t="s">
        <v>73</v>
      </c>
      <c r="F123" s="373">
        <v>50910.67</v>
      </c>
      <c r="G123" s="90">
        <v>5220.83</v>
      </c>
      <c r="H123" s="90">
        <v>2954.24</v>
      </c>
      <c r="I123" s="90">
        <v>1576.28</v>
      </c>
      <c r="J123" s="90">
        <v>10204.82</v>
      </c>
      <c r="K123" s="90">
        <v>246.31</v>
      </c>
      <c r="L123" s="90">
        <v>0</v>
      </c>
      <c r="M123" s="90">
        <v>2160.58</v>
      </c>
      <c r="N123" s="90">
        <v>3167.44</v>
      </c>
      <c r="O123" s="90">
        <v>14417.24</v>
      </c>
      <c r="P123" s="90">
        <v>10561.06</v>
      </c>
      <c r="Q123" s="90">
        <v>401.87</v>
      </c>
      <c r="R123" s="90">
        <v>0</v>
      </c>
      <c r="S123" s="90">
        <v>0</v>
      </c>
      <c r="T123" s="90">
        <v>0</v>
      </c>
      <c r="U123" s="90">
        <v>0</v>
      </c>
      <c r="V123" s="90">
        <v>0</v>
      </c>
      <c r="W123" s="90">
        <v>0</v>
      </c>
      <c r="X123">
        <v>0</v>
      </c>
      <c r="Y123">
        <v>0</v>
      </c>
      <c r="Z123">
        <v>0</v>
      </c>
    </row>
    <row r="124" spans="1:26" ht="12.75" customHeight="1" x14ac:dyDescent="0.25">
      <c r="D124" s="89" t="s">
        <v>116</v>
      </c>
      <c r="E124" s="89" t="s">
        <v>70</v>
      </c>
      <c r="F124" s="373">
        <v>50910.67</v>
      </c>
      <c r="G124" s="90">
        <v>5220.83</v>
      </c>
      <c r="H124" s="90">
        <v>2954.24</v>
      </c>
      <c r="I124" s="90">
        <v>1576.28</v>
      </c>
      <c r="J124" s="90">
        <v>10204.82</v>
      </c>
      <c r="K124" s="90">
        <v>246.31</v>
      </c>
      <c r="L124" s="90">
        <v>0</v>
      </c>
      <c r="M124" s="90">
        <v>2160.58</v>
      </c>
      <c r="N124" s="90">
        <v>3167.44</v>
      </c>
      <c r="O124" s="90">
        <v>14417.24</v>
      </c>
      <c r="P124" s="90">
        <v>10561.06</v>
      </c>
      <c r="Q124" s="90">
        <v>401.87</v>
      </c>
      <c r="R124" s="90">
        <v>0</v>
      </c>
      <c r="S124" s="90">
        <v>0</v>
      </c>
      <c r="T124" s="90">
        <v>0</v>
      </c>
      <c r="U124" s="90">
        <v>0</v>
      </c>
      <c r="V124" s="90">
        <v>0</v>
      </c>
      <c r="W124" s="90">
        <v>0</v>
      </c>
      <c r="X124">
        <v>0</v>
      </c>
      <c r="Y124">
        <v>0</v>
      </c>
      <c r="Z124">
        <v>0</v>
      </c>
    </row>
    <row r="125" spans="1:26" ht="12.75" customHeight="1" x14ac:dyDescent="0.25">
      <c r="D125" s="89"/>
      <c r="E125" s="89" t="s">
        <v>73</v>
      </c>
      <c r="F125" s="373">
        <v>-1257871.06</v>
      </c>
      <c r="G125" s="90">
        <v>-50972.06</v>
      </c>
      <c r="H125" s="90">
        <v>-28345.56</v>
      </c>
      <c r="I125" s="90">
        <v>-15911.02</v>
      </c>
      <c r="J125" s="90">
        <v>-351180.66</v>
      </c>
      <c r="K125" s="90">
        <v>-9702.2800000000007</v>
      </c>
      <c r="L125" s="90">
        <v>0</v>
      </c>
      <c r="M125" s="90">
        <v>-85106.74</v>
      </c>
      <c r="N125" s="90">
        <v>-104765.36</v>
      </c>
      <c r="O125" s="90">
        <v>-495646.56</v>
      </c>
      <c r="P125" s="90">
        <v>-100410.81</v>
      </c>
      <c r="Q125" s="90">
        <v>-15830.01</v>
      </c>
      <c r="R125" s="90">
        <v>0</v>
      </c>
      <c r="S125" s="90">
        <v>0</v>
      </c>
      <c r="T125" s="90">
        <v>0</v>
      </c>
      <c r="U125" s="90">
        <v>0</v>
      </c>
      <c r="V125" s="90">
        <v>0</v>
      </c>
      <c r="W125" s="90">
        <v>0</v>
      </c>
      <c r="X125">
        <v>0</v>
      </c>
      <c r="Y125">
        <v>0</v>
      </c>
      <c r="Z125">
        <v>0</v>
      </c>
    </row>
    <row r="126" spans="1:26" ht="12.75" customHeight="1" x14ac:dyDescent="0.25">
      <c r="D126" s="89" t="s">
        <v>118</v>
      </c>
      <c r="E126" s="89" t="s">
        <v>70</v>
      </c>
      <c r="F126" s="90">
        <v>-1257871.06</v>
      </c>
      <c r="G126" s="90">
        <v>-50972.06</v>
      </c>
      <c r="H126" s="90">
        <v>-28345.56</v>
      </c>
      <c r="I126" s="90">
        <v>-15911.02</v>
      </c>
      <c r="J126" s="90">
        <v>-351180.66</v>
      </c>
      <c r="K126" s="90">
        <v>-9702.2800000000007</v>
      </c>
      <c r="L126" s="90">
        <v>0</v>
      </c>
      <c r="M126" s="90">
        <v>-85106.74</v>
      </c>
      <c r="N126" s="90">
        <v>-104765.36</v>
      </c>
      <c r="O126" s="90">
        <v>-495646.56</v>
      </c>
      <c r="P126" s="90">
        <v>-100410.81</v>
      </c>
      <c r="Q126" s="90">
        <v>-15830.01</v>
      </c>
      <c r="R126" s="90">
        <v>0</v>
      </c>
      <c r="S126" s="90">
        <v>0</v>
      </c>
      <c r="T126" s="90">
        <v>0</v>
      </c>
      <c r="U126" s="90">
        <v>0</v>
      </c>
      <c r="V126" s="90">
        <v>0</v>
      </c>
      <c r="W126" s="90">
        <v>0</v>
      </c>
      <c r="X126">
        <v>0</v>
      </c>
      <c r="Y126">
        <v>0</v>
      </c>
      <c r="Z126">
        <v>0</v>
      </c>
    </row>
    <row r="127" spans="1:26" s="224" customFormat="1" ht="12.75" customHeight="1" x14ac:dyDescent="0.25">
      <c r="C127" s="223" t="s">
        <v>120</v>
      </c>
      <c r="D127" s="223" t="s">
        <v>70</v>
      </c>
      <c r="F127" s="225">
        <v>-1166757.21</v>
      </c>
      <c r="G127" s="225">
        <v>-38152.019999999997</v>
      </c>
      <c r="H127" s="225">
        <v>-19888.63</v>
      </c>
      <c r="I127" s="225">
        <v>-10946.89</v>
      </c>
      <c r="J127" s="225">
        <v>-336923.21</v>
      </c>
      <c r="K127" s="225">
        <v>-9472.43</v>
      </c>
      <c r="L127" s="225">
        <v>0</v>
      </c>
      <c r="M127" s="225">
        <v>-83090.67</v>
      </c>
      <c r="N127" s="225">
        <v>-102075.73</v>
      </c>
      <c r="O127" s="225">
        <v>-476504.64</v>
      </c>
      <c r="P127" s="225">
        <v>-74247.990000000005</v>
      </c>
      <c r="Q127" s="225">
        <v>-15455</v>
      </c>
      <c r="R127" s="225">
        <v>0</v>
      </c>
      <c r="S127" s="225">
        <v>0</v>
      </c>
      <c r="T127" s="225">
        <v>0</v>
      </c>
      <c r="U127" s="225">
        <v>0</v>
      </c>
      <c r="V127" s="225">
        <v>0</v>
      </c>
      <c r="W127" s="225">
        <v>0</v>
      </c>
      <c r="X127" s="224">
        <v>0</v>
      </c>
      <c r="Y127" s="224">
        <v>0</v>
      </c>
      <c r="Z127" s="224">
        <v>0</v>
      </c>
    </row>
    <row r="128" spans="1:26" ht="12.75" customHeight="1" x14ac:dyDescent="0.25">
      <c r="E128" s="89" t="s">
        <v>73</v>
      </c>
      <c r="F128" s="90">
        <v>-34181660.700000003</v>
      </c>
      <c r="G128" s="90">
        <v>-13005.82</v>
      </c>
      <c r="H128" s="90">
        <v>22901.62</v>
      </c>
      <c r="I128" s="90">
        <v>23802.16</v>
      </c>
      <c r="J128" s="90">
        <v>-11137969.470000001</v>
      </c>
      <c r="K128" s="90">
        <v>-284908.53000000003</v>
      </c>
      <c r="L128" s="90">
        <v>0</v>
      </c>
      <c r="M128" s="90">
        <v>-2502773.9</v>
      </c>
      <c r="N128" s="90">
        <v>-3468625.28</v>
      </c>
      <c r="O128" s="90">
        <v>-16410756.300000001</v>
      </c>
      <c r="P128" s="90">
        <v>54910.71</v>
      </c>
      <c r="Q128" s="90">
        <v>-465235.89</v>
      </c>
      <c r="R128" s="90">
        <v>0</v>
      </c>
      <c r="S128" s="90">
        <v>0</v>
      </c>
      <c r="T128" s="90">
        <v>0</v>
      </c>
      <c r="U128" s="90">
        <v>0</v>
      </c>
      <c r="V128" s="90">
        <v>0</v>
      </c>
      <c r="W128" s="90">
        <v>0</v>
      </c>
      <c r="X128">
        <v>0</v>
      </c>
      <c r="Y128">
        <v>0</v>
      </c>
      <c r="Z128">
        <v>0</v>
      </c>
    </row>
    <row r="129" spans="1:26" ht="12.75" customHeight="1" x14ac:dyDescent="0.25">
      <c r="D129" s="89" t="s">
        <v>82</v>
      </c>
      <c r="E129" s="89" t="s">
        <v>70</v>
      </c>
      <c r="F129" s="90">
        <v>-34181660.700000003</v>
      </c>
      <c r="G129" s="90">
        <v>-13005.82</v>
      </c>
      <c r="H129" s="90">
        <v>22901.62</v>
      </c>
      <c r="I129" s="90">
        <v>23802.16</v>
      </c>
      <c r="J129" s="90">
        <v>-11137969.470000001</v>
      </c>
      <c r="K129" s="90">
        <v>-284908.53000000003</v>
      </c>
      <c r="L129" s="90">
        <v>0</v>
      </c>
      <c r="M129" s="90">
        <v>-2502773.9</v>
      </c>
      <c r="N129" s="90">
        <v>-3468625.28</v>
      </c>
      <c r="O129" s="90">
        <v>-16410756.300000001</v>
      </c>
      <c r="P129" s="90">
        <v>54910.71</v>
      </c>
      <c r="Q129" s="90">
        <v>-465235.89</v>
      </c>
      <c r="R129" s="90">
        <v>0</v>
      </c>
      <c r="S129" s="90">
        <v>0</v>
      </c>
      <c r="T129" s="90">
        <v>0</v>
      </c>
      <c r="U129" s="90">
        <v>0</v>
      </c>
      <c r="V129" s="90">
        <v>0</v>
      </c>
      <c r="W129" s="90">
        <v>0</v>
      </c>
      <c r="X129">
        <v>0</v>
      </c>
      <c r="Y129">
        <v>0</v>
      </c>
      <c r="Z129">
        <v>0</v>
      </c>
    </row>
    <row r="130" spans="1:26" ht="12.75" customHeight="1" x14ac:dyDescent="0.25">
      <c r="E130" s="89" t="s">
        <v>73</v>
      </c>
      <c r="F130" s="90">
        <v>23562758.41</v>
      </c>
      <c r="G130" s="90">
        <v>10419668.4</v>
      </c>
      <c r="H130" s="90">
        <v>5928580.2400000002</v>
      </c>
      <c r="I130" s="90">
        <v>3242478.42</v>
      </c>
      <c r="J130" s="90">
        <v>-5534357.46</v>
      </c>
      <c r="K130" s="90">
        <v>-161332.91</v>
      </c>
      <c r="L130" s="90">
        <v>0</v>
      </c>
      <c r="M130" s="90">
        <v>-1421264.97</v>
      </c>
      <c r="N130" s="90">
        <v>-1741383.55</v>
      </c>
      <c r="O130" s="90">
        <v>-7776657.1299999999</v>
      </c>
      <c r="P130" s="90">
        <v>20870300.859999999</v>
      </c>
      <c r="Q130" s="90">
        <v>-263273.49</v>
      </c>
      <c r="R130" s="90">
        <v>0</v>
      </c>
      <c r="S130" s="90">
        <v>0</v>
      </c>
      <c r="T130" s="90">
        <v>0</v>
      </c>
      <c r="U130" s="90">
        <v>0</v>
      </c>
      <c r="V130" s="90">
        <v>0</v>
      </c>
      <c r="W130" s="90">
        <v>0</v>
      </c>
      <c r="X130">
        <v>0</v>
      </c>
      <c r="Y130">
        <v>0</v>
      </c>
      <c r="Z130">
        <v>0</v>
      </c>
    </row>
    <row r="131" spans="1:26" ht="12.75" customHeight="1" x14ac:dyDescent="0.25">
      <c r="D131" s="89" t="s">
        <v>86</v>
      </c>
      <c r="E131" s="89" t="s">
        <v>70</v>
      </c>
      <c r="F131" s="90">
        <v>23562758.41</v>
      </c>
      <c r="G131" s="90">
        <v>10419668.4</v>
      </c>
      <c r="H131" s="90">
        <v>5928580.2400000002</v>
      </c>
      <c r="I131" s="90">
        <v>3242478.42</v>
      </c>
      <c r="J131" s="90">
        <v>-5534357.46</v>
      </c>
      <c r="K131" s="90">
        <v>-161332.91</v>
      </c>
      <c r="L131" s="90">
        <v>0</v>
      </c>
      <c r="M131" s="90">
        <v>-1421264.97</v>
      </c>
      <c r="N131" s="90">
        <v>-1741383.55</v>
      </c>
      <c r="O131" s="90">
        <v>-7776657.1299999999</v>
      </c>
      <c r="P131" s="90">
        <v>20870300.859999999</v>
      </c>
      <c r="Q131" s="90">
        <v>-263273.49</v>
      </c>
      <c r="R131" s="90">
        <v>0</v>
      </c>
      <c r="S131" s="90">
        <v>0</v>
      </c>
      <c r="T131" s="90">
        <v>0</v>
      </c>
      <c r="U131" s="90">
        <v>0</v>
      </c>
      <c r="V131" s="90">
        <v>0</v>
      </c>
      <c r="W131" s="90">
        <v>0</v>
      </c>
      <c r="X131">
        <v>0</v>
      </c>
      <c r="Y131">
        <v>0</v>
      </c>
      <c r="Z131">
        <v>0</v>
      </c>
    </row>
    <row r="132" spans="1:26" ht="12.75" customHeight="1" x14ac:dyDescent="0.25">
      <c r="E132" s="89" t="s">
        <v>73</v>
      </c>
      <c r="F132" s="90">
        <v>276088464.06999999</v>
      </c>
      <c r="G132" s="90">
        <v>71783136.890000001</v>
      </c>
      <c r="H132" s="90">
        <v>38061292.990000002</v>
      </c>
      <c r="I132" s="90">
        <v>20561454.09</v>
      </c>
      <c r="J132" s="90">
        <v>905860.9</v>
      </c>
      <c r="K132" s="90">
        <v>12892.39</v>
      </c>
      <c r="L132" s="90">
        <v>0</v>
      </c>
      <c r="M132" s="90">
        <v>106587.72</v>
      </c>
      <c r="N132" s="90">
        <v>136605.32</v>
      </c>
      <c r="O132" s="90">
        <v>617123.92000000004</v>
      </c>
      <c r="P132" s="90">
        <v>143882565.19</v>
      </c>
      <c r="Q132" s="90">
        <v>20944.66</v>
      </c>
      <c r="R132" s="90">
        <v>0</v>
      </c>
      <c r="S132" s="90">
        <v>0</v>
      </c>
      <c r="T132" s="90">
        <v>0</v>
      </c>
      <c r="U132" s="90">
        <v>0</v>
      </c>
      <c r="V132" s="90">
        <v>0</v>
      </c>
      <c r="W132" s="90">
        <v>0</v>
      </c>
      <c r="X132">
        <v>0</v>
      </c>
      <c r="Y132">
        <v>0</v>
      </c>
      <c r="Z132">
        <v>0</v>
      </c>
    </row>
    <row r="133" spans="1:26" ht="12.75" customHeight="1" x14ac:dyDescent="0.25">
      <c r="D133" s="89" t="s">
        <v>87</v>
      </c>
      <c r="E133" s="89" t="s">
        <v>70</v>
      </c>
      <c r="F133" s="90">
        <v>276088464.06999999</v>
      </c>
      <c r="G133" s="90">
        <v>71783136.890000001</v>
      </c>
      <c r="H133" s="90">
        <v>38061292.990000002</v>
      </c>
      <c r="I133" s="90">
        <v>20561454.09</v>
      </c>
      <c r="J133" s="90">
        <v>905860.9</v>
      </c>
      <c r="K133" s="90">
        <v>12892.39</v>
      </c>
      <c r="L133" s="90">
        <v>0</v>
      </c>
      <c r="M133" s="90">
        <v>106587.72</v>
      </c>
      <c r="N133" s="90">
        <v>136605.32</v>
      </c>
      <c r="O133" s="90">
        <v>617123.92000000004</v>
      </c>
      <c r="P133" s="90">
        <v>143882565.19</v>
      </c>
      <c r="Q133" s="90">
        <v>20944.66</v>
      </c>
      <c r="R133" s="90">
        <v>0</v>
      </c>
      <c r="S133" s="90">
        <v>0</v>
      </c>
      <c r="T133" s="90">
        <v>0</v>
      </c>
      <c r="U133" s="90">
        <v>0</v>
      </c>
      <c r="V133" s="90">
        <v>0</v>
      </c>
      <c r="W133" s="90">
        <v>0</v>
      </c>
      <c r="X133">
        <v>0</v>
      </c>
      <c r="Y133">
        <v>0</v>
      </c>
      <c r="Z133">
        <v>0</v>
      </c>
    </row>
    <row r="134" spans="1:26" s="94" customFormat="1" ht="12.75" customHeight="1" x14ac:dyDescent="0.25">
      <c r="C134" s="101" t="s">
        <v>119</v>
      </c>
      <c r="D134" s="101" t="s">
        <v>70</v>
      </c>
      <c r="F134" s="93">
        <v>265469561.78</v>
      </c>
      <c r="G134" s="93">
        <v>82189799.469999999</v>
      </c>
      <c r="H134" s="93">
        <v>44012774.850000001</v>
      </c>
      <c r="I134" s="93">
        <v>23827734.670000002</v>
      </c>
      <c r="J134" s="93">
        <v>-15766466.029999999</v>
      </c>
      <c r="K134" s="93">
        <v>-433349.05</v>
      </c>
      <c r="L134" s="93">
        <v>0</v>
      </c>
      <c r="M134" s="93">
        <v>-3817451.15</v>
      </c>
      <c r="N134" s="93">
        <v>-5073403.51</v>
      </c>
      <c r="O134" s="93">
        <v>-23570289.510000002</v>
      </c>
      <c r="P134" s="93">
        <v>164807776.75999999</v>
      </c>
      <c r="Q134" s="93">
        <v>-707564.72</v>
      </c>
      <c r="R134" s="93">
        <v>0</v>
      </c>
      <c r="S134" s="93">
        <v>0</v>
      </c>
      <c r="T134" s="93">
        <v>0</v>
      </c>
      <c r="U134" s="93">
        <v>0</v>
      </c>
      <c r="V134" s="93">
        <v>0</v>
      </c>
      <c r="W134" s="93">
        <v>0</v>
      </c>
      <c r="X134" s="94">
        <v>0</v>
      </c>
      <c r="Y134" s="94">
        <v>0</v>
      </c>
      <c r="Z134" s="94">
        <v>0</v>
      </c>
    </row>
    <row r="135" spans="1:26" s="226" customFormat="1" ht="12.75" customHeight="1" x14ac:dyDescent="0.25">
      <c r="B135" s="98" t="s">
        <v>112</v>
      </c>
      <c r="C135" s="98" t="s">
        <v>70</v>
      </c>
      <c r="F135" s="100">
        <v>-3775534262.4899998</v>
      </c>
      <c r="G135" s="100">
        <v>-8269167.5099999998</v>
      </c>
      <c r="H135" s="100">
        <v>-6633977.7300000004</v>
      </c>
      <c r="I135" s="100">
        <v>-2868148.69</v>
      </c>
      <c r="J135" s="100">
        <v>-1232506274.25</v>
      </c>
      <c r="K135" s="100">
        <v>-41641859.829999998</v>
      </c>
      <c r="L135" s="100">
        <v>0</v>
      </c>
      <c r="M135" s="100">
        <v>-365356549.41000003</v>
      </c>
      <c r="N135" s="100">
        <v>-358945492.42000002</v>
      </c>
      <c r="O135" s="100">
        <v>-1687940306.74</v>
      </c>
      <c r="P135" s="100">
        <v>-3430912.63</v>
      </c>
      <c r="Q135" s="100">
        <v>-67941573.280000001</v>
      </c>
      <c r="R135" s="100">
        <v>0</v>
      </c>
      <c r="S135" s="100">
        <v>0</v>
      </c>
      <c r="T135" s="100">
        <v>0</v>
      </c>
      <c r="U135" s="100">
        <v>0</v>
      </c>
      <c r="V135" s="100">
        <v>0</v>
      </c>
      <c r="W135" s="100">
        <v>0</v>
      </c>
      <c r="X135" s="226">
        <v>0</v>
      </c>
      <c r="Y135" s="226">
        <v>0</v>
      </c>
      <c r="Z135" s="226">
        <v>0</v>
      </c>
    </row>
    <row r="136" spans="1:26" ht="12.75" customHeight="1" x14ac:dyDescent="0.25">
      <c r="A136" s="89" t="s">
        <v>79</v>
      </c>
      <c r="B136" s="89" t="s">
        <v>70</v>
      </c>
      <c r="F136" s="90">
        <v>-3775534262.4899998</v>
      </c>
      <c r="G136" s="90">
        <v>-8269167.5099999998</v>
      </c>
      <c r="H136" s="90">
        <v>-6633977.7300000004</v>
      </c>
      <c r="I136" s="90">
        <v>-2868148.69</v>
      </c>
      <c r="J136" s="90">
        <v>-1232506274.25</v>
      </c>
      <c r="K136" s="90">
        <v>-41641859.829999998</v>
      </c>
      <c r="L136" s="90">
        <v>0</v>
      </c>
      <c r="M136" s="90">
        <v>-365356549.41000003</v>
      </c>
      <c r="N136" s="90">
        <v>-358945492.42000002</v>
      </c>
      <c r="O136" s="90">
        <v>-1687940306.74</v>
      </c>
      <c r="P136" s="90">
        <v>-3430912.63</v>
      </c>
      <c r="Q136" s="90">
        <v>-67941573.280000001</v>
      </c>
      <c r="R136" s="90">
        <v>0</v>
      </c>
      <c r="S136" s="90">
        <v>0</v>
      </c>
      <c r="T136" s="90">
        <v>0</v>
      </c>
      <c r="U136" s="90">
        <v>0</v>
      </c>
      <c r="V136" s="90">
        <v>0</v>
      </c>
      <c r="W136" s="90">
        <v>0</v>
      </c>
      <c r="X136">
        <v>0</v>
      </c>
      <c r="Y136">
        <v>0</v>
      </c>
      <c r="Z136">
        <v>0</v>
      </c>
    </row>
    <row r="137" spans="1:26" ht="12.75" customHeight="1" x14ac:dyDescent="0.25">
      <c r="A137" s="89" t="s">
        <v>70</v>
      </c>
      <c r="F137" s="90">
        <v>14097999961.25</v>
      </c>
      <c r="G137" s="90">
        <v>1079933356.3499999</v>
      </c>
      <c r="H137" s="90">
        <v>596435835.79999995</v>
      </c>
      <c r="I137" s="90">
        <v>316141025.83999997</v>
      </c>
      <c r="J137" s="90">
        <v>3225301296.3600001</v>
      </c>
      <c r="K137" s="90">
        <v>109944409.19</v>
      </c>
      <c r="L137" s="90">
        <v>43591201.600000001</v>
      </c>
      <c r="M137" s="90">
        <v>963465589.13</v>
      </c>
      <c r="N137" s="90">
        <v>958256895.86000001</v>
      </c>
      <c r="O137" s="90">
        <v>4490434366.5500002</v>
      </c>
      <c r="P137" s="90">
        <v>2134648232.8299999</v>
      </c>
      <c r="Q137" s="90">
        <v>179843637.34999999</v>
      </c>
      <c r="R137" s="90">
        <v>60921.93</v>
      </c>
      <c r="S137" s="90">
        <v>-56774.97</v>
      </c>
      <c r="T137" s="90">
        <v>0.59</v>
      </c>
      <c r="U137" s="90">
        <v>0</v>
      </c>
      <c r="V137" s="90">
        <v>0</v>
      </c>
      <c r="W137" s="90">
        <v>0</v>
      </c>
      <c r="X137">
        <v>0</v>
      </c>
      <c r="Y137">
        <v>0</v>
      </c>
      <c r="Z137">
        <v>-33.159999999999997</v>
      </c>
    </row>
    <row r="138" spans="1:26" ht="12.75" customHeight="1" x14ac:dyDescent="0.25">
      <c r="A138" s="89"/>
      <c r="D138" s="89"/>
      <c r="E138" s="89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</row>
    <row r="139" spans="1:26" ht="12.75" customHeight="1" x14ac:dyDescent="0.25">
      <c r="A139" s="89"/>
      <c r="C139" s="89"/>
      <c r="D139" s="89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</row>
    <row r="140" spans="1:26" ht="12.75" hidden="1" customHeight="1" x14ac:dyDescent="0.25">
      <c r="A140" s="89"/>
      <c r="E140" s="89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</row>
    <row r="141" spans="1:26" ht="12.75" hidden="1" customHeight="1" x14ac:dyDescent="0.25">
      <c r="A141" s="89"/>
      <c r="D141" s="89"/>
      <c r="E141" s="89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</row>
    <row r="142" spans="1:26" ht="12.75" hidden="1" customHeight="1" x14ac:dyDescent="0.25">
      <c r="A142" s="89"/>
      <c r="E142" s="89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</row>
    <row r="143" spans="1:26" ht="12.75" hidden="1" customHeight="1" x14ac:dyDescent="0.25">
      <c r="A143" s="89"/>
      <c r="D143" s="89"/>
      <c r="E143" s="89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</row>
    <row r="144" spans="1:26" ht="12.75" hidden="1" customHeight="1" x14ac:dyDescent="0.25">
      <c r="A144" s="89"/>
      <c r="E144" s="89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</row>
    <row r="145" spans="1:19" ht="12.75" hidden="1" customHeight="1" x14ac:dyDescent="0.25">
      <c r="A145" s="89"/>
      <c r="D145" s="89"/>
      <c r="E145" s="89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</row>
    <row r="146" spans="1:19" ht="12.75" hidden="1" customHeight="1" x14ac:dyDescent="0.25">
      <c r="A146" s="89"/>
      <c r="C146" s="89"/>
      <c r="D146" s="89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</row>
    <row r="147" spans="1:19" ht="12.75" hidden="1" customHeight="1" x14ac:dyDescent="0.25">
      <c r="A147" s="89"/>
      <c r="B147" s="89"/>
      <c r="C147" s="89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</row>
    <row r="148" spans="1:19" ht="12.75" hidden="1" customHeight="1" x14ac:dyDescent="0.25">
      <c r="A148" s="89"/>
      <c r="B148" s="89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</row>
    <row r="149" spans="1:19" ht="12.75" hidden="1" customHeight="1" x14ac:dyDescent="0.25">
      <c r="A149" s="89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</row>
    <row r="150" spans="1:19" ht="12.75" hidden="1" customHeight="1" x14ac:dyDescent="0.25">
      <c r="A150" s="89"/>
      <c r="B150" s="89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</row>
    <row r="151" spans="1:19" ht="12.75" hidden="1" customHeight="1" x14ac:dyDescent="0.25">
      <c r="A151" s="89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</row>
    <row r="152" spans="1:19" ht="12.75" hidden="1" customHeight="1" x14ac:dyDescent="0.25">
      <c r="A152" s="89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</row>
    <row r="153" spans="1:19" ht="12.75" hidden="1" customHeight="1" x14ac:dyDescent="0.25">
      <c r="A153" s="89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</row>
    <row r="154" spans="1:19" ht="12.75" hidden="1" customHeight="1" x14ac:dyDescent="0.25">
      <c r="A154" s="89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</row>
    <row r="155" spans="1:19" ht="12.75" hidden="1" customHeight="1" x14ac:dyDescent="0.25">
      <c r="A155" s="89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</row>
    <row r="156" spans="1:19" ht="12.75" hidden="1" customHeight="1" x14ac:dyDescent="0.25">
      <c r="A156" s="89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</row>
    <row r="157" spans="1:19" ht="12.75" hidden="1" customHeight="1" x14ac:dyDescent="0.25">
      <c r="A157" s="89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</row>
    <row r="158" spans="1:19" ht="12.75" hidden="1" customHeight="1" x14ac:dyDescent="0.25">
      <c r="A158" s="89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</row>
    <row r="159" spans="1:19" ht="12.75" hidden="1" customHeight="1" x14ac:dyDescent="0.25">
      <c r="A159" s="89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</row>
    <row r="160" spans="1:19" ht="12.75" hidden="1" customHeight="1" x14ac:dyDescent="0.25">
      <c r="A160" s="89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</row>
    <row r="161" spans="1:19" ht="12.75" hidden="1" customHeight="1" x14ac:dyDescent="0.25">
      <c r="A161" s="89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</row>
    <row r="162" spans="1:19" ht="12.75" hidden="1" customHeight="1" x14ac:dyDescent="0.25">
      <c r="A162" s="89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</row>
    <row r="163" spans="1:19" ht="12.75" hidden="1" customHeight="1" x14ac:dyDescent="0.25">
      <c r="A163" s="89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</row>
    <row r="164" spans="1:19" ht="12.75" hidden="1" customHeight="1" x14ac:dyDescent="0.25">
      <c r="A164" s="89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</row>
    <row r="165" spans="1:19" ht="12.75" hidden="1" customHeight="1" x14ac:dyDescent="0.25">
      <c r="A165" s="89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</row>
    <row r="166" spans="1:19" ht="12.75" hidden="1" customHeight="1" x14ac:dyDescent="0.25">
      <c r="A166" s="89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</row>
    <row r="167" spans="1:19" ht="12.75" hidden="1" customHeight="1" x14ac:dyDescent="0.25">
      <c r="A167" s="89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</row>
    <row r="168" spans="1:19" ht="12.75" hidden="1" customHeight="1" x14ac:dyDescent="0.25">
      <c r="A168" s="89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</row>
    <row r="169" spans="1:19" ht="12.75" hidden="1" customHeight="1" x14ac:dyDescent="0.25">
      <c r="A169" s="89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</row>
    <row r="170" spans="1:19" ht="12.75" hidden="1" customHeight="1" x14ac:dyDescent="0.25">
      <c r="A170" s="89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</row>
    <row r="171" spans="1:19" ht="12.75" hidden="1" customHeight="1" x14ac:dyDescent="0.25">
      <c r="A171" s="89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</row>
    <row r="172" spans="1:19" ht="12.75" hidden="1" customHeight="1" x14ac:dyDescent="0.25">
      <c r="A172" s="89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</row>
    <row r="173" spans="1:19" ht="12.75" hidden="1" customHeight="1" x14ac:dyDescent="0.25">
      <c r="A173" s="89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</row>
    <row r="174" spans="1:19" ht="12.75" hidden="1" customHeight="1" x14ac:dyDescent="0.25">
      <c r="A174" s="89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</row>
    <row r="175" spans="1:19" ht="12.75" hidden="1" customHeight="1" x14ac:dyDescent="0.25">
      <c r="A175" s="89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</row>
    <row r="176" spans="1:19" ht="12.75" hidden="1" customHeight="1" x14ac:dyDescent="0.25">
      <c r="A176" s="89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</row>
    <row r="177" spans="1:42" ht="12.75" hidden="1" customHeight="1" x14ac:dyDescent="0.25">
      <c r="A177" s="89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</row>
    <row r="178" spans="1:42" ht="12.75" hidden="1" customHeight="1" x14ac:dyDescent="0.25">
      <c r="A178" s="89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</row>
    <row r="179" spans="1:42" ht="12.75" customHeight="1" x14ac:dyDescent="0.25">
      <c r="A179" s="89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</row>
    <row r="180" spans="1:42" ht="12.75" customHeight="1" x14ac:dyDescent="0.25">
      <c r="A180" s="89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</row>
    <row r="181" spans="1:42" ht="12.75" customHeight="1" x14ac:dyDescent="0.25">
      <c r="C181" s="763" t="s">
        <v>2</v>
      </c>
      <c r="D181" s="764" t="s">
        <v>132</v>
      </c>
      <c r="E181" s="98" t="s">
        <v>70</v>
      </c>
      <c r="F181" s="100">
        <f>F116+F135-L116+F90-L90</f>
        <v>14054408759.650002</v>
      </c>
      <c r="G181" s="100">
        <f t="shared" ref="G181:AP181" si="6">G116+G90</f>
        <v>1088202523.8599999</v>
      </c>
      <c r="H181" s="100">
        <f t="shared" si="6"/>
        <v>603069813.52999997</v>
      </c>
      <c r="I181" s="100">
        <f t="shared" si="6"/>
        <v>319009174.52999997</v>
      </c>
      <c r="J181" s="100">
        <f t="shared" si="6"/>
        <v>4457807570.6099997</v>
      </c>
      <c r="K181" s="100">
        <f t="shared" si="6"/>
        <v>151586269.01999998</v>
      </c>
      <c r="L181" s="100">
        <f t="shared" si="6"/>
        <v>43591201.600000001</v>
      </c>
      <c r="M181" s="100">
        <f t="shared" si="6"/>
        <v>1328822138.54</v>
      </c>
      <c r="N181" s="100">
        <f t="shared" si="6"/>
        <v>1317202388.28</v>
      </c>
      <c r="O181" s="100">
        <f t="shared" si="6"/>
        <v>6178374673.29</v>
      </c>
      <c r="P181" s="100">
        <f t="shared" si="6"/>
        <v>2138079145.46</v>
      </c>
      <c r="Q181" s="100">
        <f t="shared" si="6"/>
        <v>247785210.63</v>
      </c>
      <c r="R181" s="100">
        <f t="shared" si="6"/>
        <v>60921.93</v>
      </c>
      <c r="S181" s="100">
        <f t="shared" si="6"/>
        <v>-56774.97</v>
      </c>
      <c r="T181" s="100">
        <f t="shared" si="6"/>
        <v>0.59</v>
      </c>
      <c r="U181" s="100">
        <f t="shared" si="6"/>
        <v>0</v>
      </c>
      <c r="V181" s="100">
        <f t="shared" si="6"/>
        <v>0</v>
      </c>
      <c r="W181" s="100">
        <f t="shared" si="6"/>
        <v>0</v>
      </c>
      <c r="X181" s="100">
        <f t="shared" si="6"/>
        <v>0</v>
      </c>
      <c r="Y181" s="100">
        <f t="shared" si="6"/>
        <v>0</v>
      </c>
      <c r="Z181" s="100">
        <f t="shared" si="6"/>
        <v>-33.159999999999997</v>
      </c>
      <c r="AA181" s="100">
        <f t="shared" si="6"/>
        <v>0</v>
      </c>
      <c r="AB181" s="100">
        <f t="shared" si="6"/>
        <v>0</v>
      </c>
      <c r="AC181" s="100">
        <f t="shared" si="6"/>
        <v>0</v>
      </c>
      <c r="AD181" s="100">
        <f t="shared" si="6"/>
        <v>0</v>
      </c>
      <c r="AE181" s="100">
        <f t="shared" si="6"/>
        <v>0</v>
      </c>
      <c r="AF181" s="100">
        <f t="shared" si="6"/>
        <v>0</v>
      </c>
      <c r="AG181" s="100">
        <f t="shared" si="6"/>
        <v>0</v>
      </c>
      <c r="AH181" s="100">
        <f t="shared" si="6"/>
        <v>0</v>
      </c>
      <c r="AI181" s="100">
        <f t="shared" si="6"/>
        <v>0</v>
      </c>
      <c r="AJ181" s="100">
        <f t="shared" si="6"/>
        <v>0</v>
      </c>
      <c r="AK181" s="100">
        <f t="shared" si="6"/>
        <v>0</v>
      </c>
      <c r="AL181" s="100">
        <f t="shared" si="6"/>
        <v>0</v>
      </c>
      <c r="AM181" s="100">
        <f t="shared" si="6"/>
        <v>0</v>
      </c>
      <c r="AN181" s="100">
        <f t="shared" si="6"/>
        <v>0</v>
      </c>
      <c r="AO181" s="100">
        <f t="shared" si="6"/>
        <v>0</v>
      </c>
      <c r="AP181" s="100">
        <f t="shared" si="6"/>
        <v>0</v>
      </c>
    </row>
    <row r="182" spans="1:42" ht="12.75" customHeight="1" x14ac:dyDescent="0.25">
      <c r="C182" s="763"/>
      <c r="D182" s="764"/>
      <c r="E182" s="98" t="s">
        <v>73</v>
      </c>
      <c r="F182" s="100">
        <f>F135</f>
        <v>-3775534262.4899998</v>
      </c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</row>
    <row r="183" spans="1:42" ht="12.75" customHeight="1" x14ac:dyDescent="0.25">
      <c r="C183" s="763"/>
      <c r="D183" s="764" t="s">
        <v>133</v>
      </c>
      <c r="E183" s="233" t="s">
        <v>70</v>
      </c>
      <c r="F183" s="234">
        <v>0</v>
      </c>
      <c r="G183" s="234">
        <v>0</v>
      </c>
      <c r="H183" s="234">
        <v>0</v>
      </c>
      <c r="I183" s="234">
        <v>0</v>
      </c>
      <c r="J183" s="234">
        <v>0</v>
      </c>
      <c r="K183" s="234">
        <v>0</v>
      </c>
      <c r="L183" s="234">
        <v>0</v>
      </c>
      <c r="M183" s="234">
        <v>0</v>
      </c>
      <c r="N183" s="234">
        <v>0</v>
      </c>
      <c r="O183" s="234">
        <v>0</v>
      </c>
      <c r="P183" s="234">
        <v>0</v>
      </c>
      <c r="Q183" s="234">
        <v>0</v>
      </c>
      <c r="R183" s="234">
        <v>0</v>
      </c>
      <c r="S183" s="234">
        <v>0</v>
      </c>
      <c r="T183" s="234">
        <v>0</v>
      </c>
      <c r="U183" s="234">
        <v>0</v>
      </c>
      <c r="V183" s="234">
        <v>0</v>
      </c>
      <c r="W183" s="234">
        <v>0</v>
      </c>
      <c r="X183" s="234">
        <v>0</v>
      </c>
      <c r="Y183" s="234">
        <v>0</v>
      </c>
      <c r="Z183" s="234">
        <v>0</v>
      </c>
      <c r="AA183" s="234">
        <v>0</v>
      </c>
      <c r="AB183" s="234">
        <v>0</v>
      </c>
      <c r="AC183" s="234">
        <v>0</v>
      </c>
      <c r="AD183" s="234">
        <v>0</v>
      </c>
      <c r="AE183" s="234">
        <v>0</v>
      </c>
      <c r="AF183" s="234">
        <v>0</v>
      </c>
      <c r="AG183" s="234">
        <v>0</v>
      </c>
      <c r="AH183" s="234">
        <v>0</v>
      </c>
      <c r="AI183" s="234">
        <v>0</v>
      </c>
      <c r="AJ183" s="234">
        <v>0</v>
      </c>
      <c r="AK183" s="234">
        <v>0</v>
      </c>
      <c r="AL183" s="234">
        <v>0</v>
      </c>
      <c r="AM183" s="234">
        <v>0</v>
      </c>
      <c r="AN183" s="234">
        <v>0</v>
      </c>
      <c r="AO183" s="234">
        <v>0</v>
      </c>
      <c r="AP183" s="234">
        <v>0</v>
      </c>
    </row>
    <row r="184" spans="1:42" ht="12.75" customHeight="1" x14ac:dyDescent="0.25">
      <c r="C184" s="763"/>
      <c r="D184" s="764"/>
      <c r="E184" s="233" t="s">
        <v>73</v>
      </c>
      <c r="F184" s="234">
        <v>0</v>
      </c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</row>
    <row r="185" spans="1:42" ht="12.75" customHeight="1" x14ac:dyDescent="0.3">
      <c r="A185" s="89"/>
      <c r="C185" s="97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</row>
    <row r="186" spans="1:42" ht="12.75" customHeight="1" x14ac:dyDescent="0.25">
      <c r="C186" s="763" t="s">
        <v>160</v>
      </c>
      <c r="D186" s="764" t="s">
        <v>132</v>
      </c>
      <c r="E186" s="223" t="s">
        <v>70</v>
      </c>
      <c r="F186" s="225">
        <f>F105+F127-L105</f>
        <v>3445900</v>
      </c>
      <c r="G186" s="225">
        <f>G105</f>
        <v>267464.13</v>
      </c>
      <c r="H186" s="225">
        <f t="shared" ref="H186:AP186" si="7">H105</f>
        <v>147953.18</v>
      </c>
      <c r="I186" s="225">
        <f t="shared" si="7"/>
        <v>78179.08</v>
      </c>
      <c r="J186" s="225">
        <f t="shared" si="7"/>
        <v>1184623.3500000001</v>
      </c>
      <c r="K186" s="225">
        <f t="shared" si="7"/>
        <v>36371.93</v>
      </c>
      <c r="L186" s="225">
        <f t="shared" si="7"/>
        <v>0</v>
      </c>
      <c r="M186" s="225">
        <f t="shared" si="7"/>
        <v>313529.02</v>
      </c>
      <c r="N186" s="225">
        <f t="shared" si="7"/>
        <v>351306.01</v>
      </c>
      <c r="O186" s="225">
        <f t="shared" si="7"/>
        <v>1657290.85</v>
      </c>
      <c r="P186" s="225">
        <f t="shared" si="7"/>
        <v>516566.24</v>
      </c>
      <c r="Q186" s="225">
        <f t="shared" si="7"/>
        <v>59343.8</v>
      </c>
      <c r="R186" s="225">
        <f t="shared" si="7"/>
        <v>28.27</v>
      </c>
      <c r="S186" s="225">
        <f t="shared" si="7"/>
        <v>1.42</v>
      </c>
      <c r="T186" s="225">
        <f t="shared" si="7"/>
        <v>0</v>
      </c>
      <c r="U186" s="225">
        <f t="shared" si="7"/>
        <v>0</v>
      </c>
      <c r="V186" s="225">
        <f t="shared" si="7"/>
        <v>0</v>
      </c>
      <c r="W186" s="225">
        <f t="shared" si="7"/>
        <v>0</v>
      </c>
      <c r="X186" s="225">
        <f t="shared" si="7"/>
        <v>0</v>
      </c>
      <c r="Y186" s="225">
        <f t="shared" si="7"/>
        <v>0</v>
      </c>
      <c r="Z186" s="225">
        <f t="shared" si="7"/>
        <v>-7.0000000000000007E-2</v>
      </c>
      <c r="AA186" s="225">
        <f t="shared" si="7"/>
        <v>0</v>
      </c>
      <c r="AB186" s="225">
        <f t="shared" si="7"/>
        <v>0</v>
      </c>
      <c r="AC186" s="225">
        <f t="shared" si="7"/>
        <v>0</v>
      </c>
      <c r="AD186" s="225">
        <f t="shared" si="7"/>
        <v>0</v>
      </c>
      <c r="AE186" s="225">
        <f t="shared" si="7"/>
        <v>0</v>
      </c>
      <c r="AF186" s="225">
        <f t="shared" si="7"/>
        <v>0</v>
      </c>
      <c r="AG186" s="225">
        <f t="shared" si="7"/>
        <v>0</v>
      </c>
      <c r="AH186" s="225">
        <f t="shared" si="7"/>
        <v>0</v>
      </c>
      <c r="AI186" s="225">
        <f t="shared" si="7"/>
        <v>0</v>
      </c>
      <c r="AJ186" s="225">
        <f t="shared" si="7"/>
        <v>0</v>
      </c>
      <c r="AK186" s="225">
        <f t="shared" si="7"/>
        <v>0</v>
      </c>
      <c r="AL186" s="225">
        <f t="shared" si="7"/>
        <v>0</v>
      </c>
      <c r="AM186" s="225">
        <f t="shared" si="7"/>
        <v>0</v>
      </c>
      <c r="AN186" s="225">
        <f t="shared" si="7"/>
        <v>0</v>
      </c>
      <c r="AO186" s="225">
        <f t="shared" si="7"/>
        <v>0</v>
      </c>
      <c r="AP186" s="225">
        <f t="shared" si="7"/>
        <v>0</v>
      </c>
    </row>
    <row r="187" spans="1:42" ht="12.75" customHeight="1" x14ac:dyDescent="0.25">
      <c r="C187" s="763"/>
      <c r="D187" s="764"/>
      <c r="E187" s="223" t="s">
        <v>73</v>
      </c>
      <c r="F187" s="225">
        <f>F127</f>
        <v>-1166757.21</v>
      </c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</row>
    <row r="188" spans="1:42" ht="12.75" customHeight="1" x14ac:dyDescent="0.25">
      <c r="C188" s="763"/>
      <c r="D188" s="764" t="s">
        <v>133</v>
      </c>
      <c r="E188" s="227" t="s">
        <v>70</v>
      </c>
      <c r="F188" s="228">
        <v>0</v>
      </c>
      <c r="G188" s="228">
        <v>0</v>
      </c>
      <c r="H188" s="228">
        <v>0</v>
      </c>
      <c r="I188" s="228">
        <v>0</v>
      </c>
      <c r="J188" s="228">
        <v>0</v>
      </c>
      <c r="K188" s="228">
        <v>0</v>
      </c>
      <c r="L188" s="228">
        <v>0</v>
      </c>
      <c r="M188" s="228">
        <v>0</v>
      </c>
      <c r="N188" s="228">
        <v>0</v>
      </c>
      <c r="O188" s="228">
        <v>0</v>
      </c>
      <c r="P188" s="228">
        <v>0</v>
      </c>
      <c r="Q188" s="228">
        <v>0</v>
      </c>
      <c r="R188" s="228">
        <v>0</v>
      </c>
      <c r="S188" s="228">
        <v>0</v>
      </c>
      <c r="T188" s="228">
        <v>0</v>
      </c>
      <c r="U188" s="228">
        <v>0</v>
      </c>
      <c r="V188" s="228">
        <v>0</v>
      </c>
      <c r="W188" s="228">
        <v>0</v>
      </c>
      <c r="X188" s="228">
        <v>0</v>
      </c>
      <c r="Y188" s="228">
        <v>0</v>
      </c>
      <c r="Z188" s="228">
        <v>0</v>
      </c>
      <c r="AA188" s="228">
        <v>0</v>
      </c>
      <c r="AB188" s="228">
        <v>0</v>
      </c>
      <c r="AC188" s="228">
        <v>0</v>
      </c>
      <c r="AD188" s="228">
        <v>0</v>
      </c>
      <c r="AE188" s="228">
        <v>0</v>
      </c>
      <c r="AF188" s="228">
        <v>0</v>
      </c>
      <c r="AG188" s="228">
        <v>0</v>
      </c>
      <c r="AH188" s="228">
        <v>0</v>
      </c>
      <c r="AI188" s="228">
        <v>0</v>
      </c>
      <c r="AJ188" s="228">
        <v>0</v>
      </c>
      <c r="AK188" s="228">
        <v>0</v>
      </c>
      <c r="AL188" s="228">
        <v>0</v>
      </c>
      <c r="AM188" s="228">
        <v>0</v>
      </c>
      <c r="AN188" s="228">
        <v>0</v>
      </c>
      <c r="AO188" s="228">
        <v>0</v>
      </c>
      <c r="AP188" s="228">
        <v>0</v>
      </c>
    </row>
    <row r="189" spans="1:42" ht="12.75" customHeight="1" x14ac:dyDescent="0.25">
      <c r="C189" s="763"/>
      <c r="D189" s="764"/>
      <c r="E189" s="227" t="s">
        <v>73</v>
      </c>
      <c r="F189" s="228">
        <v>0</v>
      </c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</row>
    <row r="190" spans="1:42" ht="12.75" customHeight="1" x14ac:dyDescent="0.3">
      <c r="A190" s="89"/>
      <c r="C190" s="97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</row>
    <row r="191" spans="1:42" ht="12.75" customHeight="1" x14ac:dyDescent="0.25">
      <c r="C191" s="763" t="s">
        <v>155</v>
      </c>
      <c r="D191" s="764" t="s">
        <v>132</v>
      </c>
      <c r="E191" s="221" t="s">
        <v>70</v>
      </c>
      <c r="F191" s="222">
        <f>F120+F95+F84-L84-L95</f>
        <v>12711433921.790001</v>
      </c>
      <c r="G191" s="222">
        <f t="shared" ref="G191:AA191" si="8">G95+G84</f>
        <v>929029134.42000008</v>
      </c>
      <c r="H191" s="222">
        <f t="shared" si="8"/>
        <v>517154998.83999997</v>
      </c>
      <c r="I191" s="222">
        <f t="shared" si="8"/>
        <v>273013885.82999998</v>
      </c>
      <c r="J191" s="222">
        <f t="shared" si="8"/>
        <v>4306010126.79</v>
      </c>
      <c r="K191" s="222">
        <f t="shared" si="8"/>
        <v>147591794.69999999</v>
      </c>
      <c r="L191" s="222">
        <f t="shared" si="8"/>
        <v>12959141.210000001</v>
      </c>
      <c r="M191" s="222">
        <f t="shared" si="8"/>
        <v>1293806249.53</v>
      </c>
      <c r="N191" s="222">
        <f t="shared" si="8"/>
        <v>1269733184.03</v>
      </c>
      <c r="O191" s="222">
        <f t="shared" si="8"/>
        <v>5952913878.7699995</v>
      </c>
      <c r="P191" s="222">
        <f t="shared" si="8"/>
        <v>1820733812.24</v>
      </c>
      <c r="Q191" s="222">
        <f t="shared" si="8"/>
        <v>241222198.57000002</v>
      </c>
      <c r="R191" s="222">
        <f t="shared" si="8"/>
        <v>61759.7</v>
      </c>
      <c r="S191" s="222">
        <f t="shared" si="8"/>
        <v>-4.22</v>
      </c>
      <c r="T191" s="222">
        <f t="shared" si="8"/>
        <v>0.1</v>
      </c>
      <c r="U191" s="222">
        <f t="shared" si="8"/>
        <v>0</v>
      </c>
      <c r="V191" s="222">
        <f t="shared" si="8"/>
        <v>0</v>
      </c>
      <c r="W191" s="222">
        <f t="shared" si="8"/>
        <v>0</v>
      </c>
      <c r="X191" s="222">
        <f t="shared" si="8"/>
        <v>0</v>
      </c>
      <c r="Y191" s="222">
        <f t="shared" si="8"/>
        <v>0</v>
      </c>
      <c r="Z191" s="222">
        <f t="shared" si="8"/>
        <v>-30.45</v>
      </c>
      <c r="AA191" s="222">
        <f t="shared" si="8"/>
        <v>0</v>
      </c>
    </row>
    <row r="192" spans="1:42" ht="12.75" customHeight="1" x14ac:dyDescent="0.25">
      <c r="C192" s="763"/>
      <c r="D192" s="764"/>
      <c r="E192" s="221" t="s">
        <v>73</v>
      </c>
      <c r="F192" s="222">
        <f>F120</f>
        <v>-4039837067.0599999</v>
      </c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</row>
    <row r="193" spans="1:42" ht="12.75" customHeight="1" x14ac:dyDescent="0.25">
      <c r="C193" s="763"/>
      <c r="D193" s="764" t="s">
        <v>133</v>
      </c>
      <c r="E193" s="229" t="s">
        <v>70</v>
      </c>
      <c r="F193" s="230">
        <v>0</v>
      </c>
      <c r="G193" s="230">
        <v>0</v>
      </c>
      <c r="H193" s="230">
        <v>0</v>
      </c>
      <c r="I193" s="230">
        <v>0</v>
      </c>
      <c r="J193" s="230">
        <v>0</v>
      </c>
      <c r="K193" s="230">
        <v>0</v>
      </c>
      <c r="L193" s="230">
        <v>0</v>
      </c>
      <c r="M193" s="230">
        <v>0</v>
      </c>
      <c r="N193" s="230">
        <v>0</v>
      </c>
      <c r="O193" s="230">
        <v>0</v>
      </c>
      <c r="P193" s="230">
        <v>0</v>
      </c>
      <c r="Q193" s="230">
        <v>0</v>
      </c>
      <c r="R193" s="230">
        <v>0</v>
      </c>
      <c r="S193" s="230">
        <v>0</v>
      </c>
      <c r="T193" s="230">
        <v>0</v>
      </c>
      <c r="U193" s="230">
        <v>0</v>
      </c>
      <c r="V193" s="230">
        <v>0</v>
      </c>
      <c r="W193" s="230">
        <v>0</v>
      </c>
      <c r="X193" s="230">
        <v>0</v>
      </c>
      <c r="Y193" s="230">
        <v>0</v>
      </c>
      <c r="Z193" s="230">
        <v>0</v>
      </c>
      <c r="AA193" s="230">
        <v>0</v>
      </c>
    </row>
    <row r="194" spans="1:42" ht="12.75" customHeight="1" x14ac:dyDescent="0.25">
      <c r="C194" s="763"/>
      <c r="D194" s="764"/>
      <c r="E194" s="229" t="s">
        <v>73</v>
      </c>
      <c r="F194" s="230">
        <v>0</v>
      </c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</row>
    <row r="195" spans="1:42" ht="12.75" customHeight="1" x14ac:dyDescent="0.3">
      <c r="A195" s="89"/>
      <c r="C195" s="97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</row>
    <row r="196" spans="1:42" ht="12.75" customHeight="1" x14ac:dyDescent="0.25">
      <c r="C196" s="766" t="s">
        <v>324</v>
      </c>
      <c r="D196" s="764" t="s">
        <v>132</v>
      </c>
      <c r="E196" s="375" t="s">
        <v>70</v>
      </c>
      <c r="F196" s="376">
        <v>0</v>
      </c>
      <c r="G196" s="376">
        <v>0</v>
      </c>
      <c r="H196" s="376">
        <v>0</v>
      </c>
      <c r="I196" s="376">
        <v>0</v>
      </c>
      <c r="J196" s="376">
        <v>0</v>
      </c>
      <c r="K196" s="376">
        <v>0</v>
      </c>
      <c r="L196" s="376">
        <v>0</v>
      </c>
      <c r="M196" s="376">
        <v>0</v>
      </c>
      <c r="N196" s="376">
        <v>0</v>
      </c>
      <c r="O196" s="376">
        <v>0</v>
      </c>
      <c r="P196" s="376">
        <v>0</v>
      </c>
      <c r="Q196" s="376">
        <v>0</v>
      </c>
      <c r="R196" s="376">
        <v>0</v>
      </c>
      <c r="S196" s="376">
        <v>0</v>
      </c>
      <c r="T196" s="376">
        <v>0</v>
      </c>
      <c r="U196" s="376">
        <v>0</v>
      </c>
      <c r="V196" s="376">
        <v>0</v>
      </c>
      <c r="W196" s="376">
        <v>0</v>
      </c>
      <c r="X196" s="376">
        <v>0</v>
      </c>
      <c r="Y196" s="376">
        <v>0</v>
      </c>
      <c r="Z196" s="376">
        <v>0</v>
      </c>
      <c r="AA196" s="376">
        <v>0</v>
      </c>
      <c r="AB196" s="376">
        <v>0</v>
      </c>
      <c r="AC196" s="376">
        <v>0</v>
      </c>
      <c r="AD196" s="376">
        <v>0</v>
      </c>
      <c r="AE196" s="376">
        <v>0</v>
      </c>
      <c r="AF196" s="376">
        <v>0</v>
      </c>
      <c r="AG196" s="376">
        <v>0</v>
      </c>
      <c r="AH196" s="376">
        <v>0</v>
      </c>
      <c r="AI196" s="376">
        <v>0</v>
      </c>
      <c r="AJ196" s="376">
        <v>0</v>
      </c>
      <c r="AK196" s="376">
        <v>0</v>
      </c>
      <c r="AL196" s="376">
        <v>0</v>
      </c>
      <c r="AM196" s="376">
        <v>0</v>
      </c>
      <c r="AN196" s="376">
        <v>0</v>
      </c>
      <c r="AO196" s="376">
        <v>0</v>
      </c>
    </row>
    <row r="197" spans="1:42" ht="12.75" customHeight="1" x14ac:dyDescent="0.25">
      <c r="C197" s="766"/>
      <c r="D197" s="764"/>
      <c r="E197" s="375" t="s">
        <v>73</v>
      </c>
      <c r="F197" s="376">
        <v>0</v>
      </c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</row>
    <row r="198" spans="1:42" ht="12.75" customHeight="1" x14ac:dyDescent="0.25">
      <c r="C198" s="766"/>
      <c r="D198" s="764" t="s">
        <v>133</v>
      </c>
      <c r="E198" s="242" t="s">
        <v>70</v>
      </c>
      <c r="F198" s="243">
        <v>0</v>
      </c>
      <c r="G198" s="243">
        <v>0</v>
      </c>
      <c r="H198" s="243">
        <v>0</v>
      </c>
      <c r="I198" s="243">
        <v>0</v>
      </c>
      <c r="J198" s="243">
        <v>0</v>
      </c>
      <c r="K198" s="243">
        <v>0</v>
      </c>
      <c r="L198" s="243">
        <v>0</v>
      </c>
      <c r="M198" s="243">
        <v>0</v>
      </c>
      <c r="N198" s="243">
        <v>0</v>
      </c>
      <c r="O198" s="243">
        <v>0</v>
      </c>
      <c r="P198" s="243">
        <v>0</v>
      </c>
      <c r="Q198" s="243">
        <v>0</v>
      </c>
      <c r="R198" s="243">
        <v>0</v>
      </c>
      <c r="S198" s="243">
        <v>0</v>
      </c>
      <c r="T198" s="243">
        <v>0</v>
      </c>
      <c r="U198" s="243">
        <v>0</v>
      </c>
      <c r="V198" s="243">
        <v>0</v>
      </c>
      <c r="W198" s="243">
        <v>0</v>
      </c>
      <c r="X198" s="243">
        <v>0</v>
      </c>
      <c r="Y198" s="243">
        <v>0</v>
      </c>
      <c r="Z198" s="243">
        <v>0</v>
      </c>
      <c r="AA198" s="243">
        <v>0</v>
      </c>
      <c r="AB198" s="243">
        <v>0</v>
      </c>
      <c r="AC198" s="243">
        <v>0</v>
      </c>
      <c r="AD198" s="243">
        <v>0</v>
      </c>
      <c r="AE198" s="243">
        <v>0</v>
      </c>
      <c r="AF198" s="243">
        <v>0</v>
      </c>
      <c r="AG198" s="243">
        <v>0</v>
      </c>
      <c r="AH198" s="243">
        <v>0</v>
      </c>
      <c r="AI198" s="243">
        <v>0</v>
      </c>
      <c r="AJ198" s="243">
        <v>0</v>
      </c>
      <c r="AK198" s="243">
        <v>0</v>
      </c>
      <c r="AL198" s="243">
        <v>0</v>
      </c>
      <c r="AM198" s="243">
        <v>0</v>
      </c>
      <c r="AN198" s="243">
        <v>0</v>
      </c>
      <c r="AO198" s="243">
        <v>0</v>
      </c>
    </row>
    <row r="199" spans="1:42" ht="12.75" customHeight="1" x14ac:dyDescent="0.25">
      <c r="C199" s="766"/>
      <c r="D199" s="764"/>
      <c r="E199" s="242" t="s">
        <v>73</v>
      </c>
      <c r="F199" s="243">
        <v>0</v>
      </c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</row>
    <row r="200" spans="1:42" ht="12.75" customHeight="1" x14ac:dyDescent="0.3">
      <c r="A200" s="89"/>
      <c r="C200" s="97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</row>
    <row r="201" spans="1:42" ht="12.75" customHeight="1" x14ac:dyDescent="0.25">
      <c r="C201" s="763" t="s">
        <v>119</v>
      </c>
      <c r="D201" s="764" t="s">
        <v>132</v>
      </c>
      <c r="E201" s="101" t="s">
        <v>70</v>
      </c>
      <c r="F201" s="93">
        <f>F134+F115+F89-L89-L115</f>
        <v>1339528937.8599999</v>
      </c>
      <c r="G201" s="93">
        <f t="shared" ref="G201:AP201" si="9">G115+G89</f>
        <v>158905925.31</v>
      </c>
      <c r="H201" s="93">
        <f t="shared" si="9"/>
        <v>85766861.510000005</v>
      </c>
      <c r="I201" s="93">
        <f t="shared" si="9"/>
        <v>45917109.620000005</v>
      </c>
      <c r="J201" s="93">
        <f t="shared" si="9"/>
        <v>150612820.47</v>
      </c>
      <c r="K201" s="93">
        <f t="shared" si="9"/>
        <v>3958102.39</v>
      </c>
      <c r="L201" s="93">
        <f t="shared" si="9"/>
        <v>30632060.390000001</v>
      </c>
      <c r="M201" s="93">
        <f t="shared" si="9"/>
        <v>34702359.989999995</v>
      </c>
      <c r="N201" s="93">
        <f t="shared" si="9"/>
        <v>47117898.240000002</v>
      </c>
      <c r="O201" s="93">
        <f t="shared" si="9"/>
        <v>223803503.67000002</v>
      </c>
      <c r="P201" s="93">
        <f t="shared" si="9"/>
        <v>316828766.98000002</v>
      </c>
      <c r="Q201" s="93">
        <f t="shared" si="9"/>
        <v>6503668.2600000007</v>
      </c>
      <c r="R201" s="93">
        <f t="shared" si="9"/>
        <v>-866.04</v>
      </c>
      <c r="S201" s="93">
        <f t="shared" si="9"/>
        <v>-56772.17</v>
      </c>
      <c r="T201" s="93">
        <f t="shared" si="9"/>
        <v>0.49</v>
      </c>
      <c r="U201" s="93">
        <f t="shared" si="9"/>
        <v>0</v>
      </c>
      <c r="V201" s="93">
        <f t="shared" si="9"/>
        <v>0</v>
      </c>
      <c r="W201" s="93">
        <f t="shared" si="9"/>
        <v>0</v>
      </c>
      <c r="X201" s="93">
        <f t="shared" si="9"/>
        <v>0</v>
      </c>
      <c r="Y201" s="93">
        <f t="shared" si="9"/>
        <v>0</v>
      </c>
      <c r="Z201" s="93">
        <f t="shared" si="9"/>
        <v>-2.64</v>
      </c>
      <c r="AA201" s="93">
        <f t="shared" si="9"/>
        <v>0</v>
      </c>
      <c r="AB201" s="93">
        <f t="shared" si="9"/>
        <v>0</v>
      </c>
      <c r="AC201" s="93">
        <f t="shared" si="9"/>
        <v>0</v>
      </c>
      <c r="AD201" s="93">
        <f t="shared" si="9"/>
        <v>0</v>
      </c>
      <c r="AE201" s="93">
        <f t="shared" si="9"/>
        <v>0</v>
      </c>
      <c r="AF201" s="93">
        <f t="shared" si="9"/>
        <v>0</v>
      </c>
      <c r="AG201" s="93">
        <f t="shared" si="9"/>
        <v>0</v>
      </c>
      <c r="AH201" s="93">
        <f t="shared" si="9"/>
        <v>0</v>
      </c>
      <c r="AI201" s="93">
        <f t="shared" si="9"/>
        <v>0</v>
      </c>
      <c r="AJ201" s="93">
        <f t="shared" si="9"/>
        <v>0</v>
      </c>
      <c r="AK201" s="93">
        <f t="shared" si="9"/>
        <v>0</v>
      </c>
      <c r="AL201" s="93">
        <f t="shared" si="9"/>
        <v>0</v>
      </c>
      <c r="AM201" s="93">
        <f t="shared" si="9"/>
        <v>0</v>
      </c>
      <c r="AN201" s="93">
        <f t="shared" si="9"/>
        <v>0</v>
      </c>
      <c r="AO201" s="93">
        <f t="shared" si="9"/>
        <v>0</v>
      </c>
      <c r="AP201" s="93">
        <f t="shared" si="9"/>
        <v>0</v>
      </c>
    </row>
    <row r="202" spans="1:42" ht="12.75" customHeight="1" x14ac:dyDescent="0.25">
      <c r="C202" s="763"/>
      <c r="D202" s="764"/>
      <c r="E202" s="101" t="s">
        <v>73</v>
      </c>
      <c r="F202" s="93">
        <f>F134</f>
        <v>265469561.78</v>
      </c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</row>
    <row r="203" spans="1:42" ht="12.75" customHeight="1" x14ac:dyDescent="0.25">
      <c r="C203" s="763"/>
      <c r="D203" s="764" t="s">
        <v>133</v>
      </c>
      <c r="E203" s="235" t="s">
        <v>70</v>
      </c>
      <c r="F203" s="236">
        <v>0</v>
      </c>
      <c r="G203" s="236">
        <v>0</v>
      </c>
      <c r="H203" s="236">
        <v>0</v>
      </c>
      <c r="I203" s="236">
        <v>0</v>
      </c>
      <c r="J203" s="236">
        <v>0</v>
      </c>
      <c r="K203" s="236">
        <v>0</v>
      </c>
      <c r="L203" s="236">
        <v>0</v>
      </c>
      <c r="M203" s="236">
        <v>0</v>
      </c>
      <c r="N203" s="236">
        <v>0</v>
      </c>
      <c r="O203" s="236">
        <v>0</v>
      </c>
      <c r="P203" s="236">
        <v>0</v>
      </c>
      <c r="Q203" s="236">
        <v>0</v>
      </c>
      <c r="R203" s="236">
        <v>0</v>
      </c>
      <c r="S203" s="236">
        <v>0</v>
      </c>
      <c r="T203" s="236">
        <v>0</v>
      </c>
      <c r="U203" s="236">
        <v>0</v>
      </c>
      <c r="V203" s="236">
        <v>0</v>
      </c>
      <c r="W203" s="236">
        <v>0</v>
      </c>
      <c r="X203" s="236">
        <v>0</v>
      </c>
      <c r="Y203" s="236">
        <v>0</v>
      </c>
      <c r="Z203" s="236">
        <v>0</v>
      </c>
      <c r="AA203" s="236">
        <v>0</v>
      </c>
      <c r="AB203" s="236">
        <v>0</v>
      </c>
      <c r="AC203" s="236">
        <v>0</v>
      </c>
      <c r="AD203" s="236">
        <v>0</v>
      </c>
      <c r="AE203" s="236">
        <v>0</v>
      </c>
      <c r="AF203" s="236">
        <v>0</v>
      </c>
      <c r="AG203" s="236">
        <v>0</v>
      </c>
      <c r="AH203" s="236">
        <v>0</v>
      </c>
      <c r="AI203" s="236">
        <v>0</v>
      </c>
      <c r="AJ203" s="236">
        <v>0</v>
      </c>
      <c r="AK203" s="236">
        <v>0</v>
      </c>
      <c r="AL203" s="236">
        <v>0</v>
      </c>
      <c r="AM203" s="236">
        <v>0</v>
      </c>
      <c r="AN203" s="236">
        <v>0</v>
      </c>
      <c r="AO203" s="236">
        <v>0</v>
      </c>
      <c r="AP203" s="236">
        <v>0</v>
      </c>
    </row>
    <row r="204" spans="1:42" ht="12.75" customHeight="1" x14ac:dyDescent="0.25">
      <c r="C204" s="763"/>
      <c r="D204" s="764"/>
      <c r="E204" s="235" t="s">
        <v>73</v>
      </c>
      <c r="F204" s="236">
        <v>0</v>
      </c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</row>
    <row r="205" spans="1:42" ht="12.75" customHeight="1" x14ac:dyDescent="0.3">
      <c r="A205" s="89"/>
      <c r="C205" s="97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</row>
    <row r="206" spans="1:42" ht="12.75" customHeight="1" x14ac:dyDescent="0.25">
      <c r="C206" s="765" t="s">
        <v>161</v>
      </c>
      <c r="D206" s="764" t="s">
        <v>132</v>
      </c>
      <c r="E206" s="231" t="s">
        <v>70</v>
      </c>
      <c r="F206" s="232">
        <v>0</v>
      </c>
      <c r="G206" s="232">
        <v>0</v>
      </c>
      <c r="H206" s="232">
        <v>0</v>
      </c>
      <c r="I206" s="232">
        <v>0</v>
      </c>
      <c r="J206" s="232">
        <v>0</v>
      </c>
      <c r="K206" s="232">
        <v>0</v>
      </c>
      <c r="L206" s="232">
        <v>0</v>
      </c>
      <c r="M206" s="232">
        <v>0</v>
      </c>
      <c r="N206" s="232">
        <v>0</v>
      </c>
      <c r="O206" s="232">
        <v>0</v>
      </c>
      <c r="P206" s="232">
        <v>0</v>
      </c>
      <c r="Q206" s="232">
        <v>0</v>
      </c>
      <c r="R206" s="232">
        <v>0</v>
      </c>
      <c r="S206" s="232">
        <v>0</v>
      </c>
      <c r="T206" s="232">
        <v>0</v>
      </c>
      <c r="U206" s="232">
        <v>0</v>
      </c>
      <c r="V206" s="232">
        <v>0</v>
      </c>
      <c r="W206" s="232">
        <v>0</v>
      </c>
      <c r="X206" s="232">
        <v>0</v>
      </c>
      <c r="Y206" s="232"/>
      <c r="Z206" s="232">
        <v>0</v>
      </c>
      <c r="AA206" s="232">
        <v>0</v>
      </c>
      <c r="AB206" s="232">
        <v>0</v>
      </c>
      <c r="AC206" s="232">
        <v>0</v>
      </c>
      <c r="AD206" s="232">
        <v>0</v>
      </c>
      <c r="AE206" s="232">
        <v>0</v>
      </c>
      <c r="AF206" s="232">
        <v>0</v>
      </c>
      <c r="AG206" s="232">
        <v>0</v>
      </c>
      <c r="AH206" s="232">
        <v>0</v>
      </c>
      <c r="AI206" s="232">
        <v>0</v>
      </c>
      <c r="AJ206" s="232">
        <v>0</v>
      </c>
      <c r="AK206" s="232">
        <v>0</v>
      </c>
      <c r="AL206" s="232">
        <v>0</v>
      </c>
      <c r="AM206" s="232">
        <v>0</v>
      </c>
      <c r="AN206" s="232">
        <v>0</v>
      </c>
      <c r="AO206" s="232">
        <v>0</v>
      </c>
      <c r="AP206" s="232">
        <v>0</v>
      </c>
    </row>
    <row r="207" spans="1:42" ht="12.75" customHeight="1" x14ac:dyDescent="0.25">
      <c r="C207" s="765"/>
      <c r="D207" s="764"/>
      <c r="E207" s="231" t="s">
        <v>73</v>
      </c>
      <c r="F207" s="232">
        <v>0</v>
      </c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</row>
    <row r="208" spans="1:42" ht="12.75" customHeight="1" x14ac:dyDescent="0.25">
      <c r="C208" s="765"/>
      <c r="E208" s="148" t="s">
        <v>70</v>
      </c>
      <c r="F208" s="149">
        <v>0</v>
      </c>
      <c r="G208" s="149">
        <v>0</v>
      </c>
      <c r="H208" s="149">
        <v>0</v>
      </c>
      <c r="I208" s="149">
        <v>0</v>
      </c>
      <c r="J208" s="149">
        <v>0</v>
      </c>
      <c r="K208" s="149">
        <v>0</v>
      </c>
      <c r="L208" s="149">
        <v>0</v>
      </c>
      <c r="M208" s="149">
        <v>0</v>
      </c>
      <c r="N208" s="149">
        <v>0</v>
      </c>
      <c r="O208" s="149">
        <v>0</v>
      </c>
      <c r="P208" s="149">
        <v>0</v>
      </c>
      <c r="Q208" s="149">
        <v>0</v>
      </c>
      <c r="R208" s="149">
        <v>0</v>
      </c>
      <c r="S208" s="149">
        <v>0</v>
      </c>
      <c r="T208" s="149">
        <v>0</v>
      </c>
      <c r="U208" s="149">
        <v>0</v>
      </c>
      <c r="V208" s="149">
        <v>0</v>
      </c>
      <c r="W208" s="149">
        <v>0</v>
      </c>
      <c r="X208" s="149">
        <v>0</v>
      </c>
      <c r="Y208" s="149">
        <v>0</v>
      </c>
      <c r="Z208" s="149">
        <v>0</v>
      </c>
      <c r="AA208" s="149">
        <v>0</v>
      </c>
    </row>
    <row r="209" spans="1:27" ht="12.75" customHeight="1" x14ac:dyDescent="0.25">
      <c r="C209" s="765"/>
      <c r="D209" s="220" t="s">
        <v>132</v>
      </c>
      <c r="E209" s="148" t="s">
        <v>73</v>
      </c>
      <c r="F209" s="149">
        <v>0</v>
      </c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</row>
    <row r="210" spans="1:27" ht="12.75" customHeight="1" x14ac:dyDescent="0.25">
      <c r="C210" s="390"/>
      <c r="D210" s="220"/>
      <c r="E210" s="89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</row>
    <row r="211" spans="1:27" ht="12.75" customHeight="1" x14ac:dyDescent="0.25">
      <c r="D211" s="460" t="s">
        <v>185</v>
      </c>
      <c r="E211" s="461" t="s">
        <v>70</v>
      </c>
      <c r="F211" s="462">
        <f t="shared" ref="F211:AA211" si="10">F91</f>
        <v>-274771.40999999997</v>
      </c>
      <c r="G211" s="462">
        <f t="shared" si="10"/>
        <v>-24590.67</v>
      </c>
      <c r="H211" s="462">
        <f t="shared" si="10"/>
        <v>-10446.86</v>
      </c>
      <c r="I211" s="462">
        <f t="shared" si="10"/>
        <v>-4562.18</v>
      </c>
      <c r="J211" s="462">
        <f t="shared" si="10"/>
        <v>-54962.58</v>
      </c>
      <c r="K211" s="462">
        <f t="shared" si="10"/>
        <v>-2264.61</v>
      </c>
      <c r="L211" s="462">
        <f t="shared" si="10"/>
        <v>0</v>
      </c>
      <c r="M211" s="462">
        <f t="shared" si="10"/>
        <v>-19865.54</v>
      </c>
      <c r="N211" s="462">
        <f t="shared" si="10"/>
        <v>-24901.75</v>
      </c>
      <c r="O211" s="462">
        <f t="shared" si="10"/>
        <v>-83643.199999999997</v>
      </c>
      <c r="P211" s="462">
        <f t="shared" si="10"/>
        <v>-45838.96</v>
      </c>
      <c r="Q211" s="462">
        <f t="shared" si="10"/>
        <v>-3695.06</v>
      </c>
      <c r="R211" s="462">
        <f t="shared" si="10"/>
        <v>0</v>
      </c>
      <c r="S211" s="462">
        <f t="shared" si="10"/>
        <v>0</v>
      </c>
      <c r="T211" s="462">
        <f t="shared" si="10"/>
        <v>0</v>
      </c>
      <c r="U211" s="462">
        <f t="shared" si="10"/>
        <v>0</v>
      </c>
      <c r="V211" s="462">
        <f t="shared" si="10"/>
        <v>0</v>
      </c>
      <c r="W211" s="462">
        <f t="shared" si="10"/>
        <v>0</v>
      </c>
      <c r="X211" s="462">
        <f t="shared" si="10"/>
        <v>0</v>
      </c>
      <c r="Y211" s="462">
        <f t="shared" si="10"/>
        <v>0</v>
      </c>
      <c r="Z211" s="462">
        <f t="shared" si="10"/>
        <v>0</v>
      </c>
      <c r="AA211" s="462">
        <f t="shared" si="10"/>
        <v>0</v>
      </c>
    </row>
    <row r="212" spans="1:27" ht="12.75" customHeight="1" x14ac:dyDescent="0.25">
      <c r="C212" s="390"/>
      <c r="D212" s="220"/>
      <c r="E212" s="89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</row>
    <row r="213" spans="1:27" s="238" customFormat="1" ht="12.75" customHeight="1" x14ac:dyDescent="0.25">
      <c r="D213" s="239"/>
      <c r="E213" s="240"/>
      <c r="F213" s="240"/>
      <c r="G213" s="240"/>
      <c r="H213" s="240"/>
      <c r="I213" s="240"/>
      <c r="J213" s="240"/>
      <c r="K213" s="240"/>
      <c r="L213" s="240"/>
      <c r="M213" s="240"/>
      <c r="N213" s="240"/>
      <c r="O213" s="240"/>
      <c r="P213" s="240"/>
      <c r="Q213" s="240"/>
    </row>
    <row r="214" spans="1:27" ht="12.75" customHeight="1" x14ac:dyDescent="0.3">
      <c r="A214" s="89"/>
      <c r="B214" s="97" t="s">
        <v>76</v>
      </c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</row>
    <row r="215" spans="1:27" ht="12.75" customHeight="1" x14ac:dyDescent="0.25">
      <c r="F215" s="89" t="s">
        <v>70</v>
      </c>
      <c r="G215" s="89" t="s">
        <v>64</v>
      </c>
      <c r="H215" s="89" t="s">
        <v>65</v>
      </c>
      <c r="I215" s="218" t="s">
        <v>164</v>
      </c>
      <c r="J215" s="89" t="s">
        <v>69</v>
      </c>
      <c r="K215" s="89" t="s">
        <v>68</v>
      </c>
      <c r="L215" s="89" t="s">
        <v>71</v>
      </c>
      <c r="M215" s="89" t="s">
        <v>66</v>
      </c>
      <c r="N215" s="89" t="s">
        <v>63</v>
      </c>
      <c r="O215" s="89" t="s">
        <v>61</v>
      </c>
      <c r="P215" s="89" t="s">
        <v>62</v>
      </c>
      <c r="Q215" s="89" t="s">
        <v>67</v>
      </c>
      <c r="R215" s="89" t="s">
        <v>77</v>
      </c>
      <c r="S215" s="89" t="s">
        <v>80</v>
      </c>
      <c r="T215" s="89" t="s">
        <v>135</v>
      </c>
      <c r="U215" s="89" t="s">
        <v>172</v>
      </c>
      <c r="V215" s="89" t="s">
        <v>221</v>
      </c>
      <c r="W215" s="89" t="s">
        <v>172</v>
      </c>
      <c r="X215" t="s">
        <v>172</v>
      </c>
      <c r="Y215" s="89" t="s">
        <v>337</v>
      </c>
      <c r="Z215" t="s">
        <v>166</v>
      </c>
    </row>
    <row r="216" spans="1:27" ht="12.75" customHeight="1" x14ac:dyDescent="0.25">
      <c r="E216" s="89" t="s">
        <v>72</v>
      </c>
      <c r="F216" s="373">
        <v>-5649.87</v>
      </c>
      <c r="G216" s="90">
        <v>-501.3</v>
      </c>
      <c r="H216" s="90">
        <v>-212.97</v>
      </c>
      <c r="I216" s="90">
        <v>-93</v>
      </c>
      <c r="J216" s="90">
        <v>-1090.28</v>
      </c>
      <c r="K216" s="90">
        <v>-44.92</v>
      </c>
      <c r="L216" s="90">
        <v>0</v>
      </c>
      <c r="M216" s="90">
        <v>-394.01</v>
      </c>
      <c r="N216" s="90">
        <v>-493.87</v>
      </c>
      <c r="O216" s="90">
        <v>-1658.87</v>
      </c>
      <c r="P216" s="90">
        <v>-1087.3599999999999</v>
      </c>
      <c r="Q216" s="90">
        <v>-73.290000000000006</v>
      </c>
      <c r="R216" s="90">
        <v>0</v>
      </c>
      <c r="S216" s="90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7" ht="12.75" customHeight="1" x14ac:dyDescent="0.25">
      <c r="D217" t="s">
        <v>86</v>
      </c>
      <c r="E217" s="89" t="s">
        <v>70</v>
      </c>
      <c r="F217" s="373">
        <v>-5649.87</v>
      </c>
      <c r="G217" s="90">
        <v>-501.3</v>
      </c>
      <c r="H217" s="90">
        <v>-212.97</v>
      </c>
      <c r="I217" s="90">
        <v>-93</v>
      </c>
      <c r="J217" s="90">
        <v>-1090.28</v>
      </c>
      <c r="K217" s="90">
        <v>-44.92</v>
      </c>
      <c r="L217" s="90">
        <v>0</v>
      </c>
      <c r="M217" s="90">
        <v>-394.01</v>
      </c>
      <c r="N217" s="90">
        <v>-493.87</v>
      </c>
      <c r="O217" s="90">
        <v>-1658.87</v>
      </c>
      <c r="P217" s="90">
        <v>-1087.3599999999999</v>
      </c>
      <c r="Q217" s="90">
        <v>-73.290000000000006</v>
      </c>
      <c r="R217" s="90">
        <v>0</v>
      </c>
      <c r="S217" s="90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7" s="94" customFormat="1" ht="12.75" customHeight="1" x14ac:dyDescent="0.25">
      <c r="C218" s="101" t="s">
        <v>119</v>
      </c>
      <c r="D218" s="101" t="s">
        <v>70</v>
      </c>
      <c r="F218" s="93">
        <v>-5649.87</v>
      </c>
      <c r="G218" s="93">
        <v>-501.3</v>
      </c>
      <c r="H218" s="93">
        <v>-212.97</v>
      </c>
      <c r="I218" s="93">
        <v>-93</v>
      </c>
      <c r="J218" s="93">
        <v>-1090.28</v>
      </c>
      <c r="K218" s="93">
        <v>-44.92</v>
      </c>
      <c r="L218" s="93">
        <v>0</v>
      </c>
      <c r="M218" s="93">
        <v>-394.01</v>
      </c>
      <c r="N218" s="93">
        <v>-493.87</v>
      </c>
      <c r="O218" s="93">
        <v>-1658.87</v>
      </c>
      <c r="P218" s="93">
        <v>-1087.3599999999999</v>
      </c>
      <c r="Q218" s="93">
        <v>-73.290000000000006</v>
      </c>
      <c r="R218" s="93">
        <v>0</v>
      </c>
      <c r="S218" s="93">
        <v>0</v>
      </c>
      <c r="T218" s="94">
        <v>0</v>
      </c>
      <c r="U218" s="94">
        <v>0</v>
      </c>
      <c r="V218" s="94">
        <v>0</v>
      </c>
      <c r="W218" s="94">
        <v>0</v>
      </c>
      <c r="X218" s="94">
        <v>0</v>
      </c>
      <c r="Y218" s="94">
        <v>0</v>
      </c>
      <c r="Z218" s="94">
        <v>0</v>
      </c>
    </row>
    <row r="219" spans="1:27" ht="12.75" customHeight="1" x14ac:dyDescent="0.25">
      <c r="B219" t="s">
        <v>112</v>
      </c>
      <c r="C219" t="s">
        <v>70</v>
      </c>
      <c r="E219" s="89"/>
      <c r="F219" s="373">
        <v>-5649.87</v>
      </c>
      <c r="G219" s="90">
        <v>-501.3</v>
      </c>
      <c r="H219" s="90">
        <v>-212.97</v>
      </c>
      <c r="I219" s="90">
        <v>-93</v>
      </c>
      <c r="J219" s="90">
        <v>-1090.28</v>
      </c>
      <c r="K219" s="90">
        <v>-44.92</v>
      </c>
      <c r="L219" s="90">
        <v>0</v>
      </c>
      <c r="M219" s="90">
        <v>-394.01</v>
      </c>
      <c r="N219" s="90">
        <v>-493.87</v>
      </c>
      <c r="O219" s="90">
        <v>-1658.87</v>
      </c>
      <c r="P219" s="90">
        <v>-1087.3599999999999</v>
      </c>
      <c r="Q219" s="90">
        <v>-73.290000000000006</v>
      </c>
      <c r="R219" s="90">
        <v>0</v>
      </c>
      <c r="S219" s="90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7" s="460" customFormat="1" ht="12.75" customHeight="1" x14ac:dyDescent="0.25">
      <c r="A220" s="460" t="s">
        <v>185</v>
      </c>
      <c r="B220" s="460" t="s">
        <v>70</v>
      </c>
      <c r="F220" s="460">
        <v>-5649.87</v>
      </c>
      <c r="G220" s="460">
        <v>-501.3</v>
      </c>
      <c r="H220" s="460">
        <v>-212.97</v>
      </c>
      <c r="I220" s="460">
        <v>-93</v>
      </c>
      <c r="J220" s="460">
        <v>-1090.28</v>
      </c>
      <c r="K220" s="460">
        <v>-44.92</v>
      </c>
      <c r="L220" s="460">
        <v>0</v>
      </c>
      <c r="M220" s="460">
        <v>-394.01</v>
      </c>
      <c r="N220" s="460">
        <v>-493.87</v>
      </c>
      <c r="O220" s="460">
        <v>-1658.87</v>
      </c>
      <c r="P220" s="460">
        <v>-1087.3599999999999</v>
      </c>
      <c r="Q220" s="460">
        <v>-73.290000000000006</v>
      </c>
      <c r="R220" s="460">
        <v>0</v>
      </c>
      <c r="S220" s="460">
        <v>0</v>
      </c>
      <c r="T220" s="460">
        <v>0</v>
      </c>
      <c r="U220" s="460">
        <v>0</v>
      </c>
      <c r="V220" s="460">
        <v>0</v>
      </c>
      <c r="W220" s="460">
        <v>0</v>
      </c>
      <c r="X220" s="460">
        <v>0</v>
      </c>
      <c r="Y220" s="460">
        <v>0</v>
      </c>
      <c r="Z220" s="460">
        <v>0</v>
      </c>
    </row>
    <row r="221" spans="1:27" ht="12.75" customHeight="1" x14ac:dyDescent="0.25">
      <c r="E221" s="89" t="s">
        <v>72</v>
      </c>
      <c r="F221" s="373">
        <v>158744.09</v>
      </c>
      <c r="G221" s="90">
        <v>7350.43</v>
      </c>
      <c r="H221" s="90">
        <v>4138.9799999999996</v>
      </c>
      <c r="I221" s="90">
        <v>2178.25</v>
      </c>
      <c r="J221" s="90">
        <v>42138.3</v>
      </c>
      <c r="K221" s="90">
        <v>1122.04</v>
      </c>
      <c r="L221" s="90">
        <v>0</v>
      </c>
      <c r="M221" s="90">
        <v>9842.58</v>
      </c>
      <c r="N221" s="90">
        <v>12754.88</v>
      </c>
      <c r="O221" s="90">
        <v>60158</v>
      </c>
      <c r="P221" s="90">
        <v>17234.75</v>
      </c>
      <c r="Q221" s="90">
        <v>1830.74</v>
      </c>
      <c r="R221" s="90">
        <v>-4.8600000000000003</v>
      </c>
      <c r="S221" s="90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7" ht="12.75" customHeight="1" x14ac:dyDescent="0.25">
      <c r="E222" s="89" t="s">
        <v>81</v>
      </c>
      <c r="F222" s="373">
        <v>1008.23</v>
      </c>
      <c r="G222" s="90">
        <v>48.01</v>
      </c>
      <c r="H222" s="90">
        <v>27.09</v>
      </c>
      <c r="I222" s="90">
        <v>14.27</v>
      </c>
      <c r="J222" s="90">
        <v>265.52</v>
      </c>
      <c r="K222" s="90">
        <v>6.39</v>
      </c>
      <c r="L222" s="90">
        <v>0</v>
      </c>
      <c r="M222" s="90">
        <v>56.07</v>
      </c>
      <c r="N222" s="90">
        <v>82</v>
      </c>
      <c r="O222" s="90">
        <v>386.68</v>
      </c>
      <c r="P222" s="90">
        <v>111.89</v>
      </c>
      <c r="Q222" s="90">
        <v>10.41</v>
      </c>
      <c r="R222" s="90">
        <v>-0.1</v>
      </c>
      <c r="S222" s="90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7" ht="12.75" customHeight="1" x14ac:dyDescent="0.25">
      <c r="D223" t="s">
        <v>156</v>
      </c>
      <c r="E223" s="89" t="s">
        <v>70</v>
      </c>
      <c r="F223" s="373">
        <v>159752.32000000001</v>
      </c>
      <c r="G223" s="90">
        <v>7398.44</v>
      </c>
      <c r="H223" s="90">
        <v>4166.07</v>
      </c>
      <c r="I223" s="90">
        <v>2192.52</v>
      </c>
      <c r="J223" s="90">
        <v>42403.82</v>
      </c>
      <c r="K223" s="90">
        <v>1128.43</v>
      </c>
      <c r="L223" s="90">
        <v>0</v>
      </c>
      <c r="M223" s="90">
        <v>9898.65</v>
      </c>
      <c r="N223" s="90">
        <v>12836.88</v>
      </c>
      <c r="O223" s="90">
        <v>60544.68</v>
      </c>
      <c r="P223" s="90">
        <v>17346.64</v>
      </c>
      <c r="Q223" s="90">
        <v>1841.15</v>
      </c>
      <c r="R223" s="90">
        <v>-4.96</v>
      </c>
      <c r="S223" s="90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7" s="288" customFormat="1" ht="12.75" customHeight="1" x14ac:dyDescent="0.25">
      <c r="C224" s="288" t="s">
        <v>155</v>
      </c>
      <c r="D224" s="288" t="s">
        <v>70</v>
      </c>
      <c r="E224" s="229"/>
      <c r="F224" s="229">
        <v>159752.32000000001</v>
      </c>
      <c r="G224" s="230">
        <v>7398.44</v>
      </c>
      <c r="H224" s="230">
        <v>4166.07</v>
      </c>
      <c r="I224" s="230">
        <v>2192.52</v>
      </c>
      <c r="J224" s="230">
        <v>42403.82</v>
      </c>
      <c r="K224" s="230">
        <v>1128.43</v>
      </c>
      <c r="L224" s="230">
        <v>0</v>
      </c>
      <c r="M224" s="230">
        <v>9898.65</v>
      </c>
      <c r="N224" s="230">
        <v>12836.88</v>
      </c>
      <c r="O224" s="230">
        <v>60544.68</v>
      </c>
      <c r="P224" s="230">
        <v>17346.64</v>
      </c>
      <c r="Q224" s="230">
        <v>1841.15</v>
      </c>
      <c r="R224" s="230">
        <v>-4.96</v>
      </c>
      <c r="S224" s="230">
        <v>0</v>
      </c>
      <c r="T224" s="230">
        <v>0</v>
      </c>
      <c r="U224" s="230">
        <v>0</v>
      </c>
      <c r="V224" s="230">
        <v>0</v>
      </c>
      <c r="W224" s="230">
        <v>0</v>
      </c>
      <c r="X224" s="230">
        <v>0</v>
      </c>
      <c r="Y224" s="230">
        <v>0</v>
      </c>
      <c r="Z224" s="230">
        <v>0</v>
      </c>
    </row>
    <row r="225" spans="2:26" ht="12.75" customHeight="1" x14ac:dyDescent="0.25">
      <c r="E225" s="89" t="s">
        <v>72</v>
      </c>
      <c r="F225" s="373">
        <v>38991.730000000003</v>
      </c>
      <c r="G225" s="90">
        <v>1782.21</v>
      </c>
      <c r="H225" s="90">
        <v>995.6</v>
      </c>
      <c r="I225" s="90">
        <v>528.15</v>
      </c>
      <c r="J225" s="90">
        <v>10477.14</v>
      </c>
      <c r="K225" s="90">
        <v>248.4</v>
      </c>
      <c r="L225" s="90">
        <v>0</v>
      </c>
      <c r="M225" s="90">
        <v>2178.96</v>
      </c>
      <c r="N225" s="90">
        <v>3183.54</v>
      </c>
      <c r="O225" s="90">
        <v>14966.57</v>
      </c>
      <c r="P225" s="90">
        <v>4225.8</v>
      </c>
      <c r="Q225" s="90">
        <v>405.29</v>
      </c>
      <c r="R225" s="90">
        <v>7.0000000000000007E-2</v>
      </c>
      <c r="S225" s="90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2:26" ht="12.75" customHeight="1" x14ac:dyDescent="0.25">
      <c r="E226" s="89" t="s">
        <v>81</v>
      </c>
      <c r="F226" s="373">
        <v>37.020000000000003</v>
      </c>
      <c r="G226" s="90">
        <v>1.77</v>
      </c>
      <c r="H226" s="90">
        <v>0.97</v>
      </c>
      <c r="I226" s="90">
        <v>0.53</v>
      </c>
      <c r="J226" s="90">
        <v>9.61</v>
      </c>
      <c r="K226" s="90">
        <v>0.24</v>
      </c>
      <c r="L226" s="90">
        <v>0</v>
      </c>
      <c r="M226" s="90">
        <v>2.09</v>
      </c>
      <c r="N226" s="90">
        <v>3.05</v>
      </c>
      <c r="O226" s="90">
        <v>14.21</v>
      </c>
      <c r="P226" s="90">
        <v>4.16</v>
      </c>
      <c r="Q226" s="90">
        <v>0.39</v>
      </c>
      <c r="R226" s="90">
        <v>0</v>
      </c>
      <c r="S226" s="90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2:26" ht="12.75" customHeight="1" x14ac:dyDescent="0.25">
      <c r="D227" t="s">
        <v>82</v>
      </c>
      <c r="E227" s="89" t="s">
        <v>70</v>
      </c>
      <c r="F227" s="373">
        <v>39028.75</v>
      </c>
      <c r="G227" s="90">
        <v>1783.98</v>
      </c>
      <c r="H227" s="90">
        <v>996.57</v>
      </c>
      <c r="I227" s="90">
        <v>528.67999999999995</v>
      </c>
      <c r="J227" s="90">
        <v>10486.75</v>
      </c>
      <c r="K227" s="90">
        <v>248.64</v>
      </c>
      <c r="L227" s="90">
        <v>0</v>
      </c>
      <c r="M227" s="90">
        <v>2181.0500000000002</v>
      </c>
      <c r="N227" s="90">
        <v>3186.59</v>
      </c>
      <c r="O227" s="90">
        <v>14980.78</v>
      </c>
      <c r="P227" s="90">
        <v>4229.96</v>
      </c>
      <c r="Q227" s="90">
        <v>405.68</v>
      </c>
      <c r="R227" s="90">
        <v>7.0000000000000007E-2</v>
      </c>
      <c r="S227" s="90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2:26" s="94" customFormat="1" ht="12.75" customHeight="1" x14ac:dyDescent="0.25">
      <c r="C228" s="101" t="s">
        <v>119</v>
      </c>
      <c r="D228" s="101" t="s">
        <v>70</v>
      </c>
      <c r="F228" s="93">
        <v>39028.75</v>
      </c>
      <c r="G228" s="93">
        <v>1783.98</v>
      </c>
      <c r="H228" s="93">
        <v>996.57</v>
      </c>
      <c r="I228" s="93">
        <v>528.67999999999995</v>
      </c>
      <c r="J228" s="93">
        <v>10486.75</v>
      </c>
      <c r="K228" s="93">
        <v>248.64</v>
      </c>
      <c r="L228" s="93">
        <v>0</v>
      </c>
      <c r="M228" s="93">
        <v>2181.0500000000002</v>
      </c>
      <c r="N228" s="93">
        <v>3186.59</v>
      </c>
      <c r="O228" s="93">
        <v>14980.78</v>
      </c>
      <c r="P228" s="93">
        <v>4229.96</v>
      </c>
      <c r="Q228" s="93">
        <v>405.68</v>
      </c>
      <c r="R228" s="93">
        <v>7.0000000000000007E-2</v>
      </c>
      <c r="S228" s="93">
        <v>0</v>
      </c>
      <c r="T228" s="94">
        <v>0</v>
      </c>
      <c r="U228" s="94">
        <v>0</v>
      </c>
      <c r="V228" s="94">
        <v>0</v>
      </c>
      <c r="W228" s="94">
        <v>0</v>
      </c>
      <c r="X228" s="94">
        <v>0</v>
      </c>
      <c r="Y228" s="94">
        <v>0</v>
      </c>
      <c r="Z228" s="94">
        <v>0</v>
      </c>
    </row>
    <row r="229" spans="2:26" s="380" customFormat="1" ht="12.75" customHeight="1" x14ac:dyDescent="0.25">
      <c r="B229" s="380" t="s">
        <v>122</v>
      </c>
      <c r="C229" s="380" t="s">
        <v>70</v>
      </c>
      <c r="E229" s="378"/>
      <c r="F229" s="706">
        <v>198781.07</v>
      </c>
      <c r="G229" s="379">
        <v>9182.42</v>
      </c>
      <c r="H229" s="379">
        <v>5162.6400000000003</v>
      </c>
      <c r="I229" s="379">
        <v>2721.2</v>
      </c>
      <c r="J229" s="379">
        <v>52890.57</v>
      </c>
      <c r="K229" s="379">
        <v>1377.07</v>
      </c>
      <c r="L229" s="379">
        <v>0</v>
      </c>
      <c r="M229" s="379">
        <v>12079.7</v>
      </c>
      <c r="N229" s="379">
        <v>16023.47</v>
      </c>
      <c r="O229" s="379">
        <v>75525.460000000006</v>
      </c>
      <c r="P229" s="379">
        <v>21576.6</v>
      </c>
      <c r="Q229" s="379">
        <v>2246.83</v>
      </c>
      <c r="R229" s="379">
        <v>-4.8899999999999997</v>
      </c>
      <c r="S229" s="379">
        <v>0</v>
      </c>
      <c r="T229" s="380">
        <v>0</v>
      </c>
      <c r="U229" s="380">
        <v>0</v>
      </c>
      <c r="V229" s="380">
        <v>0</v>
      </c>
      <c r="W229" s="380">
        <v>0</v>
      </c>
      <c r="X229" s="380">
        <v>0</v>
      </c>
      <c r="Y229" s="380">
        <v>0</v>
      </c>
      <c r="Z229" s="380">
        <v>0</v>
      </c>
    </row>
    <row r="230" spans="2:26" ht="12.75" customHeight="1" x14ac:dyDescent="0.25">
      <c r="E230" s="89" t="s">
        <v>72</v>
      </c>
      <c r="F230" s="373">
        <v>11835064483.030001</v>
      </c>
      <c r="G230" s="90">
        <v>627518039.76999998</v>
      </c>
      <c r="H230" s="90">
        <v>351092915.89999998</v>
      </c>
      <c r="I230" s="90">
        <v>185902036.09</v>
      </c>
      <c r="J230" s="90">
        <v>3056314382.5300002</v>
      </c>
      <c r="K230" s="90">
        <v>101522025.5</v>
      </c>
      <c r="L230" s="90">
        <v>13385131.07</v>
      </c>
      <c r="M230" s="90">
        <v>890613734.42999995</v>
      </c>
      <c r="N230" s="90">
        <v>868458415.80999994</v>
      </c>
      <c r="O230" s="90">
        <v>4088274871.5700002</v>
      </c>
      <c r="P230" s="90">
        <v>1486225077.9000001</v>
      </c>
      <c r="Q230" s="90">
        <v>165708556.53999999</v>
      </c>
      <c r="R230" s="90">
        <v>49295.92</v>
      </c>
      <c r="S230" s="9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2:26" ht="12.75" customHeight="1" x14ac:dyDescent="0.25">
      <c r="E231" s="89" t="s">
        <v>81</v>
      </c>
      <c r="F231" s="373">
        <v>8701223.2799999993</v>
      </c>
      <c r="G231" s="90">
        <v>735719.78</v>
      </c>
      <c r="H231" s="90">
        <v>390778.63</v>
      </c>
      <c r="I231" s="90">
        <v>207759.12</v>
      </c>
      <c r="J231" s="90">
        <v>1839333.1</v>
      </c>
      <c r="K231" s="90">
        <v>66341.350000000006</v>
      </c>
      <c r="L231" s="90">
        <v>15322.17</v>
      </c>
      <c r="M231" s="90">
        <v>580980.94999999995</v>
      </c>
      <c r="N231" s="90">
        <v>544559.27</v>
      </c>
      <c r="O231" s="90">
        <v>2489978.6</v>
      </c>
      <c r="P231" s="90">
        <v>1722130.68</v>
      </c>
      <c r="Q231" s="90">
        <v>108313.11</v>
      </c>
      <c r="R231" s="90">
        <v>5.45</v>
      </c>
      <c r="S231" s="90">
        <v>0</v>
      </c>
      <c r="T231">
        <v>1.07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2:26" ht="12.75" customHeight="1" x14ac:dyDescent="0.25">
      <c r="D232" t="s">
        <v>156</v>
      </c>
      <c r="E232" s="89" t="s">
        <v>70</v>
      </c>
      <c r="F232" s="90">
        <v>11843765706.309999</v>
      </c>
      <c r="G232" s="90">
        <v>628253759.54999995</v>
      </c>
      <c r="H232" s="90">
        <v>351483694.52999997</v>
      </c>
      <c r="I232" s="90">
        <v>186109795.21000001</v>
      </c>
      <c r="J232" s="90">
        <v>3058153715.6300001</v>
      </c>
      <c r="K232" s="90">
        <v>101588366.84999999</v>
      </c>
      <c r="L232" s="90">
        <v>13400453.24</v>
      </c>
      <c r="M232" s="90">
        <v>891194715.38</v>
      </c>
      <c r="N232" s="90">
        <v>869002975.08000004</v>
      </c>
      <c r="O232" s="90">
        <v>4090764850.1700001</v>
      </c>
      <c r="P232" s="90">
        <v>1487947208.5799999</v>
      </c>
      <c r="Q232" s="90">
        <v>165816869.65000001</v>
      </c>
      <c r="R232" s="90">
        <v>49301.37</v>
      </c>
      <c r="S232" s="90">
        <v>0</v>
      </c>
      <c r="T232">
        <v>1.07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2:26" s="288" customFormat="1" ht="12.75" customHeight="1" x14ac:dyDescent="0.25">
      <c r="C233" s="288" t="s">
        <v>155</v>
      </c>
      <c r="D233" s="288" t="s">
        <v>70</v>
      </c>
      <c r="E233" s="229"/>
      <c r="F233" s="229">
        <v>11843765706.309999</v>
      </c>
      <c r="G233" s="230">
        <v>628253759.54999995</v>
      </c>
      <c r="H233" s="230">
        <v>351483694.52999997</v>
      </c>
      <c r="I233" s="230">
        <v>186109795.21000001</v>
      </c>
      <c r="J233" s="230">
        <v>3058153715.6300001</v>
      </c>
      <c r="K233" s="230">
        <v>101588366.84999999</v>
      </c>
      <c r="L233" s="230">
        <v>13400453.24</v>
      </c>
      <c r="M233" s="230">
        <v>891194715.38</v>
      </c>
      <c r="N233" s="230">
        <v>869002975.08000004</v>
      </c>
      <c r="O233" s="230">
        <v>4090764850.1700001</v>
      </c>
      <c r="P233" s="230">
        <v>1487947208.5799999</v>
      </c>
      <c r="Q233" s="230">
        <v>165816869.65000001</v>
      </c>
      <c r="R233" s="230">
        <v>49301.37</v>
      </c>
      <c r="S233" s="230">
        <v>0</v>
      </c>
      <c r="T233" s="230">
        <v>1.07</v>
      </c>
      <c r="U233" s="230">
        <v>0</v>
      </c>
      <c r="V233" s="230">
        <v>0</v>
      </c>
      <c r="W233" s="230">
        <v>0</v>
      </c>
      <c r="X233" s="230">
        <v>0</v>
      </c>
      <c r="Y233" s="230">
        <v>0</v>
      </c>
      <c r="Z233" s="230">
        <v>0</v>
      </c>
    </row>
    <row r="234" spans="2:26" ht="12.75" customHeight="1" x14ac:dyDescent="0.25">
      <c r="E234" s="89" t="s">
        <v>72</v>
      </c>
      <c r="F234" s="90">
        <v>34127631.619999997</v>
      </c>
      <c r="G234" s="90">
        <v>3254205.78</v>
      </c>
      <c r="H234" s="90">
        <v>1807794.87</v>
      </c>
      <c r="I234" s="90">
        <v>962844.68</v>
      </c>
      <c r="J234" s="90">
        <v>6128041.9299999997</v>
      </c>
      <c r="K234" s="90">
        <v>182259.9</v>
      </c>
      <c r="L234" s="90">
        <v>0</v>
      </c>
      <c r="M234" s="90">
        <v>1592198.39</v>
      </c>
      <c r="N234" s="90">
        <v>2137952.35</v>
      </c>
      <c r="O234" s="90">
        <v>10075567.779999999</v>
      </c>
      <c r="P234" s="90">
        <v>7689521.1699999999</v>
      </c>
      <c r="Q234" s="90">
        <v>297981.03000000003</v>
      </c>
      <c r="R234" s="90">
        <v>-736.26</v>
      </c>
      <c r="S234" s="90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2:26" ht="12.75" customHeight="1" x14ac:dyDescent="0.25">
      <c r="E235" s="89" t="s">
        <v>81</v>
      </c>
      <c r="F235" s="90">
        <v>353691.22</v>
      </c>
      <c r="G235" s="90">
        <v>28602.35</v>
      </c>
      <c r="H235" s="90">
        <v>15286.72</v>
      </c>
      <c r="I235" s="90">
        <v>8306.2099999999991</v>
      </c>
      <c r="J235" s="90">
        <v>73327.27</v>
      </c>
      <c r="K235" s="90">
        <v>2386.37</v>
      </c>
      <c r="L235" s="90">
        <v>0</v>
      </c>
      <c r="M235" s="90">
        <v>20933.07</v>
      </c>
      <c r="N235" s="90">
        <v>23733.68</v>
      </c>
      <c r="O235" s="90">
        <v>110014.18</v>
      </c>
      <c r="P235" s="90">
        <v>67199.649999999994</v>
      </c>
      <c r="Q235" s="90">
        <v>3901.79</v>
      </c>
      <c r="R235" s="90">
        <v>-0.13</v>
      </c>
      <c r="S235" s="90">
        <v>0</v>
      </c>
      <c r="T235">
        <v>0.06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2:26" ht="12.75" customHeight="1" x14ac:dyDescent="0.25">
      <c r="D236" s="89" t="s">
        <v>82</v>
      </c>
      <c r="E236" s="89" t="s">
        <v>70</v>
      </c>
      <c r="F236" s="90">
        <v>34481322.840000004</v>
      </c>
      <c r="G236" s="90">
        <v>3282808.13</v>
      </c>
      <c r="H236" s="90">
        <v>1823081.59</v>
      </c>
      <c r="I236" s="90">
        <v>971150.89</v>
      </c>
      <c r="J236" s="90">
        <v>6201369.2000000002</v>
      </c>
      <c r="K236" s="90">
        <v>184646.27</v>
      </c>
      <c r="L236" s="90">
        <v>0</v>
      </c>
      <c r="M236" s="90">
        <v>1613131.46</v>
      </c>
      <c r="N236" s="90">
        <v>2161686.0299999998</v>
      </c>
      <c r="O236" s="90">
        <v>10185581.960000001</v>
      </c>
      <c r="P236" s="90">
        <v>7756720.8200000003</v>
      </c>
      <c r="Q236" s="90">
        <v>301882.82</v>
      </c>
      <c r="R236" s="90">
        <v>-736.39</v>
      </c>
      <c r="S236" s="90">
        <v>0</v>
      </c>
      <c r="T236">
        <v>0.06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2:26" ht="12.75" customHeight="1" x14ac:dyDescent="0.25">
      <c r="D237" s="89"/>
      <c r="E237" s="89" t="s">
        <v>72</v>
      </c>
      <c r="F237" s="90">
        <v>45963906.219999999</v>
      </c>
      <c r="G237" s="90">
        <v>5607394.8099999996</v>
      </c>
      <c r="H237" s="90">
        <v>3065831.07</v>
      </c>
      <c r="I237" s="90">
        <v>1612472.24</v>
      </c>
      <c r="J237" s="90">
        <v>3522248.26</v>
      </c>
      <c r="K237" s="90">
        <v>159210.66</v>
      </c>
      <c r="L237" s="90">
        <v>9510335.3800000008</v>
      </c>
      <c r="M237" s="90">
        <v>1399529.63</v>
      </c>
      <c r="N237" s="90">
        <v>1402817.72</v>
      </c>
      <c r="O237" s="90">
        <v>6177060.7000000002</v>
      </c>
      <c r="P237" s="90">
        <v>13246437.77</v>
      </c>
      <c r="Q237" s="90">
        <v>260793.84</v>
      </c>
      <c r="R237" s="90">
        <v>-225.86</v>
      </c>
      <c r="S237" s="90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2:26" ht="12.75" customHeight="1" x14ac:dyDescent="0.25">
      <c r="E238" s="89" t="s">
        <v>81</v>
      </c>
      <c r="F238" s="90">
        <v>1182838.74</v>
      </c>
      <c r="G238" s="90">
        <v>125241.89</v>
      </c>
      <c r="H238" s="90">
        <v>62311.77</v>
      </c>
      <c r="I238" s="90">
        <v>29656.09</v>
      </c>
      <c r="J238" s="90">
        <v>192772.38</v>
      </c>
      <c r="K238" s="90">
        <v>9689.99</v>
      </c>
      <c r="L238" s="90">
        <v>12605.51</v>
      </c>
      <c r="M238" s="90">
        <v>84893.82</v>
      </c>
      <c r="N238" s="90">
        <v>77010.48</v>
      </c>
      <c r="O238" s="90">
        <v>279206.19</v>
      </c>
      <c r="P238" s="90">
        <v>293680.78999999998</v>
      </c>
      <c r="Q238" s="90">
        <v>15805.74</v>
      </c>
      <c r="R238" s="90">
        <v>-29.89</v>
      </c>
      <c r="S238" s="90">
        <v>0</v>
      </c>
      <c r="T238">
        <v>0.36</v>
      </c>
      <c r="U238">
        <v>-6.28</v>
      </c>
      <c r="V238">
        <v>0</v>
      </c>
      <c r="W238">
        <v>0</v>
      </c>
      <c r="X238">
        <v>0</v>
      </c>
      <c r="Y238">
        <v>-0.1</v>
      </c>
      <c r="Z238">
        <v>0</v>
      </c>
    </row>
    <row r="239" spans="2:26" ht="12.75" customHeight="1" x14ac:dyDescent="0.25">
      <c r="D239" s="89" t="s">
        <v>86</v>
      </c>
      <c r="E239" s="89" t="s">
        <v>70</v>
      </c>
      <c r="F239" s="90">
        <v>47146744.960000001</v>
      </c>
      <c r="G239" s="90">
        <v>5732636.7000000002</v>
      </c>
      <c r="H239" s="90">
        <v>3128142.84</v>
      </c>
      <c r="I239" s="90">
        <v>1642128.33</v>
      </c>
      <c r="J239" s="90">
        <v>3715020.64</v>
      </c>
      <c r="K239" s="90">
        <v>168900.65</v>
      </c>
      <c r="L239" s="90">
        <v>9522940.8900000006</v>
      </c>
      <c r="M239" s="90">
        <v>1484423.45</v>
      </c>
      <c r="N239" s="90">
        <v>1479828.2</v>
      </c>
      <c r="O239" s="90">
        <v>6456266.8899999997</v>
      </c>
      <c r="P239" s="90">
        <v>13540118.560000001</v>
      </c>
      <c r="Q239" s="90">
        <v>276599.58</v>
      </c>
      <c r="R239" s="90">
        <v>-255.75</v>
      </c>
      <c r="S239" s="90">
        <v>0</v>
      </c>
      <c r="T239">
        <v>0.36</v>
      </c>
      <c r="U239">
        <v>-6.28</v>
      </c>
      <c r="V239">
        <v>0</v>
      </c>
      <c r="W239">
        <v>0</v>
      </c>
      <c r="X239">
        <v>0</v>
      </c>
      <c r="Y239">
        <v>-0.1</v>
      </c>
      <c r="Z239">
        <v>0</v>
      </c>
    </row>
    <row r="240" spans="2:26" ht="12.75" customHeight="1" x14ac:dyDescent="0.25">
      <c r="E240" s="89" t="s">
        <v>72</v>
      </c>
      <c r="F240" s="90">
        <v>362548526.37</v>
      </c>
      <c r="G240" s="90">
        <v>71077084.209999993</v>
      </c>
      <c r="H240" s="90">
        <v>39712681.390000001</v>
      </c>
      <c r="I240" s="90">
        <v>21005763.530000001</v>
      </c>
      <c r="J240" s="90">
        <v>17815075.079999998</v>
      </c>
      <c r="K240" s="90">
        <v>507896.69</v>
      </c>
      <c r="L240" s="90">
        <v>2552235</v>
      </c>
      <c r="M240" s="90">
        <v>4433308.87</v>
      </c>
      <c r="N240" s="90">
        <v>6378935.0800000001</v>
      </c>
      <c r="O240" s="90">
        <v>30203107.719999999</v>
      </c>
      <c r="P240" s="90">
        <v>168034311.06999999</v>
      </c>
      <c r="Q240" s="90">
        <v>829544.89</v>
      </c>
      <c r="R240" s="90">
        <v>-1417.16</v>
      </c>
      <c r="S240" s="9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 ht="12.75" customHeight="1" x14ac:dyDescent="0.25">
      <c r="E241" s="89" t="s">
        <v>81</v>
      </c>
      <c r="F241" s="90">
        <v>5304682.71</v>
      </c>
      <c r="G241" s="90">
        <v>1134310.8799999999</v>
      </c>
      <c r="H241" s="90">
        <v>650294.14</v>
      </c>
      <c r="I241" s="90">
        <v>343610.42</v>
      </c>
      <c r="J241" s="90">
        <v>154450.98000000001</v>
      </c>
      <c r="K241" s="90">
        <v>4044.28</v>
      </c>
      <c r="L241" s="90">
        <v>41612.93</v>
      </c>
      <c r="M241" s="90">
        <v>35447.93</v>
      </c>
      <c r="N241" s="90">
        <v>46872.68</v>
      </c>
      <c r="O241" s="90">
        <v>220190.73</v>
      </c>
      <c r="P241" s="90">
        <v>2667255.52</v>
      </c>
      <c r="Q241" s="90">
        <v>6595.93</v>
      </c>
      <c r="R241" s="90">
        <v>-7.79</v>
      </c>
      <c r="S241" s="90">
        <v>4.08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  <row r="242" spans="1:26" ht="12.75" customHeight="1" x14ac:dyDescent="0.25">
      <c r="D242" s="89" t="s">
        <v>87</v>
      </c>
      <c r="E242" s="89" t="s">
        <v>70</v>
      </c>
      <c r="F242" s="90">
        <v>367853209.07999998</v>
      </c>
      <c r="G242" s="90">
        <v>72211395.090000004</v>
      </c>
      <c r="H242" s="90">
        <v>40362975.530000001</v>
      </c>
      <c r="I242" s="90">
        <v>21349373.949999999</v>
      </c>
      <c r="J242" s="90">
        <v>17969526.059999999</v>
      </c>
      <c r="K242" s="90">
        <v>511940.97</v>
      </c>
      <c r="L242" s="90">
        <v>2593847.9300000002</v>
      </c>
      <c r="M242" s="90">
        <v>4468756.8</v>
      </c>
      <c r="N242" s="90">
        <v>6425807.7599999998</v>
      </c>
      <c r="O242" s="90">
        <v>30423298.449999999</v>
      </c>
      <c r="P242" s="90">
        <v>170701566.59</v>
      </c>
      <c r="Q242" s="90">
        <v>836140.82</v>
      </c>
      <c r="R242" s="90">
        <v>-1424.95</v>
      </c>
      <c r="S242" s="90">
        <v>4.08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 spans="1:26" s="94" customFormat="1" ht="12.75" customHeight="1" x14ac:dyDescent="0.25">
      <c r="C243" s="101" t="s">
        <v>119</v>
      </c>
      <c r="D243" s="101" t="s">
        <v>70</v>
      </c>
      <c r="F243" s="93">
        <v>449481276.88</v>
      </c>
      <c r="G243" s="93">
        <v>81226839.920000002</v>
      </c>
      <c r="H243" s="93">
        <v>45314199.960000001</v>
      </c>
      <c r="I243" s="93">
        <v>23962653.170000002</v>
      </c>
      <c r="J243" s="93">
        <v>27885915.899999999</v>
      </c>
      <c r="K243" s="93">
        <v>865487.89</v>
      </c>
      <c r="L243" s="93">
        <v>12116788.82</v>
      </c>
      <c r="M243" s="93">
        <v>7566311.71</v>
      </c>
      <c r="N243" s="93">
        <v>10067321.99</v>
      </c>
      <c r="O243" s="93">
        <v>47065147.299999997</v>
      </c>
      <c r="P243" s="93">
        <v>191998405.97</v>
      </c>
      <c r="Q243" s="93">
        <v>1414623.22</v>
      </c>
      <c r="R243" s="93">
        <v>-2417.09</v>
      </c>
      <c r="S243" s="93">
        <v>4.08</v>
      </c>
      <c r="T243" s="94">
        <v>0.42</v>
      </c>
      <c r="U243" s="94">
        <v>-6.28</v>
      </c>
      <c r="V243" s="94">
        <v>0</v>
      </c>
      <c r="W243" s="94">
        <v>0</v>
      </c>
      <c r="X243" s="94">
        <v>0</v>
      </c>
      <c r="Y243" s="94">
        <v>-0.1</v>
      </c>
      <c r="Z243" s="94">
        <v>0</v>
      </c>
    </row>
    <row r="244" spans="1:26" s="226" customFormat="1" ht="12.75" customHeight="1" x14ac:dyDescent="0.25">
      <c r="B244" s="98" t="s">
        <v>112</v>
      </c>
      <c r="C244" s="98" t="s">
        <v>70</v>
      </c>
      <c r="F244" s="100">
        <v>12293246983.190001</v>
      </c>
      <c r="G244" s="100">
        <v>709480599.47000003</v>
      </c>
      <c r="H244" s="100">
        <v>396797894.49000001</v>
      </c>
      <c r="I244" s="100">
        <v>210072448.38</v>
      </c>
      <c r="J244" s="100">
        <v>3086039631.5300002</v>
      </c>
      <c r="K244" s="100">
        <v>102453854.73999999</v>
      </c>
      <c r="L244" s="100">
        <v>25517242.059999999</v>
      </c>
      <c r="M244" s="100">
        <v>898761027.09000003</v>
      </c>
      <c r="N244" s="100">
        <v>879070297.07000005</v>
      </c>
      <c r="O244" s="100">
        <v>4137829997.4699998</v>
      </c>
      <c r="P244" s="100">
        <v>1679945614.55</v>
      </c>
      <c r="Q244" s="100">
        <v>167231492.87</v>
      </c>
      <c r="R244" s="100">
        <v>46884.28</v>
      </c>
      <c r="S244" s="100">
        <v>4.08</v>
      </c>
      <c r="T244" s="226">
        <v>1.49</v>
      </c>
      <c r="U244" s="226">
        <v>-6.28</v>
      </c>
      <c r="V244" s="226">
        <v>0</v>
      </c>
      <c r="W244" s="226">
        <v>0</v>
      </c>
      <c r="X244" s="226">
        <v>0</v>
      </c>
      <c r="Y244" s="226">
        <v>-0.1</v>
      </c>
      <c r="Z244" s="226">
        <v>0</v>
      </c>
    </row>
    <row r="245" spans="1:26" ht="12.75" customHeight="1" x14ac:dyDescent="0.25">
      <c r="A245" s="89" t="s">
        <v>78</v>
      </c>
      <c r="B245" s="89" t="s">
        <v>70</v>
      </c>
      <c r="F245" s="90">
        <v>12293445764.26</v>
      </c>
      <c r="G245" s="90">
        <v>709489781.88999999</v>
      </c>
      <c r="H245" s="90">
        <v>396803057.13</v>
      </c>
      <c r="I245" s="90">
        <v>210075169.58000001</v>
      </c>
      <c r="J245" s="90">
        <v>3086092522.0999999</v>
      </c>
      <c r="K245" s="90">
        <v>102455231.81</v>
      </c>
      <c r="L245" s="90">
        <v>25517242.059999999</v>
      </c>
      <c r="M245" s="90">
        <v>898773106.78999996</v>
      </c>
      <c r="N245" s="90">
        <v>879086320.53999996</v>
      </c>
      <c r="O245" s="90">
        <v>4137905522.9299998</v>
      </c>
      <c r="P245" s="90">
        <v>1679967191.1500001</v>
      </c>
      <c r="Q245" s="90">
        <v>167233739.69999999</v>
      </c>
      <c r="R245" s="90">
        <v>46879.39</v>
      </c>
      <c r="S245" s="90">
        <v>4.08</v>
      </c>
      <c r="T245">
        <v>1.49</v>
      </c>
      <c r="U245">
        <v>-6.28</v>
      </c>
      <c r="V245">
        <v>0</v>
      </c>
      <c r="W245">
        <v>0</v>
      </c>
      <c r="X245">
        <v>0</v>
      </c>
      <c r="Y245">
        <v>-0.1</v>
      </c>
      <c r="Z245">
        <v>0</v>
      </c>
    </row>
    <row r="246" spans="1:26" ht="12.75" customHeight="1" x14ac:dyDescent="0.25">
      <c r="A246" s="89"/>
      <c r="B246" s="89"/>
      <c r="E246" t="s">
        <v>73</v>
      </c>
      <c r="F246" s="373">
        <v>-23812.32</v>
      </c>
      <c r="G246" s="90">
        <v>-1102.56</v>
      </c>
      <c r="H246" s="90">
        <v>-620.85</v>
      </c>
      <c r="I246" s="90">
        <v>-326.73</v>
      </c>
      <c r="J246" s="90">
        <v>-6320.76</v>
      </c>
      <c r="K246" s="90">
        <v>-168.31</v>
      </c>
      <c r="L246" s="90">
        <v>0</v>
      </c>
      <c r="M246" s="90">
        <v>-1476.37</v>
      </c>
      <c r="N246" s="90">
        <v>-1913.24</v>
      </c>
      <c r="O246" s="90">
        <v>-9023.7000000000007</v>
      </c>
      <c r="P246" s="90">
        <v>-2585.21</v>
      </c>
      <c r="Q246" s="90">
        <v>-274.58999999999997</v>
      </c>
      <c r="R246" s="90">
        <v>0</v>
      </c>
      <c r="S246" s="90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 spans="1:26" ht="12.75" customHeight="1" x14ac:dyDescent="0.25">
      <c r="A247" s="89"/>
      <c r="B247" s="89"/>
      <c r="D247" t="s">
        <v>156</v>
      </c>
      <c r="E247" t="s">
        <v>70</v>
      </c>
      <c r="F247" s="373">
        <v>-23812.32</v>
      </c>
      <c r="G247" s="90">
        <v>-1102.56</v>
      </c>
      <c r="H247" s="90">
        <v>-620.85</v>
      </c>
      <c r="I247" s="90">
        <v>-326.73</v>
      </c>
      <c r="J247" s="90">
        <v>-6320.76</v>
      </c>
      <c r="K247" s="90">
        <v>-168.31</v>
      </c>
      <c r="L247" s="90">
        <v>0</v>
      </c>
      <c r="M247" s="90">
        <v>-1476.37</v>
      </c>
      <c r="N247" s="90">
        <v>-1913.24</v>
      </c>
      <c r="O247" s="90">
        <v>-9023.7000000000007</v>
      </c>
      <c r="P247" s="90">
        <v>-2585.21</v>
      </c>
      <c r="Q247" s="90">
        <v>-274.58999999999997</v>
      </c>
      <c r="R247" s="90">
        <v>0</v>
      </c>
      <c r="S247" s="90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 spans="1:26" s="288" customFormat="1" ht="12.75" customHeight="1" x14ac:dyDescent="0.25">
      <c r="C248" s="288" t="s">
        <v>155</v>
      </c>
      <c r="D248" s="288" t="s">
        <v>70</v>
      </c>
      <c r="E248" s="229"/>
      <c r="F248" s="229">
        <v>-23812.32</v>
      </c>
      <c r="G248" s="230">
        <v>-1102.56</v>
      </c>
      <c r="H248" s="230">
        <v>-620.85</v>
      </c>
      <c r="I248" s="230">
        <v>-326.73</v>
      </c>
      <c r="J248" s="230">
        <v>-6320.76</v>
      </c>
      <c r="K248" s="230">
        <v>-168.31</v>
      </c>
      <c r="L248" s="230">
        <v>0</v>
      </c>
      <c r="M248" s="230">
        <v>-1476.37</v>
      </c>
      <c r="N248" s="230">
        <v>-1913.24</v>
      </c>
      <c r="O248" s="230">
        <v>-9023.7000000000007</v>
      </c>
      <c r="P248" s="230">
        <v>-2585.21</v>
      </c>
      <c r="Q248" s="230">
        <v>-274.58999999999997</v>
      </c>
      <c r="R248" s="230">
        <v>0</v>
      </c>
      <c r="S248" s="230">
        <v>0</v>
      </c>
      <c r="T248" s="230">
        <v>0</v>
      </c>
      <c r="U248" s="230">
        <v>0</v>
      </c>
      <c r="V248" s="230">
        <v>0</v>
      </c>
      <c r="W248" s="230">
        <v>0</v>
      </c>
      <c r="X248" s="230">
        <v>0</v>
      </c>
      <c r="Y248" s="230">
        <v>0</v>
      </c>
      <c r="Z248" s="230">
        <v>0</v>
      </c>
    </row>
    <row r="249" spans="1:26" ht="12.75" customHeight="1" x14ac:dyDescent="0.25">
      <c r="E249" s="89" t="s">
        <v>73</v>
      </c>
      <c r="F249" s="89">
        <v>-5848.75</v>
      </c>
      <c r="G249" s="90">
        <v>-267.33</v>
      </c>
      <c r="H249" s="90">
        <v>-149.34</v>
      </c>
      <c r="I249" s="90">
        <v>-79.22</v>
      </c>
      <c r="J249" s="90">
        <v>-1571.58</v>
      </c>
      <c r="K249" s="90">
        <v>-37.26</v>
      </c>
      <c r="L249" s="90">
        <v>0</v>
      </c>
      <c r="M249" s="90">
        <v>-326.83999999999997</v>
      </c>
      <c r="N249" s="90">
        <v>-477.53</v>
      </c>
      <c r="O249" s="90">
        <v>-2244.9899999999998</v>
      </c>
      <c r="P249" s="90">
        <v>-633.87</v>
      </c>
      <c r="Q249" s="90">
        <v>-60.79</v>
      </c>
      <c r="R249" s="90">
        <v>0</v>
      </c>
      <c r="S249" s="90">
        <v>0</v>
      </c>
      <c r="T249" s="90">
        <v>0</v>
      </c>
      <c r="U249" s="90">
        <v>0</v>
      </c>
      <c r="V249" s="90">
        <v>0</v>
      </c>
      <c r="W249" s="90">
        <v>0</v>
      </c>
      <c r="X249" s="90">
        <v>0</v>
      </c>
      <c r="Y249" s="90">
        <v>0</v>
      </c>
      <c r="Z249" s="90">
        <v>0</v>
      </c>
    </row>
    <row r="250" spans="1:26" ht="12.75" customHeight="1" x14ac:dyDescent="0.25">
      <c r="D250" t="s">
        <v>82</v>
      </c>
      <c r="E250" s="89" t="s">
        <v>70</v>
      </c>
      <c r="F250" s="89">
        <v>-5848.75</v>
      </c>
      <c r="G250" s="90">
        <v>-267.33</v>
      </c>
      <c r="H250" s="90">
        <v>-149.34</v>
      </c>
      <c r="I250" s="90">
        <v>-79.22</v>
      </c>
      <c r="J250" s="90">
        <v>-1571.58</v>
      </c>
      <c r="K250" s="90">
        <v>-37.26</v>
      </c>
      <c r="L250" s="90">
        <v>0</v>
      </c>
      <c r="M250" s="90">
        <v>-326.83999999999997</v>
      </c>
      <c r="N250" s="90">
        <v>-477.53</v>
      </c>
      <c r="O250" s="90">
        <v>-2244.9899999999998</v>
      </c>
      <c r="P250" s="90">
        <v>-633.87</v>
      </c>
      <c r="Q250" s="90">
        <v>-60.79</v>
      </c>
      <c r="R250" s="90">
        <v>0</v>
      </c>
      <c r="S250" s="90">
        <v>0</v>
      </c>
      <c r="T250" s="90">
        <v>0</v>
      </c>
      <c r="U250" s="90">
        <v>0</v>
      </c>
      <c r="V250" s="90">
        <v>0</v>
      </c>
      <c r="W250" s="90">
        <v>0</v>
      </c>
      <c r="X250" s="90">
        <v>0</v>
      </c>
      <c r="Y250" s="90">
        <v>0</v>
      </c>
      <c r="Z250" s="90">
        <v>0</v>
      </c>
    </row>
    <row r="251" spans="1:26" s="94" customFormat="1" ht="12.75" customHeight="1" x14ac:dyDescent="0.25">
      <c r="C251" s="101" t="s">
        <v>119</v>
      </c>
      <c r="D251" s="101" t="s">
        <v>70</v>
      </c>
      <c r="F251" s="93">
        <v>-5848.75</v>
      </c>
      <c r="G251" s="93">
        <v>-267.33</v>
      </c>
      <c r="H251" s="93">
        <v>-149.34</v>
      </c>
      <c r="I251" s="93">
        <v>-79.22</v>
      </c>
      <c r="J251" s="93">
        <v>-1571.58</v>
      </c>
      <c r="K251" s="93">
        <v>-37.26</v>
      </c>
      <c r="L251" s="93">
        <v>0</v>
      </c>
      <c r="M251" s="93">
        <v>-326.83999999999997</v>
      </c>
      <c r="N251" s="93">
        <v>-477.53</v>
      </c>
      <c r="O251" s="93">
        <v>-2244.9899999999998</v>
      </c>
      <c r="P251" s="93">
        <v>-633.87</v>
      </c>
      <c r="Q251" s="93">
        <v>-60.79</v>
      </c>
      <c r="R251" s="93">
        <v>0</v>
      </c>
      <c r="S251" s="93">
        <v>0</v>
      </c>
      <c r="T251" s="94">
        <v>0</v>
      </c>
      <c r="U251" s="94">
        <v>0</v>
      </c>
      <c r="V251" s="94">
        <v>0</v>
      </c>
      <c r="W251" s="94">
        <v>0</v>
      </c>
      <c r="X251" s="94">
        <v>0</v>
      </c>
      <c r="Y251" s="94">
        <v>0</v>
      </c>
      <c r="Z251" s="94">
        <v>0</v>
      </c>
    </row>
    <row r="252" spans="1:26" s="380" customFormat="1" ht="12.75" customHeight="1" x14ac:dyDescent="0.25">
      <c r="A252" s="378"/>
      <c r="B252" s="378" t="s">
        <v>122</v>
      </c>
      <c r="C252" s="380" t="s">
        <v>70</v>
      </c>
      <c r="F252" s="706">
        <v>-29661.07</v>
      </c>
      <c r="G252" s="379">
        <v>-1369.89</v>
      </c>
      <c r="H252" s="379">
        <v>-770.19</v>
      </c>
      <c r="I252" s="379">
        <v>-405.95</v>
      </c>
      <c r="J252" s="379">
        <v>-7892.34</v>
      </c>
      <c r="K252" s="379">
        <v>-205.57</v>
      </c>
      <c r="L252" s="379">
        <v>0</v>
      </c>
      <c r="M252" s="379">
        <v>-1803.21</v>
      </c>
      <c r="N252" s="379">
        <v>-2390.77</v>
      </c>
      <c r="O252" s="379">
        <v>-11268.69</v>
      </c>
      <c r="P252" s="379">
        <v>-3219.08</v>
      </c>
      <c r="Q252" s="379">
        <v>-335.38</v>
      </c>
      <c r="R252" s="379">
        <v>0</v>
      </c>
      <c r="S252" s="379">
        <v>0</v>
      </c>
      <c r="T252" s="380">
        <v>0</v>
      </c>
      <c r="U252" s="380">
        <v>0</v>
      </c>
      <c r="V252" s="380">
        <v>0</v>
      </c>
      <c r="W252" s="380">
        <v>0</v>
      </c>
      <c r="X252" s="380">
        <v>0</v>
      </c>
      <c r="Y252" s="380">
        <v>0</v>
      </c>
      <c r="Z252" s="380">
        <v>0</v>
      </c>
    </row>
    <row r="253" spans="1:26" ht="12.75" customHeight="1" x14ac:dyDescent="0.25">
      <c r="E253" s="89" t="s">
        <v>73</v>
      </c>
      <c r="F253" s="373">
        <v>-1640638645.3099999</v>
      </c>
      <c r="G253" s="90">
        <v>-4085251.06</v>
      </c>
      <c r="H253" s="90">
        <v>-2413253.5499999998</v>
      </c>
      <c r="I253" s="90">
        <v>-1172261.25</v>
      </c>
      <c r="J253" s="90">
        <v>-550107051.62</v>
      </c>
      <c r="K253" s="90">
        <v>-17814381.510000002</v>
      </c>
      <c r="L253" s="90">
        <v>0</v>
      </c>
      <c r="M253" s="90">
        <v>-156271101.90000001</v>
      </c>
      <c r="N253" s="90">
        <v>-152284992.22</v>
      </c>
      <c r="O253" s="90">
        <v>-717616229.75999999</v>
      </c>
      <c r="P253" s="90">
        <v>-9808467.4600000009</v>
      </c>
      <c r="Q253" s="90">
        <v>-29065654.98</v>
      </c>
      <c r="R253" s="90">
        <v>0</v>
      </c>
      <c r="S253" s="90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 spans="1:26" ht="12.75" customHeight="1" x14ac:dyDescent="0.25">
      <c r="D254" t="s">
        <v>156</v>
      </c>
      <c r="E254" s="89" t="s">
        <v>70</v>
      </c>
      <c r="F254" s="373">
        <v>-1640638645.3099999</v>
      </c>
      <c r="G254" s="90">
        <v>-4085251.06</v>
      </c>
      <c r="H254" s="90">
        <v>-2413253.5499999998</v>
      </c>
      <c r="I254" s="90">
        <v>-1172261.25</v>
      </c>
      <c r="J254" s="90">
        <v>-550107051.62</v>
      </c>
      <c r="K254" s="90">
        <v>-17814381.510000002</v>
      </c>
      <c r="L254" s="90">
        <v>0</v>
      </c>
      <c r="M254" s="90">
        <v>-156271101.90000001</v>
      </c>
      <c r="N254" s="90">
        <v>-152284992.22</v>
      </c>
      <c r="O254" s="90">
        <v>-717616229.75999999</v>
      </c>
      <c r="P254" s="90">
        <v>-9808467.4600000009</v>
      </c>
      <c r="Q254" s="90">
        <v>-29065654.98</v>
      </c>
      <c r="R254" s="90">
        <v>0</v>
      </c>
      <c r="S254" s="90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</row>
    <row r="255" spans="1:26" s="288" customFormat="1" ht="12.75" customHeight="1" x14ac:dyDescent="0.25">
      <c r="C255" s="288" t="s">
        <v>155</v>
      </c>
      <c r="D255" s="288" t="s">
        <v>70</v>
      </c>
      <c r="E255" s="229"/>
      <c r="F255" s="229">
        <v>-1640638645.3099999</v>
      </c>
      <c r="G255" s="230">
        <v>-4085251.06</v>
      </c>
      <c r="H255" s="230">
        <v>-2413253.5499999998</v>
      </c>
      <c r="I255" s="230">
        <v>-1172261.25</v>
      </c>
      <c r="J255" s="230">
        <v>-550107051.62</v>
      </c>
      <c r="K255" s="230">
        <v>-17814381.510000002</v>
      </c>
      <c r="L255" s="230">
        <v>0</v>
      </c>
      <c r="M255" s="230">
        <v>-156271101.90000001</v>
      </c>
      <c r="N255" s="230">
        <v>-152284992.22</v>
      </c>
      <c r="O255" s="230">
        <v>-717616229.75999999</v>
      </c>
      <c r="P255" s="230">
        <v>-9808467.4600000009</v>
      </c>
      <c r="Q255" s="230">
        <v>-29065654.98</v>
      </c>
      <c r="R255" s="230">
        <v>0</v>
      </c>
      <c r="S255" s="230">
        <v>0</v>
      </c>
      <c r="T255" s="230">
        <v>0</v>
      </c>
      <c r="U255" s="230">
        <v>0</v>
      </c>
      <c r="V255" s="230">
        <v>0</v>
      </c>
      <c r="W255" s="230">
        <v>0</v>
      </c>
      <c r="X255" s="230">
        <v>0</v>
      </c>
      <c r="Y255" s="230">
        <v>0</v>
      </c>
      <c r="Z255" s="230">
        <v>0</v>
      </c>
    </row>
    <row r="256" spans="1:26" ht="12.75" customHeight="1" x14ac:dyDescent="0.25">
      <c r="D256" s="89"/>
      <c r="E256" s="89" t="s">
        <v>73</v>
      </c>
      <c r="F256" s="90">
        <v>7457807.1600000001</v>
      </c>
      <c r="G256" s="90">
        <v>1664600.99</v>
      </c>
      <c r="H256" s="90">
        <v>928578.15</v>
      </c>
      <c r="I256" s="90">
        <v>492530.51</v>
      </c>
      <c r="J256" s="90">
        <v>86738.78</v>
      </c>
      <c r="K256" s="90">
        <v>5070.3999999999996</v>
      </c>
      <c r="L256" s="90">
        <v>0</v>
      </c>
      <c r="M256" s="90">
        <v>44479.13</v>
      </c>
      <c r="N256" s="90">
        <v>49895.95</v>
      </c>
      <c r="O256" s="90">
        <v>234179.47</v>
      </c>
      <c r="P256" s="90">
        <v>3943459.93</v>
      </c>
      <c r="Q256" s="90">
        <v>8273.85</v>
      </c>
      <c r="R256" s="90">
        <v>0</v>
      </c>
      <c r="S256" s="90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 spans="1:26" ht="12.75" customHeight="1" x14ac:dyDescent="0.25">
      <c r="D257" t="s">
        <v>82</v>
      </c>
      <c r="E257" s="89" t="s">
        <v>70</v>
      </c>
      <c r="F257" s="90">
        <v>7457807.1600000001</v>
      </c>
      <c r="G257" s="90">
        <v>1664600.99</v>
      </c>
      <c r="H257" s="90">
        <v>928578.15</v>
      </c>
      <c r="I257" s="90">
        <v>492530.51</v>
      </c>
      <c r="J257" s="90">
        <v>86738.78</v>
      </c>
      <c r="K257" s="90">
        <v>5070.3999999999996</v>
      </c>
      <c r="L257" s="90">
        <v>0</v>
      </c>
      <c r="M257" s="90">
        <v>44479.13</v>
      </c>
      <c r="N257" s="90">
        <v>49895.95</v>
      </c>
      <c r="O257" s="90">
        <v>234179.47</v>
      </c>
      <c r="P257" s="90">
        <v>3943459.93</v>
      </c>
      <c r="Q257" s="90">
        <v>8273.85</v>
      </c>
      <c r="R257" s="90">
        <v>0</v>
      </c>
      <c r="S257" s="90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 spans="1:26" ht="12.75" customHeight="1" x14ac:dyDescent="0.25">
      <c r="D258" s="89"/>
      <c r="E258" s="89" t="s">
        <v>73</v>
      </c>
      <c r="F258" s="90">
        <v>12665699.91</v>
      </c>
      <c r="G258" s="90">
        <v>3229054.47</v>
      </c>
      <c r="H258" s="90">
        <v>1813639.06</v>
      </c>
      <c r="I258" s="90">
        <v>960959.65</v>
      </c>
      <c r="J258" s="90">
        <v>-230111.93</v>
      </c>
      <c r="K258" s="90">
        <v>-19921.47</v>
      </c>
      <c r="L258" s="90">
        <v>0</v>
      </c>
      <c r="M258" s="90">
        <v>-180926.03</v>
      </c>
      <c r="N258" s="90">
        <v>-110482.3</v>
      </c>
      <c r="O258" s="90">
        <v>-410982.33</v>
      </c>
      <c r="P258" s="90">
        <v>7648193.6799999997</v>
      </c>
      <c r="Q258" s="90">
        <v>-33722.89</v>
      </c>
      <c r="R258" s="90">
        <v>0</v>
      </c>
      <c r="S258" s="90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 spans="1:26" ht="12.75" customHeight="1" x14ac:dyDescent="0.25">
      <c r="D259" t="s">
        <v>86</v>
      </c>
      <c r="E259" s="89" t="s">
        <v>70</v>
      </c>
      <c r="F259" s="90">
        <v>12665699.91</v>
      </c>
      <c r="G259" s="90">
        <v>3229054.47</v>
      </c>
      <c r="H259" s="90">
        <v>1813639.06</v>
      </c>
      <c r="I259" s="90">
        <v>960959.65</v>
      </c>
      <c r="J259" s="90">
        <v>-230111.93</v>
      </c>
      <c r="K259" s="90">
        <v>-19921.47</v>
      </c>
      <c r="L259" s="90">
        <v>0</v>
      </c>
      <c r="M259" s="90">
        <v>-180926.03</v>
      </c>
      <c r="N259" s="90">
        <v>-110482.3</v>
      </c>
      <c r="O259" s="90">
        <v>-410982.33</v>
      </c>
      <c r="P259" s="90">
        <v>7648193.6799999997</v>
      </c>
      <c r="Q259" s="90">
        <v>-33722.89</v>
      </c>
      <c r="R259" s="90">
        <v>0</v>
      </c>
      <c r="S259" s="90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</row>
    <row r="260" spans="1:26" ht="12.75" customHeight="1" x14ac:dyDescent="0.25">
      <c r="D260" s="89"/>
      <c r="E260" s="89" t="s">
        <v>73</v>
      </c>
      <c r="F260" s="90">
        <v>226502722.91999999</v>
      </c>
      <c r="G260" s="90">
        <v>51618855.079999998</v>
      </c>
      <c r="H260" s="90">
        <v>28859003.780000001</v>
      </c>
      <c r="I260" s="90">
        <v>15251503.470000001</v>
      </c>
      <c r="J260" s="90">
        <v>2339286</v>
      </c>
      <c r="K260" s="90">
        <v>77557.3</v>
      </c>
      <c r="L260" s="90">
        <v>0</v>
      </c>
      <c r="M260" s="90">
        <v>679370.75</v>
      </c>
      <c r="N260" s="90">
        <v>972762.26</v>
      </c>
      <c r="O260" s="90">
        <v>4578375.8600000003</v>
      </c>
      <c r="P260" s="90">
        <v>121999624.79000001</v>
      </c>
      <c r="Q260" s="90">
        <v>126383.63</v>
      </c>
      <c r="R260" s="90">
        <v>0</v>
      </c>
      <c r="S260" s="9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</row>
    <row r="261" spans="1:26" ht="12.75" customHeight="1" x14ac:dyDescent="0.25">
      <c r="C261" s="89"/>
      <c r="D261" s="89" t="s">
        <v>87</v>
      </c>
      <c r="E261" t="s">
        <v>70</v>
      </c>
      <c r="F261" s="90">
        <v>226502722.91999999</v>
      </c>
      <c r="G261" s="90">
        <v>51618855.079999998</v>
      </c>
      <c r="H261" s="90">
        <v>28859003.780000001</v>
      </c>
      <c r="I261" s="90">
        <v>15251503.470000001</v>
      </c>
      <c r="J261" s="90">
        <v>2339286</v>
      </c>
      <c r="K261" s="90">
        <v>77557.3</v>
      </c>
      <c r="L261" s="90">
        <v>0</v>
      </c>
      <c r="M261" s="90">
        <v>679370.75</v>
      </c>
      <c r="N261" s="90">
        <v>972762.26</v>
      </c>
      <c r="O261" s="90">
        <v>4578375.8600000003</v>
      </c>
      <c r="P261" s="90">
        <v>121999624.79000001</v>
      </c>
      <c r="Q261" s="90">
        <v>126383.63</v>
      </c>
      <c r="R261" s="90">
        <v>0</v>
      </c>
      <c r="S261" s="90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</row>
    <row r="262" spans="1:26" s="94" customFormat="1" ht="12.75" customHeight="1" x14ac:dyDescent="0.25">
      <c r="C262" s="101" t="s">
        <v>119</v>
      </c>
      <c r="D262" s="101" t="s">
        <v>70</v>
      </c>
      <c r="F262" s="93">
        <v>246626229.99000001</v>
      </c>
      <c r="G262" s="93">
        <v>56512510.539999999</v>
      </c>
      <c r="H262" s="93">
        <v>31601220.989999998</v>
      </c>
      <c r="I262" s="93">
        <v>16704993.630000001</v>
      </c>
      <c r="J262" s="93">
        <v>2195912.85</v>
      </c>
      <c r="K262" s="93">
        <v>62706.23</v>
      </c>
      <c r="L262" s="93">
        <v>0</v>
      </c>
      <c r="M262" s="93">
        <v>542923.85</v>
      </c>
      <c r="N262" s="93">
        <v>912175.91</v>
      </c>
      <c r="O262" s="93">
        <v>4401573</v>
      </c>
      <c r="P262" s="93">
        <v>133591278.40000001</v>
      </c>
      <c r="Q262" s="93">
        <v>100934.59</v>
      </c>
      <c r="R262" s="93">
        <v>0</v>
      </c>
      <c r="S262" s="93">
        <v>0</v>
      </c>
      <c r="T262" s="94">
        <v>0</v>
      </c>
      <c r="U262" s="94">
        <v>0</v>
      </c>
      <c r="V262" s="94">
        <v>0</v>
      </c>
      <c r="W262" s="94">
        <v>0</v>
      </c>
      <c r="X262" s="94">
        <v>0</v>
      </c>
      <c r="Y262" s="94">
        <v>0</v>
      </c>
      <c r="Z262" s="94">
        <v>0</v>
      </c>
    </row>
    <row r="263" spans="1:26" s="226" customFormat="1" ht="12.75" customHeight="1" x14ac:dyDescent="0.25">
      <c r="A263" s="98"/>
      <c r="B263" s="98" t="s">
        <v>112</v>
      </c>
      <c r="C263" s="226" t="s">
        <v>70</v>
      </c>
      <c r="F263" s="100">
        <v>-1394012415.3199999</v>
      </c>
      <c r="G263" s="100">
        <v>52427259.479999997</v>
      </c>
      <c r="H263" s="100">
        <v>29187967.440000001</v>
      </c>
      <c r="I263" s="100">
        <v>15532732.380000001</v>
      </c>
      <c r="J263" s="100">
        <v>-547911138.76999998</v>
      </c>
      <c r="K263" s="100">
        <v>-17751675.280000001</v>
      </c>
      <c r="L263" s="100">
        <v>0</v>
      </c>
      <c r="M263" s="100">
        <v>-155728178.05000001</v>
      </c>
      <c r="N263" s="100">
        <v>-151372816.31</v>
      </c>
      <c r="O263" s="100">
        <v>-713214656.75999999</v>
      </c>
      <c r="P263" s="100">
        <v>123782810.94</v>
      </c>
      <c r="Q263" s="100">
        <v>-28964720.390000001</v>
      </c>
      <c r="R263" s="100">
        <v>0</v>
      </c>
      <c r="S263" s="100">
        <v>0</v>
      </c>
      <c r="T263" s="226">
        <v>0</v>
      </c>
      <c r="U263" s="226">
        <v>0</v>
      </c>
      <c r="V263" s="226">
        <v>0</v>
      </c>
      <c r="W263" s="226">
        <v>0</v>
      </c>
      <c r="X263" s="226">
        <v>0</v>
      </c>
      <c r="Y263" s="226">
        <v>0</v>
      </c>
      <c r="Z263" s="226">
        <v>0</v>
      </c>
    </row>
    <row r="264" spans="1:26" ht="12.75" customHeight="1" x14ac:dyDescent="0.25">
      <c r="A264" s="89" t="s">
        <v>79</v>
      </c>
      <c r="B264" t="s">
        <v>70</v>
      </c>
      <c r="F264" s="90">
        <v>-1394042076.3900001</v>
      </c>
      <c r="G264" s="90">
        <v>52425889.590000004</v>
      </c>
      <c r="H264" s="90">
        <v>29187197.25</v>
      </c>
      <c r="I264" s="90">
        <v>15532326.43</v>
      </c>
      <c r="J264" s="90">
        <v>-547919031.11000001</v>
      </c>
      <c r="K264" s="90">
        <v>-17751880.850000001</v>
      </c>
      <c r="L264" s="90">
        <v>0</v>
      </c>
      <c r="M264" s="90">
        <v>-155729981.25999999</v>
      </c>
      <c r="N264" s="90">
        <v>-151375207.08000001</v>
      </c>
      <c r="O264" s="90">
        <v>-713225925.45000005</v>
      </c>
      <c r="P264" s="90">
        <v>123779591.86</v>
      </c>
      <c r="Q264" s="90">
        <v>-28965055.77</v>
      </c>
      <c r="R264" s="90">
        <v>0</v>
      </c>
      <c r="S264" s="90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</row>
    <row r="265" spans="1:26" ht="12.75" customHeight="1" x14ac:dyDescent="0.25">
      <c r="A265" t="s">
        <v>70</v>
      </c>
      <c r="E265" s="89"/>
      <c r="F265" s="90">
        <v>10899398038</v>
      </c>
      <c r="G265" s="90">
        <v>761915170.17999995</v>
      </c>
      <c r="H265" s="90">
        <v>425990041.41000003</v>
      </c>
      <c r="I265" s="90">
        <v>225607403.00999999</v>
      </c>
      <c r="J265" s="90">
        <v>2538172400.71</v>
      </c>
      <c r="K265" s="90">
        <v>84703306.040000007</v>
      </c>
      <c r="L265" s="90">
        <v>25517242.059999999</v>
      </c>
      <c r="M265" s="90">
        <v>743042731.51999998</v>
      </c>
      <c r="N265" s="90">
        <v>727710619.59000003</v>
      </c>
      <c r="O265" s="90">
        <v>3424677938.6100001</v>
      </c>
      <c r="P265" s="90">
        <v>1803745695.6500001</v>
      </c>
      <c r="Q265" s="90">
        <v>138268610.63999999</v>
      </c>
      <c r="R265" s="90">
        <v>46879.39</v>
      </c>
      <c r="S265" s="90">
        <v>4.08</v>
      </c>
      <c r="T265" s="150">
        <v>1.49</v>
      </c>
      <c r="U265" s="150">
        <v>-6.28</v>
      </c>
      <c r="V265" s="150">
        <v>0</v>
      </c>
      <c r="W265" s="150">
        <v>0</v>
      </c>
      <c r="X265">
        <v>0</v>
      </c>
      <c r="Y265">
        <v>-0.1</v>
      </c>
      <c r="Z265">
        <v>0</v>
      </c>
    </row>
    <row r="266" spans="1:26" ht="12.75" hidden="1" customHeight="1" x14ac:dyDescent="0.25">
      <c r="A266" s="89"/>
      <c r="B266" s="89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</row>
    <row r="267" spans="1:26" ht="12.75" hidden="1" customHeight="1" x14ac:dyDescent="0.25">
      <c r="E267" s="89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</row>
    <row r="268" spans="1:26" ht="12.75" hidden="1" customHeight="1" x14ac:dyDescent="0.25">
      <c r="D268" s="89"/>
      <c r="E268" s="89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</row>
    <row r="269" spans="1:26" ht="12.75" hidden="1" customHeight="1" x14ac:dyDescent="0.25">
      <c r="D269" s="89"/>
      <c r="E269" s="89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</row>
    <row r="270" spans="1:26" ht="12.75" hidden="1" customHeight="1" x14ac:dyDescent="0.25">
      <c r="E270" s="89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</row>
    <row r="271" spans="1:26" ht="12.75" hidden="1" customHeight="1" x14ac:dyDescent="0.25">
      <c r="D271" s="89"/>
      <c r="E271" s="89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</row>
    <row r="272" spans="1:26" ht="12.75" hidden="1" customHeight="1" x14ac:dyDescent="0.25">
      <c r="E272" s="89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</row>
    <row r="273" spans="1:19" ht="12.75" hidden="1" customHeight="1" x14ac:dyDescent="0.25">
      <c r="D273" s="89"/>
      <c r="E273" s="89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</row>
    <row r="274" spans="1:19" ht="12.75" hidden="1" customHeight="1" x14ac:dyDescent="0.25">
      <c r="E274" s="89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</row>
    <row r="275" spans="1:19" ht="12.75" hidden="1" customHeight="1" x14ac:dyDescent="0.25">
      <c r="D275" s="89"/>
      <c r="E275" s="89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</row>
    <row r="276" spans="1:19" ht="12.75" hidden="1" customHeight="1" x14ac:dyDescent="0.25">
      <c r="C276" s="89"/>
      <c r="D276" s="89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</row>
    <row r="277" spans="1:19" ht="12.75" hidden="1" customHeight="1" x14ac:dyDescent="0.25">
      <c r="E277" s="89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</row>
    <row r="278" spans="1:19" ht="12.75" hidden="1" customHeight="1" x14ac:dyDescent="0.25">
      <c r="D278" s="89"/>
      <c r="E278" s="89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</row>
    <row r="279" spans="1:19" ht="12.75" hidden="1" customHeight="1" x14ac:dyDescent="0.25">
      <c r="E279" s="89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</row>
    <row r="280" spans="1:19" ht="12.75" hidden="1" customHeight="1" x14ac:dyDescent="0.25">
      <c r="D280" s="89"/>
      <c r="E280" s="89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</row>
    <row r="281" spans="1:19" ht="12.75" hidden="1" customHeight="1" x14ac:dyDescent="0.25">
      <c r="C281" s="89"/>
      <c r="D281" s="89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</row>
    <row r="282" spans="1:19" ht="12.75" hidden="1" customHeight="1" x14ac:dyDescent="0.25">
      <c r="B282" s="89"/>
      <c r="C282" s="89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</row>
    <row r="283" spans="1:19" ht="12.75" hidden="1" customHeight="1" x14ac:dyDescent="0.25">
      <c r="A283" s="89"/>
      <c r="B283" s="89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</row>
    <row r="284" spans="1:19" ht="12.75" hidden="1" customHeight="1" x14ac:dyDescent="0.25">
      <c r="A284" s="89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</row>
    <row r="285" spans="1:19" ht="12.75" hidden="1" customHeight="1" x14ac:dyDescent="0.25">
      <c r="A285" s="89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</row>
    <row r="286" spans="1:19" ht="12.75" hidden="1" customHeight="1" x14ac:dyDescent="0.25">
      <c r="A286" s="89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</row>
    <row r="287" spans="1:19" ht="12.75" hidden="1" customHeight="1" x14ac:dyDescent="0.25">
      <c r="A287" s="89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</row>
    <row r="288" spans="1:19" ht="12.75" hidden="1" customHeight="1" x14ac:dyDescent="0.25">
      <c r="A288" s="89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</row>
    <row r="289" spans="1:23" ht="12.75" hidden="1" customHeight="1" x14ac:dyDescent="0.25">
      <c r="A289" s="89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150"/>
      <c r="U289" s="150"/>
      <c r="V289" s="150"/>
      <c r="W289" s="150"/>
    </row>
    <row r="290" spans="1:23" ht="12.75" hidden="1" customHeight="1" x14ac:dyDescent="0.25">
      <c r="A290" s="89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150"/>
      <c r="U290" s="150"/>
      <c r="V290" s="150"/>
      <c r="W290" s="150"/>
    </row>
    <row r="291" spans="1:23" ht="12.75" hidden="1" customHeight="1" x14ac:dyDescent="0.25">
      <c r="A291" s="89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150"/>
      <c r="U291" s="150"/>
      <c r="V291" s="150"/>
      <c r="W291" s="150"/>
    </row>
    <row r="292" spans="1:23" ht="12.75" hidden="1" customHeight="1" x14ac:dyDescent="0.25">
      <c r="A292" s="89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150"/>
      <c r="U292" s="150"/>
      <c r="V292" s="150"/>
      <c r="W292" s="150"/>
    </row>
    <row r="293" spans="1:23" ht="12.75" hidden="1" customHeight="1" x14ac:dyDescent="0.25">
      <c r="A293" s="89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150"/>
      <c r="U293" s="150"/>
      <c r="V293" s="150"/>
      <c r="W293" s="150"/>
    </row>
    <row r="294" spans="1:23" ht="12.75" hidden="1" customHeight="1" x14ac:dyDescent="0.25">
      <c r="A294" s="89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150"/>
      <c r="U294" s="150"/>
      <c r="V294" s="150"/>
      <c r="W294" s="150"/>
    </row>
    <row r="295" spans="1:23" ht="12.75" hidden="1" customHeight="1" x14ac:dyDescent="0.25">
      <c r="A295" s="89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150"/>
      <c r="U295" s="150"/>
      <c r="V295" s="150"/>
      <c r="W295" s="150"/>
    </row>
    <row r="296" spans="1:23" ht="12.75" hidden="1" customHeight="1" x14ac:dyDescent="0.25">
      <c r="A296" s="89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150"/>
      <c r="U296" s="150"/>
      <c r="V296" s="150"/>
      <c r="W296" s="150"/>
    </row>
    <row r="297" spans="1:23" ht="12.75" hidden="1" customHeight="1" x14ac:dyDescent="0.25">
      <c r="A297" s="89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150"/>
      <c r="U297" s="150"/>
      <c r="V297" s="150"/>
      <c r="W297" s="150"/>
    </row>
    <row r="298" spans="1:23" ht="12.75" hidden="1" customHeight="1" x14ac:dyDescent="0.25">
      <c r="A298" s="89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150"/>
      <c r="U298" s="150"/>
      <c r="V298" s="150"/>
      <c r="W298" s="150"/>
    </row>
    <row r="299" spans="1:23" ht="12.75" hidden="1" customHeight="1" x14ac:dyDescent="0.25">
      <c r="A299" s="89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150"/>
      <c r="U299" s="150"/>
      <c r="V299" s="150"/>
      <c r="W299" s="150"/>
    </row>
    <row r="300" spans="1:23" ht="12.75" hidden="1" customHeight="1" x14ac:dyDescent="0.25">
      <c r="A300" s="89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150"/>
      <c r="U300" s="150"/>
      <c r="V300" s="150"/>
      <c r="W300" s="150"/>
    </row>
    <row r="301" spans="1:23" ht="12.75" hidden="1" customHeight="1" x14ac:dyDescent="0.25">
      <c r="A301" s="89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150"/>
      <c r="U301" s="150"/>
      <c r="V301" s="150"/>
      <c r="W301" s="150"/>
    </row>
    <row r="302" spans="1:23" ht="12.75" hidden="1" customHeight="1" x14ac:dyDescent="0.25">
      <c r="A302" s="89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150"/>
      <c r="U302" s="150"/>
      <c r="V302" s="150"/>
      <c r="W302" s="150"/>
    </row>
    <row r="303" spans="1:23" ht="12.75" hidden="1" customHeight="1" x14ac:dyDescent="0.25">
      <c r="A303" s="89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150"/>
      <c r="U303" s="150"/>
      <c r="V303" s="150"/>
      <c r="W303" s="150"/>
    </row>
    <row r="304" spans="1:23" ht="12.75" hidden="1" customHeight="1" x14ac:dyDescent="0.25">
      <c r="A304" s="89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150"/>
      <c r="U304" s="150"/>
      <c r="V304" s="150"/>
      <c r="W304" s="150"/>
    </row>
    <row r="305" spans="1:23" ht="12.75" hidden="1" customHeight="1" x14ac:dyDescent="0.25">
      <c r="A305" s="89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150"/>
      <c r="U305" s="150"/>
      <c r="V305" s="150"/>
      <c r="W305" s="150"/>
    </row>
    <row r="306" spans="1:23" ht="12.75" hidden="1" customHeight="1" x14ac:dyDescent="0.25">
      <c r="A306" s="89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150"/>
      <c r="U306" s="150"/>
      <c r="V306" s="150"/>
      <c r="W306" s="150"/>
    </row>
    <row r="307" spans="1:23" ht="12.75" hidden="1" customHeight="1" x14ac:dyDescent="0.25">
      <c r="A307" s="89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150"/>
      <c r="U307" s="150"/>
      <c r="V307" s="150"/>
      <c r="W307" s="150"/>
    </row>
    <row r="308" spans="1:23" ht="12.75" hidden="1" customHeight="1" x14ac:dyDescent="0.25">
      <c r="A308" s="89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150"/>
      <c r="U308" s="150"/>
      <c r="V308" s="150"/>
      <c r="W308" s="150"/>
    </row>
    <row r="309" spans="1:23" ht="12.75" hidden="1" customHeight="1" x14ac:dyDescent="0.25">
      <c r="A309" s="89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150"/>
      <c r="U309" s="150"/>
      <c r="V309" s="150"/>
      <c r="W309" s="150"/>
    </row>
    <row r="310" spans="1:23" ht="12.75" hidden="1" customHeight="1" x14ac:dyDescent="0.25">
      <c r="A310" s="89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150"/>
      <c r="U310" s="150"/>
      <c r="V310" s="150"/>
      <c r="W310" s="150"/>
    </row>
    <row r="311" spans="1:23" ht="12.75" hidden="1" customHeight="1" x14ac:dyDescent="0.25">
      <c r="A311" s="89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150"/>
      <c r="U311" s="150"/>
      <c r="V311" s="150"/>
      <c r="W311" s="150"/>
    </row>
    <row r="312" spans="1:23" ht="12.75" hidden="1" customHeight="1" x14ac:dyDescent="0.25">
      <c r="A312" s="89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150"/>
      <c r="U312" s="150"/>
      <c r="V312" s="150"/>
      <c r="W312" s="150"/>
    </row>
    <row r="313" spans="1:23" ht="12.75" hidden="1" customHeight="1" x14ac:dyDescent="0.25">
      <c r="A313" s="89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150"/>
      <c r="U313" s="150"/>
      <c r="V313" s="150"/>
      <c r="W313" s="150"/>
    </row>
    <row r="314" spans="1:23" ht="12.75" hidden="1" customHeight="1" x14ac:dyDescent="0.25">
      <c r="A314" s="89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150"/>
      <c r="U314" s="150"/>
      <c r="V314" s="150"/>
      <c r="W314" s="150"/>
    </row>
    <row r="315" spans="1:23" ht="12.75" hidden="1" customHeight="1" x14ac:dyDescent="0.25">
      <c r="A315" s="89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150"/>
      <c r="U315" s="150"/>
      <c r="V315" s="150"/>
      <c r="W315" s="150"/>
    </row>
    <row r="316" spans="1:23" ht="12.75" hidden="1" customHeight="1" x14ac:dyDescent="0.25">
      <c r="A316" s="89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150"/>
      <c r="U316" s="150"/>
      <c r="V316" s="150"/>
      <c r="W316" s="150"/>
    </row>
    <row r="317" spans="1:23" ht="12.75" hidden="1" customHeight="1" x14ac:dyDescent="0.25">
      <c r="A317" s="89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150"/>
      <c r="U317" s="150"/>
      <c r="V317" s="150"/>
      <c r="W317" s="150"/>
    </row>
    <row r="318" spans="1:23" ht="12.75" hidden="1" customHeight="1" x14ac:dyDescent="0.25">
      <c r="A318" s="89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150"/>
      <c r="U318" s="150"/>
      <c r="V318" s="150"/>
      <c r="W318" s="150"/>
    </row>
    <row r="319" spans="1:23" ht="12.75" hidden="1" customHeight="1" x14ac:dyDescent="0.25">
      <c r="A319" s="89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150"/>
      <c r="U319" s="150"/>
      <c r="V319" s="150"/>
      <c r="W319" s="150"/>
    </row>
    <row r="320" spans="1:23" ht="12.75" hidden="1" customHeight="1" x14ac:dyDescent="0.25">
      <c r="A320" s="89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150"/>
      <c r="U320" s="150"/>
      <c r="V320" s="150"/>
      <c r="W320" s="150"/>
    </row>
    <row r="321" spans="1:41" ht="12.75" hidden="1" customHeight="1" x14ac:dyDescent="0.25">
      <c r="A321" s="89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150"/>
      <c r="U321" s="150"/>
      <c r="V321" s="150"/>
      <c r="W321" s="150"/>
    </row>
    <row r="322" spans="1:41" ht="12.75" hidden="1" customHeight="1" x14ac:dyDescent="0.25">
      <c r="A322" s="89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150"/>
      <c r="U322" s="150"/>
      <c r="V322" s="150"/>
      <c r="W322" s="150"/>
    </row>
    <row r="323" spans="1:41" ht="12.75" customHeight="1" x14ac:dyDescent="0.25">
      <c r="A323" s="89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150"/>
      <c r="U323" s="150"/>
      <c r="V323" s="150"/>
      <c r="W323" s="150"/>
    </row>
    <row r="324" spans="1:41" ht="12.75" customHeight="1" x14ac:dyDescent="0.25">
      <c r="A324" s="89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150"/>
      <c r="U324" s="150"/>
      <c r="V324" s="150"/>
      <c r="W324" s="150"/>
    </row>
    <row r="325" spans="1:41" ht="12.75" customHeight="1" x14ac:dyDescent="0.25">
      <c r="C325" s="763" t="s">
        <v>2</v>
      </c>
      <c r="D325" s="764" t="s">
        <v>132</v>
      </c>
      <c r="E325" s="98" t="s">
        <v>70</v>
      </c>
      <c r="F325" s="100">
        <f>F244+F263+F219-L219-L244</f>
        <v>10873711675.940001</v>
      </c>
      <c r="G325" s="100">
        <f>G244+G219</f>
        <v>709480098.17000008</v>
      </c>
      <c r="H325" s="100">
        <f t="shared" ref="H325:AO325" si="11">H244+H219</f>
        <v>396797681.51999998</v>
      </c>
      <c r="I325" s="100">
        <f t="shared" si="11"/>
        <v>210072355.38</v>
      </c>
      <c r="J325" s="100">
        <f t="shared" si="11"/>
        <v>3086038541.25</v>
      </c>
      <c r="K325" s="100">
        <f t="shared" si="11"/>
        <v>102453809.81999999</v>
      </c>
      <c r="L325" s="100">
        <f t="shared" si="11"/>
        <v>25517242.059999999</v>
      </c>
      <c r="M325" s="100">
        <f t="shared" si="11"/>
        <v>898760633.08000004</v>
      </c>
      <c r="N325" s="100">
        <f t="shared" si="11"/>
        <v>879069803.20000005</v>
      </c>
      <c r="O325" s="100">
        <f t="shared" si="11"/>
        <v>4137828338.5999999</v>
      </c>
      <c r="P325" s="100">
        <f t="shared" si="11"/>
        <v>1679944527.1900001</v>
      </c>
      <c r="Q325" s="100">
        <f t="shared" si="11"/>
        <v>167231419.58000001</v>
      </c>
      <c r="R325" s="100">
        <f t="shared" si="11"/>
        <v>46884.28</v>
      </c>
      <c r="S325" s="100">
        <f t="shared" si="11"/>
        <v>4.08</v>
      </c>
      <c r="T325" s="100">
        <f t="shared" si="11"/>
        <v>1.49</v>
      </c>
      <c r="U325" s="100">
        <f t="shared" si="11"/>
        <v>-6.28</v>
      </c>
      <c r="V325" s="100">
        <f t="shared" si="11"/>
        <v>0</v>
      </c>
      <c r="W325" s="100">
        <f t="shared" si="11"/>
        <v>0</v>
      </c>
      <c r="X325" s="100">
        <f t="shared" si="11"/>
        <v>0</v>
      </c>
      <c r="Y325" s="100">
        <f t="shared" si="11"/>
        <v>-0.1</v>
      </c>
      <c r="Z325" s="100">
        <f t="shared" si="11"/>
        <v>0</v>
      </c>
      <c r="AA325" s="100">
        <f t="shared" si="11"/>
        <v>0</v>
      </c>
      <c r="AB325" s="100">
        <f t="shared" si="11"/>
        <v>0</v>
      </c>
      <c r="AC325" s="100">
        <f t="shared" si="11"/>
        <v>0</v>
      </c>
      <c r="AD325" s="100">
        <f t="shared" si="11"/>
        <v>0</v>
      </c>
      <c r="AE325" s="100">
        <f t="shared" si="11"/>
        <v>0</v>
      </c>
      <c r="AF325" s="100">
        <f t="shared" si="11"/>
        <v>0</v>
      </c>
      <c r="AG325" s="100">
        <f t="shared" si="11"/>
        <v>0</v>
      </c>
      <c r="AH325" s="100">
        <f t="shared" si="11"/>
        <v>0</v>
      </c>
      <c r="AI325" s="100">
        <f t="shared" si="11"/>
        <v>0</v>
      </c>
      <c r="AJ325" s="100">
        <f t="shared" si="11"/>
        <v>0</v>
      </c>
      <c r="AK325" s="100">
        <f t="shared" si="11"/>
        <v>0</v>
      </c>
      <c r="AL325" s="100">
        <f t="shared" si="11"/>
        <v>0</v>
      </c>
      <c r="AM325" s="100">
        <f t="shared" si="11"/>
        <v>0</v>
      </c>
      <c r="AN325" s="100">
        <f t="shared" si="11"/>
        <v>0</v>
      </c>
      <c r="AO325" s="100">
        <f t="shared" si="11"/>
        <v>0</v>
      </c>
    </row>
    <row r="326" spans="1:41" ht="12.75" customHeight="1" x14ac:dyDescent="0.25">
      <c r="C326" s="763"/>
      <c r="D326" s="764"/>
      <c r="E326" s="98" t="s">
        <v>73</v>
      </c>
      <c r="F326" s="100">
        <f>F263</f>
        <v>-1394012415.3199999</v>
      </c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</row>
    <row r="327" spans="1:41" ht="12.75" customHeight="1" x14ac:dyDescent="0.25">
      <c r="A327" s="90"/>
      <c r="C327" s="763"/>
      <c r="D327" s="764" t="s">
        <v>133</v>
      </c>
      <c r="E327" s="233" t="s">
        <v>70</v>
      </c>
      <c r="F327" s="234">
        <f>F252+F229-L229</f>
        <v>169120</v>
      </c>
      <c r="G327" s="234">
        <f>G229</f>
        <v>9182.42</v>
      </c>
      <c r="H327" s="234">
        <f t="shared" ref="H327:AO327" si="12">H229</f>
        <v>5162.6400000000003</v>
      </c>
      <c r="I327" s="234">
        <f t="shared" si="12"/>
        <v>2721.2</v>
      </c>
      <c r="J327" s="234">
        <f t="shared" si="12"/>
        <v>52890.57</v>
      </c>
      <c r="K327" s="234">
        <f t="shared" si="12"/>
        <v>1377.07</v>
      </c>
      <c r="L327" s="234">
        <f t="shared" si="12"/>
        <v>0</v>
      </c>
      <c r="M327" s="234">
        <f t="shared" si="12"/>
        <v>12079.7</v>
      </c>
      <c r="N327" s="234">
        <f t="shared" si="12"/>
        <v>16023.47</v>
      </c>
      <c r="O327" s="234">
        <f t="shared" si="12"/>
        <v>75525.460000000006</v>
      </c>
      <c r="P327" s="234">
        <f t="shared" si="12"/>
        <v>21576.6</v>
      </c>
      <c r="Q327" s="234">
        <f t="shared" si="12"/>
        <v>2246.83</v>
      </c>
      <c r="R327" s="234">
        <f t="shared" si="12"/>
        <v>-4.8899999999999997</v>
      </c>
      <c r="S327" s="234">
        <f t="shared" si="12"/>
        <v>0</v>
      </c>
      <c r="T327" s="234">
        <f t="shared" si="12"/>
        <v>0</v>
      </c>
      <c r="U327" s="234">
        <f t="shared" si="12"/>
        <v>0</v>
      </c>
      <c r="V327" s="234">
        <f t="shared" si="12"/>
        <v>0</v>
      </c>
      <c r="W327" s="234">
        <f t="shared" si="12"/>
        <v>0</v>
      </c>
      <c r="X327" s="234">
        <f t="shared" si="12"/>
        <v>0</v>
      </c>
      <c r="Y327" s="234">
        <f t="shared" si="12"/>
        <v>0</v>
      </c>
      <c r="Z327" s="234">
        <f t="shared" si="12"/>
        <v>0</v>
      </c>
      <c r="AA327" s="234">
        <f t="shared" si="12"/>
        <v>0</v>
      </c>
      <c r="AB327" s="234">
        <f t="shared" si="12"/>
        <v>0</v>
      </c>
      <c r="AC327" s="234">
        <f t="shared" si="12"/>
        <v>0</v>
      </c>
      <c r="AD327" s="234">
        <f t="shared" si="12"/>
        <v>0</v>
      </c>
      <c r="AE327" s="234">
        <f t="shared" si="12"/>
        <v>0</v>
      </c>
      <c r="AF327" s="234">
        <f t="shared" si="12"/>
        <v>0</v>
      </c>
      <c r="AG327" s="234">
        <f t="shared" si="12"/>
        <v>0</v>
      </c>
      <c r="AH327" s="234">
        <f t="shared" si="12"/>
        <v>0</v>
      </c>
      <c r="AI327" s="234">
        <f t="shared" si="12"/>
        <v>0</v>
      </c>
      <c r="AJ327" s="234">
        <f t="shared" si="12"/>
        <v>0</v>
      </c>
      <c r="AK327" s="234">
        <f t="shared" si="12"/>
        <v>0</v>
      </c>
      <c r="AL327" s="234">
        <f t="shared" si="12"/>
        <v>0</v>
      </c>
      <c r="AM327" s="234">
        <f t="shared" si="12"/>
        <v>0</v>
      </c>
      <c r="AN327" s="234">
        <f t="shared" si="12"/>
        <v>0</v>
      </c>
      <c r="AO327" s="234">
        <f t="shared" si="12"/>
        <v>0</v>
      </c>
    </row>
    <row r="328" spans="1:41" ht="12.75" customHeight="1" x14ac:dyDescent="0.25">
      <c r="C328" s="763"/>
      <c r="D328" s="764"/>
      <c r="E328" s="233" t="s">
        <v>73</v>
      </c>
      <c r="F328" s="234">
        <f>F252</f>
        <v>-29661.07</v>
      </c>
      <c r="G328" s="373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</row>
    <row r="329" spans="1:41" ht="12.75" customHeight="1" x14ac:dyDescent="0.3">
      <c r="A329" s="89"/>
      <c r="C329" s="97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</row>
    <row r="330" spans="1:41" ht="12.75" customHeight="1" x14ac:dyDescent="0.25">
      <c r="C330" s="763" t="s">
        <v>160</v>
      </c>
      <c r="D330" s="764" t="s">
        <v>132</v>
      </c>
      <c r="E330" s="223" t="s">
        <v>70</v>
      </c>
      <c r="F330" s="225">
        <v>0</v>
      </c>
      <c r="G330" s="225">
        <v>0</v>
      </c>
      <c r="H330" s="225">
        <v>0</v>
      </c>
      <c r="I330" s="225">
        <v>0</v>
      </c>
      <c r="J330" s="225">
        <v>0</v>
      </c>
      <c r="K330" s="225">
        <v>0</v>
      </c>
      <c r="L330" s="225">
        <v>0</v>
      </c>
      <c r="M330" s="225">
        <v>0</v>
      </c>
      <c r="N330" s="225">
        <v>0</v>
      </c>
      <c r="O330" s="225">
        <v>0</v>
      </c>
      <c r="P330" s="225">
        <v>0</v>
      </c>
      <c r="Q330" s="225">
        <v>0</v>
      </c>
      <c r="R330" s="225">
        <v>0</v>
      </c>
      <c r="S330" s="225">
        <v>0</v>
      </c>
      <c r="T330" s="225">
        <v>0</v>
      </c>
      <c r="U330" s="225"/>
      <c r="V330" s="225"/>
      <c r="W330" s="225"/>
      <c r="X330" s="225">
        <v>0</v>
      </c>
      <c r="Y330" s="225">
        <v>0</v>
      </c>
      <c r="Z330" s="225">
        <v>0</v>
      </c>
      <c r="AA330" s="225">
        <v>0</v>
      </c>
      <c r="AB330" s="225">
        <v>0</v>
      </c>
      <c r="AC330" s="225">
        <v>0</v>
      </c>
      <c r="AD330" s="225">
        <v>0</v>
      </c>
      <c r="AE330" s="225">
        <v>0</v>
      </c>
      <c r="AF330" s="225">
        <v>0</v>
      </c>
      <c r="AG330" s="225">
        <v>0</v>
      </c>
      <c r="AH330" s="225">
        <v>0</v>
      </c>
      <c r="AI330" s="225">
        <v>0</v>
      </c>
      <c r="AJ330" s="225">
        <v>0</v>
      </c>
      <c r="AK330" s="225">
        <v>0</v>
      </c>
      <c r="AL330" s="225">
        <v>0</v>
      </c>
      <c r="AM330" s="225">
        <v>0</v>
      </c>
      <c r="AN330" s="225">
        <v>0</v>
      </c>
      <c r="AO330" s="225">
        <v>0</v>
      </c>
    </row>
    <row r="331" spans="1:41" ht="12.75" customHeight="1" x14ac:dyDescent="0.25">
      <c r="C331" s="763"/>
      <c r="D331" s="764"/>
      <c r="E331" s="223" t="s">
        <v>73</v>
      </c>
      <c r="F331" s="225">
        <v>0</v>
      </c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</row>
    <row r="332" spans="1:41" ht="12.75" customHeight="1" x14ac:dyDescent="0.25">
      <c r="C332" s="763"/>
      <c r="D332" s="764" t="s">
        <v>133</v>
      </c>
      <c r="E332" s="227" t="s">
        <v>70</v>
      </c>
      <c r="F332" s="228">
        <v>0</v>
      </c>
      <c r="G332" s="228">
        <v>0</v>
      </c>
      <c r="H332" s="228">
        <v>0</v>
      </c>
      <c r="I332" s="228">
        <v>0</v>
      </c>
      <c r="J332" s="228">
        <v>0</v>
      </c>
      <c r="K332" s="228">
        <v>0</v>
      </c>
      <c r="L332" s="228">
        <v>0</v>
      </c>
      <c r="M332" s="228">
        <v>0</v>
      </c>
      <c r="N332" s="228">
        <v>0</v>
      </c>
      <c r="O332" s="228">
        <v>0</v>
      </c>
      <c r="P332" s="228">
        <v>0</v>
      </c>
      <c r="Q332" s="228">
        <v>0</v>
      </c>
      <c r="R332" s="228">
        <v>0</v>
      </c>
      <c r="S332" s="228">
        <v>0</v>
      </c>
      <c r="T332" s="228">
        <v>0</v>
      </c>
      <c r="U332" s="228"/>
      <c r="V332" s="228"/>
      <c r="W332" s="228"/>
      <c r="X332" s="228">
        <v>0</v>
      </c>
      <c r="Y332" s="228">
        <v>0</v>
      </c>
      <c r="Z332" s="228">
        <v>0</v>
      </c>
      <c r="AA332" s="228">
        <v>0</v>
      </c>
      <c r="AB332" s="228">
        <v>0</v>
      </c>
      <c r="AC332" s="228">
        <v>0</v>
      </c>
      <c r="AD332" s="228">
        <v>0</v>
      </c>
      <c r="AE332" s="228">
        <v>0</v>
      </c>
      <c r="AF332" s="228">
        <v>0</v>
      </c>
      <c r="AG332" s="228">
        <v>0</v>
      </c>
      <c r="AH332" s="228">
        <v>0</v>
      </c>
      <c r="AI332" s="228">
        <v>0</v>
      </c>
      <c r="AJ332" s="228">
        <v>0</v>
      </c>
      <c r="AK332" s="228">
        <v>0</v>
      </c>
      <c r="AL332" s="228">
        <v>0</v>
      </c>
      <c r="AM332" s="228">
        <v>0</v>
      </c>
      <c r="AN332" s="228">
        <v>0</v>
      </c>
      <c r="AO332" s="228">
        <v>0</v>
      </c>
    </row>
    <row r="333" spans="1:41" ht="12.75" customHeight="1" x14ac:dyDescent="0.25">
      <c r="C333" s="763"/>
      <c r="D333" s="764"/>
      <c r="E333" s="227" t="s">
        <v>73</v>
      </c>
      <c r="F333" s="228">
        <v>0</v>
      </c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</row>
    <row r="334" spans="1:41" ht="12.75" customHeight="1" x14ac:dyDescent="0.3">
      <c r="A334" s="89"/>
      <c r="C334" s="97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</row>
    <row r="335" spans="1:41" ht="12.75" customHeight="1" x14ac:dyDescent="0.25">
      <c r="C335" s="763" t="s">
        <v>155</v>
      </c>
      <c r="D335" s="764" t="s">
        <v>132</v>
      </c>
      <c r="E335" s="221" t="s">
        <v>70</v>
      </c>
      <c r="F335" s="222">
        <f>F255+F233-L233</f>
        <v>10189726607.76</v>
      </c>
      <c r="G335" s="222">
        <f>G233</f>
        <v>628253759.54999995</v>
      </c>
      <c r="H335" s="222">
        <f t="shared" ref="H335:AO335" si="13">H233</f>
        <v>351483694.52999997</v>
      </c>
      <c r="I335" s="222">
        <f t="shared" si="13"/>
        <v>186109795.21000001</v>
      </c>
      <c r="J335" s="222">
        <f t="shared" si="13"/>
        <v>3058153715.6300001</v>
      </c>
      <c r="K335" s="222">
        <f t="shared" si="13"/>
        <v>101588366.84999999</v>
      </c>
      <c r="L335" s="222">
        <f t="shared" si="13"/>
        <v>13400453.24</v>
      </c>
      <c r="M335" s="222">
        <f t="shared" si="13"/>
        <v>891194715.38</v>
      </c>
      <c r="N335" s="222">
        <f t="shared" si="13"/>
        <v>869002975.08000004</v>
      </c>
      <c r="O335" s="222">
        <f t="shared" si="13"/>
        <v>4090764850.1700001</v>
      </c>
      <c r="P335" s="222">
        <f t="shared" si="13"/>
        <v>1487947208.5799999</v>
      </c>
      <c r="Q335" s="222">
        <f t="shared" si="13"/>
        <v>165816869.65000001</v>
      </c>
      <c r="R335" s="222">
        <f t="shared" si="13"/>
        <v>49301.37</v>
      </c>
      <c r="S335" s="222">
        <f t="shared" si="13"/>
        <v>0</v>
      </c>
      <c r="T335" s="222">
        <f t="shared" si="13"/>
        <v>1.07</v>
      </c>
      <c r="U335" s="222">
        <f t="shared" si="13"/>
        <v>0</v>
      </c>
      <c r="V335" s="222">
        <f t="shared" si="13"/>
        <v>0</v>
      </c>
      <c r="W335" s="222">
        <f t="shared" si="13"/>
        <v>0</v>
      </c>
      <c r="X335" s="222">
        <f t="shared" si="13"/>
        <v>0</v>
      </c>
      <c r="Y335" s="222">
        <f t="shared" si="13"/>
        <v>0</v>
      </c>
      <c r="Z335" s="222">
        <f t="shared" si="13"/>
        <v>0</v>
      </c>
      <c r="AA335" s="222">
        <f t="shared" si="13"/>
        <v>0</v>
      </c>
      <c r="AB335" s="222">
        <f t="shared" si="13"/>
        <v>0</v>
      </c>
      <c r="AC335" s="222">
        <f t="shared" si="13"/>
        <v>0</v>
      </c>
      <c r="AD335" s="222">
        <f t="shared" si="13"/>
        <v>0</v>
      </c>
      <c r="AE335" s="222">
        <f t="shared" si="13"/>
        <v>0</v>
      </c>
      <c r="AF335" s="222">
        <f t="shared" si="13"/>
        <v>0</v>
      </c>
      <c r="AG335" s="222">
        <f t="shared" si="13"/>
        <v>0</v>
      </c>
      <c r="AH335" s="222">
        <f t="shared" si="13"/>
        <v>0</v>
      </c>
      <c r="AI335" s="222">
        <f t="shared" si="13"/>
        <v>0</v>
      </c>
      <c r="AJ335" s="222">
        <f t="shared" si="13"/>
        <v>0</v>
      </c>
      <c r="AK335" s="222">
        <f t="shared" si="13"/>
        <v>0</v>
      </c>
      <c r="AL335" s="222">
        <f t="shared" si="13"/>
        <v>0</v>
      </c>
      <c r="AM335" s="222">
        <f t="shared" si="13"/>
        <v>0</v>
      </c>
      <c r="AN335" s="222">
        <f t="shared" si="13"/>
        <v>0</v>
      </c>
      <c r="AO335" s="222">
        <f t="shared" si="13"/>
        <v>0</v>
      </c>
    </row>
    <row r="336" spans="1:41" ht="12.75" customHeight="1" x14ac:dyDescent="0.25">
      <c r="C336" s="763"/>
      <c r="D336" s="764"/>
      <c r="E336" s="221" t="s">
        <v>73</v>
      </c>
      <c r="F336" s="222">
        <f>F255</f>
        <v>-1640638645.3099999</v>
      </c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</row>
    <row r="337" spans="1:41" ht="12.75" customHeight="1" x14ac:dyDescent="0.25">
      <c r="C337" s="763"/>
      <c r="D337" s="764" t="s">
        <v>133</v>
      </c>
      <c r="E337" s="229" t="s">
        <v>70</v>
      </c>
      <c r="F337" s="230">
        <f>F248+F224-L224</f>
        <v>135940</v>
      </c>
      <c r="G337" s="230">
        <f>G224</f>
        <v>7398.44</v>
      </c>
      <c r="H337" s="230">
        <f t="shared" ref="H337:AO337" si="14">H224</f>
        <v>4166.07</v>
      </c>
      <c r="I337" s="230">
        <f t="shared" si="14"/>
        <v>2192.52</v>
      </c>
      <c r="J337" s="230">
        <f t="shared" si="14"/>
        <v>42403.82</v>
      </c>
      <c r="K337" s="230">
        <f t="shared" si="14"/>
        <v>1128.43</v>
      </c>
      <c r="L337" s="230">
        <f t="shared" si="14"/>
        <v>0</v>
      </c>
      <c r="M337" s="230">
        <f t="shared" si="14"/>
        <v>9898.65</v>
      </c>
      <c r="N337" s="230">
        <f t="shared" si="14"/>
        <v>12836.88</v>
      </c>
      <c r="O337" s="230">
        <f t="shared" si="14"/>
        <v>60544.68</v>
      </c>
      <c r="P337" s="230">
        <f t="shared" si="14"/>
        <v>17346.64</v>
      </c>
      <c r="Q337" s="230">
        <f t="shared" si="14"/>
        <v>1841.15</v>
      </c>
      <c r="R337" s="230">
        <f t="shared" si="14"/>
        <v>-4.96</v>
      </c>
      <c r="S337" s="230">
        <f t="shared" si="14"/>
        <v>0</v>
      </c>
      <c r="T337" s="230">
        <f t="shared" si="14"/>
        <v>0</v>
      </c>
      <c r="U337" s="230">
        <f t="shared" si="14"/>
        <v>0</v>
      </c>
      <c r="V337" s="230">
        <f t="shared" si="14"/>
        <v>0</v>
      </c>
      <c r="W337" s="230">
        <f t="shared" si="14"/>
        <v>0</v>
      </c>
      <c r="X337" s="230">
        <f t="shared" si="14"/>
        <v>0</v>
      </c>
      <c r="Y337" s="230">
        <f t="shared" si="14"/>
        <v>0</v>
      </c>
      <c r="Z337" s="230">
        <f t="shared" si="14"/>
        <v>0</v>
      </c>
      <c r="AA337" s="230">
        <f t="shared" si="14"/>
        <v>0</v>
      </c>
      <c r="AB337" s="230">
        <f t="shared" si="14"/>
        <v>0</v>
      </c>
      <c r="AC337" s="230">
        <f t="shared" si="14"/>
        <v>0</v>
      </c>
      <c r="AD337" s="230">
        <f t="shared" si="14"/>
        <v>0</v>
      </c>
      <c r="AE337" s="230">
        <f t="shared" si="14"/>
        <v>0</v>
      </c>
      <c r="AF337" s="230">
        <f t="shared" si="14"/>
        <v>0</v>
      </c>
      <c r="AG337" s="230">
        <f t="shared" si="14"/>
        <v>0</v>
      </c>
      <c r="AH337" s="230">
        <f t="shared" si="14"/>
        <v>0</v>
      </c>
      <c r="AI337" s="230">
        <f t="shared" si="14"/>
        <v>0</v>
      </c>
      <c r="AJ337" s="230">
        <f t="shared" si="14"/>
        <v>0</v>
      </c>
      <c r="AK337" s="230">
        <f t="shared" si="14"/>
        <v>0</v>
      </c>
      <c r="AL337" s="230">
        <f t="shared" si="14"/>
        <v>0</v>
      </c>
      <c r="AM337" s="230">
        <f t="shared" si="14"/>
        <v>0</v>
      </c>
      <c r="AN337" s="230">
        <f t="shared" si="14"/>
        <v>0</v>
      </c>
      <c r="AO337" s="230">
        <f t="shared" si="14"/>
        <v>0</v>
      </c>
    </row>
    <row r="338" spans="1:41" ht="12.75" customHeight="1" x14ac:dyDescent="0.25">
      <c r="C338" s="763"/>
      <c r="D338" s="764"/>
      <c r="E338" s="229" t="s">
        <v>73</v>
      </c>
      <c r="F338" s="230">
        <f>F248</f>
        <v>-23812.32</v>
      </c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</row>
    <row r="339" spans="1:41" ht="12.75" customHeight="1" x14ac:dyDescent="0.3">
      <c r="A339" s="89"/>
      <c r="C339" s="97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</row>
    <row r="340" spans="1:41" ht="12.75" customHeight="1" x14ac:dyDescent="0.25">
      <c r="C340" s="766" t="s">
        <v>324</v>
      </c>
      <c r="D340" s="764" t="s">
        <v>132</v>
      </c>
      <c r="E340" s="375" t="s">
        <v>70</v>
      </c>
      <c r="F340" s="376">
        <v>0</v>
      </c>
      <c r="G340" s="376">
        <v>0</v>
      </c>
      <c r="H340" s="376">
        <v>0</v>
      </c>
      <c r="I340" s="376">
        <v>0</v>
      </c>
      <c r="J340" s="376">
        <v>0</v>
      </c>
      <c r="K340" s="376">
        <v>0</v>
      </c>
      <c r="L340" s="376">
        <v>0</v>
      </c>
      <c r="M340" s="376">
        <v>0</v>
      </c>
      <c r="N340" s="376">
        <v>0</v>
      </c>
      <c r="O340" s="376">
        <v>0</v>
      </c>
      <c r="P340" s="376">
        <v>0</v>
      </c>
      <c r="Q340" s="376">
        <v>0</v>
      </c>
      <c r="R340" s="376">
        <v>0</v>
      </c>
      <c r="S340" s="376">
        <v>0</v>
      </c>
      <c r="T340" s="376">
        <v>0</v>
      </c>
      <c r="U340" s="376">
        <v>0</v>
      </c>
      <c r="V340" s="376">
        <v>0</v>
      </c>
      <c r="W340" s="376">
        <v>0</v>
      </c>
      <c r="X340" s="376">
        <v>0</v>
      </c>
      <c r="Y340" s="376">
        <v>0</v>
      </c>
      <c r="Z340" s="376">
        <v>0</v>
      </c>
      <c r="AA340" s="376">
        <v>0</v>
      </c>
      <c r="AB340" s="376">
        <v>0</v>
      </c>
      <c r="AC340" s="376">
        <v>0</v>
      </c>
      <c r="AD340" s="376">
        <v>0</v>
      </c>
      <c r="AE340" s="376">
        <v>0</v>
      </c>
      <c r="AF340" s="376">
        <v>0</v>
      </c>
      <c r="AG340" s="376">
        <v>0</v>
      </c>
      <c r="AH340" s="376">
        <v>0</v>
      </c>
      <c r="AI340" s="376">
        <v>0</v>
      </c>
      <c r="AJ340" s="376">
        <v>0</v>
      </c>
      <c r="AK340" s="376">
        <v>0</v>
      </c>
      <c r="AL340" s="376">
        <v>0</v>
      </c>
      <c r="AM340" s="376">
        <v>0</v>
      </c>
      <c r="AN340" s="376">
        <v>0</v>
      </c>
      <c r="AO340" s="376">
        <v>0</v>
      </c>
    </row>
    <row r="341" spans="1:41" ht="12.75" customHeight="1" x14ac:dyDescent="0.25">
      <c r="C341" s="766"/>
      <c r="D341" s="764"/>
      <c r="E341" s="375" t="s">
        <v>73</v>
      </c>
      <c r="F341" s="376">
        <v>0</v>
      </c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</row>
    <row r="342" spans="1:41" ht="12.75" customHeight="1" x14ac:dyDescent="0.25">
      <c r="C342" s="766"/>
      <c r="D342" s="764" t="s">
        <v>133</v>
      </c>
      <c r="E342" s="242" t="s">
        <v>70</v>
      </c>
      <c r="F342" s="243">
        <v>0</v>
      </c>
      <c r="G342" s="243">
        <v>0</v>
      </c>
      <c r="H342" s="243">
        <v>0</v>
      </c>
      <c r="I342" s="243">
        <v>0</v>
      </c>
      <c r="J342" s="243">
        <v>0</v>
      </c>
      <c r="K342" s="243">
        <v>0</v>
      </c>
      <c r="L342" s="243">
        <v>0</v>
      </c>
      <c r="M342" s="243">
        <v>0</v>
      </c>
      <c r="N342" s="243">
        <v>0</v>
      </c>
      <c r="O342" s="243">
        <v>0</v>
      </c>
      <c r="P342" s="243">
        <v>0</v>
      </c>
      <c r="Q342" s="243">
        <v>0</v>
      </c>
      <c r="R342" s="243">
        <v>0</v>
      </c>
      <c r="S342" s="243">
        <v>0</v>
      </c>
      <c r="T342" s="243">
        <v>0</v>
      </c>
      <c r="U342" s="243">
        <v>0</v>
      </c>
      <c r="V342" s="243">
        <v>0</v>
      </c>
      <c r="W342" s="243">
        <v>0</v>
      </c>
      <c r="X342" s="243">
        <v>0</v>
      </c>
      <c r="Y342" s="243">
        <v>0</v>
      </c>
      <c r="Z342" s="243">
        <v>0</v>
      </c>
      <c r="AA342" s="243">
        <v>0</v>
      </c>
      <c r="AB342" s="243">
        <v>0</v>
      </c>
      <c r="AC342" s="243">
        <v>0</v>
      </c>
      <c r="AD342" s="243">
        <v>0</v>
      </c>
      <c r="AE342" s="243">
        <v>0</v>
      </c>
      <c r="AF342" s="243">
        <v>0</v>
      </c>
      <c r="AG342" s="243">
        <v>0</v>
      </c>
      <c r="AH342" s="243">
        <v>0</v>
      </c>
      <c r="AI342" s="243">
        <v>0</v>
      </c>
      <c r="AJ342" s="243">
        <v>0</v>
      </c>
      <c r="AK342" s="243">
        <v>0</v>
      </c>
      <c r="AL342" s="243">
        <v>0</v>
      </c>
      <c r="AM342" s="243">
        <v>0</v>
      </c>
      <c r="AN342" s="243">
        <v>0</v>
      </c>
      <c r="AO342" s="243">
        <v>0</v>
      </c>
    </row>
    <row r="343" spans="1:41" ht="12.75" customHeight="1" x14ac:dyDescent="0.25">
      <c r="C343" s="766"/>
      <c r="D343" s="764"/>
      <c r="E343" s="242" t="s">
        <v>73</v>
      </c>
      <c r="F343" s="243">
        <v>0</v>
      </c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</row>
    <row r="344" spans="1:41" ht="12.75" customHeight="1" x14ac:dyDescent="0.3">
      <c r="A344" s="89"/>
      <c r="C344" s="97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</row>
    <row r="345" spans="1:41" ht="12.75" customHeight="1" x14ac:dyDescent="0.25">
      <c r="C345" s="763" t="s">
        <v>119</v>
      </c>
      <c r="D345" s="764" t="s">
        <v>132</v>
      </c>
      <c r="E345" s="101" t="s">
        <v>70</v>
      </c>
      <c r="F345" s="93">
        <f>F262+F243+F218-L218-L243</f>
        <v>683985068.17999995</v>
      </c>
      <c r="G345" s="93">
        <f>G243+G218</f>
        <v>81226338.620000005</v>
      </c>
      <c r="H345" s="93">
        <f t="shared" ref="H345:AO345" si="15">H243+H218</f>
        <v>45313986.990000002</v>
      </c>
      <c r="I345" s="93">
        <f t="shared" si="15"/>
        <v>23962560.170000002</v>
      </c>
      <c r="J345" s="93">
        <f t="shared" si="15"/>
        <v>27884825.619999997</v>
      </c>
      <c r="K345" s="93">
        <f t="shared" si="15"/>
        <v>865442.97</v>
      </c>
      <c r="L345" s="93">
        <f t="shared" si="15"/>
        <v>12116788.82</v>
      </c>
      <c r="M345" s="93">
        <f t="shared" si="15"/>
        <v>7565917.7000000002</v>
      </c>
      <c r="N345" s="93">
        <f t="shared" si="15"/>
        <v>10066828.120000001</v>
      </c>
      <c r="O345" s="93">
        <f t="shared" si="15"/>
        <v>47063488.43</v>
      </c>
      <c r="P345" s="93">
        <f t="shared" si="15"/>
        <v>191997318.60999998</v>
      </c>
      <c r="Q345" s="93">
        <f t="shared" si="15"/>
        <v>1414549.93</v>
      </c>
      <c r="R345" s="93">
        <f t="shared" si="15"/>
        <v>-2417.09</v>
      </c>
      <c r="S345" s="93">
        <f t="shared" si="15"/>
        <v>4.08</v>
      </c>
      <c r="T345" s="93">
        <f t="shared" si="15"/>
        <v>0.42</v>
      </c>
      <c r="U345" s="93">
        <f t="shared" si="15"/>
        <v>-6.28</v>
      </c>
      <c r="V345" s="93">
        <f t="shared" si="15"/>
        <v>0</v>
      </c>
      <c r="W345" s="93">
        <f t="shared" si="15"/>
        <v>0</v>
      </c>
      <c r="X345" s="93">
        <f t="shared" si="15"/>
        <v>0</v>
      </c>
      <c r="Y345" s="93">
        <f t="shared" si="15"/>
        <v>-0.1</v>
      </c>
      <c r="Z345" s="93">
        <f t="shared" si="15"/>
        <v>0</v>
      </c>
      <c r="AA345" s="93">
        <f t="shared" si="15"/>
        <v>0</v>
      </c>
      <c r="AB345" s="93">
        <f t="shared" si="15"/>
        <v>0</v>
      </c>
      <c r="AC345" s="93">
        <f t="shared" si="15"/>
        <v>0</v>
      </c>
      <c r="AD345" s="93">
        <f t="shared" si="15"/>
        <v>0</v>
      </c>
      <c r="AE345" s="93">
        <f t="shared" si="15"/>
        <v>0</v>
      </c>
      <c r="AF345" s="93">
        <f t="shared" si="15"/>
        <v>0</v>
      </c>
      <c r="AG345" s="93">
        <f t="shared" si="15"/>
        <v>0</v>
      </c>
      <c r="AH345" s="93">
        <f t="shared" si="15"/>
        <v>0</v>
      </c>
      <c r="AI345" s="93">
        <f t="shared" si="15"/>
        <v>0</v>
      </c>
      <c r="AJ345" s="93">
        <f t="shared" si="15"/>
        <v>0</v>
      </c>
      <c r="AK345" s="93">
        <f t="shared" si="15"/>
        <v>0</v>
      </c>
      <c r="AL345" s="93">
        <f t="shared" si="15"/>
        <v>0</v>
      </c>
      <c r="AM345" s="93">
        <f t="shared" si="15"/>
        <v>0</v>
      </c>
      <c r="AN345" s="93">
        <f t="shared" si="15"/>
        <v>0</v>
      </c>
      <c r="AO345" s="93">
        <f t="shared" si="15"/>
        <v>0</v>
      </c>
    </row>
    <row r="346" spans="1:41" ht="12.75" customHeight="1" x14ac:dyDescent="0.25">
      <c r="C346" s="763"/>
      <c r="D346" s="764"/>
      <c r="E346" s="101" t="s">
        <v>73</v>
      </c>
      <c r="F346" s="93">
        <f>F262</f>
        <v>246626229.99000001</v>
      </c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</row>
    <row r="347" spans="1:41" ht="12.75" customHeight="1" x14ac:dyDescent="0.25">
      <c r="C347" s="763"/>
      <c r="D347" s="764" t="s">
        <v>133</v>
      </c>
      <c r="E347" s="235" t="s">
        <v>70</v>
      </c>
      <c r="F347" s="236">
        <f>F251+F228-L228</f>
        <v>33180</v>
      </c>
      <c r="G347" s="236">
        <f>G228</f>
        <v>1783.98</v>
      </c>
      <c r="H347" s="236">
        <f t="shared" ref="H347:AO347" si="16">H228</f>
        <v>996.57</v>
      </c>
      <c r="I347" s="236">
        <f t="shared" si="16"/>
        <v>528.67999999999995</v>
      </c>
      <c r="J347" s="236">
        <f t="shared" si="16"/>
        <v>10486.75</v>
      </c>
      <c r="K347" s="236">
        <f t="shared" si="16"/>
        <v>248.64</v>
      </c>
      <c r="L347" s="236">
        <f t="shared" si="16"/>
        <v>0</v>
      </c>
      <c r="M347" s="236">
        <f t="shared" si="16"/>
        <v>2181.0500000000002</v>
      </c>
      <c r="N347" s="236">
        <f t="shared" si="16"/>
        <v>3186.59</v>
      </c>
      <c r="O347" s="236">
        <f t="shared" si="16"/>
        <v>14980.78</v>
      </c>
      <c r="P347" s="236">
        <f t="shared" si="16"/>
        <v>4229.96</v>
      </c>
      <c r="Q347" s="236">
        <f t="shared" si="16"/>
        <v>405.68</v>
      </c>
      <c r="R347" s="236">
        <f t="shared" si="16"/>
        <v>7.0000000000000007E-2</v>
      </c>
      <c r="S347" s="236">
        <f t="shared" si="16"/>
        <v>0</v>
      </c>
      <c r="T347" s="236">
        <f t="shared" si="16"/>
        <v>0</v>
      </c>
      <c r="U347" s="236">
        <f t="shared" si="16"/>
        <v>0</v>
      </c>
      <c r="V347" s="236">
        <f t="shared" si="16"/>
        <v>0</v>
      </c>
      <c r="W347" s="236">
        <f t="shared" si="16"/>
        <v>0</v>
      </c>
      <c r="X347" s="236">
        <f t="shared" si="16"/>
        <v>0</v>
      </c>
      <c r="Y347" s="236">
        <f t="shared" si="16"/>
        <v>0</v>
      </c>
      <c r="Z347" s="236">
        <f t="shared" si="16"/>
        <v>0</v>
      </c>
      <c r="AA347" s="236">
        <f t="shared" si="16"/>
        <v>0</v>
      </c>
      <c r="AB347" s="236">
        <f t="shared" si="16"/>
        <v>0</v>
      </c>
      <c r="AC347" s="236">
        <f t="shared" si="16"/>
        <v>0</v>
      </c>
      <c r="AD347" s="236">
        <f t="shared" si="16"/>
        <v>0</v>
      </c>
      <c r="AE347" s="236">
        <f t="shared" si="16"/>
        <v>0</v>
      </c>
      <c r="AF347" s="236">
        <f t="shared" si="16"/>
        <v>0</v>
      </c>
      <c r="AG347" s="236">
        <f t="shared" si="16"/>
        <v>0</v>
      </c>
      <c r="AH347" s="236">
        <f t="shared" si="16"/>
        <v>0</v>
      </c>
      <c r="AI347" s="236">
        <f t="shared" si="16"/>
        <v>0</v>
      </c>
      <c r="AJ347" s="236">
        <f t="shared" si="16"/>
        <v>0</v>
      </c>
      <c r="AK347" s="236">
        <f t="shared" si="16"/>
        <v>0</v>
      </c>
      <c r="AL347" s="236">
        <f t="shared" si="16"/>
        <v>0</v>
      </c>
      <c r="AM347" s="236">
        <f t="shared" si="16"/>
        <v>0</v>
      </c>
      <c r="AN347" s="236">
        <f t="shared" si="16"/>
        <v>0</v>
      </c>
      <c r="AO347" s="236">
        <f t="shared" si="16"/>
        <v>0</v>
      </c>
    </row>
    <row r="348" spans="1:41" ht="12.75" customHeight="1" x14ac:dyDescent="0.25">
      <c r="C348" s="763"/>
      <c r="D348" s="764"/>
      <c r="E348" s="235" t="s">
        <v>73</v>
      </c>
      <c r="F348" s="236">
        <f>F251</f>
        <v>-5848.75</v>
      </c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</row>
    <row r="349" spans="1:41" ht="12.75" customHeight="1" x14ac:dyDescent="0.3">
      <c r="A349" s="89"/>
      <c r="C349" s="97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</row>
    <row r="350" spans="1:41" ht="12.75" customHeight="1" x14ac:dyDescent="0.25">
      <c r="C350" s="765" t="s">
        <v>161</v>
      </c>
      <c r="D350" s="764" t="s">
        <v>132</v>
      </c>
      <c r="E350" s="231" t="s">
        <v>70</v>
      </c>
      <c r="F350" s="232">
        <v>0</v>
      </c>
      <c r="G350" s="232">
        <v>0</v>
      </c>
      <c r="H350" s="232">
        <v>0</v>
      </c>
      <c r="I350" s="232">
        <v>0</v>
      </c>
      <c r="J350" s="232">
        <v>0</v>
      </c>
      <c r="K350" s="232">
        <v>0</v>
      </c>
      <c r="L350" s="232">
        <v>0</v>
      </c>
      <c r="M350" s="232">
        <v>0</v>
      </c>
      <c r="N350" s="232">
        <v>0</v>
      </c>
      <c r="O350" s="232">
        <v>0</v>
      </c>
      <c r="P350" s="232">
        <v>0</v>
      </c>
      <c r="Q350" s="232">
        <v>0</v>
      </c>
      <c r="R350" s="232">
        <v>0</v>
      </c>
      <c r="S350" s="232">
        <v>0</v>
      </c>
      <c r="T350" s="232">
        <v>0</v>
      </c>
      <c r="U350" s="232"/>
      <c r="V350" s="232"/>
      <c r="W350" s="232"/>
      <c r="X350" s="232">
        <v>0</v>
      </c>
      <c r="Y350" s="232">
        <v>0</v>
      </c>
      <c r="Z350" s="232">
        <v>0</v>
      </c>
      <c r="AA350" s="232">
        <v>0</v>
      </c>
      <c r="AB350" s="232">
        <v>0</v>
      </c>
      <c r="AC350" s="232">
        <v>0</v>
      </c>
      <c r="AD350" s="232">
        <v>0</v>
      </c>
      <c r="AE350" s="232">
        <v>0</v>
      </c>
      <c r="AF350" s="232">
        <v>0</v>
      </c>
      <c r="AG350" s="232">
        <v>0</v>
      </c>
      <c r="AH350" s="232">
        <v>0</v>
      </c>
      <c r="AI350" s="232">
        <v>0</v>
      </c>
      <c r="AJ350" s="232">
        <v>0</v>
      </c>
      <c r="AK350" s="232">
        <v>0</v>
      </c>
      <c r="AL350" s="232">
        <v>0</v>
      </c>
      <c r="AM350" s="232">
        <v>0</v>
      </c>
      <c r="AN350" s="232">
        <v>0</v>
      </c>
      <c r="AO350" s="232">
        <v>0</v>
      </c>
    </row>
    <row r="351" spans="1:41" ht="12.75" customHeight="1" x14ac:dyDescent="0.25">
      <c r="C351" s="765"/>
      <c r="D351" s="764"/>
      <c r="E351" s="231" t="s">
        <v>73</v>
      </c>
      <c r="F351" s="232">
        <v>0</v>
      </c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</row>
    <row r="352" spans="1:41" ht="12.75" customHeight="1" x14ac:dyDescent="0.25">
      <c r="C352" s="765"/>
      <c r="D352" s="764" t="s">
        <v>133</v>
      </c>
      <c r="E352" s="148" t="s">
        <v>70</v>
      </c>
      <c r="F352" s="149">
        <v>0</v>
      </c>
      <c r="G352" s="149">
        <v>0</v>
      </c>
      <c r="H352" s="149">
        <v>0</v>
      </c>
      <c r="I352" s="149">
        <v>0</v>
      </c>
      <c r="J352" s="149">
        <v>0</v>
      </c>
      <c r="K352" s="149">
        <v>0</v>
      </c>
      <c r="L352" s="149">
        <v>0</v>
      </c>
      <c r="M352" s="149">
        <v>0</v>
      </c>
      <c r="N352" s="149">
        <v>0</v>
      </c>
      <c r="O352" s="149">
        <v>0</v>
      </c>
      <c r="P352" s="149">
        <v>0</v>
      </c>
      <c r="Q352" s="149">
        <v>0</v>
      </c>
      <c r="R352" s="149">
        <v>0</v>
      </c>
      <c r="S352" s="149">
        <v>0</v>
      </c>
      <c r="T352" s="149">
        <v>0</v>
      </c>
      <c r="U352" s="149"/>
      <c r="V352" s="149"/>
      <c r="W352" s="149"/>
      <c r="X352" s="149">
        <v>0</v>
      </c>
      <c r="Y352" s="149">
        <v>0</v>
      </c>
      <c r="Z352" s="149">
        <v>0</v>
      </c>
      <c r="AA352" s="149">
        <v>0</v>
      </c>
      <c r="AB352" s="149">
        <v>0</v>
      </c>
      <c r="AC352" s="149">
        <v>0</v>
      </c>
      <c r="AD352" s="149">
        <v>0</v>
      </c>
      <c r="AE352" s="149">
        <v>0</v>
      </c>
      <c r="AF352" s="149">
        <v>0</v>
      </c>
      <c r="AG352" s="149">
        <v>0</v>
      </c>
      <c r="AH352" s="149">
        <v>0</v>
      </c>
      <c r="AI352" s="149">
        <v>0</v>
      </c>
      <c r="AJ352" s="149">
        <v>0</v>
      </c>
      <c r="AK352" s="149">
        <v>0</v>
      </c>
      <c r="AL352" s="149">
        <v>0</v>
      </c>
      <c r="AM352" s="149">
        <v>0</v>
      </c>
      <c r="AN352" s="149">
        <v>0</v>
      </c>
      <c r="AO352" s="149">
        <v>0</v>
      </c>
    </row>
    <row r="353" spans="1:26" ht="12.75" customHeight="1" x14ac:dyDescent="0.25">
      <c r="C353" s="765"/>
      <c r="D353" s="764"/>
      <c r="E353" s="148" t="s">
        <v>73</v>
      </c>
      <c r="F353" s="149">
        <v>0</v>
      </c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</row>
    <row r="354" spans="1:26" ht="12.75" customHeight="1" x14ac:dyDescent="0.25">
      <c r="C354" s="390"/>
      <c r="D354" s="220"/>
      <c r="E354" s="89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</row>
    <row r="355" spans="1:26" ht="12.75" customHeight="1" x14ac:dyDescent="0.25">
      <c r="D355" s="460" t="s">
        <v>185</v>
      </c>
      <c r="E355" s="461" t="s">
        <v>70</v>
      </c>
      <c r="F355" s="462">
        <f>F220</f>
        <v>-5649.87</v>
      </c>
      <c r="G355" s="462">
        <f t="shared" ref="G355:T355" si="17">G220</f>
        <v>-501.3</v>
      </c>
      <c r="H355" s="462">
        <f t="shared" si="17"/>
        <v>-212.97</v>
      </c>
      <c r="I355" s="462">
        <f t="shared" si="17"/>
        <v>-93</v>
      </c>
      <c r="J355" s="462">
        <f t="shared" si="17"/>
        <v>-1090.28</v>
      </c>
      <c r="K355" s="462">
        <f t="shared" si="17"/>
        <v>-44.92</v>
      </c>
      <c r="L355" s="462">
        <f t="shared" si="17"/>
        <v>0</v>
      </c>
      <c r="M355" s="462">
        <f t="shared" si="17"/>
        <v>-394.01</v>
      </c>
      <c r="N355" s="462">
        <f t="shared" si="17"/>
        <v>-493.87</v>
      </c>
      <c r="O355" s="462">
        <f t="shared" si="17"/>
        <v>-1658.87</v>
      </c>
      <c r="P355" s="462">
        <f t="shared" si="17"/>
        <v>-1087.3599999999999</v>
      </c>
      <c r="Q355" s="462">
        <f t="shared" si="17"/>
        <v>-73.290000000000006</v>
      </c>
      <c r="R355" s="462">
        <f t="shared" si="17"/>
        <v>0</v>
      </c>
      <c r="S355" s="462">
        <f t="shared" si="17"/>
        <v>0</v>
      </c>
      <c r="T355" s="462">
        <f t="shared" si="17"/>
        <v>0</v>
      </c>
      <c r="U355" s="462"/>
      <c r="V355" s="462"/>
      <c r="W355" s="462"/>
      <c r="X355" s="462" t="e">
        <f>#REF!</f>
        <v>#REF!</v>
      </c>
      <c r="Y355" s="462" t="e">
        <f>#REF!</f>
        <v>#REF!</v>
      </c>
      <c r="Z355" s="462" t="e">
        <f>#REF!</f>
        <v>#REF!</v>
      </c>
    </row>
    <row r="356" spans="1:26" ht="12.75" customHeight="1" x14ac:dyDescent="0.25">
      <c r="C356" s="390"/>
      <c r="D356" s="220"/>
      <c r="E356" s="89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</row>
    <row r="357" spans="1:26" s="238" customFormat="1" ht="12.75" customHeight="1" x14ac:dyDescent="0.25">
      <c r="D357" s="239"/>
      <c r="E357" s="240"/>
      <c r="F357" s="240"/>
      <c r="G357" s="240"/>
      <c r="H357" s="240"/>
      <c r="I357" s="240"/>
      <c r="J357" s="240"/>
      <c r="K357" s="240"/>
      <c r="L357" s="240"/>
      <c r="M357" s="240"/>
      <c r="N357" s="240"/>
      <c r="O357" s="240"/>
      <c r="P357" s="240"/>
      <c r="Q357" s="240"/>
    </row>
    <row r="358" spans="1:26" ht="12.75" customHeight="1" x14ac:dyDescent="0.3">
      <c r="A358" s="89"/>
      <c r="B358" s="97" t="s">
        <v>88</v>
      </c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</row>
    <row r="359" spans="1:26" ht="12.75" customHeight="1" x14ac:dyDescent="0.25">
      <c r="A359" s="142"/>
      <c r="F359" s="89" t="s">
        <v>70</v>
      </c>
      <c r="G359" s="89" t="s">
        <v>64</v>
      </c>
      <c r="H359" s="89" t="s">
        <v>65</v>
      </c>
      <c r="I359" s="218" t="s">
        <v>164</v>
      </c>
      <c r="J359" s="89" t="s">
        <v>69</v>
      </c>
      <c r="K359" s="89" t="s">
        <v>68</v>
      </c>
      <c r="L359" s="89" t="s">
        <v>71</v>
      </c>
      <c r="M359" s="89" t="s">
        <v>66</v>
      </c>
      <c r="N359" s="89" t="s">
        <v>63</v>
      </c>
      <c r="O359" s="89" t="s">
        <v>61</v>
      </c>
      <c r="P359" s="89" t="s">
        <v>62</v>
      </c>
      <c r="Q359" s="89" t="s">
        <v>67</v>
      </c>
      <c r="R359" s="89" t="s">
        <v>77</v>
      </c>
      <c r="S359" s="89" t="s">
        <v>80</v>
      </c>
      <c r="T359" t="s">
        <v>135</v>
      </c>
      <c r="U359" t="s">
        <v>172</v>
      </c>
      <c r="V359" t="s">
        <v>221</v>
      </c>
      <c r="W359" t="s">
        <v>172</v>
      </c>
      <c r="X359" t="s">
        <v>172</v>
      </c>
      <c r="Y359" s="89" t="s">
        <v>135</v>
      </c>
      <c r="Z359" t="s">
        <v>166</v>
      </c>
    </row>
    <row r="360" spans="1:26" ht="12.75" customHeight="1" x14ac:dyDescent="0.25">
      <c r="E360" s="89" t="s">
        <v>72</v>
      </c>
      <c r="F360" s="373">
        <v>-15991.96</v>
      </c>
      <c r="G360" s="90">
        <v>-1301.22</v>
      </c>
      <c r="H360" s="90">
        <v>-552.80999999999995</v>
      </c>
      <c r="I360" s="90">
        <v>-241.41</v>
      </c>
      <c r="J360" s="90">
        <v>-2950.14</v>
      </c>
      <c r="K360" s="90">
        <v>-120.15</v>
      </c>
      <c r="L360" s="90">
        <v>0</v>
      </c>
      <c r="M360" s="90">
        <v>-1053.8699999999999</v>
      </c>
      <c r="N360" s="90">
        <v>-1340.1</v>
      </c>
      <c r="O360" s="90">
        <v>-4920.57</v>
      </c>
      <c r="P360" s="90">
        <v>-3315.67</v>
      </c>
      <c r="Q360" s="90">
        <v>-196.02</v>
      </c>
      <c r="R360" s="90">
        <v>0</v>
      </c>
      <c r="S360" s="9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 s="90">
        <v>0</v>
      </c>
      <c r="Z360">
        <v>0</v>
      </c>
    </row>
    <row r="361" spans="1:26" ht="12.75" customHeight="1" x14ac:dyDescent="0.25">
      <c r="D361" t="s">
        <v>156</v>
      </c>
      <c r="E361" s="89" t="s">
        <v>70</v>
      </c>
      <c r="F361" s="715">
        <v>-15991.96</v>
      </c>
      <c r="G361" s="90">
        <v>-1301.22</v>
      </c>
      <c r="H361" s="90">
        <v>-552.80999999999995</v>
      </c>
      <c r="I361" s="90">
        <v>-241.41</v>
      </c>
      <c r="J361" s="90">
        <v>-2950.14</v>
      </c>
      <c r="K361" s="90">
        <v>-120.15</v>
      </c>
      <c r="L361" s="90">
        <v>0</v>
      </c>
      <c r="M361" s="90">
        <v>-1053.8699999999999</v>
      </c>
      <c r="N361" s="90">
        <v>-1340.1</v>
      </c>
      <c r="O361" s="90">
        <v>-4920.57</v>
      </c>
      <c r="P361" s="90">
        <v>-3315.67</v>
      </c>
      <c r="Q361" s="90">
        <v>-196.02</v>
      </c>
      <c r="R361" s="90">
        <v>0</v>
      </c>
      <c r="S361" s="90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 s="90">
        <v>0</v>
      </c>
      <c r="Z361">
        <v>0</v>
      </c>
    </row>
    <row r="362" spans="1:26" s="648" customFormat="1" ht="12.75" customHeight="1" x14ac:dyDescent="0.25">
      <c r="C362" s="648" t="s">
        <v>155</v>
      </c>
      <c r="D362" s="648" t="s">
        <v>70</v>
      </c>
      <c r="E362" s="649"/>
      <c r="F362" s="740">
        <v>-15991.96</v>
      </c>
      <c r="G362" s="650">
        <v>-1301.22</v>
      </c>
      <c r="H362" s="650">
        <v>-552.80999999999995</v>
      </c>
      <c r="I362" s="650">
        <v>-241.41</v>
      </c>
      <c r="J362" s="650">
        <v>-2950.14</v>
      </c>
      <c r="K362" s="650">
        <v>-120.15</v>
      </c>
      <c r="L362" s="650">
        <v>0</v>
      </c>
      <c r="M362" s="650">
        <v>-1053.8699999999999</v>
      </c>
      <c r="N362" s="650">
        <v>-1340.1</v>
      </c>
      <c r="O362" s="650">
        <v>-4920.57</v>
      </c>
      <c r="P362" s="650">
        <v>-3315.67</v>
      </c>
      <c r="Q362" s="650">
        <v>-196.02</v>
      </c>
      <c r="R362" s="650">
        <v>0</v>
      </c>
      <c r="S362" s="650">
        <v>0</v>
      </c>
      <c r="T362" s="648">
        <v>0</v>
      </c>
      <c r="U362" s="648">
        <v>0</v>
      </c>
      <c r="V362" s="648">
        <v>0</v>
      </c>
      <c r="W362" s="648">
        <v>0</v>
      </c>
      <c r="X362" s="648">
        <v>0</v>
      </c>
      <c r="Y362" s="650">
        <v>0</v>
      </c>
      <c r="Z362" s="648">
        <v>0</v>
      </c>
    </row>
    <row r="363" spans="1:26" ht="12.75" customHeight="1" x14ac:dyDescent="0.25">
      <c r="E363" s="89" t="s">
        <v>72</v>
      </c>
      <c r="F363" s="373">
        <v>-29658.04</v>
      </c>
      <c r="G363" s="90">
        <v>-2430.33</v>
      </c>
      <c r="H363" s="90">
        <v>-1032.48</v>
      </c>
      <c r="I363" s="90">
        <v>-450.9</v>
      </c>
      <c r="J363" s="90">
        <v>-5451.38</v>
      </c>
      <c r="K363" s="90">
        <v>-222</v>
      </c>
      <c r="L363" s="90">
        <v>0</v>
      </c>
      <c r="M363" s="90">
        <v>-1947.33</v>
      </c>
      <c r="N363" s="90">
        <v>-2476.2399999999998</v>
      </c>
      <c r="O363" s="90">
        <v>-9092.3700000000008</v>
      </c>
      <c r="P363" s="90">
        <v>-6192.77</v>
      </c>
      <c r="Q363" s="90">
        <v>-362.24</v>
      </c>
      <c r="R363" s="90">
        <v>0</v>
      </c>
      <c r="S363" s="90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 s="90">
        <v>0</v>
      </c>
      <c r="Z363">
        <v>0</v>
      </c>
    </row>
    <row r="364" spans="1:26" ht="12.75" customHeight="1" x14ac:dyDescent="0.25">
      <c r="D364" t="s">
        <v>86</v>
      </c>
      <c r="E364" s="89" t="s">
        <v>70</v>
      </c>
      <c r="F364" s="373">
        <v>-29658.04</v>
      </c>
      <c r="G364" s="90">
        <v>-2430.33</v>
      </c>
      <c r="H364" s="90">
        <v>-1032.48</v>
      </c>
      <c r="I364" s="90">
        <v>-450.9</v>
      </c>
      <c r="J364" s="90">
        <v>-5451.38</v>
      </c>
      <c r="K364" s="90">
        <v>-222</v>
      </c>
      <c r="L364" s="90">
        <v>0</v>
      </c>
      <c r="M364" s="90">
        <v>-1947.33</v>
      </c>
      <c r="N364" s="90">
        <v>-2476.2399999999998</v>
      </c>
      <c r="O364" s="90">
        <v>-9092.3700000000008</v>
      </c>
      <c r="P364" s="90">
        <v>-6192.77</v>
      </c>
      <c r="Q364" s="90">
        <v>-362.24</v>
      </c>
      <c r="R364" s="90">
        <v>0</v>
      </c>
      <c r="S364" s="90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 s="90">
        <v>0</v>
      </c>
      <c r="Z364">
        <v>0</v>
      </c>
    </row>
    <row r="365" spans="1:26" s="94" customFormat="1" ht="12.75" customHeight="1" x14ac:dyDescent="0.25">
      <c r="C365" s="94" t="s">
        <v>119</v>
      </c>
      <c r="D365" s="94" t="s">
        <v>70</v>
      </c>
      <c r="E365" s="101"/>
      <c r="F365" s="716">
        <v>-29658.04</v>
      </c>
      <c r="G365" s="93">
        <v>-2430.33</v>
      </c>
      <c r="H365" s="93">
        <v>-1032.48</v>
      </c>
      <c r="I365" s="93">
        <v>-450.9</v>
      </c>
      <c r="J365" s="93">
        <v>-5451.38</v>
      </c>
      <c r="K365" s="93">
        <v>-222</v>
      </c>
      <c r="L365" s="93">
        <v>0</v>
      </c>
      <c r="M365" s="93">
        <v>-1947.33</v>
      </c>
      <c r="N365" s="93">
        <v>-2476.2399999999998</v>
      </c>
      <c r="O365" s="93">
        <v>-9092.3700000000008</v>
      </c>
      <c r="P365" s="93">
        <v>-6192.77</v>
      </c>
      <c r="Q365" s="93">
        <v>-362.24</v>
      </c>
      <c r="R365" s="93">
        <v>0</v>
      </c>
      <c r="S365" s="93">
        <v>0</v>
      </c>
      <c r="T365" s="94">
        <v>0</v>
      </c>
      <c r="U365" s="94">
        <v>0</v>
      </c>
      <c r="V365" s="94">
        <v>0</v>
      </c>
      <c r="W365" s="94">
        <v>0</v>
      </c>
      <c r="X365" s="94">
        <v>0</v>
      </c>
      <c r="Y365" s="93">
        <v>0</v>
      </c>
      <c r="Z365" s="94">
        <v>0</v>
      </c>
    </row>
    <row r="366" spans="1:26" ht="12.75" customHeight="1" x14ac:dyDescent="0.25">
      <c r="B366" t="s">
        <v>112</v>
      </c>
      <c r="C366" t="s">
        <v>70</v>
      </c>
      <c r="E366" s="89"/>
      <c r="F366" s="373">
        <v>-45650</v>
      </c>
      <c r="G366" s="90">
        <v>-3731.55</v>
      </c>
      <c r="H366" s="90">
        <v>-1585.29</v>
      </c>
      <c r="I366" s="90">
        <v>-692.31</v>
      </c>
      <c r="J366" s="90">
        <v>-8401.52</v>
      </c>
      <c r="K366" s="90">
        <v>-342.15</v>
      </c>
      <c r="L366" s="90">
        <v>0</v>
      </c>
      <c r="M366" s="90">
        <v>-3001.2</v>
      </c>
      <c r="N366" s="90">
        <v>-3816.34</v>
      </c>
      <c r="O366" s="90">
        <v>-14012.94</v>
      </c>
      <c r="P366" s="90">
        <v>-9508.44</v>
      </c>
      <c r="Q366" s="90">
        <v>-558.26</v>
      </c>
      <c r="R366" s="90">
        <v>0</v>
      </c>
      <c r="S366" s="90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 s="90">
        <v>0</v>
      </c>
      <c r="Z366">
        <v>0</v>
      </c>
    </row>
    <row r="367" spans="1:26" s="460" customFormat="1" x14ac:dyDescent="0.25">
      <c r="A367" s="460" t="s">
        <v>185</v>
      </c>
      <c r="B367" s="461" t="s">
        <v>70</v>
      </c>
      <c r="C367" s="461"/>
      <c r="F367" s="462">
        <v>-45650</v>
      </c>
      <c r="G367" s="462">
        <v>-3731.55</v>
      </c>
      <c r="H367" s="462">
        <v>-1585.29</v>
      </c>
      <c r="I367" s="462">
        <v>-692.31</v>
      </c>
      <c r="J367" s="462">
        <v>-8401.52</v>
      </c>
      <c r="K367" s="462">
        <v>-342.15</v>
      </c>
      <c r="L367" s="462">
        <v>0</v>
      </c>
      <c r="M367" s="462">
        <v>-3001.2</v>
      </c>
      <c r="N367" s="462">
        <v>-3816.34</v>
      </c>
      <c r="O367" s="462">
        <v>-14012.94</v>
      </c>
      <c r="P367" s="462">
        <v>-9508.44</v>
      </c>
      <c r="Q367" s="462">
        <v>-558.26</v>
      </c>
      <c r="R367" s="462">
        <v>0</v>
      </c>
      <c r="S367" s="462">
        <v>0</v>
      </c>
      <c r="T367" s="462">
        <v>0</v>
      </c>
      <c r="U367" s="462">
        <v>0</v>
      </c>
      <c r="V367" s="462">
        <v>0</v>
      </c>
      <c r="W367" s="462">
        <v>0</v>
      </c>
      <c r="X367" s="462">
        <v>0</v>
      </c>
      <c r="Y367" s="462">
        <v>0</v>
      </c>
      <c r="Z367" s="462">
        <v>0</v>
      </c>
    </row>
    <row r="368" spans="1:26" ht="12.75" customHeight="1" x14ac:dyDescent="0.25">
      <c r="E368" s="89" t="s">
        <v>72</v>
      </c>
      <c r="F368" s="90">
        <v>7772676.6799999997</v>
      </c>
      <c r="G368" s="90">
        <v>484826.61</v>
      </c>
      <c r="H368" s="90">
        <v>274514.88</v>
      </c>
      <c r="I368" s="90">
        <v>147990.04</v>
      </c>
      <c r="J368" s="90">
        <v>1736740.48</v>
      </c>
      <c r="K368" s="90">
        <v>47139.4</v>
      </c>
      <c r="L368" s="90">
        <v>0</v>
      </c>
      <c r="M368" s="90">
        <v>413506.28</v>
      </c>
      <c r="N368" s="90">
        <v>540001</v>
      </c>
      <c r="O368" s="90">
        <v>2756126.38</v>
      </c>
      <c r="P368" s="90">
        <v>1293725.45</v>
      </c>
      <c r="Q368" s="90">
        <v>78125.11</v>
      </c>
      <c r="R368" s="90">
        <v>-18.95</v>
      </c>
      <c r="S368" s="90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 s="90">
        <v>0</v>
      </c>
      <c r="Z368">
        <v>0</v>
      </c>
    </row>
    <row r="369" spans="3:26" ht="12.75" customHeight="1" x14ac:dyDescent="0.25">
      <c r="E369" s="89" t="s">
        <v>81</v>
      </c>
      <c r="F369" s="90">
        <v>47454.89</v>
      </c>
      <c r="G369" s="90">
        <v>5497.16</v>
      </c>
      <c r="H369" s="90">
        <v>3112.23</v>
      </c>
      <c r="I369" s="90">
        <v>1676.68</v>
      </c>
      <c r="J369" s="90">
        <v>11797.93</v>
      </c>
      <c r="K369" s="90">
        <v>334.76</v>
      </c>
      <c r="L369" s="90">
        <v>0</v>
      </c>
      <c r="M369" s="90">
        <v>2935.52</v>
      </c>
      <c r="N369" s="90">
        <v>3765.17</v>
      </c>
      <c r="O369" s="90">
        <v>3113.07</v>
      </c>
      <c r="P369" s="90">
        <v>14676.07</v>
      </c>
      <c r="Q369" s="90">
        <v>546.26</v>
      </c>
      <c r="R369" s="90">
        <v>0.04</v>
      </c>
      <c r="S369" s="90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 s="90">
        <v>0</v>
      </c>
      <c r="Z369">
        <v>0</v>
      </c>
    </row>
    <row r="370" spans="3:26" ht="12.75" customHeight="1" x14ac:dyDescent="0.25">
      <c r="D370" t="s">
        <v>156</v>
      </c>
      <c r="E370" s="89" t="s">
        <v>70</v>
      </c>
      <c r="F370" s="90">
        <v>7820131.5700000003</v>
      </c>
      <c r="G370" s="90">
        <v>490323.77</v>
      </c>
      <c r="H370" s="90">
        <v>277627.11</v>
      </c>
      <c r="I370" s="90">
        <v>149666.72</v>
      </c>
      <c r="J370" s="90">
        <v>1748538.41</v>
      </c>
      <c r="K370" s="90">
        <v>47474.16</v>
      </c>
      <c r="L370" s="90">
        <v>0</v>
      </c>
      <c r="M370" s="90">
        <v>416441.8</v>
      </c>
      <c r="N370" s="90">
        <v>543766.17000000004</v>
      </c>
      <c r="O370" s="90">
        <v>2759239.45</v>
      </c>
      <c r="P370" s="90">
        <v>1308401.52</v>
      </c>
      <c r="Q370" s="90">
        <v>78671.37</v>
      </c>
      <c r="R370" s="90">
        <v>-18.91</v>
      </c>
      <c r="S370" s="9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 s="90">
        <v>0</v>
      </c>
      <c r="Z370">
        <v>0</v>
      </c>
    </row>
    <row r="371" spans="3:26" s="648" customFormat="1" ht="12.75" customHeight="1" x14ac:dyDescent="0.25">
      <c r="C371" s="648" t="s">
        <v>155</v>
      </c>
      <c r="D371" s="648" t="s">
        <v>70</v>
      </c>
      <c r="E371" s="649"/>
      <c r="F371" s="740">
        <v>7820131.5700000003</v>
      </c>
      <c r="G371" s="650">
        <v>490323.77</v>
      </c>
      <c r="H371" s="650">
        <v>277627.11</v>
      </c>
      <c r="I371" s="650">
        <v>149666.72</v>
      </c>
      <c r="J371" s="650">
        <v>1748538.41</v>
      </c>
      <c r="K371" s="650">
        <v>47474.16</v>
      </c>
      <c r="L371" s="650">
        <v>0</v>
      </c>
      <c r="M371" s="650">
        <v>416441.8</v>
      </c>
      <c r="N371" s="650">
        <v>543766.17000000004</v>
      </c>
      <c r="O371" s="650">
        <v>2759239.45</v>
      </c>
      <c r="P371" s="650">
        <v>1308401.52</v>
      </c>
      <c r="Q371" s="650">
        <v>78671.37</v>
      </c>
      <c r="R371" s="650">
        <v>-18.91</v>
      </c>
      <c r="S371" s="650">
        <v>0</v>
      </c>
      <c r="T371" s="648">
        <v>0</v>
      </c>
      <c r="U371" s="648">
        <v>0</v>
      </c>
      <c r="V371" s="648">
        <v>0</v>
      </c>
      <c r="W371" s="648">
        <v>0</v>
      </c>
      <c r="X371" s="648">
        <v>0</v>
      </c>
      <c r="Y371" s="650">
        <v>0</v>
      </c>
      <c r="Z371" s="648">
        <v>0</v>
      </c>
    </row>
    <row r="372" spans="3:26" ht="12.75" customHeight="1" x14ac:dyDescent="0.25">
      <c r="E372" s="89" t="s">
        <v>72</v>
      </c>
      <c r="F372" s="90">
        <v>85027.8</v>
      </c>
      <c r="G372" s="90">
        <v>3750.9</v>
      </c>
      <c r="H372" s="90">
        <v>2105.56</v>
      </c>
      <c r="I372" s="90">
        <v>1111.57</v>
      </c>
      <c r="J372" s="90">
        <v>21335.79</v>
      </c>
      <c r="K372" s="90">
        <v>732.93</v>
      </c>
      <c r="L372" s="90">
        <v>0</v>
      </c>
      <c r="M372" s="90">
        <v>6429.29</v>
      </c>
      <c r="N372" s="90">
        <v>6240.29</v>
      </c>
      <c r="O372" s="90">
        <v>32194.58</v>
      </c>
      <c r="P372" s="90">
        <v>9931.14</v>
      </c>
      <c r="Q372" s="90">
        <v>1195.8399999999999</v>
      </c>
      <c r="R372" s="90">
        <v>-0.09</v>
      </c>
      <c r="S372" s="90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 s="90">
        <v>0</v>
      </c>
      <c r="Z372">
        <v>0</v>
      </c>
    </row>
    <row r="373" spans="3:26" ht="12.75" customHeight="1" x14ac:dyDescent="0.25">
      <c r="D373" t="s">
        <v>115</v>
      </c>
      <c r="E373" s="89" t="s">
        <v>70</v>
      </c>
      <c r="F373" s="90">
        <v>85027.8</v>
      </c>
      <c r="G373" s="90">
        <v>3750.9</v>
      </c>
      <c r="H373" s="90">
        <v>2105.56</v>
      </c>
      <c r="I373" s="90">
        <v>1111.57</v>
      </c>
      <c r="J373" s="90">
        <v>21335.79</v>
      </c>
      <c r="K373" s="90">
        <v>732.93</v>
      </c>
      <c r="L373" s="90">
        <v>0</v>
      </c>
      <c r="M373" s="90">
        <v>6429.29</v>
      </c>
      <c r="N373" s="90">
        <v>6240.29</v>
      </c>
      <c r="O373" s="90">
        <v>32194.58</v>
      </c>
      <c r="P373" s="90">
        <v>9931.14</v>
      </c>
      <c r="Q373" s="90">
        <v>1195.8399999999999</v>
      </c>
      <c r="R373" s="90">
        <v>-0.09</v>
      </c>
      <c r="S373" s="90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 s="90">
        <v>0</v>
      </c>
      <c r="Z373">
        <v>0</v>
      </c>
    </row>
    <row r="374" spans="3:26" ht="12.75" customHeight="1" x14ac:dyDescent="0.25">
      <c r="E374" s="89" t="s">
        <v>72</v>
      </c>
      <c r="F374" s="90">
        <v>50638.31</v>
      </c>
      <c r="G374" s="90">
        <v>2057.66</v>
      </c>
      <c r="H374" s="90">
        <v>1165.76</v>
      </c>
      <c r="I374" s="90">
        <v>627.64</v>
      </c>
      <c r="J374" s="90">
        <v>13135.24</v>
      </c>
      <c r="K374" s="90">
        <v>318.61</v>
      </c>
      <c r="L374" s="90">
        <v>0</v>
      </c>
      <c r="M374" s="90">
        <v>2794.8</v>
      </c>
      <c r="N374" s="90">
        <v>4089.36</v>
      </c>
      <c r="O374" s="90">
        <v>20323.34</v>
      </c>
      <c r="P374" s="90">
        <v>5606.23</v>
      </c>
      <c r="Q374" s="90">
        <v>519.84</v>
      </c>
      <c r="R374" s="90">
        <v>-0.17</v>
      </c>
      <c r="S374" s="90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 s="90">
        <v>0</v>
      </c>
      <c r="Z374">
        <v>0</v>
      </c>
    </row>
    <row r="375" spans="3:26" ht="12.75" customHeight="1" x14ac:dyDescent="0.25">
      <c r="E375" s="89" t="s">
        <v>81</v>
      </c>
      <c r="F375" s="90">
        <v>329.09</v>
      </c>
      <c r="G375" s="90">
        <v>26.39</v>
      </c>
      <c r="H375" s="90">
        <v>14.93</v>
      </c>
      <c r="I375" s="90">
        <v>7.98</v>
      </c>
      <c r="J375" s="90">
        <v>164.42</v>
      </c>
      <c r="K375" s="90">
        <v>4.05</v>
      </c>
      <c r="L375" s="90">
        <v>0</v>
      </c>
      <c r="M375" s="90">
        <v>35.47</v>
      </c>
      <c r="N375" s="90">
        <v>51.99</v>
      </c>
      <c r="O375" s="90">
        <v>-53.91</v>
      </c>
      <c r="P375" s="90">
        <v>71.16</v>
      </c>
      <c r="Q375" s="90">
        <v>6.61</v>
      </c>
      <c r="R375" s="90">
        <v>0</v>
      </c>
      <c r="S375" s="90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 s="90">
        <v>0</v>
      </c>
      <c r="Z375">
        <v>0</v>
      </c>
    </row>
    <row r="376" spans="3:26" ht="12.75" customHeight="1" x14ac:dyDescent="0.25">
      <c r="D376" t="s">
        <v>116</v>
      </c>
      <c r="E376" s="89" t="s">
        <v>70</v>
      </c>
      <c r="F376" s="90">
        <v>50967.4</v>
      </c>
      <c r="G376" s="90">
        <v>2084.0500000000002</v>
      </c>
      <c r="H376" s="90">
        <v>1180.69</v>
      </c>
      <c r="I376" s="90">
        <v>635.62</v>
      </c>
      <c r="J376" s="90">
        <v>13299.66</v>
      </c>
      <c r="K376" s="90">
        <v>322.66000000000003</v>
      </c>
      <c r="L376" s="90">
        <v>0</v>
      </c>
      <c r="M376" s="90">
        <v>2830.27</v>
      </c>
      <c r="N376" s="90">
        <v>4141.3500000000004</v>
      </c>
      <c r="O376" s="90">
        <v>20269.43</v>
      </c>
      <c r="P376" s="90">
        <v>5677.39</v>
      </c>
      <c r="Q376" s="90">
        <v>526.45000000000005</v>
      </c>
      <c r="R376" s="90">
        <v>-0.17</v>
      </c>
      <c r="S376" s="90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 s="90">
        <v>0</v>
      </c>
      <c r="Z376">
        <v>0</v>
      </c>
    </row>
    <row r="377" spans="3:26" ht="12.75" customHeight="1" x14ac:dyDescent="0.25">
      <c r="E377" s="89" t="s">
        <v>72</v>
      </c>
      <c r="F377" s="715">
        <v>268776.62</v>
      </c>
      <c r="G377" s="90">
        <v>12549.53</v>
      </c>
      <c r="H377" s="90">
        <v>7082.41</v>
      </c>
      <c r="I377" s="90">
        <v>3705.1</v>
      </c>
      <c r="J377" s="90">
        <v>63679.47</v>
      </c>
      <c r="K377" s="90">
        <v>2327.81</v>
      </c>
      <c r="L377" s="90">
        <v>0</v>
      </c>
      <c r="M377" s="90">
        <v>20419.419999999998</v>
      </c>
      <c r="N377" s="90">
        <v>19971.39</v>
      </c>
      <c r="O377" s="90">
        <v>102150.02</v>
      </c>
      <c r="P377" s="90">
        <v>33095.58</v>
      </c>
      <c r="Q377" s="90">
        <v>3797.98</v>
      </c>
      <c r="R377" s="90">
        <v>-2.09</v>
      </c>
      <c r="S377" s="90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 s="90">
        <v>0</v>
      </c>
      <c r="Z377">
        <v>0</v>
      </c>
    </row>
    <row r="378" spans="3:26" ht="12.75" customHeight="1" x14ac:dyDescent="0.25">
      <c r="E378" s="89" t="s">
        <v>81</v>
      </c>
      <c r="F378" s="715">
        <v>667.62</v>
      </c>
      <c r="G378" s="90">
        <v>59.96</v>
      </c>
      <c r="H378" s="90">
        <v>33.869999999999997</v>
      </c>
      <c r="I378" s="90">
        <v>17.75</v>
      </c>
      <c r="J378" s="90">
        <v>306.68</v>
      </c>
      <c r="K378" s="90">
        <v>11.18</v>
      </c>
      <c r="L378" s="90">
        <v>0</v>
      </c>
      <c r="M378" s="90">
        <v>98.16</v>
      </c>
      <c r="N378" s="90">
        <v>95.97</v>
      </c>
      <c r="O378" s="90">
        <v>-132.77000000000001</v>
      </c>
      <c r="P378" s="90">
        <v>158.59</v>
      </c>
      <c r="Q378" s="90">
        <v>18.239999999999998</v>
      </c>
      <c r="R378" s="90">
        <v>-0.01</v>
      </c>
      <c r="S378" s="90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 s="90">
        <v>0</v>
      </c>
      <c r="Z378">
        <v>0</v>
      </c>
    </row>
    <row r="379" spans="3:26" ht="12.75" customHeight="1" x14ac:dyDescent="0.25">
      <c r="D379" t="s">
        <v>118</v>
      </c>
      <c r="E379" s="89" t="s">
        <v>70</v>
      </c>
      <c r="F379" s="373">
        <v>269444.24</v>
      </c>
      <c r="G379" s="90">
        <v>12609.49</v>
      </c>
      <c r="H379" s="90">
        <v>7116.28</v>
      </c>
      <c r="I379" s="90">
        <v>3722.85</v>
      </c>
      <c r="J379" s="90">
        <v>63986.15</v>
      </c>
      <c r="K379" s="90">
        <v>2338.9899999999998</v>
      </c>
      <c r="L379" s="90">
        <v>0</v>
      </c>
      <c r="M379" s="90">
        <v>20517.580000000002</v>
      </c>
      <c r="N379" s="90">
        <v>20067.36</v>
      </c>
      <c r="O379" s="90">
        <v>102017.25</v>
      </c>
      <c r="P379" s="90">
        <v>33254.17</v>
      </c>
      <c r="Q379" s="90">
        <v>3816.22</v>
      </c>
      <c r="R379" s="90">
        <v>-2.1</v>
      </c>
      <c r="S379" s="90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 s="90">
        <v>0</v>
      </c>
      <c r="Z379">
        <v>0</v>
      </c>
    </row>
    <row r="380" spans="3:26" s="224" customFormat="1" ht="12.75" customHeight="1" x14ac:dyDescent="0.25">
      <c r="C380" s="223" t="s">
        <v>120</v>
      </c>
      <c r="D380" s="223" t="s">
        <v>70</v>
      </c>
      <c r="F380" s="225">
        <v>405439.44</v>
      </c>
      <c r="G380" s="225">
        <v>18444.439999999999</v>
      </c>
      <c r="H380" s="225">
        <v>10402.530000000001</v>
      </c>
      <c r="I380" s="225">
        <v>5470.04</v>
      </c>
      <c r="J380" s="225">
        <v>98621.6</v>
      </c>
      <c r="K380" s="225">
        <v>3394.58</v>
      </c>
      <c r="L380" s="225">
        <v>0</v>
      </c>
      <c r="M380" s="225">
        <v>29777.14</v>
      </c>
      <c r="N380" s="225">
        <v>30449</v>
      </c>
      <c r="O380" s="225">
        <v>154481.26</v>
      </c>
      <c r="P380" s="225">
        <v>48862.7</v>
      </c>
      <c r="Q380" s="225">
        <v>5538.51</v>
      </c>
      <c r="R380" s="225">
        <v>-2.36</v>
      </c>
      <c r="S380" s="225">
        <v>0</v>
      </c>
      <c r="T380" s="224">
        <v>0</v>
      </c>
      <c r="U380" s="224">
        <v>0</v>
      </c>
      <c r="V380" s="224">
        <v>0</v>
      </c>
      <c r="W380" s="224">
        <v>0</v>
      </c>
      <c r="X380" s="224">
        <v>0</v>
      </c>
      <c r="Y380" s="225">
        <v>0</v>
      </c>
      <c r="Z380" s="224">
        <v>0</v>
      </c>
    </row>
    <row r="381" spans="3:26" ht="12.75" customHeight="1" x14ac:dyDescent="0.25">
      <c r="E381" s="89" t="s">
        <v>72</v>
      </c>
      <c r="F381" s="373">
        <v>265565.56</v>
      </c>
      <c r="G381" s="90">
        <v>12829.62</v>
      </c>
      <c r="H381" s="90">
        <v>7235.53</v>
      </c>
      <c r="I381" s="90">
        <v>3828.36</v>
      </c>
      <c r="J381" s="90">
        <v>63241.18</v>
      </c>
      <c r="K381" s="90">
        <v>2245.6999999999998</v>
      </c>
      <c r="L381" s="90">
        <v>0</v>
      </c>
      <c r="M381" s="90">
        <v>19699.2</v>
      </c>
      <c r="N381" s="90">
        <v>19485.22</v>
      </c>
      <c r="O381" s="90">
        <v>99172.81</v>
      </c>
      <c r="P381" s="90">
        <v>34158.51</v>
      </c>
      <c r="Q381" s="90">
        <v>3664.04</v>
      </c>
      <c r="R381" s="90">
        <v>5.39</v>
      </c>
      <c r="S381" s="90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 s="90">
        <v>0</v>
      </c>
      <c r="Z381">
        <v>0</v>
      </c>
    </row>
    <row r="382" spans="3:26" ht="12.75" customHeight="1" x14ac:dyDescent="0.25">
      <c r="E382" s="89" t="s">
        <v>81</v>
      </c>
      <c r="F382" s="373">
        <v>-16.55</v>
      </c>
      <c r="G382" s="90">
        <v>19.739999999999998</v>
      </c>
      <c r="H382" s="90">
        <v>11.14</v>
      </c>
      <c r="I382" s="90">
        <v>5.85</v>
      </c>
      <c r="J382" s="90">
        <v>95.44</v>
      </c>
      <c r="K382" s="90">
        <v>3.58</v>
      </c>
      <c r="L382" s="90">
        <v>0</v>
      </c>
      <c r="M382" s="90">
        <v>31.49</v>
      </c>
      <c r="N382" s="90">
        <v>30.77</v>
      </c>
      <c r="O382" s="90">
        <v>-272.73</v>
      </c>
      <c r="P382" s="90">
        <v>52.25</v>
      </c>
      <c r="Q382" s="90">
        <v>5.87</v>
      </c>
      <c r="R382" s="90">
        <v>0.05</v>
      </c>
      <c r="S382" s="90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 s="90">
        <v>0</v>
      </c>
      <c r="Z382">
        <v>0</v>
      </c>
    </row>
    <row r="383" spans="3:26" ht="12.75" customHeight="1" x14ac:dyDescent="0.25">
      <c r="D383" t="s">
        <v>86</v>
      </c>
      <c r="E383" s="89" t="s">
        <v>70</v>
      </c>
      <c r="F383" s="373">
        <v>265549.01</v>
      </c>
      <c r="G383" s="90">
        <v>12849.36</v>
      </c>
      <c r="H383" s="90">
        <v>7246.67</v>
      </c>
      <c r="I383" s="90">
        <v>3834.21</v>
      </c>
      <c r="J383" s="90">
        <v>63336.62</v>
      </c>
      <c r="K383" s="90">
        <v>2249.2800000000002</v>
      </c>
      <c r="L383" s="90">
        <v>0</v>
      </c>
      <c r="M383" s="90">
        <v>19730.689999999999</v>
      </c>
      <c r="N383" s="90">
        <v>19515.990000000002</v>
      </c>
      <c r="O383" s="90">
        <v>98900.08</v>
      </c>
      <c r="P383" s="90">
        <v>34210.76</v>
      </c>
      <c r="Q383" s="90">
        <v>3669.91</v>
      </c>
      <c r="R383" s="90">
        <v>5.44</v>
      </c>
      <c r="S383" s="90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 s="90">
        <v>0</v>
      </c>
      <c r="Z383">
        <v>0</v>
      </c>
    </row>
    <row r="384" spans="3:26" s="94" customFormat="1" ht="12.75" customHeight="1" x14ac:dyDescent="0.25">
      <c r="C384" s="94" t="s">
        <v>119</v>
      </c>
      <c r="D384" s="94" t="s">
        <v>70</v>
      </c>
      <c r="E384" s="101"/>
      <c r="F384" s="716">
        <v>265549.01</v>
      </c>
      <c r="G384" s="93">
        <v>12849.36</v>
      </c>
      <c r="H384" s="93">
        <v>7246.67</v>
      </c>
      <c r="I384" s="93">
        <v>3834.21</v>
      </c>
      <c r="J384" s="93">
        <v>63336.62</v>
      </c>
      <c r="K384" s="93">
        <v>2249.2800000000002</v>
      </c>
      <c r="L384" s="93">
        <v>0</v>
      </c>
      <c r="M384" s="93">
        <v>19730.689999999999</v>
      </c>
      <c r="N384" s="93">
        <v>19515.990000000002</v>
      </c>
      <c r="O384" s="93">
        <v>98900.08</v>
      </c>
      <c r="P384" s="93">
        <v>34210.76</v>
      </c>
      <c r="Q384" s="93">
        <v>3669.91</v>
      </c>
      <c r="R384" s="93">
        <v>5.44</v>
      </c>
      <c r="S384" s="93">
        <v>0</v>
      </c>
      <c r="T384" s="94">
        <v>0</v>
      </c>
      <c r="U384" s="94">
        <v>0</v>
      </c>
      <c r="V384" s="94">
        <v>0</v>
      </c>
      <c r="W384" s="94">
        <v>0</v>
      </c>
      <c r="X384" s="94">
        <v>0</v>
      </c>
      <c r="Y384" s="93">
        <v>0</v>
      </c>
      <c r="Z384" s="94">
        <v>0</v>
      </c>
    </row>
    <row r="385" spans="2:26" s="380" customFormat="1" ht="12.75" customHeight="1" x14ac:dyDescent="0.25">
      <c r="B385" s="380" t="s">
        <v>122</v>
      </c>
      <c r="C385" s="380" t="s">
        <v>70</v>
      </c>
      <c r="E385" s="378"/>
      <c r="F385" s="706">
        <v>8491120.0199999996</v>
      </c>
      <c r="G385" s="379">
        <v>521617.57</v>
      </c>
      <c r="H385" s="379">
        <v>295276.31</v>
      </c>
      <c r="I385" s="379">
        <v>158970.97</v>
      </c>
      <c r="J385" s="379">
        <v>1910496.63</v>
      </c>
      <c r="K385" s="379">
        <v>53118.02</v>
      </c>
      <c r="L385" s="379">
        <v>0</v>
      </c>
      <c r="M385" s="379">
        <v>465949.63</v>
      </c>
      <c r="N385" s="379">
        <v>593731.16</v>
      </c>
      <c r="O385" s="379">
        <v>3012620.79</v>
      </c>
      <c r="P385" s="379">
        <v>1391474.98</v>
      </c>
      <c r="Q385" s="379">
        <v>87879.79</v>
      </c>
      <c r="R385" s="379">
        <v>-15.83</v>
      </c>
      <c r="S385" s="379">
        <v>0</v>
      </c>
      <c r="T385" s="380">
        <v>0</v>
      </c>
      <c r="U385" s="380">
        <v>0</v>
      </c>
      <c r="V385" s="380">
        <v>0</v>
      </c>
      <c r="W385" s="380">
        <v>0</v>
      </c>
      <c r="X385" s="380">
        <v>0</v>
      </c>
      <c r="Y385" s="379">
        <v>0</v>
      </c>
      <c r="Z385" s="380">
        <v>0</v>
      </c>
    </row>
    <row r="386" spans="2:26" ht="12.75" customHeight="1" x14ac:dyDescent="0.25">
      <c r="E386" s="89" t="s">
        <v>72</v>
      </c>
      <c r="F386" s="373">
        <v>11657882559.83</v>
      </c>
      <c r="G386" s="90">
        <v>610980687.01999998</v>
      </c>
      <c r="H386" s="90">
        <v>340243396.00999999</v>
      </c>
      <c r="I386" s="90">
        <v>180408578.31</v>
      </c>
      <c r="J386" s="90">
        <v>2764738254.3899999</v>
      </c>
      <c r="K386" s="90">
        <v>95871755.200000003</v>
      </c>
      <c r="L386" s="90">
        <v>19839425.890000001</v>
      </c>
      <c r="M386" s="90">
        <v>840366104.79999995</v>
      </c>
      <c r="N386" s="90">
        <v>821160721.85000002</v>
      </c>
      <c r="O386" s="90">
        <v>4210346113.6399999</v>
      </c>
      <c r="P386" s="90">
        <v>1617274992.3199999</v>
      </c>
      <c r="Q386" s="90">
        <v>156719019.43000001</v>
      </c>
      <c r="R386" s="90">
        <v>-66489.03</v>
      </c>
      <c r="S386" s="90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 s="90">
        <v>0</v>
      </c>
      <c r="Z386">
        <v>0</v>
      </c>
    </row>
    <row r="387" spans="2:26" ht="12.75" customHeight="1" x14ac:dyDescent="0.25">
      <c r="E387" s="89" t="s">
        <v>81</v>
      </c>
      <c r="F387" s="373">
        <v>-2254707.7000000002</v>
      </c>
      <c r="G387" s="90">
        <v>1578471.45</v>
      </c>
      <c r="H387" s="90">
        <v>741556.88</v>
      </c>
      <c r="I387" s="90">
        <v>317664.82</v>
      </c>
      <c r="J387" s="90">
        <v>2870409.86</v>
      </c>
      <c r="K387" s="90">
        <v>104863.88</v>
      </c>
      <c r="L387" s="90">
        <v>22557.3</v>
      </c>
      <c r="M387" s="90">
        <v>918534.66</v>
      </c>
      <c r="N387" s="90">
        <v>1073067.73</v>
      </c>
      <c r="O387" s="90">
        <v>-14178739.85</v>
      </c>
      <c r="P387" s="90">
        <v>4123288.76</v>
      </c>
      <c r="Q387" s="90">
        <v>171161.63</v>
      </c>
      <c r="R387" s="90">
        <v>2423.23</v>
      </c>
      <c r="S387" s="90">
        <v>-0.9</v>
      </c>
      <c r="T387">
        <v>177.83</v>
      </c>
      <c r="U387">
        <v>0</v>
      </c>
      <c r="V387">
        <v>0</v>
      </c>
      <c r="W387">
        <v>0</v>
      </c>
      <c r="X387">
        <v>0</v>
      </c>
      <c r="Y387" s="90">
        <v>0</v>
      </c>
      <c r="Z387">
        <v>-144.97999999999999</v>
      </c>
    </row>
    <row r="388" spans="2:26" ht="12.75" customHeight="1" x14ac:dyDescent="0.25">
      <c r="D388" t="s">
        <v>156</v>
      </c>
      <c r="E388" s="89" t="s">
        <v>70</v>
      </c>
      <c r="F388" s="373">
        <v>11655627852.129999</v>
      </c>
      <c r="G388" s="90">
        <v>612559158.47000003</v>
      </c>
      <c r="H388" s="90">
        <v>340984952.88999999</v>
      </c>
      <c r="I388" s="90">
        <v>180726243.13</v>
      </c>
      <c r="J388" s="90">
        <v>2767608664.25</v>
      </c>
      <c r="K388" s="90">
        <v>95976619.079999998</v>
      </c>
      <c r="L388" s="90">
        <v>19861983.190000001</v>
      </c>
      <c r="M388" s="90">
        <v>841284639.46000004</v>
      </c>
      <c r="N388" s="90">
        <v>822233789.58000004</v>
      </c>
      <c r="O388" s="90">
        <v>4196167373.79</v>
      </c>
      <c r="P388" s="90">
        <v>1621398281.0799999</v>
      </c>
      <c r="Q388" s="90">
        <v>156890181.06</v>
      </c>
      <c r="R388" s="90">
        <v>-64065.8</v>
      </c>
      <c r="S388" s="90">
        <v>-0.9</v>
      </c>
      <c r="T388">
        <v>177.83</v>
      </c>
      <c r="U388">
        <v>0</v>
      </c>
      <c r="V388">
        <v>0</v>
      </c>
      <c r="W388">
        <v>0</v>
      </c>
      <c r="X388">
        <v>0</v>
      </c>
      <c r="Y388" s="90">
        <v>0</v>
      </c>
      <c r="Z388">
        <v>-144.97999999999999</v>
      </c>
    </row>
    <row r="389" spans="2:26" s="648" customFormat="1" ht="12.75" customHeight="1" x14ac:dyDescent="0.25">
      <c r="C389" s="648" t="s">
        <v>155</v>
      </c>
      <c r="D389" s="648" t="s">
        <v>70</v>
      </c>
      <c r="E389" s="649"/>
      <c r="F389" s="737">
        <v>11655627852.129999</v>
      </c>
      <c r="G389" s="650">
        <v>612559158.47000003</v>
      </c>
      <c r="H389" s="650">
        <v>340984952.88999999</v>
      </c>
      <c r="I389" s="650">
        <v>180726243.13</v>
      </c>
      <c r="J389" s="650">
        <v>2767608664.25</v>
      </c>
      <c r="K389" s="650">
        <v>95976619.079999998</v>
      </c>
      <c r="L389" s="650">
        <v>19861983.190000001</v>
      </c>
      <c r="M389" s="650">
        <v>841284639.46000004</v>
      </c>
      <c r="N389" s="650">
        <v>822233789.58000004</v>
      </c>
      <c r="O389" s="650">
        <v>4196167373.79</v>
      </c>
      <c r="P389" s="650">
        <v>1621398281.0799999</v>
      </c>
      <c r="Q389" s="650">
        <v>156890181.06</v>
      </c>
      <c r="R389" s="650">
        <v>-64065.8</v>
      </c>
      <c r="S389" s="650">
        <v>-0.9</v>
      </c>
      <c r="T389" s="648">
        <v>177.83</v>
      </c>
      <c r="U389" s="648">
        <v>0</v>
      </c>
      <c r="V389" s="648">
        <v>0</v>
      </c>
      <c r="W389" s="648">
        <v>0</v>
      </c>
      <c r="X389" s="648">
        <v>0</v>
      </c>
      <c r="Y389" s="650">
        <v>0</v>
      </c>
      <c r="Z389" s="648">
        <v>-144.97999999999999</v>
      </c>
    </row>
    <row r="390" spans="2:26" ht="12.75" customHeight="1" x14ac:dyDescent="0.25">
      <c r="E390" s="89" t="s">
        <v>72</v>
      </c>
      <c r="F390" s="373">
        <v>942640.03</v>
      </c>
      <c r="G390" s="90">
        <v>42763.75</v>
      </c>
      <c r="H390" s="90">
        <v>22016.12</v>
      </c>
      <c r="I390" s="90">
        <v>12041.14</v>
      </c>
      <c r="J390" s="90">
        <v>204624.34</v>
      </c>
      <c r="K390" s="90">
        <v>7399.5</v>
      </c>
      <c r="L390" s="90">
        <v>0</v>
      </c>
      <c r="M390" s="90">
        <v>64908.51</v>
      </c>
      <c r="N390" s="90">
        <v>76512.240000000005</v>
      </c>
      <c r="O390" s="90">
        <v>385640.92</v>
      </c>
      <c r="P390" s="90">
        <v>114672.66</v>
      </c>
      <c r="Q390" s="90">
        <v>12072.96</v>
      </c>
      <c r="R390" s="90">
        <v>-12.11</v>
      </c>
      <c r="S390" s="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 s="90">
        <v>0</v>
      </c>
      <c r="Z390">
        <v>0</v>
      </c>
    </row>
    <row r="391" spans="2:26" ht="12.75" customHeight="1" x14ac:dyDescent="0.25">
      <c r="E391" s="89" t="s">
        <v>81</v>
      </c>
      <c r="F391" s="373">
        <v>11707.37</v>
      </c>
      <c r="G391" s="90">
        <v>539.66999999999996</v>
      </c>
      <c r="H391" s="90">
        <v>266.64999999999998</v>
      </c>
      <c r="I391" s="90">
        <v>147.25</v>
      </c>
      <c r="J391" s="90">
        <v>2426.5700000000002</v>
      </c>
      <c r="K391" s="90">
        <v>109.29</v>
      </c>
      <c r="L391" s="90">
        <v>0</v>
      </c>
      <c r="M391" s="90">
        <v>958.85</v>
      </c>
      <c r="N391" s="90">
        <v>1206.8800000000001</v>
      </c>
      <c r="O391" s="90">
        <v>4432.0200000000004</v>
      </c>
      <c r="P391" s="90">
        <v>1441.94</v>
      </c>
      <c r="Q391" s="90">
        <v>178.31</v>
      </c>
      <c r="R391" s="90">
        <v>-0.06</v>
      </c>
      <c r="S391" s="90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 s="90">
        <v>0</v>
      </c>
      <c r="Z391">
        <v>0</v>
      </c>
    </row>
    <row r="392" spans="2:26" ht="12.75" customHeight="1" x14ac:dyDescent="0.25">
      <c r="D392" t="s">
        <v>115</v>
      </c>
      <c r="E392" s="89" t="s">
        <v>70</v>
      </c>
      <c r="F392" s="373">
        <v>954347.4</v>
      </c>
      <c r="G392" s="90">
        <v>43303.42</v>
      </c>
      <c r="H392" s="90">
        <v>22282.77</v>
      </c>
      <c r="I392" s="90">
        <v>12188.39</v>
      </c>
      <c r="J392" s="90">
        <v>207050.91</v>
      </c>
      <c r="K392" s="90">
        <v>7508.79</v>
      </c>
      <c r="L392" s="90">
        <v>0</v>
      </c>
      <c r="M392" s="90">
        <v>65867.360000000001</v>
      </c>
      <c r="N392" s="90">
        <v>77719.12</v>
      </c>
      <c r="O392" s="90">
        <v>390072.94</v>
      </c>
      <c r="P392" s="90">
        <v>116114.6</v>
      </c>
      <c r="Q392" s="90">
        <v>12251.27</v>
      </c>
      <c r="R392" s="90">
        <v>-12.17</v>
      </c>
      <c r="S392" s="90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 s="90">
        <v>0</v>
      </c>
      <c r="Z392">
        <v>0</v>
      </c>
    </row>
    <row r="393" spans="2:26" ht="12.75" customHeight="1" x14ac:dyDescent="0.25">
      <c r="D393" s="89"/>
      <c r="E393" s="89" t="s">
        <v>72</v>
      </c>
      <c r="F393" s="90">
        <v>1346438.53</v>
      </c>
      <c r="G393" s="90">
        <v>63638.68</v>
      </c>
      <c r="H393" s="90">
        <v>35629.4</v>
      </c>
      <c r="I393" s="90">
        <v>20479.97</v>
      </c>
      <c r="J393" s="90">
        <v>328605.25</v>
      </c>
      <c r="K393" s="90">
        <v>11005.31</v>
      </c>
      <c r="L393" s="90">
        <v>0</v>
      </c>
      <c r="M393" s="90">
        <v>96537.87</v>
      </c>
      <c r="N393" s="90">
        <v>95858.96</v>
      </c>
      <c r="O393" s="90">
        <v>506334.42</v>
      </c>
      <c r="P393" s="90">
        <v>168567.06</v>
      </c>
      <c r="Q393" s="90">
        <v>19775.14</v>
      </c>
      <c r="R393" s="90">
        <v>6.47</v>
      </c>
      <c r="S393" s="90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 s="90">
        <v>0</v>
      </c>
      <c r="Z393">
        <v>0</v>
      </c>
    </row>
    <row r="394" spans="2:26" ht="12.75" customHeight="1" x14ac:dyDescent="0.25">
      <c r="D394" s="89"/>
      <c r="E394" s="89" t="s">
        <v>81</v>
      </c>
      <c r="F394" s="373">
        <v>492.85</v>
      </c>
      <c r="G394" s="90">
        <v>116.14</v>
      </c>
      <c r="H394" s="90">
        <v>65.599999999999994</v>
      </c>
      <c r="I394" s="90">
        <v>34.46</v>
      </c>
      <c r="J394" s="90">
        <v>265.86</v>
      </c>
      <c r="K394" s="90">
        <v>9.6999999999999993</v>
      </c>
      <c r="L394" s="90">
        <v>0</v>
      </c>
      <c r="M394" s="90">
        <v>85.08</v>
      </c>
      <c r="N394" s="90">
        <v>82.89</v>
      </c>
      <c r="O394" s="90">
        <v>-490.56</v>
      </c>
      <c r="P394" s="90">
        <v>307.83999999999997</v>
      </c>
      <c r="Q394" s="90">
        <v>15.83</v>
      </c>
      <c r="R394" s="90">
        <v>0.01</v>
      </c>
      <c r="S394" s="90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 s="90">
        <v>0</v>
      </c>
      <c r="Z394">
        <v>0</v>
      </c>
    </row>
    <row r="395" spans="2:26" ht="12.75" customHeight="1" x14ac:dyDescent="0.25">
      <c r="D395" s="89" t="s">
        <v>118</v>
      </c>
      <c r="E395" s="89" t="s">
        <v>70</v>
      </c>
      <c r="F395" s="373">
        <v>1346931.38</v>
      </c>
      <c r="G395" s="90">
        <v>63754.82</v>
      </c>
      <c r="H395" s="90">
        <v>35695</v>
      </c>
      <c r="I395" s="90">
        <v>20514.43</v>
      </c>
      <c r="J395" s="90">
        <v>328871.11</v>
      </c>
      <c r="K395" s="90">
        <v>11015.01</v>
      </c>
      <c r="L395" s="90">
        <v>0</v>
      </c>
      <c r="M395" s="90">
        <v>96622.95</v>
      </c>
      <c r="N395" s="90">
        <v>95941.85</v>
      </c>
      <c r="O395" s="90">
        <v>505843.86</v>
      </c>
      <c r="P395" s="90">
        <v>168874.9</v>
      </c>
      <c r="Q395" s="90">
        <v>19790.97</v>
      </c>
      <c r="R395" s="90">
        <v>6.48</v>
      </c>
      <c r="S395" s="90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 s="90">
        <v>0</v>
      </c>
      <c r="Z395">
        <v>0</v>
      </c>
    </row>
    <row r="396" spans="2:26" s="224" customFormat="1" ht="12.75" customHeight="1" x14ac:dyDescent="0.25">
      <c r="C396" s="223" t="s">
        <v>120</v>
      </c>
      <c r="D396" s="223" t="s">
        <v>70</v>
      </c>
      <c r="F396" s="225">
        <v>2301278.7799999998</v>
      </c>
      <c r="G396" s="225">
        <v>107058.24000000001</v>
      </c>
      <c r="H396" s="225">
        <v>57977.77</v>
      </c>
      <c r="I396" s="225">
        <v>32702.82</v>
      </c>
      <c r="J396" s="225">
        <v>535922.02</v>
      </c>
      <c r="K396" s="225">
        <v>18523.8</v>
      </c>
      <c r="L396" s="225">
        <v>0</v>
      </c>
      <c r="M396" s="225">
        <v>162490.31</v>
      </c>
      <c r="N396" s="225">
        <v>173660.97</v>
      </c>
      <c r="O396" s="225">
        <v>895916.8</v>
      </c>
      <c r="P396" s="225">
        <v>284989.5</v>
      </c>
      <c r="Q396" s="225">
        <v>32042.240000000002</v>
      </c>
      <c r="R396" s="225">
        <v>-5.69</v>
      </c>
      <c r="S396" s="225">
        <v>0</v>
      </c>
      <c r="T396" s="224">
        <v>0</v>
      </c>
      <c r="U396" s="224">
        <v>0</v>
      </c>
      <c r="V396" s="224">
        <v>0</v>
      </c>
      <c r="W396" s="224">
        <v>0</v>
      </c>
      <c r="X396" s="224">
        <v>0</v>
      </c>
      <c r="Y396" s="225">
        <v>0</v>
      </c>
      <c r="Z396" s="224">
        <v>0</v>
      </c>
    </row>
    <row r="397" spans="2:26" ht="12.75" customHeight="1" x14ac:dyDescent="0.25">
      <c r="E397" s="89" t="s">
        <v>72</v>
      </c>
      <c r="F397" s="90">
        <v>125071435.56</v>
      </c>
      <c r="G397" s="90">
        <v>7465733.5300000003</v>
      </c>
      <c r="H397" s="90">
        <v>4200059.93</v>
      </c>
      <c r="I397" s="90">
        <v>2216185.83</v>
      </c>
      <c r="J397" s="90">
        <v>28046386.989999998</v>
      </c>
      <c r="K397" s="90">
        <v>730637.73</v>
      </c>
      <c r="L397" s="90">
        <v>0</v>
      </c>
      <c r="M397" s="90">
        <v>6377627.2400000002</v>
      </c>
      <c r="N397" s="90">
        <v>8995007.2799999993</v>
      </c>
      <c r="O397" s="90">
        <v>46021581.759999998</v>
      </c>
      <c r="P397" s="90">
        <v>19824035.719999999</v>
      </c>
      <c r="Q397" s="90">
        <v>1194236.5900000001</v>
      </c>
      <c r="R397" s="90">
        <v>-57.04</v>
      </c>
      <c r="S397" s="90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 s="90">
        <v>0</v>
      </c>
      <c r="Z397">
        <v>0</v>
      </c>
    </row>
    <row r="398" spans="2:26" ht="12.75" customHeight="1" x14ac:dyDescent="0.25">
      <c r="D398" s="89"/>
      <c r="E398" s="89" t="s">
        <v>81</v>
      </c>
      <c r="F398" s="90">
        <v>255046.22</v>
      </c>
      <c r="G398" s="90">
        <v>24168.31</v>
      </c>
      <c r="H398" s="90">
        <v>13522.16</v>
      </c>
      <c r="I398" s="90">
        <v>7145.34</v>
      </c>
      <c r="J398" s="90">
        <v>75318.679999999993</v>
      </c>
      <c r="K398" s="90">
        <v>2041.09</v>
      </c>
      <c r="L398" s="90">
        <v>0</v>
      </c>
      <c r="M398" s="90">
        <v>17738.919999999998</v>
      </c>
      <c r="N398" s="90">
        <v>24454.03</v>
      </c>
      <c r="O398" s="90">
        <v>22823.88</v>
      </c>
      <c r="P398" s="90">
        <v>64497.25</v>
      </c>
      <c r="Q398" s="90">
        <v>3334.97</v>
      </c>
      <c r="R398" s="90">
        <v>1.54</v>
      </c>
      <c r="S398" s="90">
        <v>0</v>
      </c>
      <c r="T398">
        <v>0.05</v>
      </c>
      <c r="U398">
        <v>0</v>
      </c>
      <c r="V398">
        <v>0</v>
      </c>
      <c r="W398">
        <v>0</v>
      </c>
      <c r="X398">
        <v>0</v>
      </c>
      <c r="Y398" s="90">
        <v>0</v>
      </c>
      <c r="Z398">
        <v>0</v>
      </c>
    </row>
    <row r="399" spans="2:26" ht="12.75" customHeight="1" x14ac:dyDescent="0.25">
      <c r="D399" t="s">
        <v>82</v>
      </c>
      <c r="E399" s="89" t="s">
        <v>70</v>
      </c>
      <c r="F399" s="90">
        <v>125326481.78</v>
      </c>
      <c r="G399" s="90">
        <v>7489901.8399999999</v>
      </c>
      <c r="H399" s="90">
        <v>4213582.09</v>
      </c>
      <c r="I399" s="90">
        <v>2223331.17</v>
      </c>
      <c r="J399" s="90">
        <v>28121705.670000002</v>
      </c>
      <c r="K399" s="90">
        <v>732678.82</v>
      </c>
      <c r="L399" s="90">
        <v>0</v>
      </c>
      <c r="M399" s="90">
        <v>6395366.1600000001</v>
      </c>
      <c r="N399" s="90">
        <v>9019461.3100000005</v>
      </c>
      <c r="O399" s="90">
        <v>46044405.640000001</v>
      </c>
      <c r="P399" s="90">
        <v>19888532.969999999</v>
      </c>
      <c r="Q399" s="90">
        <v>1197571.56</v>
      </c>
      <c r="R399" s="90">
        <v>-55.5</v>
      </c>
      <c r="S399" s="90">
        <v>0</v>
      </c>
      <c r="T399">
        <v>0.05</v>
      </c>
      <c r="U399">
        <v>0</v>
      </c>
      <c r="V399">
        <v>0</v>
      </c>
      <c r="W399">
        <v>0</v>
      </c>
      <c r="X399">
        <v>0</v>
      </c>
      <c r="Y399" s="90">
        <v>0</v>
      </c>
      <c r="Z399">
        <v>0</v>
      </c>
    </row>
    <row r="400" spans="2:26" ht="12.75" customHeight="1" x14ac:dyDescent="0.25">
      <c r="E400" s="89" t="s">
        <v>72</v>
      </c>
      <c r="F400" s="90">
        <v>144196460.63999999</v>
      </c>
      <c r="G400" s="90">
        <v>13787352.93</v>
      </c>
      <c r="H400" s="90">
        <v>7155762.0499999998</v>
      </c>
      <c r="I400" s="90">
        <v>3571695.46</v>
      </c>
      <c r="J400" s="90">
        <v>21389903.010000002</v>
      </c>
      <c r="K400" s="90">
        <v>842023.77</v>
      </c>
      <c r="L400" s="90">
        <v>-27939.23</v>
      </c>
      <c r="M400" s="90">
        <v>7670040.5999999996</v>
      </c>
      <c r="N400" s="90">
        <v>9000885.9000000004</v>
      </c>
      <c r="O400" s="90">
        <v>43071754.789999999</v>
      </c>
      <c r="P400" s="90">
        <v>36355196.409999996</v>
      </c>
      <c r="Q400" s="90">
        <v>1380475.78</v>
      </c>
      <c r="R400" s="90">
        <v>-690.83</v>
      </c>
      <c r="S400" s="9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 s="90">
        <v>0</v>
      </c>
      <c r="Z400">
        <v>0</v>
      </c>
    </row>
    <row r="401" spans="1:26" ht="12.75" customHeight="1" x14ac:dyDescent="0.25">
      <c r="D401" s="89"/>
      <c r="E401" s="89" t="s">
        <v>81</v>
      </c>
      <c r="F401" s="90">
        <v>18076643.829999998</v>
      </c>
      <c r="G401" s="90">
        <v>2299156.25</v>
      </c>
      <c r="H401" s="90">
        <v>950099.99</v>
      </c>
      <c r="I401" s="90">
        <v>349007.31</v>
      </c>
      <c r="J401" s="90">
        <v>2537366.29</v>
      </c>
      <c r="K401" s="90">
        <v>102538.29</v>
      </c>
      <c r="L401" s="90">
        <v>35416.11</v>
      </c>
      <c r="M401" s="90">
        <v>897608.13</v>
      </c>
      <c r="N401" s="90">
        <v>1045780.22</v>
      </c>
      <c r="O401" s="90">
        <v>3533639.91</v>
      </c>
      <c r="P401" s="90">
        <v>6158548.6100000003</v>
      </c>
      <c r="Q401" s="90">
        <v>167310.17000000001</v>
      </c>
      <c r="R401" s="90">
        <v>20.61</v>
      </c>
      <c r="S401" s="90">
        <v>0.06</v>
      </c>
      <c r="T401">
        <v>151.88</v>
      </c>
      <c r="U401">
        <v>0</v>
      </c>
      <c r="V401">
        <v>0</v>
      </c>
      <c r="W401">
        <v>0</v>
      </c>
      <c r="X401">
        <v>0</v>
      </c>
      <c r="Y401" s="90">
        <v>0</v>
      </c>
      <c r="Z401">
        <v>0</v>
      </c>
    </row>
    <row r="402" spans="1:26" ht="12.75" customHeight="1" x14ac:dyDescent="0.25">
      <c r="C402" s="89"/>
      <c r="D402" s="89" t="s">
        <v>86</v>
      </c>
      <c r="E402" t="s">
        <v>70</v>
      </c>
      <c r="F402" s="90">
        <v>162273104.47</v>
      </c>
      <c r="G402" s="90">
        <v>16086509.18</v>
      </c>
      <c r="H402" s="90">
        <v>8105862.04</v>
      </c>
      <c r="I402" s="90">
        <v>3920702.77</v>
      </c>
      <c r="J402" s="90">
        <v>23927269.300000001</v>
      </c>
      <c r="K402" s="90">
        <v>944562.06</v>
      </c>
      <c r="L402" s="90">
        <v>7476.88</v>
      </c>
      <c r="M402" s="90">
        <v>8567648.7300000004</v>
      </c>
      <c r="N402" s="90">
        <v>10046666.119999999</v>
      </c>
      <c r="O402" s="90">
        <v>46605394.700000003</v>
      </c>
      <c r="P402" s="90">
        <v>42513745.020000003</v>
      </c>
      <c r="Q402" s="90">
        <v>1547785.95</v>
      </c>
      <c r="R402" s="90">
        <v>-670.22</v>
      </c>
      <c r="S402" s="90">
        <v>0.06</v>
      </c>
      <c r="T402">
        <v>151.88</v>
      </c>
      <c r="U402">
        <v>0</v>
      </c>
      <c r="V402">
        <v>0</v>
      </c>
      <c r="W402">
        <v>0</v>
      </c>
      <c r="X402">
        <v>0</v>
      </c>
      <c r="Y402" s="90">
        <v>0</v>
      </c>
      <c r="Z402">
        <v>0</v>
      </c>
    </row>
    <row r="403" spans="1:26" ht="12.75" customHeight="1" x14ac:dyDescent="0.25">
      <c r="B403" s="89"/>
      <c r="C403" s="89"/>
      <c r="E403" t="s">
        <v>72</v>
      </c>
      <c r="F403" s="90">
        <v>160983168</v>
      </c>
      <c r="G403" s="90">
        <v>15033836.65</v>
      </c>
      <c r="H403" s="90">
        <v>8440817.3800000008</v>
      </c>
      <c r="I403" s="90">
        <v>4460963.03</v>
      </c>
      <c r="J403" s="90">
        <v>28195689.199999999</v>
      </c>
      <c r="K403" s="90">
        <v>696961.15</v>
      </c>
      <c r="L403" s="90">
        <v>3312996.28</v>
      </c>
      <c r="M403" s="90">
        <v>6104664.8600000003</v>
      </c>
      <c r="N403" s="90">
        <v>8789091.8100000005</v>
      </c>
      <c r="O403" s="90">
        <v>44971443.340000004</v>
      </c>
      <c r="P403" s="90">
        <v>39837891.479999997</v>
      </c>
      <c r="Q403" s="90">
        <v>1138307.53</v>
      </c>
      <c r="R403" s="90">
        <v>505.29</v>
      </c>
      <c r="S403" s="90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 s="90">
        <v>0</v>
      </c>
      <c r="Z403">
        <v>0</v>
      </c>
    </row>
    <row r="404" spans="1:26" ht="12.75" customHeight="1" x14ac:dyDescent="0.25">
      <c r="A404" s="89"/>
      <c r="B404" s="89"/>
      <c r="E404" t="s">
        <v>81</v>
      </c>
      <c r="F404" s="90">
        <v>-1048283.79</v>
      </c>
      <c r="G404" s="90">
        <v>-276329.13</v>
      </c>
      <c r="H404" s="90">
        <v>-137037.25</v>
      </c>
      <c r="I404" s="90">
        <v>-51554.73</v>
      </c>
      <c r="J404" s="90">
        <v>62773.77</v>
      </c>
      <c r="K404" s="90">
        <v>1574.24</v>
      </c>
      <c r="L404" s="90">
        <v>2951.63</v>
      </c>
      <c r="M404" s="90">
        <v>13774.64</v>
      </c>
      <c r="N404" s="90">
        <v>20028.62</v>
      </c>
      <c r="O404" s="90">
        <v>14557.29</v>
      </c>
      <c r="P404" s="90">
        <v>-701602.95</v>
      </c>
      <c r="Q404" s="90">
        <v>2565.37</v>
      </c>
      <c r="R404" s="90">
        <v>17.579999999999998</v>
      </c>
      <c r="S404" s="90">
        <v>-2.87</v>
      </c>
      <c r="T404">
        <v>0</v>
      </c>
      <c r="U404">
        <v>0</v>
      </c>
      <c r="V404">
        <v>0</v>
      </c>
      <c r="W404">
        <v>0</v>
      </c>
      <c r="X404">
        <v>0</v>
      </c>
      <c r="Y404" s="90">
        <v>0</v>
      </c>
      <c r="Z404">
        <v>0</v>
      </c>
    </row>
    <row r="405" spans="1:26" ht="12.75" customHeight="1" x14ac:dyDescent="0.25">
      <c r="A405" s="89"/>
      <c r="B405" s="89"/>
      <c r="D405" t="s">
        <v>87</v>
      </c>
      <c r="E405" t="s">
        <v>70</v>
      </c>
      <c r="F405" s="373">
        <v>159934884.21000001</v>
      </c>
      <c r="G405" s="90">
        <v>14757507.52</v>
      </c>
      <c r="H405" s="90">
        <v>8303780.1299999999</v>
      </c>
      <c r="I405" s="90">
        <v>4409408.3</v>
      </c>
      <c r="J405" s="90">
        <v>28258462.969999999</v>
      </c>
      <c r="K405" s="90">
        <v>698535.39</v>
      </c>
      <c r="L405" s="90">
        <v>3315947.91</v>
      </c>
      <c r="M405" s="90">
        <v>6118439.5</v>
      </c>
      <c r="N405" s="90">
        <v>8809120.4299999997</v>
      </c>
      <c r="O405" s="90">
        <v>44986000.630000003</v>
      </c>
      <c r="P405" s="90">
        <v>39136288.530000001</v>
      </c>
      <c r="Q405" s="90">
        <v>1140872.8999999999</v>
      </c>
      <c r="R405" s="90">
        <v>522.87</v>
      </c>
      <c r="S405" s="90">
        <v>-2.87</v>
      </c>
      <c r="T405">
        <v>0</v>
      </c>
      <c r="U405">
        <v>0</v>
      </c>
      <c r="V405">
        <v>0</v>
      </c>
      <c r="W405">
        <v>0</v>
      </c>
      <c r="X405">
        <v>0</v>
      </c>
      <c r="Y405" s="90">
        <v>0</v>
      </c>
      <c r="Z405">
        <v>0</v>
      </c>
    </row>
    <row r="406" spans="1:26" s="94" customFormat="1" ht="12.75" customHeight="1" x14ac:dyDescent="0.25">
      <c r="C406" s="101" t="s">
        <v>119</v>
      </c>
      <c r="D406" s="101" t="s">
        <v>70</v>
      </c>
      <c r="F406" s="93">
        <v>447534470.45999998</v>
      </c>
      <c r="G406" s="93">
        <v>38333918.539999999</v>
      </c>
      <c r="H406" s="93">
        <v>20623224.260000002</v>
      </c>
      <c r="I406" s="93">
        <v>10553442.24</v>
      </c>
      <c r="J406" s="93">
        <v>80307437.939999998</v>
      </c>
      <c r="K406" s="93">
        <v>2375776.27</v>
      </c>
      <c r="L406" s="93">
        <v>3323424.79</v>
      </c>
      <c r="M406" s="93">
        <v>21081454.390000001</v>
      </c>
      <c r="N406" s="93">
        <v>27875247.859999999</v>
      </c>
      <c r="O406" s="93">
        <v>137635800.97</v>
      </c>
      <c r="P406" s="93">
        <v>101538566.52</v>
      </c>
      <c r="Q406" s="93">
        <v>3886230.41</v>
      </c>
      <c r="R406" s="93">
        <v>-202.85</v>
      </c>
      <c r="S406" s="93">
        <v>-2.81</v>
      </c>
      <c r="T406" s="94">
        <v>151.93</v>
      </c>
      <c r="U406" s="94">
        <v>0</v>
      </c>
      <c r="V406" s="94">
        <v>0</v>
      </c>
      <c r="W406" s="94">
        <v>0</v>
      </c>
      <c r="X406" s="94">
        <v>0</v>
      </c>
      <c r="Y406" s="93">
        <v>0</v>
      </c>
      <c r="Z406" s="94">
        <v>0</v>
      </c>
    </row>
    <row r="407" spans="1:26" s="226" customFormat="1" ht="12.75" customHeight="1" x14ac:dyDescent="0.25">
      <c r="B407" s="98" t="s">
        <v>112</v>
      </c>
      <c r="C407" s="98" t="s">
        <v>70</v>
      </c>
      <c r="F407" s="100">
        <v>12105463601.370001</v>
      </c>
      <c r="G407" s="100">
        <v>651000135.25</v>
      </c>
      <c r="H407" s="100">
        <v>361666154.92000002</v>
      </c>
      <c r="I407" s="100">
        <v>191312388.19</v>
      </c>
      <c r="J407" s="100">
        <v>2848452024.21</v>
      </c>
      <c r="K407" s="100">
        <v>98370919.150000006</v>
      </c>
      <c r="L407" s="100">
        <v>23185407.98</v>
      </c>
      <c r="M407" s="100">
        <v>862528584.15999997</v>
      </c>
      <c r="N407" s="100">
        <v>850282698.40999997</v>
      </c>
      <c r="O407" s="100">
        <v>4334699091.5600004</v>
      </c>
      <c r="P407" s="100">
        <v>1723221837.0999999</v>
      </c>
      <c r="Q407" s="100">
        <v>160808453.71000001</v>
      </c>
      <c r="R407" s="100">
        <v>-64274.34</v>
      </c>
      <c r="S407" s="100">
        <v>-3.71</v>
      </c>
      <c r="T407" s="226">
        <v>329.76</v>
      </c>
      <c r="U407" s="226">
        <v>0</v>
      </c>
      <c r="V407" s="226">
        <v>0</v>
      </c>
      <c r="W407" s="226">
        <v>0</v>
      </c>
      <c r="X407" s="226">
        <v>0</v>
      </c>
      <c r="Y407" s="100">
        <v>0</v>
      </c>
      <c r="Z407" s="226">
        <v>-144.97999999999999</v>
      </c>
    </row>
    <row r="408" spans="1:26" ht="12" customHeight="1" x14ac:dyDescent="0.25">
      <c r="A408" s="89" t="s">
        <v>78</v>
      </c>
      <c r="B408" s="89" t="s">
        <v>70</v>
      </c>
      <c r="F408" s="373">
        <v>12113954721.389999</v>
      </c>
      <c r="G408" s="90">
        <v>651521752.82000005</v>
      </c>
      <c r="H408" s="90">
        <v>361961431.23000002</v>
      </c>
      <c r="I408" s="90">
        <v>191471359.16</v>
      </c>
      <c r="J408" s="90">
        <v>2850362520.8400002</v>
      </c>
      <c r="K408" s="90">
        <v>98424037.170000002</v>
      </c>
      <c r="L408" s="90">
        <v>23185407.98</v>
      </c>
      <c r="M408" s="90">
        <v>862994533.78999996</v>
      </c>
      <c r="N408" s="90">
        <v>850876429.57000005</v>
      </c>
      <c r="O408" s="90">
        <v>4337711712.3500004</v>
      </c>
      <c r="P408" s="90">
        <v>1724613312.0799999</v>
      </c>
      <c r="Q408" s="90">
        <v>160896333.5</v>
      </c>
      <c r="R408" s="90">
        <v>-64290.17</v>
      </c>
      <c r="S408" s="90">
        <v>-3.71</v>
      </c>
      <c r="T408">
        <v>329.76</v>
      </c>
      <c r="U408">
        <v>0</v>
      </c>
      <c r="V408">
        <v>0</v>
      </c>
      <c r="W408">
        <v>0</v>
      </c>
      <c r="X408">
        <v>0</v>
      </c>
      <c r="Y408" s="90">
        <v>0</v>
      </c>
      <c r="Z408">
        <v>-144.97999999999999</v>
      </c>
    </row>
    <row r="409" spans="1:26" ht="12.75" customHeight="1" x14ac:dyDescent="0.25">
      <c r="E409" s="89" t="s">
        <v>73</v>
      </c>
      <c r="F409" s="90">
        <v>366778.43</v>
      </c>
      <c r="G409" s="90">
        <v>82602.850000000006</v>
      </c>
      <c r="H409" s="90">
        <v>46625.47</v>
      </c>
      <c r="I409" s="90">
        <v>24847.91</v>
      </c>
      <c r="J409" s="90">
        <v>-5319.48</v>
      </c>
      <c r="K409" s="90">
        <v>762.48</v>
      </c>
      <c r="L409" s="90">
        <v>0</v>
      </c>
      <c r="M409" s="90">
        <v>6687.19</v>
      </c>
      <c r="N409" s="90">
        <v>-1969.03</v>
      </c>
      <c r="O409" s="90">
        <v>-9710.2099999999991</v>
      </c>
      <c r="P409" s="90">
        <v>221007.25</v>
      </c>
      <c r="Q409" s="90">
        <v>1244</v>
      </c>
      <c r="R409" s="90">
        <v>0</v>
      </c>
      <c r="S409" s="90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 s="90">
        <v>0</v>
      </c>
      <c r="Z409">
        <v>0</v>
      </c>
    </row>
    <row r="410" spans="1:26" ht="12.75" customHeight="1" x14ac:dyDescent="0.25">
      <c r="D410" t="s">
        <v>156</v>
      </c>
      <c r="E410" s="89" t="s">
        <v>70</v>
      </c>
      <c r="F410" s="90">
        <v>366778.43</v>
      </c>
      <c r="G410" s="90">
        <v>82602.850000000006</v>
      </c>
      <c r="H410" s="90">
        <v>46625.47</v>
      </c>
      <c r="I410" s="90">
        <v>24847.91</v>
      </c>
      <c r="J410" s="90">
        <v>-5319.48</v>
      </c>
      <c r="K410" s="90">
        <v>762.48</v>
      </c>
      <c r="L410" s="90">
        <v>0</v>
      </c>
      <c r="M410" s="90">
        <v>6687.19</v>
      </c>
      <c r="N410" s="90">
        <v>-1969.03</v>
      </c>
      <c r="O410" s="90">
        <v>-9710.2099999999991</v>
      </c>
      <c r="P410" s="90">
        <v>221007.25</v>
      </c>
      <c r="Q410" s="90">
        <v>1244</v>
      </c>
      <c r="R410" s="90">
        <v>0</v>
      </c>
      <c r="S410" s="9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 s="90">
        <v>0</v>
      </c>
      <c r="Z410">
        <v>0</v>
      </c>
    </row>
    <row r="411" spans="1:26" s="648" customFormat="1" ht="12.75" customHeight="1" x14ac:dyDescent="0.25">
      <c r="C411" s="648" t="s">
        <v>155</v>
      </c>
      <c r="D411" s="648" t="s">
        <v>70</v>
      </c>
      <c r="E411" s="649"/>
      <c r="F411" s="737">
        <v>366778.43</v>
      </c>
      <c r="G411" s="650">
        <v>82602.850000000006</v>
      </c>
      <c r="H411" s="650">
        <v>46625.47</v>
      </c>
      <c r="I411" s="650">
        <v>24847.91</v>
      </c>
      <c r="J411" s="650">
        <v>-5319.48</v>
      </c>
      <c r="K411" s="650">
        <v>762.48</v>
      </c>
      <c r="L411" s="650">
        <v>0</v>
      </c>
      <c r="M411" s="650">
        <v>6687.19</v>
      </c>
      <c r="N411" s="650">
        <v>-1969.03</v>
      </c>
      <c r="O411" s="650">
        <v>-9710.2099999999991</v>
      </c>
      <c r="P411" s="650">
        <v>221007.25</v>
      </c>
      <c r="Q411" s="650">
        <v>1244</v>
      </c>
      <c r="R411" s="650">
        <v>0</v>
      </c>
      <c r="S411" s="650">
        <v>0</v>
      </c>
      <c r="T411" s="648">
        <v>0</v>
      </c>
      <c r="U411" s="648">
        <v>0</v>
      </c>
      <c r="V411" s="648">
        <v>0</v>
      </c>
      <c r="W411" s="648">
        <v>0</v>
      </c>
      <c r="X411" s="648">
        <v>0</v>
      </c>
      <c r="Y411" s="650">
        <v>0</v>
      </c>
      <c r="Z411" s="648">
        <v>0</v>
      </c>
    </row>
    <row r="412" spans="1:26" ht="12.75" customHeight="1" x14ac:dyDescent="0.25">
      <c r="E412" s="89" t="s">
        <v>73</v>
      </c>
      <c r="F412" s="90">
        <v>-9397.7999999999993</v>
      </c>
      <c r="G412" s="90">
        <v>-411.67</v>
      </c>
      <c r="H412" s="90">
        <v>-230.59</v>
      </c>
      <c r="I412" s="90">
        <v>-122</v>
      </c>
      <c r="J412" s="90">
        <v>-2379.1999999999998</v>
      </c>
      <c r="K412" s="90">
        <v>-80.930000000000007</v>
      </c>
      <c r="L412" s="90">
        <v>0</v>
      </c>
      <c r="M412" s="90">
        <v>-709.88</v>
      </c>
      <c r="N412" s="90">
        <v>-689.36</v>
      </c>
      <c r="O412" s="90">
        <v>-3552.18</v>
      </c>
      <c r="P412" s="90">
        <v>-1089.95</v>
      </c>
      <c r="Q412" s="90">
        <v>-132.04</v>
      </c>
      <c r="R412" s="90">
        <v>0</v>
      </c>
      <c r="S412" s="90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 s="90">
        <v>0</v>
      </c>
      <c r="Z412">
        <v>0</v>
      </c>
    </row>
    <row r="413" spans="1:26" ht="12.75" customHeight="1" x14ac:dyDescent="0.25">
      <c r="D413" t="s">
        <v>115</v>
      </c>
      <c r="E413" s="89" t="s">
        <v>70</v>
      </c>
      <c r="F413" s="90">
        <v>-9397.7999999999993</v>
      </c>
      <c r="G413" s="90">
        <v>-411.67</v>
      </c>
      <c r="H413" s="90">
        <v>-230.59</v>
      </c>
      <c r="I413" s="90">
        <v>-122</v>
      </c>
      <c r="J413" s="90">
        <v>-2379.1999999999998</v>
      </c>
      <c r="K413" s="90">
        <v>-80.930000000000007</v>
      </c>
      <c r="L413" s="90">
        <v>0</v>
      </c>
      <c r="M413" s="90">
        <v>-709.88</v>
      </c>
      <c r="N413" s="90">
        <v>-689.36</v>
      </c>
      <c r="O413" s="90">
        <v>-3552.18</v>
      </c>
      <c r="P413" s="90">
        <v>-1089.95</v>
      </c>
      <c r="Q413" s="90">
        <v>-132.04</v>
      </c>
      <c r="R413" s="90">
        <v>0</v>
      </c>
      <c r="S413" s="90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 s="90">
        <v>0</v>
      </c>
      <c r="Z413">
        <v>0</v>
      </c>
    </row>
    <row r="414" spans="1:26" ht="12.75" customHeight="1" x14ac:dyDescent="0.25">
      <c r="E414" s="89" t="s">
        <v>73</v>
      </c>
      <c r="F414" s="90">
        <v>-11617.4</v>
      </c>
      <c r="G414" s="90">
        <v>-478.23</v>
      </c>
      <c r="H414" s="90">
        <v>-270.61</v>
      </c>
      <c r="I414" s="90">
        <v>-144.41</v>
      </c>
      <c r="J414" s="90">
        <v>-2980.29</v>
      </c>
      <c r="K414" s="90">
        <v>-73.3</v>
      </c>
      <c r="L414" s="90">
        <v>0</v>
      </c>
      <c r="M414" s="90">
        <v>-643</v>
      </c>
      <c r="N414" s="90">
        <v>-942.36</v>
      </c>
      <c r="O414" s="90">
        <v>-4675.79</v>
      </c>
      <c r="P414" s="90">
        <v>-1289.82</v>
      </c>
      <c r="Q414" s="90">
        <v>-119.59</v>
      </c>
      <c r="R414" s="90">
        <v>0</v>
      </c>
      <c r="S414" s="90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 s="90">
        <v>0</v>
      </c>
      <c r="Z414">
        <v>0</v>
      </c>
    </row>
    <row r="415" spans="1:26" ht="12.75" customHeight="1" x14ac:dyDescent="0.25">
      <c r="D415" t="s">
        <v>116</v>
      </c>
      <c r="E415" s="89" t="s">
        <v>70</v>
      </c>
      <c r="F415" s="90">
        <v>-11617.4</v>
      </c>
      <c r="G415" s="90">
        <v>-478.23</v>
      </c>
      <c r="H415" s="90">
        <v>-270.61</v>
      </c>
      <c r="I415" s="90">
        <v>-144.41</v>
      </c>
      <c r="J415" s="90">
        <v>-2980.29</v>
      </c>
      <c r="K415" s="90">
        <v>-73.3</v>
      </c>
      <c r="L415" s="90">
        <v>0</v>
      </c>
      <c r="M415" s="90">
        <v>-643</v>
      </c>
      <c r="N415" s="90">
        <v>-942.36</v>
      </c>
      <c r="O415" s="90">
        <v>-4675.79</v>
      </c>
      <c r="P415" s="90">
        <v>-1289.82</v>
      </c>
      <c r="Q415" s="90">
        <v>-119.59</v>
      </c>
      <c r="R415" s="90">
        <v>0</v>
      </c>
      <c r="S415" s="90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 s="90">
        <v>0</v>
      </c>
      <c r="Z415">
        <v>0</v>
      </c>
    </row>
    <row r="416" spans="1:26" ht="12.75" customHeight="1" x14ac:dyDescent="0.25">
      <c r="E416" s="89" t="s">
        <v>73</v>
      </c>
      <c r="F416" s="90">
        <v>-175454.24</v>
      </c>
      <c r="G416" s="90">
        <v>-8056.63</v>
      </c>
      <c r="H416" s="90">
        <v>-4548.79</v>
      </c>
      <c r="I416" s="90">
        <v>-2387.5</v>
      </c>
      <c r="J416" s="90">
        <v>-42112.92</v>
      </c>
      <c r="K416" s="90">
        <v>-1518.25</v>
      </c>
      <c r="L416" s="90">
        <v>0</v>
      </c>
      <c r="M416" s="90">
        <v>-13318.34</v>
      </c>
      <c r="N416" s="90">
        <v>-12996.08</v>
      </c>
      <c r="O416" s="90">
        <v>-66711.5</v>
      </c>
      <c r="P416" s="90">
        <v>-21326.98</v>
      </c>
      <c r="Q416" s="90">
        <v>-2477.25</v>
      </c>
      <c r="R416" s="90">
        <v>0</v>
      </c>
      <c r="S416" s="90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 s="90">
        <v>0</v>
      </c>
      <c r="Z416">
        <v>0</v>
      </c>
    </row>
    <row r="417" spans="2:26" ht="12.75" customHeight="1" x14ac:dyDescent="0.25">
      <c r="D417" t="s">
        <v>118</v>
      </c>
      <c r="E417" s="89" t="s">
        <v>70</v>
      </c>
      <c r="F417" s="90">
        <v>-175454.24</v>
      </c>
      <c r="G417" s="90">
        <v>-8056.63</v>
      </c>
      <c r="H417" s="90">
        <v>-4548.79</v>
      </c>
      <c r="I417" s="90">
        <v>-2387.5</v>
      </c>
      <c r="J417" s="90">
        <v>-42112.92</v>
      </c>
      <c r="K417" s="90">
        <v>-1518.25</v>
      </c>
      <c r="L417" s="90">
        <v>0</v>
      </c>
      <c r="M417" s="90">
        <v>-13318.34</v>
      </c>
      <c r="N417" s="90">
        <v>-12996.08</v>
      </c>
      <c r="O417" s="90">
        <v>-66711.5</v>
      </c>
      <c r="P417" s="90">
        <v>-21326.98</v>
      </c>
      <c r="Q417" s="90">
        <v>-2477.25</v>
      </c>
      <c r="R417" s="90">
        <v>0</v>
      </c>
      <c r="S417" s="90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 s="90">
        <v>0</v>
      </c>
      <c r="Z417">
        <v>0</v>
      </c>
    </row>
    <row r="418" spans="2:26" s="224" customFormat="1" ht="12.75" customHeight="1" x14ac:dyDescent="0.25">
      <c r="C418" s="223" t="s">
        <v>120</v>
      </c>
      <c r="D418" s="223" t="s">
        <v>70</v>
      </c>
      <c r="F418" s="225">
        <v>-196469.44</v>
      </c>
      <c r="G418" s="225">
        <v>-8946.5300000000007</v>
      </c>
      <c r="H418" s="225">
        <v>-5049.99</v>
      </c>
      <c r="I418" s="225">
        <v>-2653.91</v>
      </c>
      <c r="J418" s="225">
        <v>-47472.41</v>
      </c>
      <c r="K418" s="225">
        <v>-1672.48</v>
      </c>
      <c r="L418" s="225">
        <v>0</v>
      </c>
      <c r="M418" s="225">
        <v>-14671.22</v>
      </c>
      <c r="N418" s="225">
        <v>-14627.8</v>
      </c>
      <c r="O418" s="225">
        <v>-74939.47</v>
      </c>
      <c r="P418" s="225">
        <v>-23706.75</v>
      </c>
      <c r="Q418" s="225">
        <v>-2728.88</v>
      </c>
      <c r="R418" s="225">
        <v>0</v>
      </c>
      <c r="S418" s="225">
        <v>0</v>
      </c>
      <c r="T418" s="224">
        <v>0</v>
      </c>
      <c r="U418" s="224">
        <v>0</v>
      </c>
      <c r="V418" s="224">
        <v>0</v>
      </c>
      <c r="W418" s="224">
        <v>0</v>
      </c>
      <c r="X418" s="224">
        <v>0</v>
      </c>
      <c r="Y418" s="225">
        <v>0</v>
      </c>
      <c r="Z418" s="224">
        <v>0</v>
      </c>
    </row>
    <row r="419" spans="2:26" ht="12.75" customHeight="1" x14ac:dyDescent="0.25">
      <c r="E419" s="89" t="s">
        <v>73</v>
      </c>
      <c r="F419" s="373">
        <v>-25715.01</v>
      </c>
      <c r="G419" s="90">
        <v>-1204.8699999999999</v>
      </c>
      <c r="H419" s="90">
        <v>-678.19</v>
      </c>
      <c r="I419" s="90">
        <v>-357.06</v>
      </c>
      <c r="J419" s="90">
        <v>-6161.51</v>
      </c>
      <c r="K419" s="90">
        <v>-220.25</v>
      </c>
      <c r="L419" s="90">
        <v>0</v>
      </c>
      <c r="M419" s="90">
        <v>-1931.93</v>
      </c>
      <c r="N419" s="90">
        <v>-1886.47</v>
      </c>
      <c r="O419" s="90">
        <v>-9725.81</v>
      </c>
      <c r="P419" s="90">
        <v>-3189.58</v>
      </c>
      <c r="Q419" s="90">
        <v>-359.34</v>
      </c>
      <c r="R419" s="90">
        <v>0</v>
      </c>
      <c r="S419" s="90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 s="90">
        <v>0</v>
      </c>
      <c r="Z419">
        <v>0</v>
      </c>
    </row>
    <row r="420" spans="2:26" ht="12.75" customHeight="1" x14ac:dyDescent="0.25">
      <c r="D420" s="89" t="s">
        <v>86</v>
      </c>
      <c r="E420" s="89" t="s">
        <v>70</v>
      </c>
      <c r="F420" s="90">
        <v>-25715.01</v>
      </c>
      <c r="G420" s="90">
        <v>-1204.8699999999999</v>
      </c>
      <c r="H420" s="90">
        <v>-678.19</v>
      </c>
      <c r="I420" s="90">
        <v>-357.06</v>
      </c>
      <c r="J420" s="90">
        <v>-6161.51</v>
      </c>
      <c r="K420" s="90">
        <v>-220.25</v>
      </c>
      <c r="L420" s="90">
        <v>0</v>
      </c>
      <c r="M420" s="90">
        <v>-1931.93</v>
      </c>
      <c r="N420" s="90">
        <v>-1886.47</v>
      </c>
      <c r="O420" s="90">
        <v>-9725.81</v>
      </c>
      <c r="P420" s="90">
        <v>-3189.58</v>
      </c>
      <c r="Q420" s="90">
        <v>-359.34</v>
      </c>
      <c r="R420" s="90">
        <v>0</v>
      </c>
      <c r="S420" s="9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 s="90">
        <v>0</v>
      </c>
      <c r="Z420">
        <v>0</v>
      </c>
    </row>
    <row r="421" spans="2:26" s="94" customFormat="1" ht="12.75" customHeight="1" x14ac:dyDescent="0.25">
      <c r="C421" s="94" t="s">
        <v>119</v>
      </c>
      <c r="D421" s="94" t="s">
        <v>70</v>
      </c>
      <c r="E421" s="101"/>
      <c r="F421" s="716">
        <v>-25715.01</v>
      </c>
      <c r="G421" s="93">
        <v>-1204.8699999999999</v>
      </c>
      <c r="H421" s="93">
        <v>-678.19</v>
      </c>
      <c r="I421" s="93">
        <v>-357.06</v>
      </c>
      <c r="J421" s="93">
        <v>-6161.51</v>
      </c>
      <c r="K421" s="93">
        <v>-220.25</v>
      </c>
      <c r="L421" s="93">
        <v>0</v>
      </c>
      <c r="M421" s="93">
        <v>-1931.93</v>
      </c>
      <c r="N421" s="93">
        <v>-1886.47</v>
      </c>
      <c r="O421" s="93">
        <v>-9725.81</v>
      </c>
      <c r="P421" s="93">
        <v>-3189.58</v>
      </c>
      <c r="Q421" s="93">
        <v>-359.34</v>
      </c>
      <c r="R421" s="93">
        <v>0</v>
      </c>
      <c r="S421" s="93">
        <v>0</v>
      </c>
      <c r="T421" s="94">
        <v>0</v>
      </c>
      <c r="U421" s="94">
        <v>0</v>
      </c>
      <c r="V421" s="94">
        <v>0</v>
      </c>
      <c r="W421" s="94">
        <v>0</v>
      </c>
      <c r="X421" s="94">
        <v>0</v>
      </c>
      <c r="Y421" s="93">
        <v>0</v>
      </c>
      <c r="Z421" s="94">
        <v>0</v>
      </c>
    </row>
    <row r="422" spans="2:26" s="380" customFormat="1" ht="12.65" customHeight="1" x14ac:dyDescent="0.25">
      <c r="B422" s="380" t="s">
        <v>122</v>
      </c>
      <c r="C422" s="380" t="s">
        <v>70</v>
      </c>
      <c r="D422" s="378"/>
      <c r="E422" s="378"/>
      <c r="F422" s="706">
        <v>144593.98000000001</v>
      </c>
      <c r="G422" s="379">
        <v>72451.45</v>
      </c>
      <c r="H422" s="379">
        <v>40897.29</v>
      </c>
      <c r="I422" s="379">
        <v>21836.94</v>
      </c>
      <c r="J422" s="379">
        <v>-58953.4</v>
      </c>
      <c r="K422" s="379">
        <v>-1130.25</v>
      </c>
      <c r="L422" s="379">
        <v>0</v>
      </c>
      <c r="M422" s="379">
        <v>-9915.9599999999991</v>
      </c>
      <c r="N422" s="379">
        <v>-18483.3</v>
      </c>
      <c r="O422" s="379">
        <v>-94375.49</v>
      </c>
      <c r="P422" s="379">
        <v>194110.92</v>
      </c>
      <c r="Q422" s="379">
        <v>-1844.22</v>
      </c>
      <c r="R422" s="379">
        <v>0</v>
      </c>
      <c r="S422" s="379">
        <v>0</v>
      </c>
      <c r="T422" s="380">
        <v>0</v>
      </c>
      <c r="U422" s="380">
        <v>0</v>
      </c>
      <c r="V422" s="380">
        <v>0</v>
      </c>
      <c r="W422" s="380">
        <v>0</v>
      </c>
      <c r="X422" s="380">
        <v>0</v>
      </c>
      <c r="Y422" s="379">
        <v>0</v>
      </c>
      <c r="Z422" s="380">
        <v>0</v>
      </c>
    </row>
    <row r="423" spans="2:26" ht="12.75" customHeight="1" x14ac:dyDescent="0.25">
      <c r="D423" s="89"/>
      <c r="E423" s="89" t="s">
        <v>73</v>
      </c>
      <c r="F423" s="373">
        <v>-647985388.16999996</v>
      </c>
      <c r="G423" s="90">
        <v>43535341.619999997</v>
      </c>
      <c r="H423" s="90">
        <v>23991225.32</v>
      </c>
      <c r="I423" s="90">
        <v>12632174.15</v>
      </c>
      <c r="J423" s="90">
        <v>-265357889.63</v>
      </c>
      <c r="K423" s="90">
        <v>-9071154.6699999999</v>
      </c>
      <c r="L423" s="90">
        <v>0</v>
      </c>
      <c r="M423" s="90">
        <v>-79626184.540000007</v>
      </c>
      <c r="N423" s="90">
        <v>-77048831.75</v>
      </c>
      <c r="O423" s="90">
        <v>-397639377.33999997</v>
      </c>
      <c r="P423" s="90">
        <v>115400685.79000001</v>
      </c>
      <c r="Q423" s="90">
        <v>-14801377.119999999</v>
      </c>
      <c r="R423" s="90">
        <v>0</v>
      </c>
      <c r="S423" s="90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 s="90">
        <v>0</v>
      </c>
      <c r="Z423">
        <v>0</v>
      </c>
    </row>
    <row r="424" spans="2:26" ht="12.75" customHeight="1" x14ac:dyDescent="0.25">
      <c r="D424" s="89" t="s">
        <v>156</v>
      </c>
      <c r="E424" s="89" t="s">
        <v>70</v>
      </c>
      <c r="F424" s="373">
        <v>-647985388.16999996</v>
      </c>
      <c r="G424" s="90">
        <v>43535341.619999997</v>
      </c>
      <c r="H424" s="90">
        <v>23991225.32</v>
      </c>
      <c r="I424" s="90">
        <v>12632174.15</v>
      </c>
      <c r="J424" s="90">
        <v>-265357889.63</v>
      </c>
      <c r="K424" s="90">
        <v>-9071154.6699999999</v>
      </c>
      <c r="L424" s="90">
        <v>0</v>
      </c>
      <c r="M424" s="90">
        <v>-79626184.540000007</v>
      </c>
      <c r="N424" s="90">
        <v>-77048831.75</v>
      </c>
      <c r="O424" s="90">
        <v>-397639377.33999997</v>
      </c>
      <c r="P424" s="90">
        <v>115400685.79000001</v>
      </c>
      <c r="Q424" s="90">
        <v>-14801377.119999999</v>
      </c>
      <c r="R424" s="90">
        <v>0</v>
      </c>
      <c r="S424" s="90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 s="90">
        <v>0</v>
      </c>
      <c r="Z424">
        <v>0</v>
      </c>
    </row>
    <row r="425" spans="2:26" s="648" customFormat="1" ht="12.75" customHeight="1" x14ac:dyDescent="0.25">
      <c r="C425" s="648" t="s">
        <v>155</v>
      </c>
      <c r="D425" s="649" t="s">
        <v>70</v>
      </c>
      <c r="E425" s="649"/>
      <c r="F425" s="737">
        <v>-647985388.16999996</v>
      </c>
      <c r="G425" s="650">
        <v>43535341.619999997</v>
      </c>
      <c r="H425" s="650">
        <v>23991225.32</v>
      </c>
      <c r="I425" s="650">
        <v>12632174.15</v>
      </c>
      <c r="J425" s="650">
        <v>-265357889.63</v>
      </c>
      <c r="K425" s="650">
        <v>-9071154.6699999999</v>
      </c>
      <c r="L425" s="650">
        <v>0</v>
      </c>
      <c r="M425" s="650">
        <v>-79626184.540000007</v>
      </c>
      <c r="N425" s="650">
        <v>-77048831.75</v>
      </c>
      <c r="O425" s="650">
        <v>-397639377.33999997</v>
      </c>
      <c r="P425" s="650">
        <v>115400685.79000001</v>
      </c>
      <c r="Q425" s="650">
        <v>-14801377.119999999</v>
      </c>
      <c r="R425" s="650">
        <v>0</v>
      </c>
      <c r="S425" s="650">
        <v>0</v>
      </c>
      <c r="T425" s="648">
        <v>0</v>
      </c>
      <c r="U425" s="648">
        <v>0</v>
      </c>
      <c r="V425" s="648">
        <v>0</v>
      </c>
      <c r="W425" s="648">
        <v>0</v>
      </c>
      <c r="X425" s="648">
        <v>0</v>
      </c>
      <c r="Y425" s="650">
        <v>0</v>
      </c>
      <c r="Z425" s="648">
        <v>0</v>
      </c>
    </row>
    <row r="426" spans="2:26" ht="12.75" customHeight="1" x14ac:dyDescent="0.25">
      <c r="D426" s="89"/>
      <c r="E426" s="89" t="s">
        <v>73</v>
      </c>
      <c r="F426" s="373">
        <v>-73237.399999999994</v>
      </c>
      <c r="G426" s="90">
        <v>-1289.25</v>
      </c>
      <c r="H426" s="90">
        <v>-1133.49</v>
      </c>
      <c r="I426" s="90">
        <v>-503.32</v>
      </c>
      <c r="J426" s="90">
        <v>-8441.1</v>
      </c>
      <c r="K426" s="90">
        <v>-932.73</v>
      </c>
      <c r="L426" s="90">
        <v>0</v>
      </c>
      <c r="M426" s="90">
        <v>-8182.29</v>
      </c>
      <c r="N426" s="90">
        <v>-7868.1</v>
      </c>
      <c r="O426" s="90">
        <v>-40024.42</v>
      </c>
      <c r="P426" s="90">
        <v>-3340.82</v>
      </c>
      <c r="Q426" s="90">
        <v>-1521.88</v>
      </c>
      <c r="R426" s="90">
        <v>0</v>
      </c>
      <c r="S426" s="90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 s="90">
        <v>0</v>
      </c>
      <c r="Z426">
        <v>0</v>
      </c>
    </row>
    <row r="427" spans="2:26" ht="12.75" customHeight="1" x14ac:dyDescent="0.25">
      <c r="D427" s="89" t="s">
        <v>115</v>
      </c>
      <c r="E427" s="89" t="s">
        <v>70</v>
      </c>
      <c r="F427" s="373">
        <v>-73237.399999999994</v>
      </c>
      <c r="G427" s="90">
        <v>-1289.25</v>
      </c>
      <c r="H427" s="90">
        <v>-1133.49</v>
      </c>
      <c r="I427" s="90">
        <v>-503.32</v>
      </c>
      <c r="J427" s="90">
        <v>-8441.1</v>
      </c>
      <c r="K427" s="90">
        <v>-932.73</v>
      </c>
      <c r="L427" s="90">
        <v>0</v>
      </c>
      <c r="M427" s="90">
        <v>-8182.29</v>
      </c>
      <c r="N427" s="90">
        <v>-7868.1</v>
      </c>
      <c r="O427" s="90">
        <v>-40024.42</v>
      </c>
      <c r="P427" s="90">
        <v>-3340.82</v>
      </c>
      <c r="Q427" s="90">
        <v>-1521.88</v>
      </c>
      <c r="R427" s="90">
        <v>0</v>
      </c>
      <c r="S427" s="90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 s="90">
        <v>0</v>
      </c>
      <c r="Z427">
        <v>0</v>
      </c>
    </row>
    <row r="428" spans="2:26" ht="12.75" customHeight="1" x14ac:dyDescent="0.25">
      <c r="D428" s="89"/>
      <c r="E428" s="89" t="s">
        <v>73</v>
      </c>
      <c r="F428" s="373">
        <v>-70731.38</v>
      </c>
      <c r="G428" s="90">
        <v>991.2</v>
      </c>
      <c r="H428" s="90">
        <v>586.35</v>
      </c>
      <c r="I428" s="90">
        <v>293.76</v>
      </c>
      <c r="J428" s="90">
        <v>-24404.95</v>
      </c>
      <c r="K428" s="90">
        <v>-797.79</v>
      </c>
      <c r="L428" s="90">
        <v>0</v>
      </c>
      <c r="M428" s="90">
        <v>-6998.37</v>
      </c>
      <c r="N428" s="90">
        <v>-6810.69</v>
      </c>
      <c r="O428" s="90">
        <v>-34911.410000000003</v>
      </c>
      <c r="P428" s="90">
        <v>2622.23</v>
      </c>
      <c r="Q428" s="90">
        <v>-1301.71</v>
      </c>
      <c r="R428" s="90">
        <v>0</v>
      </c>
      <c r="S428" s="90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 s="90">
        <v>0</v>
      </c>
      <c r="Z428">
        <v>0</v>
      </c>
    </row>
    <row r="429" spans="2:26" ht="12.75" customHeight="1" x14ac:dyDescent="0.25">
      <c r="D429" s="89" t="s">
        <v>118</v>
      </c>
      <c r="E429" s="89" t="s">
        <v>70</v>
      </c>
      <c r="F429" s="90">
        <v>-70731.38</v>
      </c>
      <c r="G429" s="90">
        <v>991.2</v>
      </c>
      <c r="H429" s="90">
        <v>586.35</v>
      </c>
      <c r="I429" s="90">
        <v>293.76</v>
      </c>
      <c r="J429" s="90">
        <v>-24404.95</v>
      </c>
      <c r="K429" s="90">
        <v>-797.79</v>
      </c>
      <c r="L429" s="90">
        <v>0</v>
      </c>
      <c r="M429" s="90">
        <v>-6998.37</v>
      </c>
      <c r="N429" s="90">
        <v>-6810.69</v>
      </c>
      <c r="O429" s="90">
        <v>-34911.410000000003</v>
      </c>
      <c r="P429" s="90">
        <v>2622.23</v>
      </c>
      <c r="Q429" s="90">
        <v>-1301.71</v>
      </c>
      <c r="R429" s="90">
        <v>0</v>
      </c>
      <c r="S429" s="90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 s="90">
        <v>0</v>
      </c>
      <c r="Z429">
        <v>0</v>
      </c>
    </row>
    <row r="430" spans="2:26" s="224" customFormat="1" ht="12.75" customHeight="1" x14ac:dyDescent="0.25">
      <c r="C430" s="223" t="s">
        <v>120</v>
      </c>
      <c r="D430" s="223" t="s">
        <v>70</v>
      </c>
      <c r="F430" s="225">
        <v>-143968.78</v>
      </c>
      <c r="G430" s="225">
        <v>-298.05</v>
      </c>
      <c r="H430" s="225">
        <v>-547.14</v>
      </c>
      <c r="I430" s="225">
        <v>-209.56</v>
      </c>
      <c r="J430" s="225">
        <v>-32846.050000000003</v>
      </c>
      <c r="K430" s="225">
        <v>-1730.52</v>
      </c>
      <c r="L430" s="225">
        <v>0</v>
      </c>
      <c r="M430" s="225">
        <v>-15180.66</v>
      </c>
      <c r="N430" s="225">
        <v>-14678.79</v>
      </c>
      <c r="O430" s="225">
        <v>-74935.83</v>
      </c>
      <c r="P430" s="225">
        <v>-718.59</v>
      </c>
      <c r="Q430" s="225">
        <v>-2823.59</v>
      </c>
      <c r="R430" s="225">
        <v>0</v>
      </c>
      <c r="S430" s="225">
        <v>0</v>
      </c>
      <c r="T430" s="224">
        <v>0</v>
      </c>
      <c r="U430" s="224">
        <v>0</v>
      </c>
      <c r="V430" s="224">
        <v>0</v>
      </c>
      <c r="W430" s="224">
        <v>0</v>
      </c>
      <c r="X430" s="224">
        <v>0</v>
      </c>
      <c r="Y430" s="225">
        <v>0</v>
      </c>
      <c r="Z430" s="224">
        <v>0</v>
      </c>
    </row>
    <row r="431" spans="2:26" ht="12.75" customHeight="1" x14ac:dyDescent="0.25">
      <c r="E431" s="89" t="s">
        <v>73</v>
      </c>
      <c r="F431" s="90">
        <v>1973098.22</v>
      </c>
      <c r="G431" s="90">
        <v>1362324.28</v>
      </c>
      <c r="H431" s="90">
        <v>765606.41</v>
      </c>
      <c r="I431" s="90">
        <v>406442.88</v>
      </c>
      <c r="J431" s="90">
        <v>-1323964.25</v>
      </c>
      <c r="K431" s="90">
        <v>-28956.31</v>
      </c>
      <c r="L431" s="90">
        <v>0</v>
      </c>
      <c r="M431" s="90">
        <v>-259874.1</v>
      </c>
      <c r="N431" s="90">
        <v>-401766.71</v>
      </c>
      <c r="O431" s="90">
        <v>-2075140.29</v>
      </c>
      <c r="P431" s="90">
        <v>3575585.69</v>
      </c>
      <c r="Q431" s="90">
        <v>-47159.38</v>
      </c>
      <c r="R431" s="90">
        <v>0</v>
      </c>
      <c r="S431" s="90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 s="90">
        <v>0</v>
      </c>
      <c r="Z431">
        <v>0</v>
      </c>
    </row>
    <row r="432" spans="2:26" ht="12.75" customHeight="1" x14ac:dyDescent="0.25">
      <c r="D432" s="89" t="s">
        <v>82</v>
      </c>
      <c r="E432" s="89" t="s">
        <v>70</v>
      </c>
      <c r="F432" s="90">
        <v>1973098.22</v>
      </c>
      <c r="G432" s="90">
        <v>1362324.28</v>
      </c>
      <c r="H432" s="90">
        <v>765606.41</v>
      </c>
      <c r="I432" s="90">
        <v>406442.88</v>
      </c>
      <c r="J432" s="90">
        <v>-1323964.25</v>
      </c>
      <c r="K432" s="90">
        <v>-28956.31</v>
      </c>
      <c r="L432" s="90">
        <v>0</v>
      </c>
      <c r="M432" s="90">
        <v>-259874.1</v>
      </c>
      <c r="N432" s="90">
        <v>-401766.71</v>
      </c>
      <c r="O432" s="90">
        <v>-2075140.29</v>
      </c>
      <c r="P432" s="90">
        <v>3575585.69</v>
      </c>
      <c r="Q432" s="90">
        <v>-47159.38</v>
      </c>
      <c r="R432" s="90">
        <v>0</v>
      </c>
      <c r="S432" s="90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 s="90">
        <v>0</v>
      </c>
      <c r="Z432">
        <v>0</v>
      </c>
    </row>
    <row r="433" spans="1:26" ht="12.75" customHeight="1" x14ac:dyDescent="0.25">
      <c r="E433" s="89" t="s">
        <v>73</v>
      </c>
      <c r="F433" s="90">
        <v>40180251.850000001</v>
      </c>
      <c r="G433" s="90">
        <v>7718224.4500000002</v>
      </c>
      <c r="H433" s="90">
        <v>4010064.96</v>
      </c>
      <c r="I433" s="90">
        <v>1993374.66</v>
      </c>
      <c r="J433" s="90">
        <v>1623202.96</v>
      </c>
      <c r="K433" s="90">
        <v>73413.960000000006</v>
      </c>
      <c r="L433" s="90">
        <v>0</v>
      </c>
      <c r="M433" s="90">
        <v>642754.04</v>
      </c>
      <c r="N433" s="90">
        <v>711113.47</v>
      </c>
      <c r="O433" s="90">
        <v>2949323.04</v>
      </c>
      <c r="P433" s="90">
        <v>20338807.510000002</v>
      </c>
      <c r="Q433" s="90">
        <v>119972.8</v>
      </c>
      <c r="R433" s="90">
        <v>0</v>
      </c>
      <c r="S433" s="90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 s="90">
        <v>0</v>
      </c>
      <c r="Z433">
        <v>0</v>
      </c>
    </row>
    <row r="434" spans="1:26" ht="12.75" customHeight="1" x14ac:dyDescent="0.25">
      <c r="D434" s="89" t="s">
        <v>86</v>
      </c>
      <c r="E434" s="89" t="s">
        <v>70</v>
      </c>
      <c r="F434" s="90">
        <v>40180251.850000001</v>
      </c>
      <c r="G434" s="90">
        <v>7718224.4500000002</v>
      </c>
      <c r="H434" s="90">
        <v>4010064.96</v>
      </c>
      <c r="I434" s="90">
        <v>1993374.66</v>
      </c>
      <c r="J434" s="90">
        <v>1623202.96</v>
      </c>
      <c r="K434" s="90">
        <v>73413.960000000006</v>
      </c>
      <c r="L434" s="90">
        <v>0</v>
      </c>
      <c r="M434" s="90">
        <v>642754.04</v>
      </c>
      <c r="N434" s="90">
        <v>711113.47</v>
      </c>
      <c r="O434" s="90">
        <v>2949323.04</v>
      </c>
      <c r="P434" s="90">
        <v>20338807.510000002</v>
      </c>
      <c r="Q434" s="90">
        <v>119972.8</v>
      </c>
      <c r="R434" s="90">
        <v>0</v>
      </c>
      <c r="S434" s="90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 s="90">
        <v>0</v>
      </c>
      <c r="Z434">
        <v>0</v>
      </c>
    </row>
    <row r="435" spans="1:26" ht="12.75" customHeight="1" x14ac:dyDescent="0.25">
      <c r="E435" s="89" t="s">
        <v>73</v>
      </c>
      <c r="F435" s="90">
        <v>22756805.789999999</v>
      </c>
      <c r="G435" s="90">
        <v>4912530.75</v>
      </c>
      <c r="H435" s="90">
        <v>2793441.79</v>
      </c>
      <c r="I435" s="90">
        <v>1464924.53</v>
      </c>
      <c r="J435" s="90">
        <v>209498.63</v>
      </c>
      <c r="K435" s="90">
        <v>5144.8900000000003</v>
      </c>
      <c r="L435" s="90">
        <v>0</v>
      </c>
      <c r="M435" s="90">
        <v>42863.93</v>
      </c>
      <c r="N435" s="90">
        <v>56278.65</v>
      </c>
      <c r="O435" s="90">
        <v>240142.03</v>
      </c>
      <c r="P435" s="90">
        <v>13023579.59</v>
      </c>
      <c r="Q435" s="90">
        <v>8401</v>
      </c>
      <c r="R435" s="90">
        <v>0</v>
      </c>
      <c r="S435" s="90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 s="90">
        <v>0</v>
      </c>
      <c r="Z435">
        <v>0</v>
      </c>
    </row>
    <row r="436" spans="1:26" ht="12.75" customHeight="1" x14ac:dyDescent="0.25">
      <c r="D436" s="89" t="s">
        <v>87</v>
      </c>
      <c r="E436" s="89" t="s">
        <v>70</v>
      </c>
      <c r="F436" s="90">
        <v>22756805.789999999</v>
      </c>
      <c r="G436" s="90">
        <v>4912530.75</v>
      </c>
      <c r="H436" s="90">
        <v>2793441.79</v>
      </c>
      <c r="I436" s="90">
        <v>1464924.53</v>
      </c>
      <c r="J436" s="90">
        <v>209498.63</v>
      </c>
      <c r="K436" s="90">
        <v>5144.8900000000003</v>
      </c>
      <c r="L436" s="90">
        <v>0</v>
      </c>
      <c r="M436" s="90">
        <v>42863.93</v>
      </c>
      <c r="N436" s="90">
        <v>56278.65</v>
      </c>
      <c r="O436" s="90">
        <v>240142.03</v>
      </c>
      <c r="P436" s="90">
        <v>13023579.59</v>
      </c>
      <c r="Q436" s="90">
        <v>8401</v>
      </c>
      <c r="R436" s="90">
        <v>0</v>
      </c>
      <c r="S436" s="90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 s="90">
        <v>0</v>
      </c>
      <c r="Z436">
        <v>0</v>
      </c>
    </row>
    <row r="437" spans="1:26" s="94" customFormat="1" ht="12.75" customHeight="1" x14ac:dyDescent="0.25">
      <c r="C437" s="101" t="s">
        <v>119</v>
      </c>
      <c r="D437" s="101" t="s">
        <v>70</v>
      </c>
      <c r="F437" s="93">
        <v>64910155.859999999</v>
      </c>
      <c r="G437" s="93">
        <v>13993079.48</v>
      </c>
      <c r="H437" s="93">
        <v>7569113.1600000001</v>
      </c>
      <c r="I437" s="93">
        <v>3864742.07</v>
      </c>
      <c r="J437" s="93">
        <v>508737.34</v>
      </c>
      <c r="K437" s="93">
        <v>49602.54</v>
      </c>
      <c r="L437" s="93">
        <v>0</v>
      </c>
      <c r="M437" s="93">
        <v>425743.87</v>
      </c>
      <c r="N437" s="93">
        <v>365625.41</v>
      </c>
      <c r="O437" s="93">
        <v>1114324.78</v>
      </c>
      <c r="P437" s="93">
        <v>36937972.789999999</v>
      </c>
      <c r="Q437" s="93">
        <v>81214.42</v>
      </c>
      <c r="R437" s="93">
        <v>0</v>
      </c>
      <c r="S437" s="93">
        <v>0</v>
      </c>
      <c r="T437" s="94">
        <v>0</v>
      </c>
      <c r="U437" s="94">
        <v>0</v>
      </c>
      <c r="V437" s="94">
        <v>0</v>
      </c>
      <c r="W437" s="94">
        <v>0</v>
      </c>
      <c r="X437" s="94">
        <v>0</v>
      </c>
      <c r="Y437" s="93">
        <v>0</v>
      </c>
      <c r="Z437" s="94">
        <v>0</v>
      </c>
    </row>
    <row r="438" spans="1:26" s="226" customFormat="1" ht="12.75" customHeight="1" x14ac:dyDescent="0.25">
      <c r="B438" s="98" t="s">
        <v>112</v>
      </c>
      <c r="C438" s="98" t="s">
        <v>70</v>
      </c>
      <c r="F438" s="100">
        <v>-583219201.09000003</v>
      </c>
      <c r="G438" s="100">
        <v>57528123.049999997</v>
      </c>
      <c r="H438" s="100">
        <v>31559791.34</v>
      </c>
      <c r="I438" s="100">
        <v>16496706.66</v>
      </c>
      <c r="J438" s="100">
        <v>-264881998.34</v>
      </c>
      <c r="K438" s="100">
        <v>-9023282.6500000004</v>
      </c>
      <c r="L438" s="100">
        <v>0</v>
      </c>
      <c r="M438" s="100">
        <v>-79215621.329999998</v>
      </c>
      <c r="N438" s="100">
        <v>-76697885.129999995</v>
      </c>
      <c r="O438" s="100">
        <v>-396599988.38999999</v>
      </c>
      <c r="P438" s="100">
        <v>152337939.99000001</v>
      </c>
      <c r="Q438" s="100">
        <v>-14722986.289999999</v>
      </c>
      <c r="R438" s="100">
        <v>0</v>
      </c>
      <c r="S438" s="100">
        <v>0</v>
      </c>
      <c r="T438" s="226">
        <v>0</v>
      </c>
      <c r="U438" s="226">
        <v>0</v>
      </c>
      <c r="V438" s="226">
        <v>0</v>
      </c>
      <c r="W438" s="226">
        <v>0</v>
      </c>
      <c r="X438" s="226">
        <v>0</v>
      </c>
      <c r="Y438" s="100">
        <v>0</v>
      </c>
      <c r="Z438" s="226">
        <v>0</v>
      </c>
    </row>
    <row r="439" spans="1:26" ht="12.75" customHeight="1" x14ac:dyDescent="0.25">
      <c r="A439" s="89" t="s">
        <v>79</v>
      </c>
      <c r="B439" s="89" t="s">
        <v>70</v>
      </c>
      <c r="F439" s="90">
        <v>-583074607.11000001</v>
      </c>
      <c r="G439" s="90">
        <v>57600574.5</v>
      </c>
      <c r="H439" s="90">
        <v>31600688.629999999</v>
      </c>
      <c r="I439" s="90">
        <v>16518543.6</v>
      </c>
      <c r="J439" s="90">
        <v>-264940951.74000001</v>
      </c>
      <c r="K439" s="90">
        <v>-9024412.9000000004</v>
      </c>
      <c r="L439" s="90">
        <v>0</v>
      </c>
      <c r="M439" s="90">
        <v>-79225537.290000007</v>
      </c>
      <c r="N439" s="90">
        <v>-76716368.430000007</v>
      </c>
      <c r="O439" s="90">
        <v>-396694363.88</v>
      </c>
      <c r="P439" s="90">
        <v>152532050.91</v>
      </c>
      <c r="Q439" s="90">
        <v>-14724830.51</v>
      </c>
      <c r="R439" s="90">
        <v>0</v>
      </c>
      <c r="S439" s="90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 s="90">
        <v>0</v>
      </c>
      <c r="Z439">
        <v>0</v>
      </c>
    </row>
    <row r="440" spans="1:26" ht="12.75" customHeight="1" x14ac:dyDescent="0.25">
      <c r="A440" s="89" t="s">
        <v>70</v>
      </c>
      <c r="F440" s="90">
        <v>11530834464.280001</v>
      </c>
      <c r="G440" s="90">
        <v>709118595.76999998</v>
      </c>
      <c r="H440" s="90">
        <v>393560534.56999999</v>
      </c>
      <c r="I440" s="90">
        <v>207989210.44999999</v>
      </c>
      <c r="J440" s="90">
        <v>2585413167.5799999</v>
      </c>
      <c r="K440" s="90">
        <v>89399282.120000005</v>
      </c>
      <c r="L440" s="90">
        <v>23185407.98</v>
      </c>
      <c r="M440" s="90">
        <v>783765995.29999995</v>
      </c>
      <c r="N440" s="90">
        <v>774156244.79999995</v>
      </c>
      <c r="O440" s="90">
        <v>3941003335.5300002</v>
      </c>
      <c r="P440" s="90">
        <v>1877135854.55</v>
      </c>
      <c r="Q440" s="90">
        <v>146170944.72999999</v>
      </c>
      <c r="R440" s="90">
        <v>-64290.17</v>
      </c>
      <c r="S440" s="90">
        <v>-3.71</v>
      </c>
      <c r="T440">
        <v>329.76</v>
      </c>
      <c r="U440">
        <v>0</v>
      </c>
      <c r="V440">
        <v>0</v>
      </c>
      <c r="W440">
        <v>0</v>
      </c>
      <c r="X440">
        <v>0</v>
      </c>
      <c r="Y440" s="90">
        <v>0</v>
      </c>
      <c r="Z440">
        <v>-144.97999999999999</v>
      </c>
    </row>
    <row r="441" spans="1:26" ht="12.75" customHeight="1" x14ac:dyDescent="0.25">
      <c r="A441" s="89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</row>
    <row r="442" spans="1:26" ht="12.75" hidden="1" customHeight="1" x14ac:dyDescent="0.25">
      <c r="A442" s="89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</row>
    <row r="443" spans="1:26" ht="12.75" hidden="1" customHeight="1" x14ac:dyDescent="0.25">
      <c r="A443" s="89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</row>
    <row r="444" spans="1:26" ht="12.75" hidden="1" customHeight="1" x14ac:dyDescent="0.25">
      <c r="A444" s="89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</row>
    <row r="445" spans="1:26" ht="12.75" hidden="1" customHeight="1" x14ac:dyDescent="0.25">
      <c r="A445" s="89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</row>
    <row r="446" spans="1:26" ht="12.75" hidden="1" customHeight="1" x14ac:dyDescent="0.25">
      <c r="A446" s="89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</row>
    <row r="447" spans="1:26" ht="12.75" hidden="1" customHeight="1" x14ac:dyDescent="0.25">
      <c r="A447" s="89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</row>
    <row r="448" spans="1:26" ht="12.75" hidden="1" customHeight="1" x14ac:dyDescent="0.25">
      <c r="A448" s="89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</row>
    <row r="449" spans="1:41" ht="12.75" hidden="1" customHeight="1" x14ac:dyDescent="0.25">
      <c r="A449" s="89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</row>
    <row r="450" spans="1:41" ht="12.75" hidden="1" customHeight="1" x14ac:dyDescent="0.25">
      <c r="A450" s="89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</row>
    <row r="451" spans="1:41" ht="12.75" hidden="1" customHeight="1" x14ac:dyDescent="0.25">
      <c r="A451" s="89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</row>
    <row r="452" spans="1:41" ht="12.75" hidden="1" customHeight="1" x14ac:dyDescent="0.25">
      <c r="A452" s="89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</row>
    <row r="453" spans="1:41" ht="12.75" hidden="1" customHeight="1" x14ac:dyDescent="0.25">
      <c r="A453" s="89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</row>
    <row r="454" spans="1:41" ht="12.75" hidden="1" customHeight="1" x14ac:dyDescent="0.25">
      <c r="A454" s="89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</row>
    <row r="455" spans="1:41" ht="12.75" hidden="1" customHeight="1" x14ac:dyDescent="0.25">
      <c r="A455" s="89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</row>
    <row r="456" spans="1:41" ht="12.75" hidden="1" customHeight="1" x14ac:dyDescent="0.25">
      <c r="A456" s="89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</row>
    <row r="457" spans="1:41" ht="12.75" customHeight="1" x14ac:dyDescent="0.25">
      <c r="A457" s="89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</row>
    <row r="458" spans="1:41" ht="12.75" customHeight="1" x14ac:dyDescent="0.25">
      <c r="C458" s="763" t="s">
        <v>2</v>
      </c>
      <c r="D458" s="764" t="s">
        <v>132</v>
      </c>
      <c r="E458" s="98" t="s">
        <v>70</v>
      </c>
      <c r="F458" s="100">
        <f>F407+F438+F366-L366-L407</f>
        <v>11499013342.300001</v>
      </c>
      <c r="G458" s="100">
        <f t="shared" ref="G458:AO458" si="18">G407+G366</f>
        <v>650996403.70000005</v>
      </c>
      <c r="H458" s="100">
        <f t="shared" si="18"/>
        <v>361664569.63</v>
      </c>
      <c r="I458" s="100">
        <f t="shared" si="18"/>
        <v>191311695.88</v>
      </c>
      <c r="J458" s="100">
        <f t="shared" si="18"/>
        <v>2848443622.6900001</v>
      </c>
      <c r="K458" s="100">
        <f t="shared" si="18"/>
        <v>98370577</v>
      </c>
      <c r="L458" s="100">
        <f t="shared" si="18"/>
        <v>23185407.98</v>
      </c>
      <c r="M458" s="100">
        <f t="shared" si="18"/>
        <v>862525582.95999992</v>
      </c>
      <c r="N458" s="100">
        <f t="shared" si="18"/>
        <v>850278882.06999993</v>
      </c>
      <c r="O458" s="100">
        <f t="shared" si="18"/>
        <v>4334685078.6200008</v>
      </c>
      <c r="P458" s="100">
        <f t="shared" si="18"/>
        <v>1723212328.6599998</v>
      </c>
      <c r="Q458" s="100">
        <f t="shared" si="18"/>
        <v>160807895.45000002</v>
      </c>
      <c r="R458" s="100">
        <f t="shared" si="18"/>
        <v>-64274.34</v>
      </c>
      <c r="S458" s="100">
        <f t="shared" si="18"/>
        <v>-3.71</v>
      </c>
      <c r="T458" s="100">
        <f t="shared" si="18"/>
        <v>329.76</v>
      </c>
      <c r="U458" s="100">
        <f t="shared" si="18"/>
        <v>0</v>
      </c>
      <c r="V458" s="100">
        <f t="shared" si="18"/>
        <v>0</v>
      </c>
      <c r="W458" s="100">
        <f t="shared" si="18"/>
        <v>0</v>
      </c>
      <c r="X458" s="100">
        <f t="shared" si="18"/>
        <v>0</v>
      </c>
      <c r="Y458" s="100">
        <f t="shared" si="18"/>
        <v>0</v>
      </c>
      <c r="Z458" s="100">
        <f t="shared" si="18"/>
        <v>-144.97999999999999</v>
      </c>
      <c r="AA458" s="100">
        <f t="shared" si="18"/>
        <v>0</v>
      </c>
      <c r="AB458" s="100">
        <f t="shared" si="18"/>
        <v>0</v>
      </c>
      <c r="AC458" s="100">
        <f t="shared" si="18"/>
        <v>0</v>
      </c>
      <c r="AD458" s="100">
        <f t="shared" si="18"/>
        <v>0</v>
      </c>
      <c r="AE458" s="100">
        <f t="shared" si="18"/>
        <v>0</v>
      </c>
      <c r="AF458" s="100">
        <f t="shared" si="18"/>
        <v>0</v>
      </c>
      <c r="AG458" s="100">
        <f t="shared" si="18"/>
        <v>0</v>
      </c>
      <c r="AH458" s="100">
        <f t="shared" si="18"/>
        <v>0</v>
      </c>
      <c r="AI458" s="100">
        <f t="shared" si="18"/>
        <v>0</v>
      </c>
      <c r="AJ458" s="100">
        <f t="shared" si="18"/>
        <v>0</v>
      </c>
      <c r="AK458" s="100">
        <f t="shared" si="18"/>
        <v>0</v>
      </c>
      <c r="AL458" s="100">
        <f t="shared" si="18"/>
        <v>0</v>
      </c>
      <c r="AM458" s="100">
        <f t="shared" si="18"/>
        <v>0</v>
      </c>
      <c r="AN458" s="100">
        <f t="shared" si="18"/>
        <v>0</v>
      </c>
      <c r="AO458" s="100">
        <f t="shared" si="18"/>
        <v>0</v>
      </c>
    </row>
    <row r="459" spans="1:41" ht="12.75" customHeight="1" x14ac:dyDescent="0.25">
      <c r="C459" s="763"/>
      <c r="D459" s="764"/>
      <c r="E459" s="98" t="s">
        <v>73</v>
      </c>
      <c r="F459" s="100">
        <f>F438</f>
        <v>-583219201.09000003</v>
      </c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</row>
    <row r="460" spans="1:41" ht="12.75" customHeight="1" x14ac:dyDescent="0.25">
      <c r="C460" s="763"/>
      <c r="D460" s="764" t="s">
        <v>133</v>
      </c>
      <c r="E460" s="233" t="s">
        <v>70</v>
      </c>
      <c r="F460" s="234">
        <f>F422+F385-L385</f>
        <v>8635714</v>
      </c>
      <c r="G460" s="234">
        <f t="shared" ref="G460:AA460" si="19">G385</f>
        <v>521617.57</v>
      </c>
      <c r="H460" s="234">
        <f t="shared" si="19"/>
        <v>295276.31</v>
      </c>
      <c r="I460" s="234">
        <f t="shared" si="19"/>
        <v>158970.97</v>
      </c>
      <c r="J460" s="234">
        <f t="shared" si="19"/>
        <v>1910496.63</v>
      </c>
      <c r="K460" s="234">
        <f t="shared" si="19"/>
        <v>53118.02</v>
      </c>
      <c r="L460" s="234">
        <f t="shared" si="19"/>
        <v>0</v>
      </c>
      <c r="M460" s="234">
        <f t="shared" si="19"/>
        <v>465949.63</v>
      </c>
      <c r="N460" s="234">
        <f t="shared" si="19"/>
        <v>593731.16</v>
      </c>
      <c r="O460" s="234">
        <f t="shared" si="19"/>
        <v>3012620.79</v>
      </c>
      <c r="P460" s="234">
        <f t="shared" si="19"/>
        <v>1391474.98</v>
      </c>
      <c r="Q460" s="234">
        <f t="shared" si="19"/>
        <v>87879.79</v>
      </c>
      <c r="R460" s="234">
        <f t="shared" si="19"/>
        <v>-15.83</v>
      </c>
      <c r="S460" s="234">
        <f t="shared" si="19"/>
        <v>0</v>
      </c>
      <c r="T460" s="234">
        <f t="shared" si="19"/>
        <v>0</v>
      </c>
      <c r="U460" s="234">
        <f t="shared" si="19"/>
        <v>0</v>
      </c>
      <c r="V460" s="234">
        <f t="shared" si="19"/>
        <v>0</v>
      </c>
      <c r="W460" s="234">
        <f t="shared" si="19"/>
        <v>0</v>
      </c>
      <c r="X460" s="234">
        <f t="shared" si="19"/>
        <v>0</v>
      </c>
      <c r="Y460" s="234">
        <f t="shared" si="19"/>
        <v>0</v>
      </c>
      <c r="Z460" s="234">
        <f t="shared" si="19"/>
        <v>0</v>
      </c>
      <c r="AA460" s="234">
        <f t="shared" si="19"/>
        <v>0</v>
      </c>
    </row>
    <row r="461" spans="1:41" ht="12.75" customHeight="1" x14ac:dyDescent="0.25">
      <c r="C461" s="763"/>
      <c r="D461" s="764"/>
      <c r="E461" s="233" t="s">
        <v>73</v>
      </c>
      <c r="F461" s="234">
        <f>F422</f>
        <v>144593.98000000001</v>
      </c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</row>
    <row r="462" spans="1:41" ht="12.75" customHeight="1" x14ac:dyDescent="0.3">
      <c r="A462" s="89"/>
      <c r="C462" s="97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</row>
    <row r="463" spans="1:41" ht="12.75" customHeight="1" x14ac:dyDescent="0.25">
      <c r="C463" s="763" t="s">
        <v>160</v>
      </c>
      <c r="D463" s="764" t="s">
        <v>132</v>
      </c>
      <c r="E463" s="223" t="s">
        <v>70</v>
      </c>
      <c r="F463" s="225">
        <f>F430+F396-L396</f>
        <v>2157310</v>
      </c>
      <c r="G463" s="225">
        <f t="shared" ref="G463:AO463" si="20">G396</f>
        <v>107058.24000000001</v>
      </c>
      <c r="H463" s="225">
        <f t="shared" si="20"/>
        <v>57977.77</v>
      </c>
      <c r="I463" s="225">
        <f t="shared" si="20"/>
        <v>32702.82</v>
      </c>
      <c r="J463" s="225">
        <f t="shared" si="20"/>
        <v>535922.02</v>
      </c>
      <c r="K463" s="225">
        <f t="shared" si="20"/>
        <v>18523.8</v>
      </c>
      <c r="L463" s="225">
        <f t="shared" si="20"/>
        <v>0</v>
      </c>
      <c r="M463" s="225">
        <f t="shared" si="20"/>
        <v>162490.31</v>
      </c>
      <c r="N463" s="225">
        <f t="shared" si="20"/>
        <v>173660.97</v>
      </c>
      <c r="O463" s="225">
        <f t="shared" si="20"/>
        <v>895916.8</v>
      </c>
      <c r="P463" s="225">
        <f t="shared" si="20"/>
        <v>284989.5</v>
      </c>
      <c r="Q463" s="225">
        <f t="shared" si="20"/>
        <v>32042.240000000002</v>
      </c>
      <c r="R463" s="225">
        <f t="shared" si="20"/>
        <v>-5.69</v>
      </c>
      <c r="S463" s="225">
        <f t="shared" si="20"/>
        <v>0</v>
      </c>
      <c r="T463" s="225">
        <f t="shared" si="20"/>
        <v>0</v>
      </c>
      <c r="U463" s="225">
        <f t="shared" si="20"/>
        <v>0</v>
      </c>
      <c r="V463" s="225">
        <f t="shared" si="20"/>
        <v>0</v>
      </c>
      <c r="W463" s="225">
        <f t="shared" si="20"/>
        <v>0</v>
      </c>
      <c r="X463" s="225">
        <f t="shared" si="20"/>
        <v>0</v>
      </c>
      <c r="Y463" s="225">
        <f t="shared" si="20"/>
        <v>0</v>
      </c>
      <c r="Z463" s="225">
        <f t="shared" si="20"/>
        <v>0</v>
      </c>
      <c r="AA463" s="225">
        <f t="shared" si="20"/>
        <v>0</v>
      </c>
      <c r="AB463" s="225">
        <f t="shared" si="20"/>
        <v>0</v>
      </c>
      <c r="AC463" s="225">
        <f t="shared" si="20"/>
        <v>0</v>
      </c>
      <c r="AD463" s="225">
        <f t="shared" si="20"/>
        <v>0</v>
      </c>
      <c r="AE463" s="225">
        <f t="shared" si="20"/>
        <v>0</v>
      </c>
      <c r="AF463" s="225">
        <f t="shared" si="20"/>
        <v>0</v>
      </c>
      <c r="AG463" s="225">
        <f t="shared" si="20"/>
        <v>0</v>
      </c>
      <c r="AH463" s="225">
        <f t="shared" si="20"/>
        <v>0</v>
      </c>
      <c r="AI463" s="225">
        <f t="shared" si="20"/>
        <v>0</v>
      </c>
      <c r="AJ463" s="225">
        <f t="shared" si="20"/>
        <v>0</v>
      </c>
      <c r="AK463" s="225">
        <f t="shared" si="20"/>
        <v>0</v>
      </c>
      <c r="AL463" s="225">
        <f t="shared" si="20"/>
        <v>0</v>
      </c>
      <c r="AM463" s="225">
        <f t="shared" si="20"/>
        <v>0</v>
      </c>
      <c r="AN463" s="225">
        <f t="shared" si="20"/>
        <v>0</v>
      </c>
      <c r="AO463" s="225">
        <f t="shared" si="20"/>
        <v>0</v>
      </c>
    </row>
    <row r="464" spans="1:41" ht="12.75" customHeight="1" x14ac:dyDescent="0.25">
      <c r="C464" s="763"/>
      <c r="D464" s="764"/>
      <c r="E464" s="223" t="s">
        <v>73</v>
      </c>
      <c r="F464" s="225">
        <f>F430</f>
        <v>-143968.78</v>
      </c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</row>
    <row r="465" spans="1:41" ht="12.75" customHeight="1" x14ac:dyDescent="0.25">
      <c r="C465" s="763"/>
      <c r="D465" s="764" t="s">
        <v>133</v>
      </c>
      <c r="E465" s="227" t="s">
        <v>70</v>
      </c>
      <c r="F465" s="228">
        <f>F418+F380-L380</f>
        <v>208970</v>
      </c>
      <c r="G465" s="228">
        <f t="shared" ref="G465:Z465" si="21">G380</f>
        <v>18444.439999999999</v>
      </c>
      <c r="H465" s="228">
        <f t="shared" si="21"/>
        <v>10402.530000000001</v>
      </c>
      <c r="I465" s="228">
        <f t="shared" si="21"/>
        <v>5470.04</v>
      </c>
      <c r="J465" s="228">
        <f t="shared" si="21"/>
        <v>98621.6</v>
      </c>
      <c r="K465" s="228">
        <f t="shared" si="21"/>
        <v>3394.58</v>
      </c>
      <c r="L465" s="228">
        <f t="shared" si="21"/>
        <v>0</v>
      </c>
      <c r="M465" s="228">
        <f t="shared" si="21"/>
        <v>29777.14</v>
      </c>
      <c r="N465" s="228">
        <f t="shared" si="21"/>
        <v>30449</v>
      </c>
      <c r="O465" s="228">
        <f t="shared" si="21"/>
        <v>154481.26</v>
      </c>
      <c r="P465" s="228">
        <f t="shared" si="21"/>
        <v>48862.7</v>
      </c>
      <c r="Q465" s="228">
        <f t="shared" si="21"/>
        <v>5538.51</v>
      </c>
      <c r="R465" s="228">
        <f t="shared" si="21"/>
        <v>-2.36</v>
      </c>
      <c r="S465" s="228">
        <f t="shared" si="21"/>
        <v>0</v>
      </c>
      <c r="T465" s="228">
        <f t="shared" si="21"/>
        <v>0</v>
      </c>
      <c r="U465" s="228">
        <f t="shared" si="21"/>
        <v>0</v>
      </c>
      <c r="V465" s="228">
        <f t="shared" si="21"/>
        <v>0</v>
      </c>
      <c r="W465" s="228">
        <f t="shared" si="21"/>
        <v>0</v>
      </c>
      <c r="X465" s="228">
        <f t="shared" si="21"/>
        <v>0</v>
      </c>
      <c r="Y465" s="228">
        <f t="shared" si="21"/>
        <v>0</v>
      </c>
      <c r="Z465" s="228">
        <f t="shared" si="21"/>
        <v>0</v>
      </c>
    </row>
    <row r="466" spans="1:41" ht="12.75" customHeight="1" x14ac:dyDescent="0.25">
      <c r="C466" s="763"/>
      <c r="D466" s="764"/>
      <c r="E466" s="227" t="s">
        <v>73</v>
      </c>
      <c r="F466" s="228">
        <f>F418</f>
        <v>-196469.44</v>
      </c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</row>
    <row r="467" spans="1:41" ht="12.75" customHeight="1" x14ac:dyDescent="0.3">
      <c r="A467" s="89"/>
      <c r="C467" s="97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</row>
    <row r="468" spans="1:41" ht="12.75" customHeight="1" x14ac:dyDescent="0.25">
      <c r="C468" s="763" t="s">
        <v>155</v>
      </c>
      <c r="D468" s="764" t="s">
        <v>132</v>
      </c>
      <c r="E468" s="221" t="s">
        <v>70</v>
      </c>
      <c r="F468" s="222">
        <f>F425+F389+F362-L362-L389</f>
        <v>10987764488.809999</v>
      </c>
      <c r="G468" s="222">
        <f t="shared" ref="G468:Z468" si="22">G389+G362</f>
        <v>612557857.25</v>
      </c>
      <c r="H468" s="222">
        <f t="shared" si="22"/>
        <v>340984400.07999998</v>
      </c>
      <c r="I468" s="222">
        <f t="shared" si="22"/>
        <v>180726001.72</v>
      </c>
      <c r="J468" s="222">
        <f t="shared" si="22"/>
        <v>2767605714.1100001</v>
      </c>
      <c r="K468" s="222">
        <f t="shared" si="22"/>
        <v>95976498.929999992</v>
      </c>
      <c r="L468" s="222">
        <f t="shared" si="22"/>
        <v>19861983.190000001</v>
      </c>
      <c r="M468" s="222">
        <f t="shared" si="22"/>
        <v>841283585.59000003</v>
      </c>
      <c r="N468" s="222">
        <f t="shared" si="22"/>
        <v>822232449.48000002</v>
      </c>
      <c r="O468" s="222">
        <f t="shared" si="22"/>
        <v>4196162453.2199998</v>
      </c>
      <c r="P468" s="222">
        <f t="shared" si="22"/>
        <v>1621394965.4099998</v>
      </c>
      <c r="Q468" s="222">
        <f t="shared" si="22"/>
        <v>156889985.03999999</v>
      </c>
      <c r="R468" s="222">
        <f t="shared" si="22"/>
        <v>-64065.8</v>
      </c>
      <c r="S468" s="222">
        <f t="shared" si="22"/>
        <v>-0.9</v>
      </c>
      <c r="T468" s="222">
        <f t="shared" si="22"/>
        <v>177.83</v>
      </c>
      <c r="U468" s="222">
        <f t="shared" si="22"/>
        <v>0</v>
      </c>
      <c r="V468" s="222">
        <f t="shared" si="22"/>
        <v>0</v>
      </c>
      <c r="W468" s="222">
        <f t="shared" si="22"/>
        <v>0</v>
      </c>
      <c r="X468" s="222">
        <f t="shared" si="22"/>
        <v>0</v>
      </c>
      <c r="Y468" s="222">
        <f t="shared" si="22"/>
        <v>0</v>
      </c>
      <c r="Z468" s="222">
        <f t="shared" si="22"/>
        <v>-144.97999999999999</v>
      </c>
    </row>
    <row r="469" spans="1:41" ht="12.75" customHeight="1" x14ac:dyDescent="0.25">
      <c r="C469" s="763"/>
      <c r="D469" s="764"/>
      <c r="E469" s="221" t="s">
        <v>73</v>
      </c>
      <c r="F469" s="222">
        <f>F425</f>
        <v>-647985388.16999996</v>
      </c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</row>
    <row r="470" spans="1:41" ht="12.75" customHeight="1" x14ac:dyDescent="0.25">
      <c r="C470" s="763"/>
      <c r="D470" s="764" t="s">
        <v>133</v>
      </c>
      <c r="E470" s="229" t="s">
        <v>70</v>
      </c>
      <c r="F470" s="230">
        <f>F411+F371-L371</f>
        <v>8186910</v>
      </c>
      <c r="G470" s="230">
        <f t="shared" ref="G470:T470" si="23">G371</f>
        <v>490323.77</v>
      </c>
      <c r="H470" s="230">
        <f t="shared" si="23"/>
        <v>277627.11</v>
      </c>
      <c r="I470" s="230">
        <f t="shared" si="23"/>
        <v>149666.72</v>
      </c>
      <c r="J470" s="230">
        <f t="shared" si="23"/>
        <v>1748538.41</v>
      </c>
      <c r="K470" s="230">
        <f t="shared" si="23"/>
        <v>47474.16</v>
      </c>
      <c r="L470" s="230">
        <f t="shared" si="23"/>
        <v>0</v>
      </c>
      <c r="M470" s="230">
        <f t="shared" si="23"/>
        <v>416441.8</v>
      </c>
      <c r="N470" s="230">
        <f t="shared" si="23"/>
        <v>543766.17000000004</v>
      </c>
      <c r="O470" s="230">
        <f t="shared" si="23"/>
        <v>2759239.45</v>
      </c>
      <c r="P470" s="230">
        <f t="shared" si="23"/>
        <v>1308401.52</v>
      </c>
      <c r="Q470" s="230">
        <f t="shared" si="23"/>
        <v>78671.37</v>
      </c>
      <c r="R470" s="230">
        <f t="shared" si="23"/>
        <v>-18.91</v>
      </c>
      <c r="S470" s="230">
        <f t="shared" si="23"/>
        <v>0</v>
      </c>
      <c r="T470" s="230">
        <f t="shared" si="23"/>
        <v>0</v>
      </c>
      <c r="U470" s="230"/>
      <c r="V470" s="230"/>
      <c r="W470" s="230"/>
      <c r="X470" s="230">
        <v>0</v>
      </c>
      <c r="Y470" s="230">
        <v>0</v>
      </c>
      <c r="Z470" s="230">
        <v>0</v>
      </c>
    </row>
    <row r="471" spans="1:41" ht="12.75" customHeight="1" x14ac:dyDescent="0.25">
      <c r="C471" s="763"/>
      <c r="D471" s="764"/>
      <c r="E471" s="229" t="s">
        <v>73</v>
      </c>
      <c r="F471" s="230">
        <f>F411</f>
        <v>366778.43</v>
      </c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</row>
    <row r="472" spans="1:41" ht="12.75" customHeight="1" x14ac:dyDescent="0.3">
      <c r="A472" s="89"/>
      <c r="C472" s="97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</row>
    <row r="473" spans="1:41" ht="12.75" customHeight="1" x14ac:dyDescent="0.25">
      <c r="C473" s="766" t="s">
        <v>324</v>
      </c>
      <c r="D473" s="764" t="s">
        <v>132</v>
      </c>
      <c r="E473" s="375" t="s">
        <v>70</v>
      </c>
      <c r="F473" s="376">
        <v>0</v>
      </c>
      <c r="G473" s="376">
        <v>0</v>
      </c>
      <c r="H473" s="376">
        <v>0</v>
      </c>
      <c r="I473" s="376">
        <v>0</v>
      </c>
      <c r="J473" s="376">
        <v>0</v>
      </c>
      <c r="K473" s="376">
        <v>0</v>
      </c>
      <c r="L473" s="376">
        <v>0</v>
      </c>
      <c r="M473" s="376">
        <v>0</v>
      </c>
      <c r="N473" s="376">
        <v>0</v>
      </c>
      <c r="O473" s="376">
        <v>0</v>
      </c>
      <c r="P473" s="376">
        <v>0</v>
      </c>
      <c r="Q473" s="376">
        <v>0</v>
      </c>
      <c r="R473" s="376">
        <v>0</v>
      </c>
      <c r="S473" s="376">
        <v>0</v>
      </c>
      <c r="T473" s="376">
        <v>0</v>
      </c>
      <c r="U473" s="376">
        <v>0</v>
      </c>
      <c r="V473" s="376">
        <v>0</v>
      </c>
      <c r="W473" s="376">
        <v>0</v>
      </c>
      <c r="X473" s="376">
        <v>0</v>
      </c>
      <c r="Y473" s="376">
        <v>0</v>
      </c>
      <c r="Z473" s="376">
        <v>0</v>
      </c>
      <c r="AA473" s="376">
        <v>0</v>
      </c>
      <c r="AB473" s="376">
        <v>0</v>
      </c>
      <c r="AC473" s="376">
        <v>0</v>
      </c>
      <c r="AD473" s="376">
        <v>0</v>
      </c>
      <c r="AE473" s="376">
        <v>0</v>
      </c>
      <c r="AF473" s="376">
        <v>0</v>
      </c>
      <c r="AG473" s="376">
        <v>0</v>
      </c>
      <c r="AH473" s="376">
        <v>0</v>
      </c>
      <c r="AI473" s="376">
        <v>0</v>
      </c>
      <c r="AJ473" s="376">
        <v>0</v>
      </c>
      <c r="AK473" s="376">
        <v>0</v>
      </c>
      <c r="AL473" s="376">
        <v>0</v>
      </c>
      <c r="AM473" s="376">
        <v>0</v>
      </c>
      <c r="AN473" s="376">
        <v>0</v>
      </c>
      <c r="AO473" s="376">
        <v>0</v>
      </c>
    </row>
    <row r="474" spans="1:41" ht="12.75" customHeight="1" x14ac:dyDescent="0.25">
      <c r="C474" s="766"/>
      <c r="D474" s="764"/>
      <c r="E474" s="375" t="s">
        <v>73</v>
      </c>
      <c r="F474" s="376">
        <v>0</v>
      </c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</row>
    <row r="475" spans="1:41" ht="12.75" customHeight="1" x14ac:dyDescent="0.25">
      <c r="C475" s="766"/>
      <c r="D475" s="764" t="s">
        <v>133</v>
      </c>
      <c r="E475" s="242" t="s">
        <v>70</v>
      </c>
      <c r="F475" s="243">
        <v>0</v>
      </c>
      <c r="G475" s="243">
        <v>0</v>
      </c>
      <c r="H475" s="243">
        <v>0</v>
      </c>
      <c r="I475" s="243">
        <v>0</v>
      </c>
      <c r="J475" s="243">
        <v>0</v>
      </c>
      <c r="K475" s="243">
        <v>0</v>
      </c>
      <c r="L475" s="243">
        <v>0</v>
      </c>
      <c r="M475" s="243">
        <v>0</v>
      </c>
      <c r="N475" s="243">
        <v>0</v>
      </c>
      <c r="O475" s="243">
        <v>0</v>
      </c>
      <c r="P475" s="243">
        <v>0</v>
      </c>
      <c r="Q475" s="243">
        <v>0</v>
      </c>
      <c r="R475" s="243">
        <v>0</v>
      </c>
      <c r="S475" s="243">
        <v>0</v>
      </c>
      <c r="T475" s="243">
        <v>0</v>
      </c>
      <c r="U475" s="243">
        <v>0</v>
      </c>
      <c r="V475" s="243">
        <v>0</v>
      </c>
      <c r="W475" s="243">
        <v>0</v>
      </c>
      <c r="X475" s="243">
        <v>0</v>
      </c>
      <c r="Y475" s="243">
        <v>0</v>
      </c>
      <c r="Z475" s="243">
        <v>0</v>
      </c>
      <c r="AA475" s="243">
        <v>0</v>
      </c>
      <c r="AB475" s="243">
        <v>0</v>
      </c>
      <c r="AC475" s="243">
        <v>0</v>
      </c>
      <c r="AD475" s="243">
        <v>0</v>
      </c>
      <c r="AE475" s="243">
        <v>0</v>
      </c>
      <c r="AF475" s="243">
        <v>0</v>
      </c>
      <c r="AG475" s="243">
        <v>0</v>
      </c>
      <c r="AH475" s="243">
        <v>0</v>
      </c>
      <c r="AI475" s="243">
        <v>0</v>
      </c>
      <c r="AJ475" s="243">
        <v>0</v>
      </c>
      <c r="AK475" s="243">
        <v>0</v>
      </c>
      <c r="AL475" s="243">
        <v>0</v>
      </c>
      <c r="AM475" s="243">
        <v>0</v>
      </c>
      <c r="AN475" s="243">
        <v>0</v>
      </c>
      <c r="AO475" s="243">
        <v>0</v>
      </c>
    </row>
    <row r="476" spans="1:41" ht="12.75" customHeight="1" x14ac:dyDescent="0.25">
      <c r="C476" s="766"/>
      <c r="D476" s="764"/>
      <c r="E476" s="242" t="s">
        <v>73</v>
      </c>
      <c r="F476" s="243">
        <v>0</v>
      </c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</row>
    <row r="477" spans="1:41" ht="12.75" customHeight="1" x14ac:dyDescent="0.3">
      <c r="A477" s="89"/>
      <c r="C477" s="97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</row>
    <row r="478" spans="1:41" ht="12.75" customHeight="1" x14ac:dyDescent="0.25">
      <c r="C478" s="763" t="s">
        <v>119</v>
      </c>
      <c r="D478" s="764" t="s">
        <v>132</v>
      </c>
      <c r="E478" s="101" t="s">
        <v>70</v>
      </c>
      <c r="F478" s="93">
        <f>F437+F406+F365-L365-L406</f>
        <v>509091543.48999995</v>
      </c>
      <c r="G478" s="93">
        <f t="shared" ref="G478:AO478" si="24">G406+G365</f>
        <v>38331488.210000001</v>
      </c>
      <c r="H478" s="93">
        <f t="shared" si="24"/>
        <v>20622191.780000001</v>
      </c>
      <c r="I478" s="93">
        <f t="shared" si="24"/>
        <v>10552991.34</v>
      </c>
      <c r="J478" s="93">
        <f t="shared" si="24"/>
        <v>80301986.560000002</v>
      </c>
      <c r="K478" s="93">
        <f t="shared" si="24"/>
        <v>2375554.27</v>
      </c>
      <c r="L478" s="93">
        <f t="shared" si="24"/>
        <v>3323424.79</v>
      </c>
      <c r="M478" s="93">
        <f t="shared" si="24"/>
        <v>21079507.060000002</v>
      </c>
      <c r="N478" s="93">
        <f t="shared" si="24"/>
        <v>27872771.620000001</v>
      </c>
      <c r="O478" s="93">
        <f t="shared" si="24"/>
        <v>137626708.59999999</v>
      </c>
      <c r="P478" s="93">
        <f t="shared" si="24"/>
        <v>101532373.75</v>
      </c>
      <c r="Q478" s="93">
        <f t="shared" si="24"/>
        <v>3885868.17</v>
      </c>
      <c r="R478" s="93">
        <f t="shared" si="24"/>
        <v>-202.85</v>
      </c>
      <c r="S478" s="93">
        <f t="shared" si="24"/>
        <v>-2.81</v>
      </c>
      <c r="T478" s="93">
        <f t="shared" si="24"/>
        <v>151.93</v>
      </c>
      <c r="U478" s="93">
        <f t="shared" si="24"/>
        <v>0</v>
      </c>
      <c r="V478" s="93">
        <f t="shared" si="24"/>
        <v>0</v>
      </c>
      <c r="W478" s="93">
        <f t="shared" si="24"/>
        <v>0</v>
      </c>
      <c r="X478" s="93">
        <f t="shared" si="24"/>
        <v>0</v>
      </c>
      <c r="Y478" s="93">
        <f t="shared" si="24"/>
        <v>0</v>
      </c>
      <c r="Z478" s="93">
        <f t="shared" si="24"/>
        <v>0</v>
      </c>
      <c r="AA478" s="93">
        <f t="shared" si="24"/>
        <v>0</v>
      </c>
      <c r="AB478" s="93">
        <f t="shared" si="24"/>
        <v>0</v>
      </c>
      <c r="AC478" s="93">
        <f t="shared" si="24"/>
        <v>0</v>
      </c>
      <c r="AD478" s="93">
        <f t="shared" si="24"/>
        <v>0</v>
      </c>
      <c r="AE478" s="93">
        <f t="shared" si="24"/>
        <v>0</v>
      </c>
      <c r="AF478" s="93">
        <f t="shared" si="24"/>
        <v>0</v>
      </c>
      <c r="AG478" s="93">
        <f t="shared" si="24"/>
        <v>0</v>
      </c>
      <c r="AH478" s="93">
        <f t="shared" si="24"/>
        <v>0</v>
      </c>
      <c r="AI478" s="93">
        <f t="shared" si="24"/>
        <v>0</v>
      </c>
      <c r="AJ478" s="93">
        <f t="shared" si="24"/>
        <v>0</v>
      </c>
      <c r="AK478" s="93">
        <f t="shared" si="24"/>
        <v>0</v>
      </c>
      <c r="AL478" s="93">
        <f t="shared" si="24"/>
        <v>0</v>
      </c>
      <c r="AM478" s="93">
        <f t="shared" si="24"/>
        <v>0</v>
      </c>
      <c r="AN478" s="93">
        <f t="shared" si="24"/>
        <v>0</v>
      </c>
      <c r="AO478" s="93">
        <f t="shared" si="24"/>
        <v>0</v>
      </c>
    </row>
    <row r="479" spans="1:41" ht="12.75" customHeight="1" x14ac:dyDescent="0.25">
      <c r="C479" s="763"/>
      <c r="D479" s="764"/>
      <c r="E479" s="101" t="s">
        <v>73</v>
      </c>
      <c r="F479" s="93">
        <f>F437</f>
        <v>64910155.859999999</v>
      </c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</row>
    <row r="480" spans="1:41" ht="12.75" customHeight="1" x14ac:dyDescent="0.25">
      <c r="C480" s="763"/>
      <c r="D480" s="764" t="s">
        <v>133</v>
      </c>
      <c r="E480" s="235" t="s">
        <v>70</v>
      </c>
      <c r="F480" s="236">
        <f>F421+F384-L384</f>
        <v>239834</v>
      </c>
      <c r="G480" s="236">
        <f t="shared" ref="G480:Z480" si="25">G384</f>
        <v>12849.36</v>
      </c>
      <c r="H480" s="236">
        <f t="shared" si="25"/>
        <v>7246.67</v>
      </c>
      <c r="I480" s="236">
        <f t="shared" si="25"/>
        <v>3834.21</v>
      </c>
      <c r="J480" s="236">
        <f t="shared" si="25"/>
        <v>63336.62</v>
      </c>
      <c r="K480" s="236">
        <f t="shared" si="25"/>
        <v>2249.2800000000002</v>
      </c>
      <c r="L480" s="236">
        <f t="shared" si="25"/>
        <v>0</v>
      </c>
      <c r="M480" s="236">
        <f t="shared" si="25"/>
        <v>19730.689999999999</v>
      </c>
      <c r="N480" s="236">
        <f t="shared" si="25"/>
        <v>19515.990000000002</v>
      </c>
      <c r="O480" s="236">
        <f t="shared" si="25"/>
        <v>98900.08</v>
      </c>
      <c r="P480" s="236">
        <f t="shared" si="25"/>
        <v>34210.76</v>
      </c>
      <c r="Q480" s="236">
        <f t="shared" si="25"/>
        <v>3669.91</v>
      </c>
      <c r="R480" s="236">
        <f t="shared" si="25"/>
        <v>5.44</v>
      </c>
      <c r="S480" s="236">
        <f t="shared" si="25"/>
        <v>0</v>
      </c>
      <c r="T480" s="236">
        <f t="shared" si="25"/>
        <v>0</v>
      </c>
      <c r="U480" s="236">
        <f t="shared" si="25"/>
        <v>0</v>
      </c>
      <c r="V480" s="236">
        <f t="shared" si="25"/>
        <v>0</v>
      </c>
      <c r="W480" s="236">
        <f t="shared" si="25"/>
        <v>0</v>
      </c>
      <c r="X480" s="236">
        <f t="shared" si="25"/>
        <v>0</v>
      </c>
      <c r="Y480" s="236">
        <f t="shared" si="25"/>
        <v>0</v>
      </c>
      <c r="Z480" s="236">
        <f t="shared" si="25"/>
        <v>0</v>
      </c>
    </row>
    <row r="481" spans="1:41" ht="12.75" customHeight="1" x14ac:dyDescent="0.25">
      <c r="C481" s="763"/>
      <c r="D481" s="764"/>
      <c r="E481" s="235" t="s">
        <v>73</v>
      </c>
      <c r="F481" s="236">
        <f>F421</f>
        <v>-25715.01</v>
      </c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</row>
    <row r="482" spans="1:41" ht="12.75" customHeight="1" x14ac:dyDescent="0.3">
      <c r="A482" s="89"/>
      <c r="C482" s="97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</row>
    <row r="483" spans="1:41" ht="12.75" customHeight="1" x14ac:dyDescent="0.25">
      <c r="C483" s="765" t="s">
        <v>161</v>
      </c>
      <c r="D483" s="764" t="s">
        <v>132</v>
      </c>
      <c r="E483" s="231" t="s">
        <v>70</v>
      </c>
      <c r="F483" s="232">
        <v>0</v>
      </c>
      <c r="G483" s="232">
        <v>0</v>
      </c>
      <c r="H483" s="232">
        <v>0</v>
      </c>
      <c r="I483" s="232">
        <v>0</v>
      </c>
      <c r="J483" s="232">
        <v>0</v>
      </c>
      <c r="K483" s="232">
        <v>0</v>
      </c>
      <c r="L483" s="232">
        <v>0</v>
      </c>
      <c r="M483" s="232">
        <v>0</v>
      </c>
      <c r="N483" s="232">
        <v>0</v>
      </c>
      <c r="O483" s="232">
        <v>0</v>
      </c>
      <c r="P483" s="232">
        <v>0</v>
      </c>
      <c r="Q483" s="232">
        <v>0</v>
      </c>
      <c r="R483" s="232">
        <v>0</v>
      </c>
      <c r="S483" s="232">
        <v>0</v>
      </c>
      <c r="T483" s="232">
        <v>0</v>
      </c>
      <c r="U483" s="232">
        <v>0</v>
      </c>
      <c r="V483" s="232">
        <v>0</v>
      </c>
      <c r="W483" s="232">
        <v>0</v>
      </c>
      <c r="X483" s="232">
        <v>0</v>
      </c>
      <c r="Y483" s="232">
        <v>0</v>
      </c>
      <c r="Z483" s="232">
        <v>0</v>
      </c>
      <c r="AA483" s="232">
        <v>0</v>
      </c>
      <c r="AB483" s="232">
        <v>0</v>
      </c>
      <c r="AC483" s="232">
        <v>0</v>
      </c>
      <c r="AD483" s="232">
        <v>0</v>
      </c>
      <c r="AE483" s="232">
        <v>0</v>
      </c>
      <c r="AF483" s="232">
        <v>0</v>
      </c>
      <c r="AG483" s="232">
        <v>0</v>
      </c>
      <c r="AH483" s="232">
        <v>0</v>
      </c>
      <c r="AI483" s="232">
        <v>0</v>
      </c>
      <c r="AJ483" s="232">
        <v>0</v>
      </c>
      <c r="AK483" s="232">
        <v>0</v>
      </c>
      <c r="AL483" s="232">
        <v>0</v>
      </c>
      <c r="AM483" s="232">
        <v>0</v>
      </c>
      <c r="AN483" s="232">
        <v>0</v>
      </c>
      <c r="AO483" s="232">
        <v>0</v>
      </c>
    </row>
    <row r="484" spans="1:41" ht="12.75" customHeight="1" x14ac:dyDescent="0.25">
      <c r="C484" s="765"/>
      <c r="D484" s="764"/>
      <c r="E484" s="231" t="s">
        <v>73</v>
      </c>
      <c r="F484" s="232">
        <v>0</v>
      </c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</row>
    <row r="485" spans="1:41" ht="12.75" customHeight="1" x14ac:dyDescent="0.25">
      <c r="C485" s="765"/>
      <c r="E485" s="148" t="s">
        <v>70</v>
      </c>
      <c r="F485" s="149">
        <v>0</v>
      </c>
      <c r="G485" s="149">
        <v>0</v>
      </c>
      <c r="H485" s="149">
        <v>0</v>
      </c>
      <c r="I485" s="149">
        <v>0</v>
      </c>
      <c r="J485" s="149">
        <v>0</v>
      </c>
      <c r="K485" s="149">
        <v>0</v>
      </c>
      <c r="L485" s="149">
        <v>0</v>
      </c>
      <c r="M485" s="149">
        <v>0</v>
      </c>
      <c r="N485" s="149">
        <v>0</v>
      </c>
      <c r="O485" s="149">
        <v>0</v>
      </c>
      <c r="P485" s="149">
        <v>0</v>
      </c>
      <c r="Q485" s="149">
        <v>0</v>
      </c>
      <c r="R485" s="149">
        <v>0</v>
      </c>
      <c r="S485" s="149">
        <v>0</v>
      </c>
      <c r="T485" s="149">
        <v>0</v>
      </c>
      <c r="U485" s="149">
        <v>0</v>
      </c>
      <c r="V485" s="149">
        <v>0</v>
      </c>
      <c r="W485" s="149">
        <v>0</v>
      </c>
      <c r="X485" s="149">
        <v>0</v>
      </c>
      <c r="Y485" s="149">
        <v>0</v>
      </c>
      <c r="Z485" s="149">
        <v>0</v>
      </c>
    </row>
    <row r="486" spans="1:41" ht="12.75" customHeight="1" x14ac:dyDescent="0.25">
      <c r="C486" s="765"/>
      <c r="D486" s="220" t="s">
        <v>132</v>
      </c>
      <c r="E486" s="148" t="s">
        <v>73</v>
      </c>
      <c r="F486" s="149">
        <v>0</v>
      </c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</row>
    <row r="487" spans="1:41" ht="12.75" customHeight="1" x14ac:dyDescent="0.25">
      <c r="C487" s="390"/>
      <c r="D487" s="220"/>
      <c r="E487" s="89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</row>
    <row r="488" spans="1:41" ht="12.75" customHeight="1" x14ac:dyDescent="0.25">
      <c r="D488" s="460" t="s">
        <v>185</v>
      </c>
      <c r="E488" s="461" t="s">
        <v>70</v>
      </c>
      <c r="F488" s="462">
        <f t="shared" ref="F488:Z488" si="26">F367</f>
        <v>-45650</v>
      </c>
      <c r="G488" s="462">
        <f t="shared" si="26"/>
        <v>-3731.55</v>
      </c>
      <c r="H488" s="462">
        <f t="shared" si="26"/>
        <v>-1585.29</v>
      </c>
      <c r="I488" s="462">
        <f t="shared" si="26"/>
        <v>-692.31</v>
      </c>
      <c r="J488" s="462">
        <f t="shared" si="26"/>
        <v>-8401.52</v>
      </c>
      <c r="K488" s="462">
        <f t="shared" si="26"/>
        <v>-342.15</v>
      </c>
      <c r="L488" s="462">
        <f t="shared" si="26"/>
        <v>0</v>
      </c>
      <c r="M488" s="462">
        <f t="shared" si="26"/>
        <v>-3001.2</v>
      </c>
      <c r="N488" s="462">
        <f t="shared" si="26"/>
        <v>-3816.34</v>
      </c>
      <c r="O488" s="462">
        <f t="shared" si="26"/>
        <v>-14012.94</v>
      </c>
      <c r="P488" s="462">
        <f t="shared" si="26"/>
        <v>-9508.44</v>
      </c>
      <c r="Q488" s="462">
        <f t="shared" si="26"/>
        <v>-558.26</v>
      </c>
      <c r="R488" s="462">
        <f t="shared" si="26"/>
        <v>0</v>
      </c>
      <c r="S488" s="462">
        <f t="shared" si="26"/>
        <v>0</v>
      </c>
      <c r="T488" s="462">
        <f t="shared" si="26"/>
        <v>0</v>
      </c>
      <c r="U488" s="462">
        <f t="shared" si="26"/>
        <v>0</v>
      </c>
      <c r="V488" s="462">
        <f t="shared" si="26"/>
        <v>0</v>
      </c>
      <c r="W488" s="462">
        <f t="shared" si="26"/>
        <v>0</v>
      </c>
      <c r="X488" s="462">
        <f t="shared" si="26"/>
        <v>0</v>
      </c>
      <c r="Y488" s="462">
        <f t="shared" si="26"/>
        <v>0</v>
      </c>
      <c r="Z488" s="462">
        <f t="shared" si="26"/>
        <v>0</v>
      </c>
    </row>
    <row r="489" spans="1:41" ht="12.75" customHeight="1" x14ac:dyDescent="0.25">
      <c r="C489" s="390"/>
      <c r="D489" s="220"/>
      <c r="E489" s="89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</row>
    <row r="490" spans="1:41" s="238" customFormat="1" ht="12.75" customHeight="1" x14ac:dyDescent="0.25">
      <c r="D490" s="239"/>
      <c r="E490" s="240"/>
      <c r="F490" s="240"/>
      <c r="G490" s="240"/>
      <c r="H490" s="240"/>
      <c r="I490" s="240"/>
      <c r="J490" s="240"/>
      <c r="K490" s="240"/>
      <c r="L490" s="240"/>
      <c r="M490" s="240"/>
      <c r="N490" s="240"/>
      <c r="O490" s="240"/>
      <c r="P490" s="240"/>
      <c r="Q490" s="240"/>
    </row>
    <row r="491" spans="1:41" ht="12.65" customHeight="1" x14ac:dyDescent="0.3">
      <c r="A491" s="89"/>
      <c r="B491" s="97" t="s">
        <v>93</v>
      </c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</row>
    <row r="492" spans="1:41" ht="12.75" customHeight="1" x14ac:dyDescent="0.25">
      <c r="F492" s="89" t="s">
        <v>70</v>
      </c>
      <c r="G492" s="89" t="s">
        <v>64</v>
      </c>
      <c r="H492" s="89" t="s">
        <v>65</v>
      </c>
      <c r="I492" s="218" t="s">
        <v>164</v>
      </c>
      <c r="J492" s="89" t="s">
        <v>69</v>
      </c>
      <c r="K492" s="89" t="s">
        <v>68</v>
      </c>
      <c r="L492" s="89" t="s">
        <v>71</v>
      </c>
      <c r="M492" s="89" t="s">
        <v>66</v>
      </c>
      <c r="N492" s="89" t="s">
        <v>63</v>
      </c>
      <c r="O492" s="89" t="s">
        <v>61</v>
      </c>
      <c r="P492" s="89" t="s">
        <v>62</v>
      </c>
      <c r="Q492" s="89" t="s">
        <v>67</v>
      </c>
      <c r="R492" s="89" t="s">
        <v>77</v>
      </c>
      <c r="S492" s="89" t="s">
        <v>80</v>
      </c>
      <c r="T492" s="89" t="s">
        <v>135</v>
      </c>
      <c r="U492" s="89" t="s">
        <v>172</v>
      </c>
      <c r="V492" s="89" t="s">
        <v>221</v>
      </c>
      <c r="W492" s="89" t="s">
        <v>172</v>
      </c>
      <c r="X492" t="s">
        <v>172</v>
      </c>
      <c r="Y492" s="89" t="s">
        <v>135</v>
      </c>
      <c r="Z492" t="s">
        <v>166</v>
      </c>
    </row>
    <row r="493" spans="1:41" ht="12.75" customHeight="1" x14ac:dyDescent="0.25">
      <c r="C493" s="89"/>
      <c r="D493" s="89"/>
      <c r="E493" t="s">
        <v>72</v>
      </c>
      <c r="F493" s="373">
        <v>-11996.82</v>
      </c>
      <c r="G493" s="90">
        <v>-734.74</v>
      </c>
      <c r="H493" s="90">
        <v>-312.13</v>
      </c>
      <c r="I493" s="90">
        <v>-136.29</v>
      </c>
      <c r="J493" s="90">
        <v>-2372.96</v>
      </c>
      <c r="K493" s="90">
        <v>-123.94</v>
      </c>
      <c r="L493" s="90">
        <v>0</v>
      </c>
      <c r="M493" s="90">
        <v>-1087.26</v>
      </c>
      <c r="N493" s="90">
        <v>-1074.9100000000001</v>
      </c>
      <c r="O493" s="90">
        <v>-3929.07</v>
      </c>
      <c r="P493" s="90">
        <v>-2023.29</v>
      </c>
      <c r="Q493" s="90">
        <v>-202.23</v>
      </c>
      <c r="R493" s="90">
        <v>0</v>
      </c>
      <c r="S493" s="90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</row>
    <row r="494" spans="1:41" ht="12.75" customHeight="1" x14ac:dyDescent="0.25">
      <c r="C494" s="89"/>
      <c r="D494" s="89" t="s">
        <v>156</v>
      </c>
      <c r="E494" t="s">
        <v>70</v>
      </c>
      <c r="F494" s="373">
        <v>-11996.82</v>
      </c>
      <c r="G494" s="90">
        <v>-734.74</v>
      </c>
      <c r="H494" s="90">
        <v>-312.13</v>
      </c>
      <c r="I494" s="90">
        <v>-136.29</v>
      </c>
      <c r="J494" s="90">
        <v>-2372.96</v>
      </c>
      <c r="K494" s="90">
        <v>-123.94</v>
      </c>
      <c r="L494" s="90">
        <v>0</v>
      </c>
      <c r="M494" s="90">
        <v>-1087.26</v>
      </c>
      <c r="N494" s="90">
        <v>-1074.9100000000001</v>
      </c>
      <c r="O494" s="90">
        <v>-3929.07</v>
      </c>
      <c r="P494" s="90">
        <v>-2023.29</v>
      </c>
      <c r="Q494" s="90">
        <v>-202.23</v>
      </c>
      <c r="R494" s="90">
        <v>0</v>
      </c>
      <c r="S494" s="90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</row>
    <row r="495" spans="1:41" s="374" customFormat="1" ht="12.75" customHeight="1" x14ac:dyDescent="0.25">
      <c r="C495" s="375" t="s">
        <v>155</v>
      </c>
      <c r="D495" s="375" t="s">
        <v>70</v>
      </c>
      <c r="F495" s="762">
        <v>-11996.82</v>
      </c>
      <c r="G495" s="376">
        <v>-734.74</v>
      </c>
      <c r="H495" s="376">
        <v>-312.13</v>
      </c>
      <c r="I495" s="376">
        <v>-136.29</v>
      </c>
      <c r="J495" s="376">
        <v>-2372.96</v>
      </c>
      <c r="K495" s="376">
        <v>-123.94</v>
      </c>
      <c r="L495" s="376">
        <v>0</v>
      </c>
      <c r="M495" s="376">
        <v>-1087.26</v>
      </c>
      <c r="N495" s="376">
        <v>-1074.9100000000001</v>
      </c>
      <c r="O495" s="376">
        <v>-3929.07</v>
      </c>
      <c r="P495" s="376">
        <v>-2023.29</v>
      </c>
      <c r="Q495" s="376">
        <v>-202.23</v>
      </c>
      <c r="R495" s="376">
        <v>0</v>
      </c>
      <c r="S495" s="376">
        <v>0</v>
      </c>
      <c r="T495" s="374">
        <v>0</v>
      </c>
      <c r="U495" s="374">
        <v>0</v>
      </c>
      <c r="V495" s="374">
        <v>0</v>
      </c>
      <c r="W495" s="374">
        <v>0</v>
      </c>
      <c r="X495" s="374">
        <v>0</v>
      </c>
      <c r="Y495" s="374">
        <v>0</v>
      </c>
      <c r="Z495" s="374">
        <v>0</v>
      </c>
    </row>
    <row r="496" spans="1:41" ht="12.75" customHeight="1" x14ac:dyDescent="0.25">
      <c r="C496" s="89"/>
      <c r="D496" s="89"/>
      <c r="E496" t="s">
        <v>72</v>
      </c>
      <c r="F496" s="373">
        <v>-17685.04</v>
      </c>
      <c r="G496" s="90">
        <v>-1307.81</v>
      </c>
      <c r="H496" s="90">
        <v>-555.6</v>
      </c>
      <c r="I496" s="90">
        <v>-242.65</v>
      </c>
      <c r="J496" s="90">
        <v>-3142.56</v>
      </c>
      <c r="K496" s="90">
        <v>-193.63</v>
      </c>
      <c r="L496" s="90">
        <v>0</v>
      </c>
      <c r="M496" s="90">
        <v>-1698.51</v>
      </c>
      <c r="N496" s="90">
        <v>-1423.54</v>
      </c>
      <c r="O496" s="90">
        <v>-5203.34</v>
      </c>
      <c r="P496" s="90">
        <v>-3601.47</v>
      </c>
      <c r="Q496" s="90">
        <v>-315.93</v>
      </c>
      <c r="R496" s="90">
        <v>0</v>
      </c>
      <c r="S496" s="90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</row>
    <row r="497" spans="1:26" ht="12.75" customHeight="1" x14ac:dyDescent="0.25">
      <c r="C497" s="89"/>
      <c r="D497" s="89" t="s">
        <v>86</v>
      </c>
      <c r="E497" t="s">
        <v>70</v>
      </c>
      <c r="F497" s="373">
        <v>-17685.04</v>
      </c>
      <c r="G497" s="90">
        <v>-1307.81</v>
      </c>
      <c r="H497" s="90">
        <v>-555.6</v>
      </c>
      <c r="I497" s="90">
        <v>-242.65</v>
      </c>
      <c r="J497" s="90">
        <v>-3142.56</v>
      </c>
      <c r="K497" s="90">
        <v>-193.63</v>
      </c>
      <c r="L497" s="90">
        <v>0</v>
      </c>
      <c r="M497" s="90">
        <v>-1698.51</v>
      </c>
      <c r="N497" s="90">
        <v>-1423.54</v>
      </c>
      <c r="O497" s="90">
        <v>-5203.34</v>
      </c>
      <c r="P497" s="90">
        <v>-3601.47</v>
      </c>
      <c r="Q497" s="90">
        <v>-315.93</v>
      </c>
      <c r="R497" s="90">
        <v>0</v>
      </c>
      <c r="S497" s="90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</row>
    <row r="498" spans="1:26" s="94" customFormat="1" ht="12.75" customHeight="1" x14ac:dyDescent="0.25">
      <c r="A498" s="101"/>
      <c r="B498" s="101"/>
      <c r="C498" s="94" t="s">
        <v>119</v>
      </c>
      <c r="D498" s="94" t="s">
        <v>70</v>
      </c>
      <c r="F498" s="93">
        <v>-17685.04</v>
      </c>
      <c r="G498" s="93">
        <v>-1307.81</v>
      </c>
      <c r="H498" s="93">
        <v>-555.6</v>
      </c>
      <c r="I498" s="93">
        <v>-242.65</v>
      </c>
      <c r="J498" s="93">
        <v>-3142.56</v>
      </c>
      <c r="K498" s="93">
        <v>-193.63</v>
      </c>
      <c r="L498" s="93">
        <v>0</v>
      </c>
      <c r="M498" s="93">
        <v>-1698.51</v>
      </c>
      <c r="N498" s="93">
        <v>-1423.54</v>
      </c>
      <c r="O498" s="93">
        <v>-5203.34</v>
      </c>
      <c r="P498" s="93">
        <v>-3601.47</v>
      </c>
      <c r="Q498" s="93">
        <v>-315.93</v>
      </c>
      <c r="R498" s="93">
        <v>0</v>
      </c>
      <c r="S498" s="93">
        <v>0</v>
      </c>
      <c r="T498" s="94">
        <v>0</v>
      </c>
      <c r="U498" s="94">
        <v>0</v>
      </c>
      <c r="V498" s="94">
        <v>0</v>
      </c>
      <c r="W498" s="94">
        <v>0</v>
      </c>
      <c r="X498" s="94">
        <v>0</v>
      </c>
      <c r="Y498" s="94">
        <v>0</v>
      </c>
      <c r="Z498" s="94">
        <v>0</v>
      </c>
    </row>
    <row r="499" spans="1:26" ht="12.75" customHeight="1" x14ac:dyDescent="0.25">
      <c r="B499" t="s">
        <v>112</v>
      </c>
      <c r="C499" s="89" t="s">
        <v>70</v>
      </c>
      <c r="D499" s="89"/>
      <c r="F499" s="373">
        <v>-29681.86</v>
      </c>
      <c r="G499" s="90">
        <v>-2042.55</v>
      </c>
      <c r="H499" s="90">
        <v>-867.73</v>
      </c>
      <c r="I499" s="90">
        <v>-378.94</v>
      </c>
      <c r="J499" s="90">
        <v>-5515.52</v>
      </c>
      <c r="K499" s="90">
        <v>-317.57</v>
      </c>
      <c r="L499" s="90">
        <v>0</v>
      </c>
      <c r="M499" s="90">
        <v>-2785.77</v>
      </c>
      <c r="N499" s="90">
        <v>-2498.4499999999998</v>
      </c>
      <c r="O499" s="90">
        <v>-9132.41</v>
      </c>
      <c r="P499" s="90">
        <v>-5624.76</v>
      </c>
      <c r="Q499" s="90">
        <v>-518.16</v>
      </c>
      <c r="R499" s="90">
        <v>0</v>
      </c>
      <c r="S499" s="90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</row>
    <row r="500" spans="1:26" s="460" customFormat="1" ht="12.75" customHeight="1" x14ac:dyDescent="0.25">
      <c r="A500" s="460" t="s">
        <v>185</v>
      </c>
      <c r="B500" s="460" t="s">
        <v>70</v>
      </c>
      <c r="C500" s="461"/>
      <c r="D500" s="461"/>
      <c r="F500" s="747">
        <v>-29681.86</v>
      </c>
      <c r="G500" s="462">
        <v>-2042.55</v>
      </c>
      <c r="H500" s="462">
        <v>-867.73</v>
      </c>
      <c r="I500" s="462">
        <v>-378.94</v>
      </c>
      <c r="J500" s="462">
        <v>-5515.52</v>
      </c>
      <c r="K500" s="462">
        <v>-317.57</v>
      </c>
      <c r="L500" s="462">
        <v>0</v>
      </c>
      <c r="M500" s="462">
        <v>-2785.77</v>
      </c>
      <c r="N500" s="462">
        <v>-2498.4499999999998</v>
      </c>
      <c r="O500" s="462">
        <v>-9132.41</v>
      </c>
      <c r="P500" s="462">
        <v>-5624.76</v>
      </c>
      <c r="Q500" s="462">
        <v>-518.16</v>
      </c>
      <c r="R500" s="462">
        <v>0</v>
      </c>
      <c r="S500" s="462">
        <v>0</v>
      </c>
      <c r="T500" s="460">
        <v>0</v>
      </c>
      <c r="U500" s="460">
        <v>0</v>
      </c>
      <c r="V500" s="460">
        <v>0</v>
      </c>
      <c r="W500" s="460">
        <v>0</v>
      </c>
      <c r="X500" s="460">
        <v>0</v>
      </c>
      <c r="Y500" s="460">
        <v>0</v>
      </c>
      <c r="Z500" s="460">
        <v>0</v>
      </c>
    </row>
    <row r="501" spans="1:26" ht="12.75" customHeight="1" x14ac:dyDescent="0.25">
      <c r="C501" s="89"/>
      <c r="D501" s="89"/>
      <c r="E501" t="s">
        <v>72</v>
      </c>
      <c r="F501" s="373">
        <v>13753.61</v>
      </c>
      <c r="G501" s="90">
        <v>89.42</v>
      </c>
      <c r="H501" s="90">
        <v>49.83</v>
      </c>
      <c r="I501" s="90">
        <v>26.51</v>
      </c>
      <c r="J501" s="90">
        <v>0</v>
      </c>
      <c r="K501" s="90">
        <v>209.6</v>
      </c>
      <c r="L501" s="90">
        <v>0</v>
      </c>
      <c r="M501" s="90">
        <v>1838.59</v>
      </c>
      <c r="N501" s="90">
        <v>1798.54</v>
      </c>
      <c r="O501" s="90">
        <v>9132.61</v>
      </c>
      <c r="P501" s="90">
        <v>266.52999999999997</v>
      </c>
      <c r="Q501" s="90">
        <v>341.98</v>
      </c>
      <c r="R501" s="90">
        <v>0</v>
      </c>
      <c r="S501" s="90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</row>
    <row r="502" spans="1:26" ht="12.75" customHeight="1" x14ac:dyDescent="0.25">
      <c r="C502" s="89"/>
      <c r="D502" s="89" t="s">
        <v>86</v>
      </c>
      <c r="E502" t="s">
        <v>70</v>
      </c>
      <c r="F502" s="373">
        <v>13753.61</v>
      </c>
      <c r="G502" s="90">
        <v>89.42</v>
      </c>
      <c r="H502" s="90">
        <v>49.83</v>
      </c>
      <c r="I502" s="90">
        <v>26.51</v>
      </c>
      <c r="J502" s="90">
        <v>0</v>
      </c>
      <c r="K502" s="90">
        <v>209.6</v>
      </c>
      <c r="L502" s="90">
        <v>0</v>
      </c>
      <c r="M502" s="90">
        <v>1838.59</v>
      </c>
      <c r="N502" s="90">
        <v>1798.54</v>
      </c>
      <c r="O502" s="90">
        <v>9132.61</v>
      </c>
      <c r="P502" s="90">
        <v>266.52999999999997</v>
      </c>
      <c r="Q502" s="90">
        <v>341.98</v>
      </c>
      <c r="R502" s="90">
        <v>0</v>
      </c>
      <c r="S502" s="90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</row>
    <row r="503" spans="1:26" ht="12.75" customHeight="1" x14ac:dyDescent="0.25">
      <c r="C503" s="89"/>
      <c r="D503" s="89"/>
      <c r="E503" t="s">
        <v>72</v>
      </c>
      <c r="F503" s="373">
        <v>47565.54</v>
      </c>
      <c r="G503" s="90">
        <v>2477.0100000000002</v>
      </c>
      <c r="H503" s="90">
        <v>1380.18</v>
      </c>
      <c r="I503" s="90">
        <v>734.05</v>
      </c>
      <c r="J503" s="90">
        <v>11744.12</v>
      </c>
      <c r="K503" s="90">
        <v>375.3</v>
      </c>
      <c r="L503" s="90">
        <v>0</v>
      </c>
      <c r="M503" s="90">
        <v>3292.08</v>
      </c>
      <c r="N503" s="90">
        <v>3220.36</v>
      </c>
      <c r="O503" s="90">
        <v>16352.36</v>
      </c>
      <c r="P503" s="90">
        <v>7382.49</v>
      </c>
      <c r="Q503" s="90">
        <v>612.33000000000004</v>
      </c>
      <c r="R503" s="90">
        <v>-4.74</v>
      </c>
      <c r="S503" s="90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</row>
    <row r="504" spans="1:26" ht="12.75" customHeight="1" x14ac:dyDescent="0.25">
      <c r="C504" s="89"/>
      <c r="D504" s="89" t="s">
        <v>87</v>
      </c>
      <c r="E504" t="s">
        <v>70</v>
      </c>
      <c r="F504" s="373">
        <v>47565.54</v>
      </c>
      <c r="G504" s="90">
        <v>2477.0100000000002</v>
      </c>
      <c r="H504" s="90">
        <v>1380.18</v>
      </c>
      <c r="I504" s="90">
        <v>734.05</v>
      </c>
      <c r="J504" s="90">
        <v>11744.12</v>
      </c>
      <c r="K504" s="90">
        <v>375.3</v>
      </c>
      <c r="L504" s="90">
        <v>0</v>
      </c>
      <c r="M504" s="90">
        <v>3292.08</v>
      </c>
      <c r="N504" s="90">
        <v>3220.36</v>
      </c>
      <c r="O504" s="90">
        <v>16352.36</v>
      </c>
      <c r="P504" s="90">
        <v>7382.49</v>
      </c>
      <c r="Q504" s="90">
        <v>612.33000000000004</v>
      </c>
      <c r="R504" s="90">
        <v>-4.74</v>
      </c>
      <c r="S504" s="90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</row>
    <row r="505" spans="1:26" s="94" customFormat="1" ht="12.75" customHeight="1" x14ac:dyDescent="0.25">
      <c r="A505" s="101"/>
      <c r="B505" s="101"/>
      <c r="C505" s="94" t="s">
        <v>119</v>
      </c>
      <c r="D505" s="94" t="s">
        <v>70</v>
      </c>
      <c r="F505" s="93">
        <v>61319.15</v>
      </c>
      <c r="G505" s="93">
        <v>2566.4299999999998</v>
      </c>
      <c r="H505" s="93">
        <v>1430.01</v>
      </c>
      <c r="I505" s="93">
        <v>760.56</v>
      </c>
      <c r="J505" s="93">
        <v>11744.12</v>
      </c>
      <c r="K505" s="93">
        <v>584.9</v>
      </c>
      <c r="L505" s="93">
        <v>0</v>
      </c>
      <c r="M505" s="93">
        <v>5130.67</v>
      </c>
      <c r="N505" s="93">
        <v>5018.8999999999996</v>
      </c>
      <c r="O505" s="93">
        <v>25484.97</v>
      </c>
      <c r="P505" s="93">
        <v>7649.02</v>
      </c>
      <c r="Q505" s="93">
        <v>954.31</v>
      </c>
      <c r="R505" s="93">
        <v>-4.74</v>
      </c>
      <c r="S505" s="93">
        <v>0</v>
      </c>
      <c r="T505" s="94">
        <v>0</v>
      </c>
      <c r="U505" s="94">
        <v>0</v>
      </c>
      <c r="V505" s="94">
        <v>0</v>
      </c>
      <c r="W505" s="94">
        <v>0</v>
      </c>
      <c r="X505" s="94">
        <v>0</v>
      </c>
      <c r="Y505" s="94">
        <v>0</v>
      </c>
      <c r="Z505" s="94">
        <v>0</v>
      </c>
    </row>
    <row r="506" spans="1:26" s="380" customFormat="1" ht="12.75" customHeight="1" x14ac:dyDescent="0.25">
      <c r="B506" s="380" t="s">
        <v>122</v>
      </c>
      <c r="C506" s="378" t="s">
        <v>70</v>
      </c>
      <c r="D506" s="378"/>
      <c r="F506" s="706">
        <v>61319.15</v>
      </c>
      <c r="G506" s="379">
        <v>2566.4299999999998</v>
      </c>
      <c r="H506" s="379">
        <v>1430.01</v>
      </c>
      <c r="I506" s="379">
        <v>760.56</v>
      </c>
      <c r="J506" s="379">
        <v>11744.12</v>
      </c>
      <c r="K506" s="379">
        <v>584.9</v>
      </c>
      <c r="L506" s="379">
        <v>0</v>
      </c>
      <c r="M506" s="379">
        <v>5130.67</v>
      </c>
      <c r="N506" s="379">
        <v>5018.8999999999996</v>
      </c>
      <c r="O506" s="379">
        <v>25484.97</v>
      </c>
      <c r="P506" s="379">
        <v>7649.02</v>
      </c>
      <c r="Q506" s="379">
        <v>954.31</v>
      </c>
      <c r="R506" s="379">
        <v>-4.74</v>
      </c>
      <c r="S506" s="379">
        <v>0</v>
      </c>
      <c r="T506" s="380">
        <v>0</v>
      </c>
      <c r="U506" s="380">
        <v>0</v>
      </c>
      <c r="V506" s="380">
        <v>0</v>
      </c>
      <c r="W506" s="380">
        <v>0</v>
      </c>
      <c r="X506" s="380">
        <v>0</v>
      </c>
      <c r="Y506" s="380">
        <v>0</v>
      </c>
      <c r="Z506" s="380">
        <v>0</v>
      </c>
    </row>
    <row r="507" spans="1:26" ht="12.75" customHeight="1" x14ac:dyDescent="0.25">
      <c r="C507" s="89"/>
      <c r="D507" s="89"/>
      <c r="E507" t="s">
        <v>72</v>
      </c>
      <c r="F507" s="373">
        <v>8993795147.2099991</v>
      </c>
      <c r="G507" s="90">
        <v>473632888.36000001</v>
      </c>
      <c r="H507" s="90">
        <v>264848187.11000001</v>
      </c>
      <c r="I507" s="90">
        <v>140288589.68000001</v>
      </c>
      <c r="J507" s="90">
        <v>2039684048.6800001</v>
      </c>
      <c r="K507" s="90">
        <v>73068449.829999998</v>
      </c>
      <c r="L507" s="90">
        <v>5862092.4699999997</v>
      </c>
      <c r="M507" s="90">
        <v>641330794.71000004</v>
      </c>
      <c r="N507" s="90">
        <v>622473487.01999998</v>
      </c>
      <c r="O507" s="90">
        <v>3195073906.3800001</v>
      </c>
      <c r="P507" s="90">
        <v>1418258140.4200001</v>
      </c>
      <c r="Q507" s="90">
        <v>119287347.47</v>
      </c>
      <c r="R507" s="90">
        <v>-12784.92</v>
      </c>
      <c r="S507" s="90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</row>
    <row r="508" spans="1:26" ht="12.75" customHeight="1" x14ac:dyDescent="0.25">
      <c r="C508" s="89"/>
      <c r="D508" s="89"/>
      <c r="E508" t="s">
        <v>81</v>
      </c>
      <c r="F508" s="90">
        <v>7475639.0499999998</v>
      </c>
      <c r="G508" s="90">
        <v>572149.34</v>
      </c>
      <c r="H508" s="90">
        <v>286092.27</v>
      </c>
      <c r="I508" s="90">
        <v>146192.17000000001</v>
      </c>
      <c r="J508" s="90">
        <v>1408818.73</v>
      </c>
      <c r="K508" s="90">
        <v>58479.28</v>
      </c>
      <c r="L508" s="90">
        <v>269.52</v>
      </c>
      <c r="M508" s="90">
        <v>510623.53</v>
      </c>
      <c r="N508" s="90">
        <v>473864.85</v>
      </c>
      <c r="O508" s="90">
        <v>2229708.81</v>
      </c>
      <c r="P508" s="90">
        <v>1694060.91</v>
      </c>
      <c r="Q508" s="90">
        <v>95416.24</v>
      </c>
      <c r="R508" s="90">
        <v>0.49</v>
      </c>
      <c r="S508" s="90">
        <v>-4.37</v>
      </c>
      <c r="T508">
        <v>4.7300000000000004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-37.450000000000003</v>
      </c>
    </row>
    <row r="509" spans="1:26" ht="12.75" customHeight="1" x14ac:dyDescent="0.25">
      <c r="D509" t="s">
        <v>156</v>
      </c>
      <c r="E509" s="89" t="s">
        <v>70</v>
      </c>
      <c r="F509" s="90">
        <v>9001270786.2600002</v>
      </c>
      <c r="G509" s="90">
        <v>474205037.69999999</v>
      </c>
      <c r="H509" s="90">
        <v>265134279.38</v>
      </c>
      <c r="I509" s="90">
        <v>140434781.84999999</v>
      </c>
      <c r="J509" s="90">
        <v>2041092867.4100001</v>
      </c>
      <c r="K509" s="90">
        <v>73126929.109999999</v>
      </c>
      <c r="L509" s="90">
        <v>5862361.9900000002</v>
      </c>
      <c r="M509" s="90">
        <v>641841418.24000001</v>
      </c>
      <c r="N509" s="90">
        <v>622947351.87</v>
      </c>
      <c r="O509" s="90">
        <v>3197303615.1900001</v>
      </c>
      <c r="P509" s="90">
        <v>1419952201.3299999</v>
      </c>
      <c r="Q509" s="90">
        <v>119382763.70999999</v>
      </c>
      <c r="R509" s="90">
        <v>-12784.43</v>
      </c>
      <c r="S509" s="90">
        <v>-4.37</v>
      </c>
      <c r="T509">
        <v>4.7300000000000004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-37.450000000000003</v>
      </c>
    </row>
    <row r="510" spans="1:26" s="648" customFormat="1" ht="12.75" customHeight="1" x14ac:dyDescent="0.25">
      <c r="A510" s="649"/>
      <c r="B510" s="649"/>
      <c r="C510" s="648" t="s">
        <v>155</v>
      </c>
      <c r="D510" s="648" t="s">
        <v>70</v>
      </c>
      <c r="F510" s="650">
        <v>9001270786.2600002</v>
      </c>
      <c r="G510" s="650">
        <v>474205037.69999999</v>
      </c>
      <c r="H510" s="650">
        <v>265134279.38</v>
      </c>
      <c r="I510" s="650">
        <v>140434781.84999999</v>
      </c>
      <c r="J510" s="650">
        <v>2041092867.4100001</v>
      </c>
      <c r="K510" s="650">
        <v>73126929.109999999</v>
      </c>
      <c r="L510" s="650">
        <v>5862361.9900000002</v>
      </c>
      <c r="M510" s="650">
        <v>641841418.24000001</v>
      </c>
      <c r="N510" s="650">
        <v>622947351.87</v>
      </c>
      <c r="O510" s="650">
        <v>3197303615.1900001</v>
      </c>
      <c r="P510" s="650">
        <v>1419952201.3299999</v>
      </c>
      <c r="Q510" s="650">
        <v>119382763.70999999</v>
      </c>
      <c r="R510" s="650">
        <v>-12784.43</v>
      </c>
      <c r="S510" s="650">
        <v>-4.37</v>
      </c>
      <c r="T510" s="648">
        <v>4.7300000000000004</v>
      </c>
      <c r="U510" s="648">
        <v>0</v>
      </c>
      <c r="V510" s="648">
        <v>0</v>
      </c>
      <c r="W510" s="648">
        <v>0</v>
      </c>
      <c r="X510" s="648">
        <v>0</v>
      </c>
      <c r="Y510" s="648">
        <v>0</v>
      </c>
      <c r="Z510" s="648">
        <v>-37.450000000000003</v>
      </c>
    </row>
    <row r="511" spans="1:26" ht="12.75" customHeight="1" x14ac:dyDescent="0.25">
      <c r="E511" s="89" t="s">
        <v>72</v>
      </c>
      <c r="F511" s="90">
        <v>157240825.16</v>
      </c>
      <c r="G511" s="90">
        <v>8737281.6300000008</v>
      </c>
      <c r="H511" s="90">
        <v>4872157.5599999996</v>
      </c>
      <c r="I511" s="90">
        <v>2599575.19</v>
      </c>
      <c r="J511" s="90">
        <v>34808134.100000001</v>
      </c>
      <c r="K511" s="90">
        <v>1247367.04</v>
      </c>
      <c r="L511" s="90">
        <v>0</v>
      </c>
      <c r="M511" s="90">
        <v>10917870.99</v>
      </c>
      <c r="N511" s="90">
        <v>10785554.810000001</v>
      </c>
      <c r="O511" s="90">
        <v>55038831.079999998</v>
      </c>
      <c r="P511" s="90">
        <v>26194201.300000001</v>
      </c>
      <c r="Q511" s="90">
        <v>2041254.96</v>
      </c>
      <c r="R511" s="90">
        <v>-1403.5</v>
      </c>
      <c r="S511" s="90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 ht="12.75" customHeight="1" x14ac:dyDescent="0.25">
      <c r="E512" s="89" t="s">
        <v>81</v>
      </c>
      <c r="F512" s="373">
        <v>93415.3</v>
      </c>
      <c r="G512" s="90">
        <v>5410.78</v>
      </c>
      <c r="H512" s="90">
        <v>2949.74</v>
      </c>
      <c r="I512" s="90">
        <v>1603.23</v>
      </c>
      <c r="J512" s="90">
        <v>20456.21</v>
      </c>
      <c r="K512" s="90">
        <v>703.62</v>
      </c>
      <c r="L512" s="90">
        <v>0</v>
      </c>
      <c r="M512" s="90">
        <v>6105.06</v>
      </c>
      <c r="N512" s="90">
        <v>6292.79</v>
      </c>
      <c r="O512" s="90">
        <v>32634.34</v>
      </c>
      <c r="P512" s="90">
        <v>16105.12</v>
      </c>
      <c r="Q512" s="90">
        <v>1155.3900000000001</v>
      </c>
      <c r="R512" s="90">
        <v>-0.98</v>
      </c>
      <c r="S512" s="90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</row>
    <row r="513" spans="1:26" ht="12.75" customHeight="1" x14ac:dyDescent="0.25">
      <c r="D513" t="s">
        <v>156</v>
      </c>
      <c r="E513" s="89" t="s">
        <v>70</v>
      </c>
      <c r="F513" s="373">
        <v>157334240.46000001</v>
      </c>
      <c r="G513" s="90">
        <v>8742692.4100000001</v>
      </c>
      <c r="H513" s="90">
        <v>4875107.3</v>
      </c>
      <c r="I513" s="90">
        <v>2601178.42</v>
      </c>
      <c r="J513" s="90">
        <v>34828590.310000002</v>
      </c>
      <c r="K513" s="90">
        <v>1248070.6599999999</v>
      </c>
      <c r="L513" s="90">
        <v>0</v>
      </c>
      <c r="M513" s="90">
        <v>10923976.050000001</v>
      </c>
      <c r="N513" s="90">
        <v>10791847.6</v>
      </c>
      <c r="O513" s="90">
        <v>55071465.420000002</v>
      </c>
      <c r="P513" s="90">
        <v>26210306.420000002</v>
      </c>
      <c r="Q513" s="90">
        <v>2042410.35</v>
      </c>
      <c r="R513" s="90">
        <v>-1404.48</v>
      </c>
      <c r="S513" s="90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</row>
    <row r="514" spans="1:26" s="741" customFormat="1" ht="12.65" customHeight="1" x14ac:dyDescent="0.25">
      <c r="C514" s="741" t="s">
        <v>324</v>
      </c>
      <c r="D514" s="741" t="s">
        <v>70</v>
      </c>
      <c r="E514" s="742"/>
      <c r="F514" s="743">
        <v>157334240.46000001</v>
      </c>
      <c r="G514" s="744">
        <v>8742692.4100000001</v>
      </c>
      <c r="H514" s="744">
        <v>4875107.3</v>
      </c>
      <c r="I514" s="744">
        <v>2601178.42</v>
      </c>
      <c r="J514" s="744">
        <v>34828590.310000002</v>
      </c>
      <c r="K514" s="744">
        <v>1248070.6599999999</v>
      </c>
      <c r="L514" s="744">
        <v>0</v>
      </c>
      <c r="M514" s="744">
        <v>10923976.050000001</v>
      </c>
      <c r="N514" s="744">
        <v>10791847.6</v>
      </c>
      <c r="O514" s="744">
        <v>55071465.420000002</v>
      </c>
      <c r="P514" s="744">
        <v>26210306.420000002</v>
      </c>
      <c r="Q514" s="744">
        <v>2042410.35</v>
      </c>
      <c r="R514" s="744">
        <v>-1404.48</v>
      </c>
      <c r="S514" s="744">
        <v>0</v>
      </c>
      <c r="T514" s="741">
        <v>0</v>
      </c>
      <c r="U514" s="741">
        <v>0</v>
      </c>
      <c r="V514" s="741">
        <v>0</v>
      </c>
      <c r="W514" s="741">
        <v>0</v>
      </c>
      <c r="X514" s="741">
        <v>0</v>
      </c>
      <c r="Y514" s="741">
        <v>0</v>
      </c>
      <c r="Z514" s="741">
        <v>0</v>
      </c>
    </row>
    <row r="515" spans="1:26" ht="12.75" customHeight="1" x14ac:dyDescent="0.25">
      <c r="E515" s="89" t="s">
        <v>72</v>
      </c>
      <c r="F515" s="373">
        <v>19491530.850000001</v>
      </c>
      <c r="G515" s="90">
        <v>875323.44</v>
      </c>
      <c r="H515" s="90">
        <v>479615.14</v>
      </c>
      <c r="I515" s="90">
        <v>258333.22</v>
      </c>
      <c r="J515" s="90">
        <v>3091278.05</v>
      </c>
      <c r="K515" s="90">
        <v>143857.46</v>
      </c>
      <c r="L515" s="90">
        <v>172500</v>
      </c>
      <c r="M515" s="90">
        <v>1264139.6599999999</v>
      </c>
      <c r="N515" s="90">
        <v>1644552.63</v>
      </c>
      <c r="O515" s="90">
        <v>8697929.75</v>
      </c>
      <c r="P515" s="90">
        <v>2624330.06</v>
      </c>
      <c r="Q515" s="90">
        <v>240262.71</v>
      </c>
      <c r="R515" s="90">
        <v>-591.27</v>
      </c>
      <c r="S515" s="90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</row>
    <row r="516" spans="1:26" ht="12.75" customHeight="1" x14ac:dyDescent="0.25">
      <c r="E516" s="89" t="s">
        <v>81</v>
      </c>
      <c r="F516" s="90">
        <v>143818.82</v>
      </c>
      <c r="G516" s="90">
        <v>7506.32</v>
      </c>
      <c r="H516" s="90">
        <v>3745.93</v>
      </c>
      <c r="I516" s="90">
        <v>2074.2800000000002</v>
      </c>
      <c r="J516" s="90">
        <v>28944.99</v>
      </c>
      <c r="K516" s="90">
        <v>992.42</v>
      </c>
      <c r="L516" s="90">
        <v>0</v>
      </c>
      <c r="M516" s="90">
        <v>8652.08</v>
      </c>
      <c r="N516" s="90">
        <v>11100.3</v>
      </c>
      <c r="O516" s="90">
        <v>56595.76</v>
      </c>
      <c r="P516" s="90">
        <v>22528.1</v>
      </c>
      <c r="Q516" s="90">
        <v>1678.88</v>
      </c>
      <c r="R516" s="90">
        <v>-0.22</v>
      </c>
      <c r="S516" s="90">
        <v>-0.02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</row>
    <row r="517" spans="1:26" ht="12.75" customHeight="1" x14ac:dyDescent="0.25">
      <c r="D517" s="89" t="s">
        <v>82</v>
      </c>
      <c r="E517" s="89" t="s">
        <v>70</v>
      </c>
      <c r="F517" s="90">
        <v>19635349.670000002</v>
      </c>
      <c r="G517" s="90">
        <v>882829.76</v>
      </c>
      <c r="H517" s="90">
        <v>483361.07</v>
      </c>
      <c r="I517" s="90">
        <v>260407.5</v>
      </c>
      <c r="J517" s="90">
        <v>3120223.04</v>
      </c>
      <c r="K517" s="90">
        <v>144849.88</v>
      </c>
      <c r="L517" s="90">
        <v>172500</v>
      </c>
      <c r="M517" s="90">
        <v>1272791.74</v>
      </c>
      <c r="N517" s="90">
        <v>1655652.93</v>
      </c>
      <c r="O517" s="90">
        <v>8754525.5099999998</v>
      </c>
      <c r="P517" s="90">
        <v>2646858.16</v>
      </c>
      <c r="Q517" s="90">
        <v>241941.59</v>
      </c>
      <c r="R517" s="90">
        <v>-591.49</v>
      </c>
      <c r="S517" s="90">
        <v>-0.02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</row>
    <row r="518" spans="1:26" ht="12.75" customHeight="1" x14ac:dyDescent="0.25">
      <c r="C518" s="89"/>
      <c r="D518" s="89"/>
      <c r="E518" t="s">
        <v>72</v>
      </c>
      <c r="F518" s="90">
        <v>36770111.759999998</v>
      </c>
      <c r="G518" s="90">
        <v>2305478.39</v>
      </c>
      <c r="H518" s="90">
        <v>1177995.71</v>
      </c>
      <c r="I518" s="90">
        <v>599289.97</v>
      </c>
      <c r="J518" s="90">
        <v>5788521.2400000002</v>
      </c>
      <c r="K518" s="90">
        <v>310717.03000000003</v>
      </c>
      <c r="L518" s="90">
        <v>0</v>
      </c>
      <c r="M518" s="90">
        <v>2726135.03</v>
      </c>
      <c r="N518" s="90">
        <v>2804981.36</v>
      </c>
      <c r="O518" s="90">
        <v>13757179.52</v>
      </c>
      <c r="P518" s="90">
        <v>6792419.7000000002</v>
      </c>
      <c r="Q518" s="90">
        <v>507783.66</v>
      </c>
      <c r="R518" s="90">
        <v>-389.85</v>
      </c>
      <c r="S518" s="90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</row>
    <row r="519" spans="1:26" ht="12.75" customHeight="1" x14ac:dyDescent="0.25">
      <c r="B519" s="89"/>
      <c r="C519" s="89"/>
      <c r="E519" t="s">
        <v>81</v>
      </c>
      <c r="F519" s="90">
        <v>6212828.2999999998</v>
      </c>
      <c r="G519" s="90">
        <v>619039.56000000006</v>
      </c>
      <c r="H519" s="90">
        <v>288360.57</v>
      </c>
      <c r="I519" s="90">
        <v>123687.58</v>
      </c>
      <c r="J519" s="90">
        <v>917426.27</v>
      </c>
      <c r="K519" s="90">
        <v>50253.54</v>
      </c>
      <c r="L519" s="90">
        <v>0</v>
      </c>
      <c r="M519" s="90">
        <v>439973</v>
      </c>
      <c r="N519" s="90">
        <v>379949.18</v>
      </c>
      <c r="O519" s="90">
        <v>1557895.7</v>
      </c>
      <c r="P519" s="90">
        <v>1754305.66</v>
      </c>
      <c r="Q519" s="90">
        <v>81996.639999999999</v>
      </c>
      <c r="R519" s="90">
        <v>9.11</v>
      </c>
      <c r="S519" s="90">
        <v>-0.02</v>
      </c>
      <c r="T519">
        <v>1.84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-70.33</v>
      </c>
    </row>
    <row r="520" spans="1:26" ht="12.75" customHeight="1" x14ac:dyDescent="0.25">
      <c r="A520" s="89"/>
      <c r="B520" s="89"/>
      <c r="D520" t="s">
        <v>86</v>
      </c>
      <c r="E520" t="s">
        <v>70</v>
      </c>
      <c r="F520" s="90">
        <v>42982940.060000002</v>
      </c>
      <c r="G520" s="90">
        <v>2924517.95</v>
      </c>
      <c r="H520" s="90">
        <v>1466356.28</v>
      </c>
      <c r="I520" s="90">
        <v>722977.55</v>
      </c>
      <c r="J520" s="90">
        <v>6705947.5099999998</v>
      </c>
      <c r="K520" s="90">
        <v>360970.57</v>
      </c>
      <c r="L520" s="90">
        <v>0</v>
      </c>
      <c r="M520" s="90">
        <v>3166108.03</v>
      </c>
      <c r="N520" s="90">
        <v>3184930.54</v>
      </c>
      <c r="O520" s="90">
        <v>15315075.220000001</v>
      </c>
      <c r="P520" s="90">
        <v>8546725.3599999994</v>
      </c>
      <c r="Q520" s="90">
        <v>589780.30000000005</v>
      </c>
      <c r="R520" s="90">
        <v>-380.74</v>
      </c>
      <c r="S520" s="90">
        <v>-0.02</v>
      </c>
      <c r="T520">
        <v>1.84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-70.33</v>
      </c>
    </row>
    <row r="521" spans="1:26" ht="12.75" customHeight="1" x14ac:dyDescent="0.25">
      <c r="E521" s="89" t="s">
        <v>72</v>
      </c>
      <c r="F521" s="90">
        <v>128674486.59</v>
      </c>
      <c r="G521" s="90">
        <v>12989949.43</v>
      </c>
      <c r="H521" s="90">
        <v>7206108.7699999996</v>
      </c>
      <c r="I521" s="90">
        <v>3837928.3</v>
      </c>
      <c r="J521" s="90">
        <v>9581515.2799999993</v>
      </c>
      <c r="K521" s="90">
        <v>363535.96</v>
      </c>
      <c r="L521" s="90">
        <v>26520456.350000001</v>
      </c>
      <c r="M521" s="90">
        <v>3186668.23</v>
      </c>
      <c r="N521" s="90">
        <v>4007272.11</v>
      </c>
      <c r="O521" s="90">
        <v>21466021.800000001</v>
      </c>
      <c r="P521" s="90">
        <v>38911142.450000003</v>
      </c>
      <c r="Q521" s="90">
        <v>605015.18000000005</v>
      </c>
      <c r="R521" s="90">
        <v>-1127.27</v>
      </c>
      <c r="S521" s="90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</row>
    <row r="522" spans="1:26" ht="12.75" customHeight="1" x14ac:dyDescent="0.25">
      <c r="A522" s="89"/>
      <c r="B522" s="89"/>
      <c r="E522" t="s">
        <v>81</v>
      </c>
      <c r="F522" s="90">
        <v>2014914.38</v>
      </c>
      <c r="G522" s="90">
        <v>250871.65</v>
      </c>
      <c r="H522" s="90">
        <v>130921.8</v>
      </c>
      <c r="I522" s="90">
        <v>71832.81</v>
      </c>
      <c r="J522" s="90">
        <v>243947.65</v>
      </c>
      <c r="K522" s="90">
        <v>7275.44</v>
      </c>
      <c r="L522" s="90">
        <v>20620.04</v>
      </c>
      <c r="M522" s="90">
        <v>63962.21</v>
      </c>
      <c r="N522" s="90">
        <v>75881</v>
      </c>
      <c r="O522" s="90">
        <v>384328.42</v>
      </c>
      <c r="P522" s="90">
        <v>753181.5</v>
      </c>
      <c r="Q522" s="90">
        <v>12089.4</v>
      </c>
      <c r="R522" s="90">
        <v>2.52</v>
      </c>
      <c r="S522" s="90">
        <v>-0.06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</row>
    <row r="523" spans="1:26" ht="12.65" customHeight="1" x14ac:dyDescent="0.25">
      <c r="D523" t="s">
        <v>87</v>
      </c>
      <c r="E523" s="89" t="s">
        <v>70</v>
      </c>
      <c r="F523" s="90">
        <v>130689400.97</v>
      </c>
      <c r="G523" s="90">
        <v>13240821.08</v>
      </c>
      <c r="H523" s="90">
        <v>7337030.5700000003</v>
      </c>
      <c r="I523" s="90">
        <v>3909761.11</v>
      </c>
      <c r="J523" s="90">
        <v>9825462.9299999997</v>
      </c>
      <c r="K523" s="90">
        <v>370811.4</v>
      </c>
      <c r="L523" s="90">
        <v>26541076.390000001</v>
      </c>
      <c r="M523" s="90">
        <v>3250630.44</v>
      </c>
      <c r="N523" s="90">
        <v>4083153.11</v>
      </c>
      <c r="O523" s="90">
        <v>21850350.219999999</v>
      </c>
      <c r="P523" s="90">
        <v>39664323.950000003</v>
      </c>
      <c r="Q523" s="90">
        <v>617104.57999999996</v>
      </c>
      <c r="R523" s="90">
        <v>-1124.75</v>
      </c>
      <c r="S523" s="90">
        <v>-0.06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</row>
    <row r="524" spans="1:26" s="94" customFormat="1" ht="12.75" customHeight="1" x14ac:dyDescent="0.25">
      <c r="A524" s="101"/>
      <c r="B524" s="101"/>
      <c r="C524" s="94" t="s">
        <v>119</v>
      </c>
      <c r="D524" s="94" t="s">
        <v>70</v>
      </c>
      <c r="F524" s="93">
        <v>193307690.69999999</v>
      </c>
      <c r="G524" s="93">
        <v>17048168.789999999</v>
      </c>
      <c r="H524" s="93">
        <v>9286747.9199999999</v>
      </c>
      <c r="I524" s="93">
        <v>4893146.16</v>
      </c>
      <c r="J524" s="93">
        <v>19651633.48</v>
      </c>
      <c r="K524" s="93">
        <v>876631.85</v>
      </c>
      <c r="L524" s="93">
        <v>26713576.390000001</v>
      </c>
      <c r="M524" s="93">
        <v>7689530.21</v>
      </c>
      <c r="N524" s="93">
        <v>8923736.5800000001</v>
      </c>
      <c r="O524" s="93">
        <v>45919950.950000003</v>
      </c>
      <c r="P524" s="93">
        <v>50857907.469999999</v>
      </c>
      <c r="Q524" s="93">
        <v>1448826.47</v>
      </c>
      <c r="R524" s="93">
        <v>-2096.98</v>
      </c>
      <c r="S524" s="93">
        <v>-0.1</v>
      </c>
      <c r="T524" s="94">
        <v>1.84</v>
      </c>
      <c r="U524" s="94">
        <v>0</v>
      </c>
      <c r="V524" s="94">
        <v>0</v>
      </c>
      <c r="W524" s="94">
        <v>0</v>
      </c>
      <c r="X524" s="94">
        <v>0</v>
      </c>
      <c r="Y524" s="94">
        <v>0</v>
      </c>
      <c r="Z524" s="94">
        <v>-70.33</v>
      </c>
    </row>
    <row r="525" spans="1:26" s="226" customFormat="1" ht="12.75" customHeight="1" x14ac:dyDescent="0.25">
      <c r="B525" s="226" t="s">
        <v>112</v>
      </c>
      <c r="C525" s="226" t="s">
        <v>70</v>
      </c>
      <c r="E525" s="98"/>
      <c r="F525" s="100">
        <v>9351912717.4200001</v>
      </c>
      <c r="G525" s="100">
        <v>499995898.89999998</v>
      </c>
      <c r="H525" s="100">
        <v>279296134.60000002</v>
      </c>
      <c r="I525" s="100">
        <v>147929106.43000001</v>
      </c>
      <c r="J525" s="100">
        <v>2095573091.2</v>
      </c>
      <c r="K525" s="100">
        <v>75251631.620000005</v>
      </c>
      <c r="L525" s="100">
        <v>32575938.379999999</v>
      </c>
      <c r="M525" s="100">
        <v>660454924.5</v>
      </c>
      <c r="N525" s="100">
        <v>642662936.04999995</v>
      </c>
      <c r="O525" s="100">
        <v>3298295031.5599999</v>
      </c>
      <c r="P525" s="100">
        <v>1497020415.22</v>
      </c>
      <c r="Q525" s="100">
        <v>122874000.53</v>
      </c>
      <c r="R525" s="100">
        <v>-16285.89</v>
      </c>
      <c r="S525" s="100">
        <v>-4.47</v>
      </c>
      <c r="T525" s="226">
        <v>6.57</v>
      </c>
      <c r="U525" s="226">
        <v>0</v>
      </c>
      <c r="V525" s="226">
        <v>0</v>
      </c>
      <c r="W525" s="226">
        <v>0</v>
      </c>
      <c r="X525" s="226">
        <v>0</v>
      </c>
      <c r="Y525" s="226">
        <v>0</v>
      </c>
      <c r="Z525" s="226">
        <v>-107.78</v>
      </c>
    </row>
    <row r="526" spans="1:26" ht="13.5" customHeight="1" x14ac:dyDescent="0.25">
      <c r="A526" t="s">
        <v>78</v>
      </c>
      <c r="B526" t="s">
        <v>70</v>
      </c>
      <c r="E526" s="89"/>
      <c r="F526" s="90">
        <v>9351974036.5699997</v>
      </c>
      <c r="G526" s="90">
        <v>499998465.32999998</v>
      </c>
      <c r="H526" s="90">
        <v>279297564.61000001</v>
      </c>
      <c r="I526" s="90">
        <v>147929866.99000001</v>
      </c>
      <c r="J526" s="90">
        <v>2095584835.3199999</v>
      </c>
      <c r="K526" s="90">
        <v>75252216.519999996</v>
      </c>
      <c r="L526" s="90">
        <v>32575938.379999999</v>
      </c>
      <c r="M526" s="90">
        <v>660460055.16999996</v>
      </c>
      <c r="N526" s="90">
        <v>642667954.95000005</v>
      </c>
      <c r="O526" s="90">
        <v>3298320516.5300002</v>
      </c>
      <c r="P526" s="90">
        <v>1497028064.24</v>
      </c>
      <c r="Q526" s="90">
        <v>122874954.84</v>
      </c>
      <c r="R526" s="90">
        <v>-16290.63</v>
      </c>
      <c r="S526" s="90">
        <v>-4.47</v>
      </c>
      <c r="T526">
        <v>6.57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-107.78</v>
      </c>
    </row>
    <row r="527" spans="1:26" ht="12.75" customHeight="1" x14ac:dyDescent="0.25">
      <c r="E527" s="89" t="s">
        <v>73</v>
      </c>
      <c r="F527" s="373">
        <v>6956.39</v>
      </c>
      <c r="G527" s="90">
        <v>371.55</v>
      </c>
      <c r="H527" s="90">
        <v>208.18</v>
      </c>
      <c r="I527" s="90">
        <v>110.11</v>
      </c>
      <c r="J527" s="90">
        <v>1560.59</v>
      </c>
      <c r="K527" s="90">
        <v>56.3</v>
      </c>
      <c r="L527" s="90">
        <v>0</v>
      </c>
      <c r="M527" s="90">
        <v>493.81</v>
      </c>
      <c r="N527" s="90">
        <v>481.3</v>
      </c>
      <c r="O527" s="90">
        <v>2465.85</v>
      </c>
      <c r="P527" s="90">
        <v>1116.8499999999999</v>
      </c>
      <c r="Q527" s="90">
        <v>91.85</v>
      </c>
      <c r="R527" s="90">
        <v>0</v>
      </c>
      <c r="S527" s="90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</row>
    <row r="528" spans="1:26" ht="12.75" customHeight="1" x14ac:dyDescent="0.25">
      <c r="D528" t="s">
        <v>86</v>
      </c>
      <c r="E528" s="89" t="s">
        <v>70</v>
      </c>
      <c r="F528" s="373">
        <v>6956.39</v>
      </c>
      <c r="G528" s="90">
        <v>371.55</v>
      </c>
      <c r="H528" s="90">
        <v>208.18</v>
      </c>
      <c r="I528" s="90">
        <v>110.11</v>
      </c>
      <c r="J528" s="90">
        <v>1560.59</v>
      </c>
      <c r="K528" s="90">
        <v>56.3</v>
      </c>
      <c r="L528" s="90">
        <v>0</v>
      </c>
      <c r="M528" s="90">
        <v>493.81</v>
      </c>
      <c r="N528" s="90">
        <v>481.3</v>
      </c>
      <c r="O528" s="90">
        <v>2465.85</v>
      </c>
      <c r="P528" s="90">
        <v>1116.8499999999999</v>
      </c>
      <c r="Q528" s="90">
        <v>91.85</v>
      </c>
      <c r="R528" s="90">
        <v>0</v>
      </c>
      <c r="S528" s="90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</row>
    <row r="529" spans="1:26" ht="12.75" customHeight="1" x14ac:dyDescent="0.25">
      <c r="E529" s="89" t="s">
        <v>73</v>
      </c>
      <c r="F529" s="373">
        <v>-7135.54</v>
      </c>
      <c r="G529" s="90">
        <v>-371.55</v>
      </c>
      <c r="H529" s="90">
        <v>-207.03</v>
      </c>
      <c r="I529" s="90">
        <v>-110.11</v>
      </c>
      <c r="J529" s="90">
        <v>-1761.62</v>
      </c>
      <c r="K529" s="90">
        <v>-56.3</v>
      </c>
      <c r="L529" s="90">
        <v>0</v>
      </c>
      <c r="M529" s="90">
        <v>-493.81</v>
      </c>
      <c r="N529" s="90">
        <v>-483.05</v>
      </c>
      <c r="O529" s="90">
        <v>-2452.85</v>
      </c>
      <c r="P529" s="90">
        <v>-1107.3699999999999</v>
      </c>
      <c r="Q529" s="90">
        <v>-91.85</v>
      </c>
      <c r="R529" s="90">
        <v>0</v>
      </c>
      <c r="S529" s="90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</row>
    <row r="530" spans="1:26" ht="12.75" customHeight="1" x14ac:dyDescent="0.25">
      <c r="D530" t="s">
        <v>87</v>
      </c>
      <c r="E530" s="89" t="s">
        <v>70</v>
      </c>
      <c r="F530" s="373">
        <v>-7135.54</v>
      </c>
      <c r="G530" s="90">
        <v>-371.55</v>
      </c>
      <c r="H530" s="90">
        <v>-207.03</v>
      </c>
      <c r="I530" s="90">
        <v>-110.11</v>
      </c>
      <c r="J530" s="90">
        <v>-1761.62</v>
      </c>
      <c r="K530" s="90">
        <v>-56.3</v>
      </c>
      <c r="L530" s="90">
        <v>0</v>
      </c>
      <c r="M530" s="90">
        <v>-493.81</v>
      </c>
      <c r="N530" s="90">
        <v>-483.05</v>
      </c>
      <c r="O530" s="90">
        <v>-2452.85</v>
      </c>
      <c r="P530" s="90">
        <v>-1107.3699999999999</v>
      </c>
      <c r="Q530" s="90">
        <v>-91.85</v>
      </c>
      <c r="R530" s="90">
        <v>0</v>
      </c>
      <c r="S530" s="9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</row>
    <row r="531" spans="1:26" s="94" customFormat="1" ht="12.75" customHeight="1" x14ac:dyDescent="0.25">
      <c r="A531" s="101"/>
      <c r="B531" s="101"/>
      <c r="C531" s="94" t="s">
        <v>119</v>
      </c>
      <c r="D531" s="94" t="s">
        <v>70</v>
      </c>
      <c r="F531" s="93">
        <v>-179.15</v>
      </c>
      <c r="G531" s="93">
        <v>0</v>
      </c>
      <c r="H531" s="93">
        <v>1.1499999999999999</v>
      </c>
      <c r="I531" s="93">
        <v>0</v>
      </c>
      <c r="J531" s="93">
        <v>-201.03</v>
      </c>
      <c r="K531" s="93">
        <v>0</v>
      </c>
      <c r="L531" s="93">
        <v>0</v>
      </c>
      <c r="M531" s="93">
        <v>0</v>
      </c>
      <c r="N531" s="93">
        <v>-1.75</v>
      </c>
      <c r="O531" s="93">
        <v>13</v>
      </c>
      <c r="P531" s="93">
        <v>9.48</v>
      </c>
      <c r="Q531" s="93">
        <v>0</v>
      </c>
      <c r="R531" s="93">
        <v>0</v>
      </c>
      <c r="S531" s="93">
        <v>0</v>
      </c>
      <c r="T531" s="94">
        <v>0</v>
      </c>
      <c r="U531" s="94">
        <v>0</v>
      </c>
      <c r="V531" s="94">
        <v>0</v>
      </c>
      <c r="W531" s="94">
        <v>0</v>
      </c>
      <c r="X531" s="94">
        <v>0</v>
      </c>
      <c r="Y531" s="94">
        <v>0</v>
      </c>
      <c r="Z531" s="94">
        <v>0</v>
      </c>
    </row>
    <row r="532" spans="1:26" s="380" customFormat="1" ht="12.75" customHeight="1" x14ac:dyDescent="0.25">
      <c r="B532" s="380" t="s">
        <v>122</v>
      </c>
      <c r="C532" s="380" t="s">
        <v>70</v>
      </c>
      <c r="E532" s="378"/>
      <c r="F532" s="706">
        <v>-179.15</v>
      </c>
      <c r="G532" s="379">
        <v>0</v>
      </c>
      <c r="H532" s="379">
        <v>1.1499999999999999</v>
      </c>
      <c r="I532" s="379">
        <v>0</v>
      </c>
      <c r="J532" s="379">
        <v>-201.03</v>
      </c>
      <c r="K532" s="379">
        <v>0</v>
      </c>
      <c r="L532" s="379">
        <v>0</v>
      </c>
      <c r="M532" s="379">
        <v>0</v>
      </c>
      <c r="N532" s="379">
        <v>-1.75</v>
      </c>
      <c r="O532" s="379">
        <v>13</v>
      </c>
      <c r="P532" s="379">
        <v>9.48</v>
      </c>
      <c r="Q532" s="379">
        <v>0</v>
      </c>
      <c r="R532" s="379">
        <v>0</v>
      </c>
      <c r="S532" s="379">
        <v>0</v>
      </c>
      <c r="T532" s="380">
        <v>0</v>
      </c>
      <c r="U532" s="380">
        <v>0</v>
      </c>
      <c r="V532" s="380">
        <v>0</v>
      </c>
      <c r="W532" s="380">
        <v>0</v>
      </c>
      <c r="X532" s="380">
        <v>0</v>
      </c>
      <c r="Y532" s="380">
        <v>0</v>
      </c>
      <c r="Z532" s="380">
        <v>0</v>
      </c>
    </row>
    <row r="533" spans="1:26" ht="12.75" customHeight="1" x14ac:dyDescent="0.25">
      <c r="E533" s="89" t="s">
        <v>73</v>
      </c>
      <c r="F533" s="373">
        <v>-212434127.44</v>
      </c>
      <c r="G533" s="90">
        <v>12817588.130000001</v>
      </c>
      <c r="H533" s="90">
        <v>7257120.2199999997</v>
      </c>
      <c r="I533" s="90">
        <v>3816764.62</v>
      </c>
      <c r="J533" s="90">
        <v>-88078547.670000002</v>
      </c>
      <c r="K533" s="90">
        <v>-2949202.07</v>
      </c>
      <c r="L533" s="90">
        <v>0</v>
      </c>
      <c r="M533" s="90">
        <v>-25876241.129999999</v>
      </c>
      <c r="N533" s="90">
        <v>-26352713.18</v>
      </c>
      <c r="O533" s="90">
        <v>-127870222</v>
      </c>
      <c r="P533" s="90">
        <v>39613740.789999999</v>
      </c>
      <c r="Q533" s="90">
        <v>-4812415.1500000004</v>
      </c>
      <c r="R533" s="90">
        <v>0</v>
      </c>
      <c r="S533" s="90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</row>
    <row r="534" spans="1:26" ht="12.75" customHeight="1" x14ac:dyDescent="0.25">
      <c r="D534" t="s">
        <v>156</v>
      </c>
      <c r="E534" s="89" t="s">
        <v>70</v>
      </c>
      <c r="F534" s="373">
        <v>-212434127.44</v>
      </c>
      <c r="G534" s="90">
        <v>12817588.130000001</v>
      </c>
      <c r="H534" s="90">
        <v>7257120.2199999997</v>
      </c>
      <c r="I534" s="90">
        <v>3816764.62</v>
      </c>
      <c r="J534" s="90">
        <v>-88078547.670000002</v>
      </c>
      <c r="K534" s="90">
        <v>-2949202.07</v>
      </c>
      <c r="L534" s="90">
        <v>0</v>
      </c>
      <c r="M534" s="90">
        <v>-25876241.129999999</v>
      </c>
      <c r="N534" s="90">
        <v>-26352713.18</v>
      </c>
      <c r="O534" s="90">
        <v>-127870222</v>
      </c>
      <c r="P534" s="90">
        <v>39613740.789999999</v>
      </c>
      <c r="Q534" s="90">
        <v>-4812415.1500000004</v>
      </c>
      <c r="R534" s="90">
        <v>0</v>
      </c>
      <c r="S534" s="90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</row>
    <row r="535" spans="1:26" s="648" customFormat="1" ht="12.75" customHeight="1" x14ac:dyDescent="0.25">
      <c r="A535" s="649"/>
      <c r="B535" s="649"/>
      <c r="C535" s="648" t="s">
        <v>155</v>
      </c>
      <c r="D535" s="648" t="s">
        <v>70</v>
      </c>
      <c r="F535" s="650">
        <v>-212434127.44</v>
      </c>
      <c r="G535" s="650">
        <v>12817588.130000001</v>
      </c>
      <c r="H535" s="650">
        <v>7257120.2199999997</v>
      </c>
      <c r="I535" s="650">
        <v>3816764.62</v>
      </c>
      <c r="J535" s="650">
        <v>-88078547.670000002</v>
      </c>
      <c r="K535" s="650">
        <v>-2949202.07</v>
      </c>
      <c r="L535" s="650">
        <v>0</v>
      </c>
      <c r="M535" s="650">
        <v>-25876241.129999999</v>
      </c>
      <c r="N535" s="650">
        <v>-26352713.18</v>
      </c>
      <c r="O535" s="650">
        <v>-127870222</v>
      </c>
      <c r="P535" s="650">
        <v>39613740.789999999</v>
      </c>
      <c r="Q535" s="650">
        <v>-4812415.1500000004</v>
      </c>
      <c r="R535" s="650">
        <v>0</v>
      </c>
      <c r="S535" s="650">
        <v>0</v>
      </c>
      <c r="T535" s="648">
        <v>0</v>
      </c>
      <c r="U535" s="648">
        <v>0</v>
      </c>
      <c r="V535" s="648">
        <v>0</v>
      </c>
      <c r="W535" s="648">
        <v>0</v>
      </c>
      <c r="X535" s="648">
        <v>0</v>
      </c>
      <c r="Y535" s="648">
        <v>0</v>
      </c>
      <c r="Z535" s="648">
        <v>0</v>
      </c>
    </row>
    <row r="536" spans="1:26" ht="12.75" customHeight="1" x14ac:dyDescent="0.25">
      <c r="E536" s="89" t="s">
        <v>73</v>
      </c>
      <c r="F536" s="373">
        <v>-20163338.460000001</v>
      </c>
      <c r="G536" s="90">
        <v>-1029996.99</v>
      </c>
      <c r="H536" s="90">
        <v>-576450.34</v>
      </c>
      <c r="I536" s="90">
        <v>-304358.94</v>
      </c>
      <c r="J536" s="90">
        <v>-4595870.09</v>
      </c>
      <c r="K536" s="90">
        <v>-165789.87</v>
      </c>
      <c r="L536" s="90">
        <v>0</v>
      </c>
      <c r="M536" s="90">
        <v>-1455328.58</v>
      </c>
      <c r="N536" s="90">
        <v>-1421897.43</v>
      </c>
      <c r="O536" s="90">
        <v>-7250635.3600000003</v>
      </c>
      <c r="P536" s="90">
        <v>-3092517.22</v>
      </c>
      <c r="Q536" s="90">
        <v>-270493.64</v>
      </c>
      <c r="R536" s="90">
        <v>0</v>
      </c>
      <c r="S536" s="90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</row>
    <row r="537" spans="1:26" ht="12.75" customHeight="1" x14ac:dyDescent="0.25">
      <c r="D537" t="s">
        <v>156</v>
      </c>
      <c r="E537" s="89" t="s">
        <v>70</v>
      </c>
      <c r="F537" s="373">
        <v>-20163338.460000001</v>
      </c>
      <c r="G537" s="90">
        <v>-1029996.99</v>
      </c>
      <c r="H537" s="90">
        <v>-576450.34</v>
      </c>
      <c r="I537" s="90">
        <v>-304358.94</v>
      </c>
      <c r="J537" s="90">
        <v>-4595870.09</v>
      </c>
      <c r="K537" s="90">
        <v>-165789.87</v>
      </c>
      <c r="L537" s="90">
        <v>0</v>
      </c>
      <c r="M537" s="90">
        <v>-1455328.58</v>
      </c>
      <c r="N537" s="90">
        <v>-1421897.43</v>
      </c>
      <c r="O537" s="90">
        <v>-7250635.3600000003</v>
      </c>
      <c r="P537" s="90">
        <v>-3092517.22</v>
      </c>
      <c r="Q537" s="90">
        <v>-270493.64</v>
      </c>
      <c r="R537" s="90">
        <v>0</v>
      </c>
      <c r="S537" s="90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</row>
    <row r="538" spans="1:26" s="741" customFormat="1" ht="12.75" customHeight="1" x14ac:dyDescent="0.25">
      <c r="C538" s="741" t="s">
        <v>324</v>
      </c>
      <c r="D538" s="741" t="s">
        <v>70</v>
      </c>
      <c r="E538" s="742"/>
      <c r="F538" s="743">
        <v>-20163338.460000001</v>
      </c>
      <c r="G538" s="744">
        <v>-1029996.99</v>
      </c>
      <c r="H538" s="744">
        <v>-576450.34</v>
      </c>
      <c r="I538" s="744">
        <v>-304358.94</v>
      </c>
      <c r="J538" s="744">
        <v>-4595870.09</v>
      </c>
      <c r="K538" s="744">
        <v>-165789.87</v>
      </c>
      <c r="L538" s="744">
        <v>0</v>
      </c>
      <c r="M538" s="744">
        <v>-1455328.58</v>
      </c>
      <c r="N538" s="744">
        <v>-1421897.43</v>
      </c>
      <c r="O538" s="744">
        <v>-7250635.3600000003</v>
      </c>
      <c r="P538" s="744">
        <v>-3092517.22</v>
      </c>
      <c r="Q538" s="744">
        <v>-270493.64</v>
      </c>
      <c r="R538" s="744">
        <v>0</v>
      </c>
      <c r="S538" s="744">
        <v>0</v>
      </c>
      <c r="T538" s="741">
        <v>0</v>
      </c>
      <c r="U538" s="741">
        <v>0</v>
      </c>
      <c r="V538" s="741">
        <v>0</v>
      </c>
      <c r="W538" s="741">
        <v>0</v>
      </c>
      <c r="X538" s="741">
        <v>0</v>
      </c>
      <c r="Y538" s="741">
        <v>0</v>
      </c>
      <c r="Z538" s="741">
        <v>0</v>
      </c>
    </row>
    <row r="539" spans="1:26" ht="12.75" customHeight="1" x14ac:dyDescent="0.25">
      <c r="E539" s="89" t="s">
        <v>73</v>
      </c>
      <c r="F539" s="373">
        <v>-980339.67</v>
      </c>
      <c r="G539" s="90">
        <v>7057.5</v>
      </c>
      <c r="H539" s="90">
        <v>4782.12</v>
      </c>
      <c r="I539" s="90">
        <v>2435.2199999999998</v>
      </c>
      <c r="J539" s="90">
        <v>-146669.41</v>
      </c>
      <c r="K539" s="90">
        <v>-10379.209999999999</v>
      </c>
      <c r="L539" s="90">
        <v>0</v>
      </c>
      <c r="M539" s="90">
        <v>-91043.06</v>
      </c>
      <c r="N539" s="90">
        <v>-120680.81</v>
      </c>
      <c r="O539" s="90">
        <v>-630674</v>
      </c>
      <c r="P539" s="90">
        <v>21766.43</v>
      </c>
      <c r="Q539" s="90">
        <v>-16934.45</v>
      </c>
      <c r="R539" s="90">
        <v>0</v>
      </c>
      <c r="S539" s="90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</row>
    <row r="540" spans="1:26" ht="12.75" customHeight="1" x14ac:dyDescent="0.25">
      <c r="D540" s="89" t="s">
        <v>82</v>
      </c>
      <c r="E540" s="89" t="s">
        <v>70</v>
      </c>
      <c r="F540" s="90">
        <v>-980339.67</v>
      </c>
      <c r="G540" s="90">
        <v>7057.5</v>
      </c>
      <c r="H540" s="90">
        <v>4782.12</v>
      </c>
      <c r="I540" s="90">
        <v>2435.2199999999998</v>
      </c>
      <c r="J540" s="90">
        <v>-146669.41</v>
      </c>
      <c r="K540" s="90">
        <v>-10379.209999999999</v>
      </c>
      <c r="L540" s="90">
        <v>0</v>
      </c>
      <c r="M540" s="90">
        <v>-91043.06</v>
      </c>
      <c r="N540" s="90">
        <v>-120680.81</v>
      </c>
      <c r="O540" s="90">
        <v>-630674</v>
      </c>
      <c r="P540" s="90">
        <v>21766.43</v>
      </c>
      <c r="Q540" s="90">
        <v>-16934.45</v>
      </c>
      <c r="R540" s="90">
        <v>0</v>
      </c>
      <c r="S540" s="9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</row>
    <row r="541" spans="1:26" ht="12.75" customHeight="1" x14ac:dyDescent="0.25">
      <c r="E541" s="89" t="s">
        <v>73</v>
      </c>
      <c r="F541" s="90">
        <v>-3973752.02</v>
      </c>
      <c r="G541" s="90">
        <v>6131.66</v>
      </c>
      <c r="H541" s="90">
        <v>23680.44</v>
      </c>
      <c r="I541" s="90">
        <v>6564.21</v>
      </c>
      <c r="J541" s="90">
        <v>-1506532.21</v>
      </c>
      <c r="K541" s="90">
        <v>-36848.04</v>
      </c>
      <c r="L541" s="90">
        <v>0</v>
      </c>
      <c r="M541" s="90">
        <v>-319376.59000000003</v>
      </c>
      <c r="N541" s="90">
        <v>-360407.31</v>
      </c>
      <c r="O541" s="90">
        <v>-1733030.53</v>
      </c>
      <c r="P541" s="90">
        <v>6185.51</v>
      </c>
      <c r="Q541" s="90">
        <v>-60119.16</v>
      </c>
      <c r="R541" s="90">
        <v>0</v>
      </c>
      <c r="S541" s="90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</row>
    <row r="542" spans="1:26" ht="12.75" customHeight="1" x14ac:dyDescent="0.25">
      <c r="D542" s="89" t="s">
        <v>86</v>
      </c>
      <c r="E542" s="89" t="s">
        <v>70</v>
      </c>
      <c r="F542" s="90">
        <v>-3973752.02</v>
      </c>
      <c r="G542" s="90">
        <v>6131.66</v>
      </c>
      <c r="H542" s="90">
        <v>23680.44</v>
      </c>
      <c r="I542" s="90">
        <v>6564.21</v>
      </c>
      <c r="J542" s="90">
        <v>-1506532.21</v>
      </c>
      <c r="K542" s="90">
        <v>-36848.04</v>
      </c>
      <c r="L542" s="90">
        <v>0</v>
      </c>
      <c r="M542" s="90">
        <v>-319376.59000000003</v>
      </c>
      <c r="N542" s="90">
        <v>-360407.31</v>
      </c>
      <c r="O542" s="90">
        <v>-1733030.53</v>
      </c>
      <c r="P542" s="90">
        <v>6185.51</v>
      </c>
      <c r="Q542" s="90">
        <v>-60119.16</v>
      </c>
      <c r="R542" s="90">
        <v>0</v>
      </c>
      <c r="S542" s="90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</row>
    <row r="543" spans="1:26" ht="12.75" customHeight="1" x14ac:dyDescent="0.25">
      <c r="E543" s="89" t="s">
        <v>73</v>
      </c>
      <c r="F543" s="90">
        <v>46918738.030000001</v>
      </c>
      <c r="G543" s="90">
        <v>8846352.6799999997</v>
      </c>
      <c r="H543" s="90">
        <v>4929565.3099999996</v>
      </c>
      <c r="I543" s="90">
        <v>2620129.5499999998</v>
      </c>
      <c r="J543" s="90">
        <v>1600455.27</v>
      </c>
      <c r="K543" s="90">
        <v>36122.69</v>
      </c>
      <c r="L543" s="90">
        <v>0</v>
      </c>
      <c r="M543" s="90">
        <v>316180.13</v>
      </c>
      <c r="N543" s="90">
        <v>332830.40999999997</v>
      </c>
      <c r="O543" s="90">
        <v>1664222.96</v>
      </c>
      <c r="P543" s="90">
        <v>26513941.539999999</v>
      </c>
      <c r="Q543" s="90">
        <v>58937.49</v>
      </c>
      <c r="R543" s="90">
        <v>0</v>
      </c>
      <c r="S543" s="90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</row>
    <row r="544" spans="1:26" ht="12.75" customHeight="1" x14ac:dyDescent="0.25">
      <c r="D544" s="89" t="s">
        <v>87</v>
      </c>
      <c r="E544" s="89" t="s">
        <v>70</v>
      </c>
      <c r="F544" s="90">
        <v>46918738.030000001</v>
      </c>
      <c r="G544" s="90">
        <v>8846352.6799999997</v>
      </c>
      <c r="H544" s="90">
        <v>4929565.3099999996</v>
      </c>
      <c r="I544" s="90">
        <v>2620129.5499999998</v>
      </c>
      <c r="J544" s="90">
        <v>1600455.27</v>
      </c>
      <c r="K544" s="90">
        <v>36122.69</v>
      </c>
      <c r="L544" s="90">
        <v>0</v>
      </c>
      <c r="M544" s="90">
        <v>316180.13</v>
      </c>
      <c r="N544" s="90">
        <v>332830.40999999997</v>
      </c>
      <c r="O544" s="90">
        <v>1664222.96</v>
      </c>
      <c r="P544" s="90">
        <v>26513941.539999999</v>
      </c>
      <c r="Q544" s="90">
        <v>58937.49</v>
      </c>
      <c r="R544" s="90">
        <v>0</v>
      </c>
      <c r="S544" s="90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</row>
    <row r="545" spans="1:41" s="94" customFormat="1" ht="12.75" customHeight="1" x14ac:dyDescent="0.25">
      <c r="C545" s="94" t="s">
        <v>119</v>
      </c>
      <c r="D545" s="94" t="s">
        <v>70</v>
      </c>
      <c r="E545" s="101"/>
      <c r="F545" s="93">
        <v>41964646.340000004</v>
      </c>
      <c r="G545" s="93">
        <v>8859541.8399999999</v>
      </c>
      <c r="H545" s="93">
        <v>4958027.87</v>
      </c>
      <c r="I545" s="93">
        <v>2629128.98</v>
      </c>
      <c r="J545" s="93">
        <v>-52746.35</v>
      </c>
      <c r="K545" s="93">
        <v>-11104.56</v>
      </c>
      <c r="L545" s="93">
        <v>0</v>
      </c>
      <c r="M545" s="93">
        <v>-94239.52</v>
      </c>
      <c r="N545" s="93">
        <v>-148257.71</v>
      </c>
      <c r="O545" s="93">
        <v>-699481.57</v>
      </c>
      <c r="P545" s="93">
        <v>26541893.48</v>
      </c>
      <c r="Q545" s="93">
        <v>-18116.12</v>
      </c>
      <c r="R545" s="93">
        <v>0</v>
      </c>
      <c r="S545" s="93">
        <v>0</v>
      </c>
      <c r="T545" s="94">
        <v>0</v>
      </c>
      <c r="U545" s="94">
        <v>0</v>
      </c>
      <c r="V545" s="94">
        <v>0</v>
      </c>
      <c r="W545" s="94">
        <v>0</v>
      </c>
      <c r="X545" s="94">
        <v>0</v>
      </c>
      <c r="Y545" s="94">
        <v>0</v>
      </c>
      <c r="Z545" s="94">
        <v>0</v>
      </c>
    </row>
    <row r="546" spans="1:41" s="226" customFormat="1" ht="12.75" customHeight="1" x14ac:dyDescent="0.25">
      <c r="B546" s="98" t="s">
        <v>112</v>
      </c>
      <c r="C546" s="98" t="s">
        <v>70</v>
      </c>
      <c r="F546" s="100">
        <v>-190632819.56</v>
      </c>
      <c r="G546" s="100">
        <v>20647132.98</v>
      </c>
      <c r="H546" s="100">
        <v>11638697.75</v>
      </c>
      <c r="I546" s="100">
        <v>6141534.6600000001</v>
      </c>
      <c r="J546" s="100">
        <v>-92727164.109999999</v>
      </c>
      <c r="K546" s="100">
        <v>-3126096.5</v>
      </c>
      <c r="L546" s="100">
        <v>0</v>
      </c>
      <c r="M546" s="100">
        <v>-27425809.23</v>
      </c>
      <c r="N546" s="100">
        <v>-27922868.32</v>
      </c>
      <c r="O546" s="100">
        <v>-135820338.93000001</v>
      </c>
      <c r="P546" s="100">
        <v>63063117.049999997</v>
      </c>
      <c r="Q546" s="100">
        <v>-5101024.91</v>
      </c>
      <c r="R546" s="100">
        <v>0</v>
      </c>
      <c r="S546" s="100">
        <v>0</v>
      </c>
      <c r="T546" s="226">
        <v>0</v>
      </c>
      <c r="U546" s="226">
        <v>0</v>
      </c>
      <c r="V546" s="226">
        <v>0</v>
      </c>
      <c r="W546" s="226">
        <v>0</v>
      </c>
      <c r="X546" s="226">
        <v>0</v>
      </c>
      <c r="Y546" s="226">
        <v>0</v>
      </c>
      <c r="Z546" s="226">
        <v>0</v>
      </c>
    </row>
    <row r="547" spans="1:41" ht="12.75" customHeight="1" x14ac:dyDescent="0.25">
      <c r="A547" s="89" t="s">
        <v>79</v>
      </c>
      <c r="B547" s="89" t="s">
        <v>70</v>
      </c>
      <c r="F547" s="90">
        <v>-190632998.71000001</v>
      </c>
      <c r="G547" s="90">
        <v>20647132.98</v>
      </c>
      <c r="H547" s="90">
        <v>11638698.9</v>
      </c>
      <c r="I547" s="90">
        <v>6141534.6600000001</v>
      </c>
      <c r="J547" s="90">
        <v>-92727365.140000001</v>
      </c>
      <c r="K547" s="90">
        <v>-3126096.5</v>
      </c>
      <c r="L547" s="90">
        <v>0</v>
      </c>
      <c r="M547" s="90">
        <v>-27425809.23</v>
      </c>
      <c r="N547" s="90">
        <v>-27922870.07</v>
      </c>
      <c r="O547" s="90">
        <v>-135820325.93000001</v>
      </c>
      <c r="P547" s="90">
        <v>63063126.530000001</v>
      </c>
      <c r="Q547" s="90">
        <v>-5101024.91</v>
      </c>
      <c r="R547" s="90">
        <v>0</v>
      </c>
      <c r="S547" s="90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</row>
    <row r="548" spans="1:41" ht="12.75" customHeight="1" x14ac:dyDescent="0.25">
      <c r="A548" s="89" t="s">
        <v>70</v>
      </c>
      <c r="F548" s="90">
        <v>9161311356</v>
      </c>
      <c r="G548" s="90">
        <v>520643555.75999999</v>
      </c>
      <c r="H548" s="90">
        <v>290935395.77999997</v>
      </c>
      <c r="I548" s="90">
        <v>154071022.71000001</v>
      </c>
      <c r="J548" s="90">
        <v>2002851954.6600001</v>
      </c>
      <c r="K548" s="90">
        <v>72125802.450000003</v>
      </c>
      <c r="L548" s="90">
        <v>32575938.379999999</v>
      </c>
      <c r="M548" s="90">
        <v>633031460.16999996</v>
      </c>
      <c r="N548" s="90">
        <v>614742586.42999995</v>
      </c>
      <c r="O548" s="90">
        <v>3162491058.1900001</v>
      </c>
      <c r="P548" s="90">
        <v>1560085566.01</v>
      </c>
      <c r="Q548" s="90">
        <v>117773411.77</v>
      </c>
      <c r="R548" s="90">
        <v>-16290.63</v>
      </c>
      <c r="S548" s="90">
        <v>-4.47</v>
      </c>
      <c r="T548">
        <v>6.57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-107.78</v>
      </c>
    </row>
    <row r="549" spans="1:41" ht="12.75" customHeight="1" x14ac:dyDescent="0.25">
      <c r="A549" s="89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150"/>
    </row>
    <row r="550" spans="1:41" ht="12.75" customHeight="1" x14ac:dyDescent="0.25">
      <c r="A550" s="89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</row>
    <row r="551" spans="1:41" ht="12.75" customHeight="1" x14ac:dyDescent="0.25">
      <c r="A551" s="89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</row>
    <row r="552" spans="1:41" ht="12.75" customHeight="1" x14ac:dyDescent="0.25">
      <c r="C552" s="763" t="s">
        <v>2</v>
      </c>
      <c r="D552" s="764" t="s">
        <v>132</v>
      </c>
      <c r="E552" s="98" t="s">
        <v>70</v>
      </c>
      <c r="F552" s="100">
        <f>F546+F525+F499-L499-L525</f>
        <v>9128674277.6200008</v>
      </c>
      <c r="G552" s="100">
        <f t="shared" ref="G552:AO552" si="27">G525+G499</f>
        <v>499993856.34999996</v>
      </c>
      <c r="H552" s="100">
        <f t="shared" si="27"/>
        <v>279295266.87</v>
      </c>
      <c r="I552" s="100">
        <f t="shared" si="27"/>
        <v>147928727.49000001</v>
      </c>
      <c r="J552" s="100">
        <f t="shared" si="27"/>
        <v>2095567575.6800001</v>
      </c>
      <c r="K552" s="100">
        <f t="shared" si="27"/>
        <v>75251314.050000012</v>
      </c>
      <c r="L552" s="100">
        <f t="shared" si="27"/>
        <v>32575938.379999999</v>
      </c>
      <c r="M552" s="100">
        <f t="shared" si="27"/>
        <v>660452138.73000002</v>
      </c>
      <c r="N552" s="100">
        <f t="shared" si="27"/>
        <v>642660437.5999999</v>
      </c>
      <c r="O552" s="100">
        <f t="shared" si="27"/>
        <v>3298285899.1500001</v>
      </c>
      <c r="P552" s="100">
        <f t="shared" si="27"/>
        <v>1497014790.46</v>
      </c>
      <c r="Q552" s="100">
        <f t="shared" si="27"/>
        <v>122873482.37</v>
      </c>
      <c r="R552" s="100">
        <f t="shared" si="27"/>
        <v>-16285.89</v>
      </c>
      <c r="S552" s="100">
        <f t="shared" si="27"/>
        <v>-4.47</v>
      </c>
      <c r="T552" s="100">
        <f t="shared" si="27"/>
        <v>6.57</v>
      </c>
      <c r="U552" s="100">
        <f t="shared" si="27"/>
        <v>0</v>
      </c>
      <c r="V552" s="100">
        <f t="shared" si="27"/>
        <v>0</v>
      </c>
      <c r="W552" s="100">
        <f t="shared" si="27"/>
        <v>0</v>
      </c>
      <c r="X552" s="100">
        <f t="shared" si="27"/>
        <v>0</v>
      </c>
      <c r="Y552" s="100">
        <f t="shared" si="27"/>
        <v>0</v>
      </c>
      <c r="Z552" s="100">
        <f t="shared" si="27"/>
        <v>-107.78</v>
      </c>
      <c r="AA552" s="100">
        <f t="shared" si="27"/>
        <v>0</v>
      </c>
      <c r="AB552" s="100">
        <f t="shared" si="27"/>
        <v>0</v>
      </c>
      <c r="AC552" s="100">
        <f t="shared" si="27"/>
        <v>0</v>
      </c>
      <c r="AD552" s="100">
        <f t="shared" si="27"/>
        <v>0</v>
      </c>
      <c r="AE552" s="100">
        <f t="shared" si="27"/>
        <v>0</v>
      </c>
      <c r="AF552" s="100">
        <f t="shared" si="27"/>
        <v>0</v>
      </c>
      <c r="AG552" s="100">
        <f t="shared" si="27"/>
        <v>0</v>
      </c>
      <c r="AH552" s="100">
        <f t="shared" si="27"/>
        <v>0</v>
      </c>
      <c r="AI552" s="100">
        <f t="shared" si="27"/>
        <v>0</v>
      </c>
      <c r="AJ552" s="100">
        <f t="shared" si="27"/>
        <v>0</v>
      </c>
      <c r="AK552" s="100">
        <f t="shared" si="27"/>
        <v>0</v>
      </c>
      <c r="AL552" s="100">
        <f t="shared" si="27"/>
        <v>0</v>
      </c>
      <c r="AM552" s="100">
        <f t="shared" si="27"/>
        <v>0</v>
      </c>
      <c r="AN552" s="100">
        <f t="shared" si="27"/>
        <v>0</v>
      </c>
      <c r="AO552" s="100">
        <f t="shared" si="27"/>
        <v>0</v>
      </c>
    </row>
    <row r="553" spans="1:41" ht="12.75" customHeight="1" x14ac:dyDescent="0.25">
      <c r="C553" s="763"/>
      <c r="D553" s="764"/>
      <c r="E553" s="98" t="s">
        <v>73</v>
      </c>
      <c r="F553" s="100">
        <f>F546</f>
        <v>-190632819.56</v>
      </c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</row>
    <row r="554" spans="1:41" ht="12.75" customHeight="1" x14ac:dyDescent="0.25">
      <c r="C554" s="763"/>
      <c r="D554" s="764" t="s">
        <v>133</v>
      </c>
      <c r="E554" s="233" t="s">
        <v>70</v>
      </c>
      <c r="F554" s="234">
        <f>F532+F506-L506</f>
        <v>61140</v>
      </c>
      <c r="G554" s="234">
        <f>G506</f>
        <v>2566.4299999999998</v>
      </c>
      <c r="H554" s="234">
        <f t="shared" ref="H554:AO554" si="28">H506</f>
        <v>1430.01</v>
      </c>
      <c r="I554" s="234">
        <f t="shared" si="28"/>
        <v>760.56</v>
      </c>
      <c r="J554" s="234">
        <f t="shared" si="28"/>
        <v>11744.12</v>
      </c>
      <c r="K554" s="234">
        <f t="shared" si="28"/>
        <v>584.9</v>
      </c>
      <c r="L554" s="234">
        <f t="shared" si="28"/>
        <v>0</v>
      </c>
      <c r="M554" s="234">
        <f t="shared" si="28"/>
        <v>5130.67</v>
      </c>
      <c r="N554" s="234">
        <f t="shared" si="28"/>
        <v>5018.8999999999996</v>
      </c>
      <c r="O554" s="234">
        <f t="shared" si="28"/>
        <v>25484.97</v>
      </c>
      <c r="P554" s="234">
        <f t="shared" si="28"/>
        <v>7649.02</v>
      </c>
      <c r="Q554" s="234">
        <f t="shared" si="28"/>
        <v>954.31</v>
      </c>
      <c r="R554" s="234">
        <f t="shared" si="28"/>
        <v>-4.74</v>
      </c>
      <c r="S554" s="234">
        <f t="shared" si="28"/>
        <v>0</v>
      </c>
      <c r="T554" s="234">
        <f t="shared" si="28"/>
        <v>0</v>
      </c>
      <c r="U554" s="234">
        <f t="shared" si="28"/>
        <v>0</v>
      </c>
      <c r="V554" s="234">
        <f t="shared" si="28"/>
        <v>0</v>
      </c>
      <c r="W554" s="234">
        <f t="shared" si="28"/>
        <v>0</v>
      </c>
      <c r="X554" s="234">
        <f t="shared" si="28"/>
        <v>0</v>
      </c>
      <c r="Y554" s="234">
        <f t="shared" si="28"/>
        <v>0</v>
      </c>
      <c r="Z554" s="234">
        <f t="shared" si="28"/>
        <v>0</v>
      </c>
      <c r="AA554" s="234">
        <f t="shared" si="28"/>
        <v>0</v>
      </c>
      <c r="AB554" s="234">
        <f t="shared" si="28"/>
        <v>0</v>
      </c>
      <c r="AC554" s="234">
        <f t="shared" si="28"/>
        <v>0</v>
      </c>
      <c r="AD554" s="234">
        <f t="shared" si="28"/>
        <v>0</v>
      </c>
      <c r="AE554" s="234">
        <f t="shared" si="28"/>
        <v>0</v>
      </c>
      <c r="AF554" s="234">
        <f t="shared" si="28"/>
        <v>0</v>
      </c>
      <c r="AG554" s="234">
        <f t="shared" si="28"/>
        <v>0</v>
      </c>
      <c r="AH554" s="234">
        <f t="shared" si="28"/>
        <v>0</v>
      </c>
      <c r="AI554" s="234">
        <f t="shared" si="28"/>
        <v>0</v>
      </c>
      <c r="AJ554" s="234">
        <f t="shared" si="28"/>
        <v>0</v>
      </c>
      <c r="AK554" s="234">
        <f t="shared" si="28"/>
        <v>0</v>
      </c>
      <c r="AL554" s="234">
        <f t="shared" si="28"/>
        <v>0</v>
      </c>
      <c r="AM554" s="234">
        <f t="shared" si="28"/>
        <v>0</v>
      </c>
      <c r="AN554" s="234">
        <f t="shared" si="28"/>
        <v>0</v>
      </c>
      <c r="AO554" s="234">
        <f t="shared" si="28"/>
        <v>0</v>
      </c>
    </row>
    <row r="555" spans="1:41" ht="12.75" customHeight="1" x14ac:dyDescent="0.25">
      <c r="C555" s="763"/>
      <c r="D555" s="764"/>
      <c r="E555" s="233" t="s">
        <v>73</v>
      </c>
      <c r="F555" s="234">
        <f>F532</f>
        <v>-179.15</v>
      </c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</row>
    <row r="556" spans="1:41" ht="12.75" customHeight="1" x14ac:dyDescent="0.3">
      <c r="A556" s="89"/>
      <c r="C556" s="97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</row>
    <row r="557" spans="1:41" ht="12.75" customHeight="1" x14ac:dyDescent="0.25">
      <c r="C557" s="763" t="s">
        <v>160</v>
      </c>
      <c r="D557" s="764" t="s">
        <v>132</v>
      </c>
      <c r="E557" s="223" t="s">
        <v>70</v>
      </c>
      <c r="F557" s="225">
        <v>0</v>
      </c>
      <c r="G557" s="225">
        <v>0</v>
      </c>
      <c r="H557" s="225">
        <v>0</v>
      </c>
      <c r="I557" s="225">
        <v>0</v>
      </c>
      <c r="J557" s="225">
        <v>0</v>
      </c>
      <c r="K557" s="225">
        <v>0</v>
      </c>
      <c r="L557" s="225">
        <v>0</v>
      </c>
      <c r="M557" s="225">
        <v>0</v>
      </c>
      <c r="N557" s="225">
        <v>0</v>
      </c>
      <c r="O557" s="225">
        <v>0</v>
      </c>
      <c r="P557" s="225">
        <v>0</v>
      </c>
      <c r="Q557" s="225">
        <v>0</v>
      </c>
      <c r="R557" s="225">
        <v>0</v>
      </c>
      <c r="S557" s="225">
        <v>0</v>
      </c>
      <c r="T557" s="225">
        <v>0</v>
      </c>
      <c r="U557" s="225"/>
      <c r="V557" s="225"/>
      <c r="W557" s="225"/>
      <c r="X557" s="225">
        <v>0</v>
      </c>
      <c r="Y557" s="225">
        <v>0</v>
      </c>
      <c r="Z557" s="225">
        <v>0</v>
      </c>
      <c r="AA557" s="225">
        <v>0</v>
      </c>
      <c r="AB557" s="225">
        <v>0</v>
      </c>
      <c r="AC557" s="225">
        <v>0</v>
      </c>
      <c r="AD557" s="225">
        <v>0</v>
      </c>
      <c r="AE557" s="225">
        <v>0</v>
      </c>
      <c r="AF557" s="225">
        <v>0</v>
      </c>
      <c r="AG557" s="225">
        <v>0</v>
      </c>
      <c r="AH557" s="225">
        <v>0</v>
      </c>
      <c r="AI557" s="225">
        <v>0</v>
      </c>
      <c r="AJ557" s="225">
        <v>0</v>
      </c>
      <c r="AK557" s="225">
        <v>0</v>
      </c>
      <c r="AL557" s="225">
        <v>0</v>
      </c>
      <c r="AM557" s="225">
        <v>0</v>
      </c>
      <c r="AN557" s="225">
        <v>0</v>
      </c>
      <c r="AO557" s="225">
        <v>0</v>
      </c>
    </row>
    <row r="558" spans="1:41" ht="12.75" customHeight="1" x14ac:dyDescent="0.25">
      <c r="C558" s="763"/>
      <c r="D558" s="764"/>
      <c r="E558" s="223" t="s">
        <v>73</v>
      </c>
      <c r="F558" s="225">
        <v>0</v>
      </c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</row>
    <row r="559" spans="1:41" ht="12.75" customHeight="1" x14ac:dyDescent="0.25">
      <c r="C559" s="763"/>
      <c r="D559" s="764" t="s">
        <v>133</v>
      </c>
      <c r="E559" s="227" t="s">
        <v>70</v>
      </c>
      <c r="F559" s="228">
        <v>0</v>
      </c>
      <c r="G559" s="228">
        <v>0</v>
      </c>
      <c r="H559" s="228">
        <v>0</v>
      </c>
      <c r="I559" s="228">
        <v>0</v>
      </c>
      <c r="J559" s="228">
        <v>0</v>
      </c>
      <c r="K559" s="228">
        <v>0</v>
      </c>
      <c r="L559" s="228">
        <v>0</v>
      </c>
      <c r="M559" s="228">
        <v>0</v>
      </c>
      <c r="N559" s="228">
        <v>0</v>
      </c>
      <c r="O559" s="228">
        <v>0</v>
      </c>
      <c r="P559" s="228">
        <v>0</v>
      </c>
      <c r="Q559" s="228">
        <v>0</v>
      </c>
      <c r="R559" s="228">
        <v>0</v>
      </c>
      <c r="S559" s="228">
        <v>0</v>
      </c>
      <c r="T559" s="228">
        <v>0</v>
      </c>
      <c r="U559" s="228"/>
      <c r="V559" s="228"/>
      <c r="W559" s="228"/>
      <c r="X559" s="228">
        <v>0</v>
      </c>
      <c r="Y559" s="228">
        <v>0</v>
      </c>
      <c r="Z559" s="228">
        <v>0</v>
      </c>
      <c r="AA559" s="228">
        <v>0</v>
      </c>
      <c r="AB559" s="228">
        <v>0</v>
      </c>
      <c r="AC559" s="228">
        <v>0</v>
      </c>
      <c r="AD559" s="228">
        <v>0</v>
      </c>
      <c r="AE559" s="228">
        <v>0</v>
      </c>
      <c r="AF559" s="228">
        <v>0</v>
      </c>
      <c r="AG559" s="228">
        <v>0</v>
      </c>
      <c r="AH559" s="228">
        <v>0</v>
      </c>
      <c r="AI559" s="228">
        <v>0</v>
      </c>
      <c r="AJ559" s="228">
        <v>0</v>
      </c>
      <c r="AK559" s="228">
        <v>0</v>
      </c>
      <c r="AL559" s="228">
        <v>0</v>
      </c>
      <c r="AM559" s="228">
        <v>0</v>
      </c>
      <c r="AN559" s="228">
        <v>0</v>
      </c>
      <c r="AO559" s="228">
        <v>0</v>
      </c>
    </row>
    <row r="560" spans="1:41" ht="12.75" customHeight="1" x14ac:dyDescent="0.25">
      <c r="C560" s="763"/>
      <c r="D560" s="764"/>
      <c r="E560" s="227" t="s">
        <v>73</v>
      </c>
      <c r="F560" s="228">
        <v>0</v>
      </c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</row>
    <row r="561" spans="1:41" ht="12.75" customHeight="1" x14ac:dyDescent="0.3">
      <c r="A561" s="89"/>
      <c r="C561" s="97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</row>
    <row r="562" spans="1:41" ht="12.75" customHeight="1" x14ac:dyDescent="0.25">
      <c r="C562" s="763" t="s">
        <v>155</v>
      </c>
      <c r="D562" s="764" t="s">
        <v>132</v>
      </c>
      <c r="E562" s="221" t="s">
        <v>70</v>
      </c>
      <c r="F562" s="222">
        <f>F535+F510+F495-L495-L510</f>
        <v>8782962300.0100002</v>
      </c>
      <c r="G562" s="222">
        <f>G510+G495</f>
        <v>474204302.95999998</v>
      </c>
      <c r="H562" s="222">
        <f t="shared" ref="H562:AO562" si="29">H510+H495</f>
        <v>265133967.25</v>
      </c>
      <c r="I562" s="222">
        <f t="shared" si="29"/>
        <v>140434645.56</v>
      </c>
      <c r="J562" s="222">
        <f t="shared" si="29"/>
        <v>2041090494.45</v>
      </c>
      <c r="K562" s="222">
        <f t="shared" si="29"/>
        <v>73126805.170000002</v>
      </c>
      <c r="L562" s="222">
        <f t="shared" si="29"/>
        <v>5862361.9900000002</v>
      </c>
      <c r="M562" s="222">
        <f t="shared" si="29"/>
        <v>641840330.98000002</v>
      </c>
      <c r="N562" s="222">
        <f t="shared" si="29"/>
        <v>622946276.96000004</v>
      </c>
      <c r="O562" s="222">
        <f t="shared" si="29"/>
        <v>3197299686.1199999</v>
      </c>
      <c r="P562" s="222">
        <f t="shared" si="29"/>
        <v>1419950178.04</v>
      </c>
      <c r="Q562" s="222">
        <f t="shared" si="29"/>
        <v>119382561.47999999</v>
      </c>
      <c r="R562" s="222">
        <f t="shared" si="29"/>
        <v>-12784.43</v>
      </c>
      <c r="S562" s="222">
        <f t="shared" si="29"/>
        <v>-4.37</v>
      </c>
      <c r="T562" s="222">
        <f t="shared" si="29"/>
        <v>4.7300000000000004</v>
      </c>
      <c r="U562" s="222">
        <f t="shared" si="29"/>
        <v>0</v>
      </c>
      <c r="V562" s="222">
        <f t="shared" si="29"/>
        <v>0</v>
      </c>
      <c r="W562" s="222">
        <f t="shared" si="29"/>
        <v>0</v>
      </c>
      <c r="X562" s="222">
        <f t="shared" si="29"/>
        <v>0</v>
      </c>
      <c r="Y562" s="222">
        <f t="shared" si="29"/>
        <v>0</v>
      </c>
      <c r="Z562" s="222">
        <f t="shared" si="29"/>
        <v>-37.450000000000003</v>
      </c>
      <c r="AA562" s="222">
        <f t="shared" si="29"/>
        <v>0</v>
      </c>
      <c r="AB562" s="222">
        <f t="shared" si="29"/>
        <v>0</v>
      </c>
      <c r="AC562" s="222">
        <f t="shared" si="29"/>
        <v>0</v>
      </c>
      <c r="AD562" s="222">
        <f t="shared" si="29"/>
        <v>0</v>
      </c>
      <c r="AE562" s="222">
        <f t="shared" si="29"/>
        <v>0</v>
      </c>
      <c r="AF562" s="222">
        <f t="shared" si="29"/>
        <v>0</v>
      </c>
      <c r="AG562" s="222">
        <f t="shared" si="29"/>
        <v>0</v>
      </c>
      <c r="AH562" s="222">
        <f t="shared" si="29"/>
        <v>0</v>
      </c>
      <c r="AI562" s="222">
        <f t="shared" si="29"/>
        <v>0</v>
      </c>
      <c r="AJ562" s="222">
        <f t="shared" si="29"/>
        <v>0</v>
      </c>
      <c r="AK562" s="222">
        <f t="shared" si="29"/>
        <v>0</v>
      </c>
      <c r="AL562" s="222">
        <f t="shared" si="29"/>
        <v>0</v>
      </c>
      <c r="AM562" s="222">
        <f t="shared" si="29"/>
        <v>0</v>
      </c>
      <c r="AN562" s="222">
        <f t="shared" si="29"/>
        <v>0</v>
      </c>
      <c r="AO562" s="222">
        <f t="shared" si="29"/>
        <v>0</v>
      </c>
    </row>
    <row r="563" spans="1:41" ht="12.75" customHeight="1" x14ac:dyDescent="0.25">
      <c r="C563" s="763"/>
      <c r="D563" s="764"/>
      <c r="E563" s="221" t="s">
        <v>73</v>
      </c>
      <c r="F563" s="222">
        <f>F535</f>
        <v>-212434127.44</v>
      </c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</row>
    <row r="564" spans="1:41" ht="12.75" customHeight="1" x14ac:dyDescent="0.25">
      <c r="C564" s="763"/>
      <c r="D564" s="764" t="s">
        <v>133</v>
      </c>
      <c r="E564" s="242" t="s">
        <v>70</v>
      </c>
      <c r="F564" s="243">
        <v>0</v>
      </c>
      <c r="G564" s="243">
        <v>0</v>
      </c>
      <c r="H564" s="243">
        <v>0</v>
      </c>
      <c r="I564" s="243">
        <v>0</v>
      </c>
      <c r="J564" s="243">
        <v>0</v>
      </c>
      <c r="K564" s="243">
        <v>0</v>
      </c>
      <c r="L564" s="243">
        <v>0</v>
      </c>
      <c r="M564" s="243">
        <v>0</v>
      </c>
      <c r="N564" s="243">
        <v>0</v>
      </c>
      <c r="O564" s="243">
        <v>0</v>
      </c>
      <c r="P564" s="243">
        <v>0</v>
      </c>
      <c r="Q564" s="243">
        <v>0</v>
      </c>
      <c r="R564" s="243">
        <v>0</v>
      </c>
      <c r="S564" s="243">
        <v>0</v>
      </c>
      <c r="T564" s="243">
        <v>0</v>
      </c>
      <c r="U564" s="243">
        <v>0</v>
      </c>
      <c r="V564" s="243">
        <v>0</v>
      </c>
      <c r="W564" s="243">
        <v>0</v>
      </c>
      <c r="X564" s="243">
        <v>0</v>
      </c>
      <c r="Y564" s="243">
        <v>0</v>
      </c>
      <c r="Z564" s="243">
        <v>0</v>
      </c>
      <c r="AA564" s="243">
        <v>0</v>
      </c>
      <c r="AB564" s="243">
        <v>0</v>
      </c>
      <c r="AC564" s="243">
        <v>0</v>
      </c>
      <c r="AD564" s="243">
        <v>0</v>
      </c>
      <c r="AE564" s="243">
        <v>0</v>
      </c>
      <c r="AF564" s="243">
        <v>0</v>
      </c>
      <c r="AG564" s="243">
        <v>0</v>
      </c>
      <c r="AH564" s="243">
        <v>0</v>
      </c>
      <c r="AI564" s="243">
        <v>0</v>
      </c>
      <c r="AJ564" s="243">
        <v>0</v>
      </c>
      <c r="AK564" s="243">
        <v>0</v>
      </c>
      <c r="AL564" s="243">
        <v>0</v>
      </c>
      <c r="AM564" s="243">
        <v>0</v>
      </c>
      <c r="AN564" s="243">
        <v>0</v>
      </c>
      <c r="AO564" s="243">
        <v>0</v>
      </c>
    </row>
    <row r="565" spans="1:41" ht="12.75" customHeight="1" x14ac:dyDescent="0.25">
      <c r="C565" s="763"/>
      <c r="D565" s="764"/>
      <c r="E565" s="242" t="s">
        <v>73</v>
      </c>
      <c r="F565" s="243">
        <v>0</v>
      </c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</row>
    <row r="566" spans="1:41" ht="12.75" customHeight="1" x14ac:dyDescent="0.3">
      <c r="A566" s="89"/>
      <c r="C566" s="97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</row>
    <row r="567" spans="1:41" ht="12.75" customHeight="1" x14ac:dyDescent="0.25">
      <c r="C567" s="766" t="s">
        <v>324</v>
      </c>
      <c r="D567" s="764" t="s">
        <v>132</v>
      </c>
      <c r="E567" s="375" t="s">
        <v>70</v>
      </c>
      <c r="F567" s="376">
        <f>F538+F514-L514</f>
        <v>137170902</v>
      </c>
      <c r="G567" s="376">
        <f>G514</f>
        <v>8742692.4100000001</v>
      </c>
      <c r="H567" s="376">
        <f t="shared" ref="H567:AO567" si="30">H514</f>
        <v>4875107.3</v>
      </c>
      <c r="I567" s="376">
        <f t="shared" si="30"/>
        <v>2601178.42</v>
      </c>
      <c r="J567" s="376">
        <f t="shared" si="30"/>
        <v>34828590.310000002</v>
      </c>
      <c r="K567" s="376">
        <f t="shared" si="30"/>
        <v>1248070.6599999999</v>
      </c>
      <c r="L567" s="376">
        <f t="shared" si="30"/>
        <v>0</v>
      </c>
      <c r="M567" s="376">
        <f t="shared" si="30"/>
        <v>10923976.050000001</v>
      </c>
      <c r="N567" s="376">
        <f t="shared" si="30"/>
        <v>10791847.6</v>
      </c>
      <c r="O567" s="376">
        <f t="shared" si="30"/>
        <v>55071465.420000002</v>
      </c>
      <c r="P567" s="376">
        <f t="shared" si="30"/>
        <v>26210306.420000002</v>
      </c>
      <c r="Q567" s="376">
        <f t="shared" si="30"/>
        <v>2042410.35</v>
      </c>
      <c r="R567" s="376">
        <f t="shared" si="30"/>
        <v>-1404.48</v>
      </c>
      <c r="S567" s="376">
        <f t="shared" si="30"/>
        <v>0</v>
      </c>
      <c r="T567" s="376">
        <f t="shared" si="30"/>
        <v>0</v>
      </c>
      <c r="U567" s="376">
        <f t="shared" si="30"/>
        <v>0</v>
      </c>
      <c r="V567" s="376">
        <f t="shared" si="30"/>
        <v>0</v>
      </c>
      <c r="W567" s="376">
        <f t="shared" si="30"/>
        <v>0</v>
      </c>
      <c r="X567" s="376">
        <f t="shared" si="30"/>
        <v>0</v>
      </c>
      <c r="Y567" s="376">
        <f t="shared" si="30"/>
        <v>0</v>
      </c>
      <c r="Z567" s="376">
        <f t="shared" si="30"/>
        <v>0</v>
      </c>
      <c r="AA567" s="376">
        <f t="shared" si="30"/>
        <v>0</v>
      </c>
      <c r="AB567" s="376">
        <f t="shared" si="30"/>
        <v>0</v>
      </c>
      <c r="AC567" s="376">
        <f t="shared" si="30"/>
        <v>0</v>
      </c>
      <c r="AD567" s="376">
        <f t="shared" si="30"/>
        <v>0</v>
      </c>
      <c r="AE567" s="376">
        <f t="shared" si="30"/>
        <v>0</v>
      </c>
      <c r="AF567" s="376">
        <f t="shared" si="30"/>
        <v>0</v>
      </c>
      <c r="AG567" s="376">
        <f t="shared" si="30"/>
        <v>0</v>
      </c>
      <c r="AH567" s="376">
        <f t="shared" si="30"/>
        <v>0</v>
      </c>
      <c r="AI567" s="376">
        <f t="shared" si="30"/>
        <v>0</v>
      </c>
      <c r="AJ567" s="376">
        <f t="shared" si="30"/>
        <v>0</v>
      </c>
      <c r="AK567" s="376">
        <f t="shared" si="30"/>
        <v>0</v>
      </c>
      <c r="AL567" s="376">
        <f t="shared" si="30"/>
        <v>0</v>
      </c>
      <c r="AM567" s="376">
        <f t="shared" si="30"/>
        <v>0</v>
      </c>
      <c r="AN567" s="376">
        <f t="shared" si="30"/>
        <v>0</v>
      </c>
      <c r="AO567" s="376">
        <f t="shared" si="30"/>
        <v>0</v>
      </c>
    </row>
    <row r="568" spans="1:41" ht="12.75" customHeight="1" x14ac:dyDescent="0.25">
      <c r="C568" s="766"/>
      <c r="D568" s="764"/>
      <c r="E568" s="375" t="s">
        <v>73</v>
      </c>
      <c r="F568" s="376">
        <f>F538</f>
        <v>-20163338.460000001</v>
      </c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</row>
    <row r="569" spans="1:41" ht="12.75" customHeight="1" x14ac:dyDescent="0.25">
      <c r="C569" s="766"/>
      <c r="D569" s="764" t="s">
        <v>133</v>
      </c>
      <c r="E569" s="242" t="s">
        <v>70</v>
      </c>
      <c r="F569" s="243">
        <v>0</v>
      </c>
      <c r="G569" s="243">
        <v>0</v>
      </c>
      <c r="H569" s="243">
        <v>0</v>
      </c>
      <c r="I569" s="243">
        <v>0</v>
      </c>
      <c r="J569" s="243">
        <v>0</v>
      </c>
      <c r="K569" s="243">
        <v>0</v>
      </c>
      <c r="L569" s="243">
        <v>0</v>
      </c>
      <c r="M569" s="243">
        <v>0</v>
      </c>
      <c r="N569" s="243">
        <v>0</v>
      </c>
      <c r="O569" s="243">
        <v>0</v>
      </c>
      <c r="P569" s="243">
        <v>0</v>
      </c>
      <c r="Q569" s="243">
        <v>0</v>
      </c>
      <c r="R569" s="243">
        <v>0</v>
      </c>
      <c r="S569" s="243">
        <v>0</v>
      </c>
      <c r="T569" s="243">
        <v>0</v>
      </c>
      <c r="U569" s="243">
        <v>0</v>
      </c>
      <c r="V569" s="243">
        <v>0</v>
      </c>
      <c r="W569" s="243">
        <v>0</v>
      </c>
      <c r="X569" s="243">
        <v>0</v>
      </c>
      <c r="Y569" s="243">
        <v>0</v>
      </c>
      <c r="Z569" s="243">
        <v>0</v>
      </c>
      <c r="AA569" s="243">
        <v>0</v>
      </c>
      <c r="AB569" s="243">
        <v>0</v>
      </c>
      <c r="AC569" s="243">
        <v>0</v>
      </c>
      <c r="AD569" s="243">
        <v>0</v>
      </c>
      <c r="AE569" s="243">
        <v>0</v>
      </c>
      <c r="AF569" s="243">
        <v>0</v>
      </c>
      <c r="AG569" s="243">
        <v>0</v>
      </c>
      <c r="AH569" s="243">
        <v>0</v>
      </c>
      <c r="AI569" s="243">
        <v>0</v>
      </c>
      <c r="AJ569" s="243">
        <v>0</v>
      </c>
      <c r="AK569" s="243">
        <v>0</v>
      </c>
      <c r="AL569" s="243">
        <v>0</v>
      </c>
      <c r="AM569" s="243">
        <v>0</v>
      </c>
      <c r="AN569" s="243">
        <v>0</v>
      </c>
      <c r="AO569" s="243">
        <v>0</v>
      </c>
    </row>
    <row r="570" spans="1:41" ht="12.75" customHeight="1" x14ac:dyDescent="0.25">
      <c r="C570" s="766"/>
      <c r="D570" s="764"/>
      <c r="E570" s="242" t="s">
        <v>73</v>
      </c>
      <c r="F570" s="243">
        <v>0</v>
      </c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</row>
    <row r="571" spans="1:41" ht="12.75" customHeight="1" x14ac:dyDescent="0.25">
      <c r="C571" s="717"/>
      <c r="D571" s="220"/>
      <c r="E571" s="89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</row>
    <row r="572" spans="1:41" ht="12.75" customHeight="1" x14ac:dyDescent="0.25">
      <c r="C572" s="763" t="s">
        <v>119</v>
      </c>
      <c r="D572" s="764" t="s">
        <v>132</v>
      </c>
      <c r="E572" s="101" t="s">
        <v>70</v>
      </c>
      <c r="F572" s="93">
        <f>F545+F524+F498-L498-L524</f>
        <v>208541075.61000001</v>
      </c>
      <c r="G572" s="93">
        <f t="shared" ref="G572:AO572" si="31">G524+G498</f>
        <v>17046860.98</v>
      </c>
      <c r="H572" s="93">
        <f t="shared" si="31"/>
        <v>9286192.3200000003</v>
      </c>
      <c r="I572" s="93">
        <f t="shared" si="31"/>
        <v>4892903.51</v>
      </c>
      <c r="J572" s="93">
        <f t="shared" si="31"/>
        <v>19648490.920000002</v>
      </c>
      <c r="K572" s="93">
        <f t="shared" si="31"/>
        <v>876438.22</v>
      </c>
      <c r="L572" s="93">
        <f t="shared" si="31"/>
        <v>26713576.390000001</v>
      </c>
      <c r="M572" s="93">
        <f t="shared" si="31"/>
        <v>7687831.7000000002</v>
      </c>
      <c r="N572" s="93">
        <f t="shared" si="31"/>
        <v>8922313.040000001</v>
      </c>
      <c r="O572" s="93">
        <f t="shared" si="31"/>
        <v>45914747.609999999</v>
      </c>
      <c r="P572" s="93">
        <f t="shared" si="31"/>
        <v>50854306</v>
      </c>
      <c r="Q572" s="93">
        <f t="shared" si="31"/>
        <v>1448510.54</v>
      </c>
      <c r="R572" s="93">
        <f t="shared" si="31"/>
        <v>-2096.98</v>
      </c>
      <c r="S572" s="93">
        <f t="shared" si="31"/>
        <v>-0.1</v>
      </c>
      <c r="T572" s="93">
        <f t="shared" si="31"/>
        <v>1.84</v>
      </c>
      <c r="U572" s="93">
        <f t="shared" si="31"/>
        <v>0</v>
      </c>
      <c r="V572" s="93">
        <f t="shared" si="31"/>
        <v>0</v>
      </c>
      <c r="W572" s="93">
        <f t="shared" si="31"/>
        <v>0</v>
      </c>
      <c r="X572" s="93">
        <f t="shared" si="31"/>
        <v>0</v>
      </c>
      <c r="Y572" s="93">
        <f t="shared" si="31"/>
        <v>0</v>
      </c>
      <c r="Z572" s="93">
        <f t="shared" si="31"/>
        <v>-70.33</v>
      </c>
      <c r="AA572" s="93">
        <f t="shared" si="31"/>
        <v>0</v>
      </c>
      <c r="AB572" s="93">
        <f t="shared" si="31"/>
        <v>0</v>
      </c>
      <c r="AC572" s="93">
        <f t="shared" si="31"/>
        <v>0</v>
      </c>
      <c r="AD572" s="93">
        <f t="shared" si="31"/>
        <v>0</v>
      </c>
      <c r="AE572" s="93">
        <f t="shared" si="31"/>
        <v>0</v>
      </c>
      <c r="AF572" s="93">
        <f t="shared" si="31"/>
        <v>0</v>
      </c>
      <c r="AG572" s="93">
        <f t="shared" si="31"/>
        <v>0</v>
      </c>
      <c r="AH572" s="93">
        <f t="shared" si="31"/>
        <v>0</v>
      </c>
      <c r="AI572" s="93">
        <f t="shared" si="31"/>
        <v>0</v>
      </c>
      <c r="AJ572" s="93">
        <f t="shared" si="31"/>
        <v>0</v>
      </c>
      <c r="AK572" s="93">
        <f t="shared" si="31"/>
        <v>0</v>
      </c>
      <c r="AL572" s="93">
        <f t="shared" si="31"/>
        <v>0</v>
      </c>
      <c r="AM572" s="93">
        <f t="shared" si="31"/>
        <v>0</v>
      </c>
      <c r="AN572" s="93">
        <f t="shared" si="31"/>
        <v>0</v>
      </c>
      <c r="AO572" s="93">
        <f t="shared" si="31"/>
        <v>0</v>
      </c>
    </row>
    <row r="573" spans="1:41" ht="12.75" customHeight="1" x14ac:dyDescent="0.25">
      <c r="C573" s="763"/>
      <c r="D573" s="764"/>
      <c r="E573" s="101" t="s">
        <v>73</v>
      </c>
      <c r="F573" s="93">
        <f>F545</f>
        <v>41964646.340000004</v>
      </c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</row>
    <row r="574" spans="1:41" ht="12.75" customHeight="1" x14ac:dyDescent="0.25">
      <c r="C574" s="763"/>
      <c r="D574" s="764" t="s">
        <v>133</v>
      </c>
      <c r="E574" s="235" t="s">
        <v>70</v>
      </c>
      <c r="F574" s="236">
        <f>F531+F505-L505</f>
        <v>61140</v>
      </c>
      <c r="G574" s="236">
        <f>G505</f>
        <v>2566.4299999999998</v>
      </c>
      <c r="H574" s="236">
        <f t="shared" ref="H574:AO574" si="32">H505</f>
        <v>1430.01</v>
      </c>
      <c r="I574" s="236">
        <f t="shared" si="32"/>
        <v>760.56</v>
      </c>
      <c r="J574" s="236">
        <f t="shared" si="32"/>
        <v>11744.12</v>
      </c>
      <c r="K574" s="236">
        <f t="shared" si="32"/>
        <v>584.9</v>
      </c>
      <c r="L574" s="236">
        <f t="shared" si="32"/>
        <v>0</v>
      </c>
      <c r="M574" s="236">
        <f t="shared" si="32"/>
        <v>5130.67</v>
      </c>
      <c r="N574" s="236">
        <f t="shared" si="32"/>
        <v>5018.8999999999996</v>
      </c>
      <c r="O574" s="236">
        <f t="shared" si="32"/>
        <v>25484.97</v>
      </c>
      <c r="P574" s="236">
        <f t="shared" si="32"/>
        <v>7649.02</v>
      </c>
      <c r="Q574" s="236">
        <f t="shared" si="32"/>
        <v>954.31</v>
      </c>
      <c r="R574" s="236">
        <f t="shared" si="32"/>
        <v>-4.74</v>
      </c>
      <c r="S574" s="236">
        <f t="shared" si="32"/>
        <v>0</v>
      </c>
      <c r="T574" s="236">
        <f t="shared" si="32"/>
        <v>0</v>
      </c>
      <c r="U574" s="236">
        <f t="shared" si="32"/>
        <v>0</v>
      </c>
      <c r="V574" s="236">
        <f t="shared" si="32"/>
        <v>0</v>
      </c>
      <c r="W574" s="236">
        <f t="shared" si="32"/>
        <v>0</v>
      </c>
      <c r="X574" s="236">
        <f t="shared" si="32"/>
        <v>0</v>
      </c>
      <c r="Y574" s="236">
        <f t="shared" si="32"/>
        <v>0</v>
      </c>
      <c r="Z574" s="236">
        <f t="shared" si="32"/>
        <v>0</v>
      </c>
      <c r="AA574" s="236">
        <f t="shared" si="32"/>
        <v>0</v>
      </c>
      <c r="AB574" s="236">
        <f t="shared" si="32"/>
        <v>0</v>
      </c>
      <c r="AC574" s="236">
        <f t="shared" si="32"/>
        <v>0</v>
      </c>
      <c r="AD574" s="236">
        <f t="shared" si="32"/>
        <v>0</v>
      </c>
      <c r="AE574" s="236">
        <f t="shared" si="32"/>
        <v>0</v>
      </c>
      <c r="AF574" s="236">
        <f t="shared" si="32"/>
        <v>0</v>
      </c>
      <c r="AG574" s="236">
        <f t="shared" si="32"/>
        <v>0</v>
      </c>
      <c r="AH574" s="236">
        <f t="shared" si="32"/>
        <v>0</v>
      </c>
      <c r="AI574" s="236">
        <f t="shared" si="32"/>
        <v>0</v>
      </c>
      <c r="AJ574" s="236">
        <f t="shared" si="32"/>
        <v>0</v>
      </c>
      <c r="AK574" s="236">
        <f t="shared" si="32"/>
        <v>0</v>
      </c>
      <c r="AL574" s="236">
        <f t="shared" si="32"/>
        <v>0</v>
      </c>
      <c r="AM574" s="236">
        <f t="shared" si="32"/>
        <v>0</v>
      </c>
      <c r="AN574" s="236">
        <f t="shared" si="32"/>
        <v>0</v>
      </c>
      <c r="AO574" s="236">
        <f t="shared" si="32"/>
        <v>0</v>
      </c>
    </row>
    <row r="575" spans="1:41" ht="12.75" customHeight="1" x14ac:dyDescent="0.25">
      <c r="C575" s="763"/>
      <c r="D575" s="764"/>
      <c r="E575" s="235" t="s">
        <v>73</v>
      </c>
      <c r="F575" s="236">
        <f>F531</f>
        <v>-179.15</v>
      </c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</row>
    <row r="576" spans="1:41" ht="12.75" customHeight="1" x14ac:dyDescent="0.3">
      <c r="A576" s="89"/>
      <c r="C576" s="97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</row>
    <row r="577" spans="3:41" ht="12.75" customHeight="1" x14ac:dyDescent="0.25">
      <c r="C577" s="765" t="s">
        <v>161</v>
      </c>
      <c r="D577" s="764" t="s">
        <v>132</v>
      </c>
      <c r="E577" s="231" t="s">
        <v>70</v>
      </c>
      <c r="F577" s="232">
        <v>0</v>
      </c>
      <c r="G577" s="232">
        <v>0</v>
      </c>
      <c r="H577" s="232">
        <v>0</v>
      </c>
      <c r="I577" s="232">
        <v>0</v>
      </c>
      <c r="J577" s="232">
        <v>0</v>
      </c>
      <c r="K577" s="232">
        <v>0</v>
      </c>
      <c r="L577" s="232">
        <v>0</v>
      </c>
      <c r="M577" s="232">
        <v>0</v>
      </c>
      <c r="N577" s="232">
        <v>0</v>
      </c>
      <c r="O577" s="232">
        <v>0</v>
      </c>
      <c r="P577" s="232">
        <v>0</v>
      </c>
      <c r="Q577" s="232">
        <v>0</v>
      </c>
      <c r="R577" s="232">
        <v>0</v>
      </c>
      <c r="S577" s="232">
        <v>0</v>
      </c>
      <c r="T577" s="232">
        <v>0</v>
      </c>
      <c r="U577" s="232"/>
      <c r="V577" s="232"/>
      <c r="W577" s="232"/>
      <c r="X577" s="232">
        <v>0</v>
      </c>
      <c r="Y577" s="232">
        <v>0</v>
      </c>
      <c r="Z577" s="232">
        <v>0</v>
      </c>
      <c r="AA577" s="232">
        <v>0</v>
      </c>
      <c r="AB577" s="232">
        <v>0</v>
      </c>
      <c r="AC577" s="232">
        <v>0</v>
      </c>
      <c r="AD577" s="232">
        <v>0</v>
      </c>
      <c r="AE577" s="232">
        <v>0</v>
      </c>
      <c r="AF577" s="232">
        <v>0</v>
      </c>
      <c r="AG577" s="232">
        <v>0</v>
      </c>
      <c r="AH577" s="232">
        <v>0</v>
      </c>
      <c r="AI577" s="232">
        <v>0</v>
      </c>
      <c r="AJ577" s="232">
        <v>0</v>
      </c>
      <c r="AK577" s="232">
        <v>0</v>
      </c>
      <c r="AL577" s="232">
        <v>0</v>
      </c>
      <c r="AM577" s="232">
        <v>0</v>
      </c>
      <c r="AN577" s="232">
        <v>0</v>
      </c>
      <c r="AO577" s="232">
        <v>0</v>
      </c>
    </row>
    <row r="578" spans="3:41" ht="12.75" customHeight="1" x14ac:dyDescent="0.25">
      <c r="C578" s="765"/>
      <c r="D578" s="764"/>
      <c r="E578" s="231" t="s">
        <v>73</v>
      </c>
      <c r="F578" s="232">
        <v>0</v>
      </c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</row>
    <row r="579" spans="3:41" ht="12.75" customHeight="1" x14ac:dyDescent="0.25">
      <c r="C579" s="765"/>
      <c r="E579" s="148" t="s">
        <v>70</v>
      </c>
      <c r="F579" s="149">
        <v>0</v>
      </c>
      <c r="G579" s="149">
        <v>0</v>
      </c>
      <c r="H579" s="149">
        <v>0</v>
      </c>
      <c r="I579" s="149">
        <v>0</v>
      </c>
      <c r="J579" s="149">
        <v>0</v>
      </c>
      <c r="K579" s="149">
        <v>0</v>
      </c>
      <c r="L579" s="149">
        <v>0</v>
      </c>
      <c r="M579" s="149">
        <v>0</v>
      </c>
      <c r="N579" s="149">
        <v>0</v>
      </c>
      <c r="O579" s="149">
        <v>0</v>
      </c>
      <c r="P579" s="149">
        <v>0</v>
      </c>
      <c r="Q579" s="149">
        <v>0</v>
      </c>
      <c r="R579" s="149">
        <v>0</v>
      </c>
      <c r="S579" s="149">
        <v>0</v>
      </c>
      <c r="T579" s="149">
        <v>0</v>
      </c>
      <c r="U579" s="149"/>
      <c r="V579" s="149"/>
      <c r="W579" s="149"/>
      <c r="X579" s="149">
        <v>0</v>
      </c>
      <c r="Y579" s="149">
        <v>0</v>
      </c>
      <c r="Z579" s="149">
        <v>0</v>
      </c>
      <c r="AA579" s="149">
        <v>0</v>
      </c>
    </row>
    <row r="580" spans="3:41" ht="12.75" customHeight="1" x14ac:dyDescent="0.25">
      <c r="C580" s="765"/>
      <c r="D580" s="220" t="s">
        <v>132</v>
      </c>
      <c r="E580" s="148" t="s">
        <v>73</v>
      </c>
      <c r="F580" s="149">
        <v>0</v>
      </c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</row>
    <row r="581" spans="3:41" ht="12.75" customHeight="1" x14ac:dyDescent="0.25">
      <c r="C581" s="390"/>
      <c r="D581" s="220"/>
      <c r="E581" s="89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</row>
    <row r="582" spans="3:41" ht="12.75" customHeight="1" x14ac:dyDescent="0.25">
      <c r="D582" s="460" t="s">
        <v>185</v>
      </c>
      <c r="E582" s="461" t="s">
        <v>70</v>
      </c>
      <c r="F582" s="462">
        <f>F500</f>
        <v>-29681.86</v>
      </c>
      <c r="G582" s="462">
        <f t="shared" ref="G582:AA582" si="33">G500</f>
        <v>-2042.55</v>
      </c>
      <c r="H582" s="462">
        <f t="shared" si="33"/>
        <v>-867.73</v>
      </c>
      <c r="I582" s="462">
        <f t="shared" si="33"/>
        <v>-378.94</v>
      </c>
      <c r="J582" s="462">
        <f t="shared" si="33"/>
        <v>-5515.52</v>
      </c>
      <c r="K582" s="462">
        <f t="shared" si="33"/>
        <v>-317.57</v>
      </c>
      <c r="L582" s="462">
        <f t="shared" si="33"/>
        <v>0</v>
      </c>
      <c r="M582" s="462">
        <f t="shared" si="33"/>
        <v>-2785.77</v>
      </c>
      <c r="N582" s="462">
        <f t="shared" si="33"/>
        <v>-2498.4499999999998</v>
      </c>
      <c r="O582" s="462">
        <f t="shared" si="33"/>
        <v>-9132.41</v>
      </c>
      <c r="P582" s="462">
        <f t="shared" si="33"/>
        <v>-5624.76</v>
      </c>
      <c r="Q582" s="462">
        <f t="shared" si="33"/>
        <v>-518.16</v>
      </c>
      <c r="R582" s="462">
        <f t="shared" si="33"/>
        <v>0</v>
      </c>
      <c r="S582" s="462">
        <f t="shared" si="33"/>
        <v>0</v>
      </c>
      <c r="T582" s="462">
        <f t="shared" si="33"/>
        <v>0</v>
      </c>
      <c r="U582" s="462">
        <f t="shared" si="33"/>
        <v>0</v>
      </c>
      <c r="V582" s="462">
        <f t="shared" si="33"/>
        <v>0</v>
      </c>
      <c r="W582" s="462">
        <f t="shared" si="33"/>
        <v>0</v>
      </c>
      <c r="X582" s="462">
        <f t="shared" si="33"/>
        <v>0</v>
      </c>
      <c r="Y582" s="462">
        <f t="shared" si="33"/>
        <v>0</v>
      </c>
      <c r="Z582" s="462">
        <f t="shared" si="33"/>
        <v>0</v>
      </c>
      <c r="AA582" s="462">
        <f t="shared" si="33"/>
        <v>0</v>
      </c>
    </row>
    <row r="583" spans="3:41" ht="12.75" customHeight="1" x14ac:dyDescent="0.25">
      <c r="C583" s="390"/>
      <c r="D583" s="220"/>
      <c r="E583" s="89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</row>
    <row r="584" spans="3:41" s="238" customFormat="1" ht="12.75" customHeight="1" x14ac:dyDescent="0.25">
      <c r="D584" s="239"/>
      <c r="E584" s="240"/>
      <c r="F584" s="240"/>
      <c r="G584" s="240"/>
      <c r="H584" s="240"/>
      <c r="I584" s="240"/>
      <c r="J584" s="240"/>
      <c r="K584" s="240"/>
      <c r="L584" s="240"/>
      <c r="M584" s="240"/>
      <c r="N584" s="240"/>
      <c r="O584" s="240"/>
      <c r="P584" s="240"/>
      <c r="Q584" s="240"/>
    </row>
  </sheetData>
  <mergeCells count="87">
    <mergeCell ref="D569:D570"/>
    <mergeCell ref="C483:C486"/>
    <mergeCell ref="C463:C466"/>
    <mergeCell ref="D463:D464"/>
    <mergeCell ref="D465:D466"/>
    <mergeCell ref="C468:C471"/>
    <mergeCell ref="D468:D469"/>
    <mergeCell ref="D470:D471"/>
    <mergeCell ref="C478:C481"/>
    <mergeCell ref="D478:D479"/>
    <mergeCell ref="D480:D481"/>
    <mergeCell ref="D483:D484"/>
    <mergeCell ref="C473:C476"/>
    <mergeCell ref="D473:D474"/>
    <mergeCell ref="D475:D476"/>
    <mergeCell ref="C458:C461"/>
    <mergeCell ref="D458:D459"/>
    <mergeCell ref="D460:D461"/>
    <mergeCell ref="C330:C333"/>
    <mergeCell ref="D330:D331"/>
    <mergeCell ref="D332:D333"/>
    <mergeCell ref="C335:C338"/>
    <mergeCell ref="D335:D336"/>
    <mergeCell ref="D337:D338"/>
    <mergeCell ref="C345:C348"/>
    <mergeCell ref="D345:D346"/>
    <mergeCell ref="D347:D348"/>
    <mergeCell ref="C350:C353"/>
    <mergeCell ref="D350:D351"/>
    <mergeCell ref="D352:D353"/>
    <mergeCell ref="C340:C343"/>
    <mergeCell ref="D69:D70"/>
    <mergeCell ref="C52:C55"/>
    <mergeCell ref="C57:C60"/>
    <mergeCell ref="D188:D189"/>
    <mergeCell ref="C47:C50"/>
    <mergeCell ref="D47:D48"/>
    <mergeCell ref="D49:D50"/>
    <mergeCell ref="C67:C70"/>
    <mergeCell ref="D52:D53"/>
    <mergeCell ref="D54:D55"/>
    <mergeCell ref="D57:D58"/>
    <mergeCell ref="D59:D60"/>
    <mergeCell ref="D67:D68"/>
    <mergeCell ref="C62:C65"/>
    <mergeCell ref="D62:D63"/>
    <mergeCell ref="D64:D65"/>
    <mergeCell ref="D193:D194"/>
    <mergeCell ref="D203:D204"/>
    <mergeCell ref="C72:C75"/>
    <mergeCell ref="D72:D73"/>
    <mergeCell ref="D74:D75"/>
    <mergeCell ref="C181:C184"/>
    <mergeCell ref="D181:D182"/>
    <mergeCell ref="D183:D184"/>
    <mergeCell ref="C186:C189"/>
    <mergeCell ref="D186:D187"/>
    <mergeCell ref="D191:D192"/>
    <mergeCell ref="C191:C194"/>
    <mergeCell ref="C201:C204"/>
    <mergeCell ref="D201:D202"/>
    <mergeCell ref="C577:C580"/>
    <mergeCell ref="C552:C555"/>
    <mergeCell ref="D552:D553"/>
    <mergeCell ref="D554:D555"/>
    <mergeCell ref="C557:C560"/>
    <mergeCell ref="D557:D558"/>
    <mergeCell ref="D559:D560"/>
    <mergeCell ref="C562:C565"/>
    <mergeCell ref="D562:D563"/>
    <mergeCell ref="D564:D565"/>
    <mergeCell ref="C572:C575"/>
    <mergeCell ref="D572:D573"/>
    <mergeCell ref="D574:D575"/>
    <mergeCell ref="D577:D578"/>
    <mergeCell ref="C567:C570"/>
    <mergeCell ref="D567:D568"/>
    <mergeCell ref="D340:D341"/>
    <mergeCell ref="D342:D343"/>
    <mergeCell ref="C196:C199"/>
    <mergeCell ref="D196:D197"/>
    <mergeCell ref="D198:D199"/>
    <mergeCell ref="C206:C209"/>
    <mergeCell ref="D206:D207"/>
    <mergeCell ref="C325:C328"/>
    <mergeCell ref="D325:D326"/>
    <mergeCell ref="D327:D328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432"/>
  <sheetViews>
    <sheetView zoomScaleNormal="100" workbookViewId="0">
      <pane ySplit="2" topLeftCell="A3" activePane="bottomLeft" state="frozen"/>
      <selection activeCell="A6" sqref="A6"/>
      <selection pane="bottomLeft" activeCell="A6" sqref="A6"/>
    </sheetView>
  </sheetViews>
  <sheetFormatPr baseColWidth="10" defaultRowHeight="12.5" x14ac:dyDescent="0.25"/>
  <cols>
    <col min="2" max="2" width="22.453125" bestFit="1" customWidth="1"/>
    <col min="3" max="3" width="18.7265625" customWidth="1"/>
    <col min="4" max="4" width="23.26953125" bestFit="1" customWidth="1"/>
    <col min="5" max="5" width="15.26953125" bestFit="1" customWidth="1"/>
    <col min="6" max="6" width="15.453125" bestFit="1" customWidth="1"/>
    <col min="7" max="8" width="16.26953125" bestFit="1" customWidth="1"/>
    <col min="9" max="9" width="15.26953125" bestFit="1" customWidth="1"/>
    <col min="10" max="10" width="17" bestFit="1" customWidth="1"/>
    <col min="11" max="11" width="13.54296875" bestFit="1" customWidth="1"/>
    <col min="12" max="12" width="15.54296875" bestFit="1" customWidth="1"/>
    <col min="13" max="15" width="15.26953125" bestFit="1" customWidth="1"/>
    <col min="16" max="16" width="20.453125" bestFit="1" customWidth="1"/>
    <col min="17" max="17" width="11.54296875" customWidth="1"/>
    <col min="18" max="18" width="13.54296875" bestFit="1" customWidth="1"/>
  </cols>
  <sheetData>
    <row r="1" spans="1:18" ht="13" x14ac:dyDescent="0.3">
      <c r="B1" s="97" t="s">
        <v>74</v>
      </c>
    </row>
    <row r="2" spans="1:18" ht="12.75" customHeight="1" x14ac:dyDescent="0.25">
      <c r="E2" s="89" t="s">
        <v>70</v>
      </c>
      <c r="F2" s="89" t="s">
        <v>64</v>
      </c>
      <c r="G2" s="89" t="s">
        <v>65</v>
      </c>
      <c r="H2" s="219" t="s">
        <v>164</v>
      </c>
      <c r="I2" s="89" t="s">
        <v>69</v>
      </c>
      <c r="J2" s="89" t="s">
        <v>68</v>
      </c>
      <c r="K2" s="89" t="s">
        <v>83</v>
      </c>
      <c r="L2" s="89" t="s">
        <v>66</v>
      </c>
      <c r="M2" s="89" t="s">
        <v>63</v>
      </c>
      <c r="N2" s="89" t="s">
        <v>61</v>
      </c>
      <c r="O2" s="89" t="s">
        <v>62</v>
      </c>
      <c r="P2" s="89" t="s">
        <v>67</v>
      </c>
      <c r="Q2" s="89" t="s">
        <v>84</v>
      </c>
      <c r="R2" s="386" t="s">
        <v>224</v>
      </c>
    </row>
    <row r="3" spans="1:18" ht="12.75" customHeight="1" x14ac:dyDescent="0.25">
      <c r="D3" t="s">
        <v>72</v>
      </c>
      <c r="E3" s="386">
        <v>29113116.190000001</v>
      </c>
      <c r="F3" s="89">
        <v>1628607.22</v>
      </c>
      <c r="G3" s="89">
        <v>888839.63</v>
      </c>
      <c r="H3" s="386">
        <v>520100</v>
      </c>
      <c r="I3" s="89">
        <v>4494462.8499999996</v>
      </c>
      <c r="J3" s="89">
        <v>206660.7</v>
      </c>
      <c r="K3" s="89">
        <v>0</v>
      </c>
      <c r="L3" s="89">
        <v>2285816.44</v>
      </c>
      <c r="M3" s="89">
        <v>2318036.17</v>
      </c>
      <c r="N3" s="89">
        <v>11916209.890000001</v>
      </c>
      <c r="O3" s="89">
        <v>4523138.78</v>
      </c>
      <c r="P3" s="89">
        <v>331271.2</v>
      </c>
      <c r="Q3" s="89">
        <v>-26.69</v>
      </c>
      <c r="R3">
        <v>0</v>
      </c>
    </row>
    <row r="4" spans="1:18" ht="12.75" customHeight="1" x14ac:dyDescent="0.25">
      <c r="D4" t="s">
        <v>81</v>
      </c>
      <c r="E4">
        <v>1903.01</v>
      </c>
      <c r="F4">
        <v>73.459999999999994</v>
      </c>
      <c r="G4">
        <v>40.200000000000003</v>
      </c>
      <c r="H4">
        <v>21.55</v>
      </c>
      <c r="I4">
        <v>326.7</v>
      </c>
      <c r="J4">
        <v>21.37</v>
      </c>
      <c r="K4">
        <v>0</v>
      </c>
      <c r="L4">
        <v>192.26</v>
      </c>
      <c r="M4">
        <v>174.97</v>
      </c>
      <c r="N4">
        <v>818.31</v>
      </c>
      <c r="O4">
        <v>199.3</v>
      </c>
      <c r="P4">
        <v>34.85</v>
      </c>
      <c r="Q4">
        <v>0.04</v>
      </c>
      <c r="R4">
        <v>0</v>
      </c>
    </row>
    <row r="5" spans="1:18" ht="12.75" customHeight="1" x14ac:dyDescent="0.25">
      <c r="C5" t="s">
        <v>156</v>
      </c>
      <c r="D5" t="s">
        <v>70</v>
      </c>
      <c r="E5">
        <v>29115019.199999999</v>
      </c>
      <c r="F5">
        <v>1628680.68</v>
      </c>
      <c r="G5">
        <v>888879.83</v>
      </c>
      <c r="H5">
        <v>520121.55</v>
      </c>
      <c r="I5">
        <v>4494789.55</v>
      </c>
      <c r="J5">
        <v>206682.07</v>
      </c>
      <c r="K5">
        <v>0</v>
      </c>
      <c r="L5">
        <v>2286008.7000000002</v>
      </c>
      <c r="M5">
        <v>2318211.14</v>
      </c>
      <c r="N5">
        <v>11917028.199999999</v>
      </c>
      <c r="O5">
        <v>4523338.08</v>
      </c>
      <c r="P5">
        <v>331306.05</v>
      </c>
      <c r="Q5">
        <v>-26.65</v>
      </c>
      <c r="R5">
        <v>0</v>
      </c>
    </row>
    <row r="6" spans="1:18" s="288" customFormat="1" ht="12.75" customHeight="1" x14ac:dyDescent="0.25">
      <c r="B6" s="288" t="s">
        <v>155</v>
      </c>
      <c r="C6" s="288" t="s">
        <v>70</v>
      </c>
      <c r="E6" s="288">
        <v>29115019.199999999</v>
      </c>
      <c r="F6" s="288">
        <v>1628680.68</v>
      </c>
      <c r="G6" s="288">
        <v>888879.83</v>
      </c>
      <c r="H6" s="288">
        <v>520121.55</v>
      </c>
      <c r="I6" s="288">
        <v>4494789.55</v>
      </c>
      <c r="J6" s="288">
        <v>206682.07</v>
      </c>
      <c r="K6" s="288">
        <v>0</v>
      </c>
      <c r="L6" s="288">
        <v>2286008.7000000002</v>
      </c>
      <c r="M6" s="288">
        <v>2318211.14</v>
      </c>
      <c r="N6" s="288">
        <v>11917028.199999999</v>
      </c>
      <c r="O6" s="288">
        <v>4523338.08</v>
      </c>
      <c r="P6" s="288">
        <v>331306.05</v>
      </c>
      <c r="Q6" s="288">
        <v>-26.65</v>
      </c>
      <c r="R6" s="288">
        <v>0</v>
      </c>
    </row>
    <row r="7" spans="1:18" ht="12.75" customHeight="1" x14ac:dyDescent="0.25">
      <c r="B7" s="142"/>
      <c r="D7" t="s">
        <v>72</v>
      </c>
      <c r="E7" s="142">
        <v>793692.13</v>
      </c>
      <c r="F7">
        <v>30716.86</v>
      </c>
      <c r="G7">
        <v>16909.04</v>
      </c>
      <c r="H7">
        <v>9688.4</v>
      </c>
      <c r="I7">
        <v>151298.66</v>
      </c>
      <c r="J7">
        <v>7470.71</v>
      </c>
      <c r="K7">
        <v>0</v>
      </c>
      <c r="L7">
        <v>68892.289999999994</v>
      </c>
      <c r="M7">
        <v>68745.87</v>
      </c>
      <c r="N7">
        <v>346268.88</v>
      </c>
      <c r="O7">
        <v>81506.789999999994</v>
      </c>
      <c r="P7">
        <v>12188.93</v>
      </c>
      <c r="Q7">
        <v>5.7</v>
      </c>
      <c r="R7">
        <v>0</v>
      </c>
    </row>
    <row r="8" spans="1:18" ht="12.75" customHeight="1" x14ac:dyDescent="0.25">
      <c r="B8" s="142"/>
      <c r="D8" t="s">
        <v>81</v>
      </c>
      <c r="E8" s="142">
        <v>390.56</v>
      </c>
      <c r="F8">
        <v>13.47</v>
      </c>
      <c r="G8">
        <v>6.62</v>
      </c>
      <c r="H8">
        <v>4.12</v>
      </c>
      <c r="I8">
        <v>56.72</v>
      </c>
      <c r="J8">
        <v>4.51</v>
      </c>
      <c r="K8">
        <v>0</v>
      </c>
      <c r="L8">
        <v>39.61</v>
      </c>
      <c r="M8">
        <v>38.85</v>
      </c>
      <c r="N8">
        <v>182.43</v>
      </c>
      <c r="O8">
        <v>36.86</v>
      </c>
      <c r="P8">
        <v>7.36</v>
      </c>
      <c r="Q8">
        <v>0.01</v>
      </c>
      <c r="R8">
        <v>0</v>
      </c>
    </row>
    <row r="9" spans="1:18" ht="12.75" customHeight="1" x14ac:dyDescent="0.25">
      <c r="B9" s="142"/>
      <c r="C9" t="s">
        <v>82</v>
      </c>
      <c r="D9" t="s">
        <v>70</v>
      </c>
      <c r="E9" s="142">
        <v>794082.69</v>
      </c>
      <c r="F9">
        <v>30730.33</v>
      </c>
      <c r="G9">
        <v>16915.66</v>
      </c>
      <c r="H9">
        <v>9692.52</v>
      </c>
      <c r="I9">
        <v>151355.38</v>
      </c>
      <c r="J9">
        <v>7475.22</v>
      </c>
      <c r="K9">
        <v>0</v>
      </c>
      <c r="L9">
        <v>68931.899999999994</v>
      </c>
      <c r="M9">
        <v>68784.72</v>
      </c>
      <c r="N9">
        <v>346451.31</v>
      </c>
      <c r="O9">
        <v>81543.649999999994</v>
      </c>
      <c r="P9">
        <v>12196.29</v>
      </c>
      <c r="Q9">
        <v>5.71</v>
      </c>
      <c r="R9">
        <v>0</v>
      </c>
    </row>
    <row r="10" spans="1:18" ht="12.75" customHeight="1" x14ac:dyDescent="0.25">
      <c r="B10" s="142"/>
      <c r="D10" t="s">
        <v>72</v>
      </c>
      <c r="E10">
        <v>462871.22</v>
      </c>
      <c r="F10">
        <v>17750.61</v>
      </c>
      <c r="G10">
        <v>9935.1200000000008</v>
      </c>
      <c r="H10">
        <v>5797.01</v>
      </c>
      <c r="I10">
        <v>63590.58</v>
      </c>
      <c r="J10">
        <v>4697.55</v>
      </c>
      <c r="K10">
        <v>0</v>
      </c>
      <c r="L10">
        <v>43276.6</v>
      </c>
      <c r="M10">
        <v>42645.09</v>
      </c>
      <c r="N10">
        <v>218816.26</v>
      </c>
      <c r="O10">
        <v>48699.89</v>
      </c>
      <c r="P10">
        <v>7664.33</v>
      </c>
      <c r="Q10">
        <v>-1.82</v>
      </c>
      <c r="R10">
        <v>0</v>
      </c>
    </row>
    <row r="11" spans="1:18" ht="12.75" customHeight="1" x14ac:dyDescent="0.25">
      <c r="B11" s="142"/>
      <c r="C11" t="s">
        <v>86</v>
      </c>
      <c r="D11" t="s">
        <v>70</v>
      </c>
      <c r="E11" s="142">
        <v>462871.22</v>
      </c>
      <c r="F11">
        <v>17750.61</v>
      </c>
      <c r="G11">
        <v>9935.1200000000008</v>
      </c>
      <c r="H11">
        <v>5797.01</v>
      </c>
      <c r="I11">
        <v>63590.58</v>
      </c>
      <c r="J11">
        <v>4697.55</v>
      </c>
      <c r="K11">
        <v>0</v>
      </c>
      <c r="L11">
        <v>43276.6</v>
      </c>
      <c r="M11">
        <v>42645.09</v>
      </c>
      <c r="N11">
        <v>218816.26</v>
      </c>
      <c r="O11">
        <v>48699.89</v>
      </c>
      <c r="P11">
        <v>7664.33</v>
      </c>
      <c r="Q11">
        <v>-1.82</v>
      </c>
      <c r="R11">
        <v>0</v>
      </c>
    </row>
    <row r="12" spans="1:18" ht="12.75" customHeight="1" x14ac:dyDescent="0.25">
      <c r="B12" s="142"/>
      <c r="D12" t="s">
        <v>72</v>
      </c>
      <c r="E12" s="142">
        <v>2198318.92</v>
      </c>
      <c r="F12">
        <v>188049.69</v>
      </c>
      <c r="G12">
        <v>89756.71</v>
      </c>
      <c r="H12">
        <v>48201.07</v>
      </c>
      <c r="I12">
        <v>310657.06</v>
      </c>
      <c r="J12">
        <v>11520.24</v>
      </c>
      <c r="K12">
        <v>0</v>
      </c>
      <c r="L12">
        <v>108962.88</v>
      </c>
      <c r="M12">
        <v>96743.8</v>
      </c>
      <c r="N12">
        <v>469156.33</v>
      </c>
      <c r="O12">
        <v>856474.39</v>
      </c>
      <c r="P12">
        <v>18795.96</v>
      </c>
      <c r="Q12">
        <v>0.79</v>
      </c>
      <c r="R12">
        <v>0</v>
      </c>
    </row>
    <row r="13" spans="1:18" ht="12.75" customHeight="1" x14ac:dyDescent="0.25">
      <c r="B13" s="142"/>
      <c r="D13" t="s">
        <v>81</v>
      </c>
      <c r="E13" s="142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ht="12.75" customHeight="1" x14ac:dyDescent="0.25">
      <c r="B14" s="142"/>
      <c r="C14" s="89" t="s">
        <v>87</v>
      </c>
      <c r="D14" s="89" t="s">
        <v>70</v>
      </c>
      <c r="E14" s="90">
        <v>2198318.92</v>
      </c>
      <c r="F14" s="90">
        <v>188049.69</v>
      </c>
      <c r="G14" s="90">
        <v>89756.71</v>
      </c>
      <c r="H14" s="90">
        <v>48201.07</v>
      </c>
      <c r="I14" s="90">
        <v>310657.06</v>
      </c>
      <c r="J14" s="90">
        <v>11520.24</v>
      </c>
      <c r="K14" s="90">
        <v>0</v>
      </c>
      <c r="L14" s="90">
        <v>108962.88</v>
      </c>
      <c r="M14" s="90">
        <v>96743.8</v>
      </c>
      <c r="N14" s="90">
        <v>469156.33</v>
      </c>
      <c r="O14" s="90">
        <v>856474.39</v>
      </c>
      <c r="P14" s="90">
        <v>18795.96</v>
      </c>
      <c r="Q14" s="90">
        <v>0.79</v>
      </c>
      <c r="R14">
        <v>0</v>
      </c>
    </row>
    <row r="15" spans="1:18" s="94" customFormat="1" ht="12.75" customHeight="1" x14ac:dyDescent="0.25">
      <c r="B15" s="101" t="s">
        <v>119</v>
      </c>
      <c r="C15" s="101" t="s">
        <v>70</v>
      </c>
      <c r="E15" s="93">
        <v>3455272.83</v>
      </c>
      <c r="F15" s="93">
        <v>236530.63</v>
      </c>
      <c r="G15" s="93">
        <v>116607.49</v>
      </c>
      <c r="H15" s="93">
        <v>63690.6</v>
      </c>
      <c r="I15" s="93">
        <v>525603.02</v>
      </c>
      <c r="J15" s="93">
        <v>23693.01</v>
      </c>
      <c r="K15" s="93">
        <v>0</v>
      </c>
      <c r="L15" s="93">
        <v>221171.38</v>
      </c>
      <c r="M15" s="93">
        <v>208173.61</v>
      </c>
      <c r="N15" s="93">
        <v>1034423.9</v>
      </c>
      <c r="O15" s="93">
        <v>986717.93</v>
      </c>
      <c r="P15" s="93">
        <v>38656.58</v>
      </c>
      <c r="Q15" s="93">
        <v>4.68</v>
      </c>
      <c r="R15" s="94">
        <v>0</v>
      </c>
    </row>
    <row r="16" spans="1:18" s="226" customFormat="1" ht="12.75" customHeight="1" x14ac:dyDescent="0.25">
      <c r="A16" s="98" t="s">
        <v>78</v>
      </c>
      <c r="B16" s="98" t="s">
        <v>70</v>
      </c>
      <c r="E16" s="100">
        <v>32570292.030000001</v>
      </c>
      <c r="F16" s="100">
        <v>1865211.31</v>
      </c>
      <c r="G16" s="100">
        <v>1005487.32</v>
      </c>
      <c r="H16" s="100">
        <v>583812.15</v>
      </c>
      <c r="I16" s="100">
        <v>5020392.57</v>
      </c>
      <c r="J16" s="100">
        <v>230375.08</v>
      </c>
      <c r="K16" s="100">
        <v>0</v>
      </c>
      <c r="L16" s="100">
        <v>2507180.08</v>
      </c>
      <c r="M16" s="100">
        <v>2526384.75</v>
      </c>
      <c r="N16" s="100">
        <v>12951452.1</v>
      </c>
      <c r="O16" s="100">
        <v>5510056.0099999998</v>
      </c>
      <c r="P16" s="100">
        <v>369962.63</v>
      </c>
      <c r="Q16" s="100">
        <v>-21.97</v>
      </c>
      <c r="R16" s="226">
        <v>0</v>
      </c>
    </row>
    <row r="17" spans="1:18" ht="12.75" customHeight="1" x14ac:dyDescent="0.25">
      <c r="D17" s="89" t="s">
        <v>73</v>
      </c>
      <c r="E17" s="373">
        <v>1139503.23</v>
      </c>
      <c r="F17" s="90">
        <v>264067.13</v>
      </c>
      <c r="G17" s="90">
        <v>147039.04999999999</v>
      </c>
      <c r="H17" s="90">
        <v>72868.600000000006</v>
      </c>
      <c r="I17" s="90">
        <v>-136480.29999999999</v>
      </c>
      <c r="J17" s="90">
        <v>3896.46</v>
      </c>
      <c r="K17" s="90">
        <v>0</v>
      </c>
      <c r="L17" s="90">
        <v>-61838.04</v>
      </c>
      <c r="M17" s="90">
        <v>-5695.54</v>
      </c>
      <c r="N17" s="90">
        <v>107985.49</v>
      </c>
      <c r="O17" s="90">
        <v>741490.48</v>
      </c>
      <c r="P17" s="90">
        <v>6169.9</v>
      </c>
      <c r="Q17" s="90">
        <v>0</v>
      </c>
      <c r="R17">
        <v>0</v>
      </c>
    </row>
    <row r="18" spans="1:18" ht="12.75" customHeight="1" x14ac:dyDescent="0.25">
      <c r="C18" s="89" t="s">
        <v>156</v>
      </c>
      <c r="D18" s="89" t="s">
        <v>70</v>
      </c>
      <c r="E18" s="90">
        <v>1139503.23</v>
      </c>
      <c r="F18" s="90">
        <v>264067.13</v>
      </c>
      <c r="G18" s="90">
        <v>147039.04999999999</v>
      </c>
      <c r="H18" s="90">
        <v>72868.600000000006</v>
      </c>
      <c r="I18" s="90">
        <v>-136480.29999999999</v>
      </c>
      <c r="J18" s="90">
        <v>3896.46</v>
      </c>
      <c r="K18" s="90">
        <v>0</v>
      </c>
      <c r="L18" s="90">
        <v>-61838.04</v>
      </c>
      <c r="M18" s="90">
        <v>-5695.54</v>
      </c>
      <c r="N18" s="90">
        <v>107985.49</v>
      </c>
      <c r="O18" s="90">
        <v>741490.48</v>
      </c>
      <c r="P18" s="90">
        <v>6169.9</v>
      </c>
      <c r="Q18" s="90">
        <v>0</v>
      </c>
      <c r="R18">
        <v>0</v>
      </c>
    </row>
    <row r="19" spans="1:18" s="288" customFormat="1" ht="12.75" customHeight="1" x14ac:dyDescent="0.25">
      <c r="B19" s="288" t="s">
        <v>155</v>
      </c>
      <c r="C19" s="288" t="s">
        <v>70</v>
      </c>
      <c r="E19" s="288">
        <v>1139503.23</v>
      </c>
      <c r="F19" s="288">
        <v>264067.13</v>
      </c>
      <c r="G19" s="288">
        <v>147039.04999999999</v>
      </c>
      <c r="H19" s="288">
        <v>72868.600000000006</v>
      </c>
      <c r="I19" s="288">
        <v>-136480.29999999999</v>
      </c>
      <c r="J19" s="288">
        <v>3896.46</v>
      </c>
      <c r="K19" s="288">
        <v>0</v>
      </c>
      <c r="L19" s="288">
        <v>-61838.04</v>
      </c>
      <c r="M19" s="288">
        <v>-5695.54</v>
      </c>
      <c r="N19" s="288">
        <v>107985.49</v>
      </c>
      <c r="O19" s="288">
        <v>741490.48</v>
      </c>
      <c r="P19" s="288">
        <v>6169.9</v>
      </c>
      <c r="Q19" s="288">
        <v>0</v>
      </c>
      <c r="R19" s="288">
        <v>0</v>
      </c>
    </row>
    <row r="20" spans="1:18" ht="12.75" customHeight="1" x14ac:dyDescent="0.25">
      <c r="D20" s="89" t="s">
        <v>73</v>
      </c>
      <c r="E20" s="373">
        <v>124917.68</v>
      </c>
      <c r="F20" s="90">
        <v>5425.49</v>
      </c>
      <c r="G20" s="90">
        <v>3470.55</v>
      </c>
      <c r="H20" s="90">
        <v>2025.09</v>
      </c>
      <c r="I20" s="90">
        <v>30214.16</v>
      </c>
      <c r="J20" s="90">
        <v>1088.1099999999999</v>
      </c>
      <c r="K20" s="90">
        <v>0</v>
      </c>
      <c r="L20" s="90">
        <v>9544.9699999999993</v>
      </c>
      <c r="M20" s="90">
        <v>9235.0499999999993</v>
      </c>
      <c r="N20" s="90">
        <v>43751.21</v>
      </c>
      <c r="O20" s="90">
        <v>18387.71</v>
      </c>
      <c r="P20" s="90">
        <v>1775.34</v>
      </c>
      <c r="Q20" s="90">
        <v>0</v>
      </c>
      <c r="R20">
        <v>0</v>
      </c>
    </row>
    <row r="21" spans="1:18" ht="12.75" customHeight="1" x14ac:dyDescent="0.25">
      <c r="C21" s="89" t="s">
        <v>82</v>
      </c>
      <c r="D21" s="89" t="s">
        <v>70</v>
      </c>
      <c r="E21" s="90">
        <v>124917.68</v>
      </c>
      <c r="F21" s="90">
        <v>5425.49</v>
      </c>
      <c r="G21" s="90">
        <v>3470.55</v>
      </c>
      <c r="H21" s="90">
        <v>2025.09</v>
      </c>
      <c r="I21" s="90">
        <v>30214.16</v>
      </c>
      <c r="J21" s="90">
        <v>1088.1099999999999</v>
      </c>
      <c r="K21" s="90">
        <v>0</v>
      </c>
      <c r="L21" s="90">
        <v>9544.9699999999993</v>
      </c>
      <c r="M21" s="90">
        <v>9235.0499999999993</v>
      </c>
      <c r="N21" s="90">
        <v>43751.21</v>
      </c>
      <c r="O21" s="90">
        <v>18387.71</v>
      </c>
      <c r="P21" s="90">
        <v>1775.34</v>
      </c>
      <c r="Q21" s="90">
        <v>0</v>
      </c>
      <c r="R21">
        <v>0</v>
      </c>
    </row>
    <row r="22" spans="1:18" ht="12.75" customHeight="1" x14ac:dyDescent="0.25">
      <c r="D22" s="89" t="s">
        <v>73</v>
      </c>
      <c r="E22" s="90">
        <v>166291.04999999999</v>
      </c>
      <c r="F22" s="90">
        <v>8434.3799999999992</v>
      </c>
      <c r="G22" s="90">
        <v>4699.6000000000004</v>
      </c>
      <c r="H22" s="90">
        <v>2499.5</v>
      </c>
      <c r="I22" s="90">
        <v>29821.33</v>
      </c>
      <c r="J22" s="90">
        <v>1737.19</v>
      </c>
      <c r="K22" s="90">
        <v>0</v>
      </c>
      <c r="L22" s="90">
        <v>13525.99</v>
      </c>
      <c r="M22" s="90">
        <v>12946.73</v>
      </c>
      <c r="N22" s="90">
        <v>66755.66</v>
      </c>
      <c r="O22" s="90">
        <v>23036.36</v>
      </c>
      <c r="P22" s="90">
        <v>2834.31</v>
      </c>
      <c r="Q22" s="90">
        <v>0</v>
      </c>
      <c r="R22">
        <v>0</v>
      </c>
    </row>
    <row r="23" spans="1:18" ht="12.75" customHeight="1" x14ac:dyDescent="0.25">
      <c r="C23" s="89" t="s">
        <v>86</v>
      </c>
      <c r="D23" s="89" t="s">
        <v>70</v>
      </c>
      <c r="E23" s="90">
        <v>166291.04999999999</v>
      </c>
      <c r="F23" s="90">
        <v>8434.3799999999992</v>
      </c>
      <c r="G23" s="90">
        <v>4699.6000000000004</v>
      </c>
      <c r="H23" s="90">
        <v>2499.5</v>
      </c>
      <c r="I23" s="90">
        <v>29821.33</v>
      </c>
      <c r="J23" s="90">
        <v>1737.19</v>
      </c>
      <c r="K23" s="90">
        <v>0</v>
      </c>
      <c r="L23" s="90">
        <v>13525.99</v>
      </c>
      <c r="M23" s="90">
        <v>12946.73</v>
      </c>
      <c r="N23" s="90">
        <v>66755.66</v>
      </c>
      <c r="O23" s="90">
        <v>23036.36</v>
      </c>
      <c r="P23" s="90">
        <v>2834.31</v>
      </c>
      <c r="Q23" s="90">
        <v>0</v>
      </c>
      <c r="R23">
        <v>0</v>
      </c>
    </row>
    <row r="24" spans="1:18" ht="12.75" customHeight="1" x14ac:dyDescent="0.25">
      <c r="D24" s="89" t="s">
        <v>73</v>
      </c>
      <c r="E24" s="90">
        <v>843950.15</v>
      </c>
      <c r="F24" s="90">
        <v>106181.23</v>
      </c>
      <c r="G24" s="90">
        <v>59113.51</v>
      </c>
      <c r="H24" s="90">
        <v>30954.51</v>
      </c>
      <c r="I24" s="90">
        <v>107753.85</v>
      </c>
      <c r="J24" s="90">
        <v>4247.21</v>
      </c>
      <c r="K24" s="90">
        <v>0</v>
      </c>
      <c r="L24" s="90">
        <v>35494.18</v>
      </c>
      <c r="M24" s="90">
        <v>35638.239999999998</v>
      </c>
      <c r="N24" s="90">
        <v>167630.68</v>
      </c>
      <c r="O24" s="90">
        <v>290007.18</v>
      </c>
      <c r="P24" s="90">
        <v>6929.56</v>
      </c>
      <c r="Q24" s="90">
        <v>0</v>
      </c>
      <c r="R24">
        <v>0</v>
      </c>
    </row>
    <row r="25" spans="1:18" ht="12.75" customHeight="1" x14ac:dyDescent="0.25">
      <c r="C25" s="89" t="s">
        <v>87</v>
      </c>
      <c r="D25" s="89" t="s">
        <v>70</v>
      </c>
      <c r="E25" s="90">
        <v>843950.15</v>
      </c>
      <c r="F25" s="90">
        <v>106181.23</v>
      </c>
      <c r="G25" s="90">
        <v>59113.51</v>
      </c>
      <c r="H25" s="90">
        <v>30954.51</v>
      </c>
      <c r="I25" s="90">
        <v>107753.85</v>
      </c>
      <c r="J25" s="90">
        <v>4247.21</v>
      </c>
      <c r="K25" s="90">
        <v>0</v>
      </c>
      <c r="L25" s="90">
        <v>35494.18</v>
      </c>
      <c r="M25" s="90">
        <v>35638.239999999998</v>
      </c>
      <c r="N25" s="90">
        <v>167630.68</v>
      </c>
      <c r="O25" s="90">
        <v>290007.18</v>
      </c>
      <c r="P25" s="90">
        <v>6929.56</v>
      </c>
      <c r="Q25" s="90">
        <v>0</v>
      </c>
      <c r="R25">
        <v>0</v>
      </c>
    </row>
    <row r="26" spans="1:18" s="94" customFormat="1" ht="12.75" customHeight="1" x14ac:dyDescent="0.25">
      <c r="B26" s="101" t="s">
        <v>119</v>
      </c>
      <c r="C26" s="101" t="s">
        <v>70</v>
      </c>
      <c r="E26" s="93">
        <v>1135158.8799999999</v>
      </c>
      <c r="F26" s="93">
        <v>120041.1</v>
      </c>
      <c r="G26" s="93">
        <v>67283.66</v>
      </c>
      <c r="H26" s="93">
        <v>35479.1</v>
      </c>
      <c r="I26" s="93">
        <v>167789.34</v>
      </c>
      <c r="J26" s="93">
        <v>7072.51</v>
      </c>
      <c r="K26" s="93">
        <v>0</v>
      </c>
      <c r="L26" s="93">
        <v>58565.14</v>
      </c>
      <c r="M26" s="93">
        <v>57820.02</v>
      </c>
      <c r="N26" s="93">
        <v>278137.55</v>
      </c>
      <c r="O26" s="93">
        <v>331431.25</v>
      </c>
      <c r="P26" s="93">
        <v>11539.21</v>
      </c>
      <c r="Q26" s="93">
        <v>0</v>
      </c>
      <c r="R26" s="94">
        <v>0</v>
      </c>
    </row>
    <row r="27" spans="1:18" s="226" customFormat="1" ht="12.75" customHeight="1" x14ac:dyDescent="0.25">
      <c r="A27" s="98" t="s">
        <v>79</v>
      </c>
      <c r="B27" s="98" t="s">
        <v>70</v>
      </c>
      <c r="E27" s="100">
        <v>2274662.11</v>
      </c>
      <c r="F27" s="100">
        <v>384108.23</v>
      </c>
      <c r="G27" s="100">
        <v>214322.71</v>
      </c>
      <c r="H27" s="100">
        <v>108347.7</v>
      </c>
      <c r="I27" s="100">
        <v>31309.040000000001</v>
      </c>
      <c r="J27" s="100">
        <v>10968.97</v>
      </c>
      <c r="K27" s="100">
        <v>0</v>
      </c>
      <c r="L27" s="100">
        <v>-3272.9</v>
      </c>
      <c r="M27" s="100">
        <v>52124.480000000003</v>
      </c>
      <c r="N27" s="100">
        <v>386123.04</v>
      </c>
      <c r="O27" s="100">
        <v>1072921.73</v>
      </c>
      <c r="P27" s="100">
        <v>17709.11</v>
      </c>
      <c r="Q27" s="100">
        <v>0</v>
      </c>
      <c r="R27" s="226">
        <v>0</v>
      </c>
    </row>
    <row r="28" spans="1:18" ht="12.75" customHeight="1" x14ac:dyDescent="0.25">
      <c r="A28" s="89" t="s">
        <v>70</v>
      </c>
      <c r="E28" s="90">
        <v>34844954.140000001</v>
      </c>
      <c r="F28" s="90">
        <v>2249319.54</v>
      </c>
      <c r="G28" s="90">
        <v>1219810.03</v>
      </c>
      <c r="H28" s="90">
        <v>692159.85</v>
      </c>
      <c r="I28" s="90">
        <v>5051701.6100000003</v>
      </c>
      <c r="J28" s="90">
        <v>241344.05</v>
      </c>
      <c r="K28" s="90">
        <v>0</v>
      </c>
      <c r="L28" s="90">
        <v>2503907.1800000002</v>
      </c>
      <c r="M28" s="90">
        <v>2578509.23</v>
      </c>
      <c r="N28" s="90">
        <v>13337575.140000001</v>
      </c>
      <c r="O28" s="90">
        <v>6582977.7400000002</v>
      </c>
      <c r="P28" s="90">
        <v>387671.74</v>
      </c>
      <c r="Q28" s="90">
        <v>-21.97</v>
      </c>
      <c r="R28" s="144">
        <v>0</v>
      </c>
    </row>
    <row r="29" spans="1:18" ht="12.75" customHeight="1" x14ac:dyDescent="0.25">
      <c r="A29" s="89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</row>
    <row r="30" spans="1:18" ht="12.75" customHeight="1" x14ac:dyDescent="0.25">
      <c r="A30" s="89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</row>
    <row r="31" spans="1:18" ht="12.75" hidden="1" customHeight="1" x14ac:dyDescent="0.25">
      <c r="A31" s="89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</row>
    <row r="32" spans="1:18" ht="12.75" hidden="1" customHeight="1" x14ac:dyDescent="0.25">
      <c r="A32" s="89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</row>
    <row r="33" spans="1:19" ht="12.75" hidden="1" customHeight="1" x14ac:dyDescent="0.25">
      <c r="A33" s="89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</row>
    <row r="34" spans="1:19" ht="12.75" hidden="1" customHeight="1" x14ac:dyDescent="0.25">
      <c r="A34" s="89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</row>
    <row r="35" spans="1:19" ht="12.75" hidden="1" customHeight="1" x14ac:dyDescent="0.25">
      <c r="A35" s="89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</row>
    <row r="36" spans="1:19" ht="12.75" hidden="1" customHeight="1" x14ac:dyDescent="0.25">
      <c r="A36" s="89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</row>
    <row r="37" spans="1:19" ht="12.75" hidden="1" customHeight="1" x14ac:dyDescent="0.25">
      <c r="A37" s="89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</row>
    <row r="38" spans="1:19" ht="12.75" hidden="1" customHeight="1" x14ac:dyDescent="0.25">
      <c r="A38" s="89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</row>
    <row r="39" spans="1:19" ht="12.75" hidden="1" customHeight="1" x14ac:dyDescent="0.25">
      <c r="A39" s="89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</row>
    <row r="40" spans="1:19" ht="12.75" customHeight="1" x14ac:dyDescent="0.25">
      <c r="A40" s="89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</row>
    <row r="41" spans="1:19" ht="12.75" customHeight="1" x14ac:dyDescent="0.25">
      <c r="A41" s="89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</row>
    <row r="42" spans="1:19" ht="12.75" customHeight="1" x14ac:dyDescent="0.25">
      <c r="B42" s="763" t="s">
        <v>2</v>
      </c>
      <c r="C42" s="764" t="s">
        <v>132</v>
      </c>
      <c r="D42" s="98" t="s">
        <v>70</v>
      </c>
      <c r="E42" s="100">
        <f>E16+E27-K16</f>
        <v>34844954.140000001</v>
      </c>
      <c r="F42" s="100">
        <f>F16</f>
        <v>1865211.31</v>
      </c>
      <c r="G42" s="100">
        <f t="shared" ref="G42:S42" si="0">G16</f>
        <v>1005487.32</v>
      </c>
      <c r="H42" s="100">
        <f t="shared" si="0"/>
        <v>583812.15</v>
      </c>
      <c r="I42" s="100">
        <f t="shared" si="0"/>
        <v>5020392.57</v>
      </c>
      <c r="J42" s="100">
        <f t="shared" si="0"/>
        <v>230375.08</v>
      </c>
      <c r="K42" s="100">
        <f t="shared" si="0"/>
        <v>0</v>
      </c>
      <c r="L42" s="100">
        <f t="shared" si="0"/>
        <v>2507180.08</v>
      </c>
      <c r="M42" s="100">
        <f t="shared" si="0"/>
        <v>2526384.75</v>
      </c>
      <c r="N42" s="100">
        <f t="shared" si="0"/>
        <v>12951452.1</v>
      </c>
      <c r="O42" s="100">
        <f t="shared" si="0"/>
        <v>5510056.0099999998</v>
      </c>
      <c r="P42" s="100">
        <f t="shared" si="0"/>
        <v>369962.63</v>
      </c>
      <c r="Q42" s="100">
        <f t="shared" si="0"/>
        <v>-21.97</v>
      </c>
      <c r="R42" s="100">
        <f t="shared" si="0"/>
        <v>0</v>
      </c>
      <c r="S42" s="100">
        <f t="shared" si="0"/>
        <v>0</v>
      </c>
    </row>
    <row r="43" spans="1:19" ht="12.75" customHeight="1" x14ac:dyDescent="0.25">
      <c r="B43" s="763"/>
      <c r="C43" s="764"/>
      <c r="D43" s="98" t="s">
        <v>73</v>
      </c>
      <c r="E43" s="100">
        <f>E27</f>
        <v>2274662.11</v>
      </c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</row>
    <row r="44" spans="1:19" ht="12.75" customHeight="1" x14ac:dyDescent="0.3">
      <c r="A44" s="89"/>
      <c r="B44" s="97"/>
      <c r="E44" s="373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</row>
    <row r="45" spans="1:19" ht="12.75" customHeight="1" x14ac:dyDescent="0.25">
      <c r="B45" s="763" t="s">
        <v>160</v>
      </c>
      <c r="C45" s="764" t="s">
        <v>132</v>
      </c>
      <c r="D45" s="223" t="s">
        <v>70</v>
      </c>
      <c r="E45" s="225">
        <v>0</v>
      </c>
      <c r="F45" s="225">
        <v>0</v>
      </c>
      <c r="G45" s="225">
        <v>0</v>
      </c>
      <c r="H45" s="225">
        <v>0</v>
      </c>
      <c r="I45" s="225">
        <v>0</v>
      </c>
      <c r="J45" s="225">
        <v>0</v>
      </c>
      <c r="K45" s="225">
        <v>0</v>
      </c>
      <c r="L45" s="225">
        <v>0</v>
      </c>
      <c r="M45" s="225">
        <v>0</v>
      </c>
      <c r="N45" s="225">
        <v>0</v>
      </c>
      <c r="O45" s="225">
        <v>0</v>
      </c>
      <c r="P45" s="225">
        <v>0</v>
      </c>
      <c r="Q45" s="225">
        <v>0</v>
      </c>
      <c r="R45" s="225">
        <v>0</v>
      </c>
      <c r="S45" s="225">
        <v>0</v>
      </c>
    </row>
    <row r="46" spans="1:19" ht="12.75" customHeight="1" x14ac:dyDescent="0.25">
      <c r="B46" s="763"/>
      <c r="C46" s="764"/>
      <c r="D46" s="223" t="s">
        <v>73</v>
      </c>
      <c r="E46" s="225">
        <v>0</v>
      </c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</row>
    <row r="47" spans="1:19" ht="12.75" customHeight="1" x14ac:dyDescent="0.3">
      <c r="A47" s="89"/>
      <c r="B47" s="97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</row>
    <row r="48" spans="1:19" ht="12.75" customHeight="1" x14ac:dyDescent="0.25">
      <c r="B48" s="763" t="s">
        <v>155</v>
      </c>
      <c r="C48" s="764" t="s">
        <v>132</v>
      </c>
      <c r="D48" s="221" t="s">
        <v>70</v>
      </c>
      <c r="E48" s="222">
        <f>E19+E6-K6</f>
        <v>30254522.43</v>
      </c>
      <c r="F48" s="222">
        <f>F6</f>
        <v>1628680.68</v>
      </c>
      <c r="G48" s="222">
        <f t="shared" ref="G48:S48" si="1">G6</f>
        <v>888879.83</v>
      </c>
      <c r="H48" s="222">
        <f t="shared" si="1"/>
        <v>520121.55</v>
      </c>
      <c r="I48" s="222">
        <f t="shared" si="1"/>
        <v>4494789.55</v>
      </c>
      <c r="J48" s="222">
        <f t="shared" si="1"/>
        <v>206682.07</v>
      </c>
      <c r="K48" s="222">
        <f t="shared" si="1"/>
        <v>0</v>
      </c>
      <c r="L48" s="222">
        <f t="shared" si="1"/>
        <v>2286008.7000000002</v>
      </c>
      <c r="M48" s="222">
        <f t="shared" si="1"/>
        <v>2318211.14</v>
      </c>
      <c r="N48" s="222">
        <f t="shared" si="1"/>
        <v>11917028.199999999</v>
      </c>
      <c r="O48" s="222">
        <f t="shared" si="1"/>
        <v>4523338.08</v>
      </c>
      <c r="P48" s="222">
        <f t="shared" si="1"/>
        <v>331306.05</v>
      </c>
      <c r="Q48" s="222">
        <f t="shared" si="1"/>
        <v>-26.65</v>
      </c>
      <c r="R48" s="222">
        <f t="shared" si="1"/>
        <v>0</v>
      </c>
      <c r="S48" s="222">
        <f t="shared" si="1"/>
        <v>0</v>
      </c>
    </row>
    <row r="49" spans="1:19" ht="12.75" customHeight="1" x14ac:dyDescent="0.25">
      <c r="B49" s="763"/>
      <c r="C49" s="764"/>
      <c r="D49" s="221" t="s">
        <v>73</v>
      </c>
      <c r="E49" s="222">
        <f>E19</f>
        <v>1139503.23</v>
      </c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</row>
    <row r="50" spans="1:19" ht="12.75" customHeight="1" x14ac:dyDescent="0.3">
      <c r="A50" s="89"/>
      <c r="B50" s="97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</row>
    <row r="51" spans="1:19" ht="12.75" customHeight="1" x14ac:dyDescent="0.25">
      <c r="B51" s="766" t="s">
        <v>324</v>
      </c>
      <c r="C51" s="764" t="s">
        <v>132</v>
      </c>
      <c r="D51" s="375" t="s">
        <v>70</v>
      </c>
      <c r="E51" s="376">
        <v>0</v>
      </c>
      <c r="F51" s="376">
        <v>0</v>
      </c>
      <c r="G51" s="376">
        <v>0</v>
      </c>
      <c r="H51" s="376">
        <v>0</v>
      </c>
      <c r="I51" s="376">
        <v>0</v>
      </c>
      <c r="J51" s="376">
        <v>0</v>
      </c>
      <c r="K51" s="376">
        <v>0</v>
      </c>
      <c r="L51" s="376">
        <v>0</v>
      </c>
      <c r="M51" s="376">
        <v>0</v>
      </c>
      <c r="N51" s="376">
        <v>0</v>
      </c>
      <c r="O51" s="376">
        <v>0</v>
      </c>
      <c r="P51" s="376">
        <v>0</v>
      </c>
      <c r="Q51" s="376">
        <v>0</v>
      </c>
      <c r="R51" s="376">
        <v>0</v>
      </c>
    </row>
    <row r="52" spans="1:19" ht="12.75" customHeight="1" x14ac:dyDescent="0.25">
      <c r="B52" s="766"/>
      <c r="C52" s="764"/>
      <c r="D52" s="375" t="s">
        <v>73</v>
      </c>
      <c r="E52" s="376">
        <v>0</v>
      </c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</row>
    <row r="53" spans="1:19" ht="12.75" customHeight="1" x14ac:dyDescent="0.3">
      <c r="A53" s="89"/>
      <c r="B53" s="97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</row>
    <row r="54" spans="1:19" ht="12.75" customHeight="1" x14ac:dyDescent="0.25">
      <c r="B54" s="763" t="s">
        <v>119</v>
      </c>
      <c r="C54" s="764" t="s">
        <v>132</v>
      </c>
      <c r="D54" s="101" t="s">
        <v>70</v>
      </c>
      <c r="E54" s="93">
        <f>E15+E26-K15</f>
        <v>4590431.71</v>
      </c>
      <c r="F54" s="93">
        <f>F15</f>
        <v>236530.63</v>
      </c>
      <c r="G54" s="93">
        <f t="shared" ref="G54:S54" si="2">G15</f>
        <v>116607.49</v>
      </c>
      <c r="H54" s="93">
        <f t="shared" si="2"/>
        <v>63690.6</v>
      </c>
      <c r="I54" s="93">
        <f t="shared" si="2"/>
        <v>525603.02</v>
      </c>
      <c r="J54" s="93">
        <f t="shared" si="2"/>
        <v>23693.01</v>
      </c>
      <c r="K54" s="93">
        <f t="shared" si="2"/>
        <v>0</v>
      </c>
      <c r="L54" s="93">
        <f t="shared" si="2"/>
        <v>221171.38</v>
      </c>
      <c r="M54" s="93">
        <f t="shared" si="2"/>
        <v>208173.61</v>
      </c>
      <c r="N54" s="93">
        <f t="shared" si="2"/>
        <v>1034423.9</v>
      </c>
      <c r="O54" s="93">
        <f t="shared" si="2"/>
        <v>986717.93</v>
      </c>
      <c r="P54" s="93">
        <f t="shared" si="2"/>
        <v>38656.58</v>
      </c>
      <c r="Q54" s="93">
        <f t="shared" si="2"/>
        <v>4.68</v>
      </c>
      <c r="R54" s="93">
        <f t="shared" si="2"/>
        <v>0</v>
      </c>
      <c r="S54" s="93">
        <f t="shared" si="2"/>
        <v>0</v>
      </c>
    </row>
    <row r="55" spans="1:19" ht="12.75" customHeight="1" x14ac:dyDescent="0.25">
      <c r="B55" s="763"/>
      <c r="C55" s="764"/>
      <c r="D55" s="101" t="s">
        <v>73</v>
      </c>
      <c r="E55" s="93">
        <f>E26</f>
        <v>1135158.8799999999</v>
      </c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</row>
    <row r="56" spans="1:19" ht="12.75" customHeight="1" x14ac:dyDescent="0.3">
      <c r="A56" s="89"/>
      <c r="B56" s="97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</row>
    <row r="57" spans="1:19" ht="12.75" customHeight="1" x14ac:dyDescent="0.25">
      <c r="B57" s="765" t="s">
        <v>161</v>
      </c>
      <c r="C57" s="764" t="s">
        <v>132</v>
      </c>
      <c r="D57" s="231" t="s">
        <v>70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</row>
    <row r="58" spans="1:19" ht="12.75" customHeight="1" x14ac:dyDescent="0.25">
      <c r="B58" s="765"/>
      <c r="C58" s="764"/>
      <c r="D58" s="231" t="s">
        <v>73</v>
      </c>
      <c r="E58" s="232">
        <v>0</v>
      </c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</row>
    <row r="59" spans="1:19" s="238" customFormat="1" x14ac:dyDescent="0.25"/>
    <row r="60" spans="1:19" ht="13" x14ac:dyDescent="0.3">
      <c r="B60" s="97" t="s">
        <v>75</v>
      </c>
    </row>
    <row r="61" spans="1:19" ht="12.75" customHeight="1" x14ac:dyDescent="0.25">
      <c r="E61" s="89" t="s">
        <v>70</v>
      </c>
      <c r="F61" s="89" t="s">
        <v>64</v>
      </c>
      <c r="G61" s="89" t="s">
        <v>65</v>
      </c>
      <c r="H61" s="219" t="s">
        <v>164</v>
      </c>
      <c r="I61" s="89" t="s">
        <v>69</v>
      </c>
      <c r="J61" s="89" t="s">
        <v>68</v>
      </c>
      <c r="K61" s="89" t="s">
        <v>83</v>
      </c>
      <c r="L61" s="89" t="s">
        <v>66</v>
      </c>
      <c r="M61" s="89" t="s">
        <v>63</v>
      </c>
      <c r="N61" s="89" t="s">
        <v>61</v>
      </c>
      <c r="O61" s="89" t="s">
        <v>62</v>
      </c>
      <c r="P61" s="89" t="s">
        <v>67</v>
      </c>
      <c r="Q61" s="89" t="s">
        <v>84</v>
      </c>
      <c r="R61" s="386" t="s">
        <v>224</v>
      </c>
    </row>
    <row r="62" spans="1:19" ht="12.75" customHeight="1" x14ac:dyDescent="0.25">
      <c r="B62" s="142"/>
      <c r="D62" s="89" t="s">
        <v>72</v>
      </c>
      <c r="E62" s="90">
        <v>76172812.939999998</v>
      </c>
      <c r="F62" s="90">
        <v>4284667.3600000003</v>
      </c>
      <c r="G62" s="90">
        <v>2478919.9900000002</v>
      </c>
      <c r="H62" s="90">
        <v>894079.85</v>
      </c>
      <c r="I62" s="90">
        <v>19165035.210000001</v>
      </c>
      <c r="J62" s="90">
        <v>613033.04</v>
      </c>
      <c r="K62" s="90">
        <v>51372.12</v>
      </c>
      <c r="L62" s="90">
        <v>6695698.0199999996</v>
      </c>
      <c r="M62" s="90">
        <v>6139885.21</v>
      </c>
      <c r="N62" s="90">
        <v>26107830.84</v>
      </c>
      <c r="O62" s="90">
        <v>8845683.4800000004</v>
      </c>
      <c r="P62" s="90">
        <v>896338.13</v>
      </c>
      <c r="Q62" s="90">
        <v>269.69</v>
      </c>
      <c r="R62">
        <v>0</v>
      </c>
    </row>
    <row r="63" spans="1:19" ht="12.75" customHeight="1" x14ac:dyDescent="0.25">
      <c r="B63" s="142"/>
      <c r="D63" s="89" t="s">
        <v>81</v>
      </c>
      <c r="E63" s="90">
        <v>405301.06</v>
      </c>
      <c r="F63" s="90">
        <v>45882.1</v>
      </c>
      <c r="G63" s="90">
        <v>21905.35</v>
      </c>
      <c r="H63" s="90">
        <v>6058.48</v>
      </c>
      <c r="I63" s="90">
        <v>53792.9</v>
      </c>
      <c r="J63" s="90">
        <v>1687.15</v>
      </c>
      <c r="K63" s="90">
        <v>0</v>
      </c>
      <c r="L63" s="90">
        <v>24878.6</v>
      </c>
      <c r="M63" s="90">
        <v>29440.99</v>
      </c>
      <c r="N63" s="90">
        <v>127695.47</v>
      </c>
      <c r="O63" s="90">
        <v>91205.49</v>
      </c>
      <c r="P63" s="90">
        <v>2753.1</v>
      </c>
      <c r="Q63" s="90">
        <v>1.43</v>
      </c>
      <c r="R63">
        <v>0</v>
      </c>
    </row>
    <row r="64" spans="1:19" ht="12.75" customHeight="1" x14ac:dyDescent="0.25">
      <c r="B64" s="142"/>
      <c r="C64" t="s">
        <v>156</v>
      </c>
      <c r="D64" s="89" t="s">
        <v>70</v>
      </c>
      <c r="E64" s="90">
        <v>76578114</v>
      </c>
      <c r="F64" s="90">
        <v>4330549.46</v>
      </c>
      <c r="G64" s="90">
        <v>2500825.34</v>
      </c>
      <c r="H64" s="90">
        <v>900138.33</v>
      </c>
      <c r="I64" s="90">
        <v>19218828.109999999</v>
      </c>
      <c r="J64" s="90">
        <v>614720.18999999994</v>
      </c>
      <c r="K64" s="90">
        <v>51372.12</v>
      </c>
      <c r="L64" s="90">
        <v>6720576.6200000001</v>
      </c>
      <c r="M64" s="90">
        <v>6169326.2000000002</v>
      </c>
      <c r="N64" s="90">
        <v>26235526.309999999</v>
      </c>
      <c r="O64" s="90">
        <v>8936888.9700000007</v>
      </c>
      <c r="P64" s="90">
        <v>899091.23</v>
      </c>
      <c r="Q64" s="90">
        <v>271.12</v>
      </c>
      <c r="R64">
        <v>0</v>
      </c>
    </row>
    <row r="65" spans="2:18" s="288" customFormat="1" ht="12.75" customHeight="1" x14ac:dyDescent="0.25">
      <c r="B65" s="288" t="s">
        <v>155</v>
      </c>
      <c r="C65" s="288" t="s">
        <v>70</v>
      </c>
      <c r="E65" s="288">
        <v>76578114</v>
      </c>
      <c r="F65" s="288">
        <v>4330549.46</v>
      </c>
      <c r="G65" s="288">
        <v>2500825.34</v>
      </c>
      <c r="H65" s="288">
        <v>900138.33</v>
      </c>
      <c r="I65" s="288">
        <v>19218828.109999999</v>
      </c>
      <c r="J65" s="288">
        <v>614720.18999999994</v>
      </c>
      <c r="K65" s="288">
        <v>51372.12</v>
      </c>
      <c r="L65" s="288">
        <v>6720576.6200000001</v>
      </c>
      <c r="M65" s="288">
        <v>6169326.2000000002</v>
      </c>
      <c r="N65" s="288">
        <v>26235526.309999999</v>
      </c>
      <c r="O65" s="288">
        <v>8936888.9700000007</v>
      </c>
      <c r="P65" s="288">
        <v>899091.23</v>
      </c>
      <c r="Q65" s="288">
        <v>271.12</v>
      </c>
      <c r="R65" s="288">
        <v>0</v>
      </c>
    </row>
    <row r="66" spans="2:18" ht="12.75" customHeight="1" x14ac:dyDescent="0.25">
      <c r="B66" s="142"/>
      <c r="D66" s="89" t="s">
        <v>72</v>
      </c>
      <c r="E66" s="90">
        <v>3697205.22</v>
      </c>
      <c r="F66" s="90">
        <v>224587.06</v>
      </c>
      <c r="G66" s="90">
        <v>131985.45000000001</v>
      </c>
      <c r="H66" s="90">
        <v>46899.61</v>
      </c>
      <c r="I66" s="90">
        <v>1009958.82</v>
      </c>
      <c r="J66" s="90">
        <v>32320.93</v>
      </c>
      <c r="K66" s="90">
        <v>0</v>
      </c>
      <c r="L66" s="90">
        <v>324307.81</v>
      </c>
      <c r="M66" s="90">
        <v>265069.78000000003</v>
      </c>
      <c r="N66" s="90">
        <v>1170089.6100000001</v>
      </c>
      <c r="O66" s="90">
        <v>450797.77</v>
      </c>
      <c r="P66" s="90">
        <v>41194.89</v>
      </c>
      <c r="Q66" s="90">
        <v>-6.51</v>
      </c>
      <c r="R66">
        <v>0</v>
      </c>
    </row>
    <row r="67" spans="2:18" ht="12.75" customHeight="1" x14ac:dyDescent="0.25">
      <c r="B67" s="142"/>
      <c r="D67" s="89" t="s">
        <v>81</v>
      </c>
      <c r="E67" s="90">
        <v>438.11</v>
      </c>
      <c r="F67" s="90">
        <v>43.19</v>
      </c>
      <c r="G67" s="90">
        <v>22.78</v>
      </c>
      <c r="H67" s="90">
        <v>12.09</v>
      </c>
      <c r="I67" s="90">
        <v>96.81</v>
      </c>
      <c r="J67" s="90">
        <v>2.8</v>
      </c>
      <c r="K67" s="90">
        <v>0</v>
      </c>
      <c r="L67" s="90">
        <v>24.54</v>
      </c>
      <c r="M67" s="90">
        <v>25.59</v>
      </c>
      <c r="N67" s="90">
        <v>119.35</v>
      </c>
      <c r="O67" s="90">
        <v>86.42</v>
      </c>
      <c r="P67" s="90">
        <v>4.57</v>
      </c>
      <c r="Q67" s="90">
        <v>-0.03</v>
      </c>
      <c r="R67">
        <v>0</v>
      </c>
    </row>
    <row r="68" spans="2:18" ht="12.75" customHeight="1" x14ac:dyDescent="0.25">
      <c r="B68" s="142"/>
      <c r="C68" t="s">
        <v>115</v>
      </c>
      <c r="D68" s="89" t="s">
        <v>70</v>
      </c>
      <c r="E68" s="90">
        <v>3697643.33</v>
      </c>
      <c r="F68" s="90">
        <v>224630.25</v>
      </c>
      <c r="G68" s="90">
        <v>132008.23000000001</v>
      </c>
      <c r="H68" s="90">
        <v>46911.7</v>
      </c>
      <c r="I68" s="90">
        <v>1010055.63</v>
      </c>
      <c r="J68" s="90">
        <v>32323.73</v>
      </c>
      <c r="K68" s="90">
        <v>0</v>
      </c>
      <c r="L68" s="90">
        <v>324332.34999999998</v>
      </c>
      <c r="M68" s="90">
        <v>265095.37</v>
      </c>
      <c r="N68" s="90">
        <v>1170208.96</v>
      </c>
      <c r="O68" s="90">
        <v>450884.19</v>
      </c>
      <c r="P68" s="90">
        <v>41199.46</v>
      </c>
      <c r="Q68" s="90">
        <v>-6.54</v>
      </c>
      <c r="R68">
        <v>0</v>
      </c>
    </row>
    <row r="69" spans="2:18" ht="12.75" customHeight="1" x14ac:dyDescent="0.25">
      <c r="B69" s="142"/>
      <c r="D69" s="89" t="s">
        <v>72</v>
      </c>
      <c r="E69" s="90">
        <v>985683.46</v>
      </c>
      <c r="F69" s="90">
        <v>69109.02</v>
      </c>
      <c r="G69" s="90">
        <v>36538.01</v>
      </c>
      <c r="H69" s="90">
        <v>13453.14</v>
      </c>
      <c r="I69" s="90">
        <v>287582.83</v>
      </c>
      <c r="J69" s="90">
        <v>9153.3700000000008</v>
      </c>
      <c r="K69" s="90">
        <v>0</v>
      </c>
      <c r="L69" s="90">
        <v>82037.98</v>
      </c>
      <c r="M69" s="90">
        <v>69059.03</v>
      </c>
      <c r="N69" s="90">
        <v>274803.20000000001</v>
      </c>
      <c r="O69" s="90">
        <v>134412.31</v>
      </c>
      <c r="P69" s="90">
        <v>9540.6</v>
      </c>
      <c r="Q69" s="90">
        <v>-6.03</v>
      </c>
      <c r="R69">
        <v>0</v>
      </c>
    </row>
    <row r="70" spans="2:18" ht="12.75" customHeight="1" x14ac:dyDescent="0.25">
      <c r="B70" s="142"/>
      <c r="C70" s="89" t="s">
        <v>116</v>
      </c>
      <c r="D70" s="89" t="s">
        <v>70</v>
      </c>
      <c r="E70" s="373">
        <v>985683.46</v>
      </c>
      <c r="F70" s="90">
        <v>69109.02</v>
      </c>
      <c r="G70" s="90">
        <v>36538.01</v>
      </c>
      <c r="H70" s="90">
        <v>13453.14</v>
      </c>
      <c r="I70" s="90">
        <v>287582.83</v>
      </c>
      <c r="J70" s="90">
        <v>9153.3700000000008</v>
      </c>
      <c r="K70" s="90">
        <v>0</v>
      </c>
      <c r="L70" s="90">
        <v>82037.98</v>
      </c>
      <c r="M70" s="90">
        <v>69059.03</v>
      </c>
      <c r="N70" s="90">
        <v>274803.20000000001</v>
      </c>
      <c r="O70" s="90">
        <v>134412.31</v>
      </c>
      <c r="P70" s="90">
        <v>9540.6</v>
      </c>
      <c r="Q70" s="90">
        <v>-6.03</v>
      </c>
      <c r="R70">
        <v>0</v>
      </c>
    </row>
    <row r="71" spans="2:18" ht="12.75" customHeight="1" x14ac:dyDescent="0.25">
      <c r="B71" s="142"/>
      <c r="C71" s="89"/>
      <c r="D71" s="89" t="s">
        <v>72</v>
      </c>
      <c r="E71" s="373">
        <v>18762805.760000002</v>
      </c>
      <c r="F71" s="90">
        <v>1069718.48</v>
      </c>
      <c r="G71" s="90">
        <v>652346.13</v>
      </c>
      <c r="H71" s="90">
        <v>178774.19</v>
      </c>
      <c r="I71" s="90">
        <v>5624013.3300000001</v>
      </c>
      <c r="J71" s="90">
        <v>166253.39000000001</v>
      </c>
      <c r="K71" s="90">
        <v>0</v>
      </c>
      <c r="L71" s="90">
        <v>1667800.41</v>
      </c>
      <c r="M71" s="90">
        <v>1432331.3</v>
      </c>
      <c r="N71" s="90">
        <v>5647380.4500000002</v>
      </c>
      <c r="O71" s="90">
        <v>2150226.73</v>
      </c>
      <c r="P71" s="90">
        <v>173791.57</v>
      </c>
      <c r="Q71" s="90">
        <v>169.78</v>
      </c>
      <c r="R71">
        <v>0</v>
      </c>
    </row>
    <row r="72" spans="2:18" ht="12.75" customHeight="1" x14ac:dyDescent="0.25">
      <c r="B72" s="142"/>
      <c r="C72" s="89"/>
      <c r="D72" s="89" t="s">
        <v>81</v>
      </c>
      <c r="E72" s="373">
        <v>1557.48</v>
      </c>
      <c r="F72" s="90">
        <v>105.97</v>
      </c>
      <c r="G72" s="90">
        <v>58.29</v>
      </c>
      <c r="H72" s="90">
        <v>31.24</v>
      </c>
      <c r="I72" s="90">
        <v>365.86</v>
      </c>
      <c r="J72" s="90">
        <v>12.42</v>
      </c>
      <c r="K72" s="90">
        <v>0</v>
      </c>
      <c r="L72" s="90">
        <v>109</v>
      </c>
      <c r="M72" s="90">
        <v>112.67</v>
      </c>
      <c r="N72" s="90">
        <v>531.07000000000005</v>
      </c>
      <c r="O72" s="90">
        <v>210.73</v>
      </c>
      <c r="P72" s="90">
        <v>20.27</v>
      </c>
      <c r="Q72" s="90">
        <v>-0.04</v>
      </c>
      <c r="R72">
        <v>0</v>
      </c>
    </row>
    <row r="73" spans="2:18" ht="12.75" customHeight="1" x14ac:dyDescent="0.25">
      <c r="B73" s="142"/>
      <c r="C73" s="89" t="s">
        <v>118</v>
      </c>
      <c r="D73" s="89" t="s">
        <v>70</v>
      </c>
      <c r="E73" s="373">
        <v>18764363.239999998</v>
      </c>
      <c r="F73" s="90">
        <v>1069824.45</v>
      </c>
      <c r="G73" s="90">
        <v>652404.42000000004</v>
      </c>
      <c r="H73" s="90">
        <v>178805.43</v>
      </c>
      <c r="I73" s="90">
        <v>5624379.1900000004</v>
      </c>
      <c r="J73" s="90">
        <v>166265.81</v>
      </c>
      <c r="K73" s="90">
        <v>0</v>
      </c>
      <c r="L73" s="90">
        <v>1667909.41</v>
      </c>
      <c r="M73" s="90">
        <v>1432443.97</v>
      </c>
      <c r="N73" s="90">
        <v>5647911.5199999996</v>
      </c>
      <c r="O73" s="90">
        <v>2150437.46</v>
      </c>
      <c r="P73" s="90">
        <v>173811.84</v>
      </c>
      <c r="Q73" s="90">
        <v>169.74</v>
      </c>
      <c r="R73">
        <v>0</v>
      </c>
    </row>
    <row r="74" spans="2:18" s="224" customFormat="1" ht="12.75" customHeight="1" x14ac:dyDescent="0.25">
      <c r="B74" s="224" t="s">
        <v>120</v>
      </c>
      <c r="C74" s="224" t="s">
        <v>70</v>
      </c>
      <c r="E74" s="224">
        <v>23447690.030000001</v>
      </c>
      <c r="F74" s="224">
        <v>1363563.72</v>
      </c>
      <c r="G74" s="224">
        <v>820950.66</v>
      </c>
      <c r="H74" s="224">
        <v>239170.27</v>
      </c>
      <c r="I74" s="224">
        <v>6922017.6500000004</v>
      </c>
      <c r="J74" s="224">
        <v>207742.91</v>
      </c>
      <c r="K74" s="224">
        <v>0</v>
      </c>
      <c r="L74" s="224">
        <v>2074279.74</v>
      </c>
      <c r="M74" s="224">
        <v>1766598.37</v>
      </c>
      <c r="N74" s="224">
        <v>7092923.6799999997</v>
      </c>
      <c r="O74" s="224">
        <v>2735733.96</v>
      </c>
      <c r="P74" s="224">
        <v>224551.9</v>
      </c>
      <c r="Q74" s="224">
        <v>157.16999999999999</v>
      </c>
      <c r="R74" s="224">
        <v>0</v>
      </c>
    </row>
    <row r="75" spans="2:18" ht="12.75" customHeight="1" x14ac:dyDescent="0.25">
      <c r="D75" t="s">
        <v>72</v>
      </c>
      <c r="E75" s="142">
        <v>3424363.42</v>
      </c>
      <c r="F75">
        <v>193904.51</v>
      </c>
      <c r="G75">
        <v>105926.68</v>
      </c>
      <c r="H75">
        <v>44650.239999999998</v>
      </c>
      <c r="I75">
        <v>871174.9</v>
      </c>
      <c r="J75">
        <v>28634.07</v>
      </c>
      <c r="K75">
        <v>0</v>
      </c>
      <c r="L75">
        <v>280560.08</v>
      </c>
      <c r="M75">
        <v>271116.53000000003</v>
      </c>
      <c r="N75">
        <v>1194087.96</v>
      </c>
      <c r="O75">
        <v>396460.66</v>
      </c>
      <c r="P75">
        <v>37858.559999999998</v>
      </c>
      <c r="Q75">
        <v>-10.77</v>
      </c>
      <c r="R75">
        <v>0</v>
      </c>
    </row>
    <row r="76" spans="2:18" ht="12.75" customHeight="1" x14ac:dyDescent="0.25">
      <c r="D76" t="s">
        <v>81</v>
      </c>
      <c r="E76" s="373">
        <v>9177.0300000000007</v>
      </c>
      <c r="F76">
        <v>847.38</v>
      </c>
      <c r="G76">
        <v>479.07</v>
      </c>
      <c r="H76">
        <v>253.95</v>
      </c>
      <c r="I76">
        <v>1842.43</v>
      </c>
      <c r="J76">
        <v>67</v>
      </c>
      <c r="K76">
        <v>0</v>
      </c>
      <c r="L76">
        <v>587.73</v>
      </c>
      <c r="M76">
        <v>577.57000000000005</v>
      </c>
      <c r="N76">
        <v>2703.44</v>
      </c>
      <c r="O76">
        <v>1709.06</v>
      </c>
      <c r="P76">
        <v>109.33</v>
      </c>
      <c r="Q76">
        <v>7.0000000000000007E-2</v>
      </c>
      <c r="R76">
        <v>0</v>
      </c>
    </row>
    <row r="77" spans="2:18" ht="12.75" customHeight="1" x14ac:dyDescent="0.25">
      <c r="C77" t="s">
        <v>82</v>
      </c>
      <c r="D77" t="s">
        <v>70</v>
      </c>
      <c r="E77" s="142">
        <v>3433540.45</v>
      </c>
      <c r="F77">
        <v>194751.89</v>
      </c>
      <c r="G77">
        <v>106405.75</v>
      </c>
      <c r="H77">
        <v>44904.19</v>
      </c>
      <c r="I77">
        <v>873017.33</v>
      </c>
      <c r="J77">
        <v>28701.07</v>
      </c>
      <c r="K77">
        <v>0</v>
      </c>
      <c r="L77">
        <v>281147.81</v>
      </c>
      <c r="M77">
        <v>271694.09999999998</v>
      </c>
      <c r="N77">
        <v>1196791.3999999999</v>
      </c>
      <c r="O77">
        <v>398169.72</v>
      </c>
      <c r="P77">
        <v>37967.89</v>
      </c>
      <c r="Q77">
        <v>-10.7</v>
      </c>
      <c r="R77">
        <v>0</v>
      </c>
    </row>
    <row r="78" spans="2:18" ht="12.75" customHeight="1" x14ac:dyDescent="0.25">
      <c r="D78" t="s">
        <v>72</v>
      </c>
      <c r="E78" s="142">
        <v>21026339.489999998</v>
      </c>
      <c r="F78">
        <v>2447720.79</v>
      </c>
      <c r="G78">
        <v>1370734.8</v>
      </c>
      <c r="H78">
        <v>666552.06999999995</v>
      </c>
      <c r="I78">
        <v>3536068.96</v>
      </c>
      <c r="J78">
        <v>136948.10999999999</v>
      </c>
      <c r="K78">
        <v>0</v>
      </c>
      <c r="L78">
        <v>1395691.38</v>
      </c>
      <c r="M78">
        <v>1241864.24</v>
      </c>
      <c r="N78">
        <v>5125598.22</v>
      </c>
      <c r="O78">
        <v>4911373.47</v>
      </c>
      <c r="P78">
        <v>193726.12</v>
      </c>
      <c r="Q78">
        <v>61.33</v>
      </c>
      <c r="R78">
        <v>0</v>
      </c>
    </row>
    <row r="79" spans="2:18" ht="12.75" customHeight="1" x14ac:dyDescent="0.25">
      <c r="D79" t="s">
        <v>81</v>
      </c>
      <c r="E79" s="142">
        <v>1143672.58</v>
      </c>
      <c r="F79">
        <v>164527.54999999999</v>
      </c>
      <c r="G79">
        <v>76426.080000000002</v>
      </c>
      <c r="H79">
        <v>30595.99</v>
      </c>
      <c r="I79">
        <v>168828.35</v>
      </c>
      <c r="J79">
        <v>6886.01</v>
      </c>
      <c r="K79">
        <v>0</v>
      </c>
      <c r="L79">
        <v>60313.09</v>
      </c>
      <c r="M79">
        <v>71428.55</v>
      </c>
      <c r="N79">
        <v>229600.44</v>
      </c>
      <c r="O79">
        <v>323815.18</v>
      </c>
      <c r="P79">
        <v>11246.94</v>
      </c>
      <c r="Q79">
        <v>4.4000000000000004</v>
      </c>
      <c r="R79">
        <v>0</v>
      </c>
    </row>
    <row r="80" spans="2:18" ht="12.75" customHeight="1" x14ac:dyDescent="0.25">
      <c r="C80" t="s">
        <v>86</v>
      </c>
      <c r="D80" t="s">
        <v>70</v>
      </c>
      <c r="E80" s="142">
        <v>22170012.07</v>
      </c>
      <c r="F80">
        <v>2612248.34</v>
      </c>
      <c r="G80">
        <v>1447160.88</v>
      </c>
      <c r="H80">
        <v>697148.06</v>
      </c>
      <c r="I80">
        <v>3704897.31</v>
      </c>
      <c r="J80">
        <v>143834.12</v>
      </c>
      <c r="K80">
        <v>0</v>
      </c>
      <c r="L80">
        <v>1456004.47</v>
      </c>
      <c r="M80">
        <v>1313292.79</v>
      </c>
      <c r="N80">
        <v>5355198.66</v>
      </c>
      <c r="O80">
        <v>5235188.6500000004</v>
      </c>
      <c r="P80">
        <v>204973.06</v>
      </c>
      <c r="Q80">
        <v>65.73</v>
      </c>
      <c r="R80">
        <v>0</v>
      </c>
    </row>
    <row r="81" spans="1:18" ht="12.75" customHeight="1" x14ac:dyDescent="0.25">
      <c r="D81" t="s">
        <v>72</v>
      </c>
      <c r="E81">
        <v>1247383.22</v>
      </c>
      <c r="F81">
        <v>104470.27</v>
      </c>
      <c r="G81">
        <v>61589.36</v>
      </c>
      <c r="H81">
        <v>22988.66</v>
      </c>
      <c r="I81">
        <v>272684.09999999998</v>
      </c>
      <c r="J81">
        <v>8354.34</v>
      </c>
      <c r="K81">
        <v>0</v>
      </c>
      <c r="L81">
        <v>111652.21</v>
      </c>
      <c r="M81">
        <v>93795.87</v>
      </c>
      <c r="N81">
        <v>322239.45</v>
      </c>
      <c r="O81">
        <v>236861.37</v>
      </c>
      <c r="P81">
        <v>12733.53</v>
      </c>
      <c r="Q81">
        <v>14.06</v>
      </c>
      <c r="R81">
        <v>0</v>
      </c>
    </row>
    <row r="82" spans="1:18" ht="12.75" customHeight="1" x14ac:dyDescent="0.25">
      <c r="D82" t="s">
        <v>81</v>
      </c>
      <c r="E82" s="142">
        <v>112.94</v>
      </c>
      <c r="F82">
        <v>8.9499999999999993</v>
      </c>
      <c r="G82">
        <v>5.05</v>
      </c>
      <c r="H82">
        <v>2.65</v>
      </c>
      <c r="I82">
        <v>31.41</v>
      </c>
      <c r="J82">
        <v>0.88</v>
      </c>
      <c r="K82">
        <v>0</v>
      </c>
      <c r="L82">
        <v>7.77</v>
      </c>
      <c r="M82">
        <v>8.75</v>
      </c>
      <c r="N82">
        <v>26.93</v>
      </c>
      <c r="O82">
        <v>17.760000000000002</v>
      </c>
      <c r="P82">
        <v>2.77</v>
      </c>
      <c r="Q82">
        <v>0.02</v>
      </c>
      <c r="R82">
        <v>0</v>
      </c>
    </row>
    <row r="83" spans="1:18" ht="12.75" customHeight="1" x14ac:dyDescent="0.25">
      <c r="C83" t="s">
        <v>87</v>
      </c>
      <c r="D83" t="s">
        <v>70</v>
      </c>
      <c r="E83" s="142">
        <v>1247496.1599999999</v>
      </c>
      <c r="F83">
        <v>104479.22</v>
      </c>
      <c r="G83">
        <v>61594.41</v>
      </c>
      <c r="H83">
        <v>22991.31</v>
      </c>
      <c r="I83">
        <v>272715.51</v>
      </c>
      <c r="J83">
        <v>8355.2199999999993</v>
      </c>
      <c r="K83">
        <v>0</v>
      </c>
      <c r="L83">
        <v>111659.98</v>
      </c>
      <c r="M83">
        <v>93804.62</v>
      </c>
      <c r="N83">
        <v>322266.38</v>
      </c>
      <c r="O83">
        <v>236879.13</v>
      </c>
      <c r="P83">
        <v>12736.3</v>
      </c>
      <c r="Q83">
        <v>14.08</v>
      </c>
      <c r="R83">
        <v>0</v>
      </c>
    </row>
    <row r="84" spans="1:18" s="94" customFormat="1" ht="12.75" customHeight="1" x14ac:dyDescent="0.25">
      <c r="B84" s="94" t="s">
        <v>119</v>
      </c>
      <c r="C84" s="101" t="s">
        <v>70</v>
      </c>
      <c r="D84" s="101"/>
      <c r="E84" s="93">
        <v>26851048.68</v>
      </c>
      <c r="F84" s="93">
        <v>2911479.45</v>
      </c>
      <c r="G84" s="93">
        <v>1615161.04</v>
      </c>
      <c r="H84" s="93">
        <v>765043.56</v>
      </c>
      <c r="I84" s="93">
        <v>4850630.1500000004</v>
      </c>
      <c r="J84" s="93">
        <v>180890.41</v>
      </c>
      <c r="K84" s="93">
        <v>0</v>
      </c>
      <c r="L84" s="93">
        <v>1848812.26</v>
      </c>
      <c r="M84" s="93">
        <v>1678791.51</v>
      </c>
      <c r="N84" s="93">
        <v>6874256.4400000004</v>
      </c>
      <c r="O84" s="93">
        <v>5870237.5</v>
      </c>
      <c r="P84" s="93">
        <v>255677.25</v>
      </c>
      <c r="Q84" s="93">
        <v>69.11</v>
      </c>
      <c r="R84" s="94">
        <v>0</v>
      </c>
    </row>
    <row r="85" spans="1:18" s="226" customFormat="1" ht="12.75" customHeight="1" x14ac:dyDescent="0.25">
      <c r="A85" s="226" t="s">
        <v>78</v>
      </c>
      <c r="B85" s="98" t="s">
        <v>70</v>
      </c>
      <c r="C85" s="98"/>
      <c r="E85" s="100">
        <v>126876852.70999999</v>
      </c>
      <c r="F85" s="100">
        <v>8605592.6300000008</v>
      </c>
      <c r="G85" s="100">
        <v>4936937.04</v>
      </c>
      <c r="H85" s="100">
        <v>1904352.16</v>
      </c>
      <c r="I85" s="100">
        <v>30991475.91</v>
      </c>
      <c r="J85" s="100">
        <v>1003353.51</v>
      </c>
      <c r="K85" s="100">
        <v>51372.12</v>
      </c>
      <c r="L85" s="100">
        <v>10643668.619999999</v>
      </c>
      <c r="M85" s="100">
        <v>9614716.0800000001</v>
      </c>
      <c r="N85" s="100">
        <v>40202706.43</v>
      </c>
      <c r="O85" s="100">
        <v>17542860.43</v>
      </c>
      <c r="P85" s="100">
        <v>1379320.38</v>
      </c>
      <c r="Q85" s="100">
        <v>497.4</v>
      </c>
      <c r="R85" s="226">
        <v>0</v>
      </c>
    </row>
    <row r="86" spans="1:18" ht="12.75" customHeight="1" x14ac:dyDescent="0.25">
      <c r="B86" s="89"/>
      <c r="C86" s="89"/>
      <c r="D86" t="s">
        <v>73</v>
      </c>
      <c r="E86" s="90">
        <v>-20136934.260000002</v>
      </c>
      <c r="F86" s="90">
        <v>-733600.76</v>
      </c>
      <c r="G86" s="90">
        <v>-420838.98</v>
      </c>
      <c r="H86" s="90">
        <v>-246337.87</v>
      </c>
      <c r="I86" s="90">
        <v>-5403916.5199999996</v>
      </c>
      <c r="J86" s="90">
        <v>-198124.79999999999</v>
      </c>
      <c r="K86" s="90">
        <v>0</v>
      </c>
      <c r="L86" s="90">
        <v>-1723396.65</v>
      </c>
      <c r="M86" s="90">
        <v>-1708957.79</v>
      </c>
      <c r="N86" s="90">
        <v>-8115340.4199999999</v>
      </c>
      <c r="O86" s="90">
        <v>-1253175.4099999999</v>
      </c>
      <c r="P86" s="90">
        <v>-333245.06</v>
      </c>
      <c r="Q86" s="90">
        <v>0</v>
      </c>
      <c r="R86">
        <v>0</v>
      </c>
    </row>
    <row r="87" spans="1:18" ht="12.75" customHeight="1" x14ac:dyDescent="0.25">
      <c r="B87" s="89"/>
      <c r="C87" s="89" t="s">
        <v>156</v>
      </c>
      <c r="D87" t="s">
        <v>70</v>
      </c>
      <c r="E87" s="90">
        <v>-20136934.260000002</v>
      </c>
      <c r="F87" s="90">
        <v>-733600.76</v>
      </c>
      <c r="G87" s="90">
        <v>-420838.98</v>
      </c>
      <c r="H87" s="90">
        <v>-246337.87</v>
      </c>
      <c r="I87" s="90">
        <v>-5403916.5199999996</v>
      </c>
      <c r="J87" s="90">
        <v>-198124.79999999999</v>
      </c>
      <c r="K87" s="90">
        <v>0</v>
      </c>
      <c r="L87" s="90">
        <v>-1723396.65</v>
      </c>
      <c r="M87" s="90">
        <v>-1708957.79</v>
      </c>
      <c r="N87" s="90">
        <v>-8115340.4199999999</v>
      </c>
      <c r="O87" s="90">
        <v>-1253175.4099999999</v>
      </c>
      <c r="P87" s="90">
        <v>-333245.06</v>
      </c>
      <c r="Q87" s="90">
        <v>0</v>
      </c>
      <c r="R87">
        <v>0</v>
      </c>
    </row>
    <row r="88" spans="1:18" s="288" customFormat="1" ht="12.75" customHeight="1" x14ac:dyDescent="0.25">
      <c r="B88" s="288" t="s">
        <v>155</v>
      </c>
      <c r="C88" s="288" t="s">
        <v>70</v>
      </c>
      <c r="E88" s="288">
        <v>-20136934.260000002</v>
      </c>
      <c r="F88" s="288">
        <v>-733600.76</v>
      </c>
      <c r="G88" s="288">
        <v>-420838.98</v>
      </c>
      <c r="H88" s="288">
        <v>-246337.87</v>
      </c>
      <c r="I88" s="288">
        <v>-5403916.5199999996</v>
      </c>
      <c r="J88" s="288">
        <v>-198124.79999999999</v>
      </c>
      <c r="K88" s="288">
        <v>0</v>
      </c>
      <c r="L88" s="288">
        <v>-1723396.65</v>
      </c>
      <c r="M88" s="288">
        <v>-1708957.79</v>
      </c>
      <c r="N88" s="288">
        <v>-8115340.4199999999</v>
      </c>
      <c r="O88" s="288">
        <v>-1253175.4099999999</v>
      </c>
      <c r="P88" s="288">
        <v>-333245.06</v>
      </c>
      <c r="Q88" s="288">
        <v>0</v>
      </c>
      <c r="R88" s="288">
        <v>0</v>
      </c>
    </row>
    <row r="89" spans="1:18" ht="12.75" customHeight="1" x14ac:dyDescent="0.25">
      <c r="B89" s="89"/>
      <c r="C89" s="89"/>
      <c r="D89" t="s">
        <v>73</v>
      </c>
      <c r="E89" s="90">
        <v>-1106250.74</v>
      </c>
      <c r="F89" s="90">
        <v>-41906.769999999997</v>
      </c>
      <c r="G89" s="90">
        <v>-23555.439999999999</v>
      </c>
      <c r="H89" s="90">
        <v>-12506.48</v>
      </c>
      <c r="I89" s="90">
        <v>-284568.59000000003</v>
      </c>
      <c r="J89" s="90">
        <v>-11004</v>
      </c>
      <c r="K89" s="90">
        <v>0</v>
      </c>
      <c r="L89" s="90">
        <v>-96525.39</v>
      </c>
      <c r="M89" s="90">
        <v>-94067.83</v>
      </c>
      <c r="N89" s="90">
        <v>-441672.35</v>
      </c>
      <c r="O89" s="90">
        <v>-82490.11</v>
      </c>
      <c r="P89" s="90">
        <v>-17953.78</v>
      </c>
      <c r="Q89" s="90">
        <v>0</v>
      </c>
      <c r="R89">
        <v>0</v>
      </c>
    </row>
    <row r="90" spans="1:18" ht="12.75" customHeight="1" x14ac:dyDescent="0.25">
      <c r="C90" s="89" t="s">
        <v>115</v>
      </c>
      <c r="D90" s="89" t="s">
        <v>70</v>
      </c>
      <c r="E90" s="90">
        <v>-1106250.74</v>
      </c>
      <c r="F90" s="90">
        <v>-41906.769999999997</v>
      </c>
      <c r="G90" s="90">
        <v>-23555.439999999999</v>
      </c>
      <c r="H90" s="90">
        <v>-12506.48</v>
      </c>
      <c r="I90" s="90">
        <v>-284568.59000000003</v>
      </c>
      <c r="J90" s="90">
        <v>-11004</v>
      </c>
      <c r="K90" s="90">
        <v>0</v>
      </c>
      <c r="L90" s="90">
        <v>-96525.39</v>
      </c>
      <c r="M90" s="90">
        <v>-94067.83</v>
      </c>
      <c r="N90" s="90">
        <v>-441672.35</v>
      </c>
      <c r="O90" s="90">
        <v>-82490.11</v>
      </c>
      <c r="P90" s="90">
        <v>-17953.78</v>
      </c>
      <c r="Q90" s="90">
        <v>0</v>
      </c>
      <c r="R90">
        <v>0</v>
      </c>
    </row>
    <row r="91" spans="1:18" ht="12.75" customHeight="1" x14ac:dyDescent="0.25">
      <c r="C91" s="89"/>
      <c r="D91" s="89" t="s">
        <v>73</v>
      </c>
      <c r="E91" s="90">
        <v>-124474.09</v>
      </c>
      <c r="F91" s="90">
        <v>1487.57</v>
      </c>
      <c r="G91" s="90">
        <v>889.3</v>
      </c>
      <c r="H91" s="90">
        <v>-1103.1300000000001</v>
      </c>
      <c r="I91" s="90">
        <v>-40257.58</v>
      </c>
      <c r="J91" s="90">
        <v>-1303.18</v>
      </c>
      <c r="K91" s="90">
        <v>0</v>
      </c>
      <c r="L91" s="90">
        <v>-11431.5</v>
      </c>
      <c r="M91" s="90">
        <v>-11193.46</v>
      </c>
      <c r="N91" s="90">
        <v>-52137.19</v>
      </c>
      <c r="O91" s="90">
        <v>-7298.67</v>
      </c>
      <c r="P91" s="90">
        <v>-2126.25</v>
      </c>
      <c r="Q91" s="90">
        <v>0</v>
      </c>
      <c r="R91">
        <v>0</v>
      </c>
    </row>
    <row r="92" spans="1:18" ht="12.75" customHeight="1" x14ac:dyDescent="0.25">
      <c r="C92" s="89" t="s">
        <v>116</v>
      </c>
      <c r="D92" s="89" t="s">
        <v>70</v>
      </c>
      <c r="E92" s="90">
        <v>-124474.09</v>
      </c>
      <c r="F92" s="90">
        <v>1487.57</v>
      </c>
      <c r="G92" s="90">
        <v>889.3</v>
      </c>
      <c r="H92" s="90">
        <v>-1103.1300000000001</v>
      </c>
      <c r="I92" s="90">
        <v>-40257.58</v>
      </c>
      <c r="J92" s="90">
        <v>-1303.18</v>
      </c>
      <c r="K92" s="90">
        <v>0</v>
      </c>
      <c r="L92" s="90">
        <v>-11431.5</v>
      </c>
      <c r="M92" s="90">
        <v>-11193.46</v>
      </c>
      <c r="N92" s="90">
        <v>-52137.19</v>
      </c>
      <c r="O92" s="90">
        <v>-7298.67</v>
      </c>
      <c r="P92" s="90">
        <v>-2126.25</v>
      </c>
      <c r="Q92" s="90">
        <v>0</v>
      </c>
      <c r="R92">
        <v>0</v>
      </c>
    </row>
    <row r="93" spans="1:18" ht="12.75" customHeight="1" x14ac:dyDescent="0.25">
      <c r="C93" s="89"/>
      <c r="D93" s="89" t="s">
        <v>73</v>
      </c>
      <c r="E93" s="373">
        <v>-6194145.1699999999</v>
      </c>
      <c r="F93" s="90">
        <v>-244820.14</v>
      </c>
      <c r="G93" s="90">
        <v>-142606.5</v>
      </c>
      <c r="H93" s="90">
        <v>-79186.47</v>
      </c>
      <c r="I93" s="90">
        <v>-1710597.25</v>
      </c>
      <c r="J93" s="90">
        <v>-59039.59</v>
      </c>
      <c r="K93" s="90">
        <v>0</v>
      </c>
      <c r="L93" s="90">
        <v>-507349.02</v>
      </c>
      <c r="M93" s="90">
        <v>-491066.4</v>
      </c>
      <c r="N93" s="90">
        <v>-2363435.65</v>
      </c>
      <c r="O93" s="90">
        <v>-500022.5</v>
      </c>
      <c r="P93" s="90">
        <v>-96021.65</v>
      </c>
      <c r="Q93" s="90">
        <v>0</v>
      </c>
      <c r="R93">
        <v>0</v>
      </c>
    </row>
    <row r="94" spans="1:18" ht="12.75" customHeight="1" x14ac:dyDescent="0.25">
      <c r="C94" s="89" t="s">
        <v>118</v>
      </c>
      <c r="D94" s="89" t="s">
        <v>70</v>
      </c>
      <c r="E94" s="373">
        <v>-6194145.1699999999</v>
      </c>
      <c r="F94" s="90">
        <v>-244820.14</v>
      </c>
      <c r="G94" s="90">
        <v>-142606.5</v>
      </c>
      <c r="H94" s="90">
        <v>-79186.47</v>
      </c>
      <c r="I94" s="90">
        <v>-1710597.25</v>
      </c>
      <c r="J94" s="90">
        <v>-59039.59</v>
      </c>
      <c r="K94" s="90">
        <v>0</v>
      </c>
      <c r="L94" s="90">
        <v>-507349.02</v>
      </c>
      <c r="M94" s="90">
        <v>-491066.4</v>
      </c>
      <c r="N94" s="90">
        <v>-2363435.65</v>
      </c>
      <c r="O94" s="90">
        <v>-500022.5</v>
      </c>
      <c r="P94" s="90">
        <v>-96021.65</v>
      </c>
      <c r="Q94" s="90">
        <v>0</v>
      </c>
      <c r="R94">
        <v>0</v>
      </c>
    </row>
    <row r="95" spans="1:18" s="224" customFormat="1" ht="12.75" customHeight="1" x14ac:dyDescent="0.25">
      <c r="B95" s="223" t="s">
        <v>120</v>
      </c>
      <c r="C95" s="223" t="s">
        <v>70</v>
      </c>
      <c r="E95" s="225">
        <v>-7424870</v>
      </c>
      <c r="F95" s="225">
        <v>-285239.34000000003</v>
      </c>
      <c r="G95" s="225">
        <v>-165272.64000000001</v>
      </c>
      <c r="H95" s="225">
        <v>-92796.08</v>
      </c>
      <c r="I95" s="225">
        <v>-2035423.42</v>
      </c>
      <c r="J95" s="225">
        <v>-71346.77</v>
      </c>
      <c r="K95" s="225">
        <v>0</v>
      </c>
      <c r="L95" s="225">
        <v>-615305.91</v>
      </c>
      <c r="M95" s="225">
        <v>-596327.68999999994</v>
      </c>
      <c r="N95" s="225">
        <v>-2857245.19</v>
      </c>
      <c r="O95" s="225">
        <v>-589811.28</v>
      </c>
      <c r="P95" s="225">
        <v>-116101.68</v>
      </c>
      <c r="Q95" s="225">
        <v>0</v>
      </c>
      <c r="R95" s="224">
        <v>0</v>
      </c>
    </row>
    <row r="96" spans="1:18" ht="12.75" customHeight="1" x14ac:dyDescent="0.25">
      <c r="D96" s="89" t="s">
        <v>73</v>
      </c>
      <c r="E96" s="373">
        <v>-702492.5</v>
      </c>
      <c r="F96" s="90">
        <v>-14521.12</v>
      </c>
      <c r="G96" s="90">
        <v>-8315.81</v>
      </c>
      <c r="H96" s="90">
        <v>-4324.3599999999997</v>
      </c>
      <c r="I96" s="90">
        <v>-200536.28</v>
      </c>
      <c r="J96" s="90">
        <v>-7255.75</v>
      </c>
      <c r="K96" s="90">
        <v>0</v>
      </c>
      <c r="L96" s="90">
        <v>-63647.28</v>
      </c>
      <c r="M96" s="90">
        <v>-63025.67</v>
      </c>
      <c r="N96" s="90">
        <v>-296143.19</v>
      </c>
      <c r="O96" s="90">
        <v>-32884.699999999997</v>
      </c>
      <c r="P96" s="90">
        <v>-11838.34</v>
      </c>
      <c r="Q96" s="90">
        <v>0</v>
      </c>
      <c r="R96">
        <v>0</v>
      </c>
    </row>
    <row r="97" spans="1:19" ht="12.75" customHeight="1" x14ac:dyDescent="0.25">
      <c r="C97" t="s">
        <v>82</v>
      </c>
      <c r="D97" s="89" t="s">
        <v>70</v>
      </c>
      <c r="E97" s="373">
        <v>-702492.5</v>
      </c>
      <c r="F97" s="90">
        <v>-14521.12</v>
      </c>
      <c r="G97" s="90">
        <v>-8315.81</v>
      </c>
      <c r="H97" s="90">
        <v>-4324.3599999999997</v>
      </c>
      <c r="I97" s="90">
        <v>-200536.28</v>
      </c>
      <c r="J97" s="90">
        <v>-7255.75</v>
      </c>
      <c r="K97" s="90">
        <v>0</v>
      </c>
      <c r="L97" s="90">
        <v>-63647.28</v>
      </c>
      <c r="M97" s="90">
        <v>-63025.67</v>
      </c>
      <c r="N97" s="90">
        <v>-296143.19</v>
      </c>
      <c r="O97" s="90">
        <v>-32884.699999999997</v>
      </c>
      <c r="P97" s="90">
        <v>-11838.34</v>
      </c>
      <c r="Q97" s="90">
        <v>0</v>
      </c>
      <c r="R97">
        <v>0</v>
      </c>
    </row>
    <row r="98" spans="1:19" ht="12.75" customHeight="1" x14ac:dyDescent="0.25">
      <c r="D98" s="89" t="s">
        <v>73</v>
      </c>
      <c r="E98" s="373">
        <v>2991899.04</v>
      </c>
      <c r="F98" s="90">
        <v>1356625.74</v>
      </c>
      <c r="G98" s="90">
        <v>761821.94</v>
      </c>
      <c r="H98" s="90">
        <v>401733.5</v>
      </c>
      <c r="I98" s="90">
        <v>-655687.55000000005</v>
      </c>
      <c r="J98" s="90">
        <v>-25954.75</v>
      </c>
      <c r="K98" s="90">
        <v>0</v>
      </c>
      <c r="L98" s="90">
        <v>-222683.06</v>
      </c>
      <c r="M98" s="90">
        <v>-220639.47</v>
      </c>
      <c r="N98" s="90">
        <v>-1059056.3899999999</v>
      </c>
      <c r="O98" s="90">
        <v>2697993.57</v>
      </c>
      <c r="P98" s="90">
        <v>-42254.49</v>
      </c>
      <c r="Q98" s="90">
        <v>0</v>
      </c>
      <c r="R98">
        <v>0</v>
      </c>
    </row>
    <row r="99" spans="1:19" ht="12.75" customHeight="1" x14ac:dyDescent="0.25">
      <c r="C99" t="s">
        <v>86</v>
      </c>
      <c r="D99" s="89" t="s">
        <v>70</v>
      </c>
      <c r="E99" s="373">
        <v>2991899.04</v>
      </c>
      <c r="F99" s="90">
        <v>1356625.74</v>
      </c>
      <c r="G99" s="90">
        <v>761821.94</v>
      </c>
      <c r="H99" s="90">
        <v>401733.5</v>
      </c>
      <c r="I99" s="90">
        <v>-655687.55000000005</v>
      </c>
      <c r="J99" s="90">
        <v>-25954.75</v>
      </c>
      <c r="K99" s="90">
        <v>0</v>
      </c>
      <c r="L99" s="90">
        <v>-222683.06</v>
      </c>
      <c r="M99" s="90">
        <v>-220639.47</v>
      </c>
      <c r="N99" s="90">
        <v>-1059056.3899999999</v>
      </c>
      <c r="O99" s="90">
        <v>2697993.57</v>
      </c>
      <c r="P99" s="90">
        <v>-42254.49</v>
      </c>
      <c r="Q99" s="90">
        <v>0</v>
      </c>
      <c r="R99">
        <v>0</v>
      </c>
    </row>
    <row r="100" spans="1:19" ht="12.75" customHeight="1" x14ac:dyDescent="0.25">
      <c r="D100" s="89" t="s">
        <v>73</v>
      </c>
      <c r="E100" s="373">
        <v>109015.24</v>
      </c>
      <c r="F100" s="90">
        <v>19894.14</v>
      </c>
      <c r="G100" s="90">
        <v>10729.02</v>
      </c>
      <c r="H100" s="90">
        <v>4929.67</v>
      </c>
      <c r="I100" s="90">
        <v>13052.9</v>
      </c>
      <c r="J100" s="90">
        <v>120.98</v>
      </c>
      <c r="K100" s="90">
        <v>0</v>
      </c>
      <c r="L100" s="90">
        <v>2492.3000000000002</v>
      </c>
      <c r="M100" s="90">
        <v>3185.16</v>
      </c>
      <c r="N100" s="90">
        <v>14573.83</v>
      </c>
      <c r="O100" s="90">
        <v>39839.82</v>
      </c>
      <c r="P100" s="90">
        <v>197.42</v>
      </c>
      <c r="Q100" s="90">
        <v>0</v>
      </c>
      <c r="R100">
        <v>0</v>
      </c>
    </row>
    <row r="101" spans="1:19" ht="12.75" customHeight="1" x14ac:dyDescent="0.25">
      <c r="C101" t="s">
        <v>87</v>
      </c>
      <c r="D101" s="89" t="s">
        <v>70</v>
      </c>
      <c r="E101" s="90">
        <v>109015.24</v>
      </c>
      <c r="F101" s="90">
        <v>19894.14</v>
      </c>
      <c r="G101" s="90">
        <v>10729.02</v>
      </c>
      <c r="H101" s="90">
        <v>4929.67</v>
      </c>
      <c r="I101" s="90">
        <v>13052.9</v>
      </c>
      <c r="J101" s="90">
        <v>120.98</v>
      </c>
      <c r="K101" s="90">
        <v>0</v>
      </c>
      <c r="L101" s="90">
        <v>2492.3000000000002</v>
      </c>
      <c r="M101" s="90">
        <v>3185.16</v>
      </c>
      <c r="N101" s="90">
        <v>14573.83</v>
      </c>
      <c r="O101" s="90">
        <v>39839.82</v>
      </c>
      <c r="P101" s="90">
        <v>197.42</v>
      </c>
      <c r="Q101" s="90">
        <v>0</v>
      </c>
      <c r="R101">
        <v>0</v>
      </c>
    </row>
    <row r="102" spans="1:19" s="94" customFormat="1" ht="12.75" customHeight="1" x14ac:dyDescent="0.25">
      <c r="B102" s="101" t="s">
        <v>119</v>
      </c>
      <c r="C102" s="101" t="s">
        <v>70</v>
      </c>
      <c r="E102" s="93">
        <v>2398421.7799999998</v>
      </c>
      <c r="F102" s="93">
        <v>1361998.76</v>
      </c>
      <c r="G102" s="93">
        <v>764235.15</v>
      </c>
      <c r="H102" s="93">
        <v>402338.81</v>
      </c>
      <c r="I102" s="93">
        <v>-843170.93</v>
      </c>
      <c r="J102" s="93">
        <v>-33089.519999999997</v>
      </c>
      <c r="K102" s="93">
        <v>0</v>
      </c>
      <c r="L102" s="93">
        <v>-283838.03999999998</v>
      </c>
      <c r="M102" s="93">
        <v>-280479.98</v>
      </c>
      <c r="N102" s="93">
        <v>-1340625.75</v>
      </c>
      <c r="O102" s="93">
        <v>2704948.69</v>
      </c>
      <c r="P102" s="93">
        <v>-53895.41</v>
      </c>
      <c r="Q102" s="93">
        <v>0</v>
      </c>
      <c r="R102" s="94">
        <v>0</v>
      </c>
    </row>
    <row r="103" spans="1:19" s="226" customFormat="1" ht="12.75" customHeight="1" x14ac:dyDescent="0.25">
      <c r="A103" s="98" t="s">
        <v>79</v>
      </c>
      <c r="B103" s="98" t="s">
        <v>70</v>
      </c>
      <c r="E103" s="100">
        <v>-25163382.48</v>
      </c>
      <c r="F103" s="100">
        <v>343158.66</v>
      </c>
      <c r="G103" s="100">
        <v>178123.53</v>
      </c>
      <c r="H103" s="100">
        <v>63204.86</v>
      </c>
      <c r="I103" s="100">
        <v>-8282510.8700000001</v>
      </c>
      <c r="J103" s="100">
        <v>-302561.09000000003</v>
      </c>
      <c r="K103" s="100">
        <v>0</v>
      </c>
      <c r="L103" s="100">
        <v>-2622540.6</v>
      </c>
      <c r="M103" s="100">
        <v>-2585765.46</v>
      </c>
      <c r="N103" s="100">
        <v>-12313211.359999999</v>
      </c>
      <c r="O103" s="100">
        <v>861962</v>
      </c>
      <c r="P103" s="100">
        <v>-503242.15</v>
      </c>
      <c r="Q103" s="100">
        <v>0</v>
      </c>
      <c r="R103" s="226">
        <v>0</v>
      </c>
    </row>
    <row r="104" spans="1:19" ht="12.75" customHeight="1" x14ac:dyDescent="0.25">
      <c r="A104" s="89" t="s">
        <v>70</v>
      </c>
      <c r="E104" s="90">
        <v>101713470.23</v>
      </c>
      <c r="F104" s="90">
        <v>8948751.2899999991</v>
      </c>
      <c r="G104" s="90">
        <v>5115060.57</v>
      </c>
      <c r="H104" s="90">
        <v>1967557.02</v>
      </c>
      <c r="I104" s="90">
        <v>22708965.039999999</v>
      </c>
      <c r="J104" s="90">
        <v>700792.42</v>
      </c>
      <c r="K104" s="90">
        <v>51372.12</v>
      </c>
      <c r="L104" s="90">
        <v>8021128.0199999996</v>
      </c>
      <c r="M104" s="90">
        <v>7028950.6200000001</v>
      </c>
      <c r="N104" s="90">
        <v>27889495.07</v>
      </c>
      <c r="O104" s="90">
        <v>18404822.43</v>
      </c>
      <c r="P104" s="90">
        <v>876078.23</v>
      </c>
      <c r="Q104" s="90">
        <v>497.4</v>
      </c>
      <c r="R104">
        <v>0</v>
      </c>
    </row>
    <row r="105" spans="1:19" ht="12.75" customHeight="1" x14ac:dyDescent="0.25">
      <c r="A105" s="89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</row>
    <row r="106" spans="1:19" ht="12.75" hidden="1" customHeight="1" x14ac:dyDescent="0.25">
      <c r="A106" s="89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</row>
    <row r="107" spans="1:19" ht="12.75" hidden="1" customHeight="1" x14ac:dyDescent="0.25">
      <c r="A107" s="89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</row>
    <row r="108" spans="1:19" ht="12.75" hidden="1" customHeight="1" x14ac:dyDescent="0.25">
      <c r="A108" s="89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</row>
    <row r="109" spans="1:19" ht="12.75" hidden="1" customHeight="1" x14ac:dyDescent="0.25">
      <c r="A109" s="89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</row>
    <row r="110" spans="1:19" ht="12.75" hidden="1" customHeight="1" x14ac:dyDescent="0.25">
      <c r="A110" s="89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</row>
    <row r="111" spans="1:19" ht="12.75" hidden="1" customHeight="1" x14ac:dyDescent="0.25">
      <c r="A111" s="89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</row>
    <row r="112" spans="1:19" ht="12.75" hidden="1" customHeight="1" x14ac:dyDescent="0.25">
      <c r="A112" s="89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</row>
    <row r="113" spans="1:19" ht="12.75" hidden="1" customHeight="1" x14ac:dyDescent="0.25">
      <c r="A113" s="89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</row>
    <row r="114" spans="1:19" ht="12.75" hidden="1" customHeight="1" x14ac:dyDescent="0.25">
      <c r="A114" s="89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</row>
    <row r="115" spans="1:19" ht="12.75" hidden="1" customHeight="1" x14ac:dyDescent="0.25">
      <c r="A115" s="89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</row>
    <row r="116" spans="1:19" ht="12.75" hidden="1" customHeight="1" x14ac:dyDescent="0.25">
      <c r="A116" s="89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</row>
    <row r="117" spans="1:19" ht="12.75" hidden="1" customHeight="1" x14ac:dyDescent="0.25">
      <c r="A117" s="89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</row>
    <row r="118" spans="1:19" ht="12.75" hidden="1" customHeight="1" x14ac:dyDescent="0.25">
      <c r="A118" s="89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</row>
    <row r="119" spans="1:19" ht="12.75" hidden="1" customHeight="1" x14ac:dyDescent="0.25">
      <c r="A119" s="89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</row>
    <row r="120" spans="1:19" ht="12.75" hidden="1" customHeight="1" x14ac:dyDescent="0.25">
      <c r="A120" s="89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</row>
    <row r="121" spans="1:19" ht="12.75" hidden="1" customHeight="1" x14ac:dyDescent="0.25">
      <c r="A121" s="89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</row>
    <row r="122" spans="1:19" ht="12.75" hidden="1" customHeight="1" x14ac:dyDescent="0.25">
      <c r="A122" s="89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</row>
    <row r="123" spans="1:19" ht="12.75" hidden="1" customHeight="1" x14ac:dyDescent="0.25">
      <c r="A123" s="89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</row>
    <row r="124" spans="1:19" ht="12.75" hidden="1" customHeight="1" x14ac:dyDescent="0.25">
      <c r="A124" s="89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</row>
    <row r="125" spans="1:19" ht="12.75" hidden="1" customHeight="1" x14ac:dyDescent="0.25">
      <c r="A125" s="89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</row>
    <row r="126" spans="1:19" ht="12.75" hidden="1" customHeight="1" x14ac:dyDescent="0.25">
      <c r="A126" s="89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</row>
    <row r="127" spans="1:19" ht="12.75" hidden="1" customHeight="1" x14ac:dyDescent="0.25">
      <c r="A127" s="89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</row>
    <row r="128" spans="1:19" ht="12.75" hidden="1" customHeight="1" x14ac:dyDescent="0.25">
      <c r="A128" s="89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</row>
    <row r="129" spans="1:19" ht="12.75" hidden="1" customHeight="1" x14ac:dyDescent="0.25">
      <c r="A129" s="89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</row>
    <row r="130" spans="1:19" ht="12.75" hidden="1" customHeight="1" x14ac:dyDescent="0.25">
      <c r="A130" s="89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</row>
    <row r="131" spans="1:19" ht="12.75" hidden="1" customHeight="1" x14ac:dyDescent="0.25">
      <c r="A131" s="89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</row>
    <row r="132" spans="1:19" ht="12.75" hidden="1" customHeight="1" x14ac:dyDescent="0.25">
      <c r="A132" s="89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</row>
    <row r="133" spans="1:19" ht="12.75" hidden="1" customHeight="1" x14ac:dyDescent="0.25">
      <c r="A133" s="89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</row>
    <row r="134" spans="1:19" ht="12.75" customHeight="1" x14ac:dyDescent="0.25">
      <c r="A134" s="89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</row>
    <row r="135" spans="1:19" ht="12.75" customHeight="1" x14ac:dyDescent="0.25">
      <c r="B135" s="763" t="s">
        <v>2</v>
      </c>
      <c r="C135" s="764" t="s">
        <v>132</v>
      </c>
      <c r="D135" s="98" t="s">
        <v>70</v>
      </c>
      <c r="E135" s="100">
        <f>E85+E103-K85</f>
        <v>101662098.10999998</v>
      </c>
      <c r="F135" s="100">
        <f>F85</f>
        <v>8605592.6300000008</v>
      </c>
      <c r="G135" s="100">
        <f t="shared" ref="G135:R135" si="3">G85</f>
        <v>4936937.04</v>
      </c>
      <c r="H135" s="100">
        <f t="shared" si="3"/>
        <v>1904352.16</v>
      </c>
      <c r="I135" s="100">
        <f t="shared" si="3"/>
        <v>30991475.91</v>
      </c>
      <c r="J135" s="100">
        <f t="shared" si="3"/>
        <v>1003353.51</v>
      </c>
      <c r="K135" s="100">
        <f t="shared" si="3"/>
        <v>51372.12</v>
      </c>
      <c r="L135" s="100">
        <f t="shared" si="3"/>
        <v>10643668.619999999</v>
      </c>
      <c r="M135" s="100">
        <f t="shared" si="3"/>
        <v>9614716.0800000001</v>
      </c>
      <c r="N135" s="100">
        <f t="shared" si="3"/>
        <v>40202706.43</v>
      </c>
      <c r="O135" s="100">
        <f t="shared" si="3"/>
        <v>17542860.43</v>
      </c>
      <c r="P135" s="100">
        <f t="shared" si="3"/>
        <v>1379320.38</v>
      </c>
      <c r="Q135" s="100">
        <f t="shared" si="3"/>
        <v>497.4</v>
      </c>
      <c r="R135" s="100">
        <f t="shared" si="3"/>
        <v>0</v>
      </c>
    </row>
    <row r="136" spans="1:19" ht="12.75" customHeight="1" x14ac:dyDescent="0.25">
      <c r="B136" s="763"/>
      <c r="C136" s="764"/>
      <c r="D136" s="98" t="s">
        <v>73</v>
      </c>
      <c r="E136" s="100">
        <f>E103</f>
        <v>-25163382.48</v>
      </c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</row>
    <row r="137" spans="1:19" ht="12.75" customHeight="1" x14ac:dyDescent="0.3">
      <c r="A137" s="89"/>
      <c r="B137" s="97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</row>
    <row r="138" spans="1:19" ht="12.75" customHeight="1" x14ac:dyDescent="0.25">
      <c r="B138" s="763" t="s">
        <v>160</v>
      </c>
      <c r="C138" s="764" t="s">
        <v>132</v>
      </c>
      <c r="D138" s="223" t="s">
        <v>70</v>
      </c>
      <c r="E138" s="225">
        <f>E95+E74-K74</f>
        <v>16022820.030000001</v>
      </c>
      <c r="F138" s="225">
        <f>F74</f>
        <v>1363563.72</v>
      </c>
      <c r="G138" s="225">
        <f t="shared" ref="G138:R138" si="4">G74</f>
        <v>820950.66</v>
      </c>
      <c r="H138" s="225">
        <f t="shared" si="4"/>
        <v>239170.27</v>
      </c>
      <c r="I138" s="225">
        <f t="shared" si="4"/>
        <v>6922017.6500000004</v>
      </c>
      <c r="J138" s="225">
        <f t="shared" si="4"/>
        <v>207742.91</v>
      </c>
      <c r="K138" s="225">
        <f t="shared" si="4"/>
        <v>0</v>
      </c>
      <c r="L138" s="225">
        <f t="shared" si="4"/>
        <v>2074279.74</v>
      </c>
      <c r="M138" s="225">
        <f t="shared" si="4"/>
        <v>1766598.37</v>
      </c>
      <c r="N138" s="225">
        <f t="shared" si="4"/>
        <v>7092923.6799999997</v>
      </c>
      <c r="O138" s="225">
        <f t="shared" si="4"/>
        <v>2735733.96</v>
      </c>
      <c r="P138" s="225">
        <f t="shared" si="4"/>
        <v>224551.9</v>
      </c>
      <c r="Q138" s="225">
        <f t="shared" si="4"/>
        <v>157.16999999999999</v>
      </c>
      <c r="R138" s="225">
        <f t="shared" si="4"/>
        <v>0</v>
      </c>
    </row>
    <row r="139" spans="1:19" ht="12.75" customHeight="1" x14ac:dyDescent="0.25">
      <c r="B139" s="763"/>
      <c r="C139" s="764"/>
      <c r="D139" s="223" t="s">
        <v>73</v>
      </c>
      <c r="E139" s="225">
        <f>E95</f>
        <v>-7424870</v>
      </c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</row>
    <row r="140" spans="1:19" ht="12.75" customHeight="1" x14ac:dyDescent="0.3">
      <c r="A140" s="89"/>
      <c r="B140" s="97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</row>
    <row r="141" spans="1:19" ht="12.75" customHeight="1" x14ac:dyDescent="0.25">
      <c r="B141" s="763" t="s">
        <v>155</v>
      </c>
      <c r="C141" s="764" t="s">
        <v>132</v>
      </c>
      <c r="D141" s="221" t="s">
        <v>70</v>
      </c>
      <c r="E141" s="222">
        <f>E88+E65-K65</f>
        <v>56389807.619999997</v>
      </c>
      <c r="F141" s="222">
        <f t="shared" ref="F141:R141" si="5">F65</f>
        <v>4330549.46</v>
      </c>
      <c r="G141" s="222">
        <f t="shared" si="5"/>
        <v>2500825.34</v>
      </c>
      <c r="H141" s="222">
        <f t="shared" si="5"/>
        <v>900138.33</v>
      </c>
      <c r="I141" s="222">
        <f t="shared" si="5"/>
        <v>19218828.109999999</v>
      </c>
      <c r="J141" s="222">
        <f t="shared" si="5"/>
        <v>614720.18999999994</v>
      </c>
      <c r="K141" s="222">
        <f t="shared" si="5"/>
        <v>51372.12</v>
      </c>
      <c r="L141" s="222">
        <f t="shared" si="5"/>
        <v>6720576.6200000001</v>
      </c>
      <c r="M141" s="222">
        <f t="shared" si="5"/>
        <v>6169326.2000000002</v>
      </c>
      <c r="N141" s="222">
        <f t="shared" si="5"/>
        <v>26235526.309999999</v>
      </c>
      <c r="O141" s="222">
        <f t="shared" si="5"/>
        <v>8936888.9700000007</v>
      </c>
      <c r="P141" s="222">
        <f t="shared" si="5"/>
        <v>899091.23</v>
      </c>
      <c r="Q141" s="222">
        <f t="shared" si="5"/>
        <v>271.12</v>
      </c>
      <c r="R141" s="222">
        <f t="shared" si="5"/>
        <v>0</v>
      </c>
    </row>
    <row r="142" spans="1:19" ht="12.75" customHeight="1" x14ac:dyDescent="0.25">
      <c r="B142" s="763"/>
      <c r="C142" s="764"/>
      <c r="D142" s="221" t="s">
        <v>73</v>
      </c>
      <c r="E142" s="222">
        <f>E88</f>
        <v>-20136934.260000002</v>
      </c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</row>
    <row r="143" spans="1:19" ht="12.75" customHeight="1" x14ac:dyDescent="0.3">
      <c r="A143" s="89"/>
      <c r="B143" s="97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</row>
    <row r="144" spans="1:19" ht="12.75" customHeight="1" x14ac:dyDescent="0.25">
      <c r="B144" s="766" t="s">
        <v>324</v>
      </c>
      <c r="C144" s="764" t="s">
        <v>132</v>
      </c>
      <c r="D144" s="375" t="s">
        <v>70</v>
      </c>
      <c r="E144" s="376">
        <v>0</v>
      </c>
      <c r="F144" s="376">
        <v>0</v>
      </c>
      <c r="G144" s="376">
        <v>0</v>
      </c>
      <c r="H144" s="376">
        <v>0</v>
      </c>
      <c r="I144" s="376">
        <v>0</v>
      </c>
      <c r="J144" s="376">
        <v>0</v>
      </c>
      <c r="K144" s="376">
        <v>0</v>
      </c>
      <c r="L144" s="376">
        <v>0</v>
      </c>
      <c r="M144" s="376">
        <v>0</v>
      </c>
      <c r="N144" s="376">
        <v>0</v>
      </c>
      <c r="O144" s="376">
        <v>0</v>
      </c>
      <c r="P144" s="376">
        <v>0</v>
      </c>
      <c r="Q144" s="376">
        <v>0</v>
      </c>
      <c r="R144" s="376">
        <v>0</v>
      </c>
    </row>
    <row r="145" spans="1:18" ht="12.75" customHeight="1" x14ac:dyDescent="0.25">
      <c r="B145" s="766"/>
      <c r="C145" s="764"/>
      <c r="D145" s="375" t="s">
        <v>73</v>
      </c>
      <c r="E145" s="376">
        <v>0</v>
      </c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</row>
    <row r="146" spans="1:18" ht="12.75" customHeight="1" x14ac:dyDescent="0.25">
      <c r="B146" s="717"/>
      <c r="C146" s="220"/>
      <c r="D146" s="89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</row>
    <row r="147" spans="1:18" ht="12.75" customHeight="1" x14ac:dyDescent="0.25">
      <c r="B147" s="763" t="s">
        <v>119</v>
      </c>
      <c r="C147" s="764" t="s">
        <v>132</v>
      </c>
      <c r="D147" s="101" t="s">
        <v>70</v>
      </c>
      <c r="E147" s="93">
        <f>E84+E102-K84</f>
        <v>29249470.460000001</v>
      </c>
      <c r="F147" s="93">
        <f t="shared" ref="F147:R147" si="6">F84</f>
        <v>2911479.45</v>
      </c>
      <c r="G147" s="93">
        <f t="shared" si="6"/>
        <v>1615161.04</v>
      </c>
      <c r="H147" s="93">
        <f t="shared" si="6"/>
        <v>765043.56</v>
      </c>
      <c r="I147" s="93">
        <f t="shared" si="6"/>
        <v>4850630.1500000004</v>
      </c>
      <c r="J147" s="93">
        <f t="shared" si="6"/>
        <v>180890.41</v>
      </c>
      <c r="K147" s="93">
        <f t="shared" si="6"/>
        <v>0</v>
      </c>
      <c r="L147" s="93">
        <f t="shared" si="6"/>
        <v>1848812.26</v>
      </c>
      <c r="M147" s="93">
        <f t="shared" si="6"/>
        <v>1678791.51</v>
      </c>
      <c r="N147" s="93">
        <f t="shared" si="6"/>
        <v>6874256.4400000004</v>
      </c>
      <c r="O147" s="93">
        <f t="shared" si="6"/>
        <v>5870237.5</v>
      </c>
      <c r="P147" s="93">
        <f t="shared" si="6"/>
        <v>255677.25</v>
      </c>
      <c r="Q147" s="93">
        <f t="shared" si="6"/>
        <v>69.11</v>
      </c>
      <c r="R147" s="93">
        <f t="shared" si="6"/>
        <v>0</v>
      </c>
    </row>
    <row r="148" spans="1:18" ht="12.75" customHeight="1" x14ac:dyDescent="0.25">
      <c r="B148" s="763"/>
      <c r="C148" s="764"/>
      <c r="D148" s="101" t="s">
        <v>73</v>
      </c>
      <c r="E148" s="93">
        <f>E102</f>
        <v>2398421.7799999998</v>
      </c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</row>
    <row r="149" spans="1:18" ht="12.75" customHeight="1" x14ac:dyDescent="0.3">
      <c r="A149" s="89"/>
      <c r="B149" s="97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</row>
    <row r="150" spans="1:18" ht="12.75" customHeight="1" x14ac:dyDescent="0.25">
      <c r="B150" s="765" t="s">
        <v>161</v>
      </c>
      <c r="C150" s="764" t="s">
        <v>132</v>
      </c>
      <c r="D150" s="231" t="s">
        <v>70</v>
      </c>
      <c r="E150" s="232">
        <v>0</v>
      </c>
      <c r="F150" s="232">
        <v>0</v>
      </c>
      <c r="G150" s="232">
        <v>0</v>
      </c>
      <c r="H150" s="232">
        <v>0</v>
      </c>
      <c r="I150" s="232">
        <v>0</v>
      </c>
      <c r="J150" s="232">
        <v>0</v>
      </c>
      <c r="K150" s="232">
        <v>0</v>
      </c>
      <c r="L150" s="232">
        <v>0</v>
      </c>
      <c r="M150" s="232">
        <v>0</v>
      </c>
      <c r="N150" s="232">
        <v>0</v>
      </c>
      <c r="O150" s="232">
        <v>0</v>
      </c>
      <c r="P150" s="232">
        <v>0</v>
      </c>
      <c r="Q150" s="232">
        <v>0</v>
      </c>
      <c r="R150" s="232">
        <v>0</v>
      </c>
    </row>
    <row r="151" spans="1:18" ht="12.75" customHeight="1" x14ac:dyDescent="0.25">
      <c r="B151" s="765"/>
      <c r="C151" s="764"/>
      <c r="D151" s="231" t="s">
        <v>73</v>
      </c>
      <c r="E151" s="232">
        <v>0</v>
      </c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</row>
    <row r="152" spans="1:18" s="238" customFormat="1" x14ac:dyDescent="0.25"/>
    <row r="153" spans="1:18" ht="13" x14ac:dyDescent="0.3">
      <c r="B153" s="97" t="s">
        <v>76</v>
      </c>
    </row>
    <row r="154" spans="1:18" ht="12.65" customHeight="1" x14ac:dyDescent="0.25">
      <c r="E154" s="89" t="s">
        <v>70</v>
      </c>
      <c r="F154" s="89" t="s">
        <v>64</v>
      </c>
      <c r="G154" s="89" t="s">
        <v>65</v>
      </c>
      <c r="H154" s="219" t="s">
        <v>164</v>
      </c>
      <c r="I154" s="89" t="s">
        <v>69</v>
      </c>
      <c r="J154" s="89" t="s">
        <v>68</v>
      </c>
      <c r="K154" s="89" t="s">
        <v>83</v>
      </c>
      <c r="L154" s="89" t="s">
        <v>66</v>
      </c>
      <c r="M154" s="89" t="s">
        <v>63</v>
      </c>
      <c r="N154" s="89" t="s">
        <v>61</v>
      </c>
      <c r="O154" s="89" t="s">
        <v>62</v>
      </c>
      <c r="P154" s="89" t="s">
        <v>67</v>
      </c>
      <c r="Q154" s="89" t="s">
        <v>84</v>
      </c>
      <c r="R154" s="386" t="s">
        <v>224</v>
      </c>
    </row>
    <row r="155" spans="1:18" ht="12.75" customHeight="1" x14ac:dyDescent="0.25">
      <c r="D155" s="89" t="s">
        <v>72</v>
      </c>
      <c r="E155" s="373">
        <v>23412669.98</v>
      </c>
      <c r="F155" s="90">
        <v>1358095.29</v>
      </c>
      <c r="G155" s="90">
        <v>758078.16</v>
      </c>
      <c r="H155" s="90">
        <v>333219.24</v>
      </c>
      <c r="I155" s="90">
        <v>5453410.1399999997</v>
      </c>
      <c r="J155" s="90">
        <v>184934.16</v>
      </c>
      <c r="K155" s="90">
        <v>45286.42</v>
      </c>
      <c r="L155" s="90">
        <v>2062901.16</v>
      </c>
      <c r="M155" s="90">
        <v>1587462.04</v>
      </c>
      <c r="N155" s="90">
        <v>7131830.5499999998</v>
      </c>
      <c r="O155" s="90">
        <v>4229900.8</v>
      </c>
      <c r="P155" s="90">
        <v>267739.32</v>
      </c>
      <c r="Q155" s="90">
        <v>-187.3</v>
      </c>
      <c r="R155">
        <v>0</v>
      </c>
    </row>
    <row r="156" spans="1:18" ht="12.75" customHeight="1" x14ac:dyDescent="0.25">
      <c r="D156" s="89" t="s">
        <v>81</v>
      </c>
      <c r="E156" s="373">
        <v>31678.880000000001</v>
      </c>
      <c r="F156" s="90">
        <v>1709.01</v>
      </c>
      <c r="G156" s="90">
        <v>964.78</v>
      </c>
      <c r="H156" s="90">
        <v>506.41</v>
      </c>
      <c r="I156" s="90">
        <v>8950.93</v>
      </c>
      <c r="J156" s="90">
        <v>256.97000000000003</v>
      </c>
      <c r="K156" s="90">
        <v>0</v>
      </c>
      <c r="L156" s="90">
        <v>2254.9499999999998</v>
      </c>
      <c r="M156" s="90">
        <v>2193.7600000000002</v>
      </c>
      <c r="N156" s="90">
        <v>10386.23</v>
      </c>
      <c r="O156" s="90">
        <v>4035.96</v>
      </c>
      <c r="P156" s="90">
        <v>419.58</v>
      </c>
      <c r="Q156" s="90">
        <v>0.3</v>
      </c>
      <c r="R156">
        <v>0</v>
      </c>
    </row>
    <row r="157" spans="1:18" ht="12.75" customHeight="1" x14ac:dyDescent="0.25">
      <c r="C157" t="s">
        <v>156</v>
      </c>
      <c r="D157" s="89" t="s">
        <v>70</v>
      </c>
      <c r="E157" s="373">
        <v>23444348.859999999</v>
      </c>
      <c r="F157" s="90">
        <v>1359804.3</v>
      </c>
      <c r="G157" s="90">
        <v>759042.94</v>
      </c>
      <c r="H157" s="90">
        <v>333725.65000000002</v>
      </c>
      <c r="I157" s="90">
        <v>5462361.0700000003</v>
      </c>
      <c r="J157" s="90">
        <v>185191.13</v>
      </c>
      <c r="K157" s="90">
        <v>45286.42</v>
      </c>
      <c r="L157" s="90">
        <v>2065156.11</v>
      </c>
      <c r="M157" s="90">
        <v>1589655.8</v>
      </c>
      <c r="N157" s="90">
        <v>7142216.7800000003</v>
      </c>
      <c r="O157" s="90">
        <v>4233936.76</v>
      </c>
      <c r="P157" s="90">
        <v>268158.90000000002</v>
      </c>
      <c r="Q157" s="90">
        <v>-187</v>
      </c>
      <c r="R157">
        <v>0</v>
      </c>
    </row>
    <row r="158" spans="1:18" s="237" customFormat="1" ht="12.75" customHeight="1" x14ac:dyDescent="0.25">
      <c r="B158" s="237" t="s">
        <v>155</v>
      </c>
      <c r="C158" s="237" t="s">
        <v>70</v>
      </c>
      <c r="D158" s="221"/>
      <c r="E158" s="558">
        <v>23444348.859999999</v>
      </c>
      <c r="F158" s="222">
        <v>1359804.3</v>
      </c>
      <c r="G158" s="222">
        <v>759042.94</v>
      </c>
      <c r="H158" s="222">
        <v>333725.65000000002</v>
      </c>
      <c r="I158" s="222">
        <v>5462361.0700000003</v>
      </c>
      <c r="J158" s="222">
        <v>185191.13</v>
      </c>
      <c r="K158" s="222">
        <v>45286.42</v>
      </c>
      <c r="L158" s="222">
        <v>2065156.11</v>
      </c>
      <c r="M158" s="222">
        <v>1589655.8</v>
      </c>
      <c r="N158" s="222">
        <v>7142216.7800000003</v>
      </c>
      <c r="O158" s="222">
        <v>4233936.76</v>
      </c>
      <c r="P158" s="222">
        <v>268158.90000000002</v>
      </c>
      <c r="Q158" s="222">
        <v>-187</v>
      </c>
      <c r="R158" s="237">
        <v>0</v>
      </c>
    </row>
    <row r="159" spans="1:18" ht="12.65" customHeight="1" x14ac:dyDescent="0.25">
      <c r="D159" t="s">
        <v>72</v>
      </c>
      <c r="E159">
        <v>313320.40000000002</v>
      </c>
      <c r="F159">
        <v>14280.88</v>
      </c>
      <c r="G159">
        <v>7957.22</v>
      </c>
      <c r="H159">
        <v>5582.47</v>
      </c>
      <c r="I159">
        <v>68095.350000000006</v>
      </c>
      <c r="J159">
        <v>3343.86</v>
      </c>
      <c r="K159">
        <v>0</v>
      </c>
      <c r="L159">
        <v>26073.119999999999</v>
      </c>
      <c r="M159">
        <v>28699.919999999998</v>
      </c>
      <c r="N159">
        <v>120348.8</v>
      </c>
      <c r="O159">
        <v>33481.769999999997</v>
      </c>
      <c r="P159">
        <v>5455.8</v>
      </c>
      <c r="Q159">
        <v>1.21</v>
      </c>
      <c r="R159">
        <v>0</v>
      </c>
    </row>
    <row r="160" spans="1:18" ht="12.65" customHeight="1" x14ac:dyDescent="0.25">
      <c r="D160" t="s">
        <v>81</v>
      </c>
      <c r="E160" s="142">
        <v>8.49</v>
      </c>
      <c r="F160">
        <v>0.34</v>
      </c>
      <c r="G160">
        <v>0.19</v>
      </c>
      <c r="H160">
        <v>0.1</v>
      </c>
      <c r="I160">
        <v>2.66</v>
      </c>
      <c r="J160">
        <v>7.0000000000000007E-2</v>
      </c>
      <c r="K160">
        <v>0</v>
      </c>
      <c r="L160">
        <v>0.64</v>
      </c>
      <c r="M160">
        <v>0.62</v>
      </c>
      <c r="N160">
        <v>2.95</v>
      </c>
      <c r="O160">
        <v>0.8</v>
      </c>
      <c r="P160">
        <v>0.12</v>
      </c>
      <c r="Q160">
        <v>0</v>
      </c>
      <c r="R160">
        <v>0</v>
      </c>
    </row>
    <row r="161" spans="1:18" ht="12.75" customHeight="1" x14ac:dyDescent="0.25">
      <c r="C161" t="s">
        <v>82</v>
      </c>
      <c r="D161" t="s">
        <v>70</v>
      </c>
      <c r="E161">
        <v>313328.89</v>
      </c>
      <c r="F161">
        <v>14281.22</v>
      </c>
      <c r="G161">
        <v>7957.41</v>
      </c>
      <c r="H161">
        <v>5582.57</v>
      </c>
      <c r="I161">
        <v>68098.009999999995</v>
      </c>
      <c r="J161">
        <v>3343.93</v>
      </c>
      <c r="K161">
        <v>0</v>
      </c>
      <c r="L161">
        <v>26073.759999999998</v>
      </c>
      <c r="M161">
        <v>28700.54</v>
      </c>
      <c r="N161">
        <v>120351.75</v>
      </c>
      <c r="O161">
        <v>33482.57</v>
      </c>
      <c r="P161">
        <v>5455.92</v>
      </c>
      <c r="Q161">
        <v>1.21</v>
      </c>
      <c r="R161">
        <v>0</v>
      </c>
    </row>
    <row r="162" spans="1:18" ht="12.75" customHeight="1" x14ac:dyDescent="0.25">
      <c r="D162" s="89" t="s">
        <v>72</v>
      </c>
      <c r="E162" s="373">
        <v>133520.76999999999</v>
      </c>
      <c r="F162" s="90">
        <v>8083.84</v>
      </c>
      <c r="G162" s="90">
        <v>4504.2700000000004</v>
      </c>
      <c r="H162" s="90">
        <v>2395.59</v>
      </c>
      <c r="I162" s="90">
        <v>31719.89</v>
      </c>
      <c r="J162" s="90">
        <v>1128.52</v>
      </c>
      <c r="K162" s="90">
        <v>0</v>
      </c>
      <c r="L162" s="90">
        <v>9899.27</v>
      </c>
      <c r="M162" s="90">
        <v>9592.5</v>
      </c>
      <c r="N162" s="90">
        <v>45189.38</v>
      </c>
      <c r="O162" s="90">
        <v>19167.599999999999</v>
      </c>
      <c r="P162" s="90">
        <v>1841.26</v>
      </c>
      <c r="Q162" s="90">
        <v>-1.35</v>
      </c>
      <c r="R162">
        <v>0</v>
      </c>
    </row>
    <row r="163" spans="1:18" ht="12.75" customHeight="1" x14ac:dyDescent="0.25">
      <c r="C163" t="s">
        <v>86</v>
      </c>
      <c r="D163" t="s">
        <v>70</v>
      </c>
      <c r="E163" s="142">
        <v>133520.76999999999</v>
      </c>
      <c r="F163">
        <v>8083.84</v>
      </c>
      <c r="G163">
        <v>4504.2700000000004</v>
      </c>
      <c r="H163">
        <v>2395.59</v>
      </c>
      <c r="I163">
        <v>31719.89</v>
      </c>
      <c r="J163">
        <v>1128.52</v>
      </c>
      <c r="K163">
        <v>0</v>
      </c>
      <c r="L163">
        <v>9899.27</v>
      </c>
      <c r="M163">
        <v>9592.5</v>
      </c>
      <c r="N163">
        <v>45189.38</v>
      </c>
      <c r="O163">
        <v>19167.599999999999</v>
      </c>
      <c r="P163">
        <v>1841.26</v>
      </c>
      <c r="Q163">
        <v>-1.35</v>
      </c>
      <c r="R163">
        <v>0</v>
      </c>
    </row>
    <row r="164" spans="1:18" ht="12.75" customHeight="1" x14ac:dyDescent="0.25">
      <c r="D164" t="s">
        <v>72</v>
      </c>
      <c r="E164" s="142">
        <v>1142772.19</v>
      </c>
      <c r="F164">
        <v>161068.92000000001</v>
      </c>
      <c r="G164">
        <v>87492.96</v>
      </c>
      <c r="H164">
        <v>46172.74</v>
      </c>
      <c r="I164">
        <v>149011.65</v>
      </c>
      <c r="J164">
        <v>5870.56</v>
      </c>
      <c r="K164">
        <v>0</v>
      </c>
      <c r="L164">
        <v>50689.32</v>
      </c>
      <c r="M164">
        <v>45497.51</v>
      </c>
      <c r="N164">
        <v>209080.12</v>
      </c>
      <c r="O164">
        <v>378310.28</v>
      </c>
      <c r="P164">
        <v>9578.27</v>
      </c>
      <c r="Q164">
        <v>-0.14000000000000001</v>
      </c>
      <c r="R164">
        <v>0</v>
      </c>
    </row>
    <row r="165" spans="1:18" ht="12.75" customHeight="1" x14ac:dyDescent="0.25">
      <c r="D165" t="s">
        <v>81</v>
      </c>
      <c r="E165" s="142">
        <v>27428.84</v>
      </c>
      <c r="F165">
        <v>4699.72</v>
      </c>
      <c r="G165">
        <v>2398.9299999999998</v>
      </c>
      <c r="H165">
        <v>1264.01</v>
      </c>
      <c r="I165">
        <v>2557.6999999999998</v>
      </c>
      <c r="J165">
        <v>103.81</v>
      </c>
      <c r="K165">
        <v>0</v>
      </c>
      <c r="L165">
        <v>910.54</v>
      </c>
      <c r="M165">
        <v>829.73</v>
      </c>
      <c r="N165">
        <v>3562.44</v>
      </c>
      <c r="O165">
        <v>10932.41</v>
      </c>
      <c r="P165">
        <v>169.37</v>
      </c>
      <c r="Q165">
        <v>0.18</v>
      </c>
      <c r="R165">
        <v>0</v>
      </c>
    </row>
    <row r="166" spans="1:18" ht="12.75" customHeight="1" x14ac:dyDescent="0.25">
      <c r="A166" s="89"/>
      <c r="B166" s="89"/>
      <c r="C166" t="s">
        <v>87</v>
      </c>
      <c r="D166" t="s">
        <v>70</v>
      </c>
      <c r="E166" s="90">
        <v>1170201.03</v>
      </c>
      <c r="F166" s="90">
        <v>165768.64000000001</v>
      </c>
      <c r="G166" s="90">
        <v>89891.89</v>
      </c>
      <c r="H166" s="90">
        <v>47436.75</v>
      </c>
      <c r="I166" s="90">
        <v>151569.35</v>
      </c>
      <c r="J166" s="90">
        <v>5974.37</v>
      </c>
      <c r="K166" s="90">
        <v>0</v>
      </c>
      <c r="L166" s="90">
        <v>51599.86</v>
      </c>
      <c r="M166" s="90">
        <v>46327.24</v>
      </c>
      <c r="N166" s="90">
        <v>212642.56</v>
      </c>
      <c r="O166" s="90">
        <v>389242.69</v>
      </c>
      <c r="P166" s="90">
        <v>9747.64</v>
      </c>
      <c r="Q166" s="90">
        <v>0.04</v>
      </c>
      <c r="R166">
        <v>0</v>
      </c>
    </row>
    <row r="167" spans="1:18" s="94" customFormat="1" ht="12.75" customHeight="1" x14ac:dyDescent="0.25">
      <c r="A167" s="101"/>
      <c r="B167" s="101" t="s">
        <v>119</v>
      </c>
      <c r="C167" s="94" t="s">
        <v>70</v>
      </c>
      <c r="E167" s="93">
        <v>1617050.69</v>
      </c>
      <c r="F167" s="93">
        <v>188133.7</v>
      </c>
      <c r="G167" s="93">
        <v>102353.57</v>
      </c>
      <c r="H167" s="93">
        <v>55414.91</v>
      </c>
      <c r="I167" s="93">
        <v>251387.25</v>
      </c>
      <c r="J167" s="93">
        <v>10446.82</v>
      </c>
      <c r="K167" s="93">
        <v>0</v>
      </c>
      <c r="L167" s="93">
        <v>87572.89</v>
      </c>
      <c r="M167" s="93">
        <v>84620.28</v>
      </c>
      <c r="N167" s="93">
        <v>378183.69</v>
      </c>
      <c r="O167" s="93">
        <v>441892.86</v>
      </c>
      <c r="P167" s="93">
        <v>17044.82</v>
      </c>
      <c r="Q167" s="93">
        <v>-0.1</v>
      </c>
      <c r="R167" s="94">
        <v>0</v>
      </c>
    </row>
    <row r="168" spans="1:18" s="226" customFormat="1" ht="12.75" customHeight="1" x14ac:dyDescent="0.25">
      <c r="A168" s="226" t="s">
        <v>78</v>
      </c>
      <c r="B168" s="226" t="s">
        <v>70</v>
      </c>
      <c r="D168" s="98"/>
      <c r="E168" s="100">
        <v>25061399.550000001</v>
      </c>
      <c r="F168" s="100">
        <v>1547938</v>
      </c>
      <c r="G168" s="100">
        <v>861396.51</v>
      </c>
      <c r="H168" s="100">
        <v>389140.56</v>
      </c>
      <c r="I168" s="100">
        <v>5713748.3200000003</v>
      </c>
      <c r="J168" s="100">
        <v>195637.95</v>
      </c>
      <c r="K168" s="100">
        <v>45286.42</v>
      </c>
      <c r="L168" s="100">
        <v>2152729</v>
      </c>
      <c r="M168" s="100">
        <v>1674276.08</v>
      </c>
      <c r="N168" s="100">
        <v>7520400.4699999997</v>
      </c>
      <c r="O168" s="100">
        <v>4675829.62</v>
      </c>
      <c r="P168" s="100">
        <v>285203.71999999997</v>
      </c>
      <c r="Q168" s="100">
        <v>-187.1</v>
      </c>
      <c r="R168" s="226">
        <v>0</v>
      </c>
    </row>
    <row r="169" spans="1:18" ht="12.75" customHeight="1" x14ac:dyDescent="0.25">
      <c r="C169" s="89"/>
      <c r="D169" s="89" t="s">
        <v>73</v>
      </c>
      <c r="E169" s="373">
        <v>-1570889.74</v>
      </c>
      <c r="F169" s="90">
        <v>145657.76999999999</v>
      </c>
      <c r="G169" s="90">
        <v>71033.34</v>
      </c>
      <c r="H169" s="90">
        <v>42248.6</v>
      </c>
      <c r="I169" s="90">
        <v>-694566.40000000002</v>
      </c>
      <c r="J169" s="90">
        <v>-24568.18</v>
      </c>
      <c r="K169" s="90">
        <v>0</v>
      </c>
      <c r="L169" s="90">
        <v>-213879.14</v>
      </c>
      <c r="M169" s="90">
        <v>-208828.63</v>
      </c>
      <c r="N169" s="90">
        <v>-983891.58</v>
      </c>
      <c r="O169" s="90">
        <v>335989.02</v>
      </c>
      <c r="P169" s="90">
        <v>-40084.54</v>
      </c>
      <c r="Q169" s="90">
        <v>0</v>
      </c>
      <c r="R169">
        <v>0</v>
      </c>
    </row>
    <row r="170" spans="1:18" ht="12.75" customHeight="1" x14ac:dyDescent="0.25">
      <c r="C170" s="89" t="s">
        <v>156</v>
      </c>
      <c r="D170" s="89" t="s">
        <v>70</v>
      </c>
      <c r="E170" s="373">
        <v>-1570889.74</v>
      </c>
      <c r="F170" s="90">
        <v>145657.76999999999</v>
      </c>
      <c r="G170" s="90">
        <v>71033.34</v>
      </c>
      <c r="H170" s="90">
        <v>42248.6</v>
      </c>
      <c r="I170" s="90">
        <v>-694566.40000000002</v>
      </c>
      <c r="J170" s="90">
        <v>-24568.18</v>
      </c>
      <c r="K170" s="90">
        <v>0</v>
      </c>
      <c r="L170" s="90">
        <v>-213879.14</v>
      </c>
      <c r="M170" s="90">
        <v>-208828.63</v>
      </c>
      <c r="N170" s="90">
        <v>-983891.58</v>
      </c>
      <c r="O170" s="90">
        <v>335989.02</v>
      </c>
      <c r="P170" s="90">
        <v>-40084.54</v>
      </c>
      <c r="Q170" s="90">
        <v>0</v>
      </c>
      <c r="R170">
        <v>0</v>
      </c>
    </row>
    <row r="171" spans="1:18" s="237" customFormat="1" ht="12.75" customHeight="1" x14ac:dyDescent="0.25">
      <c r="B171" s="237" t="s">
        <v>155</v>
      </c>
      <c r="C171" s="221" t="s">
        <v>70</v>
      </c>
      <c r="D171" s="221"/>
      <c r="E171" s="558">
        <v>-1570889.74</v>
      </c>
      <c r="F171" s="222">
        <v>145657.76999999999</v>
      </c>
      <c r="G171" s="222">
        <v>71033.34</v>
      </c>
      <c r="H171" s="222">
        <v>42248.6</v>
      </c>
      <c r="I171" s="222">
        <v>-694566.40000000002</v>
      </c>
      <c r="J171" s="222">
        <v>-24568.18</v>
      </c>
      <c r="K171" s="222">
        <v>0</v>
      </c>
      <c r="L171" s="222">
        <v>-213879.14</v>
      </c>
      <c r="M171" s="222">
        <v>-208828.63</v>
      </c>
      <c r="N171" s="222">
        <v>-983891.58</v>
      </c>
      <c r="O171" s="222">
        <v>335989.02</v>
      </c>
      <c r="P171" s="222">
        <v>-40084.54</v>
      </c>
      <c r="Q171" s="222">
        <v>0</v>
      </c>
      <c r="R171" s="237">
        <v>0</v>
      </c>
    </row>
    <row r="172" spans="1:18" ht="12.75" customHeight="1" x14ac:dyDescent="0.25">
      <c r="C172" s="89"/>
      <c r="D172" s="89" t="s">
        <v>73</v>
      </c>
      <c r="E172" s="373">
        <v>-29555.06</v>
      </c>
      <c r="F172" s="90">
        <v>795.53</v>
      </c>
      <c r="G172" s="90">
        <v>443.29</v>
      </c>
      <c r="H172" s="90">
        <v>235.74</v>
      </c>
      <c r="I172" s="90">
        <v>-10523.57</v>
      </c>
      <c r="J172" s="90">
        <v>-371.56</v>
      </c>
      <c r="K172" s="90">
        <v>0</v>
      </c>
      <c r="L172" s="90">
        <v>-3259.16</v>
      </c>
      <c r="M172" s="90">
        <v>-3188.87</v>
      </c>
      <c r="N172" s="90">
        <v>-14966.57</v>
      </c>
      <c r="O172" s="90">
        <v>1886.31</v>
      </c>
      <c r="P172" s="90">
        <v>-606.20000000000005</v>
      </c>
      <c r="Q172" s="90">
        <v>0</v>
      </c>
      <c r="R172">
        <v>0</v>
      </c>
    </row>
    <row r="173" spans="1:18" ht="12.75" customHeight="1" x14ac:dyDescent="0.25">
      <c r="C173" t="s">
        <v>82</v>
      </c>
      <c r="D173" t="s">
        <v>70</v>
      </c>
      <c r="E173">
        <v>-29555.06</v>
      </c>
      <c r="F173">
        <v>795.53</v>
      </c>
      <c r="G173">
        <v>443.29</v>
      </c>
      <c r="H173">
        <v>235.74</v>
      </c>
      <c r="I173">
        <v>-10523.57</v>
      </c>
      <c r="J173">
        <v>-371.56</v>
      </c>
      <c r="K173">
        <v>0</v>
      </c>
      <c r="L173">
        <v>-3259.16</v>
      </c>
      <c r="M173">
        <v>-3188.87</v>
      </c>
      <c r="N173">
        <v>-14966.57</v>
      </c>
      <c r="O173">
        <v>1886.31</v>
      </c>
      <c r="P173">
        <v>-606.20000000000005</v>
      </c>
      <c r="Q173">
        <v>0</v>
      </c>
      <c r="R173">
        <v>0</v>
      </c>
    </row>
    <row r="174" spans="1:18" ht="12.75" customHeight="1" x14ac:dyDescent="0.25">
      <c r="D174" t="s">
        <v>73</v>
      </c>
      <c r="E174">
        <v>-2934.58</v>
      </c>
      <c r="F174">
        <v>1321.93</v>
      </c>
      <c r="G174">
        <v>736.57</v>
      </c>
      <c r="H174">
        <v>-283.47000000000003</v>
      </c>
      <c r="I174">
        <v>-1250.79</v>
      </c>
      <c r="J174">
        <v>-20.67</v>
      </c>
      <c r="K174">
        <v>0</v>
      </c>
      <c r="L174">
        <v>-181.24</v>
      </c>
      <c r="M174">
        <v>-163.32</v>
      </c>
      <c r="N174">
        <v>-791.78</v>
      </c>
      <c r="O174">
        <v>-2268.1</v>
      </c>
      <c r="P174">
        <v>-33.71</v>
      </c>
      <c r="Q174">
        <v>0</v>
      </c>
      <c r="R174">
        <v>0</v>
      </c>
    </row>
    <row r="175" spans="1:18" ht="12.75" customHeight="1" x14ac:dyDescent="0.25">
      <c r="C175" t="s">
        <v>86</v>
      </c>
      <c r="D175" t="s">
        <v>70</v>
      </c>
      <c r="E175">
        <v>-2934.58</v>
      </c>
      <c r="F175">
        <v>1321.93</v>
      </c>
      <c r="G175">
        <v>736.57</v>
      </c>
      <c r="H175">
        <v>-283.47000000000003</v>
      </c>
      <c r="I175">
        <v>-1250.79</v>
      </c>
      <c r="J175">
        <v>-20.67</v>
      </c>
      <c r="K175">
        <v>0</v>
      </c>
      <c r="L175">
        <v>-181.24</v>
      </c>
      <c r="M175">
        <v>-163.32</v>
      </c>
      <c r="N175">
        <v>-791.78</v>
      </c>
      <c r="O175">
        <v>-2268.1</v>
      </c>
      <c r="P175">
        <v>-33.71</v>
      </c>
      <c r="Q175">
        <v>0</v>
      </c>
      <c r="R175">
        <v>0</v>
      </c>
    </row>
    <row r="176" spans="1:18" ht="12.75" customHeight="1" x14ac:dyDescent="0.25">
      <c r="D176" s="89" t="s">
        <v>73</v>
      </c>
      <c r="E176" s="90">
        <v>171193.68</v>
      </c>
      <c r="F176" s="90">
        <v>15975.28</v>
      </c>
      <c r="G176" s="90">
        <v>32180.91</v>
      </c>
      <c r="H176" s="90">
        <v>6977.15</v>
      </c>
      <c r="I176" s="90">
        <v>26766.48</v>
      </c>
      <c r="J176" s="90">
        <v>1132.58</v>
      </c>
      <c r="K176" s="90">
        <v>0</v>
      </c>
      <c r="L176" s="90">
        <v>9934.65</v>
      </c>
      <c r="M176" s="90">
        <v>8844.73</v>
      </c>
      <c r="N176" s="90">
        <v>31302.53</v>
      </c>
      <c r="O176" s="90">
        <v>36231.53</v>
      </c>
      <c r="P176" s="90">
        <v>1847.84</v>
      </c>
      <c r="Q176" s="90">
        <v>0</v>
      </c>
      <c r="R176">
        <v>0</v>
      </c>
    </row>
    <row r="177" spans="1:18" ht="12.75" customHeight="1" x14ac:dyDescent="0.25">
      <c r="C177" t="s">
        <v>87</v>
      </c>
      <c r="D177" s="89" t="s">
        <v>70</v>
      </c>
      <c r="E177" s="90">
        <v>171193.68</v>
      </c>
      <c r="F177" s="90">
        <v>15975.28</v>
      </c>
      <c r="G177" s="90">
        <v>32180.91</v>
      </c>
      <c r="H177" s="90">
        <v>6977.15</v>
      </c>
      <c r="I177" s="90">
        <v>26766.48</v>
      </c>
      <c r="J177" s="90">
        <v>1132.58</v>
      </c>
      <c r="K177" s="90">
        <v>0</v>
      </c>
      <c r="L177" s="90">
        <v>9934.65</v>
      </c>
      <c r="M177" s="90">
        <v>8844.73</v>
      </c>
      <c r="N177" s="90">
        <v>31302.53</v>
      </c>
      <c r="O177" s="90">
        <v>36231.53</v>
      </c>
      <c r="P177" s="90">
        <v>1847.84</v>
      </c>
      <c r="Q177" s="90">
        <v>0</v>
      </c>
      <c r="R177">
        <v>0</v>
      </c>
    </row>
    <row r="178" spans="1:18" s="94" customFormat="1" ht="12.75" customHeight="1" x14ac:dyDescent="0.25">
      <c r="B178" s="101" t="s">
        <v>119</v>
      </c>
      <c r="C178" s="101" t="s">
        <v>70</v>
      </c>
      <c r="E178" s="93">
        <v>138704.04</v>
      </c>
      <c r="F178" s="93">
        <v>18092.740000000002</v>
      </c>
      <c r="G178" s="93">
        <v>33360.769999999997</v>
      </c>
      <c r="H178" s="93">
        <v>6929.42</v>
      </c>
      <c r="I178" s="93">
        <v>14992.12</v>
      </c>
      <c r="J178" s="93">
        <v>740.35</v>
      </c>
      <c r="K178" s="93">
        <v>0</v>
      </c>
      <c r="L178" s="93">
        <v>6494.25</v>
      </c>
      <c r="M178" s="93">
        <v>5492.54</v>
      </c>
      <c r="N178" s="93">
        <v>15544.18</v>
      </c>
      <c r="O178" s="93">
        <v>35849.74</v>
      </c>
      <c r="P178" s="93">
        <v>1207.93</v>
      </c>
      <c r="Q178" s="93">
        <v>0</v>
      </c>
      <c r="R178" s="94">
        <v>0</v>
      </c>
    </row>
    <row r="179" spans="1:18" s="226" customFormat="1" ht="12.75" customHeight="1" x14ac:dyDescent="0.25">
      <c r="A179" s="98" t="s">
        <v>79</v>
      </c>
      <c r="B179" s="98" t="s">
        <v>70</v>
      </c>
      <c r="E179" s="100">
        <v>-1432185.7</v>
      </c>
      <c r="F179" s="100">
        <v>163750.51</v>
      </c>
      <c r="G179" s="100">
        <v>104394.11</v>
      </c>
      <c r="H179" s="100">
        <v>49178.02</v>
      </c>
      <c r="I179" s="100">
        <v>-679574.28</v>
      </c>
      <c r="J179" s="100">
        <v>-23827.83</v>
      </c>
      <c r="K179" s="100">
        <v>0</v>
      </c>
      <c r="L179" s="100">
        <v>-207384.89</v>
      </c>
      <c r="M179" s="100">
        <v>-203336.09</v>
      </c>
      <c r="N179" s="100">
        <v>-968347.4</v>
      </c>
      <c r="O179" s="100">
        <v>371838.76</v>
      </c>
      <c r="P179" s="100">
        <v>-38876.61</v>
      </c>
      <c r="Q179" s="100">
        <v>0</v>
      </c>
      <c r="R179" s="226">
        <v>0</v>
      </c>
    </row>
    <row r="180" spans="1:18" ht="12.75" customHeight="1" x14ac:dyDescent="0.25">
      <c r="A180" s="89" t="s">
        <v>70</v>
      </c>
      <c r="E180" s="90">
        <v>23629213.850000001</v>
      </c>
      <c r="F180" s="90">
        <v>1711688.51</v>
      </c>
      <c r="G180" s="90">
        <v>965790.62</v>
      </c>
      <c r="H180" s="90">
        <v>438318.58</v>
      </c>
      <c r="I180" s="90">
        <v>5034174.04</v>
      </c>
      <c r="J180" s="90">
        <v>171810.12</v>
      </c>
      <c r="K180" s="90">
        <v>45286.42</v>
      </c>
      <c r="L180" s="90">
        <v>1945344.11</v>
      </c>
      <c r="M180" s="90">
        <v>1470939.99</v>
      </c>
      <c r="N180" s="90">
        <v>6552053.0700000003</v>
      </c>
      <c r="O180" s="90">
        <v>5047668.38</v>
      </c>
      <c r="P180" s="90">
        <v>246327.11</v>
      </c>
      <c r="Q180" s="90">
        <v>-187.1</v>
      </c>
      <c r="R180">
        <v>0</v>
      </c>
    </row>
    <row r="181" spans="1:18" ht="12.75" customHeight="1" x14ac:dyDescent="0.25">
      <c r="A181" s="89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</row>
    <row r="182" spans="1:18" ht="12.75" hidden="1" customHeight="1" x14ac:dyDescent="0.25">
      <c r="A182" s="89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</row>
    <row r="183" spans="1:18" ht="12.75" hidden="1" customHeight="1" x14ac:dyDescent="0.25">
      <c r="A183" s="89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</row>
    <row r="184" spans="1:18" ht="12.75" hidden="1" customHeight="1" x14ac:dyDescent="0.25">
      <c r="A184" s="89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</row>
    <row r="185" spans="1:18" ht="12.75" hidden="1" customHeight="1" x14ac:dyDescent="0.25">
      <c r="A185" s="89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</row>
    <row r="186" spans="1:18" ht="12.75" hidden="1" customHeight="1" x14ac:dyDescent="0.25">
      <c r="A186" s="89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</row>
    <row r="187" spans="1:18" ht="12.75" hidden="1" customHeight="1" x14ac:dyDescent="0.25">
      <c r="A187" s="89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</row>
    <row r="188" spans="1:18" ht="12.75" hidden="1" customHeight="1" x14ac:dyDescent="0.25">
      <c r="A188" s="89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</row>
    <row r="189" spans="1:18" ht="12.75" hidden="1" customHeight="1" x14ac:dyDescent="0.25">
      <c r="A189" s="89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</row>
    <row r="190" spans="1:18" ht="12.75" hidden="1" customHeight="1" x14ac:dyDescent="0.25">
      <c r="A190" s="89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</row>
    <row r="191" spans="1:18" ht="12.75" hidden="1" customHeight="1" x14ac:dyDescent="0.25">
      <c r="A191" s="89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</row>
    <row r="192" spans="1:18" ht="12.75" hidden="1" customHeight="1" x14ac:dyDescent="0.25">
      <c r="A192" s="89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</row>
    <row r="193" spans="1:17" ht="12.75" hidden="1" customHeight="1" x14ac:dyDescent="0.25">
      <c r="A193" s="89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</row>
    <row r="194" spans="1:17" ht="12.75" hidden="1" customHeight="1" x14ac:dyDescent="0.25">
      <c r="A194" s="89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</row>
    <row r="195" spans="1:17" ht="12.75" hidden="1" customHeight="1" x14ac:dyDescent="0.25">
      <c r="A195" s="89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</row>
    <row r="196" spans="1:17" ht="12.75" hidden="1" customHeight="1" x14ac:dyDescent="0.25">
      <c r="A196" s="89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</row>
    <row r="197" spans="1:17" ht="12.75" hidden="1" customHeight="1" x14ac:dyDescent="0.25">
      <c r="A197" s="89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</row>
    <row r="198" spans="1:17" ht="12.75" hidden="1" customHeight="1" x14ac:dyDescent="0.25">
      <c r="A198" s="89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</row>
    <row r="199" spans="1:17" ht="12.75" hidden="1" customHeight="1" x14ac:dyDescent="0.25">
      <c r="A199" s="89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</row>
    <row r="200" spans="1:17" ht="12.75" hidden="1" customHeight="1" x14ac:dyDescent="0.25">
      <c r="A200" s="89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</row>
    <row r="201" spans="1:17" ht="12.75" hidden="1" customHeight="1" x14ac:dyDescent="0.25">
      <c r="A201" s="89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</row>
    <row r="202" spans="1:17" ht="12.75" hidden="1" customHeight="1" x14ac:dyDescent="0.25">
      <c r="A202" s="89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</row>
    <row r="203" spans="1:17" ht="12.75" hidden="1" customHeight="1" x14ac:dyDescent="0.25">
      <c r="A203" s="89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</row>
    <row r="204" spans="1:17" ht="12.75" hidden="1" customHeight="1" x14ac:dyDescent="0.25">
      <c r="A204" s="89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</row>
    <row r="205" spans="1:17" ht="12.75" hidden="1" customHeight="1" x14ac:dyDescent="0.25">
      <c r="A205" s="89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</row>
    <row r="206" spans="1:17" ht="12.75" hidden="1" customHeight="1" x14ac:dyDescent="0.25">
      <c r="A206" s="89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</row>
    <row r="207" spans="1:17" ht="12.75" hidden="1" customHeight="1" x14ac:dyDescent="0.25">
      <c r="A207" s="89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</row>
    <row r="208" spans="1:17" ht="12.75" hidden="1" customHeight="1" x14ac:dyDescent="0.25">
      <c r="A208" s="89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</row>
    <row r="209" spans="1:18" ht="12.75" hidden="1" customHeight="1" x14ac:dyDescent="0.25">
      <c r="A209" s="89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</row>
    <row r="210" spans="1:18" ht="12.75" hidden="1" customHeight="1" x14ac:dyDescent="0.25">
      <c r="A210" s="89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</row>
    <row r="211" spans="1:18" ht="12.75" hidden="1" customHeight="1" x14ac:dyDescent="0.25">
      <c r="A211" s="89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</row>
    <row r="212" spans="1:18" ht="12.75" customHeight="1" x14ac:dyDescent="0.25">
      <c r="C212" s="89"/>
      <c r="D212" s="89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</row>
    <row r="213" spans="1:18" ht="12.75" hidden="1" customHeight="1" x14ac:dyDescent="0.25">
      <c r="D213" s="89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</row>
    <row r="214" spans="1:18" ht="12.75" hidden="1" customHeight="1" x14ac:dyDescent="0.25">
      <c r="C214" s="89"/>
      <c r="D214" s="89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</row>
    <row r="215" spans="1:18" ht="12.75" hidden="1" customHeight="1" x14ac:dyDescent="0.25">
      <c r="D215" s="89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</row>
    <row r="216" spans="1:18" ht="12.75" hidden="1" customHeight="1" x14ac:dyDescent="0.25">
      <c r="C216" s="89"/>
      <c r="D216" s="89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</row>
    <row r="217" spans="1:18" ht="12.75" hidden="1" customHeight="1" x14ac:dyDescent="0.25">
      <c r="B217" s="89"/>
      <c r="C217" s="89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</row>
    <row r="218" spans="1:18" ht="12.75" hidden="1" customHeight="1" x14ac:dyDescent="0.25">
      <c r="A218" s="89"/>
      <c r="B218" s="89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</row>
    <row r="219" spans="1:18" ht="12.75" hidden="1" customHeight="1" x14ac:dyDescent="0.25">
      <c r="A219" s="89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</row>
    <row r="220" spans="1:18" ht="12.75" hidden="1" customHeight="1" x14ac:dyDescent="0.25">
      <c r="A220" s="89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</row>
    <row r="221" spans="1:18" ht="12.75" hidden="1" customHeight="1" x14ac:dyDescent="0.25">
      <c r="A221" s="89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</row>
    <row r="222" spans="1:18" ht="12.75" hidden="1" customHeight="1" x14ac:dyDescent="0.25">
      <c r="A222" s="89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</row>
    <row r="223" spans="1:18" ht="12.75" hidden="1" customHeight="1" x14ac:dyDescent="0.25">
      <c r="A223" s="89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</row>
    <row r="224" spans="1:18" ht="12.75" hidden="1" customHeight="1" x14ac:dyDescent="0.25">
      <c r="A224" s="89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</row>
    <row r="225" spans="1:17" ht="12.75" hidden="1" customHeight="1" x14ac:dyDescent="0.25">
      <c r="A225" s="89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</row>
    <row r="226" spans="1:17" ht="12.75" hidden="1" customHeight="1" x14ac:dyDescent="0.25">
      <c r="A226" s="89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</row>
    <row r="227" spans="1:17" ht="12.75" hidden="1" customHeight="1" x14ac:dyDescent="0.25">
      <c r="A227" s="89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</row>
    <row r="228" spans="1:17" ht="12.75" hidden="1" customHeight="1" x14ac:dyDescent="0.25">
      <c r="A228" s="89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</row>
    <row r="229" spans="1:17" ht="12.75" hidden="1" customHeight="1" x14ac:dyDescent="0.25">
      <c r="A229" s="89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</row>
    <row r="230" spans="1:17" ht="12.75" hidden="1" customHeight="1" x14ac:dyDescent="0.25">
      <c r="A230" s="89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</row>
    <row r="231" spans="1:17" ht="12.75" hidden="1" customHeight="1" x14ac:dyDescent="0.25">
      <c r="A231" s="89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</row>
    <row r="232" spans="1:17" ht="12.75" hidden="1" customHeight="1" x14ac:dyDescent="0.25">
      <c r="A232" s="89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</row>
    <row r="233" spans="1:17" ht="12.75" hidden="1" customHeight="1" x14ac:dyDescent="0.25">
      <c r="A233" s="89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</row>
    <row r="234" spans="1:17" ht="12.75" hidden="1" customHeight="1" x14ac:dyDescent="0.25">
      <c r="A234" s="89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</row>
    <row r="235" spans="1:17" ht="12.75" hidden="1" customHeight="1" x14ac:dyDescent="0.25">
      <c r="A235" s="89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</row>
    <row r="236" spans="1:17" ht="12.75" hidden="1" customHeight="1" x14ac:dyDescent="0.25">
      <c r="A236" s="89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</row>
    <row r="237" spans="1:17" ht="12.75" hidden="1" customHeight="1" x14ac:dyDescent="0.25">
      <c r="A237" s="89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</row>
    <row r="238" spans="1:17" ht="12.75" hidden="1" customHeight="1" x14ac:dyDescent="0.25">
      <c r="A238" s="89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</row>
    <row r="239" spans="1:17" ht="12.75" hidden="1" customHeight="1" x14ac:dyDescent="0.25">
      <c r="A239" s="89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</row>
    <row r="240" spans="1:17" ht="12.75" hidden="1" customHeight="1" x14ac:dyDescent="0.25">
      <c r="A240" s="89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</row>
    <row r="241" spans="1:18" ht="12.75" hidden="1" customHeight="1" x14ac:dyDescent="0.25">
      <c r="A241" s="89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</row>
    <row r="242" spans="1:18" ht="12.75" hidden="1" customHeight="1" x14ac:dyDescent="0.25">
      <c r="A242" s="89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</row>
    <row r="243" spans="1:18" ht="12.75" hidden="1" customHeight="1" x14ac:dyDescent="0.25">
      <c r="A243" s="89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</row>
    <row r="244" spans="1:18" ht="12.75" hidden="1" customHeight="1" x14ac:dyDescent="0.25">
      <c r="A244" s="89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</row>
    <row r="245" spans="1:18" ht="12.75" hidden="1" customHeight="1" x14ac:dyDescent="0.25">
      <c r="A245" s="89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</row>
    <row r="246" spans="1:18" ht="12.75" hidden="1" customHeight="1" x14ac:dyDescent="0.25">
      <c r="A246" s="89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</row>
    <row r="247" spans="1:18" ht="12.75" customHeight="1" x14ac:dyDescent="0.25">
      <c r="A247" s="89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</row>
    <row r="248" spans="1:18" ht="12.75" customHeight="1" x14ac:dyDescent="0.25">
      <c r="B248" s="763" t="s">
        <v>2</v>
      </c>
      <c r="C248" s="764" t="s">
        <v>132</v>
      </c>
      <c r="D248" s="98" t="s">
        <v>70</v>
      </c>
      <c r="E248" s="100">
        <f>E168+E179-K168</f>
        <v>23583927.43</v>
      </c>
      <c r="F248" s="100">
        <f>F168</f>
        <v>1547938</v>
      </c>
      <c r="G248" s="100">
        <f t="shared" ref="G248:R248" si="7">G168</f>
        <v>861396.51</v>
      </c>
      <c r="H248" s="100">
        <f t="shared" si="7"/>
        <v>389140.56</v>
      </c>
      <c r="I248" s="100">
        <f t="shared" si="7"/>
        <v>5713748.3200000003</v>
      </c>
      <c r="J248" s="100">
        <f t="shared" si="7"/>
        <v>195637.95</v>
      </c>
      <c r="K248" s="100">
        <f t="shared" si="7"/>
        <v>45286.42</v>
      </c>
      <c r="L248" s="100">
        <f t="shared" si="7"/>
        <v>2152729</v>
      </c>
      <c r="M248" s="100">
        <f t="shared" si="7"/>
        <v>1674276.08</v>
      </c>
      <c r="N248" s="100">
        <f t="shared" si="7"/>
        <v>7520400.4699999997</v>
      </c>
      <c r="O248" s="100">
        <f t="shared" si="7"/>
        <v>4675829.62</v>
      </c>
      <c r="P248" s="100">
        <f t="shared" si="7"/>
        <v>285203.71999999997</v>
      </c>
      <c r="Q248" s="100">
        <f t="shared" si="7"/>
        <v>-187.1</v>
      </c>
      <c r="R248" s="100">
        <f t="shared" si="7"/>
        <v>0</v>
      </c>
    </row>
    <row r="249" spans="1:18" ht="12.75" customHeight="1" x14ac:dyDescent="0.25">
      <c r="B249" s="763"/>
      <c r="C249" s="764"/>
      <c r="D249" s="98" t="s">
        <v>73</v>
      </c>
      <c r="E249" s="100">
        <f>E179</f>
        <v>-1432185.7</v>
      </c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</row>
    <row r="250" spans="1:18" ht="12.75" customHeight="1" x14ac:dyDescent="0.3">
      <c r="A250" s="89"/>
      <c r="B250" s="97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</row>
    <row r="251" spans="1:18" ht="12.75" customHeight="1" x14ac:dyDescent="0.25">
      <c r="B251" s="763" t="s">
        <v>160</v>
      </c>
      <c r="C251" s="764" t="s">
        <v>132</v>
      </c>
      <c r="D251" s="223" t="s">
        <v>70</v>
      </c>
      <c r="E251" s="225">
        <v>0</v>
      </c>
      <c r="F251" s="225">
        <v>0</v>
      </c>
      <c r="G251" s="225">
        <v>0</v>
      </c>
      <c r="H251" s="225">
        <v>0</v>
      </c>
      <c r="I251" s="225">
        <v>0</v>
      </c>
      <c r="J251" s="225">
        <v>0</v>
      </c>
      <c r="K251" s="225">
        <v>0</v>
      </c>
      <c r="L251" s="225">
        <v>0</v>
      </c>
      <c r="M251" s="225">
        <v>0</v>
      </c>
      <c r="N251" s="225">
        <v>0</v>
      </c>
      <c r="O251" s="225">
        <v>0</v>
      </c>
      <c r="P251" s="225">
        <v>0</v>
      </c>
      <c r="Q251" s="225">
        <v>0</v>
      </c>
      <c r="R251" s="225">
        <v>0</v>
      </c>
    </row>
    <row r="252" spans="1:18" ht="12.75" customHeight="1" x14ac:dyDescent="0.25">
      <c r="B252" s="763"/>
      <c r="C252" s="764"/>
      <c r="D252" s="223" t="s">
        <v>73</v>
      </c>
      <c r="E252" s="225">
        <v>0</v>
      </c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</row>
    <row r="253" spans="1:18" ht="12.75" customHeight="1" x14ac:dyDescent="0.3">
      <c r="A253" s="89"/>
      <c r="B253" s="97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</row>
    <row r="254" spans="1:18" ht="12.75" customHeight="1" x14ac:dyDescent="0.25">
      <c r="B254" s="763" t="s">
        <v>155</v>
      </c>
      <c r="C254" s="764" t="s">
        <v>132</v>
      </c>
      <c r="D254" s="221" t="s">
        <v>70</v>
      </c>
      <c r="E254" s="222">
        <f>E171+E158-K158</f>
        <v>21828172.699999999</v>
      </c>
      <c r="F254" s="222">
        <f>F158</f>
        <v>1359804.3</v>
      </c>
      <c r="G254" s="222">
        <f>G158</f>
        <v>759042.94</v>
      </c>
      <c r="H254" s="222">
        <f>H158</f>
        <v>333725.65000000002</v>
      </c>
      <c r="I254" s="222">
        <f>I158</f>
        <v>5462361.0700000003</v>
      </c>
      <c r="J254" s="222">
        <f>J158</f>
        <v>185191.13</v>
      </c>
      <c r="K254" s="222">
        <f>K158</f>
        <v>45286.42</v>
      </c>
      <c r="L254" s="222">
        <f>L158</f>
        <v>2065156.11</v>
      </c>
      <c r="M254" s="222">
        <f>M158</f>
        <v>1589655.8</v>
      </c>
      <c r="N254" s="222">
        <f>N158</f>
        <v>7142216.7800000003</v>
      </c>
      <c r="O254" s="222">
        <f>O158</f>
        <v>4233936.76</v>
      </c>
      <c r="P254" s="222">
        <f>P158</f>
        <v>268158.90000000002</v>
      </c>
      <c r="Q254" s="222">
        <f>Q158</f>
        <v>-187</v>
      </c>
      <c r="R254" s="222">
        <f>R158</f>
        <v>0</v>
      </c>
    </row>
    <row r="255" spans="1:18" ht="12.75" customHeight="1" x14ac:dyDescent="0.25">
      <c r="B255" s="763"/>
      <c r="C255" s="764"/>
      <c r="D255" s="221" t="s">
        <v>73</v>
      </c>
      <c r="E255" s="222">
        <f>E171</f>
        <v>-1570889.74</v>
      </c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</row>
    <row r="256" spans="1:18" ht="12.75" customHeight="1" x14ac:dyDescent="0.25">
      <c r="B256" s="717"/>
      <c r="C256" s="220"/>
      <c r="D256" s="89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</row>
    <row r="257" spans="1:18" ht="12.75" customHeight="1" x14ac:dyDescent="0.25">
      <c r="B257" s="766" t="s">
        <v>324</v>
      </c>
      <c r="C257" s="764" t="s">
        <v>132</v>
      </c>
      <c r="D257" s="375" t="s">
        <v>70</v>
      </c>
      <c r="E257" s="376">
        <v>0</v>
      </c>
      <c r="F257" s="376">
        <v>0</v>
      </c>
      <c r="G257" s="376">
        <v>0</v>
      </c>
      <c r="H257" s="376">
        <v>0</v>
      </c>
      <c r="I257" s="376">
        <v>0</v>
      </c>
      <c r="J257" s="376">
        <v>0</v>
      </c>
      <c r="K257" s="376">
        <v>0</v>
      </c>
      <c r="L257" s="376">
        <v>0</v>
      </c>
      <c r="M257" s="376">
        <v>0</v>
      </c>
      <c r="N257" s="376">
        <v>0</v>
      </c>
      <c r="O257" s="376">
        <v>0</v>
      </c>
      <c r="P257" s="376">
        <v>0</v>
      </c>
      <c r="Q257" s="376">
        <v>0</v>
      </c>
      <c r="R257" s="376">
        <v>0</v>
      </c>
    </row>
    <row r="258" spans="1:18" ht="12.75" customHeight="1" x14ac:dyDescent="0.25">
      <c r="B258" s="766"/>
      <c r="C258" s="764"/>
      <c r="D258" s="375" t="s">
        <v>73</v>
      </c>
      <c r="E258" s="376">
        <v>0</v>
      </c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</row>
    <row r="259" spans="1:18" ht="12.75" customHeight="1" x14ac:dyDescent="0.25">
      <c r="B259" s="717"/>
      <c r="C259" s="220"/>
      <c r="D259" s="89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</row>
    <row r="260" spans="1:18" ht="12.75" customHeight="1" x14ac:dyDescent="0.25">
      <c r="B260" s="763" t="s">
        <v>119</v>
      </c>
      <c r="C260" s="764" t="s">
        <v>132</v>
      </c>
      <c r="D260" s="101" t="s">
        <v>70</v>
      </c>
      <c r="E260" s="93">
        <f>E167+E178-K167</f>
        <v>1755754.73</v>
      </c>
      <c r="F260" s="93">
        <f t="shared" ref="F260:R260" si="8">F167</f>
        <v>188133.7</v>
      </c>
      <c r="G260" s="93">
        <f t="shared" si="8"/>
        <v>102353.57</v>
      </c>
      <c r="H260" s="93">
        <f t="shared" si="8"/>
        <v>55414.91</v>
      </c>
      <c r="I260" s="93">
        <f t="shared" si="8"/>
        <v>251387.25</v>
      </c>
      <c r="J260" s="93">
        <f t="shared" si="8"/>
        <v>10446.82</v>
      </c>
      <c r="K260" s="93">
        <f t="shared" si="8"/>
        <v>0</v>
      </c>
      <c r="L260" s="93">
        <f t="shared" si="8"/>
        <v>87572.89</v>
      </c>
      <c r="M260" s="93">
        <f t="shared" si="8"/>
        <v>84620.28</v>
      </c>
      <c r="N260" s="93">
        <f t="shared" si="8"/>
        <v>378183.69</v>
      </c>
      <c r="O260" s="93">
        <f t="shared" si="8"/>
        <v>441892.86</v>
      </c>
      <c r="P260" s="93">
        <f t="shared" si="8"/>
        <v>17044.82</v>
      </c>
      <c r="Q260" s="93">
        <f t="shared" si="8"/>
        <v>-0.1</v>
      </c>
      <c r="R260" s="93">
        <f t="shared" si="8"/>
        <v>0</v>
      </c>
    </row>
    <row r="261" spans="1:18" ht="12.75" customHeight="1" x14ac:dyDescent="0.25">
      <c r="B261" s="763"/>
      <c r="C261" s="764"/>
      <c r="D261" s="101" t="s">
        <v>73</v>
      </c>
      <c r="E261" s="93">
        <f>E178</f>
        <v>138704.04</v>
      </c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</row>
    <row r="262" spans="1:18" ht="12.75" customHeight="1" x14ac:dyDescent="0.3">
      <c r="A262" s="89"/>
      <c r="B262" s="97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</row>
    <row r="263" spans="1:18" ht="12.75" customHeight="1" x14ac:dyDescent="0.25">
      <c r="B263" s="765" t="s">
        <v>161</v>
      </c>
      <c r="C263" s="764" t="s">
        <v>132</v>
      </c>
      <c r="D263" s="231" t="s">
        <v>70</v>
      </c>
      <c r="E263" s="232">
        <v>0</v>
      </c>
      <c r="F263" s="232">
        <v>0</v>
      </c>
      <c r="G263" s="232">
        <v>0</v>
      </c>
      <c r="H263" s="232">
        <v>0</v>
      </c>
      <c r="I263" s="232">
        <v>0</v>
      </c>
      <c r="J263" s="232">
        <v>0</v>
      </c>
      <c r="K263" s="232">
        <v>0</v>
      </c>
      <c r="L263" s="232">
        <v>0</v>
      </c>
      <c r="M263" s="232">
        <v>0</v>
      </c>
      <c r="N263" s="232">
        <v>0</v>
      </c>
      <c r="O263" s="232">
        <v>0</v>
      </c>
      <c r="P263" s="232">
        <v>0</v>
      </c>
      <c r="Q263" s="232">
        <v>0</v>
      </c>
      <c r="R263" s="232">
        <v>0</v>
      </c>
    </row>
    <row r="264" spans="1:18" ht="12.75" customHeight="1" x14ac:dyDescent="0.25">
      <c r="B264" s="765"/>
      <c r="C264" s="764"/>
      <c r="D264" s="231" t="s">
        <v>73</v>
      </c>
      <c r="E264" s="232">
        <v>0</v>
      </c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</row>
    <row r="265" spans="1:18" s="238" customFormat="1" x14ac:dyDescent="0.25"/>
    <row r="266" spans="1:18" ht="15" customHeight="1" x14ac:dyDescent="0.3">
      <c r="B266" s="97" t="s">
        <v>88</v>
      </c>
    </row>
    <row r="267" spans="1:18" ht="12.65" customHeight="1" x14ac:dyDescent="0.25">
      <c r="E267" s="89" t="s">
        <v>70</v>
      </c>
      <c r="F267" s="89" t="s">
        <v>64</v>
      </c>
      <c r="G267" s="89" t="s">
        <v>65</v>
      </c>
      <c r="H267" s="219" t="s">
        <v>164</v>
      </c>
      <c r="I267" s="89" t="s">
        <v>69</v>
      </c>
      <c r="J267" s="89" t="s">
        <v>68</v>
      </c>
      <c r="K267" s="89" t="s">
        <v>83</v>
      </c>
      <c r="L267" s="89" t="s">
        <v>66</v>
      </c>
      <c r="M267" s="89" t="s">
        <v>63</v>
      </c>
      <c r="N267" s="89" t="s">
        <v>61</v>
      </c>
      <c r="O267" s="89" t="s">
        <v>62</v>
      </c>
      <c r="P267" s="89" t="s">
        <v>67</v>
      </c>
      <c r="Q267" s="89" t="s">
        <v>84</v>
      </c>
      <c r="R267" s="386" t="s">
        <v>224</v>
      </c>
    </row>
    <row r="268" spans="1:18" ht="12.75" customHeight="1" x14ac:dyDescent="0.25">
      <c r="D268" t="s">
        <v>72</v>
      </c>
      <c r="E268" s="386">
        <v>15706739.789999999</v>
      </c>
      <c r="F268" s="89">
        <v>905008.2</v>
      </c>
      <c r="G268" s="89">
        <v>513075.02</v>
      </c>
      <c r="H268" s="386">
        <v>241907.13</v>
      </c>
      <c r="I268" s="89">
        <v>3423667.78</v>
      </c>
      <c r="J268" s="89">
        <v>135035.56</v>
      </c>
      <c r="K268" s="89">
        <v>0</v>
      </c>
      <c r="L268" s="89">
        <v>1543737.79</v>
      </c>
      <c r="M268" s="89">
        <v>1110957.95</v>
      </c>
      <c r="N268" s="89">
        <v>4929758.21</v>
      </c>
      <c r="O268" s="89">
        <v>2697739.95</v>
      </c>
      <c r="P268" s="89">
        <v>205965.26</v>
      </c>
      <c r="Q268" s="89">
        <v>-113.06</v>
      </c>
      <c r="R268" s="386">
        <v>0</v>
      </c>
    </row>
    <row r="269" spans="1:18" ht="12.75" customHeight="1" x14ac:dyDescent="0.25">
      <c r="D269" t="s">
        <v>81</v>
      </c>
      <c r="E269" s="386">
        <v>-1339.78</v>
      </c>
      <c r="F269" s="89">
        <v>375.41</v>
      </c>
      <c r="G269" s="89">
        <v>210.76</v>
      </c>
      <c r="H269" s="386">
        <v>110.88</v>
      </c>
      <c r="I269" s="89">
        <v>2006.26</v>
      </c>
      <c r="J269" s="89">
        <v>69.959999999999994</v>
      </c>
      <c r="K269" s="89">
        <v>0</v>
      </c>
      <c r="L269" s="89">
        <v>612.74</v>
      </c>
      <c r="M269" s="89">
        <v>596.91</v>
      </c>
      <c r="N269" s="89">
        <v>-6429.93</v>
      </c>
      <c r="O269" s="89">
        <v>992.94</v>
      </c>
      <c r="P269" s="89">
        <v>114.27</v>
      </c>
      <c r="Q269" s="89">
        <v>0.02</v>
      </c>
      <c r="R269">
        <v>0</v>
      </c>
    </row>
    <row r="270" spans="1:18" ht="12.75" customHeight="1" x14ac:dyDescent="0.25">
      <c r="C270" t="s">
        <v>156</v>
      </c>
      <c r="D270" t="s">
        <v>70</v>
      </c>
      <c r="E270" s="386">
        <v>15705400.01</v>
      </c>
      <c r="F270" s="89">
        <v>905383.61</v>
      </c>
      <c r="G270" s="89">
        <v>513285.78</v>
      </c>
      <c r="H270" s="386">
        <v>242018.01</v>
      </c>
      <c r="I270" s="89">
        <v>3425674.04</v>
      </c>
      <c r="J270" s="89">
        <v>135105.51999999999</v>
      </c>
      <c r="K270" s="89">
        <v>0</v>
      </c>
      <c r="L270" s="89">
        <v>1544350.53</v>
      </c>
      <c r="M270" s="89">
        <v>1111554.8600000001</v>
      </c>
      <c r="N270" s="89">
        <v>4923328.28</v>
      </c>
      <c r="O270" s="89">
        <v>2698732.89</v>
      </c>
      <c r="P270" s="89">
        <v>206079.53</v>
      </c>
      <c r="Q270" s="89">
        <v>-113.04</v>
      </c>
      <c r="R270">
        <v>0</v>
      </c>
    </row>
    <row r="271" spans="1:18" s="237" customFormat="1" ht="12.75" customHeight="1" x14ac:dyDescent="0.25">
      <c r="B271" s="237" t="s">
        <v>155</v>
      </c>
      <c r="C271" s="237" t="s">
        <v>70</v>
      </c>
      <c r="D271" s="221"/>
      <c r="E271" s="558">
        <v>15705400.01</v>
      </c>
      <c r="F271" s="222">
        <v>905383.61</v>
      </c>
      <c r="G271" s="222">
        <v>513285.78</v>
      </c>
      <c r="H271" s="222">
        <v>242018.01</v>
      </c>
      <c r="I271" s="222">
        <v>3425674.04</v>
      </c>
      <c r="J271" s="222">
        <v>135105.51999999999</v>
      </c>
      <c r="K271" s="222">
        <v>0</v>
      </c>
      <c r="L271" s="222">
        <v>1544350.53</v>
      </c>
      <c r="M271" s="222">
        <v>1111554.8600000001</v>
      </c>
      <c r="N271" s="222">
        <v>4923328.28</v>
      </c>
      <c r="O271" s="222">
        <v>2698732.89</v>
      </c>
      <c r="P271" s="222">
        <v>206079.53</v>
      </c>
      <c r="Q271" s="222">
        <v>-113.04</v>
      </c>
      <c r="R271" s="237">
        <v>0</v>
      </c>
    </row>
    <row r="272" spans="1:18" ht="12.75" customHeight="1" x14ac:dyDescent="0.25">
      <c r="B272" s="89"/>
      <c r="C272" s="89"/>
      <c r="D272" t="s">
        <v>72</v>
      </c>
      <c r="E272" s="373">
        <v>1306193.1399999999</v>
      </c>
      <c r="F272" s="90">
        <v>84746.95</v>
      </c>
      <c r="G272" s="90">
        <v>42527.22</v>
      </c>
      <c r="H272" s="90">
        <v>22078.91</v>
      </c>
      <c r="I272" s="90">
        <v>274087.17</v>
      </c>
      <c r="J272" s="90">
        <v>8926.7000000000007</v>
      </c>
      <c r="K272" s="90">
        <v>0</v>
      </c>
      <c r="L272" s="90">
        <v>91191.15</v>
      </c>
      <c r="M272" s="90">
        <v>95696.15</v>
      </c>
      <c r="N272" s="90">
        <v>419671.19</v>
      </c>
      <c r="O272" s="90">
        <v>252697.71</v>
      </c>
      <c r="P272" s="90">
        <v>14564.65</v>
      </c>
      <c r="Q272" s="90">
        <v>5.34</v>
      </c>
      <c r="R272">
        <v>0</v>
      </c>
    </row>
    <row r="273" spans="2:18" ht="12.75" customHeight="1" x14ac:dyDescent="0.25">
      <c r="B273" s="89"/>
      <c r="C273" s="89"/>
      <c r="D273" t="s">
        <v>81</v>
      </c>
      <c r="E273" s="373">
        <v>602.67999999999995</v>
      </c>
      <c r="F273" s="90">
        <v>31.08</v>
      </c>
      <c r="G273" s="90">
        <v>15.48</v>
      </c>
      <c r="H273" s="90">
        <v>8.57</v>
      </c>
      <c r="I273" s="90">
        <v>151.35</v>
      </c>
      <c r="J273" s="90">
        <v>4.32</v>
      </c>
      <c r="K273" s="90">
        <v>0</v>
      </c>
      <c r="L273" s="90">
        <v>37.880000000000003</v>
      </c>
      <c r="M273" s="90">
        <v>43.77</v>
      </c>
      <c r="N273" s="90">
        <v>219.7</v>
      </c>
      <c r="O273" s="90">
        <v>83.46</v>
      </c>
      <c r="P273" s="90">
        <v>7.05</v>
      </c>
      <c r="Q273" s="90">
        <v>0.02</v>
      </c>
      <c r="R273">
        <v>0</v>
      </c>
    </row>
    <row r="274" spans="2:18" ht="12.75" customHeight="1" x14ac:dyDescent="0.25">
      <c r="B274" s="89"/>
      <c r="C274" s="89" t="s">
        <v>115</v>
      </c>
      <c r="D274" t="s">
        <v>70</v>
      </c>
      <c r="E274" s="373">
        <v>1306795.82</v>
      </c>
      <c r="F274" s="90">
        <v>84778.03</v>
      </c>
      <c r="G274" s="90">
        <v>42542.7</v>
      </c>
      <c r="H274" s="90">
        <v>22087.48</v>
      </c>
      <c r="I274" s="90">
        <v>274238.52</v>
      </c>
      <c r="J274" s="90">
        <v>8931.02</v>
      </c>
      <c r="K274" s="90">
        <v>0</v>
      </c>
      <c r="L274" s="90">
        <v>91229.03</v>
      </c>
      <c r="M274" s="90">
        <v>95739.92</v>
      </c>
      <c r="N274" s="90">
        <v>419890.89</v>
      </c>
      <c r="O274" s="90">
        <v>252781.17</v>
      </c>
      <c r="P274" s="90">
        <v>14571.7</v>
      </c>
      <c r="Q274" s="90">
        <v>5.36</v>
      </c>
      <c r="R274">
        <v>0</v>
      </c>
    </row>
    <row r="275" spans="2:18" ht="12.75" customHeight="1" x14ac:dyDescent="0.25">
      <c r="B275" s="89"/>
      <c r="C275" s="89"/>
      <c r="D275" t="s">
        <v>72</v>
      </c>
      <c r="E275" s="373">
        <v>144637.85</v>
      </c>
      <c r="F275" s="90">
        <v>4880.87</v>
      </c>
      <c r="G275" s="90">
        <v>2741.74</v>
      </c>
      <c r="H275" s="90">
        <v>1446.42</v>
      </c>
      <c r="I275" s="90">
        <v>61963.24</v>
      </c>
      <c r="J275" s="90">
        <v>2560.46</v>
      </c>
      <c r="K275" s="90">
        <v>0</v>
      </c>
      <c r="L275" s="90">
        <v>8083.84</v>
      </c>
      <c r="M275" s="90">
        <v>7884.28</v>
      </c>
      <c r="N275" s="90">
        <v>40646.910000000003</v>
      </c>
      <c r="O275" s="90">
        <v>12921.78</v>
      </c>
      <c r="P275" s="90">
        <v>1503.59</v>
      </c>
      <c r="Q275" s="90">
        <v>4.72</v>
      </c>
      <c r="R275">
        <v>0</v>
      </c>
    </row>
    <row r="276" spans="2:18" ht="12.75" customHeight="1" x14ac:dyDescent="0.25">
      <c r="B276" s="89"/>
      <c r="C276" s="89" t="s">
        <v>116</v>
      </c>
      <c r="D276" t="s">
        <v>70</v>
      </c>
      <c r="E276" s="373">
        <v>144637.85</v>
      </c>
      <c r="F276" s="90">
        <v>4880.87</v>
      </c>
      <c r="G276" s="90">
        <v>2741.74</v>
      </c>
      <c r="H276" s="90">
        <v>1446.42</v>
      </c>
      <c r="I276" s="90">
        <v>61963.24</v>
      </c>
      <c r="J276" s="90">
        <v>2560.46</v>
      </c>
      <c r="K276" s="90">
        <v>0</v>
      </c>
      <c r="L276" s="90">
        <v>8083.84</v>
      </c>
      <c r="M276" s="90">
        <v>7884.28</v>
      </c>
      <c r="N276" s="90">
        <v>40646.910000000003</v>
      </c>
      <c r="O276" s="90">
        <v>12921.78</v>
      </c>
      <c r="P276" s="90">
        <v>1503.59</v>
      </c>
      <c r="Q276" s="90">
        <v>4.72</v>
      </c>
      <c r="R276">
        <v>0</v>
      </c>
    </row>
    <row r="277" spans="2:18" ht="12.75" customHeight="1" x14ac:dyDescent="0.25">
      <c r="B277" s="89"/>
      <c r="C277" s="89"/>
      <c r="D277" t="s">
        <v>72</v>
      </c>
      <c r="E277" s="373">
        <v>3303857.98</v>
      </c>
      <c r="F277" s="90">
        <v>190082.59</v>
      </c>
      <c r="G277" s="90">
        <v>116979.35</v>
      </c>
      <c r="H277" s="90">
        <v>36560.75</v>
      </c>
      <c r="I277" s="90">
        <v>850114.01</v>
      </c>
      <c r="J277" s="90">
        <v>23261.59</v>
      </c>
      <c r="K277" s="90">
        <v>0</v>
      </c>
      <c r="L277" s="90">
        <v>238045.79</v>
      </c>
      <c r="M277" s="90">
        <v>222686.27</v>
      </c>
      <c r="N277" s="90">
        <v>1082603.78</v>
      </c>
      <c r="O277" s="90">
        <v>515902.68</v>
      </c>
      <c r="P277" s="90">
        <v>27621.49</v>
      </c>
      <c r="Q277" s="90">
        <v>-0.32</v>
      </c>
      <c r="R277">
        <v>0</v>
      </c>
    </row>
    <row r="278" spans="2:18" ht="12.75" customHeight="1" x14ac:dyDescent="0.25">
      <c r="B278" s="89"/>
      <c r="C278" s="89"/>
      <c r="D278" t="s">
        <v>81</v>
      </c>
      <c r="E278" s="373">
        <v>75.11</v>
      </c>
      <c r="F278" s="90">
        <v>3.09</v>
      </c>
      <c r="G278" s="90">
        <v>1.72</v>
      </c>
      <c r="H278" s="90">
        <v>0.92</v>
      </c>
      <c r="I278" s="90">
        <v>19.149999999999999</v>
      </c>
      <c r="J278" s="90">
        <v>0.67</v>
      </c>
      <c r="K278" s="90">
        <v>0</v>
      </c>
      <c r="L278" s="90">
        <v>5.77</v>
      </c>
      <c r="M278" s="90">
        <v>5.61</v>
      </c>
      <c r="N278" s="90">
        <v>28.9</v>
      </c>
      <c r="O278" s="90">
        <v>8.2200000000000006</v>
      </c>
      <c r="P278" s="90">
        <v>1.06</v>
      </c>
      <c r="Q278" s="90">
        <v>0</v>
      </c>
      <c r="R278">
        <v>0</v>
      </c>
    </row>
    <row r="279" spans="2:18" ht="12.75" customHeight="1" x14ac:dyDescent="0.25">
      <c r="B279" s="89"/>
      <c r="C279" s="89" t="s">
        <v>118</v>
      </c>
      <c r="D279" t="s">
        <v>70</v>
      </c>
      <c r="E279" s="373">
        <v>3303933.09</v>
      </c>
      <c r="F279" s="90">
        <v>190085.68</v>
      </c>
      <c r="G279" s="90">
        <v>116981.07</v>
      </c>
      <c r="H279" s="90">
        <v>36561.67</v>
      </c>
      <c r="I279" s="90">
        <v>850133.16</v>
      </c>
      <c r="J279" s="90">
        <v>23262.26</v>
      </c>
      <c r="K279" s="90">
        <v>0</v>
      </c>
      <c r="L279" s="90">
        <v>238051.56</v>
      </c>
      <c r="M279" s="90">
        <v>222691.88</v>
      </c>
      <c r="N279" s="90">
        <v>1082632.68</v>
      </c>
      <c r="O279" s="90">
        <v>515910.9</v>
      </c>
      <c r="P279" s="90">
        <v>27622.55</v>
      </c>
      <c r="Q279" s="90">
        <v>-0.32</v>
      </c>
      <c r="R279">
        <v>0</v>
      </c>
    </row>
    <row r="280" spans="2:18" s="224" customFormat="1" ht="12.75" customHeight="1" x14ac:dyDescent="0.25">
      <c r="B280" s="224" t="s">
        <v>120</v>
      </c>
      <c r="C280" s="223" t="s">
        <v>70</v>
      </c>
      <c r="D280" s="223"/>
      <c r="E280" s="225">
        <v>4755366.76</v>
      </c>
      <c r="F280" s="225">
        <v>279744.58</v>
      </c>
      <c r="G280" s="225">
        <v>162265.51</v>
      </c>
      <c r="H280" s="225">
        <v>60095.57</v>
      </c>
      <c r="I280" s="225">
        <v>1186334.92</v>
      </c>
      <c r="J280" s="225">
        <v>34753.74</v>
      </c>
      <c r="K280" s="225">
        <v>0</v>
      </c>
      <c r="L280" s="225">
        <v>337364.43</v>
      </c>
      <c r="M280" s="225">
        <v>326316.08</v>
      </c>
      <c r="N280" s="225">
        <v>1543170.48</v>
      </c>
      <c r="O280" s="225">
        <v>781613.85</v>
      </c>
      <c r="P280" s="225">
        <v>43697.84</v>
      </c>
      <c r="Q280" s="225">
        <v>9.76</v>
      </c>
      <c r="R280" s="224">
        <v>0</v>
      </c>
    </row>
    <row r="281" spans="2:18" ht="12.75" customHeight="1" x14ac:dyDescent="0.25">
      <c r="C281" s="89"/>
      <c r="D281" s="89" t="s">
        <v>72</v>
      </c>
      <c r="E281" s="373">
        <v>196776.9</v>
      </c>
      <c r="F281" s="90">
        <v>13521.8</v>
      </c>
      <c r="G281" s="90">
        <v>7536.39</v>
      </c>
      <c r="H281" s="90">
        <v>1030.54</v>
      </c>
      <c r="I281" s="90">
        <v>47387.44</v>
      </c>
      <c r="J281" s="90">
        <v>743.32</v>
      </c>
      <c r="K281" s="90">
        <v>0</v>
      </c>
      <c r="L281" s="90">
        <v>23264.94</v>
      </c>
      <c r="M281" s="90">
        <v>22341.77</v>
      </c>
      <c r="N281" s="90">
        <v>43927</v>
      </c>
      <c r="O281" s="90">
        <v>35801.58</v>
      </c>
      <c r="P281" s="90">
        <v>1212.78</v>
      </c>
      <c r="Q281" s="90">
        <v>9.34</v>
      </c>
      <c r="R281">
        <v>0</v>
      </c>
    </row>
    <row r="282" spans="2:18" ht="12.75" customHeight="1" x14ac:dyDescent="0.25">
      <c r="C282" s="89"/>
      <c r="D282" s="89" t="s">
        <v>81</v>
      </c>
      <c r="E282" s="373">
        <v>570.22</v>
      </c>
      <c r="F282" s="90">
        <v>26.91</v>
      </c>
      <c r="G282" s="90">
        <v>15.2</v>
      </c>
      <c r="H282" s="90">
        <v>8.01</v>
      </c>
      <c r="I282" s="90">
        <v>136.38999999999999</v>
      </c>
      <c r="J282" s="90">
        <v>4.91</v>
      </c>
      <c r="K282" s="90">
        <v>0</v>
      </c>
      <c r="L282" s="90">
        <v>43.04</v>
      </c>
      <c r="M282" s="90">
        <v>41.98</v>
      </c>
      <c r="N282" s="90">
        <v>214.23</v>
      </c>
      <c r="O282" s="90">
        <v>71.55</v>
      </c>
      <c r="P282" s="90">
        <v>8</v>
      </c>
      <c r="Q282" s="90">
        <v>0</v>
      </c>
      <c r="R282">
        <v>0</v>
      </c>
    </row>
    <row r="283" spans="2:18" ht="12.75" customHeight="1" x14ac:dyDescent="0.25">
      <c r="C283" s="89" t="s">
        <v>82</v>
      </c>
      <c r="D283" s="89" t="s">
        <v>70</v>
      </c>
      <c r="E283" s="373">
        <v>197347.12</v>
      </c>
      <c r="F283" s="90">
        <v>13548.71</v>
      </c>
      <c r="G283" s="90">
        <v>7551.59</v>
      </c>
      <c r="H283" s="90">
        <v>1038.55</v>
      </c>
      <c r="I283" s="90">
        <v>47523.83</v>
      </c>
      <c r="J283" s="90">
        <v>748.23</v>
      </c>
      <c r="K283" s="90">
        <v>0</v>
      </c>
      <c r="L283" s="90">
        <v>23307.98</v>
      </c>
      <c r="M283" s="90">
        <v>22383.75</v>
      </c>
      <c r="N283" s="90">
        <v>44141.23</v>
      </c>
      <c r="O283" s="90">
        <v>35873.129999999997</v>
      </c>
      <c r="P283" s="90">
        <v>1220.78</v>
      </c>
      <c r="Q283" s="90">
        <v>9.34</v>
      </c>
      <c r="R283">
        <v>0</v>
      </c>
    </row>
    <row r="284" spans="2:18" ht="12.75" customHeight="1" x14ac:dyDescent="0.25">
      <c r="C284" s="89"/>
      <c r="D284" s="89" t="s">
        <v>72</v>
      </c>
      <c r="E284" s="373">
        <v>1818764.29</v>
      </c>
      <c r="F284" s="90">
        <v>112507.09</v>
      </c>
      <c r="G284" s="90">
        <v>64421.56</v>
      </c>
      <c r="H284" s="90">
        <v>21881.5</v>
      </c>
      <c r="I284" s="90">
        <v>460908.21</v>
      </c>
      <c r="J284" s="90">
        <v>16999.11</v>
      </c>
      <c r="K284" s="90">
        <v>0</v>
      </c>
      <c r="L284" s="90">
        <v>152623.48000000001</v>
      </c>
      <c r="M284" s="90">
        <v>132682.73000000001</v>
      </c>
      <c r="N284" s="90">
        <v>544377.81999999995</v>
      </c>
      <c r="O284" s="90">
        <v>293000.76</v>
      </c>
      <c r="P284" s="90">
        <v>19355.38</v>
      </c>
      <c r="Q284" s="90">
        <v>6.65</v>
      </c>
      <c r="R284">
        <v>0</v>
      </c>
    </row>
    <row r="285" spans="2:18" ht="12.75" customHeight="1" x14ac:dyDescent="0.25">
      <c r="C285" s="89"/>
      <c r="D285" s="89" t="s">
        <v>81</v>
      </c>
      <c r="E285" s="373">
        <v>-1408.78</v>
      </c>
      <c r="F285" s="90">
        <v>18.97</v>
      </c>
      <c r="G285" s="90">
        <v>9.83</v>
      </c>
      <c r="H285" s="90">
        <v>4.9000000000000004</v>
      </c>
      <c r="I285" s="90">
        <v>93.17</v>
      </c>
      <c r="J285" s="90">
        <v>3.21</v>
      </c>
      <c r="K285" s="90">
        <v>0</v>
      </c>
      <c r="L285" s="90">
        <v>32.26</v>
      </c>
      <c r="M285" s="90">
        <v>29.47</v>
      </c>
      <c r="N285" s="90">
        <v>-1656.06</v>
      </c>
      <c r="O285" s="90">
        <v>50.24</v>
      </c>
      <c r="P285" s="90">
        <v>5.21</v>
      </c>
      <c r="Q285" s="90">
        <v>0.02</v>
      </c>
      <c r="R285">
        <v>0</v>
      </c>
    </row>
    <row r="286" spans="2:18" ht="12.75" customHeight="1" x14ac:dyDescent="0.25">
      <c r="C286" s="89" t="s">
        <v>86</v>
      </c>
      <c r="D286" s="89" t="s">
        <v>70</v>
      </c>
      <c r="E286" s="373">
        <v>1817355.51</v>
      </c>
      <c r="F286" s="90">
        <v>112526.06</v>
      </c>
      <c r="G286" s="90">
        <v>64431.39</v>
      </c>
      <c r="H286" s="90">
        <v>21886.400000000001</v>
      </c>
      <c r="I286" s="90">
        <v>461001.38</v>
      </c>
      <c r="J286" s="90">
        <v>17002.32</v>
      </c>
      <c r="K286" s="90">
        <v>0</v>
      </c>
      <c r="L286" s="90">
        <v>152655.74</v>
      </c>
      <c r="M286" s="90">
        <v>132712.20000000001</v>
      </c>
      <c r="N286" s="90">
        <v>542721.76</v>
      </c>
      <c r="O286" s="90">
        <v>293051</v>
      </c>
      <c r="P286" s="90">
        <v>19360.59</v>
      </c>
      <c r="Q286" s="90">
        <v>6.67</v>
      </c>
      <c r="R286">
        <v>0</v>
      </c>
    </row>
    <row r="287" spans="2:18" ht="12.75" customHeight="1" x14ac:dyDescent="0.25">
      <c r="C287" s="89"/>
      <c r="D287" s="89" t="s">
        <v>72</v>
      </c>
      <c r="E287" s="373">
        <v>1192854.3600000001</v>
      </c>
      <c r="F287" s="90">
        <v>158802.32</v>
      </c>
      <c r="G287" s="90">
        <v>88680.01</v>
      </c>
      <c r="H287" s="90">
        <v>11102.79</v>
      </c>
      <c r="I287" s="90">
        <v>157999.65</v>
      </c>
      <c r="J287" s="90">
        <v>6027.06</v>
      </c>
      <c r="K287" s="90">
        <v>0</v>
      </c>
      <c r="L287" s="90">
        <v>66546.23</v>
      </c>
      <c r="M287" s="90">
        <v>52627.93</v>
      </c>
      <c r="N287" s="90">
        <v>214425.99</v>
      </c>
      <c r="O287" s="90">
        <v>427735.96</v>
      </c>
      <c r="P287" s="90">
        <v>8927.4500000000007</v>
      </c>
      <c r="Q287" s="90">
        <v>-21.03</v>
      </c>
      <c r="R287">
        <v>0</v>
      </c>
    </row>
    <row r="288" spans="2:18" ht="12.75" customHeight="1" x14ac:dyDescent="0.25">
      <c r="C288" s="89"/>
      <c r="D288" s="89" t="s">
        <v>81</v>
      </c>
      <c r="E288" s="373">
        <v>53.56</v>
      </c>
      <c r="F288" s="90">
        <v>2.09</v>
      </c>
      <c r="G288" s="90">
        <v>1.17</v>
      </c>
      <c r="H288" s="90">
        <v>0.62</v>
      </c>
      <c r="I288" s="90">
        <v>12.64</v>
      </c>
      <c r="J288" s="90">
        <v>0.41</v>
      </c>
      <c r="K288" s="90">
        <v>0</v>
      </c>
      <c r="L288" s="90">
        <v>4.24</v>
      </c>
      <c r="M288" s="90">
        <v>4.17</v>
      </c>
      <c r="N288" s="90">
        <v>21.52</v>
      </c>
      <c r="O288" s="90">
        <v>6.03</v>
      </c>
      <c r="P288" s="90">
        <v>0.67</v>
      </c>
      <c r="Q288" s="90">
        <v>0</v>
      </c>
      <c r="R288">
        <v>0</v>
      </c>
    </row>
    <row r="289" spans="1:18" ht="12.75" customHeight="1" x14ac:dyDescent="0.25">
      <c r="A289" s="89"/>
      <c r="B289" s="89"/>
      <c r="C289" t="s">
        <v>87</v>
      </c>
      <c r="D289" t="s">
        <v>70</v>
      </c>
      <c r="E289" s="90">
        <v>1192907.92</v>
      </c>
      <c r="F289" s="90">
        <v>158804.41</v>
      </c>
      <c r="G289" s="90">
        <v>88681.18</v>
      </c>
      <c r="H289" s="90">
        <v>11103.41</v>
      </c>
      <c r="I289" s="90">
        <v>158012.29</v>
      </c>
      <c r="J289" s="90">
        <v>6027.47</v>
      </c>
      <c r="K289" s="90">
        <v>0</v>
      </c>
      <c r="L289" s="90">
        <v>66550.47</v>
      </c>
      <c r="M289" s="90">
        <v>52632.1</v>
      </c>
      <c r="N289" s="90">
        <v>214447.51</v>
      </c>
      <c r="O289" s="90">
        <v>427741.99</v>
      </c>
      <c r="P289" s="90">
        <v>8928.1200000000008</v>
      </c>
      <c r="Q289" s="90">
        <v>-21.03</v>
      </c>
      <c r="R289">
        <v>0</v>
      </c>
    </row>
    <row r="290" spans="1:18" s="94" customFormat="1" ht="12.75" customHeight="1" x14ac:dyDescent="0.25">
      <c r="B290" s="101" t="s">
        <v>119</v>
      </c>
      <c r="C290" s="101" t="s">
        <v>70</v>
      </c>
      <c r="E290" s="93">
        <v>3207610.55</v>
      </c>
      <c r="F290" s="93">
        <v>284879.18</v>
      </c>
      <c r="G290" s="93">
        <v>160664.16</v>
      </c>
      <c r="H290" s="93">
        <v>34028.36</v>
      </c>
      <c r="I290" s="93">
        <v>666537.5</v>
      </c>
      <c r="J290" s="93">
        <v>23778.02</v>
      </c>
      <c r="K290" s="93">
        <v>0</v>
      </c>
      <c r="L290" s="93">
        <v>242514.19</v>
      </c>
      <c r="M290" s="93">
        <v>207728.05</v>
      </c>
      <c r="N290" s="93">
        <v>801310.5</v>
      </c>
      <c r="O290" s="93">
        <v>756666.12</v>
      </c>
      <c r="P290" s="93">
        <v>29509.49</v>
      </c>
      <c r="Q290" s="93">
        <v>-5.0199999999999996</v>
      </c>
      <c r="R290" s="94">
        <v>0</v>
      </c>
    </row>
    <row r="291" spans="1:18" s="226" customFormat="1" ht="12.75" customHeight="1" x14ac:dyDescent="0.25">
      <c r="A291" s="98" t="s">
        <v>78</v>
      </c>
      <c r="B291" s="98" t="s">
        <v>70</v>
      </c>
      <c r="E291" s="100">
        <v>23668377.32</v>
      </c>
      <c r="F291" s="100">
        <v>1470007.37</v>
      </c>
      <c r="G291" s="100">
        <v>836215.45</v>
      </c>
      <c r="H291" s="100">
        <v>336141.94</v>
      </c>
      <c r="I291" s="100">
        <v>5278546.46</v>
      </c>
      <c r="J291" s="100">
        <v>193637.28</v>
      </c>
      <c r="K291" s="100">
        <v>0</v>
      </c>
      <c r="L291" s="100">
        <v>2124229.15</v>
      </c>
      <c r="M291" s="100">
        <v>1645598.99</v>
      </c>
      <c r="N291" s="100">
        <v>7267809.2599999998</v>
      </c>
      <c r="O291" s="100">
        <v>4237012.8600000003</v>
      </c>
      <c r="P291" s="100">
        <v>279286.86</v>
      </c>
      <c r="Q291" s="100">
        <v>-108.3</v>
      </c>
      <c r="R291" s="226">
        <v>0</v>
      </c>
    </row>
    <row r="292" spans="1:18" ht="12.75" customHeight="1" x14ac:dyDescent="0.25">
      <c r="B292" s="89"/>
      <c r="C292" s="89"/>
      <c r="D292" t="s">
        <v>73</v>
      </c>
      <c r="E292" s="373">
        <v>-168688.44</v>
      </c>
      <c r="F292" s="90">
        <v>127363.09</v>
      </c>
      <c r="G292" s="90">
        <v>47855.34</v>
      </c>
      <c r="H292" s="90">
        <v>35621.800000000003</v>
      </c>
      <c r="I292" s="90">
        <v>-250005.91</v>
      </c>
      <c r="J292" s="90">
        <v>-8581.99</v>
      </c>
      <c r="K292" s="90">
        <v>0</v>
      </c>
      <c r="L292" s="90">
        <v>-65274.31</v>
      </c>
      <c r="M292" s="90">
        <v>-64777.95</v>
      </c>
      <c r="N292" s="90">
        <v>-342046.33</v>
      </c>
      <c r="O292" s="90">
        <v>365618.99</v>
      </c>
      <c r="P292" s="90">
        <v>-14461.17</v>
      </c>
      <c r="Q292" s="90">
        <v>0</v>
      </c>
      <c r="R292">
        <v>0</v>
      </c>
    </row>
    <row r="293" spans="1:18" ht="12.75" customHeight="1" x14ac:dyDescent="0.25">
      <c r="B293" s="89"/>
      <c r="C293" s="89" t="s">
        <v>156</v>
      </c>
      <c r="D293" t="s">
        <v>70</v>
      </c>
      <c r="E293" s="373">
        <v>-168688.44</v>
      </c>
      <c r="F293" s="90">
        <v>127363.09</v>
      </c>
      <c r="G293" s="90">
        <v>47855.34</v>
      </c>
      <c r="H293" s="90">
        <v>35621.800000000003</v>
      </c>
      <c r="I293" s="90">
        <v>-250005.91</v>
      </c>
      <c r="J293" s="90">
        <v>-8581.99</v>
      </c>
      <c r="K293" s="90">
        <v>0</v>
      </c>
      <c r="L293" s="90">
        <v>-65274.31</v>
      </c>
      <c r="M293" s="90">
        <v>-64777.95</v>
      </c>
      <c r="N293" s="90">
        <v>-342046.33</v>
      </c>
      <c r="O293" s="90">
        <v>365618.99</v>
      </c>
      <c r="P293" s="90">
        <v>-14461.17</v>
      </c>
      <c r="Q293" s="90">
        <v>0</v>
      </c>
      <c r="R293">
        <v>0</v>
      </c>
    </row>
    <row r="294" spans="1:18" s="237" customFormat="1" ht="12.75" customHeight="1" x14ac:dyDescent="0.25">
      <c r="B294" s="237" t="s">
        <v>155</v>
      </c>
      <c r="C294" s="237" t="s">
        <v>70</v>
      </c>
      <c r="D294" s="221"/>
      <c r="E294" s="558">
        <v>-168688.44</v>
      </c>
      <c r="F294" s="222">
        <v>127363.09</v>
      </c>
      <c r="G294" s="222">
        <v>47855.34</v>
      </c>
      <c r="H294" s="222">
        <v>35621.800000000003</v>
      </c>
      <c r="I294" s="222">
        <v>-250005.91</v>
      </c>
      <c r="J294" s="222">
        <v>-8581.99</v>
      </c>
      <c r="K294" s="222">
        <v>0</v>
      </c>
      <c r="L294" s="222">
        <v>-65274.31</v>
      </c>
      <c r="M294" s="222">
        <v>-64777.95</v>
      </c>
      <c r="N294" s="222">
        <v>-342046.33</v>
      </c>
      <c r="O294" s="222">
        <v>365618.99</v>
      </c>
      <c r="P294" s="222">
        <v>-14461.17</v>
      </c>
      <c r="Q294" s="222">
        <v>0</v>
      </c>
      <c r="R294" s="237">
        <v>0</v>
      </c>
    </row>
    <row r="295" spans="1:18" ht="12.75" customHeight="1" x14ac:dyDescent="0.25">
      <c r="B295" s="89"/>
      <c r="C295" s="89"/>
      <c r="D295" t="s">
        <v>73</v>
      </c>
      <c r="E295" s="373">
        <v>154104.76</v>
      </c>
      <c r="F295" s="90">
        <v>14464.37</v>
      </c>
      <c r="G295" s="90">
        <v>7336.79</v>
      </c>
      <c r="H295" s="90">
        <v>4048.17</v>
      </c>
      <c r="I295" s="90">
        <v>29995.57</v>
      </c>
      <c r="J295" s="90">
        <v>895.57</v>
      </c>
      <c r="K295" s="90">
        <v>0</v>
      </c>
      <c r="L295" s="90">
        <v>7855.78</v>
      </c>
      <c r="M295" s="90">
        <v>8027.03</v>
      </c>
      <c r="N295" s="90">
        <v>41829.39</v>
      </c>
      <c r="O295" s="90">
        <v>38190.89</v>
      </c>
      <c r="P295" s="90">
        <v>1461.2</v>
      </c>
      <c r="Q295" s="90">
        <v>0</v>
      </c>
      <c r="R295">
        <v>0</v>
      </c>
    </row>
    <row r="296" spans="1:18" ht="12.75" customHeight="1" x14ac:dyDescent="0.25">
      <c r="B296" s="89"/>
      <c r="C296" s="89" t="s">
        <v>115</v>
      </c>
      <c r="D296" t="s">
        <v>70</v>
      </c>
      <c r="E296" s="373">
        <v>154104.76</v>
      </c>
      <c r="F296" s="90">
        <v>14464.37</v>
      </c>
      <c r="G296" s="90">
        <v>7336.79</v>
      </c>
      <c r="H296" s="90">
        <v>4048.17</v>
      </c>
      <c r="I296" s="90">
        <v>29995.57</v>
      </c>
      <c r="J296" s="90">
        <v>895.57</v>
      </c>
      <c r="K296" s="90">
        <v>0</v>
      </c>
      <c r="L296" s="90">
        <v>7855.78</v>
      </c>
      <c r="M296" s="90">
        <v>8027.03</v>
      </c>
      <c r="N296" s="90">
        <v>41829.39</v>
      </c>
      <c r="O296" s="90">
        <v>38190.89</v>
      </c>
      <c r="P296" s="90">
        <v>1461.2</v>
      </c>
      <c r="Q296" s="90">
        <v>0</v>
      </c>
      <c r="R296">
        <v>0</v>
      </c>
    </row>
    <row r="297" spans="1:18" ht="12.75" customHeight="1" x14ac:dyDescent="0.25">
      <c r="B297" s="89"/>
      <c r="C297" s="89"/>
      <c r="D297" t="s">
        <v>73</v>
      </c>
      <c r="E297" s="373">
        <v>-44431.97</v>
      </c>
      <c r="F297" s="90">
        <v>-2039.44</v>
      </c>
      <c r="G297" s="90">
        <v>-1149.3800000000001</v>
      </c>
      <c r="H297" s="90">
        <v>-604.38</v>
      </c>
      <c r="I297" s="90">
        <v>-10634.67</v>
      </c>
      <c r="J297" s="90">
        <v>-384.08</v>
      </c>
      <c r="K297" s="90">
        <v>0</v>
      </c>
      <c r="L297" s="90">
        <v>-3369.05</v>
      </c>
      <c r="M297" s="90">
        <v>-3279.66</v>
      </c>
      <c r="N297" s="90">
        <v>-16945.41</v>
      </c>
      <c r="O297" s="90">
        <v>-5399.26</v>
      </c>
      <c r="P297" s="90">
        <v>-626.64</v>
      </c>
      <c r="Q297" s="90">
        <v>0</v>
      </c>
      <c r="R297">
        <v>0</v>
      </c>
    </row>
    <row r="298" spans="1:18" ht="12.75" customHeight="1" x14ac:dyDescent="0.25">
      <c r="B298" s="89"/>
      <c r="C298" s="89" t="s">
        <v>116</v>
      </c>
      <c r="D298" t="s">
        <v>70</v>
      </c>
      <c r="E298" s="373">
        <v>-44431.97</v>
      </c>
      <c r="F298" s="90">
        <v>-2039.44</v>
      </c>
      <c r="G298" s="90">
        <v>-1149.3800000000001</v>
      </c>
      <c r="H298" s="90">
        <v>-604.38</v>
      </c>
      <c r="I298" s="90">
        <v>-10634.67</v>
      </c>
      <c r="J298" s="90">
        <v>-384.08</v>
      </c>
      <c r="K298" s="90">
        <v>0</v>
      </c>
      <c r="L298" s="90">
        <v>-3369.05</v>
      </c>
      <c r="M298" s="90">
        <v>-3279.66</v>
      </c>
      <c r="N298" s="90">
        <v>-16945.41</v>
      </c>
      <c r="O298" s="90">
        <v>-5399.26</v>
      </c>
      <c r="P298" s="90">
        <v>-626.64</v>
      </c>
      <c r="Q298" s="90">
        <v>0</v>
      </c>
      <c r="R298">
        <v>0</v>
      </c>
    </row>
    <row r="299" spans="1:18" ht="12.75" customHeight="1" x14ac:dyDescent="0.25">
      <c r="B299" s="89"/>
      <c r="C299" s="89"/>
      <c r="D299" t="s">
        <v>73</v>
      </c>
      <c r="E299" s="373">
        <v>-24219.69</v>
      </c>
      <c r="F299" s="90">
        <v>20050.93</v>
      </c>
      <c r="G299" s="90">
        <v>11198.43</v>
      </c>
      <c r="H299" s="90">
        <v>5971.5</v>
      </c>
      <c r="I299" s="90">
        <v>-42584.43</v>
      </c>
      <c r="J299" s="90">
        <v>-1279.96</v>
      </c>
      <c r="K299" s="90">
        <v>0</v>
      </c>
      <c r="L299" s="90">
        <v>-11958.43</v>
      </c>
      <c r="M299" s="90">
        <v>-10651.42</v>
      </c>
      <c r="N299" s="90">
        <v>-46531.83</v>
      </c>
      <c r="O299" s="90">
        <v>53350.62</v>
      </c>
      <c r="P299" s="90">
        <v>-1785.1</v>
      </c>
      <c r="Q299" s="90">
        <v>0</v>
      </c>
      <c r="R299">
        <v>0</v>
      </c>
    </row>
    <row r="300" spans="1:18" ht="12.75" customHeight="1" x14ac:dyDescent="0.25">
      <c r="B300" s="89"/>
      <c r="C300" s="89" t="s">
        <v>118</v>
      </c>
      <c r="D300" t="s">
        <v>70</v>
      </c>
      <c r="E300" s="373">
        <v>-24219.69</v>
      </c>
      <c r="F300" s="90">
        <v>20050.93</v>
      </c>
      <c r="G300" s="90">
        <v>11198.43</v>
      </c>
      <c r="H300" s="90">
        <v>5971.5</v>
      </c>
      <c r="I300" s="90">
        <v>-42584.43</v>
      </c>
      <c r="J300" s="90">
        <v>-1279.96</v>
      </c>
      <c r="K300" s="90">
        <v>0</v>
      </c>
      <c r="L300" s="90">
        <v>-11958.43</v>
      </c>
      <c r="M300" s="90">
        <v>-10651.42</v>
      </c>
      <c r="N300" s="90">
        <v>-46531.83</v>
      </c>
      <c r="O300" s="90">
        <v>53350.62</v>
      </c>
      <c r="P300" s="90">
        <v>-1785.1</v>
      </c>
      <c r="Q300" s="90">
        <v>0</v>
      </c>
      <c r="R300">
        <v>0</v>
      </c>
    </row>
    <row r="301" spans="1:18" s="224" customFormat="1" ht="12.75" customHeight="1" x14ac:dyDescent="0.25">
      <c r="B301" s="224" t="s">
        <v>120</v>
      </c>
      <c r="C301" s="224" t="s">
        <v>70</v>
      </c>
      <c r="D301" s="223"/>
      <c r="E301" s="225">
        <v>85453.1</v>
      </c>
      <c r="F301" s="225">
        <v>32475.86</v>
      </c>
      <c r="G301" s="225">
        <v>17385.84</v>
      </c>
      <c r="H301" s="225">
        <v>9415.2900000000009</v>
      </c>
      <c r="I301" s="225">
        <v>-23223.53</v>
      </c>
      <c r="J301" s="225">
        <v>-768.47</v>
      </c>
      <c r="K301" s="225">
        <v>0</v>
      </c>
      <c r="L301" s="225">
        <v>-7471.7</v>
      </c>
      <c r="M301" s="225">
        <v>-5904.05</v>
      </c>
      <c r="N301" s="225">
        <v>-21647.85</v>
      </c>
      <c r="O301" s="225">
        <v>86142.25</v>
      </c>
      <c r="P301" s="225">
        <v>-950.54</v>
      </c>
      <c r="Q301" s="225">
        <v>0</v>
      </c>
      <c r="R301" s="224">
        <v>0</v>
      </c>
    </row>
    <row r="302" spans="1:18" ht="12.75" customHeight="1" x14ac:dyDescent="0.25">
      <c r="D302" s="89" t="s">
        <v>73</v>
      </c>
      <c r="E302" s="373">
        <v>-52022.82</v>
      </c>
      <c r="F302" s="90">
        <v>-2295.9</v>
      </c>
      <c r="G302" s="90">
        <v>-1279.23</v>
      </c>
      <c r="H302" s="90">
        <v>-680.37</v>
      </c>
      <c r="I302" s="90">
        <v>-13213.36</v>
      </c>
      <c r="J302" s="90">
        <v>-446</v>
      </c>
      <c r="K302" s="90">
        <v>0</v>
      </c>
      <c r="L302" s="90">
        <v>-3912.24</v>
      </c>
      <c r="M302" s="90">
        <v>-3812.72</v>
      </c>
      <c r="N302" s="90">
        <v>-19576.48</v>
      </c>
      <c r="O302" s="90">
        <v>-6078.84</v>
      </c>
      <c r="P302" s="90">
        <v>-727.68</v>
      </c>
      <c r="Q302" s="90">
        <v>0</v>
      </c>
      <c r="R302">
        <v>0</v>
      </c>
    </row>
    <row r="303" spans="1:18" ht="12.75" customHeight="1" x14ac:dyDescent="0.25">
      <c r="C303" t="s">
        <v>82</v>
      </c>
      <c r="D303" s="89" t="s">
        <v>70</v>
      </c>
      <c r="E303" s="373">
        <v>-52022.82</v>
      </c>
      <c r="F303" s="90">
        <v>-2295.9</v>
      </c>
      <c r="G303" s="90">
        <v>-1279.23</v>
      </c>
      <c r="H303" s="90">
        <v>-680.37</v>
      </c>
      <c r="I303" s="90">
        <v>-13213.36</v>
      </c>
      <c r="J303" s="90">
        <v>-446</v>
      </c>
      <c r="K303" s="90">
        <v>0</v>
      </c>
      <c r="L303" s="90">
        <v>-3912.24</v>
      </c>
      <c r="M303" s="90">
        <v>-3812.72</v>
      </c>
      <c r="N303" s="90">
        <v>-19576.48</v>
      </c>
      <c r="O303" s="90">
        <v>-6078.84</v>
      </c>
      <c r="P303" s="90">
        <v>-727.68</v>
      </c>
      <c r="Q303" s="90">
        <v>0</v>
      </c>
      <c r="R303">
        <v>0</v>
      </c>
    </row>
    <row r="304" spans="1:18" ht="12.75" customHeight="1" x14ac:dyDescent="0.25">
      <c r="D304" s="89" t="s">
        <v>73</v>
      </c>
      <c r="E304" s="373">
        <v>-99893.34</v>
      </c>
      <c r="F304" s="90">
        <v>89.56</v>
      </c>
      <c r="G304" s="90">
        <v>10.48</v>
      </c>
      <c r="H304" s="90">
        <v>50.25</v>
      </c>
      <c r="I304" s="90">
        <v>-29355.38</v>
      </c>
      <c r="J304" s="90">
        <v>-1265.1099999999999</v>
      </c>
      <c r="K304" s="90">
        <v>0</v>
      </c>
      <c r="L304" s="90">
        <v>-11097.02</v>
      </c>
      <c r="M304" s="90">
        <v>-9195.49</v>
      </c>
      <c r="N304" s="90">
        <v>-47307.34</v>
      </c>
      <c r="O304" s="90">
        <v>240.76</v>
      </c>
      <c r="P304" s="90">
        <v>-2064.0500000000002</v>
      </c>
      <c r="Q304" s="90">
        <v>0</v>
      </c>
      <c r="R304">
        <v>0</v>
      </c>
    </row>
    <row r="305" spans="1:18" ht="12.75" customHeight="1" x14ac:dyDescent="0.25">
      <c r="C305" t="s">
        <v>86</v>
      </c>
      <c r="D305" s="89" t="s">
        <v>70</v>
      </c>
      <c r="E305" s="373">
        <v>-99893.34</v>
      </c>
      <c r="F305" s="90">
        <v>89.56</v>
      </c>
      <c r="G305" s="90">
        <v>10.48</v>
      </c>
      <c r="H305" s="90">
        <v>50.25</v>
      </c>
      <c r="I305" s="90">
        <v>-29355.38</v>
      </c>
      <c r="J305" s="90">
        <v>-1265.1099999999999</v>
      </c>
      <c r="K305" s="90">
        <v>0</v>
      </c>
      <c r="L305" s="90">
        <v>-11097.02</v>
      </c>
      <c r="M305" s="90">
        <v>-9195.49</v>
      </c>
      <c r="N305" s="90">
        <v>-47307.34</v>
      </c>
      <c r="O305" s="90">
        <v>240.76</v>
      </c>
      <c r="P305" s="90">
        <v>-2064.0500000000002</v>
      </c>
      <c r="Q305" s="90">
        <v>0</v>
      </c>
      <c r="R305">
        <v>0</v>
      </c>
    </row>
    <row r="306" spans="1:18" ht="12.75" customHeight="1" x14ac:dyDescent="0.25">
      <c r="C306" s="89"/>
      <c r="D306" s="89" t="s">
        <v>73</v>
      </c>
      <c r="E306" s="90">
        <v>114984.42</v>
      </c>
      <c r="F306" s="90">
        <v>11056.12</v>
      </c>
      <c r="G306" s="90">
        <v>5581.83</v>
      </c>
      <c r="H306" s="90">
        <v>2762.81</v>
      </c>
      <c r="I306" s="90">
        <v>24005.91</v>
      </c>
      <c r="J306" s="90">
        <v>725.42</v>
      </c>
      <c r="K306" s="90">
        <v>0</v>
      </c>
      <c r="L306" s="90">
        <v>7993.53</v>
      </c>
      <c r="M306" s="90">
        <v>7785.91</v>
      </c>
      <c r="N306" s="90">
        <v>34375.370000000003</v>
      </c>
      <c r="O306" s="90">
        <v>19513.91</v>
      </c>
      <c r="P306" s="90">
        <v>1183.6099999999999</v>
      </c>
      <c r="Q306" s="90">
        <v>0</v>
      </c>
      <c r="R306">
        <v>0</v>
      </c>
    </row>
    <row r="307" spans="1:18" ht="12.75" customHeight="1" x14ac:dyDescent="0.25">
      <c r="B307" s="89"/>
      <c r="C307" s="89" t="s">
        <v>87</v>
      </c>
      <c r="D307" t="s">
        <v>70</v>
      </c>
      <c r="E307" s="90">
        <v>114984.42</v>
      </c>
      <c r="F307" s="90">
        <v>11056.12</v>
      </c>
      <c r="G307" s="90">
        <v>5581.83</v>
      </c>
      <c r="H307" s="90">
        <v>2762.81</v>
      </c>
      <c r="I307" s="90">
        <v>24005.91</v>
      </c>
      <c r="J307" s="90">
        <v>725.42</v>
      </c>
      <c r="K307" s="90">
        <v>0</v>
      </c>
      <c r="L307" s="90">
        <v>7993.53</v>
      </c>
      <c r="M307" s="90">
        <v>7785.91</v>
      </c>
      <c r="N307" s="90">
        <v>34375.370000000003</v>
      </c>
      <c r="O307" s="90">
        <v>19513.91</v>
      </c>
      <c r="P307" s="90">
        <v>1183.6099999999999</v>
      </c>
      <c r="Q307" s="90">
        <v>0</v>
      </c>
      <c r="R307">
        <v>0</v>
      </c>
    </row>
    <row r="308" spans="1:18" s="94" customFormat="1" ht="12.75" customHeight="1" x14ac:dyDescent="0.25">
      <c r="B308" s="101" t="s">
        <v>119</v>
      </c>
      <c r="C308" s="101" t="s">
        <v>70</v>
      </c>
      <c r="E308" s="93">
        <v>-36931.74</v>
      </c>
      <c r="F308" s="93">
        <v>8849.7800000000007</v>
      </c>
      <c r="G308" s="93">
        <v>4313.08</v>
      </c>
      <c r="H308" s="93">
        <v>2132.69</v>
      </c>
      <c r="I308" s="93">
        <v>-18562.830000000002</v>
      </c>
      <c r="J308" s="93">
        <v>-985.69</v>
      </c>
      <c r="K308" s="93">
        <v>0</v>
      </c>
      <c r="L308" s="93">
        <v>-7015.73</v>
      </c>
      <c r="M308" s="93">
        <v>-5222.3</v>
      </c>
      <c r="N308" s="93">
        <v>-32508.45</v>
      </c>
      <c r="O308" s="93">
        <v>13675.83</v>
      </c>
      <c r="P308" s="93">
        <v>-1608.12</v>
      </c>
      <c r="Q308" s="93">
        <v>0</v>
      </c>
      <c r="R308" s="94">
        <v>0</v>
      </c>
    </row>
    <row r="309" spans="1:18" s="226" customFormat="1" ht="12.75" customHeight="1" x14ac:dyDescent="0.25">
      <c r="A309" s="98" t="s">
        <v>79</v>
      </c>
      <c r="B309" s="98" t="s">
        <v>70</v>
      </c>
      <c r="E309" s="100">
        <v>-120167.08</v>
      </c>
      <c r="F309" s="100">
        <v>168688.73</v>
      </c>
      <c r="G309" s="100">
        <v>69554.259999999995</v>
      </c>
      <c r="H309" s="100">
        <v>47169.78</v>
      </c>
      <c r="I309" s="100">
        <v>-291792.27</v>
      </c>
      <c r="J309" s="100">
        <v>-10336.15</v>
      </c>
      <c r="K309" s="100">
        <v>0</v>
      </c>
      <c r="L309" s="100">
        <v>-79761.740000000005</v>
      </c>
      <c r="M309" s="100">
        <v>-75904.3</v>
      </c>
      <c r="N309" s="100">
        <v>-396202.63</v>
      </c>
      <c r="O309" s="100">
        <v>465437.07</v>
      </c>
      <c r="P309" s="100">
        <v>-17019.830000000002</v>
      </c>
      <c r="Q309" s="100">
        <v>0</v>
      </c>
      <c r="R309" s="226">
        <v>0</v>
      </c>
    </row>
    <row r="310" spans="1:18" ht="12.75" customHeight="1" x14ac:dyDescent="0.25">
      <c r="A310" s="89" t="s">
        <v>70</v>
      </c>
      <c r="E310" s="90">
        <v>23548210.239999998</v>
      </c>
      <c r="F310" s="90">
        <v>1638696.1</v>
      </c>
      <c r="G310" s="90">
        <v>905769.71</v>
      </c>
      <c r="H310" s="90">
        <v>383311.72</v>
      </c>
      <c r="I310" s="90">
        <v>4986754.1900000004</v>
      </c>
      <c r="J310" s="90">
        <v>183301.13</v>
      </c>
      <c r="K310" s="90">
        <v>0</v>
      </c>
      <c r="L310" s="90">
        <v>2044467.41</v>
      </c>
      <c r="M310" s="90">
        <v>1569694.69</v>
      </c>
      <c r="N310" s="90">
        <v>6871606.6299999999</v>
      </c>
      <c r="O310" s="90">
        <v>4702449.93</v>
      </c>
      <c r="P310" s="90">
        <v>262267.03000000003</v>
      </c>
      <c r="Q310" s="90">
        <v>-108.3</v>
      </c>
      <c r="R310">
        <v>0</v>
      </c>
    </row>
    <row r="311" spans="1:18" ht="12.75" customHeight="1" x14ac:dyDescent="0.25">
      <c r="C311" s="89"/>
      <c r="D311" s="89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</row>
    <row r="312" spans="1:18" ht="12.75" customHeight="1" x14ac:dyDescent="0.25">
      <c r="C312" s="89"/>
      <c r="D312" s="89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</row>
    <row r="313" spans="1:18" ht="12.75" hidden="1" customHeight="1" x14ac:dyDescent="0.25">
      <c r="C313" s="89"/>
      <c r="D313" s="89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</row>
    <row r="314" spans="1:18" ht="12.75" hidden="1" customHeight="1" x14ac:dyDescent="0.25">
      <c r="C314" s="89"/>
      <c r="D314" s="89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</row>
    <row r="315" spans="1:18" ht="12.75" hidden="1" customHeight="1" x14ac:dyDescent="0.25">
      <c r="C315" s="89"/>
      <c r="D315" s="89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</row>
    <row r="316" spans="1:18" ht="12.75" hidden="1" customHeight="1" x14ac:dyDescent="0.25">
      <c r="C316" s="89"/>
      <c r="D316" s="89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</row>
    <row r="317" spans="1:18" ht="12.75" hidden="1" customHeight="1" x14ac:dyDescent="0.25">
      <c r="C317" s="89"/>
      <c r="D317" s="89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</row>
    <row r="318" spans="1:18" ht="12.75" hidden="1" customHeight="1" x14ac:dyDescent="0.25">
      <c r="C318" s="89"/>
      <c r="D318" s="89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</row>
    <row r="319" spans="1:18" ht="12.75" hidden="1" customHeight="1" x14ac:dyDescent="0.25">
      <c r="C319" s="89"/>
      <c r="D319" s="89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</row>
    <row r="320" spans="1:18" ht="12.75" hidden="1" customHeight="1" x14ac:dyDescent="0.25">
      <c r="C320" s="89"/>
      <c r="D320" s="89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</row>
    <row r="321" spans="3:17" ht="12.75" hidden="1" customHeight="1" x14ac:dyDescent="0.25">
      <c r="C321" s="89"/>
      <c r="D321" s="89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</row>
    <row r="322" spans="3:17" ht="12.75" hidden="1" customHeight="1" x14ac:dyDescent="0.25">
      <c r="C322" s="89"/>
      <c r="D322" s="89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</row>
    <row r="323" spans="3:17" ht="12.75" hidden="1" customHeight="1" x14ac:dyDescent="0.25">
      <c r="C323" s="89"/>
      <c r="D323" s="89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</row>
    <row r="324" spans="3:17" ht="12.75" hidden="1" customHeight="1" x14ac:dyDescent="0.25">
      <c r="C324" s="89"/>
      <c r="D324" s="89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</row>
    <row r="325" spans="3:17" ht="12.75" hidden="1" customHeight="1" x14ac:dyDescent="0.25">
      <c r="C325" s="89"/>
      <c r="D325" s="89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</row>
    <row r="326" spans="3:17" ht="12.75" hidden="1" customHeight="1" x14ac:dyDescent="0.25">
      <c r="C326" s="89"/>
      <c r="D326" s="89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</row>
    <row r="327" spans="3:17" ht="12.75" hidden="1" customHeight="1" x14ac:dyDescent="0.25">
      <c r="C327" s="89"/>
      <c r="D327" s="89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</row>
    <row r="328" spans="3:17" ht="12.75" hidden="1" customHeight="1" x14ac:dyDescent="0.25">
      <c r="C328" s="89"/>
      <c r="D328" s="89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</row>
    <row r="329" spans="3:17" ht="12.75" hidden="1" customHeight="1" x14ac:dyDescent="0.25">
      <c r="C329" s="89"/>
      <c r="D329" s="89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</row>
    <row r="330" spans="3:17" ht="12.75" hidden="1" customHeight="1" x14ac:dyDescent="0.25">
      <c r="C330" s="89"/>
      <c r="D330" s="89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</row>
    <row r="331" spans="3:17" ht="12.75" hidden="1" customHeight="1" x14ac:dyDescent="0.25">
      <c r="C331" s="89"/>
      <c r="D331" s="89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</row>
    <row r="332" spans="3:17" ht="12.75" hidden="1" customHeight="1" x14ac:dyDescent="0.25">
      <c r="C332" s="89"/>
      <c r="D332" s="89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</row>
    <row r="333" spans="3:17" ht="12.75" hidden="1" customHeight="1" x14ac:dyDescent="0.25">
      <c r="C333" s="89"/>
      <c r="D333" s="89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</row>
    <row r="334" spans="3:17" ht="12.75" hidden="1" customHeight="1" x14ac:dyDescent="0.25">
      <c r="C334" s="89"/>
      <c r="D334" s="89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</row>
    <row r="335" spans="3:17" ht="12.75" hidden="1" customHeight="1" x14ac:dyDescent="0.25">
      <c r="C335" s="89"/>
      <c r="D335" s="89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</row>
    <row r="336" spans="3:17" ht="12.75" hidden="1" customHeight="1" x14ac:dyDescent="0.25">
      <c r="C336" s="89"/>
      <c r="D336" s="89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</row>
    <row r="337" spans="1:18" ht="12.75" hidden="1" customHeight="1" x14ac:dyDescent="0.25">
      <c r="C337" s="89"/>
      <c r="D337" s="89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</row>
    <row r="338" spans="1:18" ht="12.75" hidden="1" customHeight="1" x14ac:dyDescent="0.25">
      <c r="C338" s="89"/>
      <c r="D338" s="89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</row>
    <row r="339" spans="1:18" ht="12.75" hidden="1" customHeight="1" x14ac:dyDescent="0.25">
      <c r="C339" s="89"/>
      <c r="D339" s="89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</row>
    <row r="340" spans="1:18" ht="12.75" hidden="1" customHeight="1" x14ac:dyDescent="0.25">
      <c r="C340" s="89"/>
      <c r="D340" s="89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</row>
    <row r="341" spans="1:18" ht="12.75" hidden="1" customHeight="1" x14ac:dyDescent="0.25">
      <c r="C341" s="89"/>
      <c r="D341" s="89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</row>
    <row r="342" spans="1:18" ht="12.75" hidden="1" customHeight="1" x14ac:dyDescent="0.25">
      <c r="C342" s="89"/>
      <c r="D342" s="89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</row>
    <row r="343" spans="1:18" ht="12.75" customHeight="1" x14ac:dyDescent="0.25">
      <c r="C343" s="89"/>
      <c r="D343" s="89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</row>
    <row r="344" spans="1:18" ht="12.75" customHeight="1" x14ac:dyDescent="0.25">
      <c r="B344" s="763" t="s">
        <v>2</v>
      </c>
      <c r="C344" s="764" t="s">
        <v>132</v>
      </c>
      <c r="D344" s="98" t="s">
        <v>70</v>
      </c>
      <c r="E344" s="100">
        <f>E291+E309-K291</f>
        <v>23548210.240000002</v>
      </c>
      <c r="F344" s="100">
        <f>F291</f>
        <v>1470007.37</v>
      </c>
      <c r="G344" s="100">
        <f t="shared" ref="G344:R344" si="9">G291</f>
        <v>836215.45</v>
      </c>
      <c r="H344" s="100">
        <f t="shared" si="9"/>
        <v>336141.94</v>
      </c>
      <c r="I344" s="100">
        <f t="shared" si="9"/>
        <v>5278546.46</v>
      </c>
      <c r="J344" s="100">
        <f t="shared" si="9"/>
        <v>193637.28</v>
      </c>
      <c r="K344" s="100">
        <f t="shared" si="9"/>
        <v>0</v>
      </c>
      <c r="L344" s="100">
        <f t="shared" si="9"/>
        <v>2124229.15</v>
      </c>
      <c r="M344" s="100">
        <f t="shared" si="9"/>
        <v>1645598.99</v>
      </c>
      <c r="N344" s="100">
        <f t="shared" si="9"/>
        <v>7267809.2599999998</v>
      </c>
      <c r="O344" s="100">
        <f t="shared" si="9"/>
        <v>4237012.8600000003</v>
      </c>
      <c r="P344" s="100">
        <f t="shared" si="9"/>
        <v>279286.86</v>
      </c>
      <c r="Q344" s="100">
        <f t="shared" si="9"/>
        <v>-108.3</v>
      </c>
      <c r="R344" s="100">
        <f t="shared" si="9"/>
        <v>0</v>
      </c>
    </row>
    <row r="345" spans="1:18" ht="12.75" customHeight="1" x14ac:dyDescent="0.25">
      <c r="B345" s="763"/>
      <c r="C345" s="764"/>
      <c r="D345" s="98" t="s">
        <v>73</v>
      </c>
      <c r="E345" s="100">
        <f>E309</f>
        <v>-120167.08</v>
      </c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</row>
    <row r="346" spans="1:18" ht="12.75" customHeight="1" x14ac:dyDescent="0.3">
      <c r="A346" s="89"/>
      <c r="B346" s="97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</row>
    <row r="347" spans="1:18" ht="12.75" customHeight="1" x14ac:dyDescent="0.25">
      <c r="B347" s="763" t="s">
        <v>160</v>
      </c>
      <c r="C347" s="764" t="s">
        <v>132</v>
      </c>
      <c r="D347" s="223" t="s">
        <v>70</v>
      </c>
      <c r="E347" s="225">
        <f>E301+E280-K280</f>
        <v>4840819.8599999994</v>
      </c>
      <c r="F347" s="225">
        <f>F280</f>
        <v>279744.58</v>
      </c>
      <c r="G347" s="225">
        <f t="shared" ref="G347:R347" si="10">G280</f>
        <v>162265.51</v>
      </c>
      <c r="H347" s="225">
        <f t="shared" si="10"/>
        <v>60095.57</v>
      </c>
      <c r="I347" s="225">
        <f t="shared" si="10"/>
        <v>1186334.92</v>
      </c>
      <c r="J347" s="225">
        <f t="shared" si="10"/>
        <v>34753.74</v>
      </c>
      <c r="K347" s="225">
        <f t="shared" si="10"/>
        <v>0</v>
      </c>
      <c r="L347" s="225">
        <f t="shared" si="10"/>
        <v>337364.43</v>
      </c>
      <c r="M347" s="225">
        <f t="shared" si="10"/>
        <v>326316.08</v>
      </c>
      <c r="N347" s="225">
        <f t="shared" si="10"/>
        <v>1543170.48</v>
      </c>
      <c r="O347" s="225">
        <f t="shared" si="10"/>
        <v>781613.85</v>
      </c>
      <c r="P347" s="225">
        <f t="shared" si="10"/>
        <v>43697.84</v>
      </c>
      <c r="Q347" s="225">
        <f t="shared" si="10"/>
        <v>9.76</v>
      </c>
      <c r="R347" s="225">
        <f t="shared" si="10"/>
        <v>0</v>
      </c>
    </row>
    <row r="348" spans="1:18" ht="12.75" customHeight="1" x14ac:dyDescent="0.25">
      <c r="B348" s="763"/>
      <c r="C348" s="764"/>
      <c r="D348" s="223" t="s">
        <v>73</v>
      </c>
      <c r="E348" s="225">
        <f>E301</f>
        <v>85453.1</v>
      </c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</row>
    <row r="349" spans="1:18" ht="12.75" customHeight="1" x14ac:dyDescent="0.3">
      <c r="A349" s="89"/>
      <c r="B349" s="97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</row>
    <row r="350" spans="1:18" ht="12.75" customHeight="1" x14ac:dyDescent="0.25">
      <c r="B350" s="763" t="s">
        <v>155</v>
      </c>
      <c r="C350" s="764" t="s">
        <v>132</v>
      </c>
      <c r="D350" s="221" t="s">
        <v>70</v>
      </c>
      <c r="E350" s="222">
        <f>E294+E271-K271</f>
        <v>15536711.57</v>
      </c>
      <c r="F350" s="222">
        <f>F271</f>
        <v>905383.61</v>
      </c>
      <c r="G350" s="222">
        <f>G271</f>
        <v>513285.78</v>
      </c>
      <c r="H350" s="222">
        <f>H271</f>
        <v>242018.01</v>
      </c>
      <c r="I350" s="222">
        <f>I271</f>
        <v>3425674.04</v>
      </c>
      <c r="J350" s="222">
        <f>J271</f>
        <v>135105.51999999999</v>
      </c>
      <c r="K350" s="222">
        <f>K271</f>
        <v>0</v>
      </c>
      <c r="L350" s="222">
        <f>L271</f>
        <v>1544350.53</v>
      </c>
      <c r="M350" s="222">
        <f>M271</f>
        <v>1111554.8600000001</v>
      </c>
      <c r="N350" s="222">
        <f>N271</f>
        <v>4923328.28</v>
      </c>
      <c r="O350" s="222">
        <f>O271</f>
        <v>2698732.89</v>
      </c>
      <c r="P350" s="222">
        <f>P271</f>
        <v>206079.53</v>
      </c>
      <c r="Q350" s="222">
        <f>Q271</f>
        <v>-113.04</v>
      </c>
      <c r="R350" s="222">
        <f>R271</f>
        <v>0</v>
      </c>
    </row>
    <row r="351" spans="1:18" ht="12.75" customHeight="1" x14ac:dyDescent="0.25">
      <c r="B351" s="763"/>
      <c r="C351" s="764"/>
      <c r="D351" s="221" t="s">
        <v>73</v>
      </c>
      <c r="E351" s="222">
        <f>E294</f>
        <v>-168688.44</v>
      </c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</row>
    <row r="352" spans="1:18" ht="12.75" customHeight="1" x14ac:dyDescent="0.3">
      <c r="A352" s="89"/>
      <c r="B352" s="97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</row>
    <row r="353" spans="1:18" ht="12.75" customHeight="1" x14ac:dyDescent="0.25">
      <c r="B353" s="766" t="s">
        <v>324</v>
      </c>
      <c r="C353" s="764" t="s">
        <v>132</v>
      </c>
      <c r="D353" s="375" t="s">
        <v>70</v>
      </c>
      <c r="E353" s="376">
        <v>0</v>
      </c>
      <c r="F353" s="376">
        <v>0</v>
      </c>
      <c r="G353" s="376">
        <v>0</v>
      </c>
      <c r="H353" s="376">
        <v>0</v>
      </c>
      <c r="I353" s="376">
        <v>0</v>
      </c>
      <c r="J353" s="376">
        <v>0</v>
      </c>
      <c r="K353" s="376">
        <v>0</v>
      </c>
      <c r="L353" s="376">
        <v>0</v>
      </c>
      <c r="M353" s="376">
        <v>0</v>
      </c>
      <c r="N353" s="376">
        <v>0</v>
      </c>
      <c r="O353" s="376">
        <v>0</v>
      </c>
      <c r="P353" s="376">
        <v>0</v>
      </c>
      <c r="Q353" s="376">
        <v>0</v>
      </c>
      <c r="R353" s="376">
        <v>0</v>
      </c>
    </row>
    <row r="354" spans="1:18" ht="12.75" customHeight="1" x14ac:dyDescent="0.25">
      <c r="B354" s="766"/>
      <c r="C354" s="764"/>
      <c r="D354" s="375" t="s">
        <v>73</v>
      </c>
      <c r="E354" s="376">
        <v>0</v>
      </c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</row>
    <row r="355" spans="1:18" ht="12.75" customHeight="1" x14ac:dyDescent="0.3">
      <c r="A355" s="89"/>
      <c r="B355" s="97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</row>
    <row r="356" spans="1:18" ht="12.75" customHeight="1" x14ac:dyDescent="0.25">
      <c r="A356" s="142" t="s">
        <v>225</v>
      </c>
      <c r="B356" s="763" t="s">
        <v>119</v>
      </c>
      <c r="C356" s="764" t="s">
        <v>132</v>
      </c>
      <c r="D356" s="101" t="s">
        <v>70</v>
      </c>
      <c r="E356" s="93">
        <f>E290+E308-K290</f>
        <v>3170678.8099999996</v>
      </c>
      <c r="F356" s="93">
        <f t="shared" ref="F356:R356" si="11">F290</f>
        <v>284879.18</v>
      </c>
      <c r="G356" s="93">
        <f t="shared" si="11"/>
        <v>160664.16</v>
      </c>
      <c r="H356" s="93">
        <f t="shared" si="11"/>
        <v>34028.36</v>
      </c>
      <c r="I356" s="93">
        <f t="shared" si="11"/>
        <v>666537.5</v>
      </c>
      <c r="J356" s="93">
        <f t="shared" si="11"/>
        <v>23778.02</v>
      </c>
      <c r="K356" s="93">
        <f t="shared" si="11"/>
        <v>0</v>
      </c>
      <c r="L356" s="93">
        <f t="shared" si="11"/>
        <v>242514.19</v>
      </c>
      <c r="M356" s="93">
        <f t="shared" si="11"/>
        <v>207728.05</v>
      </c>
      <c r="N356" s="93">
        <f t="shared" si="11"/>
        <v>801310.5</v>
      </c>
      <c r="O356" s="93">
        <f t="shared" si="11"/>
        <v>756666.12</v>
      </c>
      <c r="P356" s="93">
        <f t="shared" si="11"/>
        <v>29509.49</v>
      </c>
      <c r="Q356" s="93">
        <f t="shared" si="11"/>
        <v>-5.0199999999999996</v>
      </c>
      <c r="R356" s="93">
        <f t="shared" si="11"/>
        <v>0</v>
      </c>
    </row>
    <row r="357" spans="1:18" ht="12.75" customHeight="1" x14ac:dyDescent="0.25">
      <c r="B357" s="763"/>
      <c r="C357" s="764"/>
      <c r="D357" s="101" t="s">
        <v>73</v>
      </c>
      <c r="E357" s="93">
        <f>E308</f>
        <v>-36931.74</v>
      </c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</row>
    <row r="358" spans="1:18" ht="12.75" customHeight="1" x14ac:dyDescent="0.3">
      <c r="A358" s="89"/>
      <c r="B358" s="97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</row>
    <row r="359" spans="1:18" ht="12.75" customHeight="1" x14ac:dyDescent="0.25">
      <c r="B359" s="765" t="s">
        <v>161</v>
      </c>
      <c r="C359" s="764" t="s">
        <v>132</v>
      </c>
      <c r="D359" s="231" t="s">
        <v>70</v>
      </c>
      <c r="E359" s="232">
        <v>0</v>
      </c>
      <c r="F359" s="232">
        <v>0</v>
      </c>
      <c r="G359" s="232">
        <v>0</v>
      </c>
      <c r="H359" s="232">
        <v>0</v>
      </c>
      <c r="I359" s="232">
        <v>0</v>
      </c>
      <c r="J359" s="232">
        <v>0</v>
      </c>
      <c r="K359" s="232">
        <v>0</v>
      </c>
      <c r="L359" s="232">
        <v>0</v>
      </c>
      <c r="M359" s="232">
        <v>0</v>
      </c>
      <c r="N359" s="232">
        <v>0</v>
      </c>
      <c r="O359" s="232">
        <v>0</v>
      </c>
      <c r="P359" s="232">
        <v>0</v>
      </c>
      <c r="Q359" s="232">
        <v>0</v>
      </c>
      <c r="R359" s="232">
        <v>0</v>
      </c>
    </row>
    <row r="360" spans="1:18" ht="12.75" customHeight="1" x14ac:dyDescent="0.25">
      <c r="B360" s="765"/>
      <c r="C360" s="764"/>
      <c r="D360" s="231" t="s">
        <v>73</v>
      </c>
      <c r="E360" s="232">
        <v>0</v>
      </c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</row>
    <row r="361" spans="1:18" s="238" customFormat="1" x14ac:dyDescent="0.25"/>
    <row r="362" spans="1:18" ht="13" x14ac:dyDescent="0.3">
      <c r="B362" s="97" t="s">
        <v>93</v>
      </c>
    </row>
    <row r="363" spans="1:18" x14ac:dyDescent="0.25">
      <c r="E363" s="89" t="s">
        <v>70</v>
      </c>
      <c r="F363" s="89" t="s">
        <v>64</v>
      </c>
      <c r="G363" s="89" t="s">
        <v>65</v>
      </c>
      <c r="H363" s="219" t="s">
        <v>164</v>
      </c>
      <c r="I363" s="89" t="s">
        <v>69</v>
      </c>
      <c r="J363" s="89" t="s">
        <v>68</v>
      </c>
      <c r="K363" s="89" t="s">
        <v>83</v>
      </c>
      <c r="L363" s="89" t="s">
        <v>66</v>
      </c>
      <c r="M363" s="89" t="s">
        <v>63</v>
      </c>
      <c r="N363" s="89" t="s">
        <v>61</v>
      </c>
      <c r="O363" s="89" t="s">
        <v>62</v>
      </c>
      <c r="P363" s="89" t="s">
        <v>67</v>
      </c>
      <c r="Q363" s="89" t="s">
        <v>84</v>
      </c>
      <c r="R363" s="386" t="s">
        <v>224</v>
      </c>
    </row>
    <row r="364" spans="1:18" ht="12.75" customHeight="1" x14ac:dyDescent="0.25">
      <c r="D364" s="89" t="s">
        <v>72</v>
      </c>
      <c r="E364" s="90">
        <v>26311853.800000001</v>
      </c>
      <c r="F364" s="90">
        <v>1495516.05</v>
      </c>
      <c r="G364" s="90">
        <v>853498.33</v>
      </c>
      <c r="H364" s="90">
        <v>424416.81</v>
      </c>
      <c r="I364" s="90">
        <v>6072059.0999999996</v>
      </c>
      <c r="J364" s="90">
        <v>199797.35</v>
      </c>
      <c r="K364" s="90">
        <v>0</v>
      </c>
      <c r="L364" s="90">
        <v>1893621.87</v>
      </c>
      <c r="M364" s="90">
        <v>1727387.53</v>
      </c>
      <c r="N364" s="90">
        <v>8616499.0800000001</v>
      </c>
      <c r="O364" s="90">
        <v>4708125.43</v>
      </c>
      <c r="P364" s="90">
        <v>321135.12</v>
      </c>
      <c r="Q364" s="90">
        <v>-202.87</v>
      </c>
      <c r="R364">
        <v>0</v>
      </c>
    </row>
    <row r="365" spans="1:18" ht="12.75" customHeight="1" x14ac:dyDescent="0.25">
      <c r="D365" s="89" t="s">
        <v>81</v>
      </c>
      <c r="E365" s="90">
        <v>42324.58</v>
      </c>
      <c r="F365" s="90">
        <v>2277.44</v>
      </c>
      <c r="G365" s="90">
        <v>1282.1300000000001</v>
      </c>
      <c r="H365" s="90">
        <v>674.91</v>
      </c>
      <c r="I365" s="90">
        <v>9398.64</v>
      </c>
      <c r="J365" s="90">
        <v>341.68</v>
      </c>
      <c r="K365" s="90">
        <v>0</v>
      </c>
      <c r="L365" s="90">
        <v>2994.67</v>
      </c>
      <c r="M365" s="90">
        <v>2904.48</v>
      </c>
      <c r="N365" s="90">
        <v>15014.19</v>
      </c>
      <c r="O365" s="90">
        <v>6879.37</v>
      </c>
      <c r="P365" s="90">
        <v>557.05999999999995</v>
      </c>
      <c r="Q365" s="90">
        <v>0.01</v>
      </c>
      <c r="R365">
        <v>0</v>
      </c>
    </row>
    <row r="366" spans="1:18" ht="12.75" customHeight="1" x14ac:dyDescent="0.25">
      <c r="B366" s="89"/>
      <c r="C366" s="89" t="s">
        <v>156</v>
      </c>
      <c r="D366" t="s">
        <v>70</v>
      </c>
      <c r="E366" s="90">
        <v>26354178.379999999</v>
      </c>
      <c r="F366" s="90">
        <v>1497793.49</v>
      </c>
      <c r="G366" s="90">
        <v>854780.46</v>
      </c>
      <c r="H366" s="90">
        <v>425091.72</v>
      </c>
      <c r="I366" s="90">
        <v>6081457.7400000002</v>
      </c>
      <c r="J366" s="90">
        <v>200139.03</v>
      </c>
      <c r="K366" s="90">
        <v>0</v>
      </c>
      <c r="L366" s="90">
        <v>1896616.54</v>
      </c>
      <c r="M366" s="90">
        <v>1730292.01</v>
      </c>
      <c r="N366" s="90">
        <v>8631513.2699999996</v>
      </c>
      <c r="O366" s="90">
        <v>4715004.8</v>
      </c>
      <c r="P366" s="90">
        <v>321692.18</v>
      </c>
      <c r="Q366" s="90">
        <v>-202.86</v>
      </c>
      <c r="R366">
        <v>0</v>
      </c>
    </row>
    <row r="367" spans="1:18" s="237" customFormat="1" ht="12.75" customHeight="1" x14ac:dyDescent="0.25">
      <c r="B367" s="221" t="s">
        <v>155</v>
      </c>
      <c r="C367" s="221" t="s">
        <v>70</v>
      </c>
      <c r="E367" s="222">
        <v>26354178.379999999</v>
      </c>
      <c r="F367" s="222">
        <v>1497793.49</v>
      </c>
      <c r="G367" s="222">
        <v>854780.46</v>
      </c>
      <c r="H367" s="222">
        <v>425091.72</v>
      </c>
      <c r="I367" s="222">
        <v>6081457.7400000002</v>
      </c>
      <c r="J367" s="222">
        <v>200139.03</v>
      </c>
      <c r="K367" s="222">
        <v>0</v>
      </c>
      <c r="L367" s="222">
        <v>1896616.54</v>
      </c>
      <c r="M367" s="222">
        <v>1730292.01</v>
      </c>
      <c r="N367" s="222">
        <v>8631513.2699999996</v>
      </c>
      <c r="O367" s="222">
        <v>4715004.8</v>
      </c>
      <c r="P367" s="222">
        <v>321692.18</v>
      </c>
      <c r="Q367" s="222">
        <v>-202.86</v>
      </c>
      <c r="R367" s="237">
        <v>0</v>
      </c>
    </row>
    <row r="368" spans="1:18" ht="12.75" customHeight="1" x14ac:dyDescent="0.25">
      <c r="D368" t="s">
        <v>72</v>
      </c>
      <c r="E368" s="142">
        <v>383844.81</v>
      </c>
      <c r="F368">
        <v>27933.53</v>
      </c>
      <c r="G368">
        <v>10869.33</v>
      </c>
      <c r="H368">
        <v>3609.23</v>
      </c>
      <c r="I368">
        <v>83289.89</v>
      </c>
      <c r="J368">
        <v>2627.1</v>
      </c>
      <c r="K368">
        <v>0</v>
      </c>
      <c r="L368">
        <v>42797.04</v>
      </c>
      <c r="M368">
        <v>22542.52</v>
      </c>
      <c r="N368">
        <v>90852.1</v>
      </c>
      <c r="O368">
        <v>95051.85</v>
      </c>
      <c r="P368">
        <v>4286.3100000000004</v>
      </c>
      <c r="Q368">
        <v>-14.09</v>
      </c>
      <c r="R368">
        <v>0</v>
      </c>
    </row>
    <row r="369" spans="1:18" ht="12.75" customHeight="1" x14ac:dyDescent="0.25">
      <c r="C369" t="s">
        <v>82</v>
      </c>
      <c r="D369" t="s">
        <v>70</v>
      </c>
      <c r="E369" s="142">
        <v>383844.81</v>
      </c>
      <c r="F369">
        <v>27933.53</v>
      </c>
      <c r="G369">
        <v>10869.33</v>
      </c>
      <c r="H369">
        <v>3609.23</v>
      </c>
      <c r="I369">
        <v>83289.89</v>
      </c>
      <c r="J369">
        <v>2627.1</v>
      </c>
      <c r="K369">
        <v>0</v>
      </c>
      <c r="L369">
        <v>42797.04</v>
      </c>
      <c r="M369">
        <v>22542.52</v>
      </c>
      <c r="N369">
        <v>90852.1</v>
      </c>
      <c r="O369">
        <v>95051.85</v>
      </c>
      <c r="P369">
        <v>4286.3100000000004</v>
      </c>
      <c r="Q369">
        <v>-14.09</v>
      </c>
      <c r="R369">
        <v>0</v>
      </c>
    </row>
    <row r="370" spans="1:18" ht="12.75" customHeight="1" x14ac:dyDescent="0.25">
      <c r="D370" t="s">
        <v>72</v>
      </c>
      <c r="E370" s="142">
        <v>561004.93999999994</v>
      </c>
      <c r="F370">
        <v>29041.02</v>
      </c>
      <c r="G370">
        <v>17346.38</v>
      </c>
      <c r="H370">
        <v>6274.06</v>
      </c>
      <c r="I370">
        <v>187470.65</v>
      </c>
      <c r="J370">
        <v>3767.03</v>
      </c>
      <c r="K370">
        <v>0</v>
      </c>
      <c r="L370">
        <v>31782.53</v>
      </c>
      <c r="M370">
        <v>31086.32</v>
      </c>
      <c r="N370">
        <v>165535.18</v>
      </c>
      <c r="O370">
        <v>83188.59</v>
      </c>
      <c r="P370">
        <v>5533.86</v>
      </c>
      <c r="Q370">
        <v>-20.68</v>
      </c>
      <c r="R370">
        <v>0</v>
      </c>
    </row>
    <row r="371" spans="1:18" ht="12.75" customHeight="1" x14ac:dyDescent="0.25">
      <c r="D371" t="s">
        <v>81</v>
      </c>
      <c r="E371" s="142">
        <v>183.49</v>
      </c>
      <c r="F371">
        <v>3.63</v>
      </c>
      <c r="G371">
        <v>2.04</v>
      </c>
      <c r="H371">
        <v>1.08</v>
      </c>
      <c r="I371">
        <v>12.19</v>
      </c>
      <c r="J371">
        <v>2.4</v>
      </c>
      <c r="K371">
        <v>0</v>
      </c>
      <c r="L371">
        <v>21.04</v>
      </c>
      <c r="M371">
        <v>20.399999999999999</v>
      </c>
      <c r="N371">
        <v>105.8</v>
      </c>
      <c r="O371">
        <v>11.02</v>
      </c>
      <c r="P371">
        <v>3.91</v>
      </c>
      <c r="Q371">
        <v>-0.02</v>
      </c>
      <c r="R371">
        <v>0</v>
      </c>
    </row>
    <row r="372" spans="1:18" ht="12.75" customHeight="1" x14ac:dyDescent="0.25">
      <c r="C372" t="s">
        <v>86</v>
      </c>
      <c r="D372" t="s">
        <v>70</v>
      </c>
      <c r="E372" s="142">
        <v>561188.43000000005</v>
      </c>
      <c r="F372">
        <v>29044.65</v>
      </c>
      <c r="G372">
        <v>17348.419999999998</v>
      </c>
      <c r="H372">
        <v>6275.14</v>
      </c>
      <c r="I372">
        <v>187482.84</v>
      </c>
      <c r="J372">
        <v>3769.43</v>
      </c>
      <c r="K372">
        <v>0</v>
      </c>
      <c r="L372">
        <v>31803.57</v>
      </c>
      <c r="M372">
        <v>31106.720000000001</v>
      </c>
      <c r="N372">
        <v>165640.98000000001</v>
      </c>
      <c r="O372">
        <v>83199.61</v>
      </c>
      <c r="P372">
        <v>5537.77</v>
      </c>
      <c r="Q372">
        <v>-20.7</v>
      </c>
      <c r="R372">
        <v>0</v>
      </c>
    </row>
    <row r="373" spans="1:18" ht="12.75" customHeight="1" x14ac:dyDescent="0.25">
      <c r="D373" t="s">
        <v>72</v>
      </c>
      <c r="E373" s="142">
        <v>295708.49</v>
      </c>
      <c r="F373">
        <v>18178.79</v>
      </c>
      <c r="G373">
        <v>10116.719999999999</v>
      </c>
      <c r="H373">
        <v>4722.25</v>
      </c>
      <c r="I373">
        <v>69136.240000000005</v>
      </c>
      <c r="J373">
        <v>1876.5</v>
      </c>
      <c r="K373">
        <v>0</v>
      </c>
      <c r="L373">
        <v>16460.400000000001</v>
      </c>
      <c r="M373">
        <v>19322.16</v>
      </c>
      <c r="N373">
        <v>98114.16</v>
      </c>
      <c r="O373">
        <v>54113.78</v>
      </c>
      <c r="P373">
        <v>3673.98</v>
      </c>
      <c r="Q373">
        <v>-6.49</v>
      </c>
      <c r="R373">
        <v>0</v>
      </c>
    </row>
    <row r="374" spans="1:18" ht="12.75" customHeight="1" x14ac:dyDescent="0.25">
      <c r="B374" s="142"/>
      <c r="C374" t="s">
        <v>87</v>
      </c>
      <c r="D374" t="s">
        <v>70</v>
      </c>
      <c r="E374" s="142">
        <v>295708.49</v>
      </c>
      <c r="F374">
        <v>18178.79</v>
      </c>
      <c r="G374">
        <v>10116.719999999999</v>
      </c>
      <c r="H374">
        <v>4722.25</v>
      </c>
      <c r="I374">
        <v>69136.240000000005</v>
      </c>
      <c r="J374">
        <v>1876.5</v>
      </c>
      <c r="K374">
        <v>0</v>
      </c>
      <c r="L374">
        <v>16460.400000000001</v>
      </c>
      <c r="M374">
        <v>19322.16</v>
      </c>
      <c r="N374">
        <v>98114.16</v>
      </c>
      <c r="O374">
        <v>54113.78</v>
      </c>
      <c r="P374">
        <v>3673.98</v>
      </c>
      <c r="Q374">
        <v>-6.49</v>
      </c>
      <c r="R374">
        <v>0</v>
      </c>
    </row>
    <row r="375" spans="1:18" s="94" customFormat="1" ht="12.75" customHeight="1" x14ac:dyDescent="0.25">
      <c r="B375" s="101" t="s">
        <v>119</v>
      </c>
      <c r="C375" s="101" t="s">
        <v>70</v>
      </c>
      <c r="E375" s="93">
        <v>1240741.73</v>
      </c>
      <c r="F375" s="93">
        <v>75156.97</v>
      </c>
      <c r="G375" s="93">
        <v>38334.47</v>
      </c>
      <c r="H375" s="93">
        <v>14606.62</v>
      </c>
      <c r="I375" s="93">
        <v>339908.97</v>
      </c>
      <c r="J375" s="93">
        <v>8273.0300000000007</v>
      </c>
      <c r="K375" s="93">
        <v>0</v>
      </c>
      <c r="L375" s="93">
        <v>91061.01</v>
      </c>
      <c r="M375" s="93">
        <v>72971.399999999994</v>
      </c>
      <c r="N375" s="93">
        <v>354607.24</v>
      </c>
      <c r="O375" s="93">
        <v>232365.24</v>
      </c>
      <c r="P375" s="93">
        <v>13498.06</v>
      </c>
      <c r="Q375" s="93">
        <v>-41.28</v>
      </c>
      <c r="R375" s="94">
        <v>0</v>
      </c>
    </row>
    <row r="376" spans="1:18" s="226" customFormat="1" ht="12.75" customHeight="1" x14ac:dyDescent="0.25">
      <c r="A376" s="98" t="s">
        <v>78</v>
      </c>
      <c r="B376" s="98" t="s">
        <v>70</v>
      </c>
      <c r="E376" s="100">
        <v>27594920.109999999</v>
      </c>
      <c r="F376" s="100">
        <v>1572950.46</v>
      </c>
      <c r="G376" s="100">
        <v>893114.93</v>
      </c>
      <c r="H376" s="100">
        <v>439698.34</v>
      </c>
      <c r="I376" s="100">
        <v>6421366.71</v>
      </c>
      <c r="J376" s="100">
        <v>208412.06</v>
      </c>
      <c r="K376" s="100">
        <v>0</v>
      </c>
      <c r="L376" s="100">
        <v>1987677.55</v>
      </c>
      <c r="M376" s="100">
        <v>1803263.41</v>
      </c>
      <c r="N376" s="100">
        <v>8986120.5099999998</v>
      </c>
      <c r="O376" s="100">
        <v>4947370.04</v>
      </c>
      <c r="P376" s="100">
        <v>335190.24</v>
      </c>
      <c r="Q376" s="100">
        <v>-244.14</v>
      </c>
      <c r="R376" s="226">
        <v>0</v>
      </c>
    </row>
    <row r="377" spans="1:18" ht="12.75" customHeight="1" x14ac:dyDescent="0.25">
      <c r="C377" s="89"/>
      <c r="D377" s="89" t="s">
        <v>73</v>
      </c>
      <c r="E377" s="90">
        <v>134622.98000000001</v>
      </c>
      <c r="F377" s="90">
        <v>195501.29</v>
      </c>
      <c r="G377" s="90">
        <v>105727.32</v>
      </c>
      <c r="H377" s="90">
        <v>57523.31</v>
      </c>
      <c r="I377" s="90">
        <v>-238735.06</v>
      </c>
      <c r="J377" s="90">
        <v>-15391.69</v>
      </c>
      <c r="K377" s="90">
        <v>0</v>
      </c>
      <c r="L377" s="90">
        <v>-56648.79</v>
      </c>
      <c r="M377" s="90">
        <v>-57641.74</v>
      </c>
      <c r="N377" s="90">
        <v>-422028.28</v>
      </c>
      <c r="O377" s="90">
        <v>583288.16</v>
      </c>
      <c r="P377" s="90">
        <v>-16971.54</v>
      </c>
      <c r="Q377" s="90">
        <v>0</v>
      </c>
      <c r="R377">
        <v>0</v>
      </c>
    </row>
    <row r="378" spans="1:18" ht="12.75" customHeight="1" x14ac:dyDescent="0.25">
      <c r="B378" s="89"/>
      <c r="C378" s="89" t="s">
        <v>156</v>
      </c>
      <c r="D378" t="s">
        <v>70</v>
      </c>
      <c r="E378" s="90">
        <v>134622.98000000001</v>
      </c>
      <c r="F378" s="90">
        <v>195501.29</v>
      </c>
      <c r="G378" s="90">
        <v>105727.32</v>
      </c>
      <c r="H378" s="90">
        <v>57523.31</v>
      </c>
      <c r="I378" s="90">
        <v>-238735.06</v>
      </c>
      <c r="J378" s="90">
        <v>-15391.69</v>
      </c>
      <c r="K378" s="90">
        <v>0</v>
      </c>
      <c r="L378" s="90">
        <v>-56648.79</v>
      </c>
      <c r="M378" s="90">
        <v>-57641.74</v>
      </c>
      <c r="N378" s="90">
        <v>-422028.28</v>
      </c>
      <c r="O378" s="90">
        <v>583288.16</v>
      </c>
      <c r="P378" s="90">
        <v>-16971.54</v>
      </c>
      <c r="Q378" s="90">
        <v>0</v>
      </c>
      <c r="R378">
        <v>0</v>
      </c>
    </row>
    <row r="379" spans="1:18" s="237" customFormat="1" ht="12.75" customHeight="1" x14ac:dyDescent="0.25">
      <c r="B379" s="221" t="s">
        <v>155</v>
      </c>
      <c r="C379" s="221" t="s">
        <v>70</v>
      </c>
      <c r="E379" s="222">
        <v>134622.98000000001</v>
      </c>
      <c r="F379" s="222">
        <v>195501.29</v>
      </c>
      <c r="G379" s="222">
        <v>105727.32</v>
      </c>
      <c r="H379" s="222">
        <v>57523.31</v>
      </c>
      <c r="I379" s="222">
        <v>-238735.06</v>
      </c>
      <c r="J379" s="222">
        <v>-15391.69</v>
      </c>
      <c r="K379" s="222">
        <v>0</v>
      </c>
      <c r="L379" s="222">
        <v>-56648.79</v>
      </c>
      <c r="M379" s="222">
        <v>-57641.74</v>
      </c>
      <c r="N379" s="222">
        <v>-422028.28</v>
      </c>
      <c r="O379" s="222">
        <v>583288.16</v>
      </c>
      <c r="P379" s="222">
        <v>-16971.54</v>
      </c>
      <c r="Q379" s="222">
        <v>0</v>
      </c>
      <c r="R379" s="237">
        <v>0</v>
      </c>
    </row>
    <row r="380" spans="1:18" ht="12.75" customHeight="1" x14ac:dyDescent="0.25">
      <c r="B380" s="142"/>
      <c r="C380" s="89"/>
      <c r="D380" s="89" t="s">
        <v>73</v>
      </c>
      <c r="E380" s="373">
        <v>-127842.49</v>
      </c>
      <c r="F380" s="90">
        <v>-6564.36</v>
      </c>
      <c r="G380" s="90">
        <v>-3657.66</v>
      </c>
      <c r="H380" s="90">
        <v>-1945.36</v>
      </c>
      <c r="I380" s="90">
        <v>-31709.15</v>
      </c>
      <c r="J380" s="90">
        <v>-1013.36</v>
      </c>
      <c r="K380" s="90">
        <v>0</v>
      </c>
      <c r="L380" s="90">
        <v>-8888.59</v>
      </c>
      <c r="M380" s="90">
        <v>-8694.92</v>
      </c>
      <c r="N380" s="90">
        <v>-44151.32</v>
      </c>
      <c r="O380" s="90">
        <v>-19564.48</v>
      </c>
      <c r="P380" s="90">
        <v>-1653.29</v>
      </c>
      <c r="Q380" s="90">
        <v>0</v>
      </c>
      <c r="R380">
        <v>0</v>
      </c>
    </row>
    <row r="381" spans="1:18" ht="12.75" customHeight="1" x14ac:dyDescent="0.25">
      <c r="B381" s="142"/>
      <c r="C381" s="89" t="s">
        <v>82</v>
      </c>
      <c r="D381" s="89" t="s">
        <v>70</v>
      </c>
      <c r="E381" s="373">
        <v>-127842.49</v>
      </c>
      <c r="F381" s="90">
        <v>-6564.36</v>
      </c>
      <c r="G381" s="90">
        <v>-3657.66</v>
      </c>
      <c r="H381" s="90">
        <v>-1945.36</v>
      </c>
      <c r="I381" s="90">
        <v>-31709.15</v>
      </c>
      <c r="J381" s="90">
        <v>-1013.36</v>
      </c>
      <c r="K381" s="90">
        <v>0</v>
      </c>
      <c r="L381" s="90">
        <v>-8888.59</v>
      </c>
      <c r="M381" s="90">
        <v>-8694.92</v>
      </c>
      <c r="N381" s="90">
        <v>-44151.32</v>
      </c>
      <c r="O381" s="90">
        <v>-19564.48</v>
      </c>
      <c r="P381" s="90">
        <v>-1653.29</v>
      </c>
      <c r="Q381" s="90">
        <v>0</v>
      </c>
      <c r="R381">
        <v>0</v>
      </c>
    </row>
    <row r="382" spans="1:18" ht="12.75" customHeight="1" x14ac:dyDescent="0.25">
      <c r="B382" s="142"/>
      <c r="C382" s="89"/>
      <c r="D382" s="89" t="s">
        <v>73</v>
      </c>
      <c r="E382" s="373">
        <v>-119168.84</v>
      </c>
      <c r="F382" s="90">
        <v>-5116.2</v>
      </c>
      <c r="G382" s="90">
        <v>-2850.7</v>
      </c>
      <c r="H382" s="90">
        <v>-1516.22</v>
      </c>
      <c r="I382" s="90">
        <v>-31153</v>
      </c>
      <c r="J382" s="90">
        <v>-996.66</v>
      </c>
      <c r="K382" s="90">
        <v>0</v>
      </c>
      <c r="L382" s="90">
        <v>-8742.4599999999991</v>
      </c>
      <c r="M382" s="90">
        <v>-8537.89</v>
      </c>
      <c r="N382" s="90">
        <v>-43381.18</v>
      </c>
      <c r="O382" s="90">
        <v>-15248.44</v>
      </c>
      <c r="P382" s="90">
        <v>-1626.09</v>
      </c>
      <c r="Q382" s="90">
        <v>0</v>
      </c>
      <c r="R382">
        <v>0</v>
      </c>
    </row>
    <row r="383" spans="1:18" ht="12.75" customHeight="1" x14ac:dyDescent="0.25">
      <c r="B383" s="142"/>
      <c r="C383" s="89" t="s">
        <v>86</v>
      </c>
      <c r="D383" s="89" t="s">
        <v>70</v>
      </c>
      <c r="E383" s="373">
        <v>-119168.84</v>
      </c>
      <c r="F383" s="90">
        <v>-5116.2</v>
      </c>
      <c r="G383" s="90">
        <v>-2850.7</v>
      </c>
      <c r="H383" s="90">
        <v>-1516.22</v>
      </c>
      <c r="I383" s="90">
        <v>-31153</v>
      </c>
      <c r="J383" s="90">
        <v>-996.66</v>
      </c>
      <c r="K383" s="90">
        <v>0</v>
      </c>
      <c r="L383" s="90">
        <v>-8742.4599999999991</v>
      </c>
      <c r="M383" s="90">
        <v>-8537.89</v>
      </c>
      <c r="N383" s="90">
        <v>-43381.18</v>
      </c>
      <c r="O383" s="90">
        <v>-15248.44</v>
      </c>
      <c r="P383" s="90">
        <v>-1626.09</v>
      </c>
      <c r="Q383" s="90">
        <v>0</v>
      </c>
      <c r="R383">
        <v>0</v>
      </c>
    </row>
    <row r="384" spans="1:18" ht="12.75" customHeight="1" x14ac:dyDescent="0.25">
      <c r="B384" s="142"/>
      <c r="C384" s="89"/>
      <c r="D384" s="89" t="s">
        <v>73</v>
      </c>
      <c r="E384" s="373">
        <v>37528.949999999997</v>
      </c>
      <c r="F384" s="90">
        <v>2557.54</v>
      </c>
      <c r="G384" s="90">
        <v>1425.04</v>
      </c>
      <c r="H384" s="90">
        <v>1006.31</v>
      </c>
      <c r="I384" s="90">
        <v>8220.8799999999992</v>
      </c>
      <c r="J384" s="90">
        <v>262.7</v>
      </c>
      <c r="K384" s="90">
        <v>0</v>
      </c>
      <c r="L384" s="90">
        <v>2304.46</v>
      </c>
      <c r="M384" s="90">
        <v>2254.2600000000002</v>
      </c>
      <c r="N384" s="90">
        <v>11446.66</v>
      </c>
      <c r="O384" s="90">
        <v>7622.46</v>
      </c>
      <c r="P384" s="90">
        <v>428.64</v>
      </c>
      <c r="Q384" s="90">
        <v>0</v>
      </c>
      <c r="R384">
        <v>0</v>
      </c>
    </row>
    <row r="385" spans="1:18" ht="12.75" customHeight="1" x14ac:dyDescent="0.25">
      <c r="B385" s="142"/>
      <c r="C385" s="89" t="s">
        <v>87</v>
      </c>
      <c r="D385" s="89" t="s">
        <v>70</v>
      </c>
      <c r="E385" s="373">
        <v>37528.949999999997</v>
      </c>
      <c r="F385" s="90">
        <v>2557.54</v>
      </c>
      <c r="G385" s="90">
        <v>1425.04</v>
      </c>
      <c r="H385" s="90">
        <v>1006.31</v>
      </c>
      <c r="I385" s="90">
        <v>8220.8799999999992</v>
      </c>
      <c r="J385" s="90">
        <v>262.7</v>
      </c>
      <c r="K385" s="90">
        <v>0</v>
      </c>
      <c r="L385" s="90">
        <v>2304.46</v>
      </c>
      <c r="M385" s="90">
        <v>2254.2600000000002</v>
      </c>
      <c r="N385" s="90">
        <v>11446.66</v>
      </c>
      <c r="O385" s="90">
        <v>7622.46</v>
      </c>
      <c r="P385" s="90">
        <v>428.64</v>
      </c>
      <c r="Q385" s="90">
        <v>0</v>
      </c>
      <c r="R385">
        <v>0</v>
      </c>
    </row>
    <row r="386" spans="1:18" s="94" customFormat="1" ht="12.75" customHeight="1" x14ac:dyDescent="0.25">
      <c r="B386" s="101" t="s">
        <v>119</v>
      </c>
      <c r="C386" s="101" t="s">
        <v>70</v>
      </c>
      <c r="E386" s="93">
        <v>-209482.38</v>
      </c>
      <c r="F386" s="93">
        <v>-9123.02</v>
      </c>
      <c r="G386" s="93">
        <v>-5083.32</v>
      </c>
      <c r="H386" s="93">
        <v>-2455.27</v>
      </c>
      <c r="I386" s="93">
        <v>-54641.27</v>
      </c>
      <c r="J386" s="93">
        <v>-1747.32</v>
      </c>
      <c r="K386" s="93">
        <v>0</v>
      </c>
      <c r="L386" s="93">
        <v>-15326.59</v>
      </c>
      <c r="M386" s="93">
        <v>-14978.55</v>
      </c>
      <c r="N386" s="93">
        <v>-76085.84</v>
      </c>
      <c r="O386" s="93">
        <v>-27190.46</v>
      </c>
      <c r="P386" s="93">
        <v>-2850.74</v>
      </c>
      <c r="Q386" s="93">
        <v>0</v>
      </c>
      <c r="R386" s="94">
        <v>0</v>
      </c>
    </row>
    <row r="387" spans="1:18" s="226" customFormat="1" ht="12.75" customHeight="1" x14ac:dyDescent="0.25">
      <c r="A387" s="98" t="s">
        <v>79</v>
      </c>
      <c r="B387" s="98" t="s">
        <v>70</v>
      </c>
      <c r="E387" s="100">
        <v>-74859.399999999994</v>
      </c>
      <c r="F387" s="100">
        <v>186378.27</v>
      </c>
      <c r="G387" s="100">
        <v>100644</v>
      </c>
      <c r="H387" s="100">
        <v>55068.04</v>
      </c>
      <c r="I387" s="100">
        <v>-293376.33</v>
      </c>
      <c r="J387" s="100">
        <v>-17139.009999999998</v>
      </c>
      <c r="K387" s="100">
        <v>0</v>
      </c>
      <c r="L387" s="100">
        <v>-71975.38</v>
      </c>
      <c r="M387" s="100">
        <v>-72620.289999999994</v>
      </c>
      <c r="N387" s="100">
        <v>-498114.12</v>
      </c>
      <c r="O387" s="100">
        <v>556097.69999999995</v>
      </c>
      <c r="P387" s="100">
        <v>-19822.28</v>
      </c>
      <c r="Q387" s="100">
        <v>0</v>
      </c>
      <c r="R387" s="226">
        <v>0</v>
      </c>
    </row>
    <row r="388" spans="1:18" ht="12.75" customHeight="1" x14ac:dyDescent="0.25">
      <c r="A388" s="89" t="s">
        <v>70</v>
      </c>
      <c r="E388" s="90">
        <v>27520060.710000001</v>
      </c>
      <c r="F388" s="90">
        <v>1759328.73</v>
      </c>
      <c r="G388" s="90">
        <v>993758.93</v>
      </c>
      <c r="H388" s="90">
        <v>494766.38</v>
      </c>
      <c r="I388" s="90">
        <v>6127990.3799999999</v>
      </c>
      <c r="J388" s="90">
        <v>191273.05</v>
      </c>
      <c r="K388" s="90">
        <v>0</v>
      </c>
      <c r="L388" s="90">
        <v>1915702.17</v>
      </c>
      <c r="M388" s="90">
        <v>1730643.12</v>
      </c>
      <c r="N388" s="90">
        <v>8488006.3900000006</v>
      </c>
      <c r="O388" s="90">
        <v>5503467.7400000002</v>
      </c>
      <c r="P388" s="90">
        <v>315367.96000000002</v>
      </c>
      <c r="Q388" s="90">
        <v>-244.14</v>
      </c>
      <c r="R388" s="90">
        <v>0</v>
      </c>
    </row>
    <row r="389" spans="1:18" ht="12.75" hidden="1" customHeight="1" x14ac:dyDescent="0.25">
      <c r="A389" s="89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</row>
    <row r="390" spans="1:18" ht="12.75" hidden="1" customHeight="1" x14ac:dyDescent="0.25">
      <c r="A390" s="89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</row>
    <row r="391" spans="1:18" ht="12.75" hidden="1" customHeight="1" x14ac:dyDescent="0.25">
      <c r="A391" s="89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</row>
    <row r="392" spans="1:18" ht="12.75" hidden="1" customHeight="1" x14ac:dyDescent="0.25">
      <c r="A392" s="89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</row>
    <row r="393" spans="1:18" ht="12.75" hidden="1" customHeight="1" x14ac:dyDescent="0.25">
      <c r="A393" s="89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</row>
    <row r="394" spans="1:18" ht="12.75" hidden="1" customHeight="1" x14ac:dyDescent="0.25">
      <c r="A394" s="89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</row>
    <row r="395" spans="1:18" ht="12.75" hidden="1" customHeight="1" x14ac:dyDescent="0.25">
      <c r="A395" s="89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</row>
    <row r="396" spans="1:18" ht="12.75" hidden="1" customHeight="1" x14ac:dyDescent="0.25">
      <c r="A396" s="89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</row>
    <row r="397" spans="1:18" ht="12.75" hidden="1" customHeight="1" x14ac:dyDescent="0.25">
      <c r="A397" s="89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</row>
    <row r="398" spans="1:18" ht="12.75" hidden="1" customHeight="1" x14ac:dyDescent="0.25">
      <c r="A398" s="89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</row>
    <row r="399" spans="1:18" ht="12.75" hidden="1" customHeight="1" x14ac:dyDescent="0.25">
      <c r="A399" s="89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</row>
    <row r="400" spans="1:18" ht="12.75" hidden="1" customHeight="1" x14ac:dyDescent="0.25">
      <c r="A400" s="89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</row>
    <row r="401" spans="1:18" ht="12.75" hidden="1" customHeight="1" x14ac:dyDescent="0.25">
      <c r="A401" s="89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</row>
    <row r="402" spans="1:18" ht="12.75" hidden="1" customHeight="1" x14ac:dyDescent="0.25">
      <c r="A402" s="89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</row>
    <row r="403" spans="1:18" ht="12.75" hidden="1" customHeight="1" x14ac:dyDescent="0.25">
      <c r="A403" s="89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</row>
    <row r="404" spans="1:18" ht="12.75" hidden="1" customHeight="1" x14ac:dyDescent="0.25">
      <c r="A404" s="89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</row>
    <row r="405" spans="1:18" ht="12.75" hidden="1" customHeight="1" x14ac:dyDescent="0.25">
      <c r="A405" s="89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</row>
    <row r="406" spans="1:18" ht="12.75" hidden="1" customHeight="1" x14ac:dyDescent="0.25">
      <c r="A406" s="89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</row>
    <row r="407" spans="1:18" ht="12.75" hidden="1" customHeight="1" x14ac:dyDescent="0.25">
      <c r="A407" s="89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</row>
    <row r="408" spans="1:18" ht="12.75" hidden="1" customHeight="1" x14ac:dyDescent="0.25">
      <c r="A408" s="89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</row>
    <row r="409" spans="1:18" ht="12.75" hidden="1" customHeight="1" x14ac:dyDescent="0.25">
      <c r="A409" s="89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</row>
    <row r="410" spans="1:18" ht="12.75" hidden="1" customHeight="1" x14ac:dyDescent="0.25">
      <c r="A410" s="89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</row>
    <row r="411" spans="1:18" ht="12.75" hidden="1" customHeight="1" x14ac:dyDescent="0.25">
      <c r="A411" s="89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</row>
    <row r="412" spans="1:18" ht="12.75" hidden="1" customHeight="1" x14ac:dyDescent="0.25">
      <c r="A412" s="89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</row>
    <row r="413" spans="1:18" ht="12.75" customHeight="1" x14ac:dyDescent="0.25">
      <c r="A413" s="89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</row>
    <row r="414" spans="1:18" ht="12.75" customHeight="1" x14ac:dyDescent="0.25">
      <c r="A414" s="89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</row>
    <row r="415" spans="1:18" ht="12.75" customHeight="1" x14ac:dyDescent="0.25">
      <c r="B415" s="763" t="s">
        <v>2</v>
      </c>
      <c r="C415" s="764" t="s">
        <v>132</v>
      </c>
      <c r="D415" s="98" t="s">
        <v>70</v>
      </c>
      <c r="E415" s="100">
        <f>E387+E376-K376</f>
        <v>27520060.710000001</v>
      </c>
      <c r="F415" s="100">
        <f>F376</f>
        <v>1572950.46</v>
      </c>
      <c r="G415" s="100">
        <f t="shared" ref="G415:R415" si="12">G376</f>
        <v>893114.93</v>
      </c>
      <c r="H415" s="100">
        <f t="shared" si="12"/>
        <v>439698.34</v>
      </c>
      <c r="I415" s="100">
        <f t="shared" si="12"/>
        <v>6421366.71</v>
      </c>
      <c r="J415" s="100">
        <f t="shared" si="12"/>
        <v>208412.06</v>
      </c>
      <c r="K415" s="100">
        <f t="shared" si="12"/>
        <v>0</v>
      </c>
      <c r="L415" s="100">
        <f t="shared" si="12"/>
        <v>1987677.55</v>
      </c>
      <c r="M415" s="100">
        <f t="shared" si="12"/>
        <v>1803263.41</v>
      </c>
      <c r="N415" s="100">
        <f t="shared" si="12"/>
        <v>8986120.5099999998</v>
      </c>
      <c r="O415" s="100">
        <f t="shared" si="12"/>
        <v>4947370.04</v>
      </c>
      <c r="P415" s="100">
        <f t="shared" si="12"/>
        <v>335190.24</v>
      </c>
      <c r="Q415" s="100">
        <f t="shared" si="12"/>
        <v>-244.14</v>
      </c>
      <c r="R415" s="100">
        <f t="shared" si="12"/>
        <v>0</v>
      </c>
    </row>
    <row r="416" spans="1:18" ht="12.75" customHeight="1" x14ac:dyDescent="0.25">
      <c r="B416" s="763"/>
      <c r="C416" s="764"/>
      <c r="D416" s="98" t="s">
        <v>73</v>
      </c>
      <c r="E416" s="100">
        <f>E387</f>
        <v>-74859.399999999994</v>
      </c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</row>
    <row r="417" spans="1:18" ht="12.75" customHeight="1" x14ac:dyDescent="0.3">
      <c r="A417" s="89"/>
      <c r="B417" s="97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</row>
    <row r="418" spans="1:18" ht="12.75" customHeight="1" x14ac:dyDescent="0.25">
      <c r="B418" s="763" t="s">
        <v>160</v>
      </c>
      <c r="C418" s="764" t="s">
        <v>132</v>
      </c>
      <c r="D418" s="223" t="s">
        <v>70</v>
      </c>
      <c r="E418" s="225">
        <v>0</v>
      </c>
      <c r="F418" s="225">
        <v>0</v>
      </c>
      <c r="G418" s="225">
        <v>0</v>
      </c>
      <c r="H418" s="225">
        <v>0</v>
      </c>
      <c r="I418" s="225">
        <v>0</v>
      </c>
      <c r="J418" s="225">
        <v>0</v>
      </c>
      <c r="K418" s="225">
        <v>0</v>
      </c>
      <c r="L418" s="225">
        <v>0</v>
      </c>
      <c r="M418" s="225">
        <v>0</v>
      </c>
      <c r="N418" s="225">
        <v>0</v>
      </c>
      <c r="O418" s="225">
        <v>0</v>
      </c>
      <c r="P418" s="225">
        <v>0</v>
      </c>
      <c r="Q418" s="225">
        <v>0</v>
      </c>
      <c r="R418" s="225">
        <v>0</v>
      </c>
    </row>
    <row r="419" spans="1:18" ht="12.75" customHeight="1" x14ac:dyDescent="0.25">
      <c r="B419" s="763"/>
      <c r="C419" s="764"/>
      <c r="D419" s="223" t="s">
        <v>73</v>
      </c>
      <c r="E419" s="225">
        <v>0</v>
      </c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</row>
    <row r="420" spans="1:18" ht="12.75" customHeight="1" x14ac:dyDescent="0.3">
      <c r="A420" s="89"/>
      <c r="B420" s="97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</row>
    <row r="421" spans="1:18" ht="12.75" customHeight="1" x14ac:dyDescent="0.25">
      <c r="B421" s="763" t="s">
        <v>155</v>
      </c>
      <c r="C421" s="764" t="s">
        <v>132</v>
      </c>
      <c r="D421" s="221" t="s">
        <v>70</v>
      </c>
      <c r="E421" s="222">
        <f>E379+E367-K367</f>
        <v>26488801.359999999</v>
      </c>
      <c r="F421" s="222">
        <f t="shared" ref="F421:R421" si="13">F367</f>
        <v>1497793.49</v>
      </c>
      <c r="G421" s="222">
        <f t="shared" si="13"/>
        <v>854780.46</v>
      </c>
      <c r="H421" s="222">
        <f t="shared" si="13"/>
        <v>425091.72</v>
      </c>
      <c r="I421" s="222">
        <f t="shared" si="13"/>
        <v>6081457.7400000002</v>
      </c>
      <c r="J421" s="222">
        <f t="shared" si="13"/>
        <v>200139.03</v>
      </c>
      <c r="K421" s="222">
        <f t="shared" si="13"/>
        <v>0</v>
      </c>
      <c r="L421" s="222">
        <f t="shared" si="13"/>
        <v>1896616.54</v>
      </c>
      <c r="M421" s="222">
        <f t="shared" si="13"/>
        <v>1730292.01</v>
      </c>
      <c r="N421" s="222">
        <f t="shared" si="13"/>
        <v>8631513.2699999996</v>
      </c>
      <c r="O421" s="222">
        <f t="shared" si="13"/>
        <v>4715004.8</v>
      </c>
      <c r="P421" s="222">
        <f t="shared" si="13"/>
        <v>321692.18</v>
      </c>
      <c r="Q421" s="222">
        <f t="shared" si="13"/>
        <v>-202.86</v>
      </c>
      <c r="R421" s="222">
        <f t="shared" si="13"/>
        <v>0</v>
      </c>
    </row>
    <row r="422" spans="1:18" ht="12.75" customHeight="1" x14ac:dyDescent="0.25">
      <c r="B422" s="763"/>
      <c r="C422" s="764"/>
      <c r="D422" s="221" t="s">
        <v>73</v>
      </c>
      <c r="E422" s="222">
        <f>E379</f>
        <v>134622.98000000001</v>
      </c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</row>
    <row r="423" spans="1:18" ht="12.75" customHeight="1" x14ac:dyDescent="0.3">
      <c r="A423" s="89"/>
      <c r="B423" s="97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</row>
    <row r="424" spans="1:18" ht="12.75" customHeight="1" x14ac:dyDescent="0.25">
      <c r="B424" s="766" t="s">
        <v>324</v>
      </c>
      <c r="C424" s="764" t="s">
        <v>132</v>
      </c>
      <c r="D424" s="375" t="s">
        <v>70</v>
      </c>
      <c r="E424" s="376">
        <v>0</v>
      </c>
      <c r="F424" s="376">
        <v>0</v>
      </c>
      <c r="G424" s="376">
        <v>0</v>
      </c>
      <c r="H424" s="376">
        <v>0</v>
      </c>
      <c r="I424" s="376">
        <v>0</v>
      </c>
      <c r="J424" s="376">
        <v>0</v>
      </c>
      <c r="K424" s="376">
        <v>0</v>
      </c>
      <c r="L424" s="376">
        <v>0</v>
      </c>
      <c r="M424" s="376">
        <v>0</v>
      </c>
      <c r="N424" s="376">
        <v>0</v>
      </c>
      <c r="O424" s="376">
        <v>0</v>
      </c>
      <c r="P424" s="376">
        <v>0</v>
      </c>
      <c r="Q424" s="376">
        <v>0</v>
      </c>
      <c r="R424" s="376">
        <v>0</v>
      </c>
    </row>
    <row r="425" spans="1:18" ht="12.75" customHeight="1" x14ac:dyDescent="0.25">
      <c r="B425" s="766"/>
      <c r="C425" s="764"/>
      <c r="D425" s="375" t="s">
        <v>73</v>
      </c>
      <c r="E425" s="376">
        <v>0</v>
      </c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</row>
    <row r="426" spans="1:18" ht="12.75" customHeight="1" x14ac:dyDescent="0.25">
      <c r="B426" s="717"/>
      <c r="C426" s="220"/>
      <c r="D426" s="89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</row>
    <row r="427" spans="1:18" ht="12.75" customHeight="1" x14ac:dyDescent="0.25">
      <c r="B427" s="763" t="s">
        <v>119</v>
      </c>
      <c r="C427" s="764" t="s">
        <v>132</v>
      </c>
      <c r="D427" s="101" t="s">
        <v>70</v>
      </c>
      <c r="E427" s="93">
        <f>E375+E386-K375</f>
        <v>1031259.35</v>
      </c>
      <c r="F427" s="93">
        <f>F375</f>
        <v>75156.97</v>
      </c>
      <c r="G427" s="93">
        <f t="shared" ref="G427:R427" si="14">G375</f>
        <v>38334.47</v>
      </c>
      <c r="H427" s="93">
        <f t="shared" si="14"/>
        <v>14606.62</v>
      </c>
      <c r="I427" s="93">
        <f t="shared" si="14"/>
        <v>339908.97</v>
      </c>
      <c r="J427" s="93">
        <f t="shared" si="14"/>
        <v>8273.0300000000007</v>
      </c>
      <c r="K427" s="93">
        <f t="shared" si="14"/>
        <v>0</v>
      </c>
      <c r="L427" s="93">
        <f t="shared" si="14"/>
        <v>91061.01</v>
      </c>
      <c r="M427" s="93">
        <f t="shared" si="14"/>
        <v>72971.399999999994</v>
      </c>
      <c r="N427" s="93">
        <f t="shared" si="14"/>
        <v>354607.24</v>
      </c>
      <c r="O427" s="93">
        <f t="shared" si="14"/>
        <v>232365.24</v>
      </c>
      <c r="P427" s="93">
        <f t="shared" si="14"/>
        <v>13498.06</v>
      </c>
      <c r="Q427" s="93">
        <f t="shared" si="14"/>
        <v>-41.28</v>
      </c>
      <c r="R427" s="93">
        <f t="shared" si="14"/>
        <v>0</v>
      </c>
    </row>
    <row r="428" spans="1:18" ht="12.75" customHeight="1" x14ac:dyDescent="0.25">
      <c r="B428" s="763"/>
      <c r="C428" s="764"/>
      <c r="D428" s="101" t="s">
        <v>73</v>
      </c>
      <c r="E428" s="93">
        <f>E386</f>
        <v>-209482.38</v>
      </c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</row>
    <row r="429" spans="1:18" ht="12.75" customHeight="1" x14ac:dyDescent="0.3">
      <c r="A429" s="89"/>
      <c r="B429" s="97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</row>
    <row r="430" spans="1:18" ht="12.75" customHeight="1" x14ac:dyDescent="0.25">
      <c r="B430" s="765" t="s">
        <v>161</v>
      </c>
      <c r="C430" s="764" t="s">
        <v>132</v>
      </c>
      <c r="D430" s="231" t="s">
        <v>70</v>
      </c>
      <c r="E430" s="232">
        <v>0</v>
      </c>
      <c r="F430" s="232">
        <v>0</v>
      </c>
      <c r="G430" s="232">
        <v>0</v>
      </c>
      <c r="H430" s="232">
        <v>0</v>
      </c>
      <c r="I430" s="232">
        <v>0</v>
      </c>
      <c r="J430" s="232">
        <v>0</v>
      </c>
      <c r="K430" s="232">
        <v>0</v>
      </c>
      <c r="L430" s="232">
        <v>0</v>
      </c>
      <c r="M430" s="232">
        <v>0</v>
      </c>
      <c r="N430" s="232">
        <v>0</v>
      </c>
      <c r="O430" s="232">
        <v>0</v>
      </c>
      <c r="P430" s="232">
        <v>0</v>
      </c>
      <c r="Q430" s="232">
        <v>0</v>
      </c>
      <c r="R430" s="232">
        <v>0</v>
      </c>
    </row>
    <row r="431" spans="1:18" ht="12.75" customHeight="1" x14ac:dyDescent="0.25">
      <c r="B431" s="765"/>
      <c r="C431" s="764"/>
      <c r="D431" s="231" t="s">
        <v>73</v>
      </c>
      <c r="E431" s="232">
        <v>0</v>
      </c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</row>
    <row r="432" spans="1:18" s="238" customFormat="1" x14ac:dyDescent="0.25"/>
  </sheetData>
  <mergeCells count="60">
    <mergeCell ref="B54:B55"/>
    <mergeCell ref="C54:C55"/>
    <mergeCell ref="B150:B151"/>
    <mergeCell ref="C150:C151"/>
    <mergeCell ref="B57:B58"/>
    <mergeCell ref="C57:C58"/>
    <mergeCell ref="B135:B136"/>
    <mergeCell ref="C135:C136"/>
    <mergeCell ref="B138:B139"/>
    <mergeCell ref="C138:C139"/>
    <mergeCell ref="B141:B142"/>
    <mergeCell ref="C141:C142"/>
    <mergeCell ref="B147:B148"/>
    <mergeCell ref="C147:C148"/>
    <mergeCell ref="B144:B145"/>
    <mergeCell ref="C144:C145"/>
    <mergeCell ref="B42:B43"/>
    <mergeCell ref="C42:C43"/>
    <mergeCell ref="B45:B46"/>
    <mergeCell ref="C45:C46"/>
    <mergeCell ref="B51:B52"/>
    <mergeCell ref="C51:C52"/>
    <mergeCell ref="B48:B49"/>
    <mergeCell ref="C48:C49"/>
    <mergeCell ref="B248:B249"/>
    <mergeCell ref="C248:C249"/>
    <mergeCell ref="B251:B252"/>
    <mergeCell ref="C251:C252"/>
    <mergeCell ref="B254:B255"/>
    <mergeCell ref="C254:C255"/>
    <mergeCell ref="B260:B261"/>
    <mergeCell ref="C260:C261"/>
    <mergeCell ref="B257:B258"/>
    <mergeCell ref="C257:C258"/>
    <mergeCell ref="B263:B264"/>
    <mergeCell ref="C263:C264"/>
    <mergeCell ref="B344:B345"/>
    <mergeCell ref="C344:C345"/>
    <mergeCell ref="B347:B348"/>
    <mergeCell ref="C347:C348"/>
    <mergeCell ref="B350:B351"/>
    <mergeCell ref="C350:C351"/>
    <mergeCell ref="B356:B357"/>
    <mergeCell ref="C356:C357"/>
    <mergeCell ref="B359:B360"/>
    <mergeCell ref="C359:C360"/>
    <mergeCell ref="B353:B354"/>
    <mergeCell ref="C353:C354"/>
    <mergeCell ref="B415:B416"/>
    <mergeCell ref="C415:C416"/>
    <mergeCell ref="B418:B419"/>
    <mergeCell ref="C418:C419"/>
    <mergeCell ref="B421:B422"/>
    <mergeCell ref="C421:C422"/>
    <mergeCell ref="B427:B428"/>
    <mergeCell ref="C427:C428"/>
    <mergeCell ref="B430:B431"/>
    <mergeCell ref="C430:C431"/>
    <mergeCell ref="B424:B425"/>
    <mergeCell ref="C424:C42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66"/>
  <sheetViews>
    <sheetView zoomScale="90" zoomScaleNormal="90" workbookViewId="0">
      <pane ySplit="2" topLeftCell="A3" activePane="bottomLeft" state="frozen"/>
      <selection activeCell="A6" sqref="A6"/>
      <selection pane="bottomLeft" activeCell="A3" sqref="A3"/>
    </sheetView>
  </sheetViews>
  <sheetFormatPr baseColWidth="10" defaultColWidth="11.453125" defaultRowHeight="12.5" x14ac:dyDescent="0.25"/>
  <cols>
    <col min="1" max="1" width="21.26953125" style="608" customWidth="1"/>
    <col min="2" max="2" width="19.7265625" style="608" bestFit="1" customWidth="1"/>
    <col min="3" max="3" width="24.7265625" style="608" bestFit="1" customWidth="1"/>
    <col min="4" max="4" width="23.26953125" style="608" bestFit="1" customWidth="1"/>
    <col min="5" max="5" width="15.7265625" style="608" bestFit="1" customWidth="1"/>
    <col min="6" max="6" width="15.453125" style="608" bestFit="1" customWidth="1"/>
    <col min="7" max="7" width="15.453125" style="608" customWidth="1"/>
    <col min="8" max="8" width="16.453125" style="608" bestFit="1" customWidth="1"/>
    <col min="9" max="9" width="18" style="608" bestFit="1" customWidth="1"/>
    <col min="10" max="10" width="17" style="608" bestFit="1" customWidth="1"/>
    <col min="11" max="11" width="15.54296875" style="608" bestFit="1" customWidth="1"/>
    <col min="12" max="13" width="15.7265625" style="608" bestFit="1" customWidth="1"/>
    <col min="14" max="14" width="21.453125" style="608" bestFit="1" customWidth="1"/>
    <col min="15" max="16" width="20.453125" style="608" bestFit="1" customWidth="1"/>
    <col min="17" max="17" width="20" style="608" bestFit="1" customWidth="1"/>
    <col min="18" max="16384" width="11.453125" style="608"/>
  </cols>
  <sheetData>
    <row r="1" spans="1:18" ht="13" x14ac:dyDescent="0.3">
      <c r="A1" s="610"/>
      <c r="B1" s="609" t="s">
        <v>74</v>
      </c>
    </row>
    <row r="2" spans="1:18" ht="12.75" customHeight="1" x14ac:dyDescent="0.25">
      <c r="D2" s="610" t="s">
        <v>70</v>
      </c>
      <c r="E2" s="610" t="s">
        <v>64</v>
      </c>
      <c r="F2" s="610" t="s">
        <v>65</v>
      </c>
      <c r="G2" s="611" t="s">
        <v>164</v>
      </c>
      <c r="H2" s="610" t="s">
        <v>69</v>
      </c>
      <c r="I2" s="610" t="s">
        <v>68</v>
      </c>
      <c r="J2" s="610" t="s">
        <v>66</v>
      </c>
      <c r="K2" s="610" t="s">
        <v>63</v>
      </c>
      <c r="L2" s="610" t="s">
        <v>61</v>
      </c>
      <c r="M2" s="610" t="s">
        <v>62</v>
      </c>
      <c r="N2" s="610" t="s">
        <v>67</v>
      </c>
      <c r="O2" s="610" t="s">
        <v>77</v>
      </c>
      <c r="P2" s="608" t="s">
        <v>71</v>
      </c>
      <c r="Q2" s="610" t="s">
        <v>80</v>
      </c>
      <c r="R2" s="608" t="s">
        <v>167</v>
      </c>
    </row>
    <row r="3" spans="1:18" ht="12.75" customHeight="1" x14ac:dyDescent="0.25">
      <c r="C3" s="608" t="s">
        <v>72</v>
      </c>
      <c r="D3" s="610">
        <v>-4753329.8600000003</v>
      </c>
      <c r="E3" s="610">
        <v>-214159.07</v>
      </c>
      <c r="F3" s="610">
        <v>-114902.14</v>
      </c>
      <c r="G3" s="612">
        <v>-61576.43</v>
      </c>
      <c r="H3" s="610">
        <v>-1165948.6200000001</v>
      </c>
      <c r="I3" s="610">
        <v>-45063.11</v>
      </c>
      <c r="J3" s="610">
        <v>-395289.43</v>
      </c>
      <c r="K3" s="610">
        <v>-369526.83</v>
      </c>
      <c r="L3" s="610">
        <v>-1753828.52</v>
      </c>
      <c r="M3" s="610">
        <v>-560155.38</v>
      </c>
      <c r="N3" s="610">
        <v>-72898.320000000007</v>
      </c>
      <c r="O3" s="610">
        <v>17.989999999999998</v>
      </c>
      <c r="P3" s="608">
        <v>0</v>
      </c>
      <c r="Q3" s="610">
        <v>0</v>
      </c>
      <c r="R3" s="608">
        <v>0</v>
      </c>
    </row>
    <row r="4" spans="1:18" ht="12.75" customHeight="1" x14ac:dyDescent="0.25">
      <c r="C4" s="608" t="s">
        <v>81</v>
      </c>
      <c r="D4" s="608">
        <v>-12501.61</v>
      </c>
      <c r="E4" s="610">
        <v>-542.19000000000005</v>
      </c>
      <c r="F4" s="610">
        <v>-246.5</v>
      </c>
      <c r="G4" s="612">
        <v>-140.41999999999999</v>
      </c>
      <c r="H4" s="610">
        <v>-2800.13</v>
      </c>
      <c r="I4" s="610">
        <v>-138.59</v>
      </c>
      <c r="J4" s="610">
        <v>-1215.05</v>
      </c>
      <c r="K4" s="610">
        <v>-1024.58</v>
      </c>
      <c r="L4" s="610">
        <v>-4838.2299999999996</v>
      </c>
      <c r="M4" s="610">
        <v>-1328.64</v>
      </c>
      <c r="N4" s="610">
        <v>-227.04</v>
      </c>
      <c r="O4" s="610">
        <v>-0.24</v>
      </c>
      <c r="P4" s="608">
        <v>0</v>
      </c>
      <c r="Q4" s="610">
        <v>0</v>
      </c>
      <c r="R4" s="608">
        <v>0</v>
      </c>
    </row>
    <row r="5" spans="1:18" s="613" customFormat="1" ht="12.75" customHeight="1" x14ac:dyDescent="0.25">
      <c r="B5" s="614" t="s">
        <v>78</v>
      </c>
      <c r="C5" s="614" t="s">
        <v>70</v>
      </c>
      <c r="D5" s="614">
        <v>-4765831.47</v>
      </c>
      <c r="E5" s="614">
        <v>-214701.26</v>
      </c>
      <c r="F5" s="614">
        <v>-115148.64</v>
      </c>
      <c r="G5" s="614">
        <v>-61716.85</v>
      </c>
      <c r="H5" s="614">
        <v>-1168748.75</v>
      </c>
      <c r="I5" s="614">
        <v>-45201.7</v>
      </c>
      <c r="J5" s="614">
        <v>-396504.48</v>
      </c>
      <c r="K5" s="614">
        <v>-370551.41</v>
      </c>
      <c r="L5" s="614">
        <v>-1758666.75</v>
      </c>
      <c r="M5" s="614">
        <v>-561484.02</v>
      </c>
      <c r="N5" s="614">
        <v>-73125.36</v>
      </c>
      <c r="O5" s="614">
        <v>17.75</v>
      </c>
      <c r="P5" s="613">
        <v>0</v>
      </c>
      <c r="Q5" s="614">
        <v>0</v>
      </c>
      <c r="R5" s="614">
        <v>0</v>
      </c>
    </row>
    <row r="6" spans="1:18" ht="12.75" customHeight="1" x14ac:dyDescent="0.25">
      <c r="C6" s="608" t="s">
        <v>73</v>
      </c>
      <c r="D6" s="610">
        <v>1304634.18</v>
      </c>
      <c r="E6" s="610">
        <v>54873.86</v>
      </c>
      <c r="F6" s="610">
        <v>28576.76</v>
      </c>
      <c r="G6" s="612">
        <v>15506.07</v>
      </c>
      <c r="H6" s="610">
        <v>320570.26</v>
      </c>
      <c r="I6" s="610">
        <v>12973.15</v>
      </c>
      <c r="J6" s="610">
        <v>113799.96</v>
      </c>
      <c r="K6" s="610">
        <v>105110.1</v>
      </c>
      <c r="L6" s="610">
        <v>491550.49</v>
      </c>
      <c r="M6" s="610">
        <v>140506.71</v>
      </c>
      <c r="N6" s="610">
        <v>21166.82</v>
      </c>
      <c r="O6" s="610">
        <v>0</v>
      </c>
      <c r="P6" s="608">
        <v>0</v>
      </c>
      <c r="Q6" s="610">
        <v>0</v>
      </c>
      <c r="R6" s="608">
        <v>0</v>
      </c>
    </row>
    <row r="7" spans="1:18" s="615" customFormat="1" ht="12.75" customHeight="1" x14ac:dyDescent="0.25">
      <c r="B7" s="615" t="s">
        <v>79</v>
      </c>
      <c r="C7" s="615" t="s">
        <v>70</v>
      </c>
      <c r="D7" s="628">
        <v>1304634.18</v>
      </c>
      <c r="E7" s="616">
        <v>54873.86</v>
      </c>
      <c r="F7" s="616">
        <v>28576.76</v>
      </c>
      <c r="G7" s="628">
        <v>15506.07</v>
      </c>
      <c r="H7" s="616">
        <v>320570.26</v>
      </c>
      <c r="I7" s="616">
        <v>12973.15</v>
      </c>
      <c r="J7" s="616">
        <v>113799.96</v>
      </c>
      <c r="K7" s="616">
        <v>105110.1</v>
      </c>
      <c r="L7" s="616">
        <v>491550.49</v>
      </c>
      <c r="M7" s="616">
        <v>140506.71</v>
      </c>
      <c r="N7" s="616">
        <v>21166.82</v>
      </c>
      <c r="O7" s="616">
        <v>0</v>
      </c>
      <c r="P7" s="615">
        <v>0</v>
      </c>
      <c r="Q7" s="616">
        <v>0</v>
      </c>
      <c r="R7" s="615">
        <v>0</v>
      </c>
    </row>
    <row r="8" spans="1:18" s="629" customFormat="1" ht="12.75" customHeight="1" x14ac:dyDescent="0.25">
      <c r="A8" s="629" t="s">
        <v>155</v>
      </c>
      <c r="B8" s="629" t="s">
        <v>70</v>
      </c>
      <c r="D8" s="625">
        <v>-3461197.29</v>
      </c>
      <c r="E8" s="625">
        <v>-159827.4</v>
      </c>
      <c r="F8" s="625">
        <v>-86571.88</v>
      </c>
      <c r="G8" s="759">
        <v>-46210.78</v>
      </c>
      <c r="H8" s="625">
        <v>-848178.49</v>
      </c>
      <c r="I8" s="625">
        <v>-32228.55</v>
      </c>
      <c r="J8" s="625">
        <v>-282704.52</v>
      </c>
      <c r="K8" s="625">
        <v>-265441.31</v>
      </c>
      <c r="L8" s="625">
        <v>-1267116.26</v>
      </c>
      <c r="M8" s="625">
        <v>-420977.31</v>
      </c>
      <c r="N8" s="625">
        <v>-51958.54</v>
      </c>
      <c r="O8" s="625">
        <v>17.75</v>
      </c>
      <c r="P8" s="629">
        <v>0</v>
      </c>
      <c r="Q8" s="625">
        <v>0</v>
      </c>
      <c r="R8" s="629">
        <v>0</v>
      </c>
    </row>
    <row r="9" spans="1:18" ht="12.75" customHeight="1" x14ac:dyDescent="0.25">
      <c r="C9" s="608" t="s">
        <v>72</v>
      </c>
      <c r="D9" s="610">
        <v>-83090.080000000002</v>
      </c>
      <c r="E9" s="610">
        <v>-4319.28</v>
      </c>
      <c r="F9" s="610">
        <v>-2439.6999999999998</v>
      </c>
      <c r="G9" s="612">
        <v>-1284.52</v>
      </c>
      <c r="H9" s="610">
        <v>-21380.91</v>
      </c>
      <c r="I9" s="610">
        <v>-495.68</v>
      </c>
      <c r="J9" s="610">
        <v>-4348.01</v>
      </c>
      <c r="K9" s="610">
        <v>-6438.31</v>
      </c>
      <c r="L9" s="610">
        <v>-29729.3</v>
      </c>
      <c r="M9" s="610">
        <v>-11838.57</v>
      </c>
      <c r="N9" s="610">
        <v>-808.72</v>
      </c>
      <c r="O9" s="610">
        <v>-7.08</v>
      </c>
      <c r="P9" s="608">
        <v>0</v>
      </c>
      <c r="Q9" s="610">
        <v>0</v>
      </c>
      <c r="R9" s="608">
        <v>0</v>
      </c>
    </row>
    <row r="10" spans="1:18" ht="12.75" customHeight="1" x14ac:dyDescent="0.25">
      <c r="C10" s="608" t="s">
        <v>81</v>
      </c>
      <c r="D10" s="610">
        <v>-219.92</v>
      </c>
      <c r="E10" s="610">
        <v>-11.38</v>
      </c>
      <c r="F10" s="610">
        <v>-6.42</v>
      </c>
      <c r="G10" s="612">
        <v>-3.38</v>
      </c>
      <c r="H10" s="610">
        <v>-57.73</v>
      </c>
      <c r="I10" s="610">
        <v>-1.29</v>
      </c>
      <c r="J10" s="610">
        <v>-11.47</v>
      </c>
      <c r="K10" s="610">
        <v>-16.98</v>
      </c>
      <c r="L10" s="610">
        <v>-77.95</v>
      </c>
      <c r="M10" s="610">
        <v>-31.19</v>
      </c>
      <c r="N10" s="610">
        <v>-2.12</v>
      </c>
      <c r="O10" s="610">
        <v>-0.01</v>
      </c>
      <c r="P10" s="610">
        <v>0</v>
      </c>
      <c r="Q10" s="610">
        <v>0</v>
      </c>
      <c r="R10" s="608">
        <v>0</v>
      </c>
    </row>
    <row r="11" spans="1:18" s="613" customFormat="1" ht="12.75" customHeight="1" x14ac:dyDescent="0.25">
      <c r="B11" s="614" t="s">
        <v>78</v>
      </c>
      <c r="C11" s="614" t="s">
        <v>70</v>
      </c>
      <c r="D11" s="614">
        <v>-83310</v>
      </c>
      <c r="E11" s="614">
        <v>-4330.66</v>
      </c>
      <c r="F11" s="614">
        <v>-2446.12</v>
      </c>
      <c r="G11" s="614">
        <v>-1287.9000000000001</v>
      </c>
      <c r="H11" s="614">
        <v>-21438.639999999999</v>
      </c>
      <c r="I11" s="614">
        <v>-496.97</v>
      </c>
      <c r="J11" s="614">
        <v>-4359.4799999999996</v>
      </c>
      <c r="K11" s="614">
        <v>-6455.29</v>
      </c>
      <c r="L11" s="614">
        <v>-29807.25</v>
      </c>
      <c r="M11" s="614">
        <v>-11869.76</v>
      </c>
      <c r="N11" s="614">
        <v>-810.84</v>
      </c>
      <c r="O11" s="614">
        <v>-7.09</v>
      </c>
      <c r="P11" s="613">
        <v>0</v>
      </c>
      <c r="Q11" s="614">
        <v>0</v>
      </c>
      <c r="R11" s="614">
        <v>0</v>
      </c>
    </row>
    <row r="12" spans="1:18" s="745" customFormat="1" ht="12.75" customHeight="1" x14ac:dyDescent="0.25">
      <c r="A12" s="745" t="s">
        <v>119</v>
      </c>
      <c r="B12" s="745" t="s">
        <v>70</v>
      </c>
      <c r="D12" s="621">
        <v>-83310</v>
      </c>
      <c r="E12" s="620">
        <v>-4330.66</v>
      </c>
      <c r="F12" s="620">
        <v>-2446.12</v>
      </c>
      <c r="G12" s="621">
        <v>-1287.9000000000001</v>
      </c>
      <c r="H12" s="620">
        <v>-21438.639999999999</v>
      </c>
      <c r="I12" s="620">
        <v>-496.97</v>
      </c>
      <c r="J12" s="620">
        <v>-4359.4799999999996</v>
      </c>
      <c r="K12" s="620">
        <v>-6455.29</v>
      </c>
      <c r="L12" s="620">
        <v>-29807.25</v>
      </c>
      <c r="M12" s="620">
        <v>-11869.76</v>
      </c>
      <c r="N12" s="620">
        <v>-810.84</v>
      </c>
      <c r="O12" s="620">
        <v>-7.09</v>
      </c>
      <c r="P12" s="620">
        <v>0</v>
      </c>
      <c r="Q12" s="620">
        <v>0</v>
      </c>
      <c r="R12" s="745">
        <v>0</v>
      </c>
    </row>
    <row r="13" spans="1:18" s="623" customFormat="1" ht="12.75" customHeight="1" x14ac:dyDescent="0.25">
      <c r="A13" s="622" t="s">
        <v>70</v>
      </c>
      <c r="D13" s="622">
        <v>-3544507.29</v>
      </c>
      <c r="E13" s="622">
        <v>-164158.06</v>
      </c>
      <c r="F13" s="622">
        <v>-89018</v>
      </c>
      <c r="G13" s="622">
        <v>-47498.68</v>
      </c>
      <c r="H13" s="622">
        <v>-869617.13</v>
      </c>
      <c r="I13" s="622">
        <v>-32725.52</v>
      </c>
      <c r="J13" s="622">
        <v>-287064</v>
      </c>
      <c r="K13" s="622">
        <v>-271896.59999999998</v>
      </c>
      <c r="L13" s="622">
        <v>-1296923.51</v>
      </c>
      <c r="M13" s="622">
        <v>-432847.07</v>
      </c>
      <c r="N13" s="622">
        <v>-52769.38</v>
      </c>
      <c r="O13" s="622">
        <v>10.66</v>
      </c>
      <c r="P13" s="623">
        <v>0</v>
      </c>
      <c r="Q13" s="622">
        <v>0</v>
      </c>
      <c r="R13" s="622">
        <v>0</v>
      </c>
    </row>
    <row r="14" spans="1:18" ht="12.75" customHeight="1" x14ac:dyDescent="0.25">
      <c r="A14" s="610"/>
      <c r="D14" s="610"/>
      <c r="E14" s="610"/>
      <c r="F14" s="610"/>
      <c r="G14" s="610"/>
      <c r="H14" s="610"/>
      <c r="I14" s="610"/>
      <c r="J14" s="610"/>
      <c r="K14" s="610"/>
      <c r="L14" s="610"/>
      <c r="M14" s="610"/>
      <c r="N14" s="610"/>
      <c r="O14" s="610"/>
    </row>
    <row r="15" spans="1:18" ht="12.75" customHeight="1" x14ac:dyDescent="0.25">
      <c r="A15" s="610"/>
      <c r="D15" s="610"/>
      <c r="E15" s="610"/>
      <c r="F15" s="610"/>
      <c r="G15" s="610"/>
      <c r="H15" s="610"/>
      <c r="I15" s="610"/>
      <c r="J15" s="610"/>
      <c r="K15" s="610"/>
      <c r="L15" s="610"/>
      <c r="M15" s="610"/>
      <c r="N15" s="610"/>
      <c r="O15" s="610"/>
    </row>
    <row r="16" spans="1:18" ht="12.75" hidden="1" customHeight="1" x14ac:dyDescent="0.25">
      <c r="A16" s="610"/>
      <c r="D16" s="610"/>
      <c r="E16" s="610"/>
      <c r="F16" s="610"/>
      <c r="G16" s="610"/>
      <c r="H16" s="610"/>
      <c r="I16" s="610"/>
      <c r="J16" s="610"/>
      <c r="K16" s="610"/>
      <c r="L16" s="610"/>
      <c r="M16" s="610"/>
      <c r="N16" s="610"/>
      <c r="O16" s="610"/>
    </row>
    <row r="17" spans="1:15" ht="12.75" hidden="1" customHeight="1" x14ac:dyDescent="0.25">
      <c r="A17" s="610"/>
      <c r="D17" s="610"/>
      <c r="E17" s="610"/>
      <c r="F17" s="610"/>
      <c r="G17" s="610"/>
      <c r="H17" s="610"/>
      <c r="I17" s="610"/>
      <c r="J17" s="610"/>
      <c r="K17" s="610"/>
      <c r="L17" s="610"/>
      <c r="M17" s="610"/>
      <c r="N17" s="610"/>
      <c r="O17" s="610"/>
    </row>
    <row r="18" spans="1:15" ht="12.75" hidden="1" customHeight="1" x14ac:dyDescent="0.25">
      <c r="A18" s="610"/>
      <c r="D18" s="610"/>
      <c r="E18" s="610"/>
      <c r="F18" s="610"/>
      <c r="G18" s="610"/>
      <c r="H18" s="610"/>
      <c r="I18" s="610"/>
      <c r="J18" s="610"/>
      <c r="K18" s="610"/>
      <c r="L18" s="610"/>
      <c r="M18" s="610"/>
      <c r="N18" s="610"/>
      <c r="O18" s="610"/>
    </row>
    <row r="19" spans="1:15" ht="12.75" hidden="1" customHeight="1" x14ac:dyDescent="0.25">
      <c r="A19" s="610"/>
      <c r="D19" s="610"/>
      <c r="E19" s="610"/>
      <c r="F19" s="610"/>
      <c r="G19" s="610"/>
      <c r="H19" s="610"/>
      <c r="I19" s="610"/>
      <c r="J19" s="610"/>
      <c r="K19" s="610"/>
      <c r="L19" s="610"/>
      <c r="M19" s="610"/>
      <c r="N19" s="610"/>
      <c r="O19" s="610"/>
    </row>
    <row r="20" spans="1:15" ht="12.75" hidden="1" customHeight="1" x14ac:dyDescent="0.25">
      <c r="A20" s="610"/>
      <c r="D20" s="610"/>
      <c r="E20" s="610"/>
      <c r="F20" s="610"/>
      <c r="G20" s="610"/>
      <c r="H20" s="610"/>
      <c r="I20" s="610"/>
      <c r="J20" s="610"/>
      <c r="K20" s="610"/>
      <c r="L20" s="610"/>
      <c r="M20" s="610"/>
      <c r="N20" s="610"/>
      <c r="O20" s="610"/>
    </row>
    <row r="21" spans="1:15" ht="12.75" hidden="1" customHeight="1" x14ac:dyDescent="0.25">
      <c r="A21" s="610"/>
      <c r="D21" s="610"/>
      <c r="E21" s="610"/>
      <c r="F21" s="610"/>
      <c r="G21" s="610"/>
      <c r="H21" s="610"/>
      <c r="I21" s="610"/>
      <c r="J21" s="610"/>
      <c r="K21" s="610"/>
      <c r="L21" s="610"/>
      <c r="M21" s="610"/>
      <c r="N21" s="610"/>
      <c r="O21" s="610"/>
    </row>
    <row r="22" spans="1:15" ht="12.75" hidden="1" customHeight="1" x14ac:dyDescent="0.25">
      <c r="A22" s="610"/>
      <c r="D22" s="610"/>
      <c r="E22" s="610"/>
      <c r="F22" s="610"/>
      <c r="G22" s="610"/>
      <c r="H22" s="610"/>
      <c r="I22" s="610"/>
      <c r="J22" s="610"/>
      <c r="K22" s="610"/>
      <c r="L22" s="610"/>
      <c r="M22" s="610"/>
      <c r="N22" s="610"/>
      <c r="O22" s="610"/>
    </row>
    <row r="23" spans="1:15" ht="12.75" hidden="1" customHeight="1" x14ac:dyDescent="0.25">
      <c r="A23" s="610"/>
      <c r="D23" s="610"/>
      <c r="E23" s="610"/>
      <c r="F23" s="610"/>
      <c r="G23" s="610"/>
      <c r="H23" s="610"/>
      <c r="I23" s="610"/>
      <c r="J23" s="610"/>
      <c r="K23" s="610"/>
      <c r="L23" s="610"/>
      <c r="M23" s="610"/>
      <c r="N23" s="610"/>
      <c r="O23" s="610"/>
    </row>
    <row r="24" spans="1:15" ht="12.75" hidden="1" customHeight="1" x14ac:dyDescent="0.25">
      <c r="A24" s="610"/>
      <c r="D24" s="610"/>
      <c r="E24" s="610"/>
      <c r="F24" s="610"/>
      <c r="G24" s="610"/>
      <c r="H24" s="610"/>
      <c r="I24" s="610"/>
      <c r="J24" s="610"/>
      <c r="K24" s="610"/>
      <c r="L24" s="610"/>
      <c r="M24" s="610"/>
      <c r="N24" s="610"/>
      <c r="O24" s="610"/>
    </row>
    <row r="25" spans="1:15" ht="12.75" hidden="1" customHeight="1" x14ac:dyDescent="0.25">
      <c r="A25" s="610"/>
      <c r="D25" s="610"/>
      <c r="E25" s="610"/>
      <c r="F25" s="610"/>
      <c r="G25" s="610"/>
      <c r="H25" s="610"/>
      <c r="I25" s="610"/>
      <c r="J25" s="610"/>
      <c r="K25" s="610"/>
      <c r="L25" s="610"/>
      <c r="M25" s="610"/>
      <c r="N25" s="610"/>
      <c r="O25" s="610"/>
    </row>
    <row r="26" spans="1:15" ht="12.75" hidden="1" customHeight="1" x14ac:dyDescent="0.25">
      <c r="A26" s="610"/>
      <c r="D26" s="610"/>
      <c r="E26" s="610"/>
      <c r="F26" s="610"/>
      <c r="G26" s="610"/>
      <c r="H26" s="610"/>
      <c r="I26" s="610"/>
      <c r="J26" s="610"/>
      <c r="K26" s="610"/>
      <c r="L26" s="610"/>
      <c r="M26" s="610"/>
      <c r="N26" s="610"/>
      <c r="O26" s="610"/>
    </row>
    <row r="27" spans="1:15" ht="12.75" hidden="1" customHeight="1" x14ac:dyDescent="0.25">
      <c r="A27" s="610"/>
      <c r="D27" s="610"/>
      <c r="E27" s="610"/>
      <c r="F27" s="610"/>
      <c r="G27" s="610"/>
      <c r="H27" s="610"/>
      <c r="I27" s="610"/>
      <c r="J27" s="610"/>
      <c r="K27" s="610"/>
      <c r="L27" s="610"/>
      <c r="M27" s="610"/>
      <c r="N27" s="610"/>
      <c r="O27" s="610"/>
    </row>
    <row r="28" spans="1:15" ht="12.75" hidden="1" customHeight="1" x14ac:dyDescent="0.25">
      <c r="A28" s="610"/>
      <c r="D28" s="610"/>
      <c r="E28" s="610"/>
      <c r="F28" s="610"/>
      <c r="G28" s="610"/>
      <c r="H28" s="610"/>
      <c r="I28" s="610"/>
      <c r="J28" s="610"/>
      <c r="K28" s="610"/>
      <c r="L28" s="610"/>
      <c r="M28" s="610"/>
      <c r="N28" s="610"/>
      <c r="O28" s="610"/>
    </row>
    <row r="29" spans="1:15" ht="12.75" hidden="1" customHeight="1" x14ac:dyDescent="0.25">
      <c r="A29" s="610"/>
      <c r="D29" s="610"/>
      <c r="E29" s="610"/>
      <c r="F29" s="610"/>
      <c r="G29" s="610"/>
      <c r="H29" s="610"/>
      <c r="I29" s="610"/>
      <c r="J29" s="610"/>
      <c r="K29" s="610"/>
      <c r="L29" s="610"/>
      <c r="M29" s="610"/>
      <c r="N29" s="610"/>
      <c r="O29" s="610"/>
    </row>
    <row r="30" spans="1:15" ht="12.75" hidden="1" customHeight="1" x14ac:dyDescent="0.25">
      <c r="A30" s="610"/>
      <c r="D30" s="610"/>
      <c r="E30" s="610"/>
      <c r="F30" s="610"/>
      <c r="G30" s="610"/>
      <c r="H30" s="610"/>
      <c r="I30" s="610"/>
      <c r="J30" s="610"/>
      <c r="K30" s="610"/>
      <c r="L30" s="610"/>
      <c r="M30" s="610"/>
      <c r="N30" s="610"/>
      <c r="O30" s="610"/>
    </row>
    <row r="31" spans="1:15" ht="12.75" hidden="1" customHeight="1" x14ac:dyDescent="0.25">
      <c r="A31" s="610"/>
      <c r="D31" s="610"/>
      <c r="E31" s="610"/>
      <c r="F31" s="610"/>
      <c r="G31" s="610"/>
      <c r="H31" s="610"/>
      <c r="I31" s="610"/>
      <c r="J31" s="610"/>
      <c r="K31" s="610"/>
      <c r="L31" s="610"/>
      <c r="M31" s="610"/>
      <c r="N31" s="610"/>
      <c r="O31" s="610"/>
    </row>
    <row r="32" spans="1:15" ht="12.75" hidden="1" customHeight="1" x14ac:dyDescent="0.25">
      <c r="A32" s="610"/>
      <c r="D32" s="610"/>
      <c r="E32" s="610"/>
      <c r="F32" s="610"/>
      <c r="G32" s="610"/>
      <c r="H32" s="610"/>
      <c r="I32" s="610"/>
      <c r="J32" s="610"/>
      <c r="K32" s="610"/>
      <c r="L32" s="610"/>
      <c r="M32" s="610"/>
      <c r="N32" s="610"/>
      <c r="O32" s="610"/>
    </row>
    <row r="33" spans="1:15" ht="12.75" hidden="1" customHeight="1" x14ac:dyDescent="0.25">
      <c r="A33" s="610"/>
      <c r="D33" s="610"/>
      <c r="E33" s="610"/>
      <c r="F33" s="610"/>
      <c r="G33" s="610"/>
      <c r="H33" s="610"/>
      <c r="I33" s="610"/>
      <c r="J33" s="610"/>
      <c r="K33" s="610"/>
      <c r="L33" s="610"/>
      <c r="M33" s="610"/>
      <c r="N33" s="610"/>
      <c r="O33" s="610"/>
    </row>
    <row r="34" spans="1:15" ht="12.75" hidden="1" customHeight="1" x14ac:dyDescent="0.25">
      <c r="A34" s="610"/>
      <c r="D34" s="610"/>
      <c r="E34" s="610"/>
      <c r="F34" s="610"/>
      <c r="G34" s="610"/>
      <c r="H34" s="610"/>
      <c r="I34" s="610"/>
      <c r="J34" s="610"/>
      <c r="K34" s="610"/>
      <c r="L34" s="610"/>
      <c r="M34" s="610"/>
      <c r="N34" s="610"/>
      <c r="O34" s="610"/>
    </row>
    <row r="35" spans="1:15" ht="12.75" hidden="1" customHeight="1" x14ac:dyDescent="0.25">
      <c r="A35" s="610"/>
      <c r="D35" s="610"/>
      <c r="E35" s="610"/>
      <c r="F35" s="610"/>
      <c r="G35" s="610"/>
      <c r="H35" s="610"/>
      <c r="I35" s="610"/>
      <c r="J35" s="610"/>
      <c r="K35" s="610"/>
      <c r="L35" s="610"/>
      <c r="M35" s="610"/>
      <c r="N35" s="610"/>
      <c r="O35" s="610"/>
    </row>
    <row r="36" spans="1:15" ht="12.75" hidden="1" customHeight="1" x14ac:dyDescent="0.25">
      <c r="A36" s="610"/>
      <c r="D36" s="610"/>
      <c r="E36" s="610"/>
      <c r="F36" s="610"/>
      <c r="G36" s="610"/>
      <c r="H36" s="610"/>
      <c r="I36" s="610"/>
      <c r="J36" s="610"/>
      <c r="K36" s="610"/>
      <c r="L36" s="610"/>
      <c r="M36" s="610"/>
      <c r="N36" s="610"/>
      <c r="O36" s="610"/>
    </row>
    <row r="37" spans="1:15" ht="12.75" hidden="1" customHeight="1" x14ac:dyDescent="0.25">
      <c r="A37" s="610"/>
      <c r="D37" s="610"/>
      <c r="E37" s="610"/>
      <c r="F37" s="610"/>
      <c r="G37" s="610"/>
      <c r="H37" s="610"/>
      <c r="I37" s="610"/>
      <c r="J37" s="610"/>
      <c r="K37" s="610"/>
      <c r="L37" s="610"/>
      <c r="M37" s="610"/>
      <c r="N37" s="610"/>
      <c r="O37" s="610"/>
    </row>
    <row r="38" spans="1:15" ht="12.75" hidden="1" customHeight="1" x14ac:dyDescent="0.25">
      <c r="A38" s="610"/>
      <c r="D38" s="610"/>
      <c r="E38" s="610"/>
      <c r="F38" s="610"/>
      <c r="G38" s="610"/>
      <c r="H38" s="610"/>
      <c r="I38" s="610"/>
      <c r="J38" s="610"/>
      <c r="K38" s="610"/>
      <c r="L38" s="610"/>
      <c r="M38" s="610"/>
      <c r="N38" s="610"/>
      <c r="O38" s="610"/>
    </row>
    <row r="39" spans="1:15" ht="12.75" hidden="1" customHeight="1" x14ac:dyDescent="0.25">
      <c r="A39" s="610"/>
      <c r="D39" s="610"/>
      <c r="E39" s="610"/>
      <c r="F39" s="610"/>
      <c r="G39" s="610"/>
      <c r="H39" s="610"/>
      <c r="I39" s="610"/>
      <c r="J39" s="610"/>
      <c r="K39" s="610"/>
      <c r="L39" s="610"/>
      <c r="M39" s="610"/>
      <c r="N39" s="610"/>
      <c r="O39" s="610"/>
    </row>
    <row r="40" spans="1:15" ht="12.75" hidden="1" customHeight="1" x14ac:dyDescent="0.25">
      <c r="A40" s="610"/>
      <c r="D40" s="610"/>
      <c r="E40" s="610"/>
      <c r="F40" s="610"/>
      <c r="G40" s="610"/>
      <c r="H40" s="610"/>
      <c r="I40" s="610"/>
      <c r="J40" s="610"/>
      <c r="K40" s="610"/>
      <c r="L40" s="610"/>
      <c r="M40" s="610"/>
      <c r="N40" s="610"/>
      <c r="O40" s="610"/>
    </row>
    <row r="41" spans="1:15" ht="12.75" hidden="1" customHeight="1" x14ac:dyDescent="0.25">
      <c r="A41" s="610"/>
      <c r="D41" s="610"/>
      <c r="E41" s="610"/>
      <c r="F41" s="610"/>
      <c r="G41" s="610"/>
      <c r="H41" s="610"/>
      <c r="I41" s="610"/>
      <c r="J41" s="610"/>
      <c r="K41" s="610"/>
      <c r="L41" s="610"/>
      <c r="M41" s="610"/>
      <c r="N41" s="610"/>
      <c r="O41" s="610"/>
    </row>
    <row r="42" spans="1:15" ht="12.75" hidden="1" customHeight="1" x14ac:dyDescent="0.25">
      <c r="A42" s="610"/>
      <c r="D42" s="610"/>
      <c r="E42" s="610"/>
      <c r="F42" s="610"/>
      <c r="G42" s="610"/>
      <c r="H42" s="610"/>
      <c r="I42" s="610"/>
      <c r="J42" s="610"/>
      <c r="K42" s="610"/>
      <c r="L42" s="610"/>
      <c r="M42" s="610"/>
      <c r="N42" s="610"/>
      <c r="O42" s="610"/>
    </row>
    <row r="43" spans="1:15" ht="12.75" hidden="1" customHeight="1" x14ac:dyDescent="0.25">
      <c r="A43" s="610"/>
      <c r="D43" s="610"/>
      <c r="E43" s="610"/>
      <c r="F43" s="610"/>
      <c r="G43" s="610"/>
      <c r="H43" s="610"/>
      <c r="I43" s="610"/>
      <c r="J43" s="610"/>
      <c r="K43" s="610"/>
      <c r="L43" s="610"/>
      <c r="M43" s="610"/>
      <c r="N43" s="610"/>
      <c r="O43" s="610"/>
    </row>
    <row r="44" spans="1:15" ht="12.75" hidden="1" customHeight="1" x14ac:dyDescent="0.25">
      <c r="A44" s="610"/>
      <c r="D44" s="610"/>
      <c r="E44" s="610"/>
      <c r="F44" s="610"/>
      <c r="G44" s="610"/>
      <c r="H44" s="610"/>
      <c r="I44" s="610"/>
      <c r="J44" s="610"/>
      <c r="K44" s="610"/>
      <c r="L44" s="610"/>
      <c r="M44" s="610"/>
      <c r="N44" s="610"/>
      <c r="O44" s="610"/>
    </row>
    <row r="45" spans="1:15" ht="12.75" hidden="1" customHeight="1" x14ac:dyDescent="0.25">
      <c r="A45" s="610"/>
      <c r="D45" s="610"/>
      <c r="E45" s="610"/>
      <c r="F45" s="610"/>
      <c r="G45" s="610"/>
      <c r="H45" s="610"/>
      <c r="I45" s="610"/>
      <c r="J45" s="610"/>
      <c r="K45" s="610"/>
      <c r="L45" s="610"/>
      <c r="M45" s="610"/>
      <c r="N45" s="610"/>
      <c r="O45" s="610"/>
    </row>
    <row r="46" spans="1:15" ht="12.75" hidden="1" customHeight="1" x14ac:dyDescent="0.25">
      <c r="A46" s="610"/>
      <c r="D46" s="610"/>
      <c r="E46" s="610"/>
      <c r="F46" s="610"/>
      <c r="G46" s="610"/>
      <c r="H46" s="610"/>
      <c r="I46" s="610"/>
      <c r="J46" s="610"/>
      <c r="K46" s="610"/>
      <c r="L46" s="610"/>
      <c r="M46" s="610"/>
      <c r="N46" s="610"/>
      <c r="O46" s="610"/>
    </row>
    <row r="47" spans="1:15" ht="12.75" hidden="1" customHeight="1" x14ac:dyDescent="0.25">
      <c r="A47" s="610"/>
      <c r="D47" s="610"/>
      <c r="E47" s="610"/>
      <c r="F47" s="610"/>
      <c r="G47" s="610"/>
      <c r="H47" s="610"/>
      <c r="I47" s="610"/>
      <c r="J47" s="610"/>
      <c r="K47" s="610"/>
      <c r="L47" s="610"/>
      <c r="M47" s="610"/>
      <c r="N47" s="610"/>
      <c r="O47" s="610"/>
    </row>
    <row r="48" spans="1:15" ht="12.75" hidden="1" customHeight="1" x14ac:dyDescent="0.25">
      <c r="A48" s="610"/>
      <c r="D48" s="610"/>
      <c r="E48" s="610"/>
      <c r="F48" s="610"/>
      <c r="G48" s="610"/>
      <c r="H48" s="610"/>
      <c r="I48" s="610"/>
      <c r="J48" s="610"/>
      <c r="K48" s="610"/>
      <c r="L48" s="610"/>
      <c r="M48" s="610"/>
      <c r="N48" s="610"/>
      <c r="O48" s="610"/>
    </row>
    <row r="49" spans="1:15" ht="12.75" hidden="1" customHeight="1" x14ac:dyDescent="0.25">
      <c r="A49" s="610"/>
      <c r="D49" s="610"/>
      <c r="E49" s="610"/>
      <c r="F49" s="610"/>
      <c r="G49" s="610"/>
      <c r="H49" s="610"/>
      <c r="I49" s="610"/>
      <c r="J49" s="610"/>
      <c r="K49" s="610"/>
      <c r="L49" s="610"/>
      <c r="M49" s="610"/>
      <c r="N49" s="610"/>
      <c r="O49" s="610"/>
    </row>
    <row r="50" spans="1:15" ht="12.75" hidden="1" customHeight="1" x14ac:dyDescent="0.25">
      <c r="A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</row>
    <row r="51" spans="1:15" ht="12.75" hidden="1" customHeight="1" x14ac:dyDescent="0.25">
      <c r="A51" s="610"/>
      <c r="D51" s="610"/>
      <c r="E51" s="610"/>
      <c r="F51" s="610"/>
      <c r="G51" s="610"/>
      <c r="H51" s="610"/>
      <c r="I51" s="610"/>
      <c r="J51" s="610"/>
      <c r="K51" s="610"/>
      <c r="L51" s="610"/>
      <c r="M51" s="610"/>
      <c r="N51" s="610"/>
      <c r="O51" s="610"/>
    </row>
    <row r="52" spans="1:15" ht="12.75" hidden="1" customHeight="1" x14ac:dyDescent="0.25">
      <c r="A52" s="610"/>
      <c r="D52" s="610"/>
      <c r="E52" s="610"/>
      <c r="F52" s="610"/>
      <c r="G52" s="610"/>
      <c r="H52" s="610"/>
      <c r="I52" s="610"/>
      <c r="J52" s="610"/>
      <c r="K52" s="610"/>
      <c r="L52" s="610"/>
      <c r="M52" s="610"/>
      <c r="N52" s="610"/>
      <c r="O52" s="610"/>
    </row>
    <row r="53" spans="1:15" ht="12.75" hidden="1" customHeight="1" x14ac:dyDescent="0.25">
      <c r="A53" s="610"/>
      <c r="D53" s="610"/>
      <c r="E53" s="610"/>
      <c r="F53" s="610"/>
      <c r="G53" s="610"/>
      <c r="H53" s="610"/>
      <c r="I53" s="610"/>
      <c r="J53" s="610"/>
      <c r="K53" s="610"/>
      <c r="L53" s="610"/>
      <c r="M53" s="610"/>
      <c r="N53" s="610"/>
      <c r="O53" s="610"/>
    </row>
    <row r="54" spans="1:15" ht="12.75" hidden="1" customHeight="1" x14ac:dyDescent="0.25">
      <c r="A54" s="610"/>
      <c r="D54" s="610"/>
      <c r="E54" s="610"/>
      <c r="F54" s="610"/>
      <c r="G54" s="610"/>
      <c r="H54" s="610"/>
      <c r="I54" s="610"/>
      <c r="J54" s="610"/>
      <c r="K54" s="610"/>
      <c r="L54" s="610"/>
      <c r="M54" s="610"/>
      <c r="N54" s="610"/>
      <c r="O54" s="610"/>
    </row>
    <row r="55" spans="1:15" ht="12.75" hidden="1" customHeight="1" x14ac:dyDescent="0.25">
      <c r="A55" s="610"/>
      <c r="D55" s="610"/>
      <c r="E55" s="610"/>
      <c r="F55" s="610"/>
      <c r="G55" s="610"/>
      <c r="H55" s="610"/>
      <c r="I55" s="610"/>
      <c r="J55" s="610"/>
      <c r="K55" s="610"/>
      <c r="L55" s="610"/>
      <c r="M55" s="610"/>
      <c r="N55" s="610"/>
      <c r="O55" s="610"/>
    </row>
    <row r="56" spans="1:15" ht="12.75" hidden="1" customHeight="1" x14ac:dyDescent="0.25">
      <c r="A56" s="610"/>
      <c r="D56" s="610"/>
      <c r="E56" s="610"/>
      <c r="F56" s="610"/>
      <c r="G56" s="610"/>
      <c r="H56" s="610"/>
      <c r="I56" s="610"/>
      <c r="J56" s="610"/>
      <c r="K56" s="610"/>
      <c r="L56" s="610"/>
      <c r="M56" s="610"/>
      <c r="N56" s="610"/>
      <c r="O56" s="610"/>
    </row>
    <row r="57" spans="1:15" ht="12.75" hidden="1" customHeight="1" x14ac:dyDescent="0.25">
      <c r="A57" s="610"/>
      <c r="D57" s="610"/>
      <c r="E57" s="610"/>
      <c r="F57" s="610"/>
      <c r="G57" s="610"/>
      <c r="H57" s="610"/>
      <c r="I57" s="610"/>
      <c r="J57" s="610"/>
      <c r="K57" s="610"/>
      <c r="L57" s="610"/>
      <c r="M57" s="610"/>
      <c r="N57" s="610"/>
      <c r="O57" s="610"/>
    </row>
    <row r="58" spans="1:15" ht="12.75" hidden="1" customHeight="1" x14ac:dyDescent="0.25">
      <c r="A58" s="610"/>
      <c r="D58" s="610"/>
      <c r="E58" s="610"/>
      <c r="F58" s="610"/>
      <c r="G58" s="610"/>
      <c r="H58" s="610"/>
      <c r="I58" s="610"/>
      <c r="J58" s="610"/>
      <c r="K58" s="610"/>
      <c r="L58" s="610"/>
      <c r="M58" s="610"/>
      <c r="N58" s="610"/>
      <c r="O58" s="610"/>
    </row>
    <row r="59" spans="1:15" ht="12.75" hidden="1" customHeight="1" x14ac:dyDescent="0.25">
      <c r="A59" s="610"/>
      <c r="D59" s="610"/>
      <c r="E59" s="610"/>
      <c r="F59" s="610"/>
      <c r="G59" s="610"/>
      <c r="H59" s="610"/>
      <c r="I59" s="610"/>
      <c r="J59" s="610"/>
      <c r="K59" s="610"/>
      <c r="L59" s="610"/>
      <c r="M59" s="610"/>
      <c r="N59" s="610"/>
      <c r="O59" s="610"/>
    </row>
    <row r="60" spans="1:15" ht="12.75" hidden="1" customHeight="1" x14ac:dyDescent="0.25">
      <c r="A60" s="610"/>
      <c r="D60" s="610"/>
      <c r="E60" s="610"/>
      <c r="F60" s="610"/>
      <c r="G60" s="610"/>
      <c r="H60" s="610"/>
      <c r="I60" s="610"/>
      <c r="J60" s="610"/>
      <c r="K60" s="610"/>
      <c r="L60" s="610"/>
      <c r="M60" s="610"/>
      <c r="N60" s="610"/>
      <c r="O60" s="610"/>
    </row>
    <row r="61" spans="1:15" ht="12.75" hidden="1" customHeight="1" x14ac:dyDescent="0.25">
      <c r="A61" s="610"/>
      <c r="D61" s="610"/>
      <c r="E61" s="610"/>
      <c r="F61" s="610"/>
      <c r="G61" s="610"/>
      <c r="H61" s="610"/>
      <c r="I61" s="610"/>
      <c r="J61" s="610"/>
      <c r="K61" s="610"/>
      <c r="L61" s="610"/>
      <c r="M61" s="610"/>
      <c r="N61" s="610"/>
      <c r="O61" s="610"/>
    </row>
    <row r="62" spans="1:15" ht="12.75" hidden="1" customHeight="1" x14ac:dyDescent="0.25">
      <c r="A62" s="610"/>
      <c r="D62" s="610"/>
      <c r="E62" s="610"/>
      <c r="F62" s="610"/>
      <c r="G62" s="610"/>
      <c r="H62" s="610"/>
      <c r="I62" s="610"/>
      <c r="J62" s="610"/>
      <c r="K62" s="610"/>
      <c r="L62" s="610"/>
      <c r="M62" s="610"/>
      <c r="N62" s="610"/>
      <c r="O62" s="610"/>
    </row>
    <row r="63" spans="1:15" ht="12.75" hidden="1" customHeight="1" x14ac:dyDescent="0.25">
      <c r="A63" s="610"/>
      <c r="D63" s="610"/>
      <c r="E63" s="610"/>
      <c r="F63" s="610"/>
      <c r="G63" s="610"/>
      <c r="H63" s="610"/>
      <c r="I63" s="610"/>
      <c r="J63" s="610"/>
      <c r="K63" s="610"/>
      <c r="L63" s="610"/>
      <c r="M63" s="610"/>
      <c r="N63" s="610"/>
      <c r="O63" s="610"/>
    </row>
    <row r="64" spans="1:15" ht="12.75" hidden="1" customHeight="1" x14ac:dyDescent="0.25">
      <c r="A64" s="610"/>
      <c r="D64" s="610"/>
      <c r="E64" s="610"/>
      <c r="F64" s="610"/>
      <c r="G64" s="610"/>
      <c r="H64" s="610"/>
      <c r="I64" s="610"/>
      <c r="J64" s="610"/>
      <c r="K64" s="610"/>
      <c r="L64" s="610"/>
      <c r="M64" s="610"/>
      <c r="N64" s="610"/>
      <c r="O64" s="610"/>
    </row>
    <row r="65" spans="1:18" ht="12.75" hidden="1" customHeight="1" x14ac:dyDescent="0.25">
      <c r="A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</row>
    <row r="66" spans="1:18" ht="12.75" hidden="1" customHeight="1" x14ac:dyDescent="0.25">
      <c r="A66" s="610"/>
      <c r="D66" s="610"/>
      <c r="E66" s="610"/>
      <c r="F66" s="610"/>
      <c r="G66" s="610"/>
      <c r="H66" s="610"/>
      <c r="I66" s="610"/>
      <c r="J66" s="610"/>
      <c r="K66" s="610"/>
      <c r="L66" s="610"/>
      <c r="M66" s="610"/>
      <c r="N66" s="610"/>
      <c r="O66" s="610"/>
    </row>
    <row r="67" spans="1:18" ht="12.75" hidden="1" customHeight="1" x14ac:dyDescent="0.25">
      <c r="A67" s="610"/>
      <c r="D67" s="610"/>
      <c r="E67" s="610"/>
      <c r="F67" s="610"/>
      <c r="G67" s="610"/>
      <c r="H67" s="610"/>
      <c r="I67" s="610"/>
      <c r="J67" s="610"/>
      <c r="K67" s="610"/>
      <c r="L67" s="610"/>
      <c r="M67" s="610"/>
      <c r="N67" s="610"/>
      <c r="O67" s="610"/>
    </row>
    <row r="68" spans="1:18" ht="12.75" hidden="1" customHeight="1" x14ac:dyDescent="0.25">
      <c r="A68" s="610"/>
      <c r="D68" s="610"/>
      <c r="E68" s="610"/>
      <c r="F68" s="610"/>
      <c r="G68" s="610"/>
      <c r="H68" s="610"/>
      <c r="I68" s="610"/>
      <c r="J68" s="610"/>
      <c r="K68" s="610"/>
      <c r="L68" s="610"/>
      <c r="M68" s="610"/>
      <c r="N68" s="610"/>
      <c r="O68" s="610"/>
    </row>
    <row r="69" spans="1:18" ht="12.75" hidden="1" customHeight="1" x14ac:dyDescent="0.25">
      <c r="A69" s="610"/>
      <c r="D69" s="610"/>
      <c r="E69" s="610"/>
      <c r="F69" s="610"/>
      <c r="G69" s="610"/>
      <c r="H69" s="610"/>
      <c r="I69" s="610"/>
      <c r="J69" s="610"/>
      <c r="K69" s="610"/>
      <c r="L69" s="610"/>
      <c r="M69" s="610"/>
      <c r="N69" s="610"/>
      <c r="O69" s="610"/>
    </row>
    <row r="70" spans="1:18" x14ac:dyDescent="0.25">
      <c r="A70" s="610"/>
      <c r="D70" s="610"/>
      <c r="E70" s="610"/>
      <c r="F70" s="610"/>
      <c r="G70" s="610"/>
      <c r="H70" s="610"/>
      <c r="I70" s="610"/>
      <c r="J70" s="610"/>
      <c r="K70" s="610"/>
      <c r="L70" s="610"/>
      <c r="M70" s="610"/>
      <c r="N70" s="610"/>
      <c r="O70" s="610"/>
    </row>
    <row r="71" spans="1:18" x14ac:dyDescent="0.25">
      <c r="A71" s="770" t="s">
        <v>2</v>
      </c>
      <c r="B71" s="769" t="s">
        <v>132</v>
      </c>
      <c r="C71" s="622" t="s">
        <v>70</v>
      </c>
      <c r="D71" s="622">
        <f>D13-P13</f>
        <v>-3544507.29</v>
      </c>
      <c r="E71" s="622">
        <f>E11+E5</f>
        <v>-219031.92</v>
      </c>
      <c r="F71" s="622">
        <f>F11+F5</f>
        <v>-117594.76</v>
      </c>
      <c r="G71" s="622">
        <f>G11+G5</f>
        <v>-63004.75</v>
      </c>
      <c r="H71" s="622">
        <f>H11+H5</f>
        <v>-1190187.3899999999</v>
      </c>
      <c r="I71" s="622">
        <f>I11+I5</f>
        <v>-45698.67</v>
      </c>
      <c r="J71" s="622">
        <f>J11+J5</f>
        <v>-400863.95999999996</v>
      </c>
      <c r="K71" s="622">
        <f>K11+K5</f>
        <v>-377006.69999999995</v>
      </c>
      <c r="L71" s="622">
        <f>L11+L5</f>
        <v>-1788474</v>
      </c>
      <c r="M71" s="622">
        <f>M11+M5</f>
        <v>-573353.78</v>
      </c>
      <c r="N71" s="622">
        <f>N11+N5</f>
        <v>-73936.2</v>
      </c>
      <c r="O71" s="622">
        <f>O11+O5</f>
        <v>10.66</v>
      </c>
      <c r="P71" s="622">
        <f>P11+P5</f>
        <v>0</v>
      </c>
      <c r="Q71" s="622">
        <f>Q11+Q5</f>
        <v>0</v>
      </c>
      <c r="R71" s="622">
        <f>R11+R5</f>
        <v>0</v>
      </c>
    </row>
    <row r="72" spans="1:18" x14ac:dyDescent="0.25">
      <c r="A72" s="770"/>
      <c r="B72" s="769"/>
      <c r="C72" s="622" t="s">
        <v>73</v>
      </c>
      <c r="D72" s="622">
        <f>D7</f>
        <v>1304634.18</v>
      </c>
      <c r="E72" s="610"/>
      <c r="F72" s="610"/>
      <c r="G72" s="610"/>
      <c r="H72" s="610"/>
      <c r="I72" s="610"/>
      <c r="J72" s="610"/>
      <c r="K72" s="610"/>
      <c r="L72" s="610"/>
      <c r="M72" s="610"/>
      <c r="N72" s="610"/>
      <c r="O72" s="610"/>
      <c r="P72" s="610"/>
      <c r="Q72" s="610"/>
      <c r="R72" s="610"/>
    </row>
    <row r="73" spans="1:18" ht="13" x14ac:dyDescent="0.3">
      <c r="A73" s="609"/>
      <c r="D73" s="610"/>
      <c r="E73" s="610"/>
      <c r="F73" s="610"/>
      <c r="G73" s="610"/>
      <c r="H73" s="610"/>
      <c r="I73" s="610"/>
      <c r="J73" s="610"/>
      <c r="K73" s="610"/>
      <c r="L73" s="610"/>
      <c r="M73" s="610"/>
      <c r="N73" s="610"/>
      <c r="O73" s="610"/>
      <c r="P73" s="610"/>
      <c r="Q73" s="610"/>
      <c r="R73" s="610"/>
    </row>
    <row r="74" spans="1:18" x14ac:dyDescent="0.25">
      <c r="A74" s="770" t="s">
        <v>160</v>
      </c>
      <c r="B74" s="769" t="s">
        <v>132</v>
      </c>
      <c r="C74" s="624" t="s">
        <v>70</v>
      </c>
      <c r="D74" s="624">
        <v>0</v>
      </c>
      <c r="E74" s="624">
        <v>0</v>
      </c>
      <c r="F74" s="624">
        <v>0</v>
      </c>
      <c r="G74" s="624">
        <v>0</v>
      </c>
      <c r="H74" s="624">
        <v>0</v>
      </c>
      <c r="I74" s="624">
        <v>0</v>
      </c>
      <c r="J74" s="624">
        <v>0</v>
      </c>
      <c r="K74" s="624">
        <v>0</v>
      </c>
      <c r="L74" s="624">
        <v>0</v>
      </c>
      <c r="M74" s="624">
        <v>0</v>
      </c>
      <c r="N74" s="624">
        <v>0</v>
      </c>
      <c r="O74" s="624">
        <v>0</v>
      </c>
      <c r="P74" s="624">
        <v>0</v>
      </c>
      <c r="Q74" s="624">
        <v>0</v>
      </c>
      <c r="R74" s="624">
        <v>0</v>
      </c>
    </row>
    <row r="75" spans="1:18" x14ac:dyDescent="0.25">
      <c r="A75" s="770"/>
      <c r="B75" s="769"/>
      <c r="C75" s="624" t="s">
        <v>73</v>
      </c>
      <c r="D75" s="624">
        <v>0</v>
      </c>
      <c r="E75" s="610"/>
      <c r="F75" s="610"/>
      <c r="G75" s="610"/>
      <c r="H75" s="610"/>
      <c r="I75" s="610"/>
      <c r="J75" s="610"/>
      <c r="K75" s="610"/>
      <c r="L75" s="610"/>
      <c r="M75" s="610"/>
      <c r="N75" s="610"/>
      <c r="O75" s="610"/>
      <c r="P75" s="610"/>
      <c r="Q75" s="610"/>
      <c r="R75" s="610"/>
    </row>
    <row r="76" spans="1:18" ht="13" x14ac:dyDescent="0.3">
      <c r="A76" s="609"/>
      <c r="D76" s="610"/>
      <c r="E76" s="610"/>
      <c r="F76" s="610"/>
      <c r="G76" s="610"/>
      <c r="H76" s="610"/>
      <c r="I76" s="610"/>
      <c r="J76" s="610"/>
      <c r="K76" s="610"/>
      <c r="L76" s="610"/>
      <c r="M76" s="610"/>
      <c r="N76" s="610"/>
      <c r="O76" s="610"/>
      <c r="P76" s="610"/>
      <c r="Q76" s="610"/>
      <c r="R76" s="610"/>
    </row>
    <row r="77" spans="1:18" x14ac:dyDescent="0.25">
      <c r="A77" s="770" t="s">
        <v>155</v>
      </c>
      <c r="B77" s="769" t="s">
        <v>132</v>
      </c>
      <c r="C77" s="625" t="s">
        <v>70</v>
      </c>
      <c r="D77" s="625">
        <f>D8-P8</f>
        <v>-3461197.29</v>
      </c>
      <c r="E77" s="625">
        <f>E5</f>
        <v>-214701.26</v>
      </c>
      <c r="F77" s="625">
        <f>F5</f>
        <v>-115148.64</v>
      </c>
      <c r="G77" s="625">
        <f>G5</f>
        <v>-61716.85</v>
      </c>
      <c r="H77" s="625">
        <f>H5</f>
        <v>-1168748.75</v>
      </c>
      <c r="I77" s="625">
        <f>I5</f>
        <v>-45201.7</v>
      </c>
      <c r="J77" s="625">
        <f>J5</f>
        <v>-396504.48</v>
      </c>
      <c r="K77" s="625">
        <f>K5</f>
        <v>-370551.41</v>
      </c>
      <c r="L77" s="625">
        <f>L5</f>
        <v>-1758666.75</v>
      </c>
      <c r="M77" s="625">
        <f>M5</f>
        <v>-561484.02</v>
      </c>
      <c r="N77" s="625">
        <f>N5</f>
        <v>-73125.36</v>
      </c>
      <c r="O77" s="625">
        <f>O5</f>
        <v>17.75</v>
      </c>
      <c r="P77" s="625">
        <f>P5</f>
        <v>0</v>
      </c>
      <c r="Q77" s="625">
        <f>Q5</f>
        <v>0</v>
      </c>
      <c r="R77" s="625">
        <f>R5</f>
        <v>0</v>
      </c>
    </row>
    <row r="78" spans="1:18" x14ac:dyDescent="0.25">
      <c r="A78" s="770"/>
      <c r="B78" s="769"/>
      <c r="C78" s="625" t="s">
        <v>73</v>
      </c>
      <c r="D78" s="625">
        <f>D7</f>
        <v>1304634.18</v>
      </c>
      <c r="E78" s="610"/>
      <c r="F78" s="610"/>
      <c r="G78" s="610"/>
      <c r="H78" s="610"/>
      <c r="I78" s="610"/>
      <c r="J78" s="610"/>
      <c r="K78" s="610"/>
      <c r="L78" s="610"/>
      <c r="M78" s="610"/>
      <c r="N78" s="610"/>
      <c r="O78" s="610"/>
      <c r="P78" s="610"/>
      <c r="Q78" s="610"/>
      <c r="R78" s="610"/>
    </row>
    <row r="79" spans="1:18" ht="13" x14ac:dyDescent="0.25">
      <c r="A79" s="720"/>
      <c r="B79" s="719"/>
      <c r="C79" s="610"/>
      <c r="D79" s="610"/>
      <c r="E79" s="610"/>
      <c r="F79" s="610"/>
      <c r="G79" s="610"/>
      <c r="H79" s="610"/>
      <c r="I79" s="610"/>
      <c r="J79" s="610"/>
      <c r="K79" s="610"/>
      <c r="L79" s="610"/>
      <c r="M79" s="610"/>
      <c r="N79" s="610"/>
      <c r="O79" s="610"/>
      <c r="P79" s="610"/>
      <c r="Q79" s="610"/>
      <c r="R79" s="610"/>
    </row>
    <row r="80" spans="1:18" ht="12.75" customHeight="1" x14ac:dyDescent="0.25">
      <c r="A80" s="768" t="s">
        <v>324</v>
      </c>
      <c r="B80" s="769" t="s">
        <v>132</v>
      </c>
      <c r="C80" s="625" t="s">
        <v>70</v>
      </c>
      <c r="D80" s="718">
        <v>0</v>
      </c>
      <c r="E80" s="718">
        <v>0</v>
      </c>
      <c r="F80" s="718">
        <v>0</v>
      </c>
      <c r="G80" s="718">
        <v>0</v>
      </c>
      <c r="H80" s="718">
        <v>0</v>
      </c>
      <c r="I80" s="718">
        <v>0</v>
      </c>
      <c r="J80" s="718">
        <v>0</v>
      </c>
      <c r="K80" s="718">
        <v>0</v>
      </c>
      <c r="L80" s="718">
        <v>0</v>
      </c>
      <c r="M80" s="718">
        <v>0</v>
      </c>
      <c r="N80" s="718">
        <v>0</v>
      </c>
      <c r="O80" s="718">
        <v>0</v>
      </c>
      <c r="P80" s="718">
        <v>0</v>
      </c>
      <c r="Q80" s="718">
        <v>0</v>
      </c>
      <c r="R80" s="718">
        <v>0</v>
      </c>
    </row>
    <row r="81" spans="1:18" ht="12.75" customHeight="1" x14ac:dyDescent="0.25">
      <c r="A81" s="768"/>
      <c r="B81" s="769"/>
      <c r="C81" s="625" t="s">
        <v>73</v>
      </c>
      <c r="D81" s="718">
        <v>0</v>
      </c>
      <c r="E81" s="610"/>
      <c r="F81" s="610"/>
      <c r="G81" s="610"/>
      <c r="H81" s="610"/>
      <c r="I81" s="610"/>
      <c r="J81" s="610"/>
      <c r="K81" s="610"/>
      <c r="L81" s="610"/>
      <c r="M81" s="610"/>
      <c r="N81" s="610"/>
      <c r="O81" s="610"/>
      <c r="P81" s="610"/>
      <c r="Q81" s="610"/>
    </row>
    <row r="82" spans="1:18" ht="13" x14ac:dyDescent="0.3">
      <c r="A82" s="609"/>
      <c r="D82" s="610"/>
      <c r="E82" s="610"/>
      <c r="F82" s="610"/>
      <c r="G82" s="610"/>
      <c r="H82" s="610"/>
      <c r="I82" s="610"/>
      <c r="J82" s="610"/>
      <c r="K82" s="610"/>
      <c r="L82" s="610"/>
      <c r="M82" s="610"/>
      <c r="N82" s="610"/>
      <c r="O82" s="610"/>
      <c r="P82" s="610"/>
      <c r="Q82" s="610"/>
      <c r="R82" s="610"/>
    </row>
    <row r="83" spans="1:18" x14ac:dyDescent="0.25">
      <c r="A83" s="770" t="s">
        <v>119</v>
      </c>
      <c r="B83" s="769" t="s">
        <v>132</v>
      </c>
      <c r="C83" s="620" t="s">
        <v>70</v>
      </c>
      <c r="D83" s="620">
        <f>D12-P12</f>
        <v>-83310</v>
      </c>
      <c r="E83" s="620">
        <f>E11</f>
        <v>-4330.66</v>
      </c>
      <c r="F83" s="620">
        <f>F11</f>
        <v>-2446.12</v>
      </c>
      <c r="G83" s="620">
        <f>G11</f>
        <v>-1287.9000000000001</v>
      </c>
      <c r="H83" s="620">
        <f>H11</f>
        <v>-21438.639999999999</v>
      </c>
      <c r="I83" s="620">
        <f>I11</f>
        <v>-496.97</v>
      </c>
      <c r="J83" s="620">
        <f>J11</f>
        <v>-4359.4799999999996</v>
      </c>
      <c r="K83" s="620">
        <f>K11</f>
        <v>-6455.29</v>
      </c>
      <c r="L83" s="620">
        <f>L11</f>
        <v>-29807.25</v>
      </c>
      <c r="M83" s="620">
        <f>M11</f>
        <v>-11869.76</v>
      </c>
      <c r="N83" s="620">
        <f>N11</f>
        <v>-810.84</v>
      </c>
      <c r="O83" s="620">
        <f>O11</f>
        <v>-7.09</v>
      </c>
      <c r="P83" s="620">
        <f>P11</f>
        <v>0</v>
      </c>
      <c r="Q83" s="620">
        <f>Q11</f>
        <v>0</v>
      </c>
      <c r="R83" s="620">
        <f>R11</f>
        <v>0</v>
      </c>
    </row>
    <row r="84" spans="1:18" ht="12.75" customHeight="1" x14ac:dyDescent="0.25">
      <c r="A84" s="770"/>
      <c r="B84" s="769"/>
      <c r="C84" s="620" t="s">
        <v>73</v>
      </c>
      <c r="D84" s="620">
        <v>0</v>
      </c>
      <c r="E84" s="610"/>
      <c r="F84" s="610"/>
      <c r="G84" s="610"/>
      <c r="H84" s="610"/>
      <c r="I84" s="610"/>
      <c r="J84" s="610"/>
      <c r="K84" s="610"/>
      <c r="L84" s="610"/>
      <c r="M84" s="610"/>
      <c r="N84" s="610"/>
      <c r="O84" s="610"/>
      <c r="P84" s="610"/>
      <c r="Q84" s="610"/>
      <c r="R84" s="610"/>
    </row>
    <row r="85" spans="1:18" ht="12.75" customHeight="1" x14ac:dyDescent="0.3">
      <c r="A85" s="609"/>
      <c r="D85" s="610"/>
      <c r="E85" s="610"/>
      <c r="F85" s="610"/>
      <c r="G85" s="610"/>
      <c r="H85" s="610"/>
      <c r="I85" s="610"/>
      <c r="J85" s="610"/>
      <c r="K85" s="610"/>
      <c r="L85" s="610"/>
      <c r="M85" s="610"/>
      <c r="N85" s="610"/>
      <c r="O85" s="610"/>
      <c r="P85" s="610"/>
      <c r="Q85" s="610"/>
      <c r="R85" s="610"/>
    </row>
    <row r="86" spans="1:18" ht="12.75" customHeight="1" x14ac:dyDescent="0.25">
      <c r="A86" s="771" t="s">
        <v>161</v>
      </c>
      <c r="B86" s="769" t="s">
        <v>132</v>
      </c>
      <c r="C86" s="626" t="s">
        <v>70</v>
      </c>
      <c r="D86" s="626">
        <v>0</v>
      </c>
      <c r="E86" s="626">
        <v>0</v>
      </c>
      <c r="F86" s="626">
        <v>0</v>
      </c>
      <c r="G86" s="626">
        <v>0</v>
      </c>
      <c r="H86" s="626">
        <v>0</v>
      </c>
      <c r="I86" s="626">
        <v>0</v>
      </c>
      <c r="J86" s="626">
        <v>0</v>
      </c>
      <c r="K86" s="626">
        <v>0</v>
      </c>
      <c r="L86" s="626">
        <v>0</v>
      </c>
      <c r="M86" s="626">
        <v>0</v>
      </c>
      <c r="N86" s="626">
        <v>0</v>
      </c>
      <c r="O86" s="626">
        <v>0</v>
      </c>
      <c r="P86" s="626">
        <v>0</v>
      </c>
      <c r="Q86" s="626">
        <v>0</v>
      </c>
      <c r="R86" s="626">
        <v>0</v>
      </c>
    </row>
    <row r="87" spans="1:18" ht="12.75" customHeight="1" x14ac:dyDescent="0.25">
      <c r="A87" s="771"/>
      <c r="B87" s="769"/>
      <c r="C87" s="626" t="s">
        <v>73</v>
      </c>
      <c r="D87" s="626">
        <v>0</v>
      </c>
      <c r="E87" s="610"/>
      <c r="F87" s="610"/>
      <c r="G87" s="610"/>
      <c r="H87" s="610"/>
      <c r="I87" s="610"/>
      <c r="J87" s="610"/>
      <c r="K87" s="610"/>
      <c r="L87" s="610"/>
      <c r="M87" s="610"/>
      <c r="N87" s="610"/>
      <c r="O87" s="610"/>
      <c r="P87" s="610"/>
      <c r="Q87" s="610"/>
    </row>
    <row r="88" spans="1:18" s="627" customFormat="1" x14ac:dyDescent="0.25"/>
    <row r="89" spans="1:18" ht="13" x14ac:dyDescent="0.3">
      <c r="B89" s="609" t="s">
        <v>75</v>
      </c>
    </row>
    <row r="90" spans="1:18" ht="12.75" customHeight="1" x14ac:dyDescent="0.25">
      <c r="D90" s="610" t="s">
        <v>70</v>
      </c>
      <c r="E90" s="610" t="s">
        <v>64</v>
      </c>
      <c r="F90" s="610" t="s">
        <v>65</v>
      </c>
      <c r="G90" s="611" t="s">
        <v>164</v>
      </c>
      <c r="H90" s="610" t="s">
        <v>69</v>
      </c>
      <c r="I90" s="610" t="s">
        <v>68</v>
      </c>
      <c r="J90" s="610" t="s">
        <v>66</v>
      </c>
      <c r="K90" s="610" t="s">
        <v>63</v>
      </c>
      <c r="L90" s="610" t="s">
        <v>61</v>
      </c>
      <c r="M90" s="610" t="s">
        <v>62</v>
      </c>
      <c r="N90" s="610" t="s">
        <v>67</v>
      </c>
      <c r="O90" s="610" t="s">
        <v>77</v>
      </c>
      <c r="P90" s="608" t="s">
        <v>71</v>
      </c>
      <c r="Q90" s="610" t="s">
        <v>80</v>
      </c>
      <c r="R90" s="608" t="s">
        <v>167</v>
      </c>
    </row>
    <row r="91" spans="1:18" ht="12.75" customHeight="1" x14ac:dyDescent="0.25">
      <c r="C91" s="608" t="s">
        <v>72</v>
      </c>
      <c r="D91" s="610">
        <v>-10237442.57</v>
      </c>
      <c r="E91" s="610">
        <v>-563399.38</v>
      </c>
      <c r="F91" s="610">
        <v>-316917.62</v>
      </c>
      <c r="G91" s="612">
        <v>-166722.74</v>
      </c>
      <c r="H91" s="610">
        <v>-2628414.17</v>
      </c>
      <c r="I91" s="610">
        <v>-89684.05</v>
      </c>
      <c r="J91" s="610">
        <v>-786699.09</v>
      </c>
      <c r="K91" s="610">
        <v>-766969.55</v>
      </c>
      <c r="L91" s="610">
        <v>-3636763.39</v>
      </c>
      <c r="M91" s="610">
        <v>-1109050.8</v>
      </c>
      <c r="N91" s="610">
        <v>-146326.35</v>
      </c>
      <c r="O91" s="610">
        <v>4.57</v>
      </c>
      <c r="P91" s="608">
        <v>-26500</v>
      </c>
      <c r="Q91" s="610">
        <v>0</v>
      </c>
      <c r="R91" s="608">
        <v>0</v>
      </c>
    </row>
    <row r="92" spans="1:18" ht="12.75" customHeight="1" x14ac:dyDescent="0.25">
      <c r="C92" s="608" t="s">
        <v>81</v>
      </c>
      <c r="D92" s="610">
        <v>-49535.64</v>
      </c>
      <c r="E92" s="610">
        <v>-2812.32</v>
      </c>
      <c r="F92" s="610">
        <v>-1322.36</v>
      </c>
      <c r="G92" s="612">
        <v>-716.51</v>
      </c>
      <c r="H92" s="610">
        <v>-13748.88</v>
      </c>
      <c r="I92" s="610">
        <v>-368.55</v>
      </c>
      <c r="J92" s="610">
        <v>-3233.3</v>
      </c>
      <c r="K92" s="610">
        <v>-3852.97</v>
      </c>
      <c r="L92" s="610">
        <v>-17279.39</v>
      </c>
      <c r="M92" s="610">
        <v>-5599.52</v>
      </c>
      <c r="N92" s="610">
        <v>-601.36</v>
      </c>
      <c r="O92" s="610">
        <v>-0.48</v>
      </c>
      <c r="P92" s="608">
        <v>0</v>
      </c>
      <c r="Q92" s="610">
        <v>0</v>
      </c>
      <c r="R92" s="608">
        <v>0</v>
      </c>
    </row>
    <row r="93" spans="1:18" s="613" customFormat="1" ht="12.75" customHeight="1" x14ac:dyDescent="0.25">
      <c r="B93" s="614" t="s">
        <v>78</v>
      </c>
      <c r="C93" s="614" t="s">
        <v>70</v>
      </c>
      <c r="D93" s="614">
        <v>-10286978.210000001</v>
      </c>
      <c r="E93" s="614">
        <v>-566211.69999999995</v>
      </c>
      <c r="F93" s="614">
        <v>-318239.98</v>
      </c>
      <c r="G93" s="614">
        <v>-167439.25</v>
      </c>
      <c r="H93" s="614">
        <v>-2642163.0499999998</v>
      </c>
      <c r="I93" s="614">
        <v>-90052.6</v>
      </c>
      <c r="J93" s="614">
        <v>-789932.39</v>
      </c>
      <c r="K93" s="614">
        <v>-770822.52</v>
      </c>
      <c r="L93" s="614">
        <v>-3654042.78</v>
      </c>
      <c r="M93" s="614">
        <v>-1114650.32</v>
      </c>
      <c r="N93" s="614">
        <v>-146927.71</v>
      </c>
      <c r="O93" s="614">
        <v>4.09</v>
      </c>
      <c r="P93" s="613">
        <v>-26500</v>
      </c>
      <c r="Q93" s="614">
        <v>0</v>
      </c>
      <c r="R93" s="614">
        <v>0</v>
      </c>
    </row>
    <row r="94" spans="1:18" ht="12.75" customHeight="1" x14ac:dyDescent="0.25">
      <c r="C94" s="608" t="s">
        <v>73</v>
      </c>
      <c r="D94" s="610">
        <v>1547375.84</v>
      </c>
      <c r="E94" s="610">
        <v>29312.92</v>
      </c>
      <c r="F94" s="610">
        <v>16341.6</v>
      </c>
      <c r="G94" s="612">
        <v>8648.0499999999993</v>
      </c>
      <c r="H94" s="610">
        <v>470464.34</v>
      </c>
      <c r="I94" s="610">
        <v>15992.12</v>
      </c>
      <c r="J94" s="610">
        <v>140279.81</v>
      </c>
      <c r="K94" s="610">
        <v>136965.6</v>
      </c>
      <c r="L94" s="610">
        <v>646070.43000000005</v>
      </c>
      <c r="M94" s="610">
        <v>57208.93</v>
      </c>
      <c r="N94" s="610">
        <v>26092.04</v>
      </c>
      <c r="O94" s="610">
        <v>0</v>
      </c>
      <c r="P94" s="608">
        <v>0</v>
      </c>
      <c r="Q94" s="610">
        <v>0</v>
      </c>
      <c r="R94" s="608">
        <v>0</v>
      </c>
    </row>
    <row r="95" spans="1:18" s="615" customFormat="1" ht="12.75" customHeight="1" x14ac:dyDescent="0.25">
      <c r="B95" s="615" t="s">
        <v>79</v>
      </c>
      <c r="C95" s="615" t="s">
        <v>70</v>
      </c>
      <c r="D95" s="628">
        <v>1547375.84</v>
      </c>
      <c r="E95" s="616">
        <v>29312.92</v>
      </c>
      <c r="F95" s="616">
        <v>16341.6</v>
      </c>
      <c r="G95" s="628">
        <v>8648.0499999999993</v>
      </c>
      <c r="H95" s="616">
        <v>470464.34</v>
      </c>
      <c r="I95" s="616">
        <v>15992.12</v>
      </c>
      <c r="J95" s="616">
        <v>140279.81</v>
      </c>
      <c r="K95" s="616">
        <v>136965.6</v>
      </c>
      <c r="L95" s="616">
        <v>646070.43000000005</v>
      </c>
      <c r="M95" s="616">
        <v>57208.93</v>
      </c>
      <c r="N95" s="616">
        <v>26092.04</v>
      </c>
      <c r="O95" s="616">
        <v>0</v>
      </c>
      <c r="P95" s="615">
        <v>0</v>
      </c>
      <c r="Q95" s="616">
        <v>0</v>
      </c>
      <c r="R95" s="615">
        <v>0</v>
      </c>
    </row>
    <row r="96" spans="1:18" s="617" customFormat="1" ht="12.75" customHeight="1" x14ac:dyDescent="0.25">
      <c r="A96" s="617" t="s">
        <v>155</v>
      </c>
      <c r="B96" s="617" t="s">
        <v>70</v>
      </c>
      <c r="D96" s="618">
        <v>-8739602.3699999992</v>
      </c>
      <c r="E96" s="618">
        <v>-536898.78</v>
      </c>
      <c r="F96" s="618">
        <v>-301898.38</v>
      </c>
      <c r="G96" s="619">
        <v>-158791.20000000001</v>
      </c>
      <c r="H96" s="618">
        <v>-2171698.71</v>
      </c>
      <c r="I96" s="618">
        <v>-74060.479999999996</v>
      </c>
      <c r="J96" s="618">
        <v>-649652.57999999996</v>
      </c>
      <c r="K96" s="618">
        <v>-633856.92000000004</v>
      </c>
      <c r="L96" s="618">
        <v>-3007972.35</v>
      </c>
      <c r="M96" s="618">
        <v>-1057441.3899999999</v>
      </c>
      <c r="N96" s="618">
        <v>-120835.67</v>
      </c>
      <c r="O96" s="618">
        <v>4.09</v>
      </c>
      <c r="P96" s="617">
        <v>-26500</v>
      </c>
      <c r="Q96" s="618">
        <v>0</v>
      </c>
      <c r="R96" s="617">
        <v>0</v>
      </c>
    </row>
    <row r="97" spans="1:18" s="623" customFormat="1" ht="12.75" customHeight="1" x14ac:dyDescent="0.25">
      <c r="A97" s="622" t="s">
        <v>70</v>
      </c>
      <c r="D97" s="622">
        <v>-8739602.3699999992</v>
      </c>
      <c r="E97" s="622">
        <v>-536898.78</v>
      </c>
      <c r="F97" s="622">
        <v>-301898.38</v>
      </c>
      <c r="G97" s="622">
        <v>-158791.20000000001</v>
      </c>
      <c r="H97" s="622">
        <v>-2171698.71</v>
      </c>
      <c r="I97" s="622">
        <v>-74060.479999999996</v>
      </c>
      <c r="J97" s="622">
        <v>-649652.57999999996</v>
      </c>
      <c r="K97" s="622">
        <v>-633856.92000000004</v>
      </c>
      <c r="L97" s="622">
        <v>-3007972.35</v>
      </c>
      <c r="M97" s="622">
        <v>-1057441.3899999999</v>
      </c>
      <c r="N97" s="622">
        <v>-120835.67</v>
      </c>
      <c r="O97" s="622">
        <v>4.09</v>
      </c>
      <c r="P97" s="623">
        <v>-26500</v>
      </c>
      <c r="Q97" s="622">
        <v>0</v>
      </c>
      <c r="R97" s="622">
        <v>0</v>
      </c>
    </row>
    <row r="98" spans="1:18" ht="12.75" customHeight="1" x14ac:dyDescent="0.25">
      <c r="A98" s="610"/>
      <c r="D98" s="610"/>
      <c r="E98" s="610"/>
      <c r="F98" s="610"/>
      <c r="G98" s="610"/>
      <c r="H98" s="610"/>
      <c r="I98" s="610"/>
      <c r="J98" s="610"/>
      <c r="K98" s="610"/>
      <c r="L98" s="610"/>
      <c r="M98" s="610"/>
      <c r="N98" s="610"/>
      <c r="O98" s="610"/>
      <c r="P98" s="610"/>
    </row>
    <row r="99" spans="1:18" ht="12.75" hidden="1" customHeight="1" x14ac:dyDescent="0.25">
      <c r="A99" s="610"/>
      <c r="D99" s="610"/>
      <c r="E99" s="610"/>
      <c r="F99" s="610"/>
      <c r="G99" s="610"/>
      <c r="H99" s="610"/>
      <c r="I99" s="610"/>
      <c r="J99" s="610"/>
      <c r="K99" s="610"/>
      <c r="L99" s="610"/>
      <c r="M99" s="610"/>
      <c r="N99" s="610"/>
      <c r="O99" s="610"/>
      <c r="P99" s="610"/>
    </row>
    <row r="100" spans="1:18" ht="12.75" hidden="1" customHeight="1" x14ac:dyDescent="0.25">
      <c r="A100" s="610"/>
      <c r="D100" s="610"/>
      <c r="E100" s="610"/>
      <c r="F100" s="610"/>
      <c r="G100" s="610"/>
      <c r="H100" s="610"/>
      <c r="I100" s="610"/>
      <c r="J100" s="610"/>
      <c r="K100" s="610"/>
      <c r="L100" s="610"/>
      <c r="M100" s="610"/>
      <c r="N100" s="610"/>
      <c r="O100" s="610"/>
      <c r="P100" s="610"/>
    </row>
    <row r="101" spans="1:18" ht="12.75" hidden="1" customHeight="1" x14ac:dyDescent="0.25">
      <c r="A101" s="610"/>
      <c r="D101" s="610"/>
      <c r="E101" s="610"/>
      <c r="F101" s="610"/>
      <c r="G101" s="610"/>
      <c r="H101" s="610"/>
      <c r="I101" s="610"/>
      <c r="J101" s="610"/>
      <c r="K101" s="610"/>
      <c r="L101" s="610"/>
      <c r="M101" s="610"/>
      <c r="N101" s="610"/>
      <c r="O101" s="610"/>
      <c r="P101" s="610"/>
    </row>
    <row r="102" spans="1:18" ht="12.75" hidden="1" customHeight="1" x14ac:dyDescent="0.25">
      <c r="A102" s="610"/>
      <c r="D102" s="610"/>
      <c r="E102" s="610"/>
      <c r="F102" s="610"/>
      <c r="G102" s="610"/>
      <c r="H102" s="610"/>
      <c r="I102" s="610"/>
      <c r="J102" s="610"/>
      <c r="K102" s="610"/>
      <c r="L102" s="610"/>
      <c r="M102" s="610"/>
      <c r="N102" s="610"/>
      <c r="O102" s="610"/>
      <c r="P102" s="610"/>
    </row>
    <row r="103" spans="1:18" ht="12.75" hidden="1" customHeight="1" x14ac:dyDescent="0.25">
      <c r="A103" s="610"/>
      <c r="D103" s="610"/>
      <c r="E103" s="610"/>
      <c r="F103" s="610"/>
      <c r="G103" s="610"/>
      <c r="H103" s="610"/>
      <c r="I103" s="610"/>
      <c r="J103" s="610"/>
      <c r="K103" s="610"/>
      <c r="L103" s="610"/>
      <c r="M103" s="610"/>
      <c r="N103" s="610"/>
      <c r="O103" s="610"/>
      <c r="P103" s="610"/>
    </row>
    <row r="104" spans="1:18" ht="12.75" hidden="1" customHeight="1" x14ac:dyDescent="0.25">
      <c r="A104" s="610"/>
      <c r="D104" s="610"/>
      <c r="E104" s="610"/>
      <c r="F104" s="610"/>
      <c r="G104" s="610"/>
      <c r="H104" s="610"/>
      <c r="I104" s="610"/>
      <c r="J104" s="610"/>
      <c r="K104" s="610"/>
      <c r="L104" s="610"/>
      <c r="M104" s="610"/>
      <c r="N104" s="610"/>
      <c r="O104" s="610"/>
      <c r="P104" s="610"/>
    </row>
    <row r="105" spans="1:18" ht="12.75" hidden="1" customHeight="1" x14ac:dyDescent="0.25">
      <c r="A105" s="610"/>
      <c r="D105" s="610"/>
      <c r="E105" s="610"/>
      <c r="F105" s="610"/>
      <c r="G105" s="610"/>
      <c r="H105" s="610"/>
      <c r="I105" s="610"/>
      <c r="J105" s="610"/>
      <c r="K105" s="610"/>
      <c r="L105" s="610"/>
      <c r="M105" s="610"/>
      <c r="N105" s="610"/>
      <c r="O105" s="610"/>
      <c r="P105" s="610"/>
    </row>
    <row r="106" spans="1:18" ht="12.75" hidden="1" customHeight="1" x14ac:dyDescent="0.25">
      <c r="A106" s="610"/>
      <c r="D106" s="610"/>
      <c r="E106" s="610"/>
      <c r="F106" s="610"/>
      <c r="G106" s="610"/>
      <c r="H106" s="610"/>
      <c r="I106" s="610"/>
      <c r="J106" s="610"/>
      <c r="K106" s="610"/>
      <c r="L106" s="610"/>
      <c r="M106" s="610"/>
      <c r="N106" s="610"/>
      <c r="O106" s="610"/>
      <c r="P106" s="610"/>
    </row>
    <row r="107" spans="1:18" ht="12.75" hidden="1" customHeight="1" x14ac:dyDescent="0.25">
      <c r="A107" s="610"/>
      <c r="D107" s="610"/>
      <c r="E107" s="610"/>
      <c r="F107" s="610"/>
      <c r="G107" s="610"/>
      <c r="H107" s="610"/>
      <c r="I107" s="610"/>
      <c r="J107" s="610"/>
      <c r="K107" s="610"/>
      <c r="L107" s="610"/>
      <c r="M107" s="610"/>
      <c r="N107" s="610"/>
      <c r="O107" s="610"/>
      <c r="P107" s="610"/>
    </row>
    <row r="108" spans="1:18" ht="12.75" hidden="1" customHeight="1" x14ac:dyDescent="0.25">
      <c r="A108" s="610"/>
      <c r="D108" s="610"/>
      <c r="E108" s="610"/>
      <c r="F108" s="610"/>
      <c r="G108" s="610"/>
      <c r="H108" s="610"/>
      <c r="I108" s="610"/>
      <c r="J108" s="610"/>
      <c r="K108" s="610"/>
      <c r="L108" s="610"/>
      <c r="M108" s="610"/>
      <c r="N108" s="610"/>
      <c r="O108" s="610"/>
      <c r="P108" s="610"/>
    </row>
    <row r="109" spans="1:18" ht="12.75" hidden="1" customHeight="1" x14ac:dyDescent="0.25">
      <c r="A109" s="610"/>
      <c r="D109" s="610"/>
      <c r="E109" s="610"/>
      <c r="F109" s="610"/>
      <c r="G109" s="610"/>
      <c r="H109" s="610"/>
      <c r="I109" s="610"/>
      <c r="J109" s="610"/>
      <c r="K109" s="610"/>
      <c r="L109" s="610"/>
      <c r="M109" s="610"/>
      <c r="N109" s="610"/>
      <c r="O109" s="610"/>
      <c r="P109" s="610"/>
    </row>
    <row r="110" spans="1:18" ht="12.75" hidden="1" customHeight="1" x14ac:dyDescent="0.25">
      <c r="A110" s="610"/>
      <c r="D110" s="610"/>
      <c r="E110" s="610"/>
      <c r="F110" s="610"/>
      <c r="G110" s="610"/>
      <c r="H110" s="610"/>
      <c r="I110" s="610"/>
      <c r="J110" s="610"/>
      <c r="K110" s="610"/>
      <c r="L110" s="610"/>
      <c r="M110" s="610"/>
      <c r="N110" s="610"/>
      <c r="O110" s="610"/>
      <c r="P110" s="610"/>
    </row>
    <row r="111" spans="1:18" ht="12.75" hidden="1" customHeight="1" x14ac:dyDescent="0.25">
      <c r="A111" s="610"/>
      <c r="D111" s="610"/>
      <c r="E111" s="610"/>
      <c r="F111" s="610"/>
      <c r="G111" s="610"/>
      <c r="H111" s="610"/>
      <c r="I111" s="610"/>
      <c r="J111" s="610"/>
      <c r="K111" s="610"/>
      <c r="L111" s="610"/>
      <c r="M111" s="610"/>
      <c r="N111" s="610"/>
      <c r="O111" s="610"/>
      <c r="P111" s="610"/>
    </row>
    <row r="112" spans="1:18" ht="12.75" hidden="1" customHeight="1" x14ac:dyDescent="0.25">
      <c r="A112" s="610"/>
      <c r="D112" s="610"/>
      <c r="E112" s="610"/>
      <c r="F112" s="610"/>
      <c r="G112" s="610"/>
      <c r="H112" s="610"/>
      <c r="I112" s="610"/>
      <c r="J112" s="610"/>
      <c r="K112" s="610"/>
      <c r="L112" s="610"/>
      <c r="M112" s="610"/>
      <c r="N112" s="610"/>
      <c r="O112" s="610"/>
      <c r="P112" s="610"/>
    </row>
    <row r="113" spans="1:16" ht="12.75" hidden="1" customHeight="1" x14ac:dyDescent="0.25">
      <c r="A113" s="610"/>
      <c r="D113" s="610"/>
      <c r="E113" s="610"/>
      <c r="F113" s="610"/>
      <c r="G113" s="610"/>
      <c r="H113" s="610"/>
      <c r="I113" s="610"/>
      <c r="J113" s="610"/>
      <c r="K113" s="610"/>
      <c r="L113" s="610"/>
      <c r="M113" s="610"/>
      <c r="N113" s="610"/>
      <c r="O113" s="610"/>
      <c r="P113" s="610"/>
    </row>
    <row r="114" spans="1:16" ht="12.75" hidden="1" customHeight="1" x14ac:dyDescent="0.25">
      <c r="A114" s="610"/>
      <c r="D114" s="610"/>
      <c r="E114" s="610"/>
      <c r="F114" s="610"/>
      <c r="G114" s="610"/>
      <c r="H114" s="610"/>
      <c r="I114" s="610"/>
      <c r="J114" s="610"/>
      <c r="K114" s="610"/>
      <c r="L114" s="610"/>
      <c r="M114" s="610"/>
      <c r="N114" s="610"/>
      <c r="O114" s="610"/>
      <c r="P114" s="610"/>
    </row>
    <row r="115" spans="1:16" ht="12.75" hidden="1" customHeight="1" x14ac:dyDescent="0.25">
      <c r="A115" s="610"/>
      <c r="D115" s="610"/>
      <c r="E115" s="610"/>
      <c r="F115" s="610"/>
      <c r="G115" s="610"/>
      <c r="H115" s="610"/>
      <c r="I115" s="610"/>
      <c r="J115" s="610"/>
      <c r="K115" s="610"/>
      <c r="L115" s="610"/>
      <c r="M115" s="610"/>
      <c r="N115" s="610"/>
      <c r="O115" s="610"/>
      <c r="P115" s="610"/>
    </row>
    <row r="116" spans="1:16" ht="12.75" hidden="1" customHeight="1" x14ac:dyDescent="0.25">
      <c r="A116" s="610"/>
      <c r="D116" s="610"/>
      <c r="E116" s="610"/>
      <c r="F116" s="610"/>
      <c r="G116" s="610"/>
      <c r="H116" s="610"/>
      <c r="I116" s="610"/>
      <c r="J116" s="610"/>
      <c r="K116" s="610"/>
      <c r="L116" s="610"/>
      <c r="M116" s="610"/>
      <c r="N116" s="610"/>
      <c r="O116" s="610"/>
      <c r="P116" s="610"/>
    </row>
    <row r="117" spans="1:16" ht="12.75" hidden="1" customHeight="1" x14ac:dyDescent="0.25">
      <c r="A117" s="610"/>
      <c r="D117" s="610"/>
      <c r="E117" s="610"/>
      <c r="F117" s="610"/>
      <c r="G117" s="610"/>
      <c r="H117" s="610"/>
      <c r="I117" s="610"/>
      <c r="J117" s="610"/>
      <c r="K117" s="610"/>
      <c r="L117" s="610"/>
      <c r="M117" s="610"/>
      <c r="N117" s="610"/>
      <c r="O117" s="610"/>
      <c r="P117" s="610"/>
    </row>
    <row r="118" spans="1:16" ht="12.75" hidden="1" customHeight="1" x14ac:dyDescent="0.25">
      <c r="A118" s="610"/>
      <c r="D118" s="610"/>
      <c r="E118" s="610"/>
      <c r="F118" s="610"/>
      <c r="G118" s="610"/>
      <c r="H118" s="610"/>
      <c r="I118" s="610"/>
      <c r="J118" s="610"/>
      <c r="K118" s="610"/>
      <c r="L118" s="610"/>
      <c r="M118" s="610"/>
      <c r="N118" s="610"/>
      <c r="O118" s="610"/>
      <c r="P118" s="610"/>
    </row>
    <row r="119" spans="1:16" ht="12.75" hidden="1" customHeight="1" x14ac:dyDescent="0.25">
      <c r="A119" s="610"/>
      <c r="D119" s="610"/>
      <c r="E119" s="610"/>
      <c r="F119" s="610"/>
      <c r="G119" s="610"/>
      <c r="H119" s="610"/>
      <c r="I119" s="610"/>
      <c r="J119" s="610"/>
      <c r="K119" s="610"/>
      <c r="L119" s="610"/>
      <c r="M119" s="610"/>
      <c r="N119" s="610"/>
      <c r="O119" s="610"/>
      <c r="P119" s="610"/>
    </row>
    <row r="120" spans="1:16" ht="12.75" hidden="1" customHeight="1" x14ac:dyDescent="0.25">
      <c r="A120" s="610"/>
      <c r="D120" s="610"/>
      <c r="E120" s="610"/>
      <c r="F120" s="610"/>
      <c r="G120" s="610"/>
      <c r="H120" s="610"/>
      <c r="I120" s="610"/>
      <c r="J120" s="610"/>
      <c r="K120" s="610"/>
      <c r="L120" s="610"/>
      <c r="M120" s="610"/>
      <c r="N120" s="610"/>
      <c r="O120" s="610"/>
      <c r="P120" s="610"/>
    </row>
    <row r="121" spans="1:16" ht="12.75" hidden="1" customHeight="1" x14ac:dyDescent="0.25">
      <c r="A121" s="610"/>
      <c r="D121" s="610"/>
      <c r="E121" s="610"/>
      <c r="F121" s="610"/>
      <c r="G121" s="610"/>
      <c r="H121" s="610"/>
      <c r="I121" s="610"/>
      <c r="J121" s="610"/>
      <c r="K121" s="610"/>
      <c r="L121" s="610"/>
      <c r="M121" s="610"/>
      <c r="N121" s="610"/>
      <c r="O121" s="610"/>
      <c r="P121" s="610"/>
    </row>
    <row r="122" spans="1:16" ht="12.75" hidden="1" customHeight="1" x14ac:dyDescent="0.25">
      <c r="A122" s="610"/>
      <c r="D122" s="610"/>
      <c r="E122" s="610"/>
      <c r="F122" s="610"/>
      <c r="G122" s="610"/>
      <c r="H122" s="610"/>
      <c r="I122" s="610"/>
      <c r="J122" s="610"/>
      <c r="K122" s="610"/>
      <c r="L122" s="610"/>
      <c r="M122" s="610"/>
      <c r="N122" s="610"/>
      <c r="O122" s="610"/>
      <c r="P122" s="610"/>
    </row>
    <row r="123" spans="1:16" ht="12.75" hidden="1" customHeight="1" x14ac:dyDescent="0.25">
      <c r="A123" s="610"/>
      <c r="D123" s="610"/>
      <c r="E123" s="610"/>
      <c r="F123" s="610"/>
      <c r="G123" s="610"/>
      <c r="H123" s="610"/>
      <c r="I123" s="610"/>
      <c r="J123" s="610"/>
      <c r="K123" s="610"/>
      <c r="L123" s="610"/>
      <c r="M123" s="610"/>
      <c r="N123" s="610"/>
      <c r="O123" s="610"/>
      <c r="P123" s="610"/>
    </row>
    <row r="124" spans="1:16" ht="12.75" hidden="1" customHeight="1" x14ac:dyDescent="0.25">
      <c r="A124" s="610"/>
      <c r="D124" s="610"/>
      <c r="E124" s="610"/>
      <c r="F124" s="610"/>
      <c r="G124" s="610"/>
      <c r="H124" s="610"/>
      <c r="I124" s="610"/>
      <c r="J124" s="610"/>
      <c r="K124" s="610"/>
      <c r="L124" s="610"/>
      <c r="M124" s="610"/>
      <c r="N124" s="610"/>
      <c r="O124" s="610"/>
      <c r="P124" s="610"/>
    </row>
    <row r="125" spans="1:16" ht="12.75" hidden="1" customHeight="1" x14ac:dyDescent="0.25">
      <c r="A125" s="610"/>
      <c r="D125" s="610"/>
      <c r="E125" s="610"/>
      <c r="F125" s="610"/>
      <c r="G125" s="610"/>
      <c r="H125" s="610"/>
      <c r="I125" s="610"/>
      <c r="J125" s="610"/>
      <c r="K125" s="610"/>
      <c r="L125" s="610"/>
      <c r="M125" s="610"/>
      <c r="N125" s="610"/>
      <c r="O125" s="610"/>
      <c r="P125" s="610"/>
    </row>
    <row r="126" spans="1:16" ht="12.75" hidden="1" customHeight="1" x14ac:dyDescent="0.25">
      <c r="A126" s="610"/>
      <c r="D126" s="610"/>
      <c r="E126" s="610"/>
      <c r="F126" s="610"/>
      <c r="G126" s="610"/>
      <c r="H126" s="610"/>
      <c r="I126" s="610"/>
      <c r="J126" s="610"/>
      <c r="K126" s="610"/>
      <c r="L126" s="610"/>
      <c r="M126" s="610"/>
      <c r="N126" s="610"/>
      <c r="O126" s="610"/>
      <c r="P126" s="610"/>
    </row>
    <row r="127" spans="1:16" ht="12.75" hidden="1" customHeight="1" x14ac:dyDescent="0.25">
      <c r="A127" s="610"/>
      <c r="D127" s="610"/>
      <c r="E127" s="610"/>
      <c r="F127" s="610"/>
      <c r="G127" s="610"/>
      <c r="H127" s="610"/>
      <c r="I127" s="610"/>
      <c r="J127" s="610"/>
      <c r="K127" s="610"/>
      <c r="L127" s="610"/>
      <c r="M127" s="610"/>
      <c r="N127" s="610"/>
      <c r="O127" s="610"/>
      <c r="P127" s="610"/>
    </row>
    <row r="128" spans="1:16" ht="12.75" hidden="1" customHeight="1" x14ac:dyDescent="0.25">
      <c r="A128" s="610"/>
      <c r="D128" s="610"/>
      <c r="E128" s="610"/>
      <c r="F128" s="610"/>
      <c r="G128" s="610"/>
      <c r="H128" s="610"/>
      <c r="I128" s="610"/>
      <c r="J128" s="610"/>
      <c r="K128" s="610"/>
      <c r="L128" s="610"/>
      <c r="M128" s="610"/>
      <c r="N128" s="610"/>
      <c r="O128" s="610"/>
      <c r="P128" s="610"/>
    </row>
    <row r="129" spans="1:16" ht="12.75" hidden="1" customHeight="1" x14ac:dyDescent="0.25">
      <c r="A129" s="610"/>
      <c r="D129" s="610"/>
      <c r="E129" s="610"/>
      <c r="F129" s="610"/>
      <c r="G129" s="610"/>
      <c r="H129" s="610"/>
      <c r="I129" s="610"/>
      <c r="J129" s="610"/>
      <c r="K129" s="610"/>
      <c r="L129" s="610"/>
      <c r="M129" s="610"/>
      <c r="N129" s="610"/>
      <c r="O129" s="610"/>
      <c r="P129" s="610"/>
    </row>
    <row r="130" spans="1:16" ht="12.75" hidden="1" customHeight="1" x14ac:dyDescent="0.25">
      <c r="A130" s="610"/>
      <c r="D130" s="610"/>
      <c r="E130" s="610"/>
      <c r="F130" s="610"/>
      <c r="G130" s="610"/>
      <c r="H130" s="610"/>
      <c r="I130" s="610"/>
      <c r="J130" s="610"/>
      <c r="K130" s="610"/>
      <c r="L130" s="610"/>
      <c r="M130" s="610"/>
      <c r="N130" s="610"/>
      <c r="O130" s="610"/>
      <c r="P130" s="610"/>
    </row>
    <row r="131" spans="1:16" ht="12.75" hidden="1" customHeight="1" x14ac:dyDescent="0.25">
      <c r="A131" s="610"/>
      <c r="D131" s="610"/>
      <c r="E131" s="610"/>
      <c r="F131" s="610"/>
      <c r="G131" s="610"/>
      <c r="H131" s="610"/>
      <c r="I131" s="610"/>
      <c r="J131" s="610"/>
      <c r="K131" s="610"/>
      <c r="L131" s="610"/>
      <c r="M131" s="610"/>
      <c r="N131" s="610"/>
      <c r="O131" s="610"/>
      <c r="P131" s="610"/>
    </row>
    <row r="132" spans="1:16" ht="12.75" hidden="1" customHeight="1" x14ac:dyDescent="0.25">
      <c r="A132" s="610"/>
      <c r="D132" s="610"/>
      <c r="E132" s="610"/>
      <c r="F132" s="610"/>
      <c r="G132" s="610"/>
      <c r="H132" s="610"/>
      <c r="I132" s="610"/>
      <c r="J132" s="610"/>
      <c r="K132" s="610"/>
      <c r="L132" s="610"/>
      <c r="M132" s="610"/>
      <c r="N132" s="610"/>
      <c r="O132" s="610"/>
      <c r="P132" s="610"/>
    </row>
    <row r="133" spans="1:16" ht="12.75" hidden="1" customHeight="1" x14ac:dyDescent="0.25">
      <c r="A133" s="610"/>
      <c r="D133" s="610"/>
      <c r="E133" s="610"/>
      <c r="F133" s="610"/>
      <c r="G133" s="610"/>
      <c r="H133" s="610"/>
      <c r="I133" s="610"/>
      <c r="J133" s="610"/>
      <c r="K133" s="610"/>
      <c r="L133" s="610"/>
      <c r="M133" s="610"/>
      <c r="N133" s="610"/>
      <c r="O133" s="610"/>
      <c r="P133" s="610"/>
    </row>
    <row r="134" spans="1:16" ht="12.75" hidden="1" customHeight="1" x14ac:dyDescent="0.25">
      <c r="A134" s="610"/>
      <c r="D134" s="610"/>
      <c r="E134" s="610"/>
      <c r="F134" s="610"/>
      <c r="G134" s="610"/>
      <c r="H134" s="610"/>
      <c r="I134" s="610"/>
      <c r="J134" s="610"/>
      <c r="K134" s="610"/>
      <c r="L134" s="610"/>
      <c r="M134" s="610"/>
      <c r="N134" s="610"/>
      <c r="O134" s="610"/>
      <c r="P134" s="610"/>
    </row>
    <row r="135" spans="1:16" ht="12.75" hidden="1" customHeight="1" x14ac:dyDescent="0.25">
      <c r="A135" s="610"/>
      <c r="D135" s="610"/>
      <c r="E135" s="610"/>
      <c r="F135" s="610"/>
      <c r="G135" s="610"/>
      <c r="H135" s="610"/>
      <c r="I135" s="610"/>
      <c r="J135" s="610"/>
      <c r="K135" s="610"/>
      <c r="L135" s="610"/>
      <c r="M135" s="610"/>
      <c r="N135" s="610"/>
      <c r="O135" s="610"/>
      <c r="P135" s="610"/>
    </row>
    <row r="136" spans="1:16" ht="12.75" hidden="1" customHeight="1" x14ac:dyDescent="0.25">
      <c r="A136" s="610"/>
      <c r="D136" s="610"/>
      <c r="E136" s="610"/>
      <c r="F136" s="610"/>
      <c r="G136" s="610"/>
      <c r="H136" s="610"/>
      <c r="I136" s="610"/>
      <c r="J136" s="610"/>
      <c r="K136" s="610"/>
      <c r="L136" s="610"/>
      <c r="M136" s="610"/>
      <c r="N136" s="610"/>
      <c r="O136" s="610"/>
      <c r="P136" s="610"/>
    </row>
    <row r="137" spans="1:16" ht="12.75" hidden="1" customHeight="1" x14ac:dyDescent="0.25">
      <c r="A137" s="610"/>
      <c r="D137" s="610"/>
      <c r="E137" s="610"/>
      <c r="F137" s="610"/>
      <c r="G137" s="610"/>
      <c r="H137" s="610"/>
      <c r="I137" s="610"/>
      <c r="J137" s="610"/>
      <c r="K137" s="610"/>
      <c r="L137" s="610"/>
      <c r="M137" s="610"/>
      <c r="N137" s="610"/>
      <c r="O137" s="610"/>
      <c r="P137" s="610"/>
    </row>
    <row r="138" spans="1:16" ht="12.75" hidden="1" customHeight="1" x14ac:dyDescent="0.25">
      <c r="A138" s="610"/>
      <c r="D138" s="610"/>
      <c r="E138" s="610"/>
      <c r="F138" s="610"/>
      <c r="G138" s="610"/>
      <c r="H138" s="610"/>
      <c r="I138" s="610"/>
      <c r="J138" s="610"/>
      <c r="K138" s="610"/>
      <c r="L138" s="610"/>
      <c r="M138" s="610"/>
      <c r="N138" s="610"/>
      <c r="O138" s="610"/>
      <c r="P138" s="610"/>
    </row>
    <row r="139" spans="1:16" ht="12.75" hidden="1" customHeight="1" x14ac:dyDescent="0.25">
      <c r="A139" s="610"/>
      <c r="D139" s="610"/>
      <c r="E139" s="610"/>
      <c r="F139" s="610"/>
      <c r="G139" s="610"/>
      <c r="H139" s="610"/>
      <c r="I139" s="610"/>
      <c r="J139" s="610"/>
      <c r="K139" s="610"/>
      <c r="L139" s="610"/>
      <c r="M139" s="610"/>
      <c r="N139" s="610"/>
      <c r="O139" s="610"/>
      <c r="P139" s="610"/>
    </row>
    <row r="140" spans="1:16" ht="12.75" hidden="1" customHeight="1" x14ac:dyDescent="0.25">
      <c r="A140" s="610"/>
      <c r="D140" s="610"/>
      <c r="E140" s="610"/>
      <c r="F140" s="610"/>
      <c r="G140" s="610"/>
      <c r="H140" s="610"/>
      <c r="I140" s="610"/>
      <c r="J140" s="610"/>
      <c r="K140" s="610"/>
      <c r="L140" s="610"/>
      <c r="M140" s="610"/>
      <c r="N140" s="610"/>
      <c r="O140" s="610"/>
      <c r="P140" s="610"/>
    </row>
    <row r="141" spans="1:16" ht="12.75" hidden="1" customHeight="1" x14ac:dyDescent="0.25">
      <c r="A141" s="610"/>
      <c r="D141" s="610"/>
      <c r="E141" s="610"/>
      <c r="F141" s="610"/>
      <c r="G141" s="610"/>
      <c r="H141" s="610"/>
      <c r="I141" s="610"/>
      <c r="J141" s="610"/>
      <c r="K141" s="610"/>
      <c r="L141" s="610"/>
      <c r="M141" s="610"/>
      <c r="N141" s="610"/>
      <c r="O141" s="610"/>
      <c r="P141" s="610"/>
    </row>
    <row r="142" spans="1:16" ht="12.75" hidden="1" customHeight="1" x14ac:dyDescent="0.25">
      <c r="A142" s="610"/>
      <c r="D142" s="610"/>
      <c r="E142" s="610"/>
      <c r="F142" s="610"/>
      <c r="G142" s="610"/>
      <c r="H142" s="610"/>
      <c r="I142" s="610"/>
      <c r="J142" s="610"/>
      <c r="K142" s="610"/>
      <c r="L142" s="610"/>
      <c r="M142" s="610"/>
      <c r="N142" s="610"/>
      <c r="O142" s="610"/>
      <c r="P142" s="610"/>
    </row>
    <row r="143" spans="1:16" ht="12.75" hidden="1" customHeight="1" x14ac:dyDescent="0.25">
      <c r="A143" s="610"/>
      <c r="D143" s="610"/>
      <c r="E143" s="610"/>
      <c r="F143" s="610"/>
      <c r="G143" s="610"/>
      <c r="H143" s="610"/>
      <c r="I143" s="610"/>
      <c r="J143" s="610"/>
      <c r="K143" s="610"/>
      <c r="L143" s="610"/>
      <c r="M143" s="610"/>
      <c r="N143" s="610"/>
      <c r="O143" s="610"/>
      <c r="P143" s="610"/>
    </row>
    <row r="144" spans="1:16" ht="12.75" hidden="1" customHeight="1" x14ac:dyDescent="0.25">
      <c r="A144" s="610"/>
      <c r="D144" s="610"/>
      <c r="E144" s="610"/>
      <c r="F144" s="610"/>
      <c r="G144" s="610"/>
      <c r="H144" s="610"/>
      <c r="I144" s="610"/>
      <c r="J144" s="610"/>
      <c r="K144" s="610"/>
      <c r="L144" s="610"/>
      <c r="M144" s="610"/>
      <c r="N144" s="610"/>
      <c r="O144" s="610"/>
      <c r="P144" s="610"/>
    </row>
    <row r="145" spans="1:18" ht="12.75" hidden="1" customHeight="1" x14ac:dyDescent="0.25">
      <c r="A145" s="610"/>
      <c r="D145" s="610"/>
      <c r="E145" s="610"/>
      <c r="F145" s="610"/>
      <c r="G145" s="610"/>
      <c r="H145" s="610"/>
      <c r="I145" s="610"/>
      <c r="J145" s="610"/>
      <c r="K145" s="610"/>
      <c r="L145" s="610"/>
      <c r="M145" s="610"/>
      <c r="N145" s="610"/>
      <c r="O145" s="610"/>
      <c r="P145" s="610"/>
    </row>
    <row r="146" spans="1:18" ht="12.75" hidden="1" customHeight="1" x14ac:dyDescent="0.25">
      <c r="A146" s="610"/>
      <c r="D146" s="610"/>
      <c r="E146" s="610"/>
      <c r="F146" s="610"/>
      <c r="G146" s="610"/>
      <c r="H146" s="610"/>
      <c r="I146" s="610"/>
      <c r="J146" s="610"/>
      <c r="K146" s="610"/>
      <c r="L146" s="610"/>
      <c r="M146" s="610"/>
      <c r="N146" s="610"/>
      <c r="O146" s="610"/>
      <c r="P146" s="610"/>
    </row>
    <row r="147" spans="1:18" ht="12.75" hidden="1" customHeight="1" x14ac:dyDescent="0.25">
      <c r="A147" s="610"/>
      <c r="D147" s="610"/>
      <c r="E147" s="610"/>
      <c r="F147" s="610"/>
      <c r="G147" s="610"/>
      <c r="H147" s="610"/>
      <c r="I147" s="610"/>
      <c r="J147" s="610"/>
      <c r="K147" s="610"/>
      <c r="L147" s="610"/>
      <c r="M147" s="610"/>
      <c r="N147" s="610"/>
      <c r="O147" s="610"/>
      <c r="P147" s="610"/>
    </row>
    <row r="148" spans="1:18" ht="12.75" hidden="1" customHeight="1" x14ac:dyDescent="0.25">
      <c r="A148" s="610"/>
      <c r="D148" s="610"/>
      <c r="E148" s="610"/>
      <c r="F148" s="610"/>
      <c r="G148" s="610"/>
      <c r="H148" s="610"/>
      <c r="I148" s="610"/>
      <c r="J148" s="610"/>
      <c r="K148" s="610"/>
      <c r="L148" s="610"/>
      <c r="M148" s="610"/>
      <c r="N148" s="610"/>
      <c r="O148" s="610"/>
      <c r="P148" s="610"/>
    </row>
    <row r="149" spans="1:18" ht="12.75" hidden="1" customHeight="1" x14ac:dyDescent="0.25">
      <c r="A149" s="610"/>
      <c r="D149" s="610"/>
      <c r="E149" s="610"/>
      <c r="F149" s="610"/>
      <c r="G149" s="610"/>
      <c r="H149" s="610"/>
      <c r="I149" s="610"/>
      <c r="J149" s="610"/>
      <c r="K149" s="610"/>
      <c r="L149" s="610"/>
      <c r="M149" s="610"/>
      <c r="N149" s="610"/>
      <c r="O149" s="610"/>
      <c r="P149" s="610"/>
    </row>
    <row r="150" spans="1:18" ht="12.75" hidden="1" customHeight="1" x14ac:dyDescent="0.25">
      <c r="A150" s="610"/>
      <c r="D150" s="610"/>
      <c r="E150" s="610"/>
      <c r="F150" s="610"/>
      <c r="G150" s="610"/>
      <c r="H150" s="610"/>
      <c r="I150" s="610"/>
      <c r="J150" s="610"/>
      <c r="K150" s="610"/>
      <c r="L150" s="610"/>
      <c r="M150" s="610"/>
      <c r="N150" s="610"/>
      <c r="O150" s="610"/>
      <c r="P150" s="610"/>
    </row>
    <row r="151" spans="1:18" ht="12.75" hidden="1" customHeight="1" x14ac:dyDescent="0.25">
      <c r="A151" s="610"/>
      <c r="D151" s="610"/>
      <c r="E151" s="610"/>
      <c r="F151" s="610"/>
      <c r="G151" s="610"/>
      <c r="H151" s="610"/>
      <c r="I151" s="610"/>
      <c r="J151" s="610"/>
      <c r="K151" s="610"/>
      <c r="L151" s="610"/>
      <c r="M151" s="610"/>
      <c r="N151" s="610"/>
      <c r="O151" s="610"/>
      <c r="P151" s="610"/>
    </row>
    <row r="152" spans="1:18" ht="12.75" hidden="1" customHeight="1" x14ac:dyDescent="0.25">
      <c r="A152" s="610"/>
      <c r="D152" s="610"/>
      <c r="E152" s="610"/>
      <c r="F152" s="610"/>
      <c r="G152" s="610"/>
      <c r="H152" s="610"/>
      <c r="I152" s="610"/>
      <c r="J152" s="610"/>
      <c r="K152" s="610"/>
      <c r="L152" s="610"/>
      <c r="M152" s="610"/>
      <c r="N152" s="610"/>
      <c r="O152" s="610"/>
      <c r="P152" s="610"/>
    </row>
    <row r="153" spans="1:18" ht="12.75" hidden="1" customHeight="1" x14ac:dyDescent="0.25">
      <c r="A153" s="610"/>
      <c r="D153" s="610"/>
      <c r="E153" s="610"/>
      <c r="F153" s="610"/>
      <c r="G153" s="610"/>
      <c r="H153" s="610"/>
      <c r="I153" s="610"/>
      <c r="J153" s="610"/>
      <c r="K153" s="610"/>
      <c r="L153" s="610"/>
      <c r="M153" s="610"/>
      <c r="N153" s="610"/>
      <c r="O153" s="610"/>
      <c r="P153" s="610"/>
    </row>
    <row r="154" spans="1:18" ht="12.75" hidden="1" customHeight="1" x14ac:dyDescent="0.25">
      <c r="A154" s="610"/>
      <c r="D154" s="610"/>
      <c r="E154" s="610"/>
      <c r="F154" s="610"/>
      <c r="G154" s="610"/>
      <c r="H154" s="610"/>
      <c r="I154" s="610"/>
      <c r="J154" s="610"/>
      <c r="K154" s="610"/>
      <c r="L154" s="610"/>
      <c r="M154" s="610"/>
      <c r="N154" s="610"/>
      <c r="O154" s="610"/>
      <c r="P154" s="610"/>
    </row>
    <row r="155" spans="1:18" ht="12.75" hidden="1" customHeight="1" x14ac:dyDescent="0.25">
      <c r="A155" s="610"/>
      <c r="D155" s="610"/>
      <c r="E155" s="610"/>
      <c r="F155" s="610"/>
      <c r="G155" s="610"/>
      <c r="H155" s="610"/>
      <c r="I155" s="610"/>
      <c r="J155" s="610"/>
      <c r="K155" s="610"/>
      <c r="L155" s="610"/>
      <c r="M155" s="610"/>
      <c r="N155" s="610"/>
      <c r="O155" s="610"/>
      <c r="P155" s="610"/>
    </row>
    <row r="156" spans="1:18" ht="12.75" hidden="1" customHeight="1" x14ac:dyDescent="0.25">
      <c r="A156" s="610"/>
      <c r="D156" s="610"/>
      <c r="E156" s="610"/>
      <c r="F156" s="610"/>
      <c r="G156" s="610"/>
      <c r="H156" s="610"/>
      <c r="I156" s="610"/>
      <c r="J156" s="610"/>
      <c r="K156" s="610"/>
      <c r="L156" s="610"/>
      <c r="M156" s="610"/>
      <c r="N156" s="610"/>
      <c r="O156" s="610"/>
      <c r="P156" s="610"/>
    </row>
    <row r="157" spans="1:18" ht="12.75" hidden="1" customHeight="1" x14ac:dyDescent="0.25">
      <c r="A157" s="610"/>
      <c r="D157" s="610"/>
      <c r="E157" s="610"/>
      <c r="F157" s="610"/>
      <c r="G157" s="610"/>
      <c r="H157" s="610"/>
      <c r="I157" s="610"/>
      <c r="J157" s="610"/>
      <c r="K157" s="610"/>
      <c r="L157" s="610"/>
      <c r="M157" s="610"/>
      <c r="N157" s="610"/>
      <c r="O157" s="610"/>
      <c r="P157" s="610"/>
    </row>
    <row r="158" spans="1:18" ht="12.75" hidden="1" customHeight="1" x14ac:dyDescent="0.25">
      <c r="A158" s="610"/>
      <c r="D158" s="610"/>
      <c r="E158" s="610"/>
      <c r="F158" s="610"/>
      <c r="G158" s="610"/>
      <c r="H158" s="610"/>
      <c r="I158" s="610"/>
      <c r="J158" s="610"/>
      <c r="K158" s="610"/>
      <c r="L158" s="610"/>
      <c r="M158" s="610"/>
      <c r="N158" s="610"/>
      <c r="O158" s="610"/>
      <c r="P158" s="610"/>
    </row>
    <row r="159" spans="1:18" ht="12.75" customHeight="1" x14ac:dyDescent="0.25">
      <c r="A159" s="610"/>
      <c r="D159" s="610"/>
      <c r="E159" s="610"/>
      <c r="F159" s="610"/>
      <c r="G159" s="610"/>
      <c r="H159" s="610"/>
      <c r="I159" s="610"/>
      <c r="J159" s="610"/>
      <c r="K159" s="610"/>
      <c r="L159" s="610"/>
      <c r="M159" s="610"/>
      <c r="N159" s="610"/>
      <c r="O159" s="610"/>
      <c r="P159" s="610"/>
    </row>
    <row r="160" spans="1:18" ht="12.75" customHeight="1" x14ac:dyDescent="0.25">
      <c r="A160" s="770" t="s">
        <v>2</v>
      </c>
      <c r="B160" s="769" t="s">
        <v>132</v>
      </c>
      <c r="C160" s="622" t="s">
        <v>70</v>
      </c>
      <c r="D160" s="622">
        <f>D97-P97</f>
        <v>-8713102.3699999992</v>
      </c>
      <c r="E160" s="622">
        <f>E93</f>
        <v>-566211.69999999995</v>
      </c>
      <c r="F160" s="622">
        <f t="shared" ref="F160:R160" si="0">F93</f>
        <v>-318239.98</v>
      </c>
      <c r="G160" s="622">
        <f t="shared" si="0"/>
        <v>-167439.25</v>
      </c>
      <c r="H160" s="622">
        <f t="shared" si="0"/>
        <v>-2642163.0499999998</v>
      </c>
      <c r="I160" s="622">
        <f t="shared" si="0"/>
        <v>-90052.6</v>
      </c>
      <c r="J160" s="622">
        <f t="shared" si="0"/>
        <v>-789932.39</v>
      </c>
      <c r="K160" s="622">
        <f t="shared" si="0"/>
        <v>-770822.52</v>
      </c>
      <c r="L160" s="622">
        <f t="shared" si="0"/>
        <v>-3654042.78</v>
      </c>
      <c r="M160" s="622">
        <f t="shared" si="0"/>
        <v>-1114650.32</v>
      </c>
      <c r="N160" s="622">
        <f t="shared" si="0"/>
        <v>-146927.71</v>
      </c>
      <c r="O160" s="622">
        <f t="shared" si="0"/>
        <v>4.09</v>
      </c>
      <c r="P160" s="622">
        <f t="shared" si="0"/>
        <v>-26500</v>
      </c>
      <c r="Q160" s="622">
        <f t="shared" si="0"/>
        <v>0</v>
      </c>
      <c r="R160" s="622">
        <f t="shared" si="0"/>
        <v>0</v>
      </c>
    </row>
    <row r="161" spans="1:18" ht="12.75" customHeight="1" x14ac:dyDescent="0.25">
      <c r="A161" s="770"/>
      <c r="B161" s="769"/>
      <c r="C161" s="622" t="s">
        <v>73</v>
      </c>
      <c r="D161" s="622">
        <f>D95</f>
        <v>1547375.84</v>
      </c>
      <c r="E161" s="610"/>
      <c r="F161" s="610"/>
      <c r="G161" s="610"/>
      <c r="H161" s="610"/>
      <c r="I161" s="610"/>
      <c r="J161" s="610"/>
      <c r="K161" s="610"/>
      <c r="L161" s="610"/>
      <c r="M161" s="610"/>
      <c r="N161" s="610"/>
      <c r="O161" s="610"/>
      <c r="P161" s="610"/>
      <c r="Q161" s="610"/>
    </row>
    <row r="162" spans="1:18" ht="12.75" customHeight="1" x14ac:dyDescent="0.3">
      <c r="A162" s="609"/>
      <c r="D162" s="610"/>
      <c r="E162" s="610"/>
      <c r="F162" s="610"/>
      <c r="G162" s="610"/>
      <c r="H162" s="610"/>
      <c r="I162" s="610"/>
      <c r="J162" s="610"/>
      <c r="K162" s="610"/>
      <c r="L162" s="610"/>
      <c r="M162" s="610"/>
      <c r="N162" s="610"/>
      <c r="O162" s="610"/>
      <c r="P162" s="610"/>
      <c r="Q162" s="610"/>
    </row>
    <row r="163" spans="1:18" ht="12.75" customHeight="1" x14ac:dyDescent="0.25">
      <c r="A163" s="770" t="s">
        <v>160</v>
      </c>
      <c r="B163" s="769" t="s">
        <v>132</v>
      </c>
      <c r="C163" s="624" t="s">
        <v>70</v>
      </c>
      <c r="D163" s="624">
        <v>0</v>
      </c>
      <c r="E163" s="624">
        <v>0</v>
      </c>
      <c r="F163" s="624">
        <v>0</v>
      </c>
      <c r="G163" s="624">
        <v>0</v>
      </c>
      <c r="H163" s="624">
        <v>0</v>
      </c>
      <c r="I163" s="624">
        <v>0</v>
      </c>
      <c r="J163" s="624">
        <v>0</v>
      </c>
      <c r="K163" s="624">
        <v>0</v>
      </c>
      <c r="L163" s="624">
        <v>0</v>
      </c>
      <c r="M163" s="624">
        <v>0</v>
      </c>
      <c r="N163" s="624">
        <v>0</v>
      </c>
      <c r="O163" s="624">
        <v>0</v>
      </c>
      <c r="P163" s="624">
        <v>0</v>
      </c>
      <c r="Q163" s="624">
        <v>0</v>
      </c>
      <c r="R163" s="624">
        <v>0</v>
      </c>
    </row>
    <row r="164" spans="1:18" ht="12.75" customHeight="1" x14ac:dyDescent="0.25">
      <c r="A164" s="770"/>
      <c r="B164" s="769"/>
      <c r="C164" s="624" t="s">
        <v>73</v>
      </c>
      <c r="D164" s="624">
        <v>0</v>
      </c>
      <c r="E164" s="610"/>
      <c r="F164" s="610"/>
      <c r="G164" s="610"/>
      <c r="H164" s="610"/>
      <c r="I164" s="610"/>
      <c r="J164" s="610"/>
      <c r="K164" s="610"/>
      <c r="L164" s="610"/>
      <c r="M164" s="610"/>
      <c r="N164" s="610"/>
      <c r="O164" s="610"/>
      <c r="P164" s="610"/>
      <c r="Q164" s="610"/>
    </row>
    <row r="165" spans="1:18" ht="12.75" customHeight="1" x14ac:dyDescent="0.3">
      <c r="A165" s="609"/>
      <c r="D165" s="610"/>
      <c r="E165" s="610"/>
      <c r="F165" s="610"/>
      <c r="G165" s="610"/>
      <c r="H165" s="610"/>
      <c r="I165" s="610"/>
      <c r="J165" s="610"/>
      <c r="K165" s="610"/>
      <c r="L165" s="610"/>
      <c r="M165" s="610"/>
      <c r="N165" s="610"/>
      <c r="O165" s="610"/>
      <c r="P165" s="610"/>
      <c r="Q165" s="610"/>
    </row>
    <row r="166" spans="1:18" ht="12.75" customHeight="1" x14ac:dyDescent="0.25">
      <c r="A166" s="770" t="s">
        <v>155</v>
      </c>
      <c r="B166" s="769" t="s">
        <v>132</v>
      </c>
      <c r="C166" s="625" t="s">
        <v>70</v>
      </c>
      <c r="D166" s="625">
        <f>D96-P96</f>
        <v>-8713102.3699999992</v>
      </c>
      <c r="E166" s="625">
        <f>E93</f>
        <v>-566211.69999999995</v>
      </c>
      <c r="F166" s="625">
        <f>F93</f>
        <v>-318239.98</v>
      </c>
      <c r="G166" s="625">
        <f>G93</f>
        <v>-167439.25</v>
      </c>
      <c r="H166" s="625">
        <f>H93</f>
        <v>-2642163.0499999998</v>
      </c>
      <c r="I166" s="625">
        <f>I93</f>
        <v>-90052.6</v>
      </c>
      <c r="J166" s="625">
        <f>J93</f>
        <v>-789932.39</v>
      </c>
      <c r="K166" s="625">
        <f>K93</f>
        <v>-770822.52</v>
      </c>
      <c r="L166" s="625">
        <f>L93</f>
        <v>-3654042.78</v>
      </c>
      <c r="M166" s="625">
        <f>M93</f>
        <v>-1114650.32</v>
      </c>
      <c r="N166" s="625">
        <f>N93</f>
        <v>-146927.71</v>
      </c>
      <c r="O166" s="625">
        <f>O93</f>
        <v>4.09</v>
      </c>
      <c r="P166" s="625">
        <f>P93</f>
        <v>-26500</v>
      </c>
      <c r="Q166" s="625">
        <f>Q93</f>
        <v>0</v>
      </c>
      <c r="R166" s="625">
        <f>R93</f>
        <v>0</v>
      </c>
    </row>
    <row r="167" spans="1:18" ht="12.75" customHeight="1" x14ac:dyDescent="0.25">
      <c r="A167" s="770"/>
      <c r="B167" s="769"/>
      <c r="C167" s="625" t="s">
        <v>73</v>
      </c>
      <c r="D167" s="625">
        <f>D95</f>
        <v>1547375.84</v>
      </c>
      <c r="E167" s="610"/>
      <c r="F167" s="610"/>
      <c r="G167" s="610"/>
      <c r="H167" s="610"/>
      <c r="I167" s="610"/>
      <c r="J167" s="610"/>
      <c r="K167" s="610"/>
      <c r="L167" s="610"/>
      <c r="M167" s="610"/>
      <c r="N167" s="610"/>
      <c r="O167" s="610"/>
      <c r="P167" s="610"/>
      <c r="Q167" s="610"/>
    </row>
    <row r="168" spans="1:18" ht="12.75" customHeight="1" x14ac:dyDescent="0.25">
      <c r="A168" s="720"/>
      <c r="B168" s="719"/>
      <c r="C168" s="610"/>
      <c r="D168" s="610"/>
      <c r="E168" s="610"/>
      <c r="F168" s="610"/>
      <c r="G168" s="610"/>
      <c r="H168" s="610"/>
      <c r="I168" s="610"/>
      <c r="J168" s="610"/>
      <c r="K168" s="610"/>
      <c r="L168" s="610"/>
      <c r="M168" s="610"/>
      <c r="N168" s="610"/>
      <c r="O168" s="610"/>
      <c r="P168" s="610"/>
      <c r="Q168" s="610"/>
    </row>
    <row r="169" spans="1:18" ht="12.75" customHeight="1" x14ac:dyDescent="0.25">
      <c r="A169" s="768" t="s">
        <v>324</v>
      </c>
      <c r="B169" s="769" t="s">
        <v>132</v>
      </c>
      <c r="C169" s="625" t="s">
        <v>70</v>
      </c>
      <c r="D169" s="718">
        <v>0</v>
      </c>
      <c r="E169" s="718">
        <v>0</v>
      </c>
      <c r="F169" s="718">
        <v>0</v>
      </c>
      <c r="G169" s="718">
        <v>0</v>
      </c>
      <c r="H169" s="718">
        <v>0</v>
      </c>
      <c r="I169" s="718">
        <v>0</v>
      </c>
      <c r="J169" s="718">
        <v>0</v>
      </c>
      <c r="K169" s="718">
        <v>0</v>
      </c>
      <c r="L169" s="718">
        <v>0</v>
      </c>
      <c r="M169" s="718">
        <v>0</v>
      </c>
      <c r="N169" s="718">
        <v>0</v>
      </c>
      <c r="O169" s="718">
        <v>0</v>
      </c>
      <c r="P169" s="718">
        <v>0</v>
      </c>
      <c r="Q169" s="718">
        <v>0</v>
      </c>
      <c r="R169" s="718">
        <v>0</v>
      </c>
    </row>
    <row r="170" spans="1:18" ht="12.75" customHeight="1" x14ac:dyDescent="0.25">
      <c r="A170" s="768"/>
      <c r="B170" s="769"/>
      <c r="C170" s="625" t="s">
        <v>73</v>
      </c>
      <c r="D170" s="718">
        <v>0</v>
      </c>
      <c r="E170" s="610"/>
      <c r="F170" s="610"/>
      <c r="G170" s="610"/>
      <c r="H170" s="610"/>
      <c r="I170" s="610"/>
      <c r="J170" s="610"/>
      <c r="K170" s="610"/>
      <c r="L170" s="610"/>
      <c r="M170" s="610"/>
      <c r="N170" s="610"/>
      <c r="O170" s="610"/>
      <c r="P170" s="610"/>
      <c r="Q170" s="610"/>
    </row>
    <row r="171" spans="1:18" ht="12.75" customHeight="1" x14ac:dyDescent="0.3">
      <c r="A171" s="609"/>
      <c r="D171" s="610"/>
      <c r="E171" s="610"/>
      <c r="F171" s="610"/>
      <c r="G171" s="610"/>
      <c r="H171" s="610"/>
      <c r="I171" s="610"/>
      <c r="J171" s="610"/>
      <c r="K171" s="610"/>
      <c r="L171" s="610"/>
      <c r="M171" s="610"/>
      <c r="N171" s="610"/>
      <c r="O171" s="610"/>
      <c r="P171" s="610"/>
      <c r="Q171" s="610"/>
    </row>
    <row r="172" spans="1:18" ht="12.75" customHeight="1" x14ac:dyDescent="0.25">
      <c r="A172" s="770" t="s">
        <v>119</v>
      </c>
      <c r="B172" s="769" t="s">
        <v>132</v>
      </c>
      <c r="C172" s="620" t="s">
        <v>70</v>
      </c>
      <c r="D172" s="620">
        <v>0</v>
      </c>
      <c r="E172" s="620">
        <v>0</v>
      </c>
      <c r="F172" s="620">
        <v>0</v>
      </c>
      <c r="G172" s="620">
        <v>0</v>
      </c>
      <c r="H172" s="620">
        <v>0</v>
      </c>
      <c r="I172" s="620">
        <v>0</v>
      </c>
      <c r="J172" s="620">
        <v>0</v>
      </c>
      <c r="K172" s="620">
        <v>0</v>
      </c>
      <c r="L172" s="620">
        <v>0</v>
      </c>
      <c r="M172" s="620">
        <v>0</v>
      </c>
      <c r="N172" s="620">
        <v>0</v>
      </c>
      <c r="O172" s="620">
        <v>0</v>
      </c>
      <c r="P172" s="620">
        <v>0</v>
      </c>
      <c r="Q172" s="620">
        <v>0</v>
      </c>
      <c r="R172" s="620">
        <v>0</v>
      </c>
    </row>
    <row r="173" spans="1:18" ht="12.75" customHeight="1" x14ac:dyDescent="0.25">
      <c r="A173" s="770"/>
      <c r="B173" s="769"/>
      <c r="C173" s="620" t="s">
        <v>73</v>
      </c>
      <c r="D173" s="620">
        <v>0</v>
      </c>
      <c r="E173" s="610"/>
      <c r="F173" s="610"/>
      <c r="G173" s="610"/>
      <c r="H173" s="610"/>
      <c r="I173" s="610"/>
      <c r="J173" s="610"/>
      <c r="K173" s="610"/>
      <c r="L173" s="610"/>
      <c r="M173" s="610"/>
      <c r="N173" s="610"/>
      <c r="O173" s="610"/>
      <c r="P173" s="610"/>
      <c r="Q173" s="610"/>
      <c r="R173" s="610"/>
    </row>
    <row r="174" spans="1:18" ht="12.75" customHeight="1" x14ac:dyDescent="0.3">
      <c r="A174" s="609"/>
      <c r="D174" s="610"/>
      <c r="E174" s="610"/>
      <c r="F174" s="610"/>
      <c r="G174" s="610"/>
      <c r="H174" s="610"/>
      <c r="I174" s="610"/>
      <c r="J174" s="610"/>
      <c r="K174" s="610"/>
      <c r="L174" s="610"/>
      <c r="M174" s="610"/>
      <c r="N174" s="610"/>
      <c r="O174" s="610"/>
      <c r="P174" s="610"/>
      <c r="Q174" s="610"/>
      <c r="R174" s="610"/>
    </row>
    <row r="175" spans="1:18" ht="12.75" customHeight="1" x14ac:dyDescent="0.25">
      <c r="A175" s="771" t="s">
        <v>161</v>
      </c>
      <c r="B175" s="769" t="s">
        <v>132</v>
      </c>
      <c r="C175" s="626" t="s">
        <v>70</v>
      </c>
      <c r="D175" s="626">
        <v>0</v>
      </c>
      <c r="E175" s="626">
        <v>0</v>
      </c>
      <c r="F175" s="626">
        <v>0</v>
      </c>
      <c r="G175" s="626">
        <v>0</v>
      </c>
      <c r="H175" s="626">
        <v>0</v>
      </c>
      <c r="I175" s="626">
        <v>0</v>
      </c>
      <c r="J175" s="626">
        <v>0</v>
      </c>
      <c r="K175" s="626">
        <v>0</v>
      </c>
      <c r="L175" s="626">
        <v>0</v>
      </c>
      <c r="M175" s="626">
        <v>0</v>
      </c>
      <c r="N175" s="626">
        <v>0</v>
      </c>
      <c r="O175" s="626">
        <v>0</v>
      </c>
      <c r="P175" s="626">
        <v>0</v>
      </c>
      <c r="Q175" s="626">
        <v>0</v>
      </c>
      <c r="R175" s="626">
        <v>0</v>
      </c>
    </row>
    <row r="176" spans="1:18" ht="12.75" customHeight="1" x14ac:dyDescent="0.25">
      <c r="A176" s="771"/>
      <c r="B176" s="769"/>
      <c r="C176" s="626" t="s">
        <v>73</v>
      </c>
      <c r="D176" s="626">
        <v>0</v>
      </c>
      <c r="E176" s="610"/>
      <c r="F176" s="610"/>
      <c r="G176" s="610"/>
      <c r="H176" s="610"/>
      <c r="I176" s="610"/>
      <c r="J176" s="610"/>
      <c r="K176" s="610"/>
      <c r="L176" s="610"/>
      <c r="M176" s="610"/>
      <c r="N176" s="610"/>
      <c r="O176" s="610"/>
      <c r="P176" s="610"/>
      <c r="Q176" s="610"/>
    </row>
    <row r="177" spans="1:18" s="627" customFormat="1" x14ac:dyDescent="0.25"/>
    <row r="178" spans="1:18" ht="13" x14ac:dyDescent="0.3">
      <c r="B178" s="609" t="s">
        <v>76</v>
      </c>
    </row>
    <row r="179" spans="1:18" x14ac:dyDescent="0.25">
      <c r="D179" s="610" t="s">
        <v>70</v>
      </c>
      <c r="E179" s="610" t="s">
        <v>64</v>
      </c>
      <c r="F179" s="610" t="s">
        <v>65</v>
      </c>
      <c r="G179" s="611" t="s">
        <v>164</v>
      </c>
      <c r="H179" s="610" t="s">
        <v>69</v>
      </c>
      <c r="I179" s="610" t="s">
        <v>68</v>
      </c>
      <c r="J179" s="610" t="s">
        <v>66</v>
      </c>
      <c r="K179" s="610" t="s">
        <v>63</v>
      </c>
      <c r="L179" s="610" t="s">
        <v>61</v>
      </c>
      <c r="M179" s="610" t="s">
        <v>62</v>
      </c>
      <c r="N179" s="610" t="s">
        <v>67</v>
      </c>
      <c r="O179" s="610" t="s">
        <v>77</v>
      </c>
      <c r="P179" s="608" t="s">
        <v>71</v>
      </c>
      <c r="Q179" s="610" t="s">
        <v>80</v>
      </c>
      <c r="R179" s="608" t="s">
        <v>167</v>
      </c>
    </row>
    <row r="180" spans="1:18" ht="12.75" customHeight="1" x14ac:dyDescent="0.25">
      <c r="B180" s="610"/>
      <c r="C180" s="610" t="s">
        <v>72</v>
      </c>
      <c r="D180" s="610">
        <v>-6968154.1600000001</v>
      </c>
      <c r="E180" s="610">
        <v>-329081.64</v>
      </c>
      <c r="F180" s="610">
        <v>-185597.2</v>
      </c>
      <c r="G180" s="610">
        <v>-97672.38</v>
      </c>
      <c r="H180" s="610">
        <v>-2008331.14</v>
      </c>
      <c r="I180" s="610">
        <v>-59494.92</v>
      </c>
      <c r="J180" s="610">
        <v>-518628.97</v>
      </c>
      <c r="K180" s="610">
        <v>-504844.61</v>
      </c>
      <c r="L180" s="610">
        <v>-2391600.6800000002</v>
      </c>
      <c r="M180" s="610">
        <v>-775803.2</v>
      </c>
      <c r="N180" s="610">
        <v>-97071.22</v>
      </c>
      <c r="O180" s="610">
        <v>-28.2</v>
      </c>
      <c r="P180" s="608">
        <v>0</v>
      </c>
      <c r="Q180" s="610">
        <v>0</v>
      </c>
      <c r="R180" s="610">
        <v>0</v>
      </c>
    </row>
    <row r="181" spans="1:18" ht="12.75" customHeight="1" x14ac:dyDescent="0.25">
      <c r="B181" s="610"/>
      <c r="C181" s="610" t="s">
        <v>81</v>
      </c>
      <c r="D181" s="610">
        <v>-1954.21</v>
      </c>
      <c r="E181" s="610">
        <v>-129.5</v>
      </c>
      <c r="F181" s="610">
        <v>-73.099999999999994</v>
      </c>
      <c r="G181" s="610">
        <v>-38.35</v>
      </c>
      <c r="H181" s="610">
        <v>-455.19</v>
      </c>
      <c r="I181" s="610">
        <v>-15.73</v>
      </c>
      <c r="J181" s="610">
        <v>-138.22999999999999</v>
      </c>
      <c r="K181" s="610">
        <v>-135.61000000000001</v>
      </c>
      <c r="L181" s="610">
        <v>-641.52</v>
      </c>
      <c r="M181" s="610">
        <v>-301.27</v>
      </c>
      <c r="N181" s="610">
        <v>-25.73</v>
      </c>
      <c r="O181" s="610">
        <v>0.02</v>
      </c>
      <c r="P181" s="608">
        <v>0</v>
      </c>
      <c r="Q181" s="610">
        <v>0</v>
      </c>
      <c r="R181" s="610">
        <v>0</v>
      </c>
    </row>
    <row r="182" spans="1:18" s="613" customFormat="1" ht="12.75" customHeight="1" x14ac:dyDescent="0.25">
      <c r="B182" s="614" t="s">
        <v>78</v>
      </c>
      <c r="C182" s="614" t="s">
        <v>70</v>
      </c>
      <c r="D182" s="614">
        <v>-6970108.3700000001</v>
      </c>
      <c r="E182" s="614">
        <v>-329211.14</v>
      </c>
      <c r="F182" s="614">
        <v>-185670.3</v>
      </c>
      <c r="G182" s="614">
        <v>-97710.73</v>
      </c>
      <c r="H182" s="614">
        <v>-2008786.33</v>
      </c>
      <c r="I182" s="614">
        <v>-59510.65</v>
      </c>
      <c r="J182" s="614">
        <v>-518767.2</v>
      </c>
      <c r="K182" s="614">
        <v>-504980.22</v>
      </c>
      <c r="L182" s="614">
        <v>-2392242.2000000002</v>
      </c>
      <c r="M182" s="614">
        <v>-776104.47</v>
      </c>
      <c r="N182" s="614">
        <v>-97096.95</v>
      </c>
      <c r="O182" s="614">
        <v>-28.18</v>
      </c>
      <c r="P182" s="613">
        <v>0</v>
      </c>
      <c r="Q182" s="614">
        <v>0</v>
      </c>
      <c r="R182" s="614">
        <v>0</v>
      </c>
    </row>
    <row r="183" spans="1:18" ht="12.75" customHeight="1" x14ac:dyDescent="0.25">
      <c r="B183" s="610"/>
      <c r="C183" s="610" t="s">
        <v>73</v>
      </c>
      <c r="D183" s="610">
        <v>878534.48</v>
      </c>
      <c r="E183" s="610">
        <v>23290.01</v>
      </c>
      <c r="F183" s="610">
        <v>13131.96</v>
      </c>
      <c r="G183" s="610">
        <v>6902.39</v>
      </c>
      <c r="H183" s="610">
        <v>294747.34999999998</v>
      </c>
      <c r="I183" s="610">
        <v>8059.48</v>
      </c>
      <c r="J183" s="610">
        <v>70696.62</v>
      </c>
      <c r="K183" s="610">
        <v>68683.759999999995</v>
      </c>
      <c r="L183" s="610">
        <v>324708.43</v>
      </c>
      <c r="M183" s="610">
        <v>55164.959999999999</v>
      </c>
      <c r="N183" s="610">
        <v>13149.52</v>
      </c>
      <c r="O183" s="610">
        <v>0</v>
      </c>
      <c r="P183" s="608">
        <v>0</v>
      </c>
      <c r="Q183" s="610">
        <v>0</v>
      </c>
      <c r="R183" s="610">
        <v>0</v>
      </c>
    </row>
    <row r="184" spans="1:18" s="615" customFormat="1" ht="12.75" customHeight="1" x14ac:dyDescent="0.25">
      <c r="B184" s="615" t="s">
        <v>79</v>
      </c>
      <c r="C184" s="615" t="s">
        <v>70</v>
      </c>
      <c r="D184" s="616">
        <v>878534.48</v>
      </c>
      <c r="E184" s="616">
        <v>23290.01</v>
      </c>
      <c r="F184" s="616">
        <v>13131.96</v>
      </c>
      <c r="G184" s="628">
        <v>6902.39</v>
      </c>
      <c r="H184" s="616">
        <v>294747.34999999998</v>
      </c>
      <c r="I184" s="616">
        <v>8059.48</v>
      </c>
      <c r="J184" s="616">
        <v>70696.62</v>
      </c>
      <c r="K184" s="616">
        <v>68683.759999999995</v>
      </c>
      <c r="L184" s="616">
        <v>324708.43</v>
      </c>
      <c r="M184" s="616">
        <v>55164.959999999999</v>
      </c>
      <c r="N184" s="616">
        <v>13149.52</v>
      </c>
      <c r="O184" s="616">
        <v>0</v>
      </c>
      <c r="P184" s="616">
        <v>0</v>
      </c>
      <c r="Q184" s="616">
        <v>0</v>
      </c>
      <c r="R184" s="615">
        <v>0</v>
      </c>
    </row>
    <row r="185" spans="1:18" s="629" customFormat="1" ht="12.75" customHeight="1" x14ac:dyDescent="0.25">
      <c r="A185" s="629" t="s">
        <v>155</v>
      </c>
      <c r="B185" s="625" t="s">
        <v>70</v>
      </c>
      <c r="C185" s="625"/>
      <c r="D185" s="625">
        <v>-6091573.8899999997</v>
      </c>
      <c r="E185" s="625">
        <v>-305921.13</v>
      </c>
      <c r="F185" s="625">
        <v>-172538.34</v>
      </c>
      <c r="G185" s="625">
        <v>-90808.34</v>
      </c>
      <c r="H185" s="625">
        <v>-1714038.98</v>
      </c>
      <c r="I185" s="625">
        <v>-51451.17</v>
      </c>
      <c r="J185" s="625">
        <v>-448070.58</v>
      </c>
      <c r="K185" s="625">
        <v>-436296.46</v>
      </c>
      <c r="L185" s="625">
        <v>-2067533.77</v>
      </c>
      <c r="M185" s="625">
        <v>-720939.51</v>
      </c>
      <c r="N185" s="625">
        <v>-83947.43</v>
      </c>
      <c r="O185" s="625">
        <v>-28.18</v>
      </c>
      <c r="P185" s="629">
        <v>0</v>
      </c>
      <c r="Q185" s="625">
        <v>0</v>
      </c>
      <c r="R185" s="625">
        <v>0</v>
      </c>
    </row>
    <row r="186" spans="1:18" ht="12.75" customHeight="1" x14ac:dyDescent="0.25">
      <c r="B186" s="610"/>
      <c r="C186" s="610" t="s">
        <v>72</v>
      </c>
      <c r="D186" s="610">
        <v>-40482.199999999997</v>
      </c>
      <c r="E186" s="610">
        <v>-1930.6</v>
      </c>
      <c r="F186" s="610">
        <v>-1090.02</v>
      </c>
      <c r="G186" s="610">
        <v>-572.11</v>
      </c>
      <c r="H186" s="610">
        <v>-10651</v>
      </c>
      <c r="I186" s="610">
        <v>-255.08</v>
      </c>
      <c r="J186" s="610">
        <v>-2237.5300000000002</v>
      </c>
      <c r="K186" s="610">
        <v>-3286.56</v>
      </c>
      <c r="L186" s="610">
        <v>-15556.53</v>
      </c>
      <c r="M186" s="610">
        <v>-4485.76</v>
      </c>
      <c r="N186" s="610">
        <v>-416.18</v>
      </c>
      <c r="O186" s="610">
        <v>-0.83</v>
      </c>
      <c r="P186" s="608">
        <v>0</v>
      </c>
      <c r="Q186" s="610">
        <v>0</v>
      </c>
      <c r="R186" s="610">
        <v>0</v>
      </c>
    </row>
    <row r="187" spans="1:18" s="613" customFormat="1" ht="12.75" customHeight="1" x14ac:dyDescent="0.25">
      <c r="B187" s="614" t="s">
        <v>78</v>
      </c>
      <c r="C187" s="614" t="s">
        <v>70</v>
      </c>
      <c r="D187" s="614">
        <v>-40482.199999999997</v>
      </c>
      <c r="E187" s="614">
        <v>-1930.6</v>
      </c>
      <c r="F187" s="614">
        <v>-1090.02</v>
      </c>
      <c r="G187" s="614">
        <v>-572.11</v>
      </c>
      <c r="H187" s="614">
        <v>-10651</v>
      </c>
      <c r="I187" s="614">
        <v>-255.08</v>
      </c>
      <c r="J187" s="614">
        <v>-2237.5300000000002</v>
      </c>
      <c r="K187" s="614">
        <v>-3286.56</v>
      </c>
      <c r="L187" s="614">
        <v>-15556.53</v>
      </c>
      <c r="M187" s="614">
        <v>-4485.76</v>
      </c>
      <c r="N187" s="614">
        <v>-416.18</v>
      </c>
      <c r="O187" s="614">
        <v>-0.83</v>
      </c>
      <c r="P187" s="613">
        <v>0</v>
      </c>
      <c r="Q187" s="614">
        <v>0</v>
      </c>
      <c r="R187" s="614">
        <v>0</v>
      </c>
    </row>
    <row r="188" spans="1:18" ht="12.75" customHeight="1" x14ac:dyDescent="0.25">
      <c r="B188" s="610"/>
      <c r="C188" s="610" t="s">
        <v>73</v>
      </c>
      <c r="D188" s="610">
        <v>6072.2</v>
      </c>
      <c r="E188" s="610">
        <v>289.58999999999997</v>
      </c>
      <c r="F188" s="610">
        <v>163.5</v>
      </c>
      <c r="G188" s="610">
        <v>85.81</v>
      </c>
      <c r="H188" s="610">
        <v>1597.65</v>
      </c>
      <c r="I188" s="610">
        <v>38.26</v>
      </c>
      <c r="J188" s="610">
        <v>335.63</v>
      </c>
      <c r="K188" s="610">
        <v>492.99</v>
      </c>
      <c r="L188" s="610">
        <v>2333.48</v>
      </c>
      <c r="M188" s="610">
        <v>672.86</v>
      </c>
      <c r="N188" s="610">
        <v>62.43</v>
      </c>
      <c r="O188" s="610">
        <v>0</v>
      </c>
      <c r="P188" s="608">
        <v>0</v>
      </c>
      <c r="Q188" s="610">
        <v>0</v>
      </c>
      <c r="R188" s="610">
        <v>0</v>
      </c>
    </row>
    <row r="189" spans="1:18" s="615" customFormat="1" ht="12.75" customHeight="1" x14ac:dyDescent="0.25">
      <c r="B189" s="615" t="s">
        <v>79</v>
      </c>
      <c r="C189" s="615" t="s">
        <v>70</v>
      </c>
      <c r="D189" s="616">
        <v>6072.2</v>
      </c>
      <c r="E189" s="616">
        <v>289.58999999999997</v>
      </c>
      <c r="F189" s="616">
        <v>163.5</v>
      </c>
      <c r="G189" s="628">
        <v>85.81</v>
      </c>
      <c r="H189" s="616">
        <v>1597.65</v>
      </c>
      <c r="I189" s="616">
        <v>38.26</v>
      </c>
      <c r="J189" s="616">
        <v>335.63</v>
      </c>
      <c r="K189" s="616">
        <v>492.99</v>
      </c>
      <c r="L189" s="616">
        <v>2333.48</v>
      </c>
      <c r="M189" s="616">
        <v>672.86</v>
      </c>
      <c r="N189" s="616">
        <v>62.43</v>
      </c>
      <c r="O189" s="616">
        <v>0</v>
      </c>
      <c r="P189" s="616">
        <v>0</v>
      </c>
      <c r="Q189" s="616">
        <v>0</v>
      </c>
      <c r="R189" s="615">
        <v>0</v>
      </c>
    </row>
    <row r="190" spans="1:18" s="745" customFormat="1" ht="12.75" customHeight="1" x14ac:dyDescent="0.25">
      <c r="A190" s="745" t="s">
        <v>119</v>
      </c>
      <c r="B190" s="745" t="s">
        <v>70</v>
      </c>
      <c r="D190" s="620">
        <v>-34410</v>
      </c>
      <c r="E190" s="620">
        <v>-1641.01</v>
      </c>
      <c r="F190" s="620">
        <v>-926.52</v>
      </c>
      <c r="G190" s="621">
        <v>-486.3</v>
      </c>
      <c r="H190" s="620">
        <v>-9053.35</v>
      </c>
      <c r="I190" s="620">
        <v>-216.82</v>
      </c>
      <c r="J190" s="620">
        <v>-1901.9</v>
      </c>
      <c r="K190" s="620">
        <v>-2793.57</v>
      </c>
      <c r="L190" s="620">
        <v>-13223.05</v>
      </c>
      <c r="M190" s="620">
        <v>-3812.9</v>
      </c>
      <c r="N190" s="620">
        <v>-353.75</v>
      </c>
      <c r="O190" s="620">
        <v>-0.83</v>
      </c>
      <c r="P190" s="620">
        <v>0</v>
      </c>
      <c r="Q190" s="620">
        <v>0</v>
      </c>
      <c r="R190" s="745">
        <v>0</v>
      </c>
    </row>
    <row r="191" spans="1:18" s="623" customFormat="1" ht="12.75" customHeight="1" x14ac:dyDescent="0.25">
      <c r="A191" s="622" t="s">
        <v>70</v>
      </c>
      <c r="D191" s="622">
        <v>-6125983.8899999997</v>
      </c>
      <c r="E191" s="622">
        <v>-307562.14</v>
      </c>
      <c r="F191" s="622">
        <v>-173464.86</v>
      </c>
      <c r="G191" s="622">
        <v>-91294.64</v>
      </c>
      <c r="H191" s="622">
        <v>-1723092.33</v>
      </c>
      <c r="I191" s="622">
        <v>-51667.99</v>
      </c>
      <c r="J191" s="622">
        <v>-449972.47999999998</v>
      </c>
      <c r="K191" s="622">
        <v>-439090.03</v>
      </c>
      <c r="L191" s="622">
        <v>-2080756.82</v>
      </c>
      <c r="M191" s="622">
        <v>-724752.41</v>
      </c>
      <c r="N191" s="622">
        <v>-84301.18</v>
      </c>
      <c r="O191" s="622">
        <v>-29.01</v>
      </c>
      <c r="P191" s="623">
        <v>0</v>
      </c>
      <c r="Q191" s="623">
        <v>0</v>
      </c>
      <c r="R191" s="623">
        <v>0</v>
      </c>
    </row>
    <row r="192" spans="1:18" ht="12.75" customHeight="1" x14ac:dyDescent="0.25">
      <c r="A192" s="610"/>
      <c r="D192" s="610"/>
      <c r="E192" s="610"/>
      <c r="F192" s="610"/>
      <c r="G192" s="610"/>
      <c r="H192" s="610"/>
      <c r="I192" s="610"/>
      <c r="J192" s="610"/>
      <c r="K192" s="610"/>
      <c r="L192" s="610"/>
      <c r="M192" s="610"/>
      <c r="N192" s="610"/>
      <c r="O192" s="610"/>
    </row>
    <row r="193" spans="1:18" ht="12.75" customHeight="1" x14ac:dyDescent="0.25">
      <c r="A193" s="610"/>
      <c r="D193" s="610"/>
      <c r="E193" s="610"/>
      <c r="F193" s="610"/>
      <c r="G193" s="610"/>
      <c r="H193" s="610"/>
      <c r="I193" s="610"/>
      <c r="J193" s="610"/>
      <c r="K193" s="610"/>
      <c r="L193" s="610"/>
      <c r="M193" s="610"/>
      <c r="N193" s="610"/>
      <c r="O193" s="610"/>
    </row>
    <row r="194" spans="1:18" ht="12.75" customHeight="1" x14ac:dyDescent="0.25">
      <c r="A194" s="610"/>
      <c r="D194" s="610"/>
      <c r="E194" s="610"/>
      <c r="F194" s="610"/>
      <c r="G194" s="610"/>
      <c r="H194" s="610"/>
      <c r="I194" s="610"/>
      <c r="J194" s="610"/>
      <c r="K194" s="610"/>
      <c r="L194" s="610"/>
      <c r="M194" s="610"/>
      <c r="N194" s="610"/>
      <c r="O194" s="610"/>
    </row>
    <row r="195" spans="1:18" ht="12.75" customHeight="1" x14ac:dyDescent="0.25">
      <c r="A195" s="610"/>
      <c r="D195" s="610"/>
      <c r="E195" s="610"/>
      <c r="F195" s="610"/>
      <c r="G195" s="610"/>
      <c r="H195" s="610"/>
      <c r="I195" s="610"/>
      <c r="J195" s="610"/>
      <c r="K195" s="610"/>
      <c r="L195" s="610"/>
      <c r="M195" s="610"/>
      <c r="N195" s="610"/>
      <c r="O195" s="610"/>
    </row>
    <row r="196" spans="1:18" ht="12.75" customHeight="1" x14ac:dyDescent="0.25">
      <c r="A196" s="770" t="s">
        <v>2</v>
      </c>
      <c r="B196" s="769" t="s">
        <v>132</v>
      </c>
      <c r="C196" s="622" t="s">
        <v>70</v>
      </c>
      <c r="D196" s="622">
        <f>D191-P191</f>
        <v>-6125983.8899999997</v>
      </c>
      <c r="E196" s="622">
        <f>E187+E182</f>
        <v>-331141.74</v>
      </c>
      <c r="F196" s="622">
        <f>F187+F182</f>
        <v>-186760.31999999998</v>
      </c>
      <c r="G196" s="622">
        <f>G187+G182</f>
        <v>-98282.84</v>
      </c>
      <c r="H196" s="622">
        <f>H187+H182</f>
        <v>-2019437.33</v>
      </c>
      <c r="I196" s="622">
        <f>I187+I182</f>
        <v>-59765.73</v>
      </c>
      <c r="J196" s="622">
        <f>J187+J182</f>
        <v>-521004.73000000004</v>
      </c>
      <c r="K196" s="622">
        <f>K187+K182</f>
        <v>-508266.77999999997</v>
      </c>
      <c r="L196" s="622">
        <f>L187+L182</f>
        <v>-2407798.73</v>
      </c>
      <c r="M196" s="622">
        <f>M187+M182</f>
        <v>-780590.23</v>
      </c>
      <c r="N196" s="622">
        <f>N187+N182</f>
        <v>-97513.12999999999</v>
      </c>
      <c r="O196" s="622">
        <f>O187+O182</f>
        <v>-29.009999999999998</v>
      </c>
      <c r="P196" s="622">
        <f>P187+P182</f>
        <v>0</v>
      </c>
      <c r="Q196" s="622">
        <f>Q187+Q182</f>
        <v>0</v>
      </c>
      <c r="R196" s="622">
        <f>R187+R182</f>
        <v>0</v>
      </c>
    </row>
    <row r="197" spans="1:18" ht="12.75" customHeight="1" x14ac:dyDescent="0.25">
      <c r="A197" s="770"/>
      <c r="B197" s="769"/>
      <c r="C197" s="622" t="s">
        <v>73</v>
      </c>
      <c r="D197" s="622">
        <f>D189+D184</f>
        <v>884606.67999999993</v>
      </c>
      <c r="E197" s="610"/>
      <c r="F197" s="610"/>
      <c r="G197" s="610"/>
      <c r="H197" s="610"/>
      <c r="I197" s="610"/>
      <c r="J197" s="610"/>
      <c r="K197" s="610"/>
      <c r="L197" s="610"/>
      <c r="M197" s="610"/>
      <c r="N197" s="610"/>
      <c r="O197" s="610"/>
      <c r="P197" s="610"/>
      <c r="Q197" s="610"/>
      <c r="R197" s="610"/>
    </row>
    <row r="198" spans="1:18" ht="12.75" customHeight="1" x14ac:dyDescent="0.3">
      <c r="A198" s="609"/>
      <c r="D198" s="610"/>
      <c r="E198" s="610"/>
      <c r="F198" s="610"/>
      <c r="G198" s="610"/>
      <c r="H198" s="610"/>
      <c r="I198" s="610"/>
      <c r="J198" s="610"/>
      <c r="K198" s="610"/>
      <c r="L198" s="610"/>
      <c r="M198" s="610"/>
      <c r="N198" s="610"/>
      <c r="O198" s="610"/>
      <c r="P198" s="610"/>
      <c r="Q198" s="610"/>
      <c r="R198" s="610"/>
    </row>
    <row r="199" spans="1:18" ht="12.75" customHeight="1" x14ac:dyDescent="0.25">
      <c r="A199" s="770" t="s">
        <v>160</v>
      </c>
      <c r="B199" s="769" t="s">
        <v>132</v>
      </c>
      <c r="C199" s="624" t="s">
        <v>70</v>
      </c>
      <c r="D199" s="624">
        <v>0</v>
      </c>
      <c r="E199" s="624">
        <v>0</v>
      </c>
      <c r="F199" s="624">
        <v>0</v>
      </c>
      <c r="G199" s="624">
        <v>0</v>
      </c>
      <c r="H199" s="624">
        <v>0</v>
      </c>
      <c r="I199" s="624">
        <v>0</v>
      </c>
      <c r="J199" s="624">
        <v>0</v>
      </c>
      <c r="K199" s="624">
        <v>0</v>
      </c>
      <c r="L199" s="624">
        <v>0</v>
      </c>
      <c r="M199" s="624">
        <v>0</v>
      </c>
      <c r="N199" s="624">
        <v>0</v>
      </c>
      <c r="O199" s="624">
        <v>0</v>
      </c>
      <c r="P199" s="624">
        <v>0</v>
      </c>
      <c r="Q199" s="624">
        <v>0</v>
      </c>
      <c r="R199" s="624">
        <v>0</v>
      </c>
    </row>
    <row r="200" spans="1:18" ht="12.75" customHeight="1" x14ac:dyDescent="0.25">
      <c r="A200" s="770"/>
      <c r="B200" s="769"/>
      <c r="C200" s="624" t="s">
        <v>73</v>
      </c>
      <c r="D200" s="624">
        <v>0</v>
      </c>
      <c r="E200" s="610"/>
      <c r="F200" s="610"/>
      <c r="G200" s="610"/>
      <c r="H200" s="610"/>
      <c r="I200" s="610"/>
      <c r="J200" s="610"/>
      <c r="K200" s="610"/>
      <c r="L200" s="610"/>
      <c r="M200" s="610"/>
      <c r="N200" s="610"/>
      <c r="O200" s="610"/>
      <c r="P200" s="610"/>
      <c r="Q200" s="610"/>
      <c r="R200" s="610"/>
    </row>
    <row r="201" spans="1:18" ht="12.75" customHeight="1" x14ac:dyDescent="0.3">
      <c r="A201" s="609"/>
      <c r="D201" s="610"/>
      <c r="E201" s="610"/>
      <c r="F201" s="610"/>
      <c r="G201" s="610"/>
      <c r="H201" s="610"/>
      <c r="I201" s="610"/>
      <c r="J201" s="610"/>
      <c r="K201" s="610"/>
      <c r="L201" s="610"/>
      <c r="M201" s="610"/>
      <c r="N201" s="610"/>
      <c r="O201" s="610"/>
      <c r="P201" s="610"/>
      <c r="Q201" s="610"/>
      <c r="R201" s="610"/>
    </row>
    <row r="202" spans="1:18" ht="12.75" customHeight="1" x14ac:dyDescent="0.25">
      <c r="A202" s="770" t="s">
        <v>155</v>
      </c>
      <c r="B202" s="769" t="s">
        <v>132</v>
      </c>
      <c r="C202" s="625" t="s">
        <v>70</v>
      </c>
      <c r="D202" s="625">
        <f>D185-P185</f>
        <v>-6091573.8899999997</v>
      </c>
      <c r="E202" s="625">
        <f>E182</f>
        <v>-329211.14</v>
      </c>
      <c r="F202" s="625">
        <f>F182</f>
        <v>-185670.3</v>
      </c>
      <c r="G202" s="625">
        <f>G182</f>
        <v>-97710.73</v>
      </c>
      <c r="H202" s="625">
        <f>H182</f>
        <v>-2008786.33</v>
      </c>
      <c r="I202" s="625">
        <f>I182</f>
        <v>-59510.65</v>
      </c>
      <c r="J202" s="625">
        <f>J182</f>
        <v>-518767.2</v>
      </c>
      <c r="K202" s="625">
        <f>K182</f>
        <v>-504980.22</v>
      </c>
      <c r="L202" s="625">
        <f>L182</f>
        <v>-2392242.2000000002</v>
      </c>
      <c r="M202" s="625">
        <f>M182</f>
        <v>-776104.47</v>
      </c>
      <c r="N202" s="625">
        <f>N182</f>
        <v>-97096.95</v>
      </c>
      <c r="O202" s="625">
        <f>O182</f>
        <v>-28.18</v>
      </c>
      <c r="P202" s="625">
        <f>P182</f>
        <v>0</v>
      </c>
      <c r="Q202" s="625">
        <f>Q182</f>
        <v>0</v>
      </c>
      <c r="R202" s="625">
        <f>R182</f>
        <v>0</v>
      </c>
    </row>
    <row r="203" spans="1:18" ht="12.75" customHeight="1" x14ac:dyDescent="0.25">
      <c r="A203" s="770"/>
      <c r="B203" s="769"/>
      <c r="C203" s="625" t="s">
        <v>73</v>
      </c>
      <c r="D203" s="625">
        <f>D184</f>
        <v>878534.48</v>
      </c>
      <c r="E203" s="610"/>
      <c r="F203" s="610"/>
      <c r="G203" s="610"/>
      <c r="H203" s="610"/>
      <c r="I203" s="610"/>
      <c r="J203" s="610"/>
      <c r="K203" s="610"/>
      <c r="L203" s="610"/>
      <c r="M203" s="610"/>
      <c r="N203" s="610"/>
      <c r="O203" s="610"/>
      <c r="P203" s="610"/>
      <c r="Q203" s="610"/>
      <c r="R203" s="610"/>
    </row>
    <row r="204" spans="1:18" ht="12.75" customHeight="1" x14ac:dyDescent="0.25">
      <c r="A204" s="720"/>
      <c r="B204" s="719"/>
      <c r="C204" s="610"/>
      <c r="D204" s="610"/>
      <c r="E204" s="610"/>
      <c r="F204" s="610"/>
      <c r="G204" s="610"/>
      <c r="H204" s="610"/>
      <c r="I204" s="610"/>
      <c r="J204" s="610"/>
      <c r="K204" s="610"/>
      <c r="L204" s="610"/>
      <c r="M204" s="610"/>
      <c r="N204" s="610"/>
      <c r="O204" s="610"/>
      <c r="P204" s="610"/>
      <c r="Q204" s="610"/>
      <c r="R204" s="610"/>
    </row>
    <row r="205" spans="1:18" ht="12.75" customHeight="1" x14ac:dyDescent="0.25">
      <c r="A205" s="768" t="s">
        <v>324</v>
      </c>
      <c r="B205" s="769" t="s">
        <v>132</v>
      </c>
      <c r="C205" s="625" t="s">
        <v>70</v>
      </c>
      <c r="D205" s="718">
        <v>0</v>
      </c>
      <c r="E205" s="718">
        <v>0</v>
      </c>
      <c r="F205" s="718">
        <v>0</v>
      </c>
      <c r="G205" s="718">
        <v>0</v>
      </c>
      <c r="H205" s="718">
        <v>0</v>
      </c>
      <c r="I205" s="718">
        <v>0</v>
      </c>
      <c r="J205" s="718">
        <v>0</v>
      </c>
      <c r="K205" s="718">
        <v>0</v>
      </c>
      <c r="L205" s="718">
        <v>0</v>
      </c>
      <c r="M205" s="718">
        <v>0</v>
      </c>
      <c r="N205" s="718">
        <v>0</v>
      </c>
      <c r="O205" s="718">
        <v>0</v>
      </c>
      <c r="P205" s="718">
        <v>0</v>
      </c>
      <c r="Q205" s="718">
        <v>0</v>
      </c>
      <c r="R205" s="718">
        <v>0</v>
      </c>
    </row>
    <row r="206" spans="1:18" ht="12.75" customHeight="1" x14ac:dyDescent="0.25">
      <c r="A206" s="768"/>
      <c r="B206" s="769"/>
      <c r="C206" s="625" t="s">
        <v>73</v>
      </c>
      <c r="D206" s="718">
        <v>0</v>
      </c>
      <c r="E206" s="610"/>
      <c r="F206" s="610"/>
      <c r="G206" s="610"/>
      <c r="H206" s="610"/>
      <c r="I206" s="610"/>
      <c r="J206" s="610"/>
      <c r="K206" s="610"/>
      <c r="L206" s="610"/>
      <c r="M206" s="610"/>
      <c r="N206" s="610"/>
      <c r="O206" s="610"/>
      <c r="P206" s="610"/>
      <c r="Q206" s="610"/>
    </row>
    <row r="207" spans="1:18" ht="12.75" customHeight="1" x14ac:dyDescent="0.3">
      <c r="A207" s="609"/>
      <c r="D207" s="610"/>
      <c r="E207" s="610"/>
      <c r="F207" s="610"/>
      <c r="G207" s="610"/>
      <c r="H207" s="610"/>
      <c r="I207" s="610"/>
      <c r="J207" s="610"/>
      <c r="K207" s="610"/>
      <c r="L207" s="610"/>
      <c r="M207" s="610"/>
      <c r="N207" s="610"/>
      <c r="O207" s="610"/>
      <c r="P207" s="610"/>
      <c r="Q207" s="610"/>
      <c r="R207" s="610"/>
    </row>
    <row r="208" spans="1:18" ht="12.75" customHeight="1" x14ac:dyDescent="0.25">
      <c r="A208" s="770" t="s">
        <v>119</v>
      </c>
      <c r="B208" s="769" t="s">
        <v>132</v>
      </c>
      <c r="C208" s="620" t="s">
        <v>70</v>
      </c>
      <c r="D208" s="620">
        <f>D190-P190</f>
        <v>-34410</v>
      </c>
      <c r="E208" s="620">
        <f>E187</f>
        <v>-1930.6</v>
      </c>
      <c r="F208" s="620">
        <f t="shared" ref="F208:R208" si="1">F187</f>
        <v>-1090.02</v>
      </c>
      <c r="G208" s="620">
        <f t="shared" si="1"/>
        <v>-572.11</v>
      </c>
      <c r="H208" s="620">
        <f t="shared" si="1"/>
        <v>-10651</v>
      </c>
      <c r="I208" s="620">
        <f t="shared" si="1"/>
        <v>-255.08</v>
      </c>
      <c r="J208" s="620">
        <f t="shared" si="1"/>
        <v>-2237.5300000000002</v>
      </c>
      <c r="K208" s="620">
        <f t="shared" si="1"/>
        <v>-3286.56</v>
      </c>
      <c r="L208" s="620">
        <f t="shared" si="1"/>
        <v>-15556.53</v>
      </c>
      <c r="M208" s="620">
        <f t="shared" si="1"/>
        <v>-4485.76</v>
      </c>
      <c r="N208" s="620">
        <f t="shared" si="1"/>
        <v>-416.18</v>
      </c>
      <c r="O208" s="620">
        <f t="shared" si="1"/>
        <v>-0.83</v>
      </c>
      <c r="P208" s="620">
        <f t="shared" si="1"/>
        <v>0</v>
      </c>
      <c r="Q208" s="620">
        <f t="shared" si="1"/>
        <v>0</v>
      </c>
      <c r="R208" s="620">
        <f t="shared" si="1"/>
        <v>0</v>
      </c>
    </row>
    <row r="209" spans="1:18" ht="12.75" customHeight="1" x14ac:dyDescent="0.25">
      <c r="A209" s="770"/>
      <c r="B209" s="769"/>
      <c r="C209" s="620" t="s">
        <v>73</v>
      </c>
      <c r="D209" s="620">
        <f>D189</f>
        <v>6072.2</v>
      </c>
      <c r="E209" s="610"/>
      <c r="F209" s="610"/>
      <c r="G209" s="610"/>
      <c r="H209" s="610"/>
      <c r="I209" s="610"/>
      <c r="J209" s="610"/>
      <c r="K209" s="610"/>
      <c r="L209" s="610"/>
      <c r="M209" s="610"/>
      <c r="N209" s="610"/>
      <c r="O209" s="610"/>
      <c r="P209" s="610"/>
      <c r="Q209" s="610"/>
      <c r="R209" s="610"/>
    </row>
    <row r="210" spans="1:18" ht="12.75" customHeight="1" x14ac:dyDescent="0.3">
      <c r="A210" s="609"/>
      <c r="D210" s="610"/>
      <c r="E210" s="610"/>
      <c r="F210" s="610"/>
      <c r="G210" s="610"/>
      <c r="H210" s="610"/>
      <c r="I210" s="610"/>
      <c r="J210" s="610"/>
      <c r="K210" s="610"/>
      <c r="L210" s="610"/>
      <c r="M210" s="610"/>
      <c r="N210" s="610"/>
      <c r="O210" s="610"/>
      <c r="P210" s="610"/>
      <c r="Q210" s="610"/>
      <c r="R210" s="610"/>
    </row>
    <row r="211" spans="1:18" ht="12.75" customHeight="1" x14ac:dyDescent="0.25">
      <c r="A211" s="771" t="s">
        <v>161</v>
      </c>
      <c r="B211" s="769" t="s">
        <v>132</v>
      </c>
      <c r="C211" s="626" t="s">
        <v>70</v>
      </c>
      <c r="D211" s="626">
        <v>0</v>
      </c>
      <c r="E211" s="626">
        <v>0</v>
      </c>
      <c r="F211" s="626">
        <v>0</v>
      </c>
      <c r="G211" s="626">
        <v>0</v>
      </c>
      <c r="H211" s="626">
        <v>0</v>
      </c>
      <c r="I211" s="626">
        <v>0</v>
      </c>
      <c r="J211" s="626">
        <v>0</v>
      </c>
      <c r="K211" s="626">
        <v>0</v>
      </c>
      <c r="L211" s="626">
        <v>0</v>
      </c>
      <c r="M211" s="626">
        <v>0</v>
      </c>
      <c r="N211" s="626">
        <v>0</v>
      </c>
      <c r="O211" s="626">
        <v>0</v>
      </c>
      <c r="P211" s="626">
        <v>0</v>
      </c>
      <c r="Q211" s="626">
        <v>0</v>
      </c>
      <c r="R211" s="626">
        <v>0</v>
      </c>
    </row>
    <row r="212" spans="1:18" ht="12.75" customHeight="1" x14ac:dyDescent="0.25">
      <c r="A212" s="771"/>
      <c r="B212" s="769"/>
      <c r="C212" s="626" t="s">
        <v>73</v>
      </c>
      <c r="D212" s="626">
        <v>0</v>
      </c>
      <c r="E212" s="610"/>
      <c r="F212" s="610"/>
      <c r="G212" s="610"/>
      <c r="H212" s="610"/>
      <c r="I212" s="610"/>
      <c r="J212" s="610"/>
      <c r="K212" s="610"/>
      <c r="L212" s="610"/>
      <c r="M212" s="610"/>
      <c r="N212" s="610"/>
      <c r="O212" s="610"/>
      <c r="P212" s="610"/>
      <c r="Q212" s="610"/>
    </row>
    <row r="213" spans="1:18" s="627" customFormat="1" x14ac:dyDescent="0.25"/>
    <row r="214" spans="1:18" ht="13" x14ac:dyDescent="0.3">
      <c r="B214" s="609" t="s">
        <v>88</v>
      </c>
    </row>
    <row r="215" spans="1:18" ht="12.75" customHeight="1" x14ac:dyDescent="0.25">
      <c r="D215" s="610" t="s">
        <v>70</v>
      </c>
      <c r="E215" s="610" t="s">
        <v>64</v>
      </c>
      <c r="F215" s="610" t="s">
        <v>65</v>
      </c>
      <c r="G215" s="611" t="s">
        <v>164</v>
      </c>
      <c r="H215" s="610" t="s">
        <v>69</v>
      </c>
      <c r="I215" s="610" t="s">
        <v>68</v>
      </c>
      <c r="J215" s="610" t="s">
        <v>66</v>
      </c>
      <c r="K215" s="610" t="s">
        <v>63</v>
      </c>
      <c r="L215" s="610" t="s">
        <v>61</v>
      </c>
      <c r="M215" s="610" t="s">
        <v>62</v>
      </c>
      <c r="N215" s="610" t="s">
        <v>67</v>
      </c>
      <c r="O215" s="610" t="s">
        <v>77</v>
      </c>
      <c r="P215" s="610" t="s">
        <v>71</v>
      </c>
      <c r="Q215" s="610" t="s">
        <v>80</v>
      </c>
      <c r="R215" s="608" t="s">
        <v>167</v>
      </c>
    </row>
    <row r="216" spans="1:18" ht="12.65" customHeight="1" x14ac:dyDescent="0.25">
      <c r="C216" s="608" t="s">
        <v>72</v>
      </c>
      <c r="D216" s="610">
        <v>-20867961.32</v>
      </c>
      <c r="E216" s="610">
        <v>-1183575.92</v>
      </c>
      <c r="F216" s="610">
        <v>-660785.56000000006</v>
      </c>
      <c r="G216" s="612">
        <v>-360417.26</v>
      </c>
      <c r="H216" s="610">
        <v>-4675852.26</v>
      </c>
      <c r="I216" s="610">
        <v>-165970.21</v>
      </c>
      <c r="J216" s="610">
        <v>-1465578.76</v>
      </c>
      <c r="K216" s="610">
        <v>-1450674.81</v>
      </c>
      <c r="L216" s="610">
        <v>-7405960.3600000003</v>
      </c>
      <c r="M216" s="610">
        <v>-3230098.43</v>
      </c>
      <c r="N216" s="610">
        <v>-269110.48</v>
      </c>
      <c r="O216" s="610">
        <v>62.73</v>
      </c>
      <c r="P216" s="610">
        <v>0</v>
      </c>
      <c r="Q216" s="610">
        <v>0</v>
      </c>
      <c r="R216" s="608">
        <v>0</v>
      </c>
    </row>
    <row r="217" spans="1:18" ht="12.65" customHeight="1" x14ac:dyDescent="0.25">
      <c r="C217" s="608" t="s">
        <v>81</v>
      </c>
      <c r="D217" s="610">
        <v>-70844.039999999994</v>
      </c>
      <c r="E217" s="610">
        <v>-12872.38</v>
      </c>
      <c r="F217" s="610">
        <v>-3618.8</v>
      </c>
      <c r="G217" s="612">
        <v>-466.49</v>
      </c>
      <c r="H217" s="610">
        <v>-10077.280000000001</v>
      </c>
      <c r="I217" s="610">
        <v>-549.6</v>
      </c>
      <c r="J217" s="610">
        <v>-4821.8599999999997</v>
      </c>
      <c r="K217" s="610">
        <v>-4702.8599999999997</v>
      </c>
      <c r="L217" s="610">
        <v>6554.19</v>
      </c>
      <c r="M217" s="610">
        <v>-39396.22</v>
      </c>
      <c r="N217" s="610">
        <v>-896.75</v>
      </c>
      <c r="O217" s="610">
        <v>4.01</v>
      </c>
      <c r="P217" s="610">
        <v>0</v>
      </c>
      <c r="Q217" s="610">
        <v>0</v>
      </c>
      <c r="R217" s="608">
        <v>0</v>
      </c>
    </row>
    <row r="218" spans="1:18" s="613" customFormat="1" ht="12.75" customHeight="1" x14ac:dyDescent="0.25">
      <c r="B218" s="614" t="s">
        <v>78</v>
      </c>
      <c r="C218" s="614" t="s">
        <v>70</v>
      </c>
      <c r="D218" s="614">
        <v>-20938805.359999999</v>
      </c>
      <c r="E218" s="614">
        <v>-1196448.3</v>
      </c>
      <c r="F218" s="614">
        <v>-664404.36</v>
      </c>
      <c r="G218" s="614">
        <v>-360883.75</v>
      </c>
      <c r="H218" s="614">
        <v>-4685929.54</v>
      </c>
      <c r="I218" s="614">
        <v>-166519.81</v>
      </c>
      <c r="J218" s="614">
        <v>-1470400.62</v>
      </c>
      <c r="K218" s="614">
        <v>-1455377.67</v>
      </c>
      <c r="L218" s="614">
        <v>-7399406.1699999999</v>
      </c>
      <c r="M218" s="614">
        <v>-3269494.65</v>
      </c>
      <c r="N218" s="614">
        <v>-270007.23</v>
      </c>
      <c r="O218" s="614">
        <v>66.739999999999995</v>
      </c>
      <c r="P218" s="613">
        <v>0</v>
      </c>
      <c r="Q218" s="614">
        <v>0</v>
      </c>
      <c r="R218" s="614">
        <v>0</v>
      </c>
    </row>
    <row r="219" spans="1:18" ht="12.65" customHeight="1" x14ac:dyDescent="0.25">
      <c r="C219" s="608" t="s">
        <v>73</v>
      </c>
      <c r="D219" s="610">
        <v>693280.58</v>
      </c>
      <c r="E219" s="610">
        <v>-60645.51</v>
      </c>
      <c r="F219" s="610">
        <v>-33250.49</v>
      </c>
      <c r="G219" s="612">
        <v>-18054.75</v>
      </c>
      <c r="H219" s="610">
        <v>283080.40999999997</v>
      </c>
      <c r="I219" s="610">
        <v>10777.75</v>
      </c>
      <c r="J219" s="610">
        <v>94543.45</v>
      </c>
      <c r="K219" s="610">
        <v>92360.66</v>
      </c>
      <c r="L219" s="610">
        <v>468946.29</v>
      </c>
      <c r="M219" s="610">
        <v>-162062.32</v>
      </c>
      <c r="N219" s="610">
        <v>17585.09</v>
      </c>
      <c r="O219" s="610">
        <v>0</v>
      </c>
      <c r="P219" s="610">
        <v>0</v>
      </c>
      <c r="Q219" s="610">
        <v>0</v>
      </c>
      <c r="R219" s="608">
        <v>0</v>
      </c>
    </row>
    <row r="220" spans="1:18" s="615" customFormat="1" ht="12.75" customHeight="1" x14ac:dyDescent="0.25">
      <c r="B220" s="616" t="s">
        <v>79</v>
      </c>
      <c r="C220" s="616" t="s">
        <v>70</v>
      </c>
      <c r="D220" s="616">
        <v>693280.58</v>
      </c>
      <c r="E220" s="616">
        <v>-60645.51</v>
      </c>
      <c r="F220" s="616">
        <v>-33250.49</v>
      </c>
      <c r="G220" s="616">
        <v>-18054.75</v>
      </c>
      <c r="H220" s="616">
        <v>283080.40999999997</v>
      </c>
      <c r="I220" s="616">
        <v>10777.75</v>
      </c>
      <c r="J220" s="616">
        <v>94543.45</v>
      </c>
      <c r="K220" s="616">
        <v>92360.66</v>
      </c>
      <c r="L220" s="616">
        <v>468946.29</v>
      </c>
      <c r="M220" s="616">
        <v>-162062.32</v>
      </c>
      <c r="N220" s="616">
        <v>17585.09</v>
      </c>
      <c r="O220" s="616">
        <v>0</v>
      </c>
      <c r="P220" s="615">
        <v>0</v>
      </c>
      <c r="Q220" s="616">
        <v>0</v>
      </c>
      <c r="R220" s="616">
        <v>0</v>
      </c>
    </row>
    <row r="221" spans="1:18" s="617" customFormat="1" ht="12.65" customHeight="1" x14ac:dyDescent="0.25">
      <c r="A221" s="617" t="s">
        <v>155</v>
      </c>
      <c r="B221" s="617" t="s">
        <v>70</v>
      </c>
      <c r="D221" s="618">
        <v>-20245524.780000001</v>
      </c>
      <c r="E221" s="618">
        <v>-1257093.81</v>
      </c>
      <c r="F221" s="618">
        <v>-697654.85</v>
      </c>
      <c r="G221" s="619">
        <v>-378938.5</v>
      </c>
      <c r="H221" s="618">
        <v>-4402849.13</v>
      </c>
      <c r="I221" s="618">
        <v>-155742.06</v>
      </c>
      <c r="J221" s="618">
        <v>-1375857.17</v>
      </c>
      <c r="K221" s="618">
        <v>-1363017.01</v>
      </c>
      <c r="L221" s="618">
        <v>-6930459.8799999999</v>
      </c>
      <c r="M221" s="618">
        <v>-3431556.97</v>
      </c>
      <c r="N221" s="618">
        <v>-252422.14</v>
      </c>
      <c r="O221" s="618">
        <v>66.739999999999995</v>
      </c>
      <c r="P221" s="618">
        <v>0</v>
      </c>
      <c r="Q221" s="618">
        <v>0</v>
      </c>
      <c r="R221" s="617">
        <v>0</v>
      </c>
    </row>
    <row r="222" spans="1:18" ht="12.65" customHeight="1" x14ac:dyDescent="0.25">
      <c r="C222" s="608" t="s">
        <v>72</v>
      </c>
      <c r="D222" s="610">
        <v>-259479.77</v>
      </c>
      <c r="E222" s="610">
        <v>-15026.46</v>
      </c>
      <c r="F222" s="610">
        <v>-8271.59</v>
      </c>
      <c r="G222" s="612">
        <v>-4621.74</v>
      </c>
      <c r="H222" s="610">
        <v>-60252.47</v>
      </c>
      <c r="I222" s="610">
        <v>-1586.3</v>
      </c>
      <c r="J222" s="610">
        <v>-13915.03</v>
      </c>
      <c r="K222" s="610">
        <v>-18903.75</v>
      </c>
      <c r="L222" s="610">
        <v>-95910.51</v>
      </c>
      <c r="M222" s="610">
        <v>-38402.410000000003</v>
      </c>
      <c r="N222" s="610">
        <v>-2588.19</v>
      </c>
      <c r="O222" s="610">
        <v>-1.32</v>
      </c>
      <c r="P222" s="610">
        <v>0</v>
      </c>
      <c r="Q222" s="610">
        <v>0</v>
      </c>
      <c r="R222" s="608">
        <v>0</v>
      </c>
    </row>
    <row r="223" spans="1:18" ht="12.75" customHeight="1" x14ac:dyDescent="0.25">
      <c r="B223" s="610"/>
      <c r="C223" s="610" t="s">
        <v>81</v>
      </c>
      <c r="D223" s="610">
        <v>-49.05</v>
      </c>
      <c r="E223" s="610">
        <v>-4.09</v>
      </c>
      <c r="F223" s="610">
        <v>-1.88</v>
      </c>
      <c r="G223" s="610">
        <v>-1.1200000000000001</v>
      </c>
      <c r="H223" s="610">
        <v>-10.47</v>
      </c>
      <c r="I223" s="610">
        <v>-0.26</v>
      </c>
      <c r="J223" s="610">
        <v>-2.3199999999999998</v>
      </c>
      <c r="K223" s="610">
        <v>-3.03</v>
      </c>
      <c r="L223" s="610">
        <v>-15.29</v>
      </c>
      <c r="M223" s="610">
        <v>-10.16</v>
      </c>
      <c r="N223" s="610">
        <v>-0.43</v>
      </c>
      <c r="O223" s="610">
        <v>0</v>
      </c>
      <c r="P223" s="608">
        <v>0</v>
      </c>
      <c r="Q223" s="610">
        <v>0</v>
      </c>
      <c r="R223" s="610">
        <v>0</v>
      </c>
    </row>
    <row r="224" spans="1:18" s="613" customFormat="1" ht="12.75" customHeight="1" x14ac:dyDescent="0.25">
      <c r="B224" s="614" t="s">
        <v>78</v>
      </c>
      <c r="C224" s="614" t="s">
        <v>70</v>
      </c>
      <c r="D224" s="614">
        <v>-259528.82</v>
      </c>
      <c r="E224" s="614">
        <v>-15030.55</v>
      </c>
      <c r="F224" s="614">
        <v>-8273.4699999999993</v>
      </c>
      <c r="G224" s="614">
        <v>-4622.8599999999997</v>
      </c>
      <c r="H224" s="614">
        <v>-60262.94</v>
      </c>
      <c r="I224" s="614">
        <v>-1586.56</v>
      </c>
      <c r="J224" s="614">
        <v>-13917.35</v>
      </c>
      <c r="K224" s="614">
        <v>-18906.78</v>
      </c>
      <c r="L224" s="614">
        <v>-95925.8</v>
      </c>
      <c r="M224" s="614">
        <v>-38412.57</v>
      </c>
      <c r="N224" s="614">
        <v>-2588.62</v>
      </c>
      <c r="O224" s="614">
        <v>-1.32</v>
      </c>
      <c r="P224" s="613">
        <v>0</v>
      </c>
      <c r="Q224" s="614">
        <v>0</v>
      </c>
      <c r="R224" s="614">
        <v>0</v>
      </c>
    </row>
    <row r="225" spans="1:18" ht="12.75" customHeight="1" x14ac:dyDescent="0.25">
      <c r="B225" s="610"/>
      <c r="C225" s="610" t="s">
        <v>73</v>
      </c>
      <c r="D225" s="610">
        <v>-2471.1799999999998</v>
      </c>
      <c r="E225" s="610">
        <v>-1736.67</v>
      </c>
      <c r="F225" s="610">
        <v>-963.5</v>
      </c>
      <c r="G225" s="610">
        <v>-534.14</v>
      </c>
      <c r="H225" s="610">
        <v>1365.54</v>
      </c>
      <c r="I225" s="610">
        <v>52.25</v>
      </c>
      <c r="J225" s="610">
        <v>458.4</v>
      </c>
      <c r="K225" s="610">
        <v>430.98</v>
      </c>
      <c r="L225" s="610">
        <v>2147.44</v>
      </c>
      <c r="M225" s="610">
        <v>-3776.73</v>
      </c>
      <c r="N225" s="610">
        <v>85.25</v>
      </c>
      <c r="O225" s="610">
        <v>0</v>
      </c>
      <c r="P225" s="608">
        <v>0</v>
      </c>
      <c r="Q225" s="610">
        <v>0</v>
      </c>
      <c r="R225" s="610">
        <v>0</v>
      </c>
    </row>
    <row r="226" spans="1:18" s="615" customFormat="1" ht="12.75" customHeight="1" x14ac:dyDescent="0.25">
      <c r="B226" s="616" t="s">
        <v>79</v>
      </c>
      <c r="C226" s="616" t="s">
        <v>70</v>
      </c>
      <c r="D226" s="616">
        <v>-2471.1799999999998</v>
      </c>
      <c r="E226" s="616">
        <v>-1736.67</v>
      </c>
      <c r="F226" s="616">
        <v>-963.5</v>
      </c>
      <c r="G226" s="616">
        <v>-534.14</v>
      </c>
      <c r="H226" s="616">
        <v>1365.54</v>
      </c>
      <c r="I226" s="616">
        <v>52.25</v>
      </c>
      <c r="J226" s="616">
        <v>458.4</v>
      </c>
      <c r="K226" s="616">
        <v>430.98</v>
      </c>
      <c r="L226" s="616">
        <v>2147.44</v>
      </c>
      <c r="M226" s="616">
        <v>-3776.73</v>
      </c>
      <c r="N226" s="616">
        <v>85.25</v>
      </c>
      <c r="O226" s="616">
        <v>0</v>
      </c>
      <c r="P226" s="615">
        <v>0</v>
      </c>
      <c r="Q226" s="616">
        <v>0</v>
      </c>
      <c r="R226" s="616">
        <v>0</v>
      </c>
    </row>
    <row r="227" spans="1:18" s="690" customFormat="1" ht="12.65" customHeight="1" x14ac:dyDescent="0.25">
      <c r="A227" s="690" t="s">
        <v>120</v>
      </c>
      <c r="B227" s="690" t="s">
        <v>70</v>
      </c>
      <c r="D227" s="691">
        <v>-262000</v>
      </c>
      <c r="E227" s="691">
        <v>-16767.22</v>
      </c>
      <c r="F227" s="691">
        <v>-9236.9699999999993</v>
      </c>
      <c r="G227" s="692">
        <v>-5157</v>
      </c>
      <c r="H227" s="691">
        <v>-58897.4</v>
      </c>
      <c r="I227" s="691">
        <v>-1534.31</v>
      </c>
      <c r="J227" s="691">
        <v>-13458.95</v>
      </c>
      <c r="K227" s="691">
        <v>-18475.8</v>
      </c>
      <c r="L227" s="691">
        <v>-93778.36</v>
      </c>
      <c r="M227" s="691">
        <v>-42189.3</v>
      </c>
      <c r="N227" s="691">
        <v>-2503.37</v>
      </c>
      <c r="O227" s="691">
        <v>-1.32</v>
      </c>
      <c r="P227" s="691">
        <v>0</v>
      </c>
      <c r="Q227" s="691">
        <v>0</v>
      </c>
      <c r="R227" s="690">
        <v>0</v>
      </c>
    </row>
    <row r="228" spans="1:18" ht="12.75" customHeight="1" x14ac:dyDescent="0.25">
      <c r="B228" s="610"/>
      <c r="C228" s="610" t="s">
        <v>72</v>
      </c>
      <c r="D228" s="610">
        <v>-1635050.21</v>
      </c>
      <c r="E228" s="610">
        <v>-111870.23</v>
      </c>
      <c r="F228" s="610">
        <v>-35415.449999999997</v>
      </c>
      <c r="G228" s="610">
        <v>-15333.31</v>
      </c>
      <c r="H228" s="610">
        <v>-336426.68</v>
      </c>
      <c r="I228" s="610">
        <v>-13502.83</v>
      </c>
      <c r="J228" s="610">
        <v>-118446.26</v>
      </c>
      <c r="K228" s="610">
        <v>-113401.48</v>
      </c>
      <c r="L228" s="610">
        <v>-491215.82</v>
      </c>
      <c r="M228" s="610">
        <v>-378289.34</v>
      </c>
      <c r="N228" s="610">
        <v>-21170.29</v>
      </c>
      <c r="O228" s="610">
        <v>21.48</v>
      </c>
      <c r="P228" s="608">
        <v>0</v>
      </c>
      <c r="Q228" s="610">
        <v>0</v>
      </c>
      <c r="R228" s="610">
        <v>0</v>
      </c>
    </row>
    <row r="229" spans="1:18" ht="12.75" customHeight="1" x14ac:dyDescent="0.25">
      <c r="B229" s="610"/>
      <c r="C229" s="610" t="s">
        <v>81</v>
      </c>
      <c r="D229" s="610">
        <v>-314498.78000000003</v>
      </c>
      <c r="E229" s="610">
        <v>-44325.59</v>
      </c>
      <c r="F229" s="610">
        <v>-11077.12</v>
      </c>
      <c r="G229" s="610">
        <v>-1474.02</v>
      </c>
      <c r="H229" s="610">
        <v>-30552.42</v>
      </c>
      <c r="I229" s="610">
        <v>-1879</v>
      </c>
      <c r="J229" s="610">
        <v>-16482.18</v>
      </c>
      <c r="K229" s="610">
        <v>-15287.5</v>
      </c>
      <c r="L229" s="610">
        <v>-48055.15</v>
      </c>
      <c r="M229" s="610">
        <v>-142301.25</v>
      </c>
      <c r="N229" s="610">
        <v>-3065.58</v>
      </c>
      <c r="O229" s="610">
        <v>1.03</v>
      </c>
      <c r="P229" s="608">
        <v>0</v>
      </c>
      <c r="Q229" s="610">
        <v>0</v>
      </c>
      <c r="R229" s="610">
        <v>0</v>
      </c>
    </row>
    <row r="230" spans="1:18" s="613" customFormat="1" ht="12.75" customHeight="1" x14ac:dyDescent="0.25">
      <c r="B230" s="614" t="s">
        <v>78</v>
      </c>
      <c r="C230" s="614" t="s">
        <v>70</v>
      </c>
      <c r="D230" s="614">
        <v>-1949548.99</v>
      </c>
      <c r="E230" s="614">
        <v>-156195.82</v>
      </c>
      <c r="F230" s="614">
        <v>-46492.57</v>
      </c>
      <c r="G230" s="614">
        <v>-16807.330000000002</v>
      </c>
      <c r="H230" s="614">
        <v>-366979.1</v>
      </c>
      <c r="I230" s="614">
        <v>-15381.83</v>
      </c>
      <c r="J230" s="614">
        <v>-134928.44</v>
      </c>
      <c r="K230" s="614">
        <v>-128688.98</v>
      </c>
      <c r="L230" s="614">
        <v>-539270.97</v>
      </c>
      <c r="M230" s="614">
        <v>-520590.59</v>
      </c>
      <c r="N230" s="614">
        <v>-24235.87</v>
      </c>
      <c r="O230" s="614">
        <v>22.51</v>
      </c>
      <c r="P230" s="613">
        <v>0</v>
      </c>
      <c r="Q230" s="614">
        <v>0</v>
      </c>
      <c r="R230" s="614">
        <v>0</v>
      </c>
    </row>
    <row r="231" spans="1:18" ht="12.75" customHeight="1" x14ac:dyDescent="0.25">
      <c r="B231" s="610"/>
      <c r="C231" s="610" t="s">
        <v>73</v>
      </c>
      <c r="D231" s="610">
        <v>207013.99</v>
      </c>
      <c r="E231" s="610">
        <v>4148.2700000000004</v>
      </c>
      <c r="F231" s="610">
        <v>10450.379999999999</v>
      </c>
      <c r="G231" s="610">
        <v>6186.7</v>
      </c>
      <c r="H231" s="610">
        <v>62465.45</v>
      </c>
      <c r="I231" s="610">
        <v>1934.51</v>
      </c>
      <c r="J231" s="610">
        <v>16968.900000000001</v>
      </c>
      <c r="K231" s="610">
        <v>17248.900000000001</v>
      </c>
      <c r="L231" s="610">
        <v>95821.56</v>
      </c>
      <c r="M231" s="610">
        <v>-11366.89</v>
      </c>
      <c r="N231" s="610">
        <v>3156.21</v>
      </c>
      <c r="O231" s="610">
        <v>0</v>
      </c>
      <c r="P231" s="608">
        <v>0</v>
      </c>
      <c r="Q231" s="610">
        <v>0</v>
      </c>
      <c r="R231" s="610">
        <v>0</v>
      </c>
    </row>
    <row r="232" spans="1:18" s="615" customFormat="1" ht="12.75" customHeight="1" x14ac:dyDescent="0.25">
      <c r="B232" s="616" t="s">
        <v>79</v>
      </c>
      <c r="C232" s="616" t="s">
        <v>70</v>
      </c>
      <c r="D232" s="616">
        <v>207013.99</v>
      </c>
      <c r="E232" s="616">
        <v>4148.2700000000004</v>
      </c>
      <c r="F232" s="616">
        <v>10450.379999999999</v>
      </c>
      <c r="G232" s="616">
        <v>6186.7</v>
      </c>
      <c r="H232" s="616">
        <v>62465.45</v>
      </c>
      <c r="I232" s="616">
        <v>1934.51</v>
      </c>
      <c r="J232" s="616">
        <v>16968.900000000001</v>
      </c>
      <c r="K232" s="616">
        <v>17248.900000000001</v>
      </c>
      <c r="L232" s="616">
        <v>95821.56</v>
      </c>
      <c r="M232" s="616">
        <v>-11366.89</v>
      </c>
      <c r="N232" s="616">
        <v>3156.21</v>
      </c>
      <c r="O232" s="616">
        <v>0</v>
      </c>
      <c r="P232" s="615">
        <v>0</v>
      </c>
      <c r="Q232" s="616">
        <v>0</v>
      </c>
      <c r="R232" s="616">
        <v>0</v>
      </c>
    </row>
    <row r="233" spans="1:18" s="745" customFormat="1" ht="12.75" customHeight="1" x14ac:dyDescent="0.25">
      <c r="A233" s="745" t="s">
        <v>119</v>
      </c>
      <c r="B233" s="745" t="s">
        <v>70</v>
      </c>
      <c r="D233" s="620">
        <v>-1742535</v>
      </c>
      <c r="E233" s="620">
        <v>-152047.54999999999</v>
      </c>
      <c r="F233" s="620">
        <v>-36042.19</v>
      </c>
      <c r="G233" s="621">
        <v>-10620.63</v>
      </c>
      <c r="H233" s="620">
        <v>-304513.65000000002</v>
      </c>
      <c r="I233" s="620">
        <v>-13447.32</v>
      </c>
      <c r="J233" s="620">
        <v>-117959.54</v>
      </c>
      <c r="K233" s="620">
        <v>-111440.08</v>
      </c>
      <c r="L233" s="620">
        <v>-443449.41</v>
      </c>
      <c r="M233" s="620">
        <v>-531957.48</v>
      </c>
      <c r="N233" s="620">
        <v>-21079.66</v>
      </c>
      <c r="O233" s="620">
        <v>22.51</v>
      </c>
      <c r="P233" s="620">
        <v>0</v>
      </c>
      <c r="Q233" s="620">
        <v>0</v>
      </c>
      <c r="R233" s="745">
        <v>0</v>
      </c>
    </row>
    <row r="234" spans="1:18" s="623" customFormat="1" ht="12.75" customHeight="1" x14ac:dyDescent="0.25">
      <c r="A234" s="622" t="s">
        <v>70</v>
      </c>
      <c r="D234" s="622">
        <v>-22250059.780000001</v>
      </c>
      <c r="E234" s="622">
        <v>-1425908.58</v>
      </c>
      <c r="F234" s="622">
        <v>-742934.01</v>
      </c>
      <c r="G234" s="622">
        <v>-394716.13</v>
      </c>
      <c r="H234" s="622">
        <v>-4766260.18</v>
      </c>
      <c r="I234" s="622">
        <v>-170723.69</v>
      </c>
      <c r="J234" s="622">
        <v>-1507275.66</v>
      </c>
      <c r="K234" s="622">
        <v>-1492932.89</v>
      </c>
      <c r="L234" s="622">
        <v>-7467687.6500000004</v>
      </c>
      <c r="M234" s="622">
        <v>-4005703.75</v>
      </c>
      <c r="N234" s="622">
        <v>-276005.17</v>
      </c>
      <c r="O234" s="622">
        <v>87.93</v>
      </c>
      <c r="P234" s="623">
        <v>0</v>
      </c>
      <c r="Q234" s="623">
        <v>0</v>
      </c>
      <c r="R234" s="623">
        <v>0</v>
      </c>
    </row>
    <row r="235" spans="1:18" ht="12.75" customHeight="1" x14ac:dyDescent="0.25">
      <c r="A235" s="610"/>
      <c r="D235" s="610"/>
      <c r="E235" s="610"/>
      <c r="F235" s="610"/>
      <c r="G235" s="610"/>
      <c r="H235" s="610"/>
      <c r="I235" s="610"/>
      <c r="J235" s="610"/>
      <c r="K235" s="610"/>
      <c r="L235" s="610"/>
      <c r="M235" s="610"/>
      <c r="N235" s="610"/>
      <c r="O235" s="610"/>
    </row>
    <row r="236" spans="1:18" ht="12.75" customHeight="1" x14ac:dyDescent="0.25">
      <c r="B236" s="610"/>
      <c r="C236" s="610"/>
      <c r="D236" s="610"/>
      <c r="E236" s="610"/>
      <c r="F236" s="610"/>
      <c r="G236" s="610"/>
      <c r="H236" s="610"/>
      <c r="I236" s="610"/>
      <c r="J236" s="610"/>
      <c r="K236" s="610"/>
      <c r="L236" s="610"/>
      <c r="M236" s="610"/>
      <c r="N236" s="610"/>
      <c r="O236" s="610"/>
    </row>
    <row r="237" spans="1:18" ht="12.75" hidden="1" customHeight="1" x14ac:dyDescent="0.25">
      <c r="B237" s="610"/>
      <c r="C237" s="610"/>
      <c r="D237" s="610"/>
      <c r="E237" s="610"/>
      <c r="F237" s="610"/>
      <c r="G237" s="610"/>
      <c r="H237" s="610"/>
      <c r="I237" s="610"/>
      <c r="J237" s="610"/>
      <c r="K237" s="610"/>
      <c r="L237" s="610"/>
      <c r="M237" s="610"/>
      <c r="N237" s="610"/>
      <c r="O237" s="610"/>
    </row>
    <row r="238" spans="1:18" ht="12.75" hidden="1" customHeight="1" x14ac:dyDescent="0.25">
      <c r="B238" s="610"/>
      <c r="C238" s="610"/>
      <c r="D238" s="610"/>
      <c r="E238" s="610"/>
      <c r="F238" s="610"/>
      <c r="G238" s="610"/>
      <c r="H238" s="610"/>
      <c r="I238" s="610"/>
      <c r="J238" s="610"/>
      <c r="K238" s="610"/>
      <c r="L238" s="610"/>
      <c r="M238" s="610"/>
      <c r="N238" s="610"/>
      <c r="O238" s="610"/>
    </row>
    <row r="239" spans="1:18" ht="12.75" hidden="1" customHeight="1" x14ac:dyDescent="0.25">
      <c r="B239" s="610"/>
      <c r="C239" s="610"/>
      <c r="D239" s="610"/>
      <c r="E239" s="610"/>
      <c r="F239" s="610"/>
      <c r="G239" s="610"/>
      <c r="H239" s="610"/>
      <c r="I239" s="610"/>
      <c r="J239" s="610"/>
      <c r="K239" s="610"/>
      <c r="L239" s="610"/>
      <c r="M239" s="610"/>
      <c r="N239" s="610"/>
      <c r="O239" s="610"/>
    </row>
    <row r="240" spans="1:18" ht="12.75" hidden="1" customHeight="1" x14ac:dyDescent="0.25">
      <c r="B240" s="610"/>
      <c r="C240" s="610"/>
      <c r="D240" s="610"/>
      <c r="E240" s="610"/>
      <c r="F240" s="610"/>
      <c r="G240" s="610"/>
      <c r="H240" s="610"/>
      <c r="I240" s="610"/>
      <c r="J240" s="610"/>
      <c r="K240" s="610"/>
      <c r="L240" s="610"/>
      <c r="M240" s="610"/>
      <c r="N240" s="610"/>
      <c r="O240" s="610"/>
    </row>
    <row r="241" spans="2:15" ht="12.75" hidden="1" customHeight="1" x14ac:dyDescent="0.25">
      <c r="B241" s="610"/>
      <c r="C241" s="610"/>
      <c r="D241" s="610"/>
      <c r="E241" s="610"/>
      <c r="F241" s="610"/>
      <c r="G241" s="610"/>
      <c r="H241" s="610"/>
      <c r="I241" s="610"/>
      <c r="J241" s="610"/>
      <c r="K241" s="610"/>
      <c r="L241" s="610"/>
      <c r="M241" s="610"/>
      <c r="N241" s="610"/>
      <c r="O241" s="610"/>
    </row>
    <row r="242" spans="2:15" ht="12.75" hidden="1" customHeight="1" x14ac:dyDescent="0.25">
      <c r="B242" s="610"/>
      <c r="C242" s="610"/>
      <c r="D242" s="610"/>
      <c r="E242" s="610"/>
      <c r="F242" s="610"/>
      <c r="G242" s="610"/>
      <c r="H242" s="610"/>
      <c r="I242" s="610"/>
      <c r="J242" s="610"/>
      <c r="K242" s="610"/>
      <c r="L242" s="610"/>
      <c r="M242" s="610"/>
      <c r="N242" s="610"/>
      <c r="O242" s="610"/>
    </row>
    <row r="243" spans="2:15" ht="12.75" hidden="1" customHeight="1" x14ac:dyDescent="0.25">
      <c r="B243" s="610"/>
      <c r="C243" s="610"/>
      <c r="D243" s="610"/>
      <c r="E243" s="610"/>
      <c r="F243" s="610"/>
      <c r="G243" s="610"/>
      <c r="H243" s="610"/>
      <c r="I243" s="610"/>
      <c r="J243" s="610"/>
      <c r="K243" s="610"/>
      <c r="L243" s="610"/>
      <c r="M243" s="610"/>
      <c r="N243" s="610"/>
      <c r="O243" s="610"/>
    </row>
    <row r="244" spans="2:15" ht="12.75" hidden="1" customHeight="1" x14ac:dyDescent="0.25">
      <c r="B244" s="610"/>
      <c r="C244" s="610"/>
      <c r="D244" s="610"/>
      <c r="E244" s="610"/>
      <c r="F244" s="610"/>
      <c r="G244" s="610"/>
      <c r="H244" s="610"/>
      <c r="I244" s="610"/>
      <c r="J244" s="610"/>
      <c r="K244" s="610"/>
      <c r="L244" s="610"/>
      <c r="M244" s="610"/>
      <c r="N244" s="610"/>
      <c r="O244" s="610"/>
    </row>
    <row r="245" spans="2:15" ht="12.75" hidden="1" customHeight="1" x14ac:dyDescent="0.25">
      <c r="B245" s="610"/>
      <c r="C245" s="610"/>
      <c r="D245" s="610"/>
      <c r="E245" s="610"/>
      <c r="F245" s="610"/>
      <c r="G245" s="610"/>
      <c r="H245" s="610"/>
      <c r="I245" s="610"/>
      <c r="J245" s="610"/>
      <c r="K245" s="610"/>
      <c r="L245" s="610"/>
      <c r="M245" s="610"/>
      <c r="N245" s="610"/>
      <c r="O245" s="610"/>
    </row>
    <row r="246" spans="2:15" ht="12.75" hidden="1" customHeight="1" x14ac:dyDescent="0.25">
      <c r="B246" s="610"/>
      <c r="C246" s="610"/>
      <c r="D246" s="610"/>
      <c r="E246" s="610"/>
      <c r="F246" s="610"/>
      <c r="G246" s="610"/>
      <c r="H246" s="610"/>
      <c r="I246" s="610"/>
      <c r="J246" s="610"/>
      <c r="K246" s="610"/>
      <c r="L246" s="610"/>
      <c r="M246" s="610"/>
      <c r="N246" s="610"/>
      <c r="O246" s="610"/>
    </row>
    <row r="247" spans="2:15" ht="12.75" hidden="1" customHeight="1" x14ac:dyDescent="0.25">
      <c r="B247" s="610"/>
      <c r="C247" s="610"/>
      <c r="D247" s="610"/>
      <c r="E247" s="610"/>
      <c r="F247" s="610"/>
      <c r="G247" s="610"/>
      <c r="H247" s="610"/>
      <c r="I247" s="610"/>
      <c r="J247" s="610"/>
      <c r="K247" s="610"/>
      <c r="L247" s="610"/>
      <c r="M247" s="610"/>
      <c r="N247" s="610"/>
      <c r="O247" s="610"/>
    </row>
    <row r="248" spans="2:15" ht="12.75" hidden="1" customHeight="1" x14ac:dyDescent="0.25">
      <c r="B248" s="610"/>
      <c r="C248" s="610"/>
      <c r="D248" s="610"/>
      <c r="E248" s="610"/>
      <c r="F248" s="610"/>
      <c r="G248" s="610"/>
      <c r="H248" s="610"/>
      <c r="I248" s="610"/>
      <c r="J248" s="610"/>
      <c r="K248" s="610"/>
      <c r="L248" s="610"/>
      <c r="M248" s="610"/>
      <c r="N248" s="610"/>
      <c r="O248" s="610"/>
    </row>
    <row r="249" spans="2:15" ht="12.75" hidden="1" customHeight="1" x14ac:dyDescent="0.25">
      <c r="B249" s="610"/>
      <c r="C249" s="610"/>
      <c r="D249" s="610"/>
      <c r="E249" s="610"/>
      <c r="F249" s="610"/>
      <c r="G249" s="610"/>
      <c r="H249" s="610"/>
      <c r="I249" s="610"/>
      <c r="J249" s="610"/>
      <c r="K249" s="610"/>
      <c r="L249" s="610"/>
      <c r="M249" s="610"/>
      <c r="N249" s="610"/>
      <c r="O249" s="610"/>
    </row>
    <row r="250" spans="2:15" ht="12.75" hidden="1" customHeight="1" x14ac:dyDescent="0.25">
      <c r="B250" s="610"/>
      <c r="C250" s="610"/>
      <c r="D250" s="610"/>
      <c r="E250" s="610"/>
      <c r="F250" s="610"/>
      <c r="G250" s="610"/>
      <c r="H250" s="610"/>
      <c r="I250" s="610"/>
      <c r="J250" s="610"/>
      <c r="K250" s="610"/>
      <c r="L250" s="610"/>
      <c r="M250" s="610"/>
      <c r="N250" s="610"/>
      <c r="O250" s="610"/>
    </row>
    <row r="251" spans="2:15" ht="12.75" hidden="1" customHeight="1" x14ac:dyDescent="0.25">
      <c r="B251" s="610"/>
      <c r="C251" s="610"/>
      <c r="D251" s="610"/>
      <c r="E251" s="610"/>
      <c r="F251" s="610"/>
      <c r="G251" s="610"/>
      <c r="H251" s="610"/>
      <c r="I251" s="610"/>
      <c r="J251" s="610"/>
      <c r="K251" s="610"/>
      <c r="L251" s="610"/>
      <c r="M251" s="610"/>
      <c r="N251" s="610"/>
      <c r="O251" s="610"/>
    </row>
    <row r="252" spans="2:15" ht="12.75" hidden="1" customHeight="1" x14ac:dyDescent="0.25">
      <c r="B252" s="610"/>
      <c r="C252" s="610"/>
      <c r="D252" s="610"/>
      <c r="E252" s="610"/>
      <c r="F252" s="610"/>
      <c r="G252" s="610"/>
      <c r="H252" s="610"/>
      <c r="I252" s="610"/>
      <c r="J252" s="610"/>
      <c r="K252" s="610"/>
      <c r="L252" s="610"/>
      <c r="M252" s="610"/>
      <c r="N252" s="610"/>
      <c r="O252" s="610"/>
    </row>
    <row r="253" spans="2:15" ht="12.75" hidden="1" customHeight="1" x14ac:dyDescent="0.25">
      <c r="B253" s="610"/>
      <c r="C253" s="610"/>
      <c r="D253" s="610"/>
      <c r="E253" s="610"/>
      <c r="F253" s="610"/>
      <c r="G253" s="610"/>
      <c r="H253" s="610"/>
      <c r="I253" s="610"/>
      <c r="J253" s="610"/>
      <c r="K253" s="610"/>
      <c r="L253" s="610"/>
      <c r="M253" s="610"/>
      <c r="N253" s="610"/>
      <c r="O253" s="610"/>
    </row>
    <row r="254" spans="2:15" ht="12.75" hidden="1" customHeight="1" x14ac:dyDescent="0.25">
      <c r="B254" s="610"/>
      <c r="C254" s="610"/>
      <c r="D254" s="610"/>
      <c r="E254" s="610"/>
      <c r="F254" s="610"/>
      <c r="G254" s="610"/>
      <c r="H254" s="610"/>
      <c r="I254" s="610"/>
      <c r="J254" s="610"/>
      <c r="K254" s="610"/>
      <c r="L254" s="610"/>
      <c r="M254" s="610"/>
      <c r="N254" s="610"/>
      <c r="O254" s="610"/>
    </row>
    <row r="255" spans="2:15" ht="12.75" hidden="1" customHeight="1" x14ac:dyDescent="0.25">
      <c r="B255" s="610"/>
      <c r="C255" s="610"/>
      <c r="D255" s="610"/>
      <c r="E255" s="610"/>
      <c r="F255" s="610"/>
      <c r="G255" s="610"/>
      <c r="H255" s="610"/>
      <c r="I255" s="610"/>
      <c r="J255" s="610"/>
      <c r="K255" s="610"/>
      <c r="L255" s="610"/>
      <c r="M255" s="610"/>
      <c r="N255" s="610"/>
      <c r="O255" s="610"/>
    </row>
    <row r="256" spans="2:15" ht="12.75" hidden="1" customHeight="1" x14ac:dyDescent="0.25">
      <c r="B256" s="610"/>
      <c r="C256" s="610"/>
      <c r="D256" s="610"/>
      <c r="E256" s="610"/>
      <c r="F256" s="610"/>
      <c r="G256" s="610"/>
      <c r="H256" s="610"/>
      <c r="I256" s="610"/>
      <c r="J256" s="610"/>
      <c r="K256" s="610"/>
      <c r="L256" s="610"/>
      <c r="M256" s="610"/>
      <c r="N256" s="610"/>
      <c r="O256" s="610"/>
    </row>
    <row r="257" spans="2:15" ht="12.75" hidden="1" customHeight="1" x14ac:dyDescent="0.25">
      <c r="B257" s="610"/>
      <c r="C257" s="610"/>
      <c r="D257" s="610"/>
      <c r="E257" s="610"/>
      <c r="F257" s="610"/>
      <c r="G257" s="610"/>
      <c r="H257" s="610"/>
      <c r="I257" s="610"/>
      <c r="J257" s="610"/>
      <c r="K257" s="610"/>
      <c r="L257" s="610"/>
      <c r="M257" s="610"/>
      <c r="N257" s="610"/>
      <c r="O257" s="610"/>
    </row>
    <row r="258" spans="2:15" ht="12.75" hidden="1" customHeight="1" x14ac:dyDescent="0.25">
      <c r="B258" s="610"/>
      <c r="C258" s="610"/>
      <c r="D258" s="610"/>
      <c r="E258" s="610"/>
      <c r="F258" s="610"/>
      <c r="G258" s="610"/>
      <c r="H258" s="610"/>
      <c r="I258" s="610"/>
      <c r="J258" s="610"/>
      <c r="K258" s="610"/>
      <c r="L258" s="610"/>
      <c r="M258" s="610"/>
      <c r="N258" s="610"/>
      <c r="O258" s="610"/>
    </row>
    <row r="259" spans="2:15" ht="12.75" hidden="1" customHeight="1" x14ac:dyDescent="0.25">
      <c r="B259" s="610"/>
      <c r="C259" s="610"/>
      <c r="D259" s="610"/>
      <c r="E259" s="610"/>
      <c r="F259" s="610"/>
      <c r="G259" s="610"/>
      <c r="H259" s="610"/>
      <c r="I259" s="610"/>
      <c r="J259" s="610"/>
      <c r="K259" s="610"/>
      <c r="L259" s="610"/>
      <c r="M259" s="610"/>
      <c r="N259" s="610"/>
      <c r="O259" s="610"/>
    </row>
    <row r="260" spans="2:15" ht="12.75" hidden="1" customHeight="1" x14ac:dyDescent="0.25">
      <c r="B260" s="610"/>
      <c r="C260" s="610"/>
      <c r="D260" s="610"/>
      <c r="E260" s="610"/>
      <c r="F260" s="610"/>
      <c r="G260" s="610"/>
      <c r="H260" s="610"/>
      <c r="I260" s="610"/>
      <c r="J260" s="610"/>
      <c r="K260" s="610"/>
      <c r="L260" s="610"/>
      <c r="M260" s="610"/>
      <c r="N260" s="610"/>
      <c r="O260" s="610"/>
    </row>
    <row r="261" spans="2:15" ht="12.75" hidden="1" customHeight="1" x14ac:dyDescent="0.25">
      <c r="B261" s="610"/>
      <c r="C261" s="610"/>
      <c r="D261" s="610"/>
      <c r="E261" s="610"/>
      <c r="F261" s="610"/>
      <c r="G261" s="610"/>
      <c r="H261" s="610"/>
      <c r="I261" s="610"/>
      <c r="J261" s="610"/>
      <c r="K261" s="610"/>
      <c r="L261" s="610"/>
      <c r="M261" s="610"/>
      <c r="N261" s="610"/>
      <c r="O261" s="610"/>
    </row>
    <row r="262" spans="2:15" ht="12.75" hidden="1" customHeight="1" x14ac:dyDescent="0.25">
      <c r="B262" s="610"/>
      <c r="C262" s="610"/>
      <c r="D262" s="610"/>
      <c r="E262" s="610"/>
      <c r="F262" s="610"/>
      <c r="G262" s="610"/>
      <c r="H262" s="610"/>
      <c r="I262" s="610"/>
      <c r="J262" s="610"/>
      <c r="K262" s="610"/>
      <c r="L262" s="610"/>
      <c r="M262" s="610"/>
      <c r="N262" s="610"/>
      <c r="O262" s="610"/>
    </row>
    <row r="263" spans="2:15" ht="12.75" hidden="1" customHeight="1" x14ac:dyDescent="0.25">
      <c r="B263" s="610"/>
      <c r="C263" s="610"/>
      <c r="D263" s="610"/>
      <c r="E263" s="610"/>
      <c r="F263" s="610"/>
      <c r="G263" s="610"/>
      <c r="H263" s="610"/>
      <c r="I263" s="610"/>
      <c r="J263" s="610"/>
      <c r="K263" s="610"/>
      <c r="L263" s="610"/>
      <c r="M263" s="610"/>
      <c r="N263" s="610"/>
      <c r="O263" s="610"/>
    </row>
    <row r="264" spans="2:15" ht="12.75" hidden="1" customHeight="1" x14ac:dyDescent="0.25">
      <c r="B264" s="610"/>
      <c r="C264" s="610"/>
      <c r="D264" s="610"/>
      <c r="E264" s="610"/>
      <c r="F264" s="610"/>
      <c r="G264" s="610"/>
      <c r="H264" s="610"/>
      <c r="I264" s="610"/>
      <c r="J264" s="610"/>
      <c r="K264" s="610"/>
      <c r="L264" s="610"/>
      <c r="M264" s="610"/>
      <c r="N264" s="610"/>
      <c r="O264" s="610"/>
    </row>
    <row r="265" spans="2:15" ht="12.75" hidden="1" customHeight="1" x14ac:dyDescent="0.25">
      <c r="B265" s="610"/>
      <c r="C265" s="610"/>
      <c r="D265" s="610"/>
      <c r="E265" s="610"/>
      <c r="F265" s="610"/>
      <c r="G265" s="610"/>
      <c r="H265" s="610"/>
      <c r="I265" s="610"/>
      <c r="J265" s="610"/>
      <c r="K265" s="610"/>
      <c r="L265" s="610"/>
      <c r="M265" s="610"/>
      <c r="N265" s="610"/>
      <c r="O265" s="610"/>
    </row>
    <row r="266" spans="2:15" ht="12.75" hidden="1" customHeight="1" x14ac:dyDescent="0.25">
      <c r="B266" s="610"/>
      <c r="C266" s="610"/>
      <c r="D266" s="610"/>
      <c r="E266" s="610"/>
      <c r="F266" s="610"/>
      <c r="G266" s="610"/>
      <c r="H266" s="610"/>
      <c r="I266" s="610"/>
      <c r="J266" s="610"/>
      <c r="K266" s="610"/>
      <c r="L266" s="610"/>
      <c r="M266" s="610"/>
      <c r="N266" s="610"/>
      <c r="O266" s="610"/>
    </row>
    <row r="267" spans="2:15" ht="12.75" hidden="1" customHeight="1" x14ac:dyDescent="0.25">
      <c r="B267" s="610"/>
      <c r="C267" s="610"/>
      <c r="D267" s="610"/>
      <c r="E267" s="610"/>
      <c r="F267" s="610"/>
      <c r="G267" s="610"/>
      <c r="H267" s="610"/>
      <c r="I267" s="610"/>
      <c r="J267" s="610"/>
      <c r="K267" s="610"/>
      <c r="L267" s="610"/>
      <c r="M267" s="610"/>
      <c r="N267" s="610"/>
      <c r="O267" s="610"/>
    </row>
    <row r="268" spans="2:15" ht="12.75" hidden="1" customHeight="1" x14ac:dyDescent="0.25">
      <c r="B268" s="610"/>
      <c r="C268" s="610"/>
      <c r="D268" s="610"/>
      <c r="E268" s="610"/>
      <c r="F268" s="610"/>
      <c r="G268" s="610"/>
      <c r="H268" s="610"/>
      <c r="I268" s="610"/>
      <c r="J268" s="610"/>
      <c r="K268" s="610"/>
      <c r="L268" s="610"/>
      <c r="M268" s="610"/>
      <c r="N268" s="610"/>
      <c r="O268" s="610"/>
    </row>
    <row r="269" spans="2:15" ht="12.75" hidden="1" customHeight="1" x14ac:dyDescent="0.25">
      <c r="B269" s="610"/>
      <c r="C269" s="610"/>
      <c r="D269" s="610"/>
      <c r="E269" s="610"/>
      <c r="F269" s="610"/>
      <c r="G269" s="610"/>
      <c r="H269" s="610"/>
      <c r="I269" s="610"/>
      <c r="J269" s="610"/>
      <c r="K269" s="610"/>
      <c r="L269" s="610"/>
      <c r="M269" s="610"/>
      <c r="N269" s="610"/>
      <c r="O269" s="610"/>
    </row>
    <row r="270" spans="2:15" ht="12.75" hidden="1" customHeight="1" x14ac:dyDescent="0.25">
      <c r="B270" s="610"/>
      <c r="C270" s="610"/>
      <c r="D270" s="610"/>
      <c r="E270" s="610"/>
      <c r="F270" s="610"/>
      <c r="G270" s="610"/>
      <c r="H270" s="610"/>
      <c r="I270" s="610"/>
      <c r="J270" s="610"/>
      <c r="K270" s="610"/>
      <c r="L270" s="610"/>
      <c r="M270" s="610"/>
      <c r="N270" s="610"/>
      <c r="O270" s="610"/>
    </row>
    <row r="271" spans="2:15" ht="12.75" hidden="1" customHeight="1" x14ac:dyDescent="0.25">
      <c r="B271" s="610"/>
      <c r="C271" s="610"/>
      <c r="D271" s="610"/>
      <c r="E271" s="610"/>
      <c r="F271" s="610"/>
      <c r="G271" s="610"/>
      <c r="H271" s="610"/>
      <c r="I271" s="610"/>
      <c r="J271" s="610"/>
      <c r="K271" s="610"/>
      <c r="L271" s="610"/>
      <c r="M271" s="610"/>
      <c r="N271" s="610"/>
      <c r="O271" s="610"/>
    </row>
    <row r="272" spans="2:15" ht="12.75" hidden="1" customHeight="1" x14ac:dyDescent="0.25">
      <c r="B272" s="610"/>
      <c r="C272" s="610"/>
      <c r="D272" s="610"/>
      <c r="E272" s="610"/>
      <c r="F272" s="610"/>
      <c r="G272" s="610"/>
      <c r="H272" s="610"/>
      <c r="I272" s="610"/>
      <c r="J272" s="610"/>
      <c r="K272" s="610"/>
      <c r="L272" s="610"/>
      <c r="M272" s="610"/>
      <c r="N272" s="610"/>
      <c r="O272" s="610"/>
    </row>
    <row r="273" spans="2:15" ht="12.75" hidden="1" customHeight="1" x14ac:dyDescent="0.25">
      <c r="B273" s="610"/>
      <c r="C273" s="610"/>
      <c r="D273" s="610"/>
      <c r="E273" s="610"/>
      <c r="F273" s="610"/>
      <c r="G273" s="610"/>
      <c r="H273" s="610"/>
      <c r="I273" s="610"/>
      <c r="J273" s="610"/>
      <c r="K273" s="610"/>
      <c r="L273" s="610"/>
      <c r="M273" s="610"/>
      <c r="N273" s="610"/>
      <c r="O273" s="610"/>
    </row>
    <row r="274" spans="2:15" ht="12.75" hidden="1" customHeight="1" x14ac:dyDescent="0.25">
      <c r="B274" s="610"/>
      <c r="C274" s="610"/>
      <c r="D274" s="610"/>
      <c r="E274" s="610"/>
      <c r="F274" s="610"/>
      <c r="G274" s="610"/>
      <c r="H274" s="610"/>
      <c r="I274" s="610"/>
      <c r="J274" s="610"/>
      <c r="K274" s="610"/>
      <c r="L274" s="610"/>
      <c r="M274" s="610"/>
      <c r="N274" s="610"/>
      <c r="O274" s="610"/>
    </row>
    <row r="275" spans="2:15" ht="12.75" hidden="1" customHeight="1" x14ac:dyDescent="0.25">
      <c r="B275" s="610"/>
      <c r="C275" s="610"/>
      <c r="D275" s="610"/>
      <c r="E275" s="610"/>
      <c r="F275" s="610"/>
      <c r="G275" s="610"/>
      <c r="H275" s="610"/>
      <c r="I275" s="610"/>
      <c r="J275" s="610"/>
      <c r="K275" s="610"/>
      <c r="L275" s="610"/>
      <c r="M275" s="610"/>
      <c r="N275" s="610"/>
      <c r="O275" s="610"/>
    </row>
    <row r="276" spans="2:15" ht="12.75" hidden="1" customHeight="1" x14ac:dyDescent="0.25">
      <c r="B276" s="610"/>
      <c r="C276" s="610"/>
      <c r="D276" s="610"/>
      <c r="E276" s="610"/>
      <c r="F276" s="610"/>
      <c r="G276" s="610"/>
      <c r="H276" s="610"/>
      <c r="I276" s="610"/>
      <c r="J276" s="610"/>
      <c r="K276" s="610"/>
      <c r="L276" s="610"/>
      <c r="M276" s="610"/>
      <c r="N276" s="610"/>
      <c r="O276" s="610"/>
    </row>
    <row r="277" spans="2:15" ht="12.75" hidden="1" customHeight="1" x14ac:dyDescent="0.25">
      <c r="B277" s="610"/>
      <c r="C277" s="610"/>
      <c r="D277" s="610"/>
      <c r="E277" s="610"/>
      <c r="F277" s="610"/>
      <c r="G277" s="610"/>
      <c r="H277" s="610"/>
      <c r="I277" s="610"/>
      <c r="J277" s="610"/>
      <c r="K277" s="610"/>
      <c r="L277" s="610"/>
      <c r="M277" s="610"/>
      <c r="N277" s="610"/>
      <c r="O277" s="610"/>
    </row>
    <row r="278" spans="2:15" ht="12.75" hidden="1" customHeight="1" x14ac:dyDescent="0.25">
      <c r="B278" s="610"/>
      <c r="C278" s="610"/>
      <c r="D278" s="610"/>
      <c r="E278" s="610"/>
      <c r="F278" s="610"/>
      <c r="G278" s="610"/>
      <c r="H278" s="610"/>
      <c r="I278" s="610"/>
      <c r="J278" s="610"/>
      <c r="K278" s="610"/>
      <c r="L278" s="610"/>
      <c r="M278" s="610"/>
      <c r="N278" s="610"/>
      <c r="O278" s="610"/>
    </row>
    <row r="279" spans="2:15" ht="12.75" hidden="1" customHeight="1" x14ac:dyDescent="0.25">
      <c r="B279" s="610"/>
      <c r="C279" s="610"/>
      <c r="D279" s="610"/>
      <c r="E279" s="610"/>
      <c r="F279" s="610"/>
      <c r="G279" s="610"/>
      <c r="H279" s="610"/>
      <c r="I279" s="610"/>
      <c r="J279" s="610"/>
      <c r="K279" s="610"/>
      <c r="L279" s="610"/>
      <c r="M279" s="610"/>
      <c r="N279" s="610"/>
      <c r="O279" s="610"/>
    </row>
    <row r="280" spans="2:15" ht="12.75" hidden="1" customHeight="1" x14ac:dyDescent="0.25">
      <c r="B280" s="610"/>
      <c r="C280" s="610"/>
      <c r="D280" s="610"/>
      <c r="E280" s="610"/>
      <c r="F280" s="610"/>
      <c r="G280" s="610"/>
      <c r="H280" s="610"/>
      <c r="I280" s="610"/>
      <c r="J280" s="610"/>
      <c r="K280" s="610"/>
      <c r="L280" s="610"/>
      <c r="M280" s="610"/>
      <c r="N280" s="610"/>
      <c r="O280" s="610"/>
    </row>
    <row r="281" spans="2:15" ht="12.75" hidden="1" customHeight="1" x14ac:dyDescent="0.25">
      <c r="B281" s="610"/>
      <c r="C281" s="610"/>
      <c r="D281" s="610"/>
      <c r="E281" s="610"/>
      <c r="F281" s="610"/>
      <c r="G281" s="610"/>
      <c r="H281" s="610"/>
      <c r="I281" s="610"/>
      <c r="J281" s="610"/>
      <c r="K281" s="610"/>
      <c r="L281" s="610"/>
      <c r="M281" s="610"/>
      <c r="N281" s="610"/>
      <c r="O281" s="610"/>
    </row>
    <row r="282" spans="2:15" ht="12.75" hidden="1" customHeight="1" x14ac:dyDescent="0.25">
      <c r="B282" s="610"/>
      <c r="C282" s="610"/>
      <c r="D282" s="610"/>
      <c r="E282" s="610"/>
      <c r="F282" s="610"/>
      <c r="G282" s="610"/>
      <c r="H282" s="610"/>
      <c r="I282" s="610"/>
      <c r="J282" s="610"/>
      <c r="K282" s="610"/>
      <c r="L282" s="610"/>
      <c r="M282" s="610"/>
      <c r="N282" s="610"/>
      <c r="O282" s="610"/>
    </row>
    <row r="283" spans="2:15" ht="12.75" hidden="1" customHeight="1" x14ac:dyDescent="0.25">
      <c r="B283" s="610"/>
      <c r="C283" s="610"/>
      <c r="D283" s="610"/>
      <c r="E283" s="610"/>
      <c r="F283" s="610"/>
      <c r="G283" s="610"/>
      <c r="H283" s="610"/>
      <c r="I283" s="610"/>
      <c r="J283" s="610"/>
      <c r="K283" s="610"/>
      <c r="L283" s="610"/>
      <c r="M283" s="610"/>
      <c r="N283" s="610"/>
      <c r="O283" s="610"/>
    </row>
    <row r="284" spans="2:15" ht="12.75" hidden="1" customHeight="1" x14ac:dyDescent="0.25">
      <c r="B284" s="610"/>
      <c r="C284" s="610"/>
      <c r="D284" s="610"/>
      <c r="E284" s="610"/>
      <c r="F284" s="610"/>
      <c r="G284" s="610"/>
      <c r="H284" s="610"/>
      <c r="I284" s="610"/>
      <c r="J284" s="610"/>
      <c r="K284" s="610"/>
      <c r="L284" s="610"/>
      <c r="M284" s="610"/>
      <c r="N284" s="610"/>
      <c r="O284" s="610"/>
    </row>
    <row r="285" spans="2:15" ht="12.75" hidden="1" customHeight="1" x14ac:dyDescent="0.25">
      <c r="B285" s="610"/>
      <c r="C285" s="610"/>
      <c r="D285" s="610"/>
      <c r="E285" s="610"/>
      <c r="F285" s="610"/>
      <c r="G285" s="610"/>
      <c r="H285" s="610"/>
      <c r="I285" s="610"/>
      <c r="J285" s="610"/>
      <c r="K285" s="610"/>
      <c r="L285" s="610"/>
      <c r="M285" s="610"/>
      <c r="N285" s="610"/>
      <c r="O285" s="610"/>
    </row>
    <row r="286" spans="2:15" ht="12.75" hidden="1" customHeight="1" x14ac:dyDescent="0.25">
      <c r="B286" s="610"/>
      <c r="C286" s="610"/>
      <c r="D286" s="610"/>
      <c r="E286" s="610"/>
      <c r="F286" s="610"/>
      <c r="G286" s="610"/>
      <c r="H286" s="610"/>
      <c r="I286" s="610"/>
      <c r="J286" s="610"/>
      <c r="K286" s="610"/>
      <c r="L286" s="610"/>
      <c r="M286" s="610"/>
      <c r="N286" s="610"/>
      <c r="O286" s="610"/>
    </row>
    <row r="287" spans="2:15" ht="12.75" hidden="1" customHeight="1" x14ac:dyDescent="0.25">
      <c r="B287" s="610"/>
      <c r="C287" s="610"/>
      <c r="D287" s="610"/>
      <c r="E287" s="610"/>
      <c r="F287" s="610"/>
      <c r="G287" s="610"/>
      <c r="H287" s="610"/>
      <c r="I287" s="610"/>
      <c r="J287" s="610"/>
      <c r="K287" s="610"/>
      <c r="L287" s="610"/>
      <c r="M287" s="610"/>
      <c r="N287" s="610"/>
      <c r="O287" s="610"/>
    </row>
    <row r="288" spans="2:15" ht="12.75" hidden="1" customHeight="1" x14ac:dyDescent="0.25">
      <c r="B288" s="610"/>
      <c r="C288" s="610"/>
      <c r="D288" s="610"/>
      <c r="E288" s="610"/>
      <c r="F288" s="610"/>
      <c r="G288" s="610"/>
      <c r="H288" s="610"/>
      <c r="I288" s="610"/>
      <c r="J288" s="610"/>
      <c r="K288" s="610"/>
      <c r="L288" s="610"/>
      <c r="M288" s="610"/>
      <c r="N288" s="610"/>
      <c r="O288" s="610"/>
    </row>
    <row r="289" spans="2:15" ht="12.75" hidden="1" customHeight="1" x14ac:dyDescent="0.25">
      <c r="B289" s="610"/>
      <c r="C289" s="610"/>
      <c r="D289" s="610"/>
      <c r="E289" s="610"/>
      <c r="F289" s="610"/>
      <c r="G289" s="610"/>
      <c r="H289" s="610"/>
      <c r="I289" s="610"/>
      <c r="J289" s="610"/>
      <c r="K289" s="610"/>
      <c r="L289" s="610"/>
      <c r="M289" s="610"/>
      <c r="N289" s="610"/>
      <c r="O289" s="610"/>
    </row>
    <row r="290" spans="2:15" ht="12.75" hidden="1" customHeight="1" x14ac:dyDescent="0.25">
      <c r="B290" s="610"/>
      <c r="C290" s="610"/>
      <c r="D290" s="610"/>
      <c r="E290" s="610"/>
      <c r="F290" s="610"/>
      <c r="G290" s="610"/>
      <c r="H290" s="610"/>
      <c r="I290" s="610"/>
      <c r="J290" s="610"/>
      <c r="K290" s="610"/>
      <c r="L290" s="610"/>
      <c r="M290" s="610"/>
      <c r="N290" s="610"/>
      <c r="O290" s="610"/>
    </row>
    <row r="291" spans="2:15" ht="12.75" hidden="1" customHeight="1" x14ac:dyDescent="0.25">
      <c r="B291" s="610"/>
      <c r="C291" s="610"/>
      <c r="D291" s="610"/>
      <c r="E291" s="610"/>
      <c r="F291" s="610"/>
      <c r="G291" s="610"/>
      <c r="H291" s="610"/>
      <c r="I291" s="610"/>
      <c r="J291" s="610"/>
      <c r="K291" s="610"/>
      <c r="L291" s="610"/>
      <c r="M291" s="610"/>
      <c r="N291" s="610"/>
      <c r="O291" s="610"/>
    </row>
    <row r="292" spans="2:15" ht="12.75" hidden="1" customHeight="1" x14ac:dyDescent="0.25">
      <c r="B292" s="610"/>
      <c r="C292" s="610"/>
      <c r="D292" s="610"/>
      <c r="E292" s="610"/>
      <c r="F292" s="610"/>
      <c r="G292" s="610"/>
      <c r="H292" s="610"/>
      <c r="I292" s="610"/>
      <c r="J292" s="610"/>
      <c r="K292" s="610"/>
      <c r="L292" s="610"/>
      <c r="M292" s="610"/>
      <c r="N292" s="610"/>
      <c r="O292" s="610"/>
    </row>
    <row r="293" spans="2:15" ht="12.75" hidden="1" customHeight="1" x14ac:dyDescent="0.25">
      <c r="B293" s="610"/>
      <c r="C293" s="610"/>
      <c r="D293" s="610"/>
      <c r="E293" s="610"/>
      <c r="F293" s="610"/>
      <c r="G293" s="610"/>
      <c r="H293" s="610"/>
      <c r="I293" s="610"/>
      <c r="J293" s="610"/>
      <c r="K293" s="610"/>
      <c r="L293" s="610"/>
      <c r="M293" s="610"/>
      <c r="N293" s="610"/>
      <c r="O293" s="610"/>
    </row>
    <row r="294" spans="2:15" ht="12.75" hidden="1" customHeight="1" x14ac:dyDescent="0.25">
      <c r="B294" s="610"/>
      <c r="C294" s="610"/>
      <c r="D294" s="610"/>
      <c r="E294" s="610"/>
      <c r="F294" s="610"/>
      <c r="G294" s="610"/>
      <c r="H294" s="610"/>
      <c r="I294" s="610"/>
      <c r="J294" s="610"/>
      <c r="K294" s="610"/>
      <c r="L294" s="610"/>
      <c r="M294" s="610"/>
      <c r="N294" s="610"/>
      <c r="O294" s="610"/>
    </row>
    <row r="295" spans="2:15" ht="12.75" hidden="1" customHeight="1" x14ac:dyDescent="0.25">
      <c r="B295" s="610"/>
      <c r="C295" s="610"/>
      <c r="D295" s="610"/>
      <c r="E295" s="610"/>
      <c r="F295" s="610"/>
      <c r="G295" s="610"/>
      <c r="H295" s="610"/>
      <c r="I295" s="610"/>
      <c r="J295" s="610"/>
      <c r="K295" s="610"/>
      <c r="L295" s="610"/>
      <c r="M295" s="610"/>
      <c r="N295" s="610"/>
      <c r="O295" s="610"/>
    </row>
    <row r="296" spans="2:15" ht="12.75" hidden="1" customHeight="1" x14ac:dyDescent="0.25">
      <c r="B296" s="610"/>
      <c r="C296" s="610"/>
      <c r="D296" s="610"/>
      <c r="E296" s="610"/>
      <c r="F296" s="610"/>
      <c r="G296" s="610"/>
      <c r="H296" s="610"/>
      <c r="I296" s="610"/>
      <c r="J296" s="610"/>
      <c r="K296" s="610"/>
      <c r="L296" s="610"/>
      <c r="M296" s="610"/>
      <c r="N296" s="610"/>
      <c r="O296" s="610"/>
    </row>
    <row r="297" spans="2:15" ht="12.75" hidden="1" customHeight="1" x14ac:dyDescent="0.25">
      <c r="B297" s="610"/>
      <c r="C297" s="610"/>
      <c r="D297" s="610"/>
      <c r="E297" s="610"/>
      <c r="F297" s="610"/>
      <c r="G297" s="610"/>
      <c r="H297" s="610"/>
      <c r="I297" s="610"/>
      <c r="J297" s="610"/>
      <c r="K297" s="610"/>
      <c r="L297" s="610"/>
      <c r="M297" s="610"/>
      <c r="N297" s="610"/>
      <c r="O297" s="610"/>
    </row>
    <row r="298" spans="2:15" ht="12.75" hidden="1" customHeight="1" x14ac:dyDescent="0.25">
      <c r="B298" s="610"/>
      <c r="C298" s="610"/>
      <c r="D298" s="610"/>
      <c r="E298" s="610"/>
      <c r="F298" s="610"/>
      <c r="G298" s="610"/>
      <c r="H298" s="610"/>
      <c r="I298" s="610"/>
      <c r="J298" s="610"/>
      <c r="K298" s="610"/>
      <c r="L298" s="610"/>
      <c r="M298" s="610"/>
      <c r="N298" s="610"/>
      <c r="O298" s="610"/>
    </row>
    <row r="299" spans="2:15" ht="12.75" hidden="1" customHeight="1" x14ac:dyDescent="0.25">
      <c r="B299" s="610"/>
      <c r="C299" s="610"/>
      <c r="D299" s="610"/>
      <c r="E299" s="610"/>
      <c r="F299" s="610"/>
      <c r="G299" s="610"/>
      <c r="H299" s="610"/>
      <c r="I299" s="610"/>
      <c r="J299" s="610"/>
      <c r="K299" s="610"/>
      <c r="L299" s="610"/>
      <c r="M299" s="610"/>
      <c r="N299" s="610"/>
      <c r="O299" s="610"/>
    </row>
    <row r="300" spans="2:15" ht="12.75" hidden="1" customHeight="1" x14ac:dyDescent="0.25">
      <c r="B300" s="610"/>
      <c r="C300" s="610"/>
      <c r="D300" s="610"/>
      <c r="E300" s="610"/>
      <c r="F300" s="610"/>
      <c r="G300" s="610"/>
      <c r="H300" s="610"/>
      <c r="I300" s="610"/>
      <c r="J300" s="610"/>
      <c r="K300" s="610"/>
      <c r="L300" s="610"/>
      <c r="M300" s="610"/>
      <c r="N300" s="610"/>
      <c r="O300" s="610"/>
    </row>
    <row r="301" spans="2:15" ht="12.75" hidden="1" customHeight="1" x14ac:dyDescent="0.25">
      <c r="B301" s="610"/>
      <c r="C301" s="610"/>
      <c r="D301" s="610"/>
      <c r="E301" s="610"/>
      <c r="F301" s="610"/>
      <c r="G301" s="610"/>
      <c r="H301" s="610"/>
      <c r="I301" s="610"/>
      <c r="J301" s="610"/>
      <c r="K301" s="610"/>
      <c r="L301" s="610"/>
      <c r="M301" s="610"/>
      <c r="N301" s="610"/>
      <c r="O301" s="610"/>
    </row>
    <row r="302" spans="2:15" ht="12.75" hidden="1" customHeight="1" x14ac:dyDescent="0.25">
      <c r="B302" s="610"/>
      <c r="C302" s="610"/>
      <c r="D302" s="610"/>
      <c r="E302" s="610"/>
      <c r="F302" s="610"/>
      <c r="G302" s="610"/>
      <c r="H302" s="610"/>
      <c r="I302" s="610"/>
      <c r="J302" s="610"/>
      <c r="K302" s="610"/>
      <c r="L302" s="610"/>
      <c r="M302" s="610"/>
      <c r="N302" s="610"/>
      <c r="O302" s="610"/>
    </row>
    <row r="303" spans="2:15" ht="12.75" hidden="1" customHeight="1" x14ac:dyDescent="0.25">
      <c r="B303" s="610"/>
      <c r="C303" s="610"/>
      <c r="D303" s="610"/>
      <c r="E303" s="610"/>
      <c r="F303" s="610"/>
      <c r="G303" s="610"/>
      <c r="H303" s="610"/>
      <c r="I303" s="610"/>
      <c r="J303" s="610"/>
      <c r="K303" s="610"/>
      <c r="L303" s="610"/>
      <c r="M303" s="610"/>
      <c r="N303" s="610"/>
      <c r="O303" s="610"/>
    </row>
    <row r="304" spans="2:15" ht="12.75" hidden="1" customHeight="1" x14ac:dyDescent="0.25">
      <c r="B304" s="610"/>
      <c r="C304" s="610"/>
      <c r="D304" s="610"/>
      <c r="E304" s="610"/>
      <c r="F304" s="610"/>
      <c r="G304" s="610"/>
      <c r="H304" s="610"/>
      <c r="I304" s="610"/>
      <c r="J304" s="610"/>
      <c r="K304" s="610"/>
      <c r="L304" s="610"/>
      <c r="M304" s="610"/>
      <c r="N304" s="610"/>
      <c r="O304" s="610"/>
    </row>
    <row r="305" spans="1:18" ht="12.75" hidden="1" customHeight="1" x14ac:dyDescent="0.25">
      <c r="B305" s="610"/>
      <c r="C305" s="610"/>
      <c r="D305" s="610"/>
      <c r="E305" s="610"/>
      <c r="F305" s="610"/>
      <c r="G305" s="610"/>
      <c r="H305" s="610"/>
      <c r="I305" s="610"/>
      <c r="J305" s="610"/>
      <c r="K305" s="610"/>
      <c r="L305" s="610"/>
      <c r="M305" s="610"/>
      <c r="N305" s="610"/>
      <c r="O305" s="610"/>
    </row>
    <row r="306" spans="1:18" ht="12.75" hidden="1" customHeight="1" x14ac:dyDescent="0.25">
      <c r="B306" s="610"/>
      <c r="C306" s="610"/>
      <c r="D306" s="610"/>
      <c r="E306" s="610"/>
      <c r="F306" s="610"/>
      <c r="G306" s="610"/>
      <c r="H306" s="610"/>
      <c r="I306" s="610"/>
      <c r="J306" s="610"/>
      <c r="K306" s="610"/>
      <c r="L306" s="610"/>
      <c r="M306" s="610"/>
      <c r="N306" s="610"/>
      <c r="O306" s="610"/>
    </row>
    <row r="307" spans="1:18" ht="12.75" hidden="1" customHeight="1" x14ac:dyDescent="0.25">
      <c r="B307" s="610"/>
      <c r="C307" s="610"/>
      <c r="D307" s="610"/>
      <c r="E307" s="610"/>
      <c r="F307" s="610"/>
      <c r="G307" s="610"/>
      <c r="H307" s="610"/>
      <c r="I307" s="610"/>
      <c r="J307" s="610"/>
      <c r="K307" s="610"/>
      <c r="L307" s="610"/>
      <c r="M307" s="610"/>
      <c r="N307" s="610"/>
      <c r="O307" s="610"/>
    </row>
    <row r="308" spans="1:18" ht="12.75" hidden="1" customHeight="1" x14ac:dyDescent="0.25">
      <c r="B308" s="610"/>
      <c r="C308" s="610"/>
      <c r="D308" s="610"/>
      <c r="E308" s="610"/>
      <c r="F308" s="610"/>
      <c r="G308" s="610"/>
      <c r="H308" s="610"/>
      <c r="I308" s="610"/>
      <c r="J308" s="610"/>
      <c r="K308" s="610"/>
      <c r="L308" s="610"/>
      <c r="M308" s="610"/>
      <c r="N308" s="610"/>
      <c r="O308" s="610"/>
    </row>
    <row r="309" spans="1:18" ht="12.75" customHeight="1" x14ac:dyDescent="0.25">
      <c r="B309" s="610"/>
      <c r="C309" s="610"/>
      <c r="D309" s="610"/>
      <c r="E309" s="610"/>
      <c r="F309" s="610"/>
      <c r="G309" s="610"/>
      <c r="H309" s="610"/>
      <c r="I309" s="610"/>
      <c r="J309" s="610"/>
      <c r="K309" s="610"/>
      <c r="L309" s="610"/>
      <c r="M309" s="610"/>
      <c r="N309" s="610"/>
      <c r="O309" s="610"/>
    </row>
    <row r="310" spans="1:18" ht="12.75" customHeight="1" x14ac:dyDescent="0.25">
      <c r="A310" s="770" t="s">
        <v>2</v>
      </c>
      <c r="B310" s="769" t="s">
        <v>132</v>
      </c>
      <c r="C310" s="622" t="s">
        <v>70</v>
      </c>
      <c r="D310" s="622">
        <f>D234-P234</f>
        <v>-22250059.780000001</v>
      </c>
      <c r="E310" s="622">
        <f>E230+E224+E218</f>
        <v>-1367674.67</v>
      </c>
      <c r="F310" s="622">
        <f t="shared" ref="F310:R310" si="2">F230+F224+F218</f>
        <v>-719170.4</v>
      </c>
      <c r="G310" s="622">
        <f t="shared" si="2"/>
        <v>-382313.94</v>
      </c>
      <c r="H310" s="622">
        <f t="shared" si="2"/>
        <v>-5113171.58</v>
      </c>
      <c r="I310" s="622">
        <f t="shared" si="2"/>
        <v>-183488.2</v>
      </c>
      <c r="J310" s="622">
        <f t="shared" si="2"/>
        <v>-1619246.4100000001</v>
      </c>
      <c r="K310" s="622">
        <f t="shared" si="2"/>
        <v>-1602973.43</v>
      </c>
      <c r="L310" s="622">
        <f t="shared" si="2"/>
        <v>-8034602.9399999995</v>
      </c>
      <c r="M310" s="622">
        <f t="shared" si="2"/>
        <v>-3828497.81</v>
      </c>
      <c r="N310" s="622">
        <f t="shared" si="2"/>
        <v>-296831.71999999997</v>
      </c>
      <c r="O310" s="622">
        <f t="shared" si="2"/>
        <v>87.929999999999993</v>
      </c>
      <c r="P310" s="622">
        <f t="shared" si="2"/>
        <v>0</v>
      </c>
      <c r="Q310" s="622">
        <f t="shared" si="2"/>
        <v>0</v>
      </c>
      <c r="R310" s="622">
        <f t="shared" si="2"/>
        <v>0</v>
      </c>
    </row>
    <row r="311" spans="1:18" ht="12.75" customHeight="1" x14ac:dyDescent="0.25">
      <c r="A311" s="770"/>
      <c r="B311" s="769"/>
      <c r="C311" s="622" t="s">
        <v>73</v>
      </c>
      <c r="D311" s="622">
        <f>D232+D226+D220</f>
        <v>897823.3899999999</v>
      </c>
      <c r="E311" s="610"/>
      <c r="F311" s="610"/>
      <c r="G311" s="610"/>
      <c r="H311" s="610"/>
      <c r="I311" s="610"/>
      <c r="J311" s="610"/>
      <c r="K311" s="610"/>
      <c r="L311" s="610"/>
      <c r="M311" s="610"/>
      <c r="N311" s="610"/>
      <c r="O311" s="610"/>
      <c r="P311" s="610"/>
      <c r="Q311" s="610"/>
      <c r="R311" s="610"/>
    </row>
    <row r="312" spans="1:18" ht="12.75" customHeight="1" x14ac:dyDescent="0.3">
      <c r="A312" s="609"/>
      <c r="D312" s="610"/>
      <c r="E312" s="610"/>
      <c r="F312" s="610"/>
      <c r="G312" s="610"/>
      <c r="H312" s="610"/>
      <c r="I312" s="610"/>
      <c r="J312" s="610"/>
      <c r="K312" s="610"/>
      <c r="L312" s="610"/>
      <c r="M312" s="610"/>
      <c r="N312" s="610"/>
      <c r="O312" s="610"/>
      <c r="P312" s="610"/>
      <c r="Q312" s="610"/>
      <c r="R312" s="610"/>
    </row>
    <row r="313" spans="1:18" ht="12.75" customHeight="1" x14ac:dyDescent="0.25">
      <c r="A313" s="770" t="s">
        <v>160</v>
      </c>
      <c r="B313" s="769" t="s">
        <v>132</v>
      </c>
      <c r="C313" s="624" t="s">
        <v>70</v>
      </c>
      <c r="D313" s="624">
        <f>D227-P227</f>
        <v>-262000</v>
      </c>
      <c r="E313" s="624">
        <f>E224</f>
        <v>-15030.55</v>
      </c>
      <c r="F313" s="624">
        <f t="shared" ref="F313:R313" si="3">F224</f>
        <v>-8273.4699999999993</v>
      </c>
      <c r="G313" s="624">
        <f t="shared" si="3"/>
        <v>-4622.8599999999997</v>
      </c>
      <c r="H313" s="624">
        <f t="shared" si="3"/>
        <v>-60262.94</v>
      </c>
      <c r="I313" s="624">
        <f t="shared" si="3"/>
        <v>-1586.56</v>
      </c>
      <c r="J313" s="624">
        <f t="shared" si="3"/>
        <v>-13917.35</v>
      </c>
      <c r="K313" s="624">
        <f t="shared" si="3"/>
        <v>-18906.78</v>
      </c>
      <c r="L313" s="624">
        <f t="shared" si="3"/>
        <v>-95925.8</v>
      </c>
      <c r="M313" s="624">
        <f t="shared" si="3"/>
        <v>-38412.57</v>
      </c>
      <c r="N313" s="624">
        <f t="shared" si="3"/>
        <v>-2588.62</v>
      </c>
      <c r="O313" s="624">
        <f t="shared" si="3"/>
        <v>-1.32</v>
      </c>
      <c r="P313" s="624">
        <f t="shared" si="3"/>
        <v>0</v>
      </c>
      <c r="Q313" s="624">
        <f t="shared" si="3"/>
        <v>0</v>
      </c>
      <c r="R313" s="624">
        <f t="shared" si="3"/>
        <v>0</v>
      </c>
    </row>
    <row r="314" spans="1:18" ht="12.75" customHeight="1" x14ac:dyDescent="0.25">
      <c r="A314" s="770"/>
      <c r="B314" s="769"/>
      <c r="C314" s="624" t="s">
        <v>73</v>
      </c>
      <c r="D314" s="710">
        <f>D226</f>
        <v>-2471.1799999999998</v>
      </c>
      <c r="E314" s="610"/>
      <c r="F314" s="610"/>
      <c r="G314" s="610"/>
      <c r="H314" s="610"/>
      <c r="I314" s="610"/>
      <c r="J314" s="610"/>
      <c r="K314" s="610"/>
      <c r="L314" s="610"/>
      <c r="M314" s="610"/>
      <c r="N314" s="610"/>
      <c r="O314" s="610"/>
      <c r="P314" s="610"/>
      <c r="Q314" s="610"/>
      <c r="R314" s="610"/>
    </row>
    <row r="315" spans="1:18" ht="12.75" customHeight="1" x14ac:dyDescent="0.3">
      <c r="A315" s="609"/>
      <c r="D315" s="610"/>
      <c r="E315" s="610"/>
      <c r="F315" s="610"/>
      <c r="G315" s="610"/>
      <c r="H315" s="610"/>
      <c r="I315" s="610"/>
      <c r="J315" s="610"/>
      <c r="K315" s="610"/>
      <c r="L315" s="610"/>
      <c r="M315" s="610"/>
      <c r="N315" s="610"/>
      <c r="O315" s="610"/>
      <c r="P315" s="610"/>
      <c r="Q315" s="610"/>
      <c r="R315" s="610"/>
    </row>
    <row r="316" spans="1:18" ht="12.75" customHeight="1" x14ac:dyDescent="0.25">
      <c r="A316" s="770" t="s">
        <v>155</v>
      </c>
      <c r="B316" s="769" t="s">
        <v>132</v>
      </c>
      <c r="C316" s="625" t="s">
        <v>70</v>
      </c>
      <c r="D316" s="625">
        <f>D221-P221</f>
        <v>-20245524.780000001</v>
      </c>
      <c r="E316" s="625">
        <f>E218</f>
        <v>-1196448.3</v>
      </c>
      <c r="F316" s="625">
        <f t="shared" ref="F316:R316" si="4">F218</f>
        <v>-664404.36</v>
      </c>
      <c r="G316" s="625">
        <f t="shared" si="4"/>
        <v>-360883.75</v>
      </c>
      <c r="H316" s="625">
        <f t="shared" si="4"/>
        <v>-4685929.54</v>
      </c>
      <c r="I316" s="625">
        <f t="shared" si="4"/>
        <v>-166519.81</v>
      </c>
      <c r="J316" s="625">
        <f t="shared" si="4"/>
        <v>-1470400.62</v>
      </c>
      <c r="K316" s="625">
        <f t="shared" si="4"/>
        <v>-1455377.67</v>
      </c>
      <c r="L316" s="625">
        <f t="shared" si="4"/>
        <v>-7399406.1699999999</v>
      </c>
      <c r="M316" s="625">
        <f t="shared" si="4"/>
        <v>-3269494.65</v>
      </c>
      <c r="N316" s="625">
        <f t="shared" si="4"/>
        <v>-270007.23</v>
      </c>
      <c r="O316" s="625">
        <f t="shared" si="4"/>
        <v>66.739999999999995</v>
      </c>
      <c r="P316" s="625">
        <f t="shared" si="4"/>
        <v>0</v>
      </c>
      <c r="Q316" s="625">
        <f t="shared" si="4"/>
        <v>0</v>
      </c>
      <c r="R316" s="625">
        <f t="shared" si="4"/>
        <v>0</v>
      </c>
    </row>
    <row r="317" spans="1:18" ht="12.75" customHeight="1" x14ac:dyDescent="0.25">
      <c r="A317" s="770"/>
      <c r="B317" s="769"/>
      <c r="C317" s="625" t="s">
        <v>73</v>
      </c>
      <c r="D317" s="625">
        <f>D220</f>
        <v>693280.58</v>
      </c>
      <c r="E317" s="610"/>
      <c r="F317" s="610"/>
      <c r="G317" s="610"/>
      <c r="H317" s="610"/>
      <c r="I317" s="610"/>
      <c r="J317" s="610"/>
      <c r="K317" s="610"/>
      <c r="L317" s="610"/>
      <c r="M317" s="610"/>
      <c r="N317" s="610"/>
      <c r="O317" s="610"/>
      <c r="P317" s="610"/>
      <c r="Q317" s="610"/>
      <c r="R317" s="610"/>
    </row>
    <row r="318" spans="1:18" ht="12.75" customHeight="1" x14ac:dyDescent="0.25">
      <c r="A318" s="720"/>
      <c r="B318" s="719"/>
      <c r="C318" s="610"/>
      <c r="D318" s="610"/>
      <c r="E318" s="610"/>
      <c r="F318" s="610"/>
      <c r="G318" s="610"/>
      <c r="H318" s="610"/>
      <c r="I318" s="610"/>
      <c r="J318" s="610"/>
      <c r="K318" s="610"/>
      <c r="L318" s="610"/>
      <c r="M318" s="610"/>
      <c r="N318" s="610"/>
      <c r="O318" s="610"/>
      <c r="P318" s="610"/>
      <c r="Q318" s="610"/>
      <c r="R318" s="610"/>
    </row>
    <row r="319" spans="1:18" ht="12.75" customHeight="1" x14ac:dyDescent="0.25">
      <c r="A319" s="768" t="s">
        <v>324</v>
      </c>
      <c r="B319" s="769" t="s">
        <v>132</v>
      </c>
      <c r="C319" s="625" t="s">
        <v>70</v>
      </c>
      <c r="D319" s="718">
        <v>0</v>
      </c>
      <c r="E319" s="718">
        <v>0</v>
      </c>
      <c r="F319" s="718">
        <v>0</v>
      </c>
      <c r="G319" s="718">
        <v>0</v>
      </c>
      <c r="H319" s="718">
        <v>0</v>
      </c>
      <c r="I319" s="718">
        <v>0</v>
      </c>
      <c r="J319" s="718">
        <v>0</v>
      </c>
      <c r="K319" s="718">
        <v>0</v>
      </c>
      <c r="L319" s="718">
        <v>0</v>
      </c>
      <c r="M319" s="718">
        <v>0</v>
      </c>
      <c r="N319" s="718">
        <v>0</v>
      </c>
      <c r="O319" s="718">
        <v>0</v>
      </c>
      <c r="P319" s="718">
        <v>0</v>
      </c>
      <c r="Q319" s="718">
        <v>0</v>
      </c>
      <c r="R319" s="718">
        <v>0</v>
      </c>
    </row>
    <row r="320" spans="1:18" ht="12.75" customHeight="1" x14ac:dyDescent="0.25">
      <c r="A320" s="768"/>
      <c r="B320" s="769"/>
      <c r="C320" s="625" t="s">
        <v>73</v>
      </c>
      <c r="D320" s="718">
        <v>0</v>
      </c>
      <c r="E320" s="610"/>
      <c r="F320" s="610"/>
      <c r="G320" s="610"/>
      <c r="H320" s="610"/>
      <c r="I320" s="610"/>
      <c r="J320" s="610"/>
      <c r="K320" s="610"/>
      <c r="L320" s="610"/>
      <c r="M320" s="610"/>
      <c r="N320" s="610"/>
      <c r="O320" s="610"/>
      <c r="P320" s="610"/>
      <c r="Q320" s="610"/>
    </row>
    <row r="321" spans="1:18" ht="12.75" customHeight="1" x14ac:dyDescent="0.3">
      <c r="A321" s="609"/>
      <c r="D321" s="610"/>
      <c r="E321" s="610"/>
      <c r="F321" s="610"/>
      <c r="G321" s="610"/>
      <c r="H321" s="610"/>
      <c r="I321" s="610"/>
      <c r="J321" s="610"/>
      <c r="K321" s="610"/>
      <c r="L321" s="610"/>
      <c r="M321" s="610"/>
      <c r="N321" s="610"/>
      <c r="O321" s="610"/>
      <c r="P321" s="610"/>
      <c r="Q321" s="610"/>
      <c r="R321" s="610"/>
    </row>
    <row r="322" spans="1:18" ht="12.75" customHeight="1" x14ac:dyDescent="0.25">
      <c r="A322" s="770" t="s">
        <v>119</v>
      </c>
      <c r="B322" s="769" t="s">
        <v>132</v>
      </c>
      <c r="C322" s="620" t="s">
        <v>70</v>
      </c>
      <c r="D322" s="620">
        <f>D233-P233</f>
        <v>-1742535</v>
      </c>
      <c r="E322" s="620">
        <f>E230</f>
        <v>-156195.82</v>
      </c>
      <c r="F322" s="620">
        <f t="shared" ref="F322:R322" si="5">F230</f>
        <v>-46492.57</v>
      </c>
      <c r="G322" s="620">
        <f t="shared" si="5"/>
        <v>-16807.330000000002</v>
      </c>
      <c r="H322" s="620">
        <f t="shared" si="5"/>
        <v>-366979.1</v>
      </c>
      <c r="I322" s="620">
        <f t="shared" si="5"/>
        <v>-15381.83</v>
      </c>
      <c r="J322" s="620">
        <f t="shared" si="5"/>
        <v>-134928.44</v>
      </c>
      <c r="K322" s="620">
        <f t="shared" si="5"/>
        <v>-128688.98</v>
      </c>
      <c r="L322" s="620">
        <f t="shared" si="5"/>
        <v>-539270.97</v>
      </c>
      <c r="M322" s="620">
        <f t="shared" si="5"/>
        <v>-520590.59</v>
      </c>
      <c r="N322" s="620">
        <f t="shared" si="5"/>
        <v>-24235.87</v>
      </c>
      <c r="O322" s="620">
        <f t="shared" si="5"/>
        <v>22.51</v>
      </c>
      <c r="P322" s="620">
        <f t="shared" si="5"/>
        <v>0</v>
      </c>
      <c r="Q322" s="620">
        <f t="shared" si="5"/>
        <v>0</v>
      </c>
      <c r="R322" s="620">
        <f t="shared" si="5"/>
        <v>0</v>
      </c>
    </row>
    <row r="323" spans="1:18" ht="12.75" customHeight="1" x14ac:dyDescent="0.25">
      <c r="A323" s="770"/>
      <c r="B323" s="769"/>
      <c r="C323" s="620" t="s">
        <v>73</v>
      </c>
      <c r="D323" s="620">
        <f>D232</f>
        <v>207013.99</v>
      </c>
      <c r="E323" s="610"/>
      <c r="F323" s="610"/>
      <c r="G323" s="610"/>
      <c r="H323" s="610"/>
      <c r="I323" s="610"/>
      <c r="J323" s="610"/>
      <c r="K323" s="610"/>
      <c r="L323" s="610"/>
      <c r="M323" s="610"/>
      <c r="N323" s="610"/>
      <c r="O323" s="610"/>
      <c r="P323" s="610"/>
      <c r="Q323" s="610"/>
      <c r="R323" s="610"/>
    </row>
    <row r="324" spans="1:18" ht="12.75" customHeight="1" x14ac:dyDescent="0.3">
      <c r="A324" s="609"/>
      <c r="D324" s="610"/>
      <c r="E324" s="610"/>
      <c r="F324" s="610"/>
      <c r="G324" s="610"/>
      <c r="H324" s="610"/>
      <c r="I324" s="610"/>
      <c r="J324" s="610"/>
      <c r="K324" s="610"/>
      <c r="L324" s="610"/>
      <c r="M324" s="610"/>
      <c r="N324" s="610"/>
      <c r="O324" s="610"/>
      <c r="P324" s="610"/>
      <c r="Q324" s="610"/>
      <c r="R324" s="610"/>
    </row>
    <row r="325" spans="1:18" ht="12.75" customHeight="1" x14ac:dyDescent="0.25">
      <c r="A325" s="771" t="s">
        <v>161</v>
      </c>
      <c r="B325" s="769" t="s">
        <v>132</v>
      </c>
      <c r="C325" s="626" t="s">
        <v>70</v>
      </c>
      <c r="D325" s="626">
        <v>0</v>
      </c>
      <c r="E325" s="626">
        <v>0</v>
      </c>
      <c r="F325" s="626">
        <v>0</v>
      </c>
      <c r="G325" s="626">
        <v>0</v>
      </c>
      <c r="H325" s="626">
        <v>0</v>
      </c>
      <c r="I325" s="626">
        <v>0</v>
      </c>
      <c r="J325" s="626">
        <v>0</v>
      </c>
      <c r="K325" s="626">
        <v>0</v>
      </c>
      <c r="L325" s="626">
        <v>0</v>
      </c>
      <c r="M325" s="626">
        <v>0</v>
      </c>
      <c r="N325" s="626">
        <v>0</v>
      </c>
      <c r="O325" s="626">
        <v>0</v>
      </c>
      <c r="P325" s="626">
        <v>0</v>
      </c>
      <c r="Q325" s="626">
        <v>0</v>
      </c>
      <c r="R325" s="626">
        <v>0</v>
      </c>
    </row>
    <row r="326" spans="1:18" ht="12.75" customHeight="1" x14ac:dyDescent="0.25">
      <c r="A326" s="771"/>
      <c r="B326" s="769"/>
      <c r="C326" s="626" t="s">
        <v>73</v>
      </c>
      <c r="D326" s="626">
        <v>0</v>
      </c>
      <c r="E326" s="610"/>
      <c r="F326" s="610"/>
      <c r="G326" s="610"/>
      <c r="H326" s="610"/>
      <c r="I326" s="610"/>
      <c r="J326" s="610"/>
      <c r="K326" s="610"/>
      <c r="L326" s="610"/>
      <c r="M326" s="610"/>
      <c r="N326" s="610"/>
      <c r="O326" s="610"/>
      <c r="P326" s="610"/>
      <c r="Q326" s="610"/>
    </row>
    <row r="327" spans="1:18" s="627" customFormat="1" x14ac:dyDescent="0.25"/>
    <row r="328" spans="1:18" ht="13" x14ac:dyDescent="0.3">
      <c r="B328" s="609" t="s">
        <v>93</v>
      </c>
    </row>
    <row r="329" spans="1:18" ht="12.75" customHeight="1" x14ac:dyDescent="0.25">
      <c r="D329" s="610" t="s">
        <v>70</v>
      </c>
      <c r="E329" s="610" t="s">
        <v>64</v>
      </c>
      <c r="F329" s="610" t="s">
        <v>65</v>
      </c>
      <c r="G329" s="611" t="s">
        <v>164</v>
      </c>
      <c r="H329" s="610" t="s">
        <v>69</v>
      </c>
      <c r="I329" s="610" t="s">
        <v>68</v>
      </c>
      <c r="J329" s="610" t="s">
        <v>66</v>
      </c>
      <c r="K329" s="610" t="s">
        <v>63</v>
      </c>
      <c r="L329" s="610" t="s">
        <v>61</v>
      </c>
      <c r="M329" s="610" t="s">
        <v>62</v>
      </c>
      <c r="N329" s="610" t="s">
        <v>67</v>
      </c>
      <c r="O329" s="610" t="s">
        <v>77</v>
      </c>
      <c r="P329" s="608" t="s">
        <v>71</v>
      </c>
      <c r="Q329" s="610" t="s">
        <v>80</v>
      </c>
      <c r="R329" s="608" t="s">
        <v>167</v>
      </c>
    </row>
    <row r="330" spans="1:18" ht="12" customHeight="1" x14ac:dyDescent="0.25">
      <c r="C330" s="610" t="s">
        <v>72</v>
      </c>
      <c r="D330" s="610">
        <v>-8162006.3799999999</v>
      </c>
      <c r="E330" s="610">
        <v>-408784.36</v>
      </c>
      <c r="F330" s="610">
        <v>-229879.77</v>
      </c>
      <c r="G330" s="610">
        <v>-121121.96</v>
      </c>
      <c r="H330" s="610">
        <v>-1864311.67</v>
      </c>
      <c r="I330" s="610">
        <v>-67464.240000000005</v>
      </c>
      <c r="J330" s="610">
        <v>-591786.99</v>
      </c>
      <c r="K330" s="610">
        <v>-569367.79</v>
      </c>
      <c r="L330" s="610">
        <v>-2964768.19</v>
      </c>
      <c r="M330" s="610">
        <v>-1234403.82</v>
      </c>
      <c r="N330" s="610">
        <v>-110072.93</v>
      </c>
      <c r="O330" s="610">
        <v>-44.66</v>
      </c>
      <c r="P330" s="608">
        <v>0</v>
      </c>
      <c r="Q330" s="610">
        <v>0</v>
      </c>
      <c r="R330" s="608">
        <v>0</v>
      </c>
    </row>
    <row r="331" spans="1:18" ht="12" customHeight="1" x14ac:dyDescent="0.25">
      <c r="C331" s="610" t="s">
        <v>81</v>
      </c>
      <c r="D331" s="610">
        <v>-1114.25</v>
      </c>
      <c r="E331" s="610">
        <v>-63.29</v>
      </c>
      <c r="F331" s="610">
        <v>-35.64</v>
      </c>
      <c r="G331" s="610">
        <v>-18.420000000000002</v>
      </c>
      <c r="H331" s="610">
        <v>-237.94</v>
      </c>
      <c r="I331" s="610">
        <v>-8.99</v>
      </c>
      <c r="J331" s="610">
        <v>-78.7</v>
      </c>
      <c r="K331" s="610">
        <v>-74.56</v>
      </c>
      <c r="L331" s="610">
        <v>-395.66</v>
      </c>
      <c r="M331" s="610">
        <v>-186.46</v>
      </c>
      <c r="N331" s="610">
        <v>-14.64</v>
      </c>
      <c r="O331" s="610">
        <v>0.05</v>
      </c>
      <c r="P331" s="608">
        <v>0</v>
      </c>
      <c r="Q331" s="610">
        <v>0</v>
      </c>
      <c r="R331" s="608">
        <v>0</v>
      </c>
    </row>
    <row r="332" spans="1:18" s="613" customFormat="1" ht="12.75" customHeight="1" x14ac:dyDescent="0.25">
      <c r="A332" s="614"/>
      <c r="B332" s="613" t="s">
        <v>78</v>
      </c>
      <c r="C332" s="613" t="s">
        <v>70</v>
      </c>
      <c r="D332" s="614">
        <v>-8163120.6299999999</v>
      </c>
      <c r="E332" s="614">
        <v>-408847.65</v>
      </c>
      <c r="F332" s="614">
        <v>-229915.41</v>
      </c>
      <c r="G332" s="614">
        <v>-121140.38</v>
      </c>
      <c r="H332" s="614">
        <v>-1864549.61</v>
      </c>
      <c r="I332" s="614">
        <v>-67473.23</v>
      </c>
      <c r="J332" s="614">
        <v>-591865.68999999994</v>
      </c>
      <c r="K332" s="614">
        <v>-569442.35</v>
      </c>
      <c r="L332" s="614">
        <v>-2965163.85</v>
      </c>
      <c r="M332" s="614">
        <v>-1234590.28</v>
      </c>
      <c r="N332" s="614">
        <v>-110087.57</v>
      </c>
      <c r="O332" s="614">
        <v>-44.61</v>
      </c>
      <c r="P332" s="613">
        <v>0</v>
      </c>
      <c r="Q332" s="613">
        <v>0</v>
      </c>
      <c r="R332" s="613">
        <v>0</v>
      </c>
    </row>
    <row r="333" spans="1:18" ht="12" customHeight="1" x14ac:dyDescent="0.25">
      <c r="C333" s="610" t="s">
        <v>73</v>
      </c>
      <c r="D333" s="610">
        <v>-608199.37</v>
      </c>
      <c r="E333" s="610">
        <v>-38835.46</v>
      </c>
      <c r="F333" s="610">
        <v>-21836.62</v>
      </c>
      <c r="G333" s="610">
        <v>-11514.7</v>
      </c>
      <c r="H333" s="610">
        <v>-127556.2</v>
      </c>
      <c r="I333" s="610">
        <v>-4621.88</v>
      </c>
      <c r="J333" s="610">
        <v>-40543.78</v>
      </c>
      <c r="K333" s="610">
        <v>-35654.480000000003</v>
      </c>
      <c r="L333" s="610">
        <v>-202872.15</v>
      </c>
      <c r="M333" s="610">
        <v>-117222.72</v>
      </c>
      <c r="N333" s="610">
        <v>-7541.38</v>
      </c>
      <c r="O333" s="610">
        <v>0</v>
      </c>
      <c r="P333" s="608">
        <v>0</v>
      </c>
      <c r="Q333" s="610">
        <v>0</v>
      </c>
      <c r="R333" s="608">
        <v>0</v>
      </c>
    </row>
    <row r="334" spans="1:18" s="615" customFormat="1" ht="12.75" customHeight="1" x14ac:dyDescent="0.25">
      <c r="A334" s="616"/>
      <c r="B334" s="616" t="s">
        <v>79</v>
      </c>
      <c r="C334" s="615" t="s">
        <v>70</v>
      </c>
      <c r="D334" s="616">
        <v>-608199.37</v>
      </c>
      <c r="E334" s="616">
        <v>-38835.46</v>
      </c>
      <c r="F334" s="616">
        <v>-21836.62</v>
      </c>
      <c r="G334" s="616">
        <v>-11514.7</v>
      </c>
      <c r="H334" s="616">
        <v>-127556.2</v>
      </c>
      <c r="I334" s="616">
        <v>-4621.88</v>
      </c>
      <c r="J334" s="616">
        <v>-40543.78</v>
      </c>
      <c r="K334" s="616">
        <v>-35654.480000000003</v>
      </c>
      <c r="L334" s="616">
        <v>-202872.15</v>
      </c>
      <c r="M334" s="616">
        <v>-117222.72</v>
      </c>
      <c r="N334" s="616">
        <v>-7541.38</v>
      </c>
      <c r="O334" s="616">
        <v>0</v>
      </c>
      <c r="P334" s="615">
        <v>0</v>
      </c>
      <c r="Q334" s="615">
        <v>0</v>
      </c>
      <c r="R334" s="615">
        <v>0</v>
      </c>
    </row>
    <row r="335" spans="1:18" s="617" customFormat="1" ht="12.75" customHeight="1" x14ac:dyDescent="0.25">
      <c r="A335" s="617" t="s">
        <v>155</v>
      </c>
      <c r="B335" s="617" t="s">
        <v>70</v>
      </c>
      <c r="D335" s="618">
        <v>-8771320</v>
      </c>
      <c r="E335" s="618">
        <v>-447683.11</v>
      </c>
      <c r="F335" s="618">
        <v>-251752.03</v>
      </c>
      <c r="G335" s="619">
        <v>-132655.07999999999</v>
      </c>
      <c r="H335" s="618">
        <v>-1992105.81</v>
      </c>
      <c r="I335" s="618">
        <v>-72095.11</v>
      </c>
      <c r="J335" s="618">
        <v>-632409.47</v>
      </c>
      <c r="K335" s="618">
        <v>-605096.82999999996</v>
      </c>
      <c r="L335" s="618">
        <v>-3168036</v>
      </c>
      <c r="M335" s="618">
        <v>-1351813</v>
      </c>
      <c r="N335" s="618">
        <v>-117628.95</v>
      </c>
      <c r="O335" s="618">
        <v>-44.61</v>
      </c>
      <c r="P335" s="618">
        <v>0</v>
      </c>
      <c r="Q335" s="618">
        <v>0</v>
      </c>
      <c r="R335" s="617">
        <v>0</v>
      </c>
    </row>
    <row r="336" spans="1:18" ht="12.75" customHeight="1" x14ac:dyDescent="0.25">
      <c r="C336" s="608" t="s">
        <v>72</v>
      </c>
      <c r="D336" s="612">
        <v>-317541.65000000002</v>
      </c>
      <c r="E336" s="610">
        <v>-18555.23</v>
      </c>
      <c r="F336" s="610">
        <v>-9090</v>
      </c>
      <c r="G336" s="612">
        <v>-5095.16</v>
      </c>
      <c r="H336" s="610">
        <v>-68373.539999999994</v>
      </c>
      <c r="I336" s="610">
        <v>-2065.77</v>
      </c>
      <c r="J336" s="610">
        <v>-18120.55</v>
      </c>
      <c r="K336" s="610">
        <v>-22908.19</v>
      </c>
      <c r="L336" s="610">
        <v>-114566.95</v>
      </c>
      <c r="M336" s="610">
        <v>-55392.52</v>
      </c>
      <c r="N336" s="610">
        <v>-3370.42</v>
      </c>
      <c r="O336" s="610">
        <v>-3.32</v>
      </c>
      <c r="P336" s="610">
        <v>0</v>
      </c>
      <c r="Q336" s="610">
        <v>0</v>
      </c>
      <c r="R336" s="608">
        <v>0</v>
      </c>
    </row>
    <row r="337" spans="1:18" ht="12.75" customHeight="1" x14ac:dyDescent="0.25">
      <c r="C337" s="608" t="s">
        <v>81</v>
      </c>
      <c r="D337" s="612">
        <v>-2512.8000000000002</v>
      </c>
      <c r="E337" s="610">
        <v>-161.58000000000001</v>
      </c>
      <c r="F337" s="610">
        <v>-75.53</v>
      </c>
      <c r="G337" s="612">
        <v>-42.42</v>
      </c>
      <c r="H337" s="610">
        <v>-583.63</v>
      </c>
      <c r="I337" s="610">
        <v>-14.97</v>
      </c>
      <c r="J337" s="610">
        <v>-131</v>
      </c>
      <c r="K337" s="610">
        <v>-167.72</v>
      </c>
      <c r="L337" s="610">
        <v>-828.38</v>
      </c>
      <c r="M337" s="610">
        <v>-483.11</v>
      </c>
      <c r="N337" s="610">
        <v>-24.39</v>
      </c>
      <c r="O337" s="610">
        <v>-7.0000000000000007E-2</v>
      </c>
      <c r="P337" s="610">
        <v>0</v>
      </c>
      <c r="Q337" s="610">
        <v>0</v>
      </c>
      <c r="R337" s="608">
        <v>0</v>
      </c>
    </row>
    <row r="338" spans="1:18" s="613" customFormat="1" ht="12.75" customHeight="1" x14ac:dyDescent="0.25">
      <c r="A338" s="614"/>
      <c r="B338" s="613" t="s">
        <v>78</v>
      </c>
      <c r="C338" s="613" t="s">
        <v>70</v>
      </c>
      <c r="D338" s="614">
        <v>-320054.45</v>
      </c>
      <c r="E338" s="614">
        <v>-18716.810000000001</v>
      </c>
      <c r="F338" s="614">
        <v>-9165.5300000000007</v>
      </c>
      <c r="G338" s="614">
        <v>-5137.58</v>
      </c>
      <c r="H338" s="614">
        <v>-68957.17</v>
      </c>
      <c r="I338" s="614">
        <v>-2080.7399999999998</v>
      </c>
      <c r="J338" s="614">
        <v>-18251.55</v>
      </c>
      <c r="K338" s="614">
        <v>-23075.91</v>
      </c>
      <c r="L338" s="614">
        <v>-115395.33</v>
      </c>
      <c r="M338" s="614">
        <v>-55875.63</v>
      </c>
      <c r="N338" s="614">
        <v>-3394.81</v>
      </c>
      <c r="O338" s="614">
        <v>-3.39</v>
      </c>
      <c r="P338" s="613">
        <v>0</v>
      </c>
      <c r="Q338" s="613">
        <v>0</v>
      </c>
      <c r="R338" s="613">
        <v>0</v>
      </c>
    </row>
    <row r="339" spans="1:18" ht="12.75" customHeight="1" x14ac:dyDescent="0.25">
      <c r="A339" s="610"/>
      <c r="C339" s="608" t="s">
        <v>73</v>
      </c>
      <c r="D339" s="610">
        <v>15274.45</v>
      </c>
      <c r="E339" s="610">
        <v>745.3</v>
      </c>
      <c r="F339" s="610">
        <v>345.39</v>
      </c>
      <c r="G339" s="610">
        <v>187.47</v>
      </c>
      <c r="H339" s="610">
        <v>2759.5</v>
      </c>
      <c r="I339" s="610">
        <v>128.05000000000001</v>
      </c>
      <c r="J339" s="610">
        <v>1123.27</v>
      </c>
      <c r="K339" s="610">
        <v>1258.3800000000001</v>
      </c>
      <c r="L339" s="610">
        <v>6288.74</v>
      </c>
      <c r="M339" s="610">
        <v>2229.41</v>
      </c>
      <c r="N339" s="610">
        <v>208.94</v>
      </c>
      <c r="O339" s="610">
        <v>0</v>
      </c>
      <c r="P339" s="608">
        <v>0</v>
      </c>
      <c r="Q339" s="608">
        <v>0</v>
      </c>
      <c r="R339" s="608">
        <v>0</v>
      </c>
    </row>
    <row r="340" spans="1:18" s="615" customFormat="1" ht="12.75" customHeight="1" x14ac:dyDescent="0.25">
      <c r="A340" s="616"/>
      <c r="B340" s="616" t="s">
        <v>79</v>
      </c>
      <c r="C340" s="615" t="s">
        <v>70</v>
      </c>
      <c r="D340" s="616">
        <v>15274.45</v>
      </c>
      <c r="E340" s="616">
        <v>745.3</v>
      </c>
      <c r="F340" s="616">
        <v>345.39</v>
      </c>
      <c r="G340" s="616">
        <v>187.47</v>
      </c>
      <c r="H340" s="616">
        <v>2759.5</v>
      </c>
      <c r="I340" s="616">
        <v>128.05000000000001</v>
      </c>
      <c r="J340" s="616">
        <v>1123.27</v>
      </c>
      <c r="K340" s="616">
        <v>1258.3800000000001</v>
      </c>
      <c r="L340" s="616">
        <v>6288.74</v>
      </c>
      <c r="M340" s="616">
        <v>2229.41</v>
      </c>
      <c r="N340" s="616">
        <v>208.94</v>
      </c>
      <c r="O340" s="616">
        <v>0</v>
      </c>
      <c r="P340" s="615">
        <v>0</v>
      </c>
      <c r="Q340" s="615">
        <v>0</v>
      </c>
      <c r="R340" s="615">
        <v>0</v>
      </c>
    </row>
    <row r="341" spans="1:18" s="620" customFormat="1" ht="12.75" customHeight="1" x14ac:dyDescent="0.25">
      <c r="A341" s="620" t="s">
        <v>119</v>
      </c>
      <c r="B341" s="620" t="s">
        <v>70</v>
      </c>
      <c r="D341" s="620">
        <v>-304780</v>
      </c>
      <c r="E341" s="620">
        <v>-17971.509999999998</v>
      </c>
      <c r="F341" s="620">
        <v>-8820.14</v>
      </c>
      <c r="G341" s="620">
        <v>-4950.1099999999997</v>
      </c>
      <c r="H341" s="620">
        <v>-66197.67</v>
      </c>
      <c r="I341" s="620">
        <v>-1952.69</v>
      </c>
      <c r="J341" s="620">
        <v>-17128.28</v>
      </c>
      <c r="K341" s="620">
        <v>-21817.53</v>
      </c>
      <c r="L341" s="620">
        <v>-109106.59</v>
      </c>
      <c r="M341" s="620">
        <v>-53646.22</v>
      </c>
      <c r="N341" s="620">
        <v>-3185.87</v>
      </c>
      <c r="O341" s="620">
        <v>-3.39</v>
      </c>
      <c r="P341" s="620">
        <v>0</v>
      </c>
      <c r="Q341" s="620">
        <v>0</v>
      </c>
      <c r="R341" s="620">
        <v>0</v>
      </c>
    </row>
    <row r="342" spans="1:18" s="623" customFormat="1" ht="12.75" customHeight="1" x14ac:dyDescent="0.25">
      <c r="A342" s="622" t="s">
        <v>70</v>
      </c>
      <c r="D342" s="622">
        <v>-9076100</v>
      </c>
      <c r="E342" s="622">
        <v>-465654.62</v>
      </c>
      <c r="F342" s="622">
        <v>-260572.17</v>
      </c>
      <c r="G342" s="622">
        <v>-137605.19</v>
      </c>
      <c r="H342" s="622">
        <v>-2058303.48</v>
      </c>
      <c r="I342" s="622">
        <v>-74047.8</v>
      </c>
      <c r="J342" s="622">
        <v>-649537.75</v>
      </c>
      <c r="K342" s="622">
        <v>-626914.36</v>
      </c>
      <c r="L342" s="622">
        <v>-3277142.59</v>
      </c>
      <c r="M342" s="622">
        <v>-1405459.22</v>
      </c>
      <c r="N342" s="622">
        <v>-120814.82</v>
      </c>
      <c r="O342" s="622">
        <v>-48</v>
      </c>
      <c r="P342" s="623">
        <v>0</v>
      </c>
      <c r="Q342" s="623">
        <v>0</v>
      </c>
      <c r="R342" s="623">
        <v>0</v>
      </c>
    </row>
    <row r="343" spans="1:18" ht="12.75" customHeight="1" x14ac:dyDescent="0.25">
      <c r="C343" s="610"/>
      <c r="D343" s="610"/>
      <c r="E343" s="610"/>
      <c r="F343" s="610"/>
      <c r="G343" s="610"/>
      <c r="H343" s="610"/>
      <c r="I343" s="610"/>
      <c r="J343" s="610"/>
      <c r="K343" s="610"/>
      <c r="L343" s="610"/>
      <c r="M343" s="610"/>
      <c r="N343" s="610"/>
      <c r="O343" s="610"/>
      <c r="Q343" s="610"/>
    </row>
    <row r="344" spans="1:18" ht="12.75" customHeight="1" x14ac:dyDescent="0.25">
      <c r="C344" s="610"/>
      <c r="D344" s="610"/>
      <c r="E344" s="610"/>
      <c r="F344" s="610"/>
      <c r="G344" s="610"/>
      <c r="H344" s="610"/>
      <c r="I344" s="610"/>
      <c r="J344" s="610"/>
      <c r="K344" s="610"/>
      <c r="L344" s="610"/>
      <c r="M344" s="610"/>
      <c r="N344" s="610"/>
      <c r="O344" s="610"/>
      <c r="Q344" s="610"/>
    </row>
    <row r="345" spans="1:18" ht="12.75" customHeight="1" x14ac:dyDescent="0.25">
      <c r="A345" s="770" t="s">
        <v>2</v>
      </c>
      <c r="B345" s="769" t="s">
        <v>132</v>
      </c>
      <c r="C345" s="622" t="s">
        <v>70</v>
      </c>
      <c r="D345" s="622">
        <f>D342-P342</f>
        <v>-9076100</v>
      </c>
      <c r="E345" s="622">
        <f>E338+E332</f>
        <v>-427564.46</v>
      </c>
      <c r="F345" s="622">
        <f t="shared" ref="F345:R345" si="6">F338+F332</f>
        <v>-239080.94</v>
      </c>
      <c r="G345" s="622">
        <f t="shared" si="6"/>
        <v>-126277.96</v>
      </c>
      <c r="H345" s="622">
        <f t="shared" si="6"/>
        <v>-1933506.78</v>
      </c>
      <c r="I345" s="622">
        <f t="shared" si="6"/>
        <v>-69553.97</v>
      </c>
      <c r="J345" s="622">
        <f t="shared" si="6"/>
        <v>-610117.24</v>
      </c>
      <c r="K345" s="622">
        <f t="shared" si="6"/>
        <v>-592518.26</v>
      </c>
      <c r="L345" s="622">
        <f t="shared" si="6"/>
        <v>-3080559.18</v>
      </c>
      <c r="M345" s="622">
        <f t="shared" si="6"/>
        <v>-1290465.9099999999</v>
      </c>
      <c r="N345" s="622">
        <f t="shared" si="6"/>
        <v>-113482.38</v>
      </c>
      <c r="O345" s="622">
        <f t="shared" si="6"/>
        <v>-48</v>
      </c>
      <c r="P345" s="622">
        <f t="shared" si="6"/>
        <v>0</v>
      </c>
      <c r="Q345" s="622">
        <f t="shared" si="6"/>
        <v>0</v>
      </c>
      <c r="R345" s="622">
        <f t="shared" si="6"/>
        <v>0</v>
      </c>
    </row>
    <row r="346" spans="1:18" ht="12.75" customHeight="1" x14ac:dyDescent="0.25">
      <c r="A346" s="770"/>
      <c r="B346" s="769"/>
      <c r="C346" s="622" t="s">
        <v>73</v>
      </c>
      <c r="D346" s="622">
        <f>D340+D334</f>
        <v>-592924.92000000004</v>
      </c>
      <c r="E346" s="610"/>
      <c r="F346" s="610"/>
      <c r="G346" s="610"/>
      <c r="H346" s="610"/>
      <c r="I346" s="610"/>
      <c r="J346" s="610"/>
      <c r="K346" s="610"/>
      <c r="L346" s="610"/>
      <c r="M346" s="610"/>
      <c r="N346" s="610"/>
      <c r="O346" s="610"/>
      <c r="P346" s="610"/>
      <c r="Q346" s="610"/>
      <c r="R346" s="610"/>
    </row>
    <row r="347" spans="1:18" ht="12.75" customHeight="1" x14ac:dyDescent="0.3">
      <c r="A347" s="609"/>
      <c r="D347" s="610"/>
      <c r="E347" s="610"/>
      <c r="F347" s="610"/>
      <c r="G347" s="610"/>
      <c r="H347" s="610"/>
      <c r="I347" s="610"/>
      <c r="J347" s="610"/>
      <c r="K347" s="610"/>
      <c r="L347" s="610"/>
      <c r="M347" s="610"/>
      <c r="N347" s="610"/>
      <c r="O347" s="610"/>
      <c r="P347" s="610"/>
      <c r="Q347" s="610"/>
      <c r="R347" s="610"/>
    </row>
    <row r="348" spans="1:18" ht="12.75" customHeight="1" x14ac:dyDescent="0.25">
      <c r="A348" s="770" t="s">
        <v>160</v>
      </c>
      <c r="B348" s="769" t="s">
        <v>132</v>
      </c>
      <c r="C348" s="624" t="s">
        <v>70</v>
      </c>
      <c r="D348" s="624">
        <v>0</v>
      </c>
      <c r="E348" s="624">
        <v>0</v>
      </c>
      <c r="F348" s="624">
        <v>0</v>
      </c>
      <c r="G348" s="624">
        <v>0</v>
      </c>
      <c r="H348" s="624">
        <v>0</v>
      </c>
      <c r="I348" s="624">
        <v>0</v>
      </c>
      <c r="J348" s="624">
        <v>0</v>
      </c>
      <c r="K348" s="624">
        <v>0</v>
      </c>
      <c r="L348" s="624">
        <v>0</v>
      </c>
      <c r="M348" s="624">
        <v>0</v>
      </c>
      <c r="N348" s="624">
        <v>0</v>
      </c>
      <c r="O348" s="624">
        <v>0</v>
      </c>
      <c r="P348" s="624">
        <v>0</v>
      </c>
      <c r="Q348" s="624">
        <v>0</v>
      </c>
      <c r="R348" s="624">
        <v>0</v>
      </c>
    </row>
    <row r="349" spans="1:18" ht="12.75" customHeight="1" x14ac:dyDescent="0.25">
      <c r="A349" s="770"/>
      <c r="B349" s="769"/>
      <c r="C349" s="624" t="s">
        <v>73</v>
      </c>
      <c r="D349" s="624">
        <v>0</v>
      </c>
      <c r="E349" s="610"/>
      <c r="F349" s="610"/>
      <c r="G349" s="610"/>
      <c r="H349" s="610"/>
      <c r="I349" s="610"/>
      <c r="J349" s="610"/>
      <c r="K349" s="610"/>
      <c r="L349" s="610"/>
      <c r="M349" s="610"/>
      <c r="N349" s="610"/>
      <c r="O349" s="610"/>
      <c r="P349" s="610"/>
      <c r="Q349" s="610"/>
      <c r="R349" s="610"/>
    </row>
    <row r="350" spans="1:18" ht="12.75" customHeight="1" x14ac:dyDescent="0.3">
      <c r="A350" s="609"/>
      <c r="D350" s="610"/>
      <c r="E350" s="610"/>
      <c r="F350" s="610"/>
      <c r="G350" s="610"/>
      <c r="H350" s="610"/>
      <c r="I350" s="610"/>
      <c r="J350" s="610"/>
      <c r="K350" s="610"/>
      <c r="L350" s="610"/>
      <c r="M350" s="610"/>
      <c r="N350" s="610"/>
      <c r="O350" s="610"/>
      <c r="P350" s="610"/>
      <c r="Q350" s="610"/>
      <c r="R350" s="610"/>
    </row>
    <row r="351" spans="1:18" ht="12.75" customHeight="1" x14ac:dyDescent="0.25">
      <c r="A351" s="770" t="s">
        <v>155</v>
      </c>
      <c r="B351" s="769" t="s">
        <v>132</v>
      </c>
      <c r="C351" s="625" t="s">
        <v>70</v>
      </c>
      <c r="D351" s="625">
        <f>D335-P335</f>
        <v>-8771320</v>
      </c>
      <c r="E351" s="625">
        <f>E332</f>
        <v>-408847.65</v>
      </c>
      <c r="F351" s="625">
        <f t="shared" ref="F351:R351" si="7">F332</f>
        <v>-229915.41</v>
      </c>
      <c r="G351" s="625">
        <f t="shared" si="7"/>
        <v>-121140.38</v>
      </c>
      <c r="H351" s="625">
        <f t="shared" si="7"/>
        <v>-1864549.61</v>
      </c>
      <c r="I351" s="625">
        <f t="shared" si="7"/>
        <v>-67473.23</v>
      </c>
      <c r="J351" s="625">
        <f t="shared" si="7"/>
        <v>-591865.68999999994</v>
      </c>
      <c r="K351" s="625">
        <f t="shared" si="7"/>
        <v>-569442.35</v>
      </c>
      <c r="L351" s="625">
        <f t="shared" si="7"/>
        <v>-2965163.85</v>
      </c>
      <c r="M351" s="625">
        <f t="shared" si="7"/>
        <v>-1234590.28</v>
      </c>
      <c r="N351" s="625">
        <f t="shared" si="7"/>
        <v>-110087.57</v>
      </c>
      <c r="O351" s="625">
        <f t="shared" si="7"/>
        <v>-44.61</v>
      </c>
      <c r="P351" s="625">
        <f t="shared" si="7"/>
        <v>0</v>
      </c>
      <c r="Q351" s="625">
        <f t="shared" si="7"/>
        <v>0</v>
      </c>
      <c r="R351" s="625">
        <f t="shared" si="7"/>
        <v>0</v>
      </c>
    </row>
    <row r="352" spans="1:18" ht="12.75" customHeight="1" x14ac:dyDescent="0.25">
      <c r="A352" s="770"/>
      <c r="B352" s="769"/>
      <c r="C352" s="625" t="s">
        <v>73</v>
      </c>
      <c r="D352" s="625">
        <f>D334</f>
        <v>-608199.37</v>
      </c>
      <c r="E352" s="610"/>
      <c r="F352" s="610"/>
      <c r="G352" s="610"/>
      <c r="H352" s="610"/>
      <c r="I352" s="610"/>
      <c r="J352" s="610"/>
      <c r="K352" s="610"/>
      <c r="L352" s="610"/>
      <c r="M352" s="610"/>
      <c r="N352" s="610"/>
      <c r="O352" s="610"/>
      <c r="P352" s="610"/>
      <c r="Q352" s="610"/>
    </row>
    <row r="353" spans="1:18" ht="12.75" customHeight="1" x14ac:dyDescent="0.3">
      <c r="A353" s="609"/>
      <c r="D353" s="610"/>
      <c r="E353" s="610"/>
      <c r="F353" s="610"/>
      <c r="G353" s="610"/>
      <c r="H353" s="610"/>
      <c r="I353" s="610"/>
      <c r="J353" s="610"/>
      <c r="K353" s="610"/>
      <c r="L353" s="610"/>
      <c r="M353" s="610"/>
      <c r="N353" s="610"/>
      <c r="O353" s="610"/>
      <c r="P353" s="610"/>
      <c r="Q353" s="610"/>
    </row>
    <row r="354" spans="1:18" ht="12.75" customHeight="1" x14ac:dyDescent="0.25">
      <c r="A354" s="768" t="s">
        <v>324</v>
      </c>
      <c r="B354" s="769" t="s">
        <v>132</v>
      </c>
      <c r="C354" s="625" t="s">
        <v>70</v>
      </c>
      <c r="D354" s="718">
        <v>0</v>
      </c>
      <c r="E354" s="718">
        <v>0</v>
      </c>
      <c r="F354" s="718">
        <v>0</v>
      </c>
      <c r="G354" s="718">
        <v>0</v>
      </c>
      <c r="H354" s="718">
        <v>0</v>
      </c>
      <c r="I354" s="718">
        <v>0</v>
      </c>
      <c r="J354" s="718">
        <v>0</v>
      </c>
      <c r="K354" s="718">
        <v>0</v>
      </c>
      <c r="L354" s="718">
        <v>0</v>
      </c>
      <c r="M354" s="718">
        <v>0</v>
      </c>
      <c r="N354" s="718">
        <v>0</v>
      </c>
      <c r="O354" s="718">
        <v>0</v>
      </c>
      <c r="P354" s="718">
        <v>0</v>
      </c>
      <c r="Q354" s="718">
        <v>0</v>
      </c>
      <c r="R354" s="718">
        <v>0</v>
      </c>
    </row>
    <row r="355" spans="1:18" ht="12.75" customHeight="1" x14ac:dyDescent="0.25">
      <c r="A355" s="768"/>
      <c r="B355" s="769"/>
      <c r="C355" s="625" t="s">
        <v>73</v>
      </c>
      <c r="D355" s="718">
        <v>0</v>
      </c>
      <c r="E355" s="610"/>
      <c r="F355" s="610"/>
      <c r="G355" s="610"/>
      <c r="H355" s="610"/>
      <c r="I355" s="610"/>
      <c r="J355" s="610"/>
      <c r="K355" s="610"/>
      <c r="L355" s="610"/>
      <c r="M355" s="610"/>
      <c r="N355" s="610"/>
      <c r="O355" s="610"/>
      <c r="P355" s="610"/>
      <c r="Q355" s="610"/>
    </row>
    <row r="356" spans="1:18" ht="12.75" customHeight="1" x14ac:dyDescent="0.3">
      <c r="A356" s="609"/>
      <c r="D356" s="610"/>
      <c r="E356" s="610"/>
      <c r="F356" s="610"/>
      <c r="G356" s="610"/>
      <c r="H356" s="610"/>
      <c r="I356" s="610"/>
      <c r="J356" s="610"/>
      <c r="K356" s="610"/>
      <c r="L356" s="610"/>
      <c r="M356" s="610"/>
      <c r="N356" s="610"/>
      <c r="O356" s="610"/>
      <c r="P356" s="610"/>
      <c r="Q356" s="610"/>
    </row>
    <row r="357" spans="1:18" ht="12.75" customHeight="1" x14ac:dyDescent="0.25">
      <c r="A357" s="770" t="s">
        <v>119</v>
      </c>
      <c r="B357" s="769" t="s">
        <v>132</v>
      </c>
      <c r="C357" s="620" t="s">
        <v>70</v>
      </c>
      <c r="D357" s="620">
        <f>D341-P341</f>
        <v>-304780</v>
      </c>
      <c r="E357" s="620">
        <f>E338</f>
        <v>-18716.810000000001</v>
      </c>
      <c r="F357" s="620">
        <f t="shared" ref="F357:R357" si="8">F338</f>
        <v>-9165.5300000000007</v>
      </c>
      <c r="G357" s="620">
        <f t="shared" si="8"/>
        <v>-5137.58</v>
      </c>
      <c r="H357" s="620">
        <f t="shared" si="8"/>
        <v>-68957.17</v>
      </c>
      <c r="I357" s="620">
        <f t="shared" si="8"/>
        <v>-2080.7399999999998</v>
      </c>
      <c r="J357" s="620">
        <f t="shared" si="8"/>
        <v>-18251.55</v>
      </c>
      <c r="K357" s="620">
        <f t="shared" si="8"/>
        <v>-23075.91</v>
      </c>
      <c r="L357" s="620">
        <f t="shared" si="8"/>
        <v>-115395.33</v>
      </c>
      <c r="M357" s="620">
        <f t="shared" si="8"/>
        <v>-55875.63</v>
      </c>
      <c r="N357" s="620">
        <f t="shared" si="8"/>
        <v>-3394.81</v>
      </c>
      <c r="O357" s="620">
        <f t="shared" si="8"/>
        <v>-3.39</v>
      </c>
      <c r="P357" s="620">
        <f t="shared" si="8"/>
        <v>0</v>
      </c>
      <c r="Q357" s="620">
        <f t="shared" si="8"/>
        <v>0</v>
      </c>
      <c r="R357" s="620">
        <f t="shared" si="8"/>
        <v>0</v>
      </c>
    </row>
    <row r="358" spans="1:18" ht="12.75" customHeight="1" x14ac:dyDescent="0.25">
      <c r="A358" s="770"/>
      <c r="B358" s="769"/>
      <c r="C358" s="620" t="s">
        <v>73</v>
      </c>
      <c r="D358" s="621">
        <f>D340</f>
        <v>15274.45</v>
      </c>
      <c r="E358" s="610"/>
      <c r="F358" s="610"/>
      <c r="G358" s="610"/>
      <c r="H358" s="610"/>
      <c r="I358" s="610"/>
      <c r="J358" s="610"/>
      <c r="K358" s="610"/>
      <c r="L358" s="610"/>
      <c r="M358" s="610"/>
      <c r="N358" s="610"/>
      <c r="O358" s="610"/>
      <c r="P358" s="610"/>
      <c r="Q358" s="610"/>
    </row>
    <row r="359" spans="1:18" ht="12.75" customHeight="1" x14ac:dyDescent="0.3">
      <c r="A359" s="609"/>
      <c r="D359" s="610"/>
      <c r="E359" s="610"/>
      <c r="F359" s="610"/>
      <c r="G359" s="610"/>
      <c r="H359" s="610"/>
      <c r="I359" s="610"/>
      <c r="J359" s="610"/>
      <c r="K359" s="610"/>
      <c r="L359" s="610"/>
      <c r="M359" s="610"/>
      <c r="N359" s="610"/>
      <c r="O359" s="610"/>
      <c r="P359" s="610"/>
      <c r="Q359" s="610"/>
    </row>
    <row r="360" spans="1:18" x14ac:dyDescent="0.25">
      <c r="A360" s="771" t="s">
        <v>161</v>
      </c>
      <c r="B360" s="769" t="s">
        <v>132</v>
      </c>
      <c r="C360" s="626" t="s">
        <v>70</v>
      </c>
      <c r="D360" s="626">
        <v>0</v>
      </c>
      <c r="E360" s="626">
        <v>0</v>
      </c>
      <c r="F360" s="626">
        <v>0</v>
      </c>
      <c r="G360" s="626">
        <v>0</v>
      </c>
      <c r="H360" s="626">
        <v>0</v>
      </c>
      <c r="I360" s="626">
        <v>0</v>
      </c>
      <c r="J360" s="626">
        <v>0</v>
      </c>
      <c r="K360" s="626">
        <v>0</v>
      </c>
      <c r="L360" s="626">
        <v>0</v>
      </c>
      <c r="M360" s="626">
        <v>0</v>
      </c>
      <c r="N360" s="626">
        <v>0</v>
      </c>
      <c r="O360" s="626">
        <v>0</v>
      </c>
      <c r="P360" s="626">
        <v>0</v>
      </c>
      <c r="Q360" s="626">
        <v>0</v>
      </c>
      <c r="R360" s="626">
        <v>0</v>
      </c>
    </row>
    <row r="361" spans="1:18" x14ac:dyDescent="0.25">
      <c r="A361" s="771"/>
      <c r="B361" s="769"/>
      <c r="C361" s="626" t="s">
        <v>73</v>
      </c>
      <c r="D361" s="626">
        <v>0</v>
      </c>
      <c r="E361" s="610"/>
      <c r="F361" s="610"/>
      <c r="G361" s="610"/>
      <c r="H361" s="610"/>
      <c r="I361" s="610"/>
      <c r="J361" s="610"/>
      <c r="K361" s="610"/>
      <c r="L361" s="610"/>
      <c r="M361" s="610"/>
      <c r="N361" s="610"/>
      <c r="O361" s="610"/>
      <c r="P361" s="610"/>
      <c r="Q361" s="610"/>
    </row>
    <row r="362" spans="1:18" s="627" customFormat="1" x14ac:dyDescent="0.25"/>
    <row r="365" spans="1:18" x14ac:dyDescent="0.25">
      <c r="D365" s="608">
        <f>D71+D160+D196+D310+D345</f>
        <v>-49709753.329999998</v>
      </c>
      <c r="E365" s="608">
        <f>E71+E160+E196+E310+E345</f>
        <v>-2911624.4899999998</v>
      </c>
      <c r="F365" s="608">
        <f>F71+F160+F196+F310+F345</f>
        <v>-1580846.4</v>
      </c>
      <c r="G365" s="608">
        <f>G71+G160+G196+G310+G345</f>
        <v>-837318.74</v>
      </c>
      <c r="H365" s="608">
        <f>H71+H160+H196+H310+H345</f>
        <v>-12898466.129999999</v>
      </c>
      <c r="I365" s="608">
        <f>I71+I160+I196+I310+I345</f>
        <v>-448559.17000000004</v>
      </c>
      <c r="J365" s="608">
        <f>J71+J160+J196+J310+J345</f>
        <v>-3941164.7300000004</v>
      </c>
      <c r="K365" s="608">
        <f>K71+K160+K196+K310+K345</f>
        <v>-3851587.6899999995</v>
      </c>
      <c r="L365" s="608">
        <f>L71+L160+L196+L310+L345</f>
        <v>-18965477.629999999</v>
      </c>
      <c r="M365" s="608">
        <f>M71+M160+M196+M310+M345</f>
        <v>-7587558.0500000007</v>
      </c>
      <c r="N365" s="608">
        <f>N71+N160+N196+N310+N345</f>
        <v>-728691.14</v>
      </c>
      <c r="O365" s="608">
        <f>O71+O160+O196+O310+O345</f>
        <v>25.669999999999987</v>
      </c>
      <c r="P365" s="608">
        <f>P71+P160+P196+P310+P345</f>
        <v>-26500</v>
      </c>
      <c r="Q365" s="608">
        <f>Q71+Q160+Q196+Q310+Q345</f>
        <v>0</v>
      </c>
      <c r="R365" s="608">
        <f>R71+R160+R196+R310+R345</f>
        <v>0</v>
      </c>
    </row>
    <row r="366" spans="1:18" x14ac:dyDescent="0.25">
      <c r="D366" s="608">
        <f>D72+D161+D197+D311+D346</f>
        <v>4041515.17</v>
      </c>
    </row>
  </sheetData>
  <mergeCells count="60">
    <mergeCell ref="A325:A326"/>
    <mergeCell ref="B325:B326"/>
    <mergeCell ref="A345:A346"/>
    <mergeCell ref="B345:B346"/>
    <mergeCell ref="A360:A361"/>
    <mergeCell ref="B360:B361"/>
    <mergeCell ref="A348:A349"/>
    <mergeCell ref="B348:B349"/>
    <mergeCell ref="A351:A352"/>
    <mergeCell ref="B351:B352"/>
    <mergeCell ref="A357:A358"/>
    <mergeCell ref="B357:B358"/>
    <mergeCell ref="A354:A355"/>
    <mergeCell ref="B354:B355"/>
    <mergeCell ref="A316:A317"/>
    <mergeCell ref="B316:B317"/>
    <mergeCell ref="A322:A323"/>
    <mergeCell ref="B322:B323"/>
    <mergeCell ref="A319:A320"/>
    <mergeCell ref="B319:B320"/>
    <mergeCell ref="A211:A212"/>
    <mergeCell ref="B211:B212"/>
    <mergeCell ref="A310:A311"/>
    <mergeCell ref="B310:B311"/>
    <mergeCell ref="A313:A314"/>
    <mergeCell ref="B313:B314"/>
    <mergeCell ref="A199:A200"/>
    <mergeCell ref="B199:B200"/>
    <mergeCell ref="A202:A203"/>
    <mergeCell ref="B202:B203"/>
    <mergeCell ref="A208:A209"/>
    <mergeCell ref="B208:B209"/>
    <mergeCell ref="A172:A173"/>
    <mergeCell ref="B172:B173"/>
    <mergeCell ref="A175:A176"/>
    <mergeCell ref="B175:B176"/>
    <mergeCell ref="A196:A197"/>
    <mergeCell ref="B196:B197"/>
    <mergeCell ref="A71:A72"/>
    <mergeCell ref="B71:B72"/>
    <mergeCell ref="A74:A75"/>
    <mergeCell ref="B74:B75"/>
    <mergeCell ref="A77:A78"/>
    <mergeCell ref="B77:B78"/>
    <mergeCell ref="A80:A81"/>
    <mergeCell ref="B80:B81"/>
    <mergeCell ref="A169:A170"/>
    <mergeCell ref="B169:B170"/>
    <mergeCell ref="A205:A206"/>
    <mergeCell ref="B205:B206"/>
    <mergeCell ref="A83:A84"/>
    <mergeCell ref="B83:B84"/>
    <mergeCell ref="A86:A87"/>
    <mergeCell ref="B86:B87"/>
    <mergeCell ref="A160:A161"/>
    <mergeCell ref="B160:B161"/>
    <mergeCell ref="A163:A164"/>
    <mergeCell ref="B163:B164"/>
    <mergeCell ref="A166:A167"/>
    <mergeCell ref="B166:B167"/>
  </mergeCells>
  <conditionalFormatting sqref="D73:D87 D160:D176 D196:D212 D310:D326 D345:D361">
    <cfRule type="cellIs" dxfId="82" priority="1" operator="greaterThan">
      <formula>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3"/>
  <sheetViews>
    <sheetView zoomScale="90" zoomScaleNormal="90" workbookViewId="0"/>
  </sheetViews>
  <sheetFormatPr baseColWidth="10" defaultRowHeight="12.5" x14ac:dyDescent="0.25"/>
  <cols>
    <col min="2" max="2" width="24.453125" bestFit="1" customWidth="1"/>
    <col min="3" max="3" width="17" style="144" bestFit="1" customWidth="1"/>
    <col min="4" max="4" width="23.26953125" bestFit="1" customWidth="1"/>
    <col min="5" max="5" width="15.7265625" bestFit="1" customWidth="1"/>
    <col min="6" max="6" width="16.26953125" customWidth="1"/>
    <col min="7" max="7" width="15.453125" bestFit="1" customWidth="1"/>
    <col min="8" max="8" width="15" bestFit="1" customWidth="1"/>
    <col min="9" max="9" width="15.26953125" bestFit="1" customWidth="1"/>
    <col min="10" max="10" width="17" bestFit="1" customWidth="1"/>
    <col min="11" max="12" width="15.54296875" bestFit="1" customWidth="1"/>
    <col min="13" max="13" width="15.26953125" bestFit="1" customWidth="1"/>
    <col min="14" max="14" width="17.7265625" bestFit="1" customWidth="1"/>
    <col min="15" max="15" width="15.54296875" customWidth="1"/>
    <col min="16" max="16" width="20.453125" bestFit="1" customWidth="1"/>
  </cols>
  <sheetData>
    <row r="1" spans="1:16" ht="13" x14ac:dyDescent="0.3">
      <c r="B1" s="97" t="s">
        <v>74</v>
      </c>
    </row>
    <row r="2" spans="1:16" ht="12.75" customHeight="1" x14ac:dyDescent="0.25">
      <c r="C2" s="89" t="s">
        <v>70</v>
      </c>
      <c r="D2" s="89" t="s">
        <v>64</v>
      </c>
      <c r="E2" s="89" t="s">
        <v>65</v>
      </c>
      <c r="F2" s="219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6" ht="12.75" customHeight="1" x14ac:dyDescent="0.25">
      <c r="B3" s="89" t="s">
        <v>72</v>
      </c>
      <c r="C3" s="90">
        <v>0</v>
      </c>
      <c r="D3" s="90">
        <v>0</v>
      </c>
      <c r="E3" s="90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</row>
    <row r="4" spans="1:16" ht="12.75" customHeight="1" x14ac:dyDescent="0.25">
      <c r="B4" s="89" t="s">
        <v>81</v>
      </c>
      <c r="C4" s="90">
        <v>0</v>
      </c>
      <c r="D4" s="90">
        <v>0</v>
      </c>
      <c r="E4" s="90">
        <v>0</v>
      </c>
      <c r="F4" s="90">
        <v>0</v>
      </c>
      <c r="G4" s="90">
        <v>0</v>
      </c>
      <c r="H4" s="90">
        <v>0</v>
      </c>
      <c r="I4" s="90">
        <v>0</v>
      </c>
      <c r="J4" s="90">
        <v>0</v>
      </c>
      <c r="K4" s="90">
        <v>0</v>
      </c>
      <c r="L4" s="90">
        <v>0</v>
      </c>
      <c r="M4" s="90">
        <v>0</v>
      </c>
      <c r="N4" s="90">
        <v>0</v>
      </c>
      <c r="O4" s="90">
        <v>0</v>
      </c>
    </row>
    <row r="5" spans="1:16" ht="12.75" customHeight="1" x14ac:dyDescent="0.25">
      <c r="A5" s="378" t="s">
        <v>78</v>
      </c>
      <c r="B5" s="378" t="s">
        <v>70</v>
      </c>
      <c r="C5" s="379">
        <v>0</v>
      </c>
      <c r="D5" s="379">
        <v>0</v>
      </c>
      <c r="E5" s="379">
        <v>0</v>
      </c>
      <c r="F5" s="379">
        <v>0</v>
      </c>
      <c r="G5" s="379">
        <v>0</v>
      </c>
      <c r="H5" s="379">
        <v>0</v>
      </c>
      <c r="I5" s="379">
        <v>0</v>
      </c>
      <c r="J5" s="379">
        <v>0</v>
      </c>
      <c r="K5" s="379">
        <v>0</v>
      </c>
      <c r="L5" s="379">
        <v>0</v>
      </c>
      <c r="M5" s="379">
        <v>0</v>
      </c>
      <c r="N5" s="379">
        <v>0</v>
      </c>
      <c r="O5" s="379">
        <v>0</v>
      </c>
      <c r="P5" s="380"/>
    </row>
    <row r="6" spans="1:16" ht="12.75" customHeight="1" x14ac:dyDescent="0.25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6" ht="12.75" customHeight="1" x14ac:dyDescent="0.25">
      <c r="A7" s="375" t="s">
        <v>79</v>
      </c>
      <c r="B7" s="375" t="s">
        <v>70</v>
      </c>
      <c r="C7" s="376">
        <v>0</v>
      </c>
      <c r="D7" s="376">
        <v>0</v>
      </c>
      <c r="E7" s="376">
        <v>0</v>
      </c>
      <c r="F7" s="376">
        <v>0</v>
      </c>
      <c r="G7" s="376">
        <v>0</v>
      </c>
      <c r="H7" s="376">
        <v>0</v>
      </c>
      <c r="I7" s="376">
        <v>0</v>
      </c>
      <c r="J7" s="376">
        <v>0</v>
      </c>
      <c r="K7" s="376">
        <v>0</v>
      </c>
      <c r="L7" s="376">
        <v>0</v>
      </c>
      <c r="M7" s="376">
        <v>0</v>
      </c>
      <c r="N7" s="376">
        <v>0</v>
      </c>
      <c r="O7" s="376">
        <v>0</v>
      </c>
      <c r="P7" s="374"/>
    </row>
    <row r="8" spans="1:16" ht="12.75" customHeight="1" x14ac:dyDescent="0.25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6" ht="12.75" customHeight="1" x14ac:dyDescent="0.25"/>
    <row r="10" spans="1:16" ht="12.75" customHeight="1" x14ac:dyDescent="0.25">
      <c r="B10" s="145" t="s">
        <v>70</v>
      </c>
      <c r="C10" s="99">
        <f>C8-I8</f>
        <v>0</v>
      </c>
      <c r="D10" s="99">
        <f>D5</f>
        <v>0</v>
      </c>
      <c r="E10" s="99">
        <f t="shared" ref="E10:P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 t="shared" si="0"/>
        <v>0</v>
      </c>
      <c r="P10" s="99">
        <f t="shared" si="0"/>
        <v>0</v>
      </c>
    </row>
    <row r="11" spans="1:16" ht="12.75" customHeight="1" x14ac:dyDescent="0.25">
      <c r="B11" s="145" t="s">
        <v>73</v>
      </c>
      <c r="C11" s="99">
        <f>C7</f>
        <v>0</v>
      </c>
      <c r="D11" s="150"/>
    </row>
    <row r="12" spans="1:16" x14ac:dyDescent="0.25">
      <c r="D12" s="150"/>
    </row>
    <row r="13" spans="1:16" x14ac:dyDescent="0.25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</row>
    <row r="14" spans="1:16" ht="13" x14ac:dyDescent="0.3">
      <c r="B14" s="97" t="s">
        <v>75</v>
      </c>
    </row>
    <row r="15" spans="1:16" ht="12.75" customHeight="1" x14ac:dyDescent="0.25">
      <c r="C15" s="89" t="s">
        <v>70</v>
      </c>
      <c r="D15" s="89" t="s">
        <v>64</v>
      </c>
      <c r="E15" s="89" t="s">
        <v>65</v>
      </c>
      <c r="F15" s="219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6" ht="12.75" customHeight="1" x14ac:dyDescent="0.25">
      <c r="B16" s="89" t="s">
        <v>72</v>
      </c>
      <c r="C16" s="90">
        <v>0</v>
      </c>
      <c r="D16" s="90">
        <v>0</v>
      </c>
      <c r="E16" s="90">
        <v>0</v>
      </c>
      <c r="F16" s="90">
        <v>0</v>
      </c>
      <c r="G16" s="90">
        <v>0</v>
      </c>
      <c r="H16" s="90">
        <v>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</row>
    <row r="17" spans="1:16" ht="12.75" customHeight="1" x14ac:dyDescent="0.25">
      <c r="B17" s="89" t="s">
        <v>81</v>
      </c>
      <c r="C17" s="90">
        <v>0</v>
      </c>
      <c r="D17" s="90">
        <v>0</v>
      </c>
      <c r="E17" s="90">
        <v>0</v>
      </c>
      <c r="F17" s="90">
        <v>0</v>
      </c>
      <c r="G17" s="90">
        <v>0</v>
      </c>
      <c r="H17" s="90">
        <v>0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</row>
    <row r="18" spans="1:16" ht="12.75" customHeight="1" x14ac:dyDescent="0.25">
      <c r="A18" s="378" t="s">
        <v>78</v>
      </c>
      <c r="B18" s="378" t="s">
        <v>70</v>
      </c>
      <c r="C18" s="379">
        <v>0</v>
      </c>
      <c r="D18" s="379">
        <v>0</v>
      </c>
      <c r="E18" s="379">
        <v>0</v>
      </c>
      <c r="F18" s="379">
        <v>0</v>
      </c>
      <c r="G18" s="379">
        <v>0</v>
      </c>
      <c r="H18" s="379">
        <v>0</v>
      </c>
      <c r="I18" s="379">
        <v>0</v>
      </c>
      <c r="J18" s="379">
        <v>0</v>
      </c>
      <c r="K18" s="379">
        <v>0</v>
      </c>
      <c r="L18" s="379">
        <v>0</v>
      </c>
      <c r="M18" s="379">
        <v>0</v>
      </c>
      <c r="N18" s="379">
        <v>0</v>
      </c>
      <c r="O18" s="379">
        <v>0</v>
      </c>
      <c r="P18" s="380"/>
    </row>
    <row r="19" spans="1:16" ht="12.75" customHeight="1" x14ac:dyDescent="0.25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6" ht="12.75" customHeight="1" x14ac:dyDescent="0.25">
      <c r="A20" s="375" t="s">
        <v>79</v>
      </c>
      <c r="B20" s="375" t="s">
        <v>70</v>
      </c>
      <c r="C20" s="376">
        <v>0</v>
      </c>
      <c r="D20" s="376">
        <v>0</v>
      </c>
      <c r="E20" s="376">
        <v>0</v>
      </c>
      <c r="F20" s="376">
        <v>0</v>
      </c>
      <c r="G20" s="376">
        <v>0</v>
      </c>
      <c r="H20" s="376">
        <v>0</v>
      </c>
      <c r="I20" s="376">
        <v>0</v>
      </c>
      <c r="J20" s="376">
        <v>0</v>
      </c>
      <c r="K20" s="376">
        <v>0</v>
      </c>
      <c r="L20" s="376">
        <v>0</v>
      </c>
      <c r="M20" s="376">
        <v>0</v>
      </c>
      <c r="N20" s="376">
        <v>0</v>
      </c>
      <c r="O20" s="376">
        <v>0</v>
      </c>
      <c r="P20" s="374"/>
    </row>
    <row r="21" spans="1:16" ht="12.75" customHeight="1" x14ac:dyDescent="0.25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6" ht="12.75" customHeight="1" x14ac:dyDescent="0.25">
      <c r="A22" s="89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</row>
    <row r="23" spans="1:16" ht="12.75" customHeight="1" x14ac:dyDescent="0.25">
      <c r="B23" s="145" t="s">
        <v>70</v>
      </c>
      <c r="C23" s="99">
        <f>C21-I21</f>
        <v>0</v>
      </c>
      <c r="D23" s="99">
        <f>D18</f>
        <v>0</v>
      </c>
      <c r="E23" s="99">
        <f t="shared" ref="E23:P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 t="shared" si="1"/>
        <v>0</v>
      </c>
      <c r="P23" s="99">
        <f t="shared" si="1"/>
        <v>0</v>
      </c>
    </row>
    <row r="24" spans="1:16" ht="12.75" customHeight="1" x14ac:dyDescent="0.25">
      <c r="B24" s="145" t="s">
        <v>73</v>
      </c>
      <c r="C24" s="99">
        <f>C20</f>
        <v>0</v>
      </c>
    </row>
    <row r="26" spans="1:16" x14ac:dyDescent="0.25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</row>
    <row r="27" spans="1:16" ht="13" x14ac:dyDescent="0.3">
      <c r="B27" s="97" t="s">
        <v>76</v>
      </c>
    </row>
    <row r="28" spans="1:16" ht="12.75" customHeight="1" x14ac:dyDescent="0.25">
      <c r="C28" s="89" t="s">
        <v>70</v>
      </c>
      <c r="D28" s="89" t="s">
        <v>64</v>
      </c>
      <c r="E28" s="89" t="s">
        <v>65</v>
      </c>
      <c r="F28" s="219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6" ht="12.75" customHeight="1" x14ac:dyDescent="0.25">
      <c r="B29" s="89" t="s">
        <v>72</v>
      </c>
      <c r="C29" s="90">
        <v>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</row>
    <row r="30" spans="1:16" ht="12.75" customHeight="1" x14ac:dyDescent="0.25">
      <c r="B30" s="89" t="s">
        <v>81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</row>
    <row r="31" spans="1:16" ht="12.75" customHeight="1" x14ac:dyDescent="0.25">
      <c r="A31" s="378" t="s">
        <v>78</v>
      </c>
      <c r="B31" s="378" t="s">
        <v>70</v>
      </c>
      <c r="C31" s="379">
        <v>0</v>
      </c>
      <c r="D31" s="379">
        <v>0</v>
      </c>
      <c r="E31" s="379">
        <v>0</v>
      </c>
      <c r="F31" s="379">
        <v>0</v>
      </c>
      <c r="G31" s="379">
        <v>0</v>
      </c>
      <c r="H31" s="379">
        <v>0</v>
      </c>
      <c r="I31" s="379">
        <v>0</v>
      </c>
      <c r="J31" s="379">
        <v>0</v>
      </c>
      <c r="K31" s="379">
        <v>0</v>
      </c>
      <c r="L31" s="379">
        <v>0</v>
      </c>
      <c r="M31" s="379">
        <v>0</v>
      </c>
      <c r="N31" s="379">
        <v>0</v>
      </c>
      <c r="O31" s="379">
        <v>0</v>
      </c>
      <c r="P31" s="380"/>
    </row>
    <row r="32" spans="1:16" ht="12.75" customHeight="1" x14ac:dyDescent="0.25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6" ht="12.75" customHeight="1" x14ac:dyDescent="0.25">
      <c r="A33" s="375" t="s">
        <v>79</v>
      </c>
      <c r="B33" s="375" t="s">
        <v>70</v>
      </c>
      <c r="C33" s="376">
        <v>0</v>
      </c>
      <c r="D33" s="376">
        <v>0</v>
      </c>
      <c r="E33" s="376">
        <v>0</v>
      </c>
      <c r="F33" s="376">
        <v>0</v>
      </c>
      <c r="G33" s="376">
        <v>0</v>
      </c>
      <c r="H33" s="376">
        <v>0</v>
      </c>
      <c r="I33" s="376">
        <v>0</v>
      </c>
      <c r="J33" s="376">
        <v>0</v>
      </c>
      <c r="K33" s="376">
        <v>0</v>
      </c>
      <c r="L33" s="376">
        <v>0</v>
      </c>
      <c r="M33" s="376">
        <v>0</v>
      </c>
      <c r="N33" s="376">
        <v>0</v>
      </c>
      <c r="O33" s="376">
        <v>0</v>
      </c>
      <c r="P33" s="374"/>
    </row>
    <row r="34" spans="1:16" ht="12.75" customHeight="1" x14ac:dyDescent="0.25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6" ht="12.75" customHeight="1" x14ac:dyDescent="0.25">
      <c r="A35" s="89"/>
      <c r="C35" s="90"/>
      <c r="D35" s="90"/>
      <c r="E35" s="90"/>
      <c r="F35" s="90"/>
      <c r="G35" s="90"/>
      <c r="H35" s="90"/>
      <c r="I35" s="90"/>
      <c r="J35" s="90"/>
      <c r="L35" s="90"/>
      <c r="M35" s="90"/>
      <c r="N35" s="90"/>
      <c r="O35" s="90"/>
      <c r="P35" s="90"/>
    </row>
    <row r="36" spans="1:16" ht="12.75" customHeight="1" x14ac:dyDescent="0.25">
      <c r="B36" s="145" t="s">
        <v>70</v>
      </c>
      <c r="C36" s="99">
        <f>C34-I34</f>
        <v>0</v>
      </c>
      <c r="D36" s="99">
        <f>D31</f>
        <v>0</v>
      </c>
      <c r="E36" s="99">
        <f t="shared" ref="E36:P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 t="shared" si="2"/>
        <v>0</v>
      </c>
      <c r="P36" s="99">
        <f t="shared" si="2"/>
        <v>0</v>
      </c>
    </row>
    <row r="37" spans="1:16" ht="12.75" customHeight="1" x14ac:dyDescent="0.25">
      <c r="B37" s="145" t="s">
        <v>73</v>
      </c>
      <c r="C37" s="99">
        <f>C33</f>
        <v>0</v>
      </c>
    </row>
    <row r="39" spans="1:16" x14ac:dyDescent="0.25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</row>
    <row r="40" spans="1:16" ht="13" x14ac:dyDescent="0.3">
      <c r="B40" s="97" t="s">
        <v>88</v>
      </c>
    </row>
    <row r="41" spans="1:16" ht="12.75" customHeight="1" x14ac:dyDescent="0.25">
      <c r="C41" s="89" t="s">
        <v>70</v>
      </c>
      <c r="D41" s="89" t="s">
        <v>64</v>
      </c>
      <c r="E41" s="89" t="s">
        <v>65</v>
      </c>
      <c r="F41" s="219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6" ht="12.75" customHeight="1" x14ac:dyDescent="0.25">
      <c r="B42" s="89" t="s">
        <v>72</v>
      </c>
      <c r="C42" s="90">
        <v>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</row>
    <row r="43" spans="1:16" ht="12.75" customHeight="1" x14ac:dyDescent="0.25">
      <c r="B43" s="89" t="s">
        <v>81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6" ht="12.75" customHeight="1" x14ac:dyDescent="0.25">
      <c r="A44" s="378" t="s">
        <v>78</v>
      </c>
      <c r="B44" s="378" t="s">
        <v>70</v>
      </c>
      <c r="C44" s="379">
        <v>0</v>
      </c>
      <c r="D44" s="379">
        <v>0</v>
      </c>
      <c r="E44" s="379">
        <v>0</v>
      </c>
      <c r="F44" s="379">
        <v>0</v>
      </c>
      <c r="G44" s="379">
        <v>0</v>
      </c>
      <c r="H44" s="379">
        <v>0</v>
      </c>
      <c r="I44" s="379">
        <v>0</v>
      </c>
      <c r="J44" s="379">
        <v>0</v>
      </c>
      <c r="K44" s="379">
        <v>0</v>
      </c>
      <c r="L44" s="379">
        <v>0</v>
      </c>
      <c r="M44" s="379">
        <v>0</v>
      </c>
      <c r="N44" s="379">
        <v>0</v>
      </c>
      <c r="O44" s="379">
        <v>0</v>
      </c>
      <c r="P44" s="380"/>
    </row>
    <row r="45" spans="1:16" ht="12.75" customHeight="1" x14ac:dyDescent="0.25"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6" ht="12.75" customHeight="1" x14ac:dyDescent="0.25">
      <c r="A46" s="375" t="s">
        <v>79</v>
      </c>
      <c r="B46" s="375" t="s">
        <v>70</v>
      </c>
      <c r="C46" s="376">
        <v>0</v>
      </c>
      <c r="D46" s="376">
        <v>0</v>
      </c>
      <c r="E46" s="376">
        <v>0</v>
      </c>
      <c r="F46" s="376">
        <v>0</v>
      </c>
      <c r="G46" s="376">
        <v>0</v>
      </c>
      <c r="H46" s="376">
        <v>0</v>
      </c>
      <c r="I46" s="376">
        <v>0</v>
      </c>
      <c r="J46" s="376">
        <v>0</v>
      </c>
      <c r="K46" s="376">
        <v>0</v>
      </c>
      <c r="L46" s="376">
        <v>0</v>
      </c>
      <c r="M46" s="376">
        <v>0</v>
      </c>
      <c r="N46" s="376">
        <v>0</v>
      </c>
      <c r="O46" s="376">
        <v>0</v>
      </c>
      <c r="P46" s="374"/>
    </row>
    <row r="47" spans="1:16" ht="12.75" customHeight="1" x14ac:dyDescent="0.25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6" ht="12.75" customHeight="1" x14ac:dyDescent="0.25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</row>
    <row r="49" spans="1:16" ht="12.75" customHeight="1" x14ac:dyDescent="0.25">
      <c r="B49" s="145" t="s">
        <v>70</v>
      </c>
      <c r="C49" s="99">
        <f>C47-I47</f>
        <v>0</v>
      </c>
      <c r="D49" s="99">
        <f>D44</f>
        <v>0</v>
      </c>
      <c r="E49" s="99">
        <f t="shared" ref="E49:P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 t="shared" si="3"/>
        <v>0</v>
      </c>
      <c r="P49" s="99">
        <f t="shared" si="3"/>
        <v>0</v>
      </c>
    </row>
    <row r="50" spans="1:16" ht="12.75" customHeight="1" x14ac:dyDescent="0.25">
      <c r="B50" s="145" t="s">
        <v>73</v>
      </c>
      <c r="C50" s="99">
        <f>C46</f>
        <v>0</v>
      </c>
    </row>
    <row r="52" spans="1:16" x14ac:dyDescent="0.25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</row>
    <row r="53" spans="1:16" ht="13" x14ac:dyDescent="0.3">
      <c r="B53" s="97" t="s">
        <v>93</v>
      </c>
    </row>
    <row r="54" spans="1:16" ht="12.75" customHeight="1" x14ac:dyDescent="0.25">
      <c r="C54" s="89" t="s">
        <v>70</v>
      </c>
      <c r="D54" s="89" t="s">
        <v>64</v>
      </c>
      <c r="E54" s="89" t="s">
        <v>65</v>
      </c>
      <c r="F54" s="219" t="s">
        <v>164</v>
      </c>
      <c r="G54" s="89" t="s">
        <v>69</v>
      </c>
      <c r="H54" s="89" t="s">
        <v>68</v>
      </c>
      <c r="I54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6" ht="12.75" customHeight="1" x14ac:dyDescent="0.25">
      <c r="B55" s="89" t="s">
        <v>72</v>
      </c>
      <c r="C55" s="90">
        <v>0</v>
      </c>
      <c r="D55" s="90">
        <v>0</v>
      </c>
      <c r="E55" s="90">
        <v>0</v>
      </c>
      <c r="F55" s="90">
        <v>0</v>
      </c>
      <c r="G55" s="90">
        <v>0</v>
      </c>
      <c r="H55" s="90">
        <v>0</v>
      </c>
      <c r="I55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</row>
    <row r="56" spans="1:16" ht="12.75" customHeight="1" x14ac:dyDescent="0.25">
      <c r="B56" s="89" t="s">
        <v>81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6" ht="12.75" customHeight="1" x14ac:dyDescent="0.25">
      <c r="A57" s="378" t="s">
        <v>78</v>
      </c>
      <c r="B57" s="378" t="s">
        <v>70</v>
      </c>
      <c r="C57" s="379">
        <v>0</v>
      </c>
      <c r="D57" s="379">
        <v>0</v>
      </c>
      <c r="E57" s="379">
        <v>0</v>
      </c>
      <c r="F57" s="379">
        <v>0</v>
      </c>
      <c r="G57" s="379">
        <v>0</v>
      </c>
      <c r="H57" s="379">
        <v>0</v>
      </c>
      <c r="I57" s="380">
        <v>0</v>
      </c>
      <c r="J57" s="379">
        <v>0</v>
      </c>
      <c r="K57" s="379">
        <v>0</v>
      </c>
      <c r="L57" s="379">
        <v>0</v>
      </c>
      <c r="M57" s="379">
        <v>0</v>
      </c>
      <c r="N57" s="379">
        <v>0</v>
      </c>
      <c r="O57" s="379">
        <v>0</v>
      </c>
      <c r="P57" s="380"/>
    </row>
    <row r="58" spans="1:16" ht="12.75" customHeight="1" x14ac:dyDescent="0.25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6" ht="12.75" customHeight="1" x14ac:dyDescent="0.25">
      <c r="A59" s="375" t="s">
        <v>79</v>
      </c>
      <c r="B59" s="375" t="s">
        <v>70</v>
      </c>
      <c r="C59" s="376">
        <v>0</v>
      </c>
      <c r="D59" s="376">
        <v>0</v>
      </c>
      <c r="E59" s="376">
        <v>0</v>
      </c>
      <c r="F59" s="376">
        <v>0</v>
      </c>
      <c r="G59" s="376">
        <v>0</v>
      </c>
      <c r="H59" s="376">
        <v>0</v>
      </c>
      <c r="I59" s="374">
        <v>0</v>
      </c>
      <c r="J59" s="376">
        <v>0</v>
      </c>
      <c r="K59" s="376">
        <v>0</v>
      </c>
      <c r="L59" s="376">
        <v>0</v>
      </c>
      <c r="M59" s="376">
        <v>0</v>
      </c>
      <c r="N59" s="376">
        <v>0</v>
      </c>
      <c r="O59" s="376">
        <v>0</v>
      </c>
      <c r="P59" s="374"/>
    </row>
    <row r="60" spans="1:16" ht="12.75" customHeight="1" x14ac:dyDescent="0.25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6" ht="12.75" customHeight="1" x14ac:dyDescent="0.25">
      <c r="B62" s="145" t="s">
        <v>70</v>
      </c>
      <c r="C62" s="99">
        <f>C60-I60</f>
        <v>0</v>
      </c>
      <c r="D62" s="99">
        <f>D57</f>
        <v>0</v>
      </c>
      <c r="E62" s="99">
        <f t="shared" ref="E62:P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 t="shared" si="4"/>
        <v>0</v>
      </c>
      <c r="P62" s="99">
        <f t="shared" si="4"/>
        <v>0</v>
      </c>
    </row>
    <row r="63" spans="1:16" ht="12.75" customHeight="1" x14ac:dyDescent="0.25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62"/>
  <sheetViews>
    <sheetView zoomScale="90" zoomScaleNormal="90" workbookViewId="0">
      <pane ySplit="2" topLeftCell="A3" activePane="bottomLeft" state="frozen"/>
      <selection activeCell="C50" sqref="C50"/>
      <selection pane="bottomLeft" activeCell="A3" sqref="A3"/>
    </sheetView>
  </sheetViews>
  <sheetFormatPr baseColWidth="10" defaultRowHeight="12.5" x14ac:dyDescent="0.25"/>
  <cols>
    <col min="2" max="2" width="24.453125" bestFit="1" customWidth="1"/>
    <col min="3" max="3" width="15.26953125" style="144" bestFit="1" customWidth="1"/>
    <col min="4" max="4" width="23.26953125" bestFit="1" customWidth="1"/>
    <col min="5" max="5" width="15.7265625" bestFit="1" customWidth="1"/>
    <col min="6" max="6" width="16.54296875" customWidth="1"/>
    <col min="7" max="7" width="15.453125" bestFit="1" customWidth="1"/>
    <col min="8" max="8" width="15" bestFit="1" customWidth="1"/>
    <col min="9" max="10" width="15" customWidth="1"/>
    <col min="11" max="11" width="15.26953125" bestFit="1" customWidth="1"/>
    <col min="12" max="12" width="17" bestFit="1" customWidth="1"/>
    <col min="13" max="14" width="15.54296875" bestFit="1" customWidth="1"/>
    <col min="15" max="15" width="15.26953125" bestFit="1" customWidth="1"/>
  </cols>
  <sheetData>
    <row r="1" spans="1:15" ht="13" x14ac:dyDescent="0.3">
      <c r="B1" s="97" t="s">
        <v>74</v>
      </c>
    </row>
    <row r="2" spans="1:15" ht="12.75" customHeight="1" x14ac:dyDescent="0.25">
      <c r="C2" s="89" t="s">
        <v>70</v>
      </c>
      <c r="D2" s="89" t="s">
        <v>64</v>
      </c>
      <c r="E2" s="89" t="s">
        <v>65</v>
      </c>
      <c r="F2" s="377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5" ht="12.75" customHeight="1" x14ac:dyDescent="0.25">
      <c r="B3" s="89" t="s">
        <v>81</v>
      </c>
      <c r="C3" s="90">
        <v>0</v>
      </c>
      <c r="D3" s="90">
        <v>0</v>
      </c>
      <c r="E3" s="90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</row>
    <row r="4" spans="1:15" ht="12.75" customHeight="1" x14ac:dyDescent="0.25">
      <c r="B4" s="89" t="s">
        <v>72</v>
      </c>
      <c r="C4" s="90">
        <v>0</v>
      </c>
      <c r="D4" s="90">
        <v>0</v>
      </c>
      <c r="E4" s="90">
        <v>0</v>
      </c>
      <c r="F4" s="90">
        <v>0</v>
      </c>
      <c r="G4" s="90">
        <v>0</v>
      </c>
      <c r="H4" s="90">
        <v>0</v>
      </c>
      <c r="I4" s="90">
        <v>0</v>
      </c>
      <c r="J4" s="90">
        <v>0</v>
      </c>
      <c r="K4" s="90">
        <v>0</v>
      </c>
      <c r="L4" s="90">
        <v>0</v>
      </c>
      <c r="M4" s="90">
        <v>0</v>
      </c>
      <c r="N4" s="90">
        <v>0</v>
      </c>
      <c r="O4" s="90">
        <v>0</v>
      </c>
    </row>
    <row r="5" spans="1:15" s="380" customFormat="1" ht="12.75" customHeight="1" x14ac:dyDescent="0.25">
      <c r="A5" s="378" t="s">
        <v>78</v>
      </c>
      <c r="B5" s="378" t="s">
        <v>70</v>
      </c>
      <c r="C5" s="379">
        <v>0</v>
      </c>
      <c r="D5" s="379">
        <v>0</v>
      </c>
      <c r="E5" s="379">
        <v>0</v>
      </c>
      <c r="F5" s="379">
        <v>0</v>
      </c>
      <c r="G5" s="379">
        <v>0</v>
      </c>
      <c r="H5" s="379">
        <v>0</v>
      </c>
      <c r="I5" s="379">
        <v>0</v>
      </c>
      <c r="J5" s="379">
        <v>0</v>
      </c>
      <c r="K5" s="379">
        <v>0</v>
      </c>
      <c r="L5" s="379">
        <v>0</v>
      </c>
      <c r="M5" s="379">
        <v>0</v>
      </c>
      <c r="N5" s="379">
        <v>0</v>
      </c>
      <c r="O5" s="379">
        <v>0</v>
      </c>
    </row>
    <row r="6" spans="1:15" ht="12.75" customHeight="1" x14ac:dyDescent="0.25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5" s="374" customFormat="1" ht="12.75" customHeight="1" x14ac:dyDescent="0.25">
      <c r="A7" s="375" t="s">
        <v>79</v>
      </c>
      <c r="B7" s="375" t="s">
        <v>70</v>
      </c>
      <c r="C7" s="376">
        <v>0</v>
      </c>
      <c r="D7" s="376">
        <v>0</v>
      </c>
      <c r="E7" s="376">
        <v>0</v>
      </c>
      <c r="F7" s="376">
        <v>0</v>
      </c>
      <c r="G7" s="376">
        <v>0</v>
      </c>
      <c r="H7" s="376">
        <v>0</v>
      </c>
      <c r="I7" s="376">
        <v>0</v>
      </c>
      <c r="J7" s="376">
        <v>0</v>
      </c>
      <c r="K7" s="376">
        <v>0</v>
      </c>
      <c r="L7" s="376">
        <v>0</v>
      </c>
      <c r="M7" s="376">
        <v>0</v>
      </c>
      <c r="N7" s="376">
        <v>0</v>
      </c>
      <c r="O7" s="376">
        <v>0</v>
      </c>
    </row>
    <row r="8" spans="1:15" ht="12.75" customHeight="1" x14ac:dyDescent="0.25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5" ht="12.75" customHeight="1" x14ac:dyDescent="0.25">
      <c r="A9" s="89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O9" s="90"/>
    </row>
    <row r="10" spans="1:15" ht="12.75" customHeight="1" x14ac:dyDescent="0.25">
      <c r="B10" s="145" t="s">
        <v>70</v>
      </c>
      <c r="C10" s="99">
        <f>C8-I8</f>
        <v>0</v>
      </c>
      <c r="D10" s="99">
        <f>D5</f>
        <v>0</v>
      </c>
      <c r="E10" s="99">
        <f t="shared" ref="E10:O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 t="shared" si="0"/>
        <v>0</v>
      </c>
    </row>
    <row r="11" spans="1:15" ht="12.75" customHeight="1" x14ac:dyDescent="0.25">
      <c r="B11" s="145" t="s">
        <v>73</v>
      </c>
      <c r="C11" s="99">
        <f>C7</f>
        <v>0</v>
      </c>
    </row>
    <row r="13" spans="1:15" x14ac:dyDescent="0.25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</row>
    <row r="14" spans="1:15" ht="13" x14ac:dyDescent="0.3">
      <c r="B14" s="97" t="s">
        <v>75</v>
      </c>
    </row>
    <row r="15" spans="1:15" ht="12.75" customHeight="1" x14ac:dyDescent="0.25">
      <c r="C15" s="89" t="s">
        <v>70</v>
      </c>
      <c r="D15" s="89" t="s">
        <v>64</v>
      </c>
      <c r="E15" s="89" t="s">
        <v>65</v>
      </c>
      <c r="F15" s="377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5" ht="12.75" customHeight="1" x14ac:dyDescent="0.25">
      <c r="B16" s="89" t="s">
        <v>81</v>
      </c>
      <c r="C16" s="90">
        <v>0</v>
      </c>
      <c r="D16" s="90">
        <v>0</v>
      </c>
      <c r="E16" s="90">
        <v>0</v>
      </c>
      <c r="F16" s="90">
        <v>0</v>
      </c>
      <c r="G16" s="90">
        <v>0</v>
      </c>
      <c r="H16" s="90">
        <v>0</v>
      </c>
      <c r="I16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</row>
    <row r="17" spans="1:15" ht="12.75" customHeight="1" x14ac:dyDescent="0.25">
      <c r="B17" s="89" t="s">
        <v>72</v>
      </c>
      <c r="C17" s="90">
        <v>0</v>
      </c>
      <c r="D17" s="90">
        <v>0</v>
      </c>
      <c r="E17" s="90">
        <v>0</v>
      </c>
      <c r="F17" s="90">
        <v>0</v>
      </c>
      <c r="G17" s="90">
        <v>0</v>
      </c>
      <c r="H17" s="90">
        <v>0</v>
      </c>
      <c r="I17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</row>
    <row r="18" spans="1:15" s="380" customFormat="1" ht="12.75" customHeight="1" x14ac:dyDescent="0.25">
      <c r="A18" s="378" t="s">
        <v>78</v>
      </c>
      <c r="B18" s="378" t="s">
        <v>70</v>
      </c>
      <c r="C18" s="379">
        <v>0</v>
      </c>
      <c r="D18" s="379">
        <v>0</v>
      </c>
      <c r="E18" s="379">
        <v>0</v>
      </c>
      <c r="F18" s="379">
        <v>0</v>
      </c>
      <c r="G18" s="379">
        <v>0</v>
      </c>
      <c r="H18" s="379">
        <v>0</v>
      </c>
      <c r="I18" s="380">
        <v>0</v>
      </c>
      <c r="J18" s="379">
        <v>0</v>
      </c>
      <c r="K18" s="379">
        <v>0</v>
      </c>
      <c r="L18" s="379">
        <v>0</v>
      </c>
      <c r="M18" s="379">
        <v>0</v>
      </c>
      <c r="N18" s="379">
        <v>0</v>
      </c>
      <c r="O18" s="379">
        <v>0</v>
      </c>
    </row>
    <row r="19" spans="1:15" ht="12.75" customHeight="1" x14ac:dyDescent="0.25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5" s="374" customFormat="1" ht="12.75" customHeight="1" x14ac:dyDescent="0.25">
      <c r="A20" s="375" t="s">
        <v>79</v>
      </c>
      <c r="B20" s="375" t="s">
        <v>70</v>
      </c>
      <c r="C20" s="376">
        <v>0</v>
      </c>
      <c r="D20" s="376">
        <v>0</v>
      </c>
      <c r="E20" s="376">
        <v>0</v>
      </c>
      <c r="F20" s="376">
        <v>0</v>
      </c>
      <c r="G20" s="376">
        <v>0</v>
      </c>
      <c r="H20" s="376">
        <v>0</v>
      </c>
      <c r="I20" s="374">
        <v>0</v>
      </c>
      <c r="J20" s="376">
        <v>0</v>
      </c>
      <c r="K20" s="376">
        <v>0</v>
      </c>
      <c r="L20" s="376">
        <v>0</v>
      </c>
      <c r="M20" s="376">
        <v>0</v>
      </c>
      <c r="N20" s="376">
        <v>0</v>
      </c>
      <c r="O20" s="376">
        <v>0</v>
      </c>
    </row>
    <row r="21" spans="1:15" ht="12.75" customHeight="1" x14ac:dyDescent="0.25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5" ht="12.75" customHeight="1" x14ac:dyDescent="0.25">
      <c r="A22" s="89"/>
      <c r="C22" s="90"/>
      <c r="D22" s="90"/>
      <c r="E22" s="90"/>
      <c r="F22" s="90"/>
      <c r="G22" s="90"/>
      <c r="H22" s="90"/>
      <c r="J22" s="90"/>
      <c r="K22" s="90"/>
      <c r="L22" s="90"/>
      <c r="M22" s="90"/>
      <c r="N22" s="90"/>
    </row>
    <row r="23" spans="1:15" ht="12.75" customHeight="1" x14ac:dyDescent="0.25">
      <c r="B23" s="145" t="s">
        <v>70</v>
      </c>
      <c r="C23" s="99">
        <f>C21-I21</f>
        <v>0</v>
      </c>
      <c r="D23" s="99">
        <f>D18</f>
        <v>0</v>
      </c>
      <c r="E23" s="99">
        <f t="shared" ref="E23:O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 t="shared" si="1"/>
        <v>0</v>
      </c>
    </row>
    <row r="24" spans="1:15" ht="12.75" customHeight="1" x14ac:dyDescent="0.25">
      <c r="B24" s="145" t="s">
        <v>73</v>
      </c>
      <c r="C24" s="99">
        <f>C20</f>
        <v>0</v>
      </c>
    </row>
    <row r="26" spans="1:15" x14ac:dyDescent="0.25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</row>
    <row r="27" spans="1:15" ht="13" x14ac:dyDescent="0.3">
      <c r="B27" s="97" t="s">
        <v>76</v>
      </c>
    </row>
    <row r="28" spans="1:15" ht="12.75" customHeight="1" x14ac:dyDescent="0.25">
      <c r="C28" s="89" t="s">
        <v>70</v>
      </c>
      <c r="D28" s="89" t="s">
        <v>64</v>
      </c>
      <c r="E28" s="89" t="s">
        <v>65</v>
      </c>
      <c r="F28" s="377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5" ht="12.75" customHeight="1" x14ac:dyDescent="0.25">
      <c r="B29" t="s">
        <v>81</v>
      </c>
      <c r="C29" s="89">
        <v>0</v>
      </c>
      <c r="D29" s="89">
        <v>0</v>
      </c>
      <c r="E29" s="89">
        <v>0</v>
      </c>
      <c r="F29" s="89">
        <v>0</v>
      </c>
      <c r="G29" s="89">
        <v>0</v>
      </c>
      <c r="H29" s="89">
        <v>0</v>
      </c>
      <c r="I29" s="89">
        <v>0</v>
      </c>
      <c r="J29" s="89">
        <v>0</v>
      </c>
      <c r="K29" s="89">
        <v>0</v>
      </c>
      <c r="L29" s="89">
        <v>0</v>
      </c>
      <c r="M29" s="89">
        <v>0</v>
      </c>
      <c r="N29" s="89">
        <v>0</v>
      </c>
      <c r="O29" s="89">
        <v>0</v>
      </c>
    </row>
    <row r="30" spans="1:15" ht="12.75" customHeight="1" x14ac:dyDescent="0.25">
      <c r="B30" s="89" t="s">
        <v>72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</row>
    <row r="31" spans="1:15" s="380" customFormat="1" ht="12.75" customHeight="1" x14ac:dyDescent="0.25">
      <c r="A31" s="378" t="s">
        <v>78</v>
      </c>
      <c r="B31" s="378" t="s">
        <v>70</v>
      </c>
      <c r="C31" s="379">
        <v>0</v>
      </c>
      <c r="D31" s="379">
        <v>0</v>
      </c>
      <c r="E31" s="379">
        <v>0</v>
      </c>
      <c r="F31" s="379">
        <v>0</v>
      </c>
      <c r="G31" s="379">
        <v>0</v>
      </c>
      <c r="H31" s="379">
        <v>0</v>
      </c>
      <c r="I31" s="379">
        <v>0</v>
      </c>
      <c r="J31" s="379">
        <v>0</v>
      </c>
      <c r="K31" s="379">
        <v>0</v>
      </c>
      <c r="L31" s="379">
        <v>0</v>
      </c>
      <c r="M31" s="379">
        <v>0</v>
      </c>
      <c r="N31" s="379">
        <v>0</v>
      </c>
      <c r="O31" s="379">
        <v>0</v>
      </c>
    </row>
    <row r="32" spans="1:15" ht="12.75" customHeight="1" x14ac:dyDescent="0.25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5" s="374" customFormat="1" ht="12.75" customHeight="1" x14ac:dyDescent="0.25">
      <c r="A33" s="375" t="s">
        <v>79</v>
      </c>
      <c r="B33" s="375" t="s">
        <v>70</v>
      </c>
      <c r="C33" s="376">
        <v>0</v>
      </c>
      <c r="D33" s="376">
        <v>0</v>
      </c>
      <c r="E33" s="376">
        <v>0</v>
      </c>
      <c r="F33" s="376">
        <v>0</v>
      </c>
      <c r="G33" s="376">
        <v>0</v>
      </c>
      <c r="H33" s="376">
        <v>0</v>
      </c>
      <c r="I33" s="376">
        <v>0</v>
      </c>
      <c r="J33" s="376">
        <v>0</v>
      </c>
      <c r="K33" s="376">
        <v>0</v>
      </c>
      <c r="L33" s="376">
        <v>0</v>
      </c>
      <c r="M33" s="376">
        <v>0</v>
      </c>
      <c r="N33" s="376">
        <v>0</v>
      </c>
      <c r="O33" s="376">
        <v>0</v>
      </c>
    </row>
    <row r="34" spans="1:15" ht="12.75" customHeight="1" x14ac:dyDescent="0.25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5" ht="12.75" customHeight="1" x14ac:dyDescent="0.25">
      <c r="A35" s="89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O35" s="90"/>
    </row>
    <row r="36" spans="1:15" ht="12.75" customHeight="1" x14ac:dyDescent="0.25">
      <c r="B36" s="145" t="s">
        <v>70</v>
      </c>
      <c r="C36" s="99">
        <f>C34-I34</f>
        <v>0</v>
      </c>
      <c r="D36" s="99">
        <f>D31</f>
        <v>0</v>
      </c>
      <c r="E36" s="99">
        <f t="shared" ref="E36:O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 t="shared" si="2"/>
        <v>0</v>
      </c>
    </row>
    <row r="37" spans="1:15" ht="12.75" customHeight="1" x14ac:dyDescent="0.25">
      <c r="B37" s="145" t="s">
        <v>73</v>
      </c>
      <c r="C37" s="99">
        <f>C33</f>
        <v>0</v>
      </c>
    </row>
    <row r="39" spans="1:15" x14ac:dyDescent="0.25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</row>
    <row r="40" spans="1:15" ht="13" x14ac:dyDescent="0.3">
      <c r="B40" s="97" t="s">
        <v>88</v>
      </c>
    </row>
    <row r="41" spans="1:15" ht="12.75" customHeight="1" x14ac:dyDescent="0.25">
      <c r="C41" s="89" t="s">
        <v>70</v>
      </c>
      <c r="D41" s="89" t="s">
        <v>64</v>
      </c>
      <c r="E41" s="89" t="s">
        <v>65</v>
      </c>
      <c r="F41" s="377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5" ht="12.75" customHeight="1" x14ac:dyDescent="0.25">
      <c r="B42" t="s">
        <v>81</v>
      </c>
      <c r="C42" s="89">
        <v>0</v>
      </c>
      <c r="D42" s="89">
        <v>0</v>
      </c>
      <c r="E42" s="89">
        <v>0</v>
      </c>
      <c r="F42" s="89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5" ht="12.75" customHeight="1" x14ac:dyDescent="0.25">
      <c r="A43" s="89"/>
      <c r="B43" s="89" t="s">
        <v>72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5" s="380" customFormat="1" ht="12.75" customHeight="1" x14ac:dyDescent="0.25">
      <c r="A44" s="378" t="s">
        <v>78</v>
      </c>
      <c r="B44" s="378" t="s">
        <v>70</v>
      </c>
      <c r="C44" s="379">
        <v>0</v>
      </c>
      <c r="D44" s="379">
        <v>0</v>
      </c>
      <c r="E44" s="379">
        <v>0</v>
      </c>
      <c r="F44" s="379">
        <v>0</v>
      </c>
      <c r="G44" s="379">
        <v>0</v>
      </c>
      <c r="H44" s="379">
        <v>0</v>
      </c>
      <c r="I44" s="379">
        <v>0</v>
      </c>
      <c r="J44" s="379">
        <v>0</v>
      </c>
      <c r="K44" s="379">
        <v>0</v>
      </c>
      <c r="L44" s="379">
        <v>0</v>
      </c>
      <c r="M44" s="379">
        <v>0</v>
      </c>
      <c r="N44" s="379">
        <v>0</v>
      </c>
      <c r="O44" s="379">
        <v>0</v>
      </c>
    </row>
    <row r="45" spans="1:15" ht="12.75" customHeight="1" x14ac:dyDescent="0.25">
      <c r="A45" s="89"/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5" s="374" customFormat="1" ht="12.75" customHeight="1" x14ac:dyDescent="0.25">
      <c r="A46" s="375" t="s">
        <v>79</v>
      </c>
      <c r="B46" s="375" t="s">
        <v>70</v>
      </c>
      <c r="C46" s="376">
        <v>0</v>
      </c>
      <c r="D46" s="376">
        <v>0</v>
      </c>
      <c r="E46" s="376">
        <v>0</v>
      </c>
      <c r="F46" s="376">
        <v>0</v>
      </c>
      <c r="G46" s="376">
        <v>0</v>
      </c>
      <c r="H46" s="376">
        <v>0</v>
      </c>
      <c r="I46" s="376">
        <v>0</v>
      </c>
      <c r="J46" s="376">
        <v>0</v>
      </c>
      <c r="K46" s="376">
        <v>0</v>
      </c>
      <c r="L46" s="376">
        <v>0</v>
      </c>
      <c r="M46" s="376">
        <v>0</v>
      </c>
      <c r="N46" s="376">
        <v>0</v>
      </c>
      <c r="O46" s="376">
        <v>0</v>
      </c>
    </row>
    <row r="47" spans="1:15" ht="12.75" customHeight="1" x14ac:dyDescent="0.25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5" ht="12.75" customHeight="1" x14ac:dyDescent="0.25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</row>
    <row r="49" spans="1:15" ht="12.75" customHeight="1" x14ac:dyDescent="0.25">
      <c r="B49" s="145" t="s">
        <v>70</v>
      </c>
      <c r="C49" s="99">
        <f>C47-I47</f>
        <v>0</v>
      </c>
      <c r="D49" s="99">
        <f>D44</f>
        <v>0</v>
      </c>
      <c r="E49" s="99">
        <f t="shared" ref="E49:O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 t="shared" si="3"/>
        <v>0</v>
      </c>
    </row>
    <row r="50" spans="1:15" ht="12.75" customHeight="1" x14ac:dyDescent="0.25">
      <c r="B50" s="145" t="s">
        <v>73</v>
      </c>
      <c r="C50" s="99">
        <f>C46</f>
        <v>0</v>
      </c>
    </row>
    <row r="52" spans="1:15" x14ac:dyDescent="0.25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</row>
    <row r="53" spans="1:15" ht="13" x14ac:dyDescent="0.3">
      <c r="B53" s="97" t="s">
        <v>93</v>
      </c>
    </row>
    <row r="54" spans="1:15" ht="12.75" customHeight="1" x14ac:dyDescent="0.25">
      <c r="C54" s="89" t="s">
        <v>70</v>
      </c>
      <c r="D54" s="89" t="s">
        <v>64</v>
      </c>
      <c r="E54" s="89" t="s">
        <v>65</v>
      </c>
      <c r="F54" s="377" t="s">
        <v>164</v>
      </c>
      <c r="G54" s="89" t="s">
        <v>69</v>
      </c>
      <c r="H54" s="89" t="s">
        <v>68</v>
      </c>
      <c r="I54" s="89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5" ht="12.75" customHeight="1" x14ac:dyDescent="0.25">
      <c r="B55" s="89" t="s">
        <v>72</v>
      </c>
      <c r="C55" s="90">
        <v>0</v>
      </c>
      <c r="D55" s="90">
        <v>0</v>
      </c>
      <c r="E55" s="90">
        <v>0</v>
      </c>
      <c r="F55" s="90">
        <v>0</v>
      </c>
      <c r="G55" s="90">
        <v>0</v>
      </c>
      <c r="H55" s="90">
        <v>0</v>
      </c>
      <c r="I55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</row>
    <row r="56" spans="1:15" s="380" customFormat="1" ht="12.75" customHeight="1" x14ac:dyDescent="0.25">
      <c r="A56" s="378" t="s">
        <v>78</v>
      </c>
      <c r="B56" s="378" t="s">
        <v>70</v>
      </c>
      <c r="C56" s="379">
        <v>0</v>
      </c>
      <c r="D56" s="379">
        <v>0</v>
      </c>
      <c r="E56" s="379">
        <v>0</v>
      </c>
      <c r="F56" s="379">
        <v>0</v>
      </c>
      <c r="G56" s="379">
        <v>0</v>
      </c>
      <c r="H56" s="379">
        <v>0</v>
      </c>
      <c r="I56" s="380">
        <v>0</v>
      </c>
      <c r="J56" s="379">
        <v>0</v>
      </c>
      <c r="K56" s="379">
        <v>0</v>
      </c>
      <c r="L56" s="379">
        <v>0</v>
      </c>
      <c r="M56" s="379">
        <v>0</v>
      </c>
      <c r="N56" s="379">
        <v>0</v>
      </c>
      <c r="O56" s="379">
        <v>0</v>
      </c>
    </row>
    <row r="57" spans="1:15" ht="12.75" customHeight="1" x14ac:dyDescent="0.25">
      <c r="B57" s="89" t="s">
        <v>73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</row>
    <row r="58" spans="1:15" s="374" customFormat="1" ht="12.75" customHeight="1" x14ac:dyDescent="0.25">
      <c r="A58" s="375" t="s">
        <v>79</v>
      </c>
      <c r="B58" s="375" t="s">
        <v>70</v>
      </c>
      <c r="C58" s="376">
        <v>0</v>
      </c>
      <c r="D58" s="376">
        <v>0</v>
      </c>
      <c r="E58" s="376">
        <v>0</v>
      </c>
      <c r="F58" s="376">
        <v>0</v>
      </c>
      <c r="G58" s="376">
        <v>0</v>
      </c>
      <c r="H58" s="376">
        <v>0</v>
      </c>
      <c r="I58" s="374">
        <v>0</v>
      </c>
      <c r="J58" s="376">
        <v>0</v>
      </c>
      <c r="K58" s="376">
        <v>0</v>
      </c>
      <c r="L58" s="376">
        <v>0</v>
      </c>
      <c r="M58" s="376">
        <v>0</v>
      </c>
      <c r="N58" s="376">
        <v>0</v>
      </c>
      <c r="O58" s="376">
        <v>0</v>
      </c>
    </row>
    <row r="59" spans="1:15" ht="12.75" customHeight="1" x14ac:dyDescent="0.25">
      <c r="A59" s="89" t="s">
        <v>70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</row>
    <row r="61" spans="1:15" ht="12.75" customHeight="1" x14ac:dyDescent="0.25">
      <c r="B61" s="145" t="s">
        <v>70</v>
      </c>
      <c r="C61" s="99">
        <f>C59-I59</f>
        <v>0</v>
      </c>
      <c r="D61" s="99">
        <f>D56</f>
        <v>0</v>
      </c>
      <c r="E61" s="99">
        <f t="shared" ref="E61:O61" si="4">E56</f>
        <v>0</v>
      </c>
      <c r="F61" s="99">
        <f t="shared" si="4"/>
        <v>0</v>
      </c>
      <c r="G61" s="99">
        <f t="shared" si="4"/>
        <v>0</v>
      </c>
      <c r="H61" s="99">
        <f t="shared" si="4"/>
        <v>0</v>
      </c>
      <c r="I61" s="99">
        <f t="shared" si="4"/>
        <v>0</v>
      </c>
      <c r="J61" s="99">
        <f t="shared" si="4"/>
        <v>0</v>
      </c>
      <c r="K61" s="99">
        <f t="shared" si="4"/>
        <v>0</v>
      </c>
      <c r="L61" s="99">
        <f t="shared" si="4"/>
        <v>0</v>
      </c>
      <c r="M61" s="99">
        <f t="shared" si="4"/>
        <v>0</v>
      </c>
      <c r="N61" s="99">
        <f t="shared" si="4"/>
        <v>0</v>
      </c>
      <c r="O61" s="99">
        <f t="shared" si="4"/>
        <v>0</v>
      </c>
    </row>
    <row r="62" spans="1:15" ht="12.75" customHeight="1" x14ac:dyDescent="0.25">
      <c r="B62" s="145" t="s">
        <v>73</v>
      </c>
      <c r="C62" s="99">
        <f>C58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58"/>
  <sheetViews>
    <sheetView zoomScaleNormal="100" workbookViewId="0"/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7265625" style="1" customWidth="1"/>
    <col min="4" max="4" width="15.26953125" style="1" customWidth="1"/>
    <col min="5" max="5" width="16" style="1" customWidth="1"/>
    <col min="6" max="7" width="14.7265625" style="1" customWidth="1"/>
    <col min="8" max="8" width="16.26953125" style="1" customWidth="1"/>
    <col min="9" max="9" width="20.26953125" style="1" bestFit="1" customWidth="1"/>
    <col min="10" max="10" width="15.54296875" style="1" customWidth="1"/>
    <col min="11" max="11" width="17.54296875" style="1" customWidth="1"/>
    <col min="12" max="12" width="17" style="1" bestFit="1" customWidth="1"/>
    <col min="13" max="13" width="19.7265625" style="1" customWidth="1"/>
    <col min="14" max="14" width="19.26953125" style="1" bestFit="1" customWidth="1"/>
    <col min="15" max="15" width="16.7265625" style="1" customWidth="1"/>
    <col min="16" max="16" width="3.7265625" style="1" customWidth="1"/>
    <col min="17" max="17" width="2.7265625" style="1" customWidth="1"/>
    <col min="18" max="18" width="4.54296875" style="1" customWidth="1"/>
    <col min="19" max="19" width="11.26953125" style="1" customWidth="1"/>
    <col min="20" max="20" width="37.54296875" style="1" bestFit="1" customWidth="1"/>
    <col min="21" max="21" width="19.26953125" style="1" customWidth="1"/>
    <col min="22" max="22" width="17.7265625" style="1" customWidth="1"/>
    <col min="23" max="23" width="16.453125" style="1" customWidth="1"/>
    <col min="24" max="24" width="17.26953125" style="1" customWidth="1"/>
    <col min="25" max="25" width="15.7265625" style="1" customWidth="1"/>
    <col min="26" max="26" width="16" style="1" customWidth="1"/>
    <col min="27" max="27" width="15" style="1" customWidth="1"/>
    <col min="28" max="28" width="16.7265625" style="1" customWidth="1"/>
    <col min="29" max="30" width="15.7265625" style="1" bestFit="1" customWidth="1"/>
    <col min="31" max="31" width="16.26953125" style="1" customWidth="1"/>
    <col min="32" max="32" width="18.26953125" style="1" customWidth="1"/>
    <col min="33" max="33" width="13.7265625" style="1" customWidth="1"/>
    <col min="34" max="34" width="3.453125" style="1" customWidth="1"/>
    <col min="35" max="35" width="13.7265625" style="1" bestFit="1" customWidth="1"/>
    <col min="36" max="16384" width="11.453125" style="1"/>
  </cols>
  <sheetData>
    <row r="1" spans="1:34" ht="12" thickBot="1" x14ac:dyDescent="0.3">
      <c r="A1" s="1" t="s">
        <v>1</v>
      </c>
      <c r="Q1" s="4"/>
      <c r="AH1" s="4"/>
    </row>
    <row r="2" spans="1:34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7"/>
      <c r="AF2" s="2"/>
      <c r="AH2" s="4"/>
    </row>
    <row r="3" spans="1:34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C3" s="84">
        <f>N3</f>
        <v>2026091</v>
      </c>
      <c r="AD3" s="84"/>
      <c r="AE3" s="48"/>
      <c r="AF3" s="2"/>
      <c r="AH3" s="4"/>
    </row>
    <row r="4" spans="1:34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10" t="s">
        <v>1</v>
      </c>
      <c r="AF4" s="2"/>
      <c r="AH4" s="4"/>
    </row>
    <row r="5" spans="1:34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E5" s="44"/>
      <c r="AF5" s="2"/>
      <c r="AH5" s="4"/>
    </row>
    <row r="6" spans="1:34" ht="15.5" x14ac:dyDescent="0.35">
      <c r="B6" s="8"/>
      <c r="C6" s="2" t="s">
        <v>17</v>
      </c>
      <c r="D6" s="9">
        <f>'CONSOLIDADO_TOTAL RECAUDO'!D6</f>
        <v>46282</v>
      </c>
      <c r="F6" s="41" t="s">
        <v>123</v>
      </c>
      <c r="G6" s="41"/>
      <c r="H6" s="2"/>
      <c r="J6" s="2"/>
      <c r="O6" s="10"/>
      <c r="P6" s="2"/>
      <c r="Q6" s="4"/>
      <c r="S6" s="8"/>
      <c r="T6" s="41" t="s">
        <v>1</v>
      </c>
      <c r="U6" s="41" t="str">
        <f>+F6</f>
        <v xml:space="preserve">SALDOS A FAVOR POR NOTA </v>
      </c>
      <c r="V6" s="2"/>
      <c r="X6" s="2"/>
      <c r="Y6" s="2"/>
      <c r="AE6" s="48"/>
      <c r="AF6" s="2"/>
      <c r="AH6" s="4"/>
    </row>
    <row r="7" spans="1:34" ht="12" thickBot="1" x14ac:dyDescent="0.3">
      <c r="B7" s="8"/>
      <c r="C7" s="2" t="s">
        <v>0</v>
      </c>
      <c r="D7" s="241">
        <f>'CONSOLIDADO_TOTAL RECAUDO'!D7</f>
        <v>0.58333333333333337</v>
      </c>
      <c r="F7" s="2" t="s">
        <v>27</v>
      </c>
      <c r="G7" s="2"/>
      <c r="H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H7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E7" s="48"/>
      <c r="AF7" s="2"/>
      <c r="AH7" s="4"/>
    </row>
    <row r="8" spans="1:34" ht="72" customHeight="1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382" t="s">
        <v>46</v>
      </c>
      <c r="AB8" s="65" t="s">
        <v>7</v>
      </c>
      <c r="AC8" s="121" t="s">
        <v>107</v>
      </c>
      <c r="AD8" s="121" t="s">
        <v>106</v>
      </c>
      <c r="AE8" s="39" t="s">
        <v>23</v>
      </c>
      <c r="AF8" s="13"/>
      <c r="AH8" s="4"/>
    </row>
    <row r="9" spans="1:34" x14ac:dyDescent="0.25">
      <c r="B9" s="14">
        <v>1</v>
      </c>
      <c r="C9" s="61" t="s">
        <v>10</v>
      </c>
      <c r="D9" s="66">
        <f>'SALDOS POR NOTA'!C10</f>
        <v>0</v>
      </c>
      <c r="E9" s="66">
        <f>'SALDOS POR NOTA'!D10</f>
        <v>0</v>
      </c>
      <c r="F9" s="66">
        <f>'SALDOS POR NOTA'!E10</f>
        <v>0</v>
      </c>
      <c r="G9" s="66">
        <f>'SALDOS POR NOTA'!F10</f>
        <v>0</v>
      </c>
      <c r="H9" s="66">
        <f>'SALDOS POR NOTA'!G10</f>
        <v>0</v>
      </c>
      <c r="I9" s="66">
        <f>'SALDOS POR NOTA'!H10</f>
        <v>0</v>
      </c>
      <c r="J9" s="66">
        <v>0</v>
      </c>
      <c r="K9" s="30">
        <f>D9-E9-F9-G9-H9-I9-J9</f>
        <v>0</v>
      </c>
      <c r="L9" s="37">
        <v>0</v>
      </c>
      <c r="M9" s="30">
        <f>K9-L9</f>
        <v>0</v>
      </c>
      <c r="N9" s="37">
        <f>'SALDOS POR NOTA'!I10</f>
        <v>0</v>
      </c>
      <c r="O9" s="30">
        <f>M9+N9</f>
        <v>0</v>
      </c>
      <c r="Q9" s="4"/>
      <c r="S9" s="14">
        <v>1</v>
      </c>
      <c r="T9" s="61" t="s">
        <v>10</v>
      </c>
      <c r="U9" s="66">
        <f>'SALDOS POR NOTA'!J10</f>
        <v>0</v>
      </c>
      <c r="V9" s="66">
        <f>'SALDOS POR NOTA'!K10</f>
        <v>0</v>
      </c>
      <c r="W9" s="66">
        <f>'SALDOS POR NOTA'!L10</f>
        <v>0</v>
      </c>
      <c r="X9" s="66">
        <f>'SALDOS POR NOTA'!M10</f>
        <v>0</v>
      </c>
      <c r="Y9" s="66">
        <f>'SALDOS POR NOTA'!N10</f>
        <v>0</v>
      </c>
      <c r="Z9" s="381">
        <f>L9*-1</f>
        <v>0</v>
      </c>
      <c r="AA9" s="75">
        <f>'SALDOS POR NOTA'!O10</f>
        <v>0</v>
      </c>
      <c r="AB9" s="37">
        <f>N9</f>
        <v>0</v>
      </c>
      <c r="AC9" s="66">
        <f>-J9+AD9</f>
        <v>0</v>
      </c>
      <c r="AD9" s="66">
        <f>'SALDOS POR NOTA'!C11</f>
        <v>0</v>
      </c>
      <c r="AE9" s="115">
        <f>SUM(U9:AC9)</f>
        <v>0</v>
      </c>
      <c r="AF9" s="117">
        <f>(AE9-O9)</f>
        <v>0</v>
      </c>
      <c r="AG9" s="1" t="b">
        <f>AF9=0</f>
        <v>1</v>
      </c>
      <c r="AH9" s="4"/>
    </row>
    <row r="10" spans="1:34" x14ac:dyDescent="0.25">
      <c r="B10" s="16">
        <v>2</v>
      </c>
      <c r="C10" s="62" t="s">
        <v>11</v>
      </c>
      <c r="D10" s="66">
        <f>'SALDOS POR NOTA'!C23</f>
        <v>0</v>
      </c>
      <c r="E10" s="66">
        <f>'SALDOS POR NOTA'!D23</f>
        <v>0</v>
      </c>
      <c r="F10" s="66">
        <f>'SALDOS POR NOTA'!E23</f>
        <v>0</v>
      </c>
      <c r="G10" s="66">
        <f>'SALDOS POR NOTA'!F23</f>
        <v>0</v>
      </c>
      <c r="H10" s="66">
        <f>'SALDOS POR NOTA'!G23</f>
        <v>0</v>
      </c>
      <c r="I10" s="66">
        <f>'SALDOS POR NOTA'!H23</f>
        <v>0</v>
      </c>
      <c r="J10" s="66">
        <v>0</v>
      </c>
      <c r="K10" s="31">
        <f t="shared" ref="K10:K13" si="0">D10-E10-F10-G10-H10-I10-J10</f>
        <v>0</v>
      </c>
      <c r="L10" s="38">
        <v>0</v>
      </c>
      <c r="M10" s="31">
        <f>K10-L10</f>
        <v>0</v>
      </c>
      <c r="N10" s="37">
        <f>'SALDOS POR NOTA'!I23</f>
        <v>0</v>
      </c>
      <c r="O10" s="31">
        <f t="shared" ref="O10:O12" si="1">M10+N10</f>
        <v>0</v>
      </c>
      <c r="Q10" s="4"/>
      <c r="S10" s="16">
        <v>2</v>
      </c>
      <c r="T10" s="62" t="s">
        <v>11</v>
      </c>
      <c r="U10" s="66">
        <f>'SALDOS POR NOTA'!J23</f>
        <v>0</v>
      </c>
      <c r="V10" s="66">
        <f>'SALDOS POR NOTA'!K23</f>
        <v>0</v>
      </c>
      <c r="W10" s="66">
        <f>'SALDOS POR NOTA'!L23</f>
        <v>0</v>
      </c>
      <c r="X10" s="66">
        <f>'SALDOS POR NOTA'!M23</f>
        <v>0</v>
      </c>
      <c r="Y10" s="66">
        <f>'SALDOS POR NOTA'!N23</f>
        <v>0</v>
      </c>
      <c r="Z10" s="38">
        <f>L10*-1</f>
        <v>0</v>
      </c>
      <c r="AA10" s="384">
        <f>'SALDOS POR NOTA'!O23</f>
        <v>0</v>
      </c>
      <c r="AB10" s="37">
        <f>N10</f>
        <v>0</v>
      </c>
      <c r="AC10" s="66">
        <f t="shared" ref="AC10:AC13" si="2">-J10+AD10</f>
        <v>0</v>
      </c>
      <c r="AD10" s="66">
        <f>'SALDOS POR NOTA'!C24</f>
        <v>0</v>
      </c>
      <c r="AE10" s="116">
        <f>SUM(U10:AC10)</f>
        <v>0</v>
      </c>
      <c r="AF10" s="118">
        <f>(AE10-O10)</f>
        <v>0</v>
      </c>
      <c r="AG10" s="1" t="b">
        <f t="shared" ref="AG10:AG14" si="3">AF10=0</f>
        <v>1</v>
      </c>
      <c r="AH10" s="4"/>
    </row>
    <row r="11" spans="1:34" x14ac:dyDescent="0.25">
      <c r="B11" s="16">
        <v>3</v>
      </c>
      <c r="C11" s="62" t="s">
        <v>12</v>
      </c>
      <c r="D11" s="66">
        <f>'SALDOS POR NOTA'!C36</f>
        <v>0</v>
      </c>
      <c r="E11" s="66">
        <f>'SALDOS POR NOTA'!D36</f>
        <v>0</v>
      </c>
      <c r="F11" s="66">
        <f>'SALDOS POR NOTA'!E36</f>
        <v>0</v>
      </c>
      <c r="G11" s="66">
        <f>'SALDOS POR NOTA'!F36</f>
        <v>0</v>
      </c>
      <c r="H11" s="66">
        <f>'SALDOS POR NOTA'!G36</f>
        <v>0</v>
      </c>
      <c r="I11" s="66">
        <f>'SALDOS POR NOTA'!H36</f>
        <v>0</v>
      </c>
      <c r="J11" s="66">
        <v>0</v>
      </c>
      <c r="K11" s="31">
        <f t="shared" si="0"/>
        <v>0</v>
      </c>
      <c r="L11" s="38">
        <v>0</v>
      </c>
      <c r="M11" s="31">
        <f>K11-L11</f>
        <v>0</v>
      </c>
      <c r="N11" s="37">
        <f>'SALDOS POR NOTA'!I36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'SALDOS POR NOTA'!J36</f>
        <v>0</v>
      </c>
      <c r="V11" s="66">
        <f>'SALDOS POR NOTA'!K36</f>
        <v>0</v>
      </c>
      <c r="W11" s="66">
        <f>'SALDOS POR NOTA'!L36</f>
        <v>0</v>
      </c>
      <c r="X11" s="66">
        <f>'SALDOS POR NOTA'!M36</f>
        <v>0</v>
      </c>
      <c r="Y11" s="66">
        <f>'SALDOS POR NOTA'!N36</f>
        <v>0</v>
      </c>
      <c r="Z11" s="38">
        <f>L11*-1</f>
        <v>0</v>
      </c>
      <c r="AA11" s="384">
        <f>'SALDOS POR NOTA'!O36</f>
        <v>0</v>
      </c>
      <c r="AB11" s="37">
        <f>N11</f>
        <v>0</v>
      </c>
      <c r="AC11" s="66">
        <f t="shared" si="2"/>
        <v>0</v>
      </c>
      <c r="AD11" s="66">
        <f>'SALDOS POR NOTA'!C37</f>
        <v>0</v>
      </c>
      <c r="AE11" s="116">
        <f>SUM(U11:AC11)</f>
        <v>0</v>
      </c>
      <c r="AF11" s="118">
        <f>(AE11-O11)</f>
        <v>0</v>
      </c>
      <c r="AG11" s="1" t="b">
        <f t="shared" si="3"/>
        <v>1</v>
      </c>
      <c r="AH11" s="4"/>
    </row>
    <row r="12" spans="1:34" x14ac:dyDescent="0.25">
      <c r="B12" s="16">
        <v>4</v>
      </c>
      <c r="C12" s="62" t="s">
        <v>13</v>
      </c>
      <c r="D12" s="66">
        <f>'SALDOS POR NOTA'!C49</f>
        <v>0</v>
      </c>
      <c r="E12" s="66">
        <f>'SALDOS POR NOTA'!D49</f>
        <v>0</v>
      </c>
      <c r="F12" s="66">
        <f>'SALDOS POR NOTA'!E49</f>
        <v>0</v>
      </c>
      <c r="G12" s="66">
        <f>'SALDOS POR NOTA'!F49</f>
        <v>0</v>
      </c>
      <c r="H12" s="66">
        <f>'SALDOS POR NOTA'!G49</f>
        <v>0</v>
      </c>
      <c r="I12" s="66">
        <f>'SALDOS POR NOTA'!H49</f>
        <v>0</v>
      </c>
      <c r="J12" s="66">
        <v>0</v>
      </c>
      <c r="K12" s="31">
        <f t="shared" si="0"/>
        <v>0</v>
      </c>
      <c r="L12" s="38">
        <v>0</v>
      </c>
      <c r="M12" s="31">
        <f>K12-L12</f>
        <v>0</v>
      </c>
      <c r="N12" s="37">
        <f>'SALDOS POR NOTA'!I49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'SALDOS POR NOTA'!J49</f>
        <v>0</v>
      </c>
      <c r="V12" s="66">
        <f>'SALDOS POR NOTA'!K49</f>
        <v>0</v>
      </c>
      <c r="W12" s="66">
        <f>'SALDOS POR NOTA'!L49</f>
        <v>0</v>
      </c>
      <c r="X12" s="66">
        <f>'SALDOS POR NOTA'!M49</f>
        <v>0</v>
      </c>
      <c r="Y12" s="66">
        <f>'SALDOS POR NOTA'!N49</f>
        <v>0</v>
      </c>
      <c r="Z12" s="38">
        <f>L12*-1</f>
        <v>0</v>
      </c>
      <c r="AA12" s="384">
        <f>'SALDOS POR NOTA'!O49</f>
        <v>0</v>
      </c>
      <c r="AB12" s="37">
        <f>N12</f>
        <v>0</v>
      </c>
      <c r="AC12" s="66">
        <f t="shared" si="2"/>
        <v>0</v>
      </c>
      <c r="AD12" s="66">
        <f>'SALDOS POR NOTA'!C50</f>
        <v>0</v>
      </c>
      <c r="AE12" s="116">
        <f>SUM(U12:AC12)</f>
        <v>0</v>
      </c>
      <c r="AF12" s="118">
        <f>(AE12-O12)</f>
        <v>0</v>
      </c>
      <c r="AG12" s="1" t="b">
        <f t="shared" si="3"/>
        <v>1</v>
      </c>
      <c r="AH12" s="4"/>
    </row>
    <row r="13" spans="1:34" ht="12" thickBot="1" x14ac:dyDescent="0.3">
      <c r="B13" s="19">
        <v>5</v>
      </c>
      <c r="C13" s="63" t="s">
        <v>14</v>
      </c>
      <c r="D13" s="66">
        <f>'SALDOS POR NOTA'!C62</f>
        <v>0</v>
      </c>
      <c r="E13" s="66">
        <f>'SALDOS POR NOTA'!D62</f>
        <v>0</v>
      </c>
      <c r="F13" s="66">
        <f>'SALDOS POR NOTA'!E62</f>
        <v>0</v>
      </c>
      <c r="G13" s="66">
        <f>'SALDOS POR NOTA'!F62</f>
        <v>0</v>
      </c>
      <c r="H13" s="66">
        <f>'SALDOS POR NOTA'!G62</f>
        <v>0</v>
      </c>
      <c r="I13" s="66">
        <f>'SALDOS POR NOTA'!H62</f>
        <v>0</v>
      </c>
      <c r="J13" s="66">
        <v>0</v>
      </c>
      <c r="K13" s="31">
        <f t="shared" si="0"/>
        <v>0</v>
      </c>
      <c r="L13" s="38">
        <v>0</v>
      </c>
      <c r="M13" s="40">
        <f>K13-L13</f>
        <v>0</v>
      </c>
      <c r="N13" s="37">
        <f>'SALDOS POR NOTA'!I62</f>
        <v>0</v>
      </c>
      <c r="O13" s="40">
        <f>M13+N13</f>
        <v>0</v>
      </c>
      <c r="Q13" s="4"/>
      <c r="S13" s="19">
        <v>5</v>
      </c>
      <c r="T13" s="63" t="s">
        <v>14</v>
      </c>
      <c r="U13" s="66">
        <f>'SALDOS POR NOTA'!J62</f>
        <v>0</v>
      </c>
      <c r="V13" s="66">
        <f>'SALDOS POR NOTA'!K62</f>
        <v>0</v>
      </c>
      <c r="W13" s="66">
        <f>'SALDOS POR NOTA'!L62</f>
        <v>0</v>
      </c>
      <c r="X13" s="66">
        <f>'SALDOS POR NOTA'!M62</f>
        <v>0</v>
      </c>
      <c r="Y13" s="66">
        <f>'SALDOS POR NOTA'!N62</f>
        <v>0</v>
      </c>
      <c r="Z13" s="38">
        <f>L13*-1</f>
        <v>0</v>
      </c>
      <c r="AA13" s="385">
        <f>'SALDOS POR NOTA'!O62</f>
        <v>0</v>
      </c>
      <c r="AB13" s="37">
        <f>N13</f>
        <v>0</v>
      </c>
      <c r="AC13" s="66">
        <f t="shared" si="2"/>
        <v>0</v>
      </c>
      <c r="AD13" s="66">
        <f>'SALDOS POR NOTA'!C63</f>
        <v>0</v>
      </c>
      <c r="AE13" s="116">
        <f>SUM(U13:AC13)</f>
        <v>0</v>
      </c>
      <c r="AF13" s="119">
        <f>(AE13-O13)</f>
        <v>0</v>
      </c>
      <c r="AG13" s="1" t="b">
        <f t="shared" si="3"/>
        <v>1</v>
      </c>
      <c r="AH13" s="4"/>
    </row>
    <row r="14" spans="1:34" ht="13.5" thickBot="1" x14ac:dyDescent="0.35">
      <c r="B14" s="21"/>
      <c r="C14" s="22" t="s">
        <v>2</v>
      </c>
      <c r="D14" s="43">
        <f>SUM(D9:D13)</f>
        <v>0</v>
      </c>
      <c r="E14" s="43">
        <f t="shared" ref="E14:N14" si="4">SUM(E9:E13)</f>
        <v>0</v>
      </c>
      <c r="F14" s="43">
        <f t="shared" si="4"/>
        <v>0</v>
      </c>
      <c r="G14" s="43">
        <f t="shared" si="4"/>
        <v>0</v>
      </c>
      <c r="H14" s="43">
        <f t="shared" si="4"/>
        <v>0</v>
      </c>
      <c r="I14" s="43">
        <f t="shared" si="4"/>
        <v>0</v>
      </c>
      <c r="J14" s="43">
        <f t="shared" si="4"/>
        <v>0</v>
      </c>
      <c r="K14" s="32">
        <f t="shared" si="4"/>
        <v>0</v>
      </c>
      <c r="L14" s="23">
        <f t="shared" si="4"/>
        <v>0</v>
      </c>
      <c r="M14" s="76">
        <f t="shared" si="4"/>
        <v>0</v>
      </c>
      <c r="N14" s="23">
        <f t="shared" si="4"/>
        <v>0</v>
      </c>
      <c r="O14" s="76">
        <f>SUM(O9:O13)</f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B14" si="5">SUM(V9:V13)</f>
        <v>0</v>
      </c>
      <c r="W14" s="43">
        <f t="shared" si="5"/>
        <v>0</v>
      </c>
      <c r="X14" s="43">
        <f t="shared" si="5"/>
        <v>0</v>
      </c>
      <c r="Y14" s="43">
        <f t="shared" si="5"/>
        <v>0</v>
      </c>
      <c r="Z14" s="43">
        <f t="shared" si="5"/>
        <v>0</v>
      </c>
      <c r="AA14" s="383">
        <f t="shared" si="5"/>
        <v>0</v>
      </c>
      <c r="AB14" s="43">
        <f t="shared" si="5"/>
        <v>0</v>
      </c>
      <c r="AC14" s="43">
        <f>SUM(AC9:AC13)</f>
        <v>0</v>
      </c>
      <c r="AD14" s="43">
        <f>SUM(AD9:AD13)</f>
        <v>0</v>
      </c>
      <c r="AE14" s="68">
        <f>SUM(AE9:AE13)</f>
        <v>0</v>
      </c>
      <c r="AF14" s="120">
        <f>SUM(AF9:AF13)</f>
        <v>0</v>
      </c>
      <c r="AG14" s="1" t="b">
        <f t="shared" si="3"/>
        <v>1</v>
      </c>
      <c r="AH14" s="4"/>
    </row>
    <row r="15" spans="1:34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E15" s="24"/>
      <c r="AH15" s="4"/>
    </row>
    <row r="16" spans="1:34" ht="12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C16" s="1" t="s">
        <v>1</v>
      </c>
      <c r="AE16" s="1" t="s">
        <v>1</v>
      </c>
      <c r="AH16" s="4"/>
    </row>
    <row r="17" spans="1:34" ht="12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/>
      <c r="M17" s="24"/>
      <c r="N17" s="24"/>
      <c r="O17" s="24"/>
      <c r="Q17" s="4"/>
      <c r="AH17" s="4"/>
    </row>
    <row r="18" spans="1:34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H18" s="4"/>
    </row>
    <row r="19" spans="1:34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12" thickBot="1" x14ac:dyDescent="0.3">
      <c r="Q20" s="4"/>
      <c r="AH20" s="4"/>
    </row>
    <row r="21" spans="1:34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7"/>
      <c r="AF21" s="2"/>
      <c r="AH21" s="4"/>
    </row>
    <row r="22" spans="1:34" ht="14" x14ac:dyDescent="0.3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C22" s="84">
        <f>N22</f>
        <v>2026091</v>
      </c>
      <c r="AD22" s="84"/>
      <c r="AE22" s="48"/>
      <c r="AF22" s="2"/>
      <c r="AH22" s="4"/>
    </row>
    <row r="23" spans="1:34" ht="15.5" x14ac:dyDescent="0.3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10" t="s">
        <v>1</v>
      </c>
      <c r="AF23" s="2"/>
      <c r="AH23" s="4"/>
    </row>
    <row r="24" spans="1:34" ht="14" x14ac:dyDescent="0.3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E24" s="44"/>
      <c r="AF24" s="2"/>
      <c r="AH24" s="4"/>
    </row>
    <row r="25" spans="1:34" ht="15.5" x14ac:dyDescent="0.35">
      <c r="B25" s="8"/>
      <c r="C25" s="2" t="s">
        <v>17</v>
      </c>
      <c r="D25" s="9">
        <f>D6</f>
        <v>46282</v>
      </c>
      <c r="F25" s="41" t="s">
        <v>124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tr">
        <f>+F25</f>
        <v>RETRIBUCION NEGATIVA</v>
      </c>
      <c r="V25" s="2"/>
      <c r="X25" s="2"/>
      <c r="Y25" s="2"/>
      <c r="AE25" s="48"/>
      <c r="AF25" s="2"/>
      <c r="AH25" s="4"/>
    </row>
    <row r="26" spans="1:34" ht="12" thickBot="1" x14ac:dyDescent="0.3">
      <c r="B26" s="8"/>
      <c r="C26" s="2" t="s">
        <v>0</v>
      </c>
      <c r="D26" s="241">
        <f>D7</f>
        <v>0.58333333333333337</v>
      </c>
      <c r="F26" s="2" t="s">
        <v>27</v>
      </c>
      <c r="G26" s="2"/>
      <c r="H26" s="9">
        <f>H7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H26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E26" s="48"/>
      <c r="AF26" s="2"/>
      <c r="AH26" s="4"/>
    </row>
    <row r="27" spans="1:34" ht="72" customHeight="1" thickBot="1" x14ac:dyDescent="0.3">
      <c r="B27" s="11" t="s">
        <v>3</v>
      </c>
      <c r="C27" s="27" t="s">
        <v>9</v>
      </c>
      <c r="D27" s="11" t="s">
        <v>4</v>
      </c>
      <c r="E27" s="12" t="s">
        <v>5</v>
      </c>
      <c r="F27" s="12" t="s">
        <v>6</v>
      </c>
      <c r="G27" s="27" t="s">
        <v>159</v>
      </c>
      <c r="H27" s="12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80" t="s">
        <v>39</v>
      </c>
      <c r="V27" s="51" t="s">
        <v>40</v>
      </c>
      <c r="W27" s="51" t="s">
        <v>41</v>
      </c>
      <c r="X27" s="51" t="s">
        <v>42</v>
      </c>
      <c r="Y27" s="81" t="s">
        <v>43</v>
      </c>
      <c r="Z27" s="85" t="s">
        <v>21</v>
      </c>
      <c r="AA27" s="65" t="s">
        <v>46</v>
      </c>
      <c r="AB27" s="65" t="s">
        <v>7</v>
      </c>
      <c r="AC27" s="121" t="s">
        <v>107</v>
      </c>
      <c r="AD27" s="121" t="s">
        <v>106</v>
      </c>
      <c r="AE27" s="39" t="s">
        <v>23</v>
      </c>
      <c r="AF27" s="13"/>
      <c r="AH27" s="4"/>
    </row>
    <row r="28" spans="1:34" s="307" customFormat="1" x14ac:dyDescent="0.25">
      <c r="B28" s="305">
        <v>1</v>
      </c>
      <c r="C28" s="306" t="s">
        <v>10</v>
      </c>
      <c r="D28" s="293">
        <f>'RETRIBUCION NEGATIVA'!C10</f>
        <v>0</v>
      </c>
      <c r="E28" s="294">
        <f>'RETRIBUCION NEGATIVA'!D10</f>
        <v>0</v>
      </c>
      <c r="F28" s="294">
        <f>'RETRIBUCION NEGATIVA'!E10</f>
        <v>0</v>
      </c>
      <c r="G28" s="294">
        <f>'RETRIBUCION NEGATIVA'!F10</f>
        <v>0</v>
      </c>
      <c r="H28" s="294">
        <f>'RETRIBUCION NEGATIVA'!G10</f>
        <v>0</v>
      </c>
      <c r="I28" s="294">
        <f>'RETRIBUCION NEGATIVA'!H10</f>
        <v>0</v>
      </c>
      <c r="J28" s="290">
        <v>0</v>
      </c>
      <c r="K28" s="295">
        <f>D28-E28-F28-H28-I28-J28-G28</f>
        <v>0</v>
      </c>
      <c r="L28" s="296">
        <v>0</v>
      </c>
      <c r="M28" s="295">
        <f>K28-L28</f>
        <v>0</v>
      </c>
      <c r="N28" s="296">
        <f>'RETRIBUCION NEGATIVA'!I10</f>
        <v>0</v>
      </c>
      <c r="O28" s="295">
        <f>M28+N28</f>
        <v>0</v>
      </c>
      <c r="Q28" s="308"/>
      <c r="S28" s="305">
        <v>1</v>
      </c>
      <c r="T28" s="306" t="s">
        <v>10</v>
      </c>
      <c r="U28" s="293">
        <f>'RETRIBUCION NEGATIVA'!J10</f>
        <v>0</v>
      </c>
      <c r="V28" s="293">
        <f>'RETRIBUCION NEGATIVA'!K10</f>
        <v>0</v>
      </c>
      <c r="W28" s="293">
        <f>'RETRIBUCION NEGATIVA'!L10</f>
        <v>0</v>
      </c>
      <c r="X28" s="293">
        <f>'RETRIBUCION NEGATIVA'!M10</f>
        <v>0</v>
      </c>
      <c r="Y28" s="293">
        <f>'RETRIBUCION NEGATIVA'!N10</f>
        <v>0</v>
      </c>
      <c r="Z28" s="312">
        <f>L28*-1</f>
        <v>0</v>
      </c>
      <c r="AA28" s="314">
        <f>'RETRIBUCION NEGATIVA'!O10</f>
        <v>0</v>
      </c>
      <c r="AB28" s="296">
        <f>N28</f>
        <v>0</v>
      </c>
      <c r="AC28" s="293">
        <f>-J28+AD28</f>
        <v>0</v>
      </c>
      <c r="AD28" s="293">
        <f>'RETRIBUCION NEGATIVA'!C11</f>
        <v>0</v>
      </c>
      <c r="AE28" s="365">
        <f>SUM(U28:AC28)</f>
        <v>0</v>
      </c>
      <c r="AF28" s="313">
        <f>(AE28-O28)</f>
        <v>0</v>
      </c>
      <c r="AG28" s="307" t="b">
        <f>AF28=0</f>
        <v>1</v>
      </c>
      <c r="AH28" s="308"/>
    </row>
    <row r="29" spans="1:34" s="307" customFormat="1" x14ac:dyDescent="0.25">
      <c r="B29" s="316">
        <v>2</v>
      </c>
      <c r="C29" s="317" t="s">
        <v>11</v>
      </c>
      <c r="D29" s="293">
        <f>'RETRIBUCION NEGATIVA'!C23</f>
        <v>0</v>
      </c>
      <c r="E29" s="294">
        <f>'RETRIBUCION NEGATIVA'!D23</f>
        <v>0</v>
      </c>
      <c r="F29" s="294">
        <f>'RETRIBUCION NEGATIVA'!E23</f>
        <v>0</v>
      </c>
      <c r="G29" s="294">
        <f>'RETRIBUCION NEGATIVA'!F23</f>
        <v>0</v>
      </c>
      <c r="H29" s="294">
        <f>'RETRIBUCION NEGATIVA'!G23</f>
        <v>0</v>
      </c>
      <c r="I29" s="294">
        <f>'RETRIBUCION NEGATIVA'!H23</f>
        <v>0</v>
      </c>
      <c r="J29" s="290">
        <v>0</v>
      </c>
      <c r="K29" s="297">
        <f t="shared" ref="K29:K32" si="6">D29-E29-F29-H29-I29-J29-G29</f>
        <v>0</v>
      </c>
      <c r="L29" s="301">
        <v>0</v>
      </c>
      <c r="M29" s="297">
        <f>K29-L29</f>
        <v>0</v>
      </c>
      <c r="N29" s="296">
        <f>'RETRIBUCION NEGATIVA'!I23</f>
        <v>0</v>
      </c>
      <c r="O29" s="297">
        <f t="shared" ref="O29:O32" si="7">M29+N29</f>
        <v>0</v>
      </c>
      <c r="Q29" s="308"/>
      <c r="S29" s="316">
        <v>2</v>
      </c>
      <c r="T29" s="317" t="s">
        <v>11</v>
      </c>
      <c r="U29" s="318">
        <f>'RETRIBUCION NEGATIVA'!J23</f>
        <v>0</v>
      </c>
      <c r="V29" s="318">
        <f>'RETRIBUCION NEGATIVA'!K23</f>
        <v>0</v>
      </c>
      <c r="W29" s="318">
        <f>'RETRIBUCION NEGATIVA'!L23</f>
        <v>0</v>
      </c>
      <c r="X29" s="318">
        <f>'RETRIBUCION NEGATIVA'!M23</f>
        <v>0</v>
      </c>
      <c r="Y29" s="318">
        <f>'RETRIBUCION NEGATIVA'!N23</f>
        <v>0</v>
      </c>
      <c r="Z29" s="321">
        <f>L29*-1</f>
        <v>0</v>
      </c>
      <c r="AA29" s="322">
        <f>'RETRIBUCION NEGATIVA'!O23</f>
        <v>0</v>
      </c>
      <c r="AB29" s="296">
        <f>N29</f>
        <v>0</v>
      </c>
      <c r="AC29" s="293">
        <f>-J29+AD29</f>
        <v>0</v>
      </c>
      <c r="AD29" s="293">
        <f>'RETRIBUCION NEGATIVA'!C24</f>
        <v>0</v>
      </c>
      <c r="AE29" s="367">
        <f>SUM(U29:AC29)</f>
        <v>0</v>
      </c>
      <c r="AF29" s="325">
        <f>(AE29-O29)</f>
        <v>0</v>
      </c>
      <c r="AG29" s="307" t="b">
        <f t="shared" ref="AG29:AG33" si="8">AF29=0</f>
        <v>1</v>
      </c>
      <c r="AH29" s="308"/>
    </row>
    <row r="30" spans="1:34" s="307" customFormat="1" x14ac:dyDescent="0.25">
      <c r="B30" s="316">
        <v>3</v>
      </c>
      <c r="C30" s="317" t="s">
        <v>12</v>
      </c>
      <c r="D30" s="293">
        <f>'RETRIBUCION NEGATIVA'!C36</f>
        <v>0</v>
      </c>
      <c r="E30" s="294">
        <f>'RETRIBUCION NEGATIVA'!D36</f>
        <v>0</v>
      </c>
      <c r="F30" s="294">
        <f>'RETRIBUCION NEGATIVA'!E36</f>
        <v>0</v>
      </c>
      <c r="G30" s="294">
        <f>'RETRIBUCION NEGATIVA'!F36</f>
        <v>0</v>
      </c>
      <c r="H30" s="294">
        <f>'RETRIBUCION NEGATIVA'!G36</f>
        <v>0</v>
      </c>
      <c r="I30" s="294">
        <f>'RETRIBUCION NEGATIVA'!H36</f>
        <v>0</v>
      </c>
      <c r="J30" s="290">
        <v>0</v>
      </c>
      <c r="K30" s="297">
        <f t="shared" si="6"/>
        <v>0</v>
      </c>
      <c r="L30" s="301">
        <v>0</v>
      </c>
      <c r="M30" s="297">
        <f>K30-L30</f>
        <v>0</v>
      </c>
      <c r="N30" s="296">
        <f>'RETRIBUCION NEGATIVA'!I36</f>
        <v>0</v>
      </c>
      <c r="O30" s="297">
        <f t="shared" si="7"/>
        <v>0</v>
      </c>
      <c r="Q30" s="308"/>
      <c r="S30" s="316">
        <v>3</v>
      </c>
      <c r="T30" s="317" t="s">
        <v>12</v>
      </c>
      <c r="U30" s="318">
        <f>'RETRIBUCION NEGATIVA'!J36</f>
        <v>0</v>
      </c>
      <c r="V30" s="318">
        <f>'RETRIBUCION NEGATIVA'!K36</f>
        <v>0</v>
      </c>
      <c r="W30" s="318">
        <f>'RETRIBUCION NEGATIVA'!L36</f>
        <v>0</v>
      </c>
      <c r="X30" s="318">
        <f>'RETRIBUCION NEGATIVA'!M36</f>
        <v>0</v>
      </c>
      <c r="Y30" s="318">
        <f>'RETRIBUCION NEGATIVA'!N36</f>
        <v>0</v>
      </c>
      <c r="Z30" s="321">
        <f>L30*-1</f>
        <v>0</v>
      </c>
      <c r="AA30" s="322">
        <f>'RETRIBUCION NEGATIVA'!O36</f>
        <v>0</v>
      </c>
      <c r="AB30" s="296">
        <f>N30</f>
        <v>0</v>
      </c>
      <c r="AC30" s="293">
        <f t="shared" ref="AC30:AC32" si="9">-J30+AD30</f>
        <v>0</v>
      </c>
      <c r="AD30" s="293">
        <f>'RETRIBUCION NEGATIVA'!C37</f>
        <v>0</v>
      </c>
      <c r="AE30" s="367">
        <f>SUM(U30:AC30)</f>
        <v>0</v>
      </c>
      <c r="AF30" s="325">
        <f t="shared" ref="AF30:AF31" si="10">(AE30-O30)</f>
        <v>0</v>
      </c>
      <c r="AG30" s="307" t="b">
        <f t="shared" si="8"/>
        <v>1</v>
      </c>
      <c r="AH30" s="308"/>
    </row>
    <row r="31" spans="1:34" s="307" customFormat="1" x14ac:dyDescent="0.25">
      <c r="B31" s="316">
        <v>4</v>
      </c>
      <c r="C31" s="317" t="s">
        <v>13</v>
      </c>
      <c r="D31" s="293">
        <f>'RETRIBUCION NEGATIVA'!C49</f>
        <v>0</v>
      </c>
      <c r="E31" s="294">
        <f>'RETRIBUCION NEGATIVA'!D49</f>
        <v>0</v>
      </c>
      <c r="F31" s="294">
        <f>'RETRIBUCION NEGATIVA'!E49</f>
        <v>0</v>
      </c>
      <c r="G31" s="294">
        <f>'RETRIBUCION NEGATIVA'!F49</f>
        <v>0</v>
      </c>
      <c r="H31" s="294">
        <f>'RETRIBUCION NEGATIVA'!G49</f>
        <v>0</v>
      </c>
      <c r="I31" s="294">
        <f>'RETRIBUCION NEGATIVA'!H49</f>
        <v>0</v>
      </c>
      <c r="J31" s="290">
        <v>0</v>
      </c>
      <c r="K31" s="297">
        <f t="shared" si="6"/>
        <v>0</v>
      </c>
      <c r="L31" s="301">
        <v>0</v>
      </c>
      <c r="M31" s="297">
        <f>K31-L31</f>
        <v>0</v>
      </c>
      <c r="N31" s="296">
        <f>'RETRIBUCION NEGATIVA'!I49</f>
        <v>0</v>
      </c>
      <c r="O31" s="297">
        <f t="shared" si="7"/>
        <v>0</v>
      </c>
      <c r="Q31" s="308"/>
      <c r="S31" s="316">
        <v>4</v>
      </c>
      <c r="T31" s="317" t="s">
        <v>13</v>
      </c>
      <c r="U31" s="318">
        <f>'RETRIBUCION NEGATIVA'!J49</f>
        <v>0</v>
      </c>
      <c r="V31" s="318">
        <f>'RETRIBUCION NEGATIVA'!K49</f>
        <v>0</v>
      </c>
      <c r="W31" s="318">
        <f>'RETRIBUCION NEGATIVA'!L49</f>
        <v>0</v>
      </c>
      <c r="X31" s="318">
        <f>'RETRIBUCION NEGATIVA'!M49</f>
        <v>0</v>
      </c>
      <c r="Y31" s="318">
        <f>'RETRIBUCION NEGATIVA'!N49</f>
        <v>0</v>
      </c>
      <c r="Z31" s="321">
        <f>L31*-1</f>
        <v>0</v>
      </c>
      <c r="AA31" s="322">
        <f>'RETRIBUCION NEGATIVA'!O49</f>
        <v>0</v>
      </c>
      <c r="AB31" s="296">
        <f>N31</f>
        <v>0</v>
      </c>
      <c r="AC31" s="293">
        <f t="shared" si="9"/>
        <v>0</v>
      </c>
      <c r="AD31" s="293">
        <f>'RETRIBUCION NEGATIVA'!C50</f>
        <v>0</v>
      </c>
      <c r="AE31" s="367">
        <f>SUM(U31:AC31)</f>
        <v>0</v>
      </c>
      <c r="AF31" s="325">
        <f t="shared" si="10"/>
        <v>0</v>
      </c>
      <c r="AG31" s="307" t="b">
        <f t="shared" si="8"/>
        <v>1</v>
      </c>
      <c r="AH31" s="308"/>
    </row>
    <row r="32" spans="1:34" s="307" customFormat="1" ht="12" thickBot="1" x14ac:dyDescent="0.3">
      <c r="B32" s="326">
        <v>5</v>
      </c>
      <c r="C32" s="327" t="s">
        <v>14</v>
      </c>
      <c r="D32" s="298">
        <f>'RETRIBUCION NEGATIVA'!C61</f>
        <v>0</v>
      </c>
      <c r="E32" s="299">
        <f>'RETRIBUCION NEGATIVA'!D61</f>
        <v>0</v>
      </c>
      <c r="F32" s="299">
        <f>'RETRIBUCION NEGATIVA'!E61</f>
        <v>0</v>
      </c>
      <c r="G32" s="299">
        <f>'RETRIBUCION NEGATIVA'!F61</f>
        <v>0</v>
      </c>
      <c r="H32" s="299">
        <f>'RETRIBUCION NEGATIVA'!G61</f>
        <v>0</v>
      </c>
      <c r="I32" s="299">
        <f>'RETRIBUCION NEGATIVA'!H61</f>
        <v>0</v>
      </c>
      <c r="J32" s="291">
        <v>0</v>
      </c>
      <c r="K32" s="297">
        <f t="shared" si="6"/>
        <v>0</v>
      </c>
      <c r="L32" s="301">
        <v>0</v>
      </c>
      <c r="M32" s="300">
        <f>K32-L32</f>
        <v>0</v>
      </c>
      <c r="N32" s="301">
        <f>'RETRIBUCION NEGATIVA'!I61</f>
        <v>0</v>
      </c>
      <c r="O32" s="300">
        <f t="shared" si="7"/>
        <v>0</v>
      </c>
      <c r="Q32" s="308"/>
      <c r="S32" s="326">
        <v>5</v>
      </c>
      <c r="T32" s="327" t="s">
        <v>14</v>
      </c>
      <c r="U32" s="298">
        <f>'RETRIBUCION NEGATIVA'!J61</f>
        <v>0</v>
      </c>
      <c r="V32" s="298">
        <f>'RETRIBUCION NEGATIVA'!K61</f>
        <v>0</v>
      </c>
      <c r="W32" s="298">
        <f>'RETRIBUCION NEGATIVA'!L61</f>
        <v>0</v>
      </c>
      <c r="X32" s="298">
        <f>'RETRIBUCION NEGATIVA'!M61</f>
        <v>0</v>
      </c>
      <c r="Y32" s="298">
        <f>'RETRIBUCION NEGATIVA'!N61</f>
        <v>0</v>
      </c>
      <c r="Z32" s="321">
        <f>L32*-1</f>
        <v>0</v>
      </c>
      <c r="AA32" s="322">
        <f>'RETRIBUCION NEGATIVA'!O61</f>
        <v>0</v>
      </c>
      <c r="AB32" s="296">
        <f>N32</f>
        <v>0</v>
      </c>
      <c r="AC32" s="293">
        <f t="shared" si="9"/>
        <v>0</v>
      </c>
      <c r="AD32" s="293">
        <f>'RETRIBUCION NEGATIVA'!C62</f>
        <v>0</v>
      </c>
      <c r="AE32" s="367">
        <f>SUM(U32:AC32)</f>
        <v>0</v>
      </c>
      <c r="AF32" s="328">
        <f>(AE32-O32)</f>
        <v>0</v>
      </c>
      <c r="AG32" s="307" t="b">
        <f t="shared" si="8"/>
        <v>1</v>
      </c>
      <c r="AH32" s="308"/>
    </row>
    <row r="33" spans="1:34" s="307" customFormat="1" ht="13.5" thickBot="1" x14ac:dyDescent="0.35">
      <c r="B33" s="329"/>
      <c r="C33" s="330" t="s">
        <v>2</v>
      </c>
      <c r="D33" s="292">
        <f>SUM(D28:D32)</f>
        <v>0</v>
      </c>
      <c r="E33" s="292">
        <f t="shared" ref="E33:O33" si="11">SUM(E28:E32)</f>
        <v>0</v>
      </c>
      <c r="F33" s="292">
        <f t="shared" si="11"/>
        <v>0</v>
      </c>
      <c r="G33" s="292">
        <f>SUM(G28:G32)</f>
        <v>0</v>
      </c>
      <c r="H33" s="292">
        <f t="shared" si="11"/>
        <v>0</v>
      </c>
      <c r="I33" s="292">
        <f t="shared" si="11"/>
        <v>0</v>
      </c>
      <c r="J33" s="292">
        <f t="shared" si="11"/>
        <v>0</v>
      </c>
      <c r="K33" s="302">
        <f t="shared" si="11"/>
        <v>0</v>
      </c>
      <c r="L33" s="303">
        <f t="shared" si="11"/>
        <v>0</v>
      </c>
      <c r="M33" s="304">
        <f t="shared" si="11"/>
        <v>0</v>
      </c>
      <c r="N33" s="303">
        <f t="shared" si="11"/>
        <v>0</v>
      </c>
      <c r="O33" s="304">
        <f t="shared" si="11"/>
        <v>0</v>
      </c>
      <c r="P33" s="331"/>
      <c r="Q33" s="308"/>
      <c r="S33" s="329"/>
      <c r="T33" s="330" t="s">
        <v>2</v>
      </c>
      <c r="U33" s="292">
        <f>SUM(U28:U32)</f>
        <v>0</v>
      </c>
      <c r="V33" s="292">
        <f t="shared" ref="V33:AF33" si="12">SUM(V28:V32)</f>
        <v>0</v>
      </c>
      <c r="W33" s="292">
        <f t="shared" si="12"/>
        <v>0</v>
      </c>
      <c r="X33" s="292">
        <f t="shared" si="12"/>
        <v>0</v>
      </c>
      <c r="Y33" s="292">
        <f t="shared" si="12"/>
        <v>0</v>
      </c>
      <c r="Z33" s="292">
        <f t="shared" si="12"/>
        <v>0</v>
      </c>
      <c r="AA33" s="292">
        <f t="shared" si="12"/>
        <v>0</v>
      </c>
      <c r="AB33" s="292">
        <f t="shared" si="12"/>
        <v>0</v>
      </c>
      <c r="AC33" s="292">
        <f>SUM(AC28:AC32)</f>
        <v>0</v>
      </c>
      <c r="AD33" s="292">
        <f>SUM(AD28:AD32)</f>
        <v>0</v>
      </c>
      <c r="AE33" s="333">
        <f t="shared" si="12"/>
        <v>0</v>
      </c>
      <c r="AF33" s="334">
        <f t="shared" si="12"/>
        <v>0</v>
      </c>
      <c r="AG33" s="307" t="b">
        <f t="shared" si="8"/>
        <v>1</v>
      </c>
      <c r="AH33" s="308"/>
    </row>
    <row r="34" spans="1:34" ht="12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E34" s="24"/>
      <c r="AH34" s="4"/>
    </row>
    <row r="35" spans="1:34" ht="13.5" customHeight="1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J35" s="1" t="s">
        <v>264</v>
      </c>
      <c r="M35" s="631" t="b">
        <f>IF(MAX(D28:O32,U28:AE32)&gt;0.9,"ERROR",TRUE)</f>
        <v>1</v>
      </c>
      <c r="O35" s="24"/>
      <c r="Q35" s="4"/>
      <c r="Y35" s="86">
        <f>SUM(U33:Y33)</f>
        <v>0</v>
      </c>
      <c r="AA35" s="1" t="s">
        <v>1</v>
      </c>
      <c r="AB35" s="1" t="s">
        <v>1</v>
      </c>
      <c r="AC35" s="1" t="s">
        <v>1</v>
      </c>
      <c r="AE35" s="1" t="s">
        <v>1</v>
      </c>
      <c r="AH35" s="4"/>
    </row>
    <row r="36" spans="1:34" ht="12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O36" s="24"/>
      <c r="Q36" s="4"/>
      <c r="AH36" s="4"/>
    </row>
    <row r="37" spans="1:34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H37" s="4"/>
    </row>
    <row r="38" spans="1:34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ht="12" thickBot="1" x14ac:dyDescent="0.3">
      <c r="Q39" s="4"/>
      <c r="AH39" s="4"/>
    </row>
    <row r="40" spans="1:34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7"/>
      <c r="AF40" s="2"/>
      <c r="AH40" s="4"/>
    </row>
    <row r="41" spans="1:34" ht="14" x14ac:dyDescent="0.3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C41" s="84">
        <f>N41</f>
        <v>2026091</v>
      </c>
      <c r="AD41" s="84"/>
      <c r="AE41" s="48"/>
      <c r="AF41" s="2"/>
      <c r="AH41" s="4"/>
    </row>
    <row r="42" spans="1:34" ht="15.5" x14ac:dyDescent="0.3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10" t="s">
        <v>1</v>
      </c>
      <c r="AF42" s="2"/>
      <c r="AH42" s="4"/>
    </row>
    <row r="43" spans="1:34" ht="14" x14ac:dyDescent="0.3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E43" s="44"/>
      <c r="AF43" s="2"/>
      <c r="AH43" s="4"/>
    </row>
    <row r="44" spans="1:34" ht="15.5" x14ac:dyDescent="0.35">
      <c r="B44" s="8"/>
      <c r="C44" s="2" t="s">
        <v>17</v>
      </c>
      <c r="D44" s="9">
        <f>D6</f>
        <v>46282</v>
      </c>
      <c r="F44" s="41" t="s">
        <v>125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tr">
        <f>+F44</f>
        <v>CONSOLIDADO SALDOS A FAVOR</v>
      </c>
      <c r="V44" s="2"/>
      <c r="X44" s="2"/>
      <c r="Y44" s="2"/>
      <c r="AE44" s="48"/>
      <c r="AF44" s="2"/>
      <c r="AH44" s="4"/>
    </row>
    <row r="45" spans="1:34" ht="12" thickBot="1" x14ac:dyDescent="0.3">
      <c r="B45" s="8"/>
      <c r="C45" s="2" t="s">
        <v>0</v>
      </c>
      <c r="D45" s="241">
        <f>D7</f>
        <v>0.58333333333333337</v>
      </c>
      <c r="F45" s="2" t="s">
        <v>27</v>
      </c>
      <c r="G45" s="2"/>
      <c r="H45" s="9">
        <f>H7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H45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E45" s="48"/>
      <c r="AF45" s="2"/>
      <c r="AH45" s="4"/>
    </row>
    <row r="46" spans="1:34" ht="72" customHeight="1" thickBot="1" x14ac:dyDescent="0.3">
      <c r="B46" s="11" t="s">
        <v>3</v>
      </c>
      <c r="C46" s="27" t="s">
        <v>9</v>
      </c>
      <c r="D46" s="11" t="s">
        <v>4</v>
      </c>
      <c r="E46" s="12" t="s">
        <v>5</v>
      </c>
      <c r="F46" s="12" t="s">
        <v>6</v>
      </c>
      <c r="G46" s="27" t="s">
        <v>159</v>
      </c>
      <c r="H46" s="12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80" t="s">
        <v>39</v>
      </c>
      <c r="V46" s="51" t="s">
        <v>40</v>
      </c>
      <c r="W46" s="51" t="s">
        <v>41</v>
      </c>
      <c r="X46" s="51" t="s">
        <v>42</v>
      </c>
      <c r="Y46" s="81" t="s">
        <v>43</v>
      </c>
      <c r="Z46" s="85" t="s">
        <v>21</v>
      </c>
      <c r="AA46" s="65" t="s">
        <v>46</v>
      </c>
      <c r="AB46" s="65" t="s">
        <v>7</v>
      </c>
      <c r="AC46" s="121" t="s">
        <v>107</v>
      </c>
      <c r="AD46" s="121" t="s">
        <v>106</v>
      </c>
      <c r="AE46" s="39" t="s">
        <v>23</v>
      </c>
      <c r="AF46" s="13"/>
      <c r="AH46" s="4"/>
    </row>
    <row r="47" spans="1:34" ht="12" thickBot="1" x14ac:dyDescent="0.3">
      <c r="B47" s="14">
        <v>1</v>
      </c>
      <c r="C47" s="61" t="s">
        <v>10</v>
      </c>
      <c r="D47" s="66">
        <f>D9+D28</f>
        <v>0</v>
      </c>
      <c r="E47" s="66">
        <f t="shared" ref="E47:F47" si="13">E9+E28</f>
        <v>0</v>
      </c>
      <c r="F47" s="66">
        <f t="shared" si="13"/>
        <v>0</v>
      </c>
      <c r="G47" s="66">
        <f t="shared" ref="G47" si="14">G9+G28</f>
        <v>0</v>
      </c>
      <c r="H47" s="66">
        <f t="shared" ref="H47:J51" si="15">H9+H28</f>
        <v>0</v>
      </c>
      <c r="I47" s="66">
        <f t="shared" si="15"/>
        <v>0</v>
      </c>
      <c r="J47" s="66">
        <f>J9+J28</f>
        <v>0</v>
      </c>
      <c r="K47" s="30">
        <f>D47-E47-F47-G47-H47-I47-J47</f>
        <v>0</v>
      </c>
      <c r="L47" s="37">
        <v>0</v>
      </c>
      <c r="M47" s="30">
        <f>K47-L47</f>
        <v>0</v>
      </c>
      <c r="N47" s="66">
        <f>N9+N28</f>
        <v>0</v>
      </c>
      <c r="O47" s="30">
        <f>M47+N47</f>
        <v>0</v>
      </c>
      <c r="Q47" s="4"/>
      <c r="S47" s="14">
        <v>1</v>
      </c>
      <c r="T47" s="61" t="s">
        <v>10</v>
      </c>
      <c r="U47" s="140">
        <f t="shared" ref="U47:Y51" si="16">U9+U28</f>
        <v>0</v>
      </c>
      <c r="V47" s="140">
        <f t="shared" si="16"/>
        <v>0</v>
      </c>
      <c r="W47" s="140">
        <f t="shared" si="16"/>
        <v>0</v>
      </c>
      <c r="X47" s="140">
        <f t="shared" si="16"/>
        <v>0</v>
      </c>
      <c r="Y47" s="140">
        <f t="shared" si="16"/>
        <v>0</v>
      </c>
      <c r="Z47" s="87">
        <f>-L47</f>
        <v>0</v>
      </c>
      <c r="AA47" s="75">
        <f t="shared" ref="AA47:AD51" si="17">AA9+AA28</f>
        <v>0</v>
      </c>
      <c r="AB47" s="75">
        <f>AB9+AB28</f>
        <v>0</v>
      </c>
      <c r="AC47" s="75">
        <f t="shared" si="17"/>
        <v>0</v>
      </c>
      <c r="AD47" s="75">
        <f t="shared" si="17"/>
        <v>0</v>
      </c>
      <c r="AE47" s="69">
        <f>SUM(U47:AC47)</f>
        <v>0</v>
      </c>
      <c r="AF47" s="117">
        <f>(AE47-O47)</f>
        <v>0</v>
      </c>
      <c r="AG47" s="1" t="b">
        <f>AF47=0</f>
        <v>1</v>
      </c>
      <c r="AH47" s="4"/>
    </row>
    <row r="48" spans="1:34" ht="12" thickBot="1" x14ac:dyDescent="0.3">
      <c r="B48" s="16">
        <v>2</v>
      </c>
      <c r="C48" s="62" t="s">
        <v>11</v>
      </c>
      <c r="D48" s="66">
        <f t="shared" ref="D48:F51" si="18">D10+D29</f>
        <v>0</v>
      </c>
      <c r="E48" s="66">
        <f t="shared" si="18"/>
        <v>0</v>
      </c>
      <c r="F48" s="66">
        <f t="shared" si="18"/>
        <v>0</v>
      </c>
      <c r="G48" s="66">
        <f t="shared" ref="G48" si="19">G10+G29</f>
        <v>0</v>
      </c>
      <c r="H48" s="66">
        <f t="shared" si="15"/>
        <v>0</v>
      </c>
      <c r="I48" s="66">
        <f t="shared" si="15"/>
        <v>0</v>
      </c>
      <c r="J48" s="66">
        <f t="shared" si="15"/>
        <v>0</v>
      </c>
      <c r="K48" s="31">
        <f>D48-E48-F48-G48-H48-I48-J48</f>
        <v>0</v>
      </c>
      <c r="L48" s="38">
        <v>0</v>
      </c>
      <c r="M48" s="31">
        <f>K48-L48</f>
        <v>0</v>
      </c>
      <c r="N48" s="66">
        <f>N10+N29</f>
        <v>0</v>
      </c>
      <c r="O48" s="31">
        <f t="shared" ref="O48:O51" si="20">M48+N48</f>
        <v>0</v>
      </c>
      <c r="Q48" s="4"/>
      <c r="S48" s="16">
        <v>2</v>
      </c>
      <c r="T48" s="62" t="s">
        <v>11</v>
      </c>
      <c r="U48" s="82">
        <f t="shared" si="16"/>
        <v>0</v>
      </c>
      <c r="V48" s="82">
        <f t="shared" si="16"/>
        <v>0</v>
      </c>
      <c r="W48" s="82">
        <f t="shared" si="16"/>
        <v>0</v>
      </c>
      <c r="X48" s="82">
        <f t="shared" si="16"/>
        <v>0</v>
      </c>
      <c r="Y48" s="82">
        <f t="shared" si="16"/>
        <v>0</v>
      </c>
      <c r="Z48" s="88">
        <f>-L48</f>
        <v>0</v>
      </c>
      <c r="AA48" s="67">
        <f>AA10+AA29</f>
        <v>0</v>
      </c>
      <c r="AB48" s="75">
        <f>AB10+AB29</f>
        <v>0</v>
      </c>
      <c r="AC48" s="75">
        <f t="shared" si="17"/>
        <v>0</v>
      </c>
      <c r="AD48" s="75">
        <f t="shared" si="17"/>
        <v>0</v>
      </c>
      <c r="AE48" s="70">
        <f>SUM(U48:AC48)</f>
        <v>0</v>
      </c>
      <c r="AF48" s="118">
        <f>(AE48-O48)</f>
        <v>0</v>
      </c>
      <c r="AG48" s="1" t="b">
        <f t="shared" ref="AG48:AG52" si="21">AF48=0</f>
        <v>1</v>
      </c>
      <c r="AH48" s="4"/>
    </row>
    <row r="49" spans="1:34" ht="12" thickBot="1" x14ac:dyDescent="0.3">
      <c r="B49" s="16">
        <v>3</v>
      </c>
      <c r="C49" s="62" t="s">
        <v>12</v>
      </c>
      <c r="D49" s="66">
        <f t="shared" si="18"/>
        <v>0</v>
      </c>
      <c r="E49" s="66">
        <f t="shared" si="18"/>
        <v>0</v>
      </c>
      <c r="F49" s="66">
        <f t="shared" si="18"/>
        <v>0</v>
      </c>
      <c r="G49" s="66">
        <f t="shared" ref="G49" si="22">G11+G30</f>
        <v>0</v>
      </c>
      <c r="H49" s="66">
        <f t="shared" si="15"/>
        <v>0</v>
      </c>
      <c r="I49" s="66">
        <f t="shared" si="15"/>
        <v>0</v>
      </c>
      <c r="J49" s="66">
        <f t="shared" si="15"/>
        <v>0</v>
      </c>
      <c r="K49" s="31">
        <f t="shared" ref="K49:K51" si="23">D49-E49-F49-G49-H49-I49-J49</f>
        <v>0</v>
      </c>
      <c r="L49" s="38">
        <v>0</v>
      </c>
      <c r="M49" s="31">
        <f>K49-L49</f>
        <v>0</v>
      </c>
      <c r="N49" s="66">
        <f>N11+N30</f>
        <v>0</v>
      </c>
      <c r="O49" s="31">
        <f t="shared" si="20"/>
        <v>0</v>
      </c>
      <c r="Q49" s="4"/>
      <c r="S49" s="16">
        <v>3</v>
      </c>
      <c r="T49" s="62" t="s">
        <v>12</v>
      </c>
      <c r="U49" s="82">
        <f t="shared" si="16"/>
        <v>0</v>
      </c>
      <c r="V49" s="82">
        <f t="shared" si="16"/>
        <v>0</v>
      </c>
      <c r="W49" s="82">
        <f t="shared" si="16"/>
        <v>0</v>
      </c>
      <c r="X49" s="82">
        <f t="shared" si="16"/>
        <v>0</v>
      </c>
      <c r="Y49" s="82">
        <f t="shared" si="16"/>
        <v>0</v>
      </c>
      <c r="Z49" s="88">
        <f>-L49</f>
        <v>0</v>
      </c>
      <c r="AA49" s="67">
        <f t="shared" si="17"/>
        <v>0</v>
      </c>
      <c r="AB49" s="75">
        <f>AB11+AB30</f>
        <v>0</v>
      </c>
      <c r="AC49" s="75">
        <f t="shared" si="17"/>
        <v>0</v>
      </c>
      <c r="AD49" s="75">
        <f t="shared" si="17"/>
        <v>0</v>
      </c>
      <c r="AE49" s="70">
        <f t="shared" ref="AE49:AE51" si="24">SUM(U49:AC49)</f>
        <v>0</v>
      </c>
      <c r="AF49" s="118">
        <f>(AE49-O49)</f>
        <v>0</v>
      </c>
      <c r="AG49" s="1" t="b">
        <f t="shared" si="21"/>
        <v>1</v>
      </c>
      <c r="AH49" s="4"/>
    </row>
    <row r="50" spans="1:34" ht="12" thickBot="1" x14ac:dyDescent="0.3">
      <c r="B50" s="16">
        <v>4</v>
      </c>
      <c r="C50" s="62" t="s">
        <v>13</v>
      </c>
      <c r="D50" s="66">
        <f t="shared" si="18"/>
        <v>0</v>
      </c>
      <c r="E50" s="66">
        <f t="shared" si="18"/>
        <v>0</v>
      </c>
      <c r="F50" s="66">
        <f t="shared" si="18"/>
        <v>0</v>
      </c>
      <c r="G50" s="66">
        <f t="shared" ref="G50" si="25">G12+G31</f>
        <v>0</v>
      </c>
      <c r="H50" s="66">
        <f t="shared" si="15"/>
        <v>0</v>
      </c>
      <c r="I50" s="66">
        <f t="shared" si="15"/>
        <v>0</v>
      </c>
      <c r="J50" s="66">
        <f t="shared" si="15"/>
        <v>0</v>
      </c>
      <c r="K50" s="31">
        <f t="shared" si="23"/>
        <v>0</v>
      </c>
      <c r="L50" s="38">
        <v>0</v>
      </c>
      <c r="M50" s="31">
        <f>K50-L50</f>
        <v>0</v>
      </c>
      <c r="N50" s="66">
        <f>N12+N31</f>
        <v>0</v>
      </c>
      <c r="O50" s="31">
        <f t="shared" si="20"/>
        <v>0</v>
      </c>
      <c r="Q50" s="4"/>
      <c r="S50" s="16">
        <v>4</v>
      </c>
      <c r="T50" s="62" t="s">
        <v>13</v>
      </c>
      <c r="U50" s="82">
        <f t="shared" si="16"/>
        <v>0</v>
      </c>
      <c r="V50" s="82">
        <f t="shared" si="16"/>
        <v>0</v>
      </c>
      <c r="W50" s="82">
        <f t="shared" si="16"/>
        <v>0</v>
      </c>
      <c r="X50" s="82">
        <f t="shared" si="16"/>
        <v>0</v>
      </c>
      <c r="Y50" s="82">
        <f t="shared" si="16"/>
        <v>0</v>
      </c>
      <c r="Z50" s="88">
        <f>-L50</f>
        <v>0</v>
      </c>
      <c r="AA50" s="67">
        <f>AA12+AA31</f>
        <v>0</v>
      </c>
      <c r="AB50" s="75">
        <f t="shared" si="17"/>
        <v>0</v>
      </c>
      <c r="AC50" s="75">
        <f t="shared" si="17"/>
        <v>0</v>
      </c>
      <c r="AD50" s="75">
        <f t="shared" si="17"/>
        <v>0</v>
      </c>
      <c r="AE50" s="70">
        <f t="shared" si="24"/>
        <v>0</v>
      </c>
      <c r="AF50" s="118">
        <f>(AE50-O50)</f>
        <v>0</v>
      </c>
      <c r="AG50" s="1" t="b">
        <f t="shared" si="21"/>
        <v>1</v>
      </c>
      <c r="AH50" s="4"/>
    </row>
    <row r="51" spans="1:34" ht="12" thickBot="1" x14ac:dyDescent="0.3">
      <c r="B51" s="19">
        <v>5</v>
      </c>
      <c r="C51" s="63" t="s">
        <v>14</v>
      </c>
      <c r="D51" s="66">
        <f t="shared" si="18"/>
        <v>0</v>
      </c>
      <c r="E51" s="66">
        <f t="shared" si="18"/>
        <v>0</v>
      </c>
      <c r="F51" s="66">
        <f t="shared" si="18"/>
        <v>0</v>
      </c>
      <c r="G51" s="66">
        <f t="shared" ref="G51" si="26">G13+G32</f>
        <v>0</v>
      </c>
      <c r="H51" s="66">
        <f t="shared" si="15"/>
        <v>0</v>
      </c>
      <c r="I51" s="66">
        <f t="shared" si="15"/>
        <v>0</v>
      </c>
      <c r="J51" s="66">
        <f t="shared" si="15"/>
        <v>0</v>
      </c>
      <c r="K51" s="31">
        <f t="shared" si="23"/>
        <v>0</v>
      </c>
      <c r="L51" s="38">
        <v>0</v>
      </c>
      <c r="M51" s="40">
        <f>K51-L51</f>
        <v>0</v>
      </c>
      <c r="N51" s="66">
        <f>N13+N32</f>
        <v>0</v>
      </c>
      <c r="O51" s="40">
        <f t="shared" si="20"/>
        <v>0</v>
      </c>
      <c r="Q51" s="4"/>
      <c r="S51" s="19">
        <v>5</v>
      </c>
      <c r="T51" s="63" t="s">
        <v>14</v>
      </c>
      <c r="U51" s="77">
        <f t="shared" si="16"/>
        <v>0</v>
      </c>
      <c r="V51" s="77">
        <f t="shared" si="16"/>
        <v>0</v>
      </c>
      <c r="W51" s="77">
        <f t="shared" si="16"/>
        <v>0</v>
      </c>
      <c r="X51" s="77">
        <f t="shared" si="16"/>
        <v>0</v>
      </c>
      <c r="Y51" s="77">
        <f t="shared" si="16"/>
        <v>0</v>
      </c>
      <c r="Z51" s="88">
        <f>-L51</f>
        <v>0</v>
      </c>
      <c r="AA51" s="67">
        <f>AA13+AA32</f>
        <v>0</v>
      </c>
      <c r="AB51" s="75">
        <f t="shared" si="17"/>
        <v>0</v>
      </c>
      <c r="AC51" s="75">
        <f t="shared" si="17"/>
        <v>0</v>
      </c>
      <c r="AD51" s="75">
        <f t="shared" si="17"/>
        <v>0</v>
      </c>
      <c r="AE51" s="70">
        <f t="shared" si="24"/>
        <v>0</v>
      </c>
      <c r="AF51" s="119">
        <f>(AE51-O51)</f>
        <v>0</v>
      </c>
      <c r="AG51" s="1" t="b">
        <f t="shared" si="21"/>
        <v>1</v>
      </c>
      <c r="AH51" s="4"/>
    </row>
    <row r="52" spans="1:34" ht="13.5" thickBot="1" x14ac:dyDescent="0.35">
      <c r="B52" s="21"/>
      <c r="C52" s="22" t="s">
        <v>2</v>
      </c>
      <c r="D52" s="43">
        <f t="shared" ref="D52:O52" si="27">SUM(D47:D51)</f>
        <v>0</v>
      </c>
      <c r="E52" s="43">
        <f t="shared" si="27"/>
        <v>0</v>
      </c>
      <c r="F52" s="43">
        <f t="shared" si="27"/>
        <v>0</v>
      </c>
      <c r="G52" s="43">
        <f t="shared" si="27"/>
        <v>0</v>
      </c>
      <c r="H52" s="43">
        <f t="shared" si="27"/>
        <v>0</v>
      </c>
      <c r="I52" s="43">
        <f t="shared" si="27"/>
        <v>0</v>
      </c>
      <c r="J52" s="43">
        <f t="shared" si="27"/>
        <v>0</v>
      </c>
      <c r="K52" s="32">
        <f t="shared" si="27"/>
        <v>0</v>
      </c>
      <c r="L52" s="23">
        <f t="shared" si="27"/>
        <v>0</v>
      </c>
      <c r="M52" s="76">
        <f t="shared" si="27"/>
        <v>0</v>
      </c>
      <c r="N52" s="23">
        <f t="shared" si="27"/>
        <v>0</v>
      </c>
      <c r="O52" s="76">
        <f t="shared" si="27"/>
        <v>0</v>
      </c>
      <c r="P52" s="2"/>
      <c r="Q52" s="4"/>
      <c r="S52" s="21"/>
      <c r="T52" s="22" t="s">
        <v>2</v>
      </c>
      <c r="U52" s="43">
        <f>SUM(U47:U51)</f>
        <v>0</v>
      </c>
      <c r="V52" s="43">
        <f t="shared" ref="V52:AE52" si="28">SUM(V47:V51)</f>
        <v>0</v>
      </c>
      <c r="W52" s="43">
        <f t="shared" si="28"/>
        <v>0</v>
      </c>
      <c r="X52" s="43">
        <f t="shared" si="28"/>
        <v>0</v>
      </c>
      <c r="Y52" s="43">
        <f t="shared" si="28"/>
        <v>0</v>
      </c>
      <c r="Z52" s="43">
        <f t="shared" si="28"/>
        <v>0</v>
      </c>
      <c r="AA52" s="43">
        <f t="shared" si="28"/>
        <v>0</v>
      </c>
      <c r="AB52" s="43">
        <f t="shared" si="28"/>
        <v>0</v>
      </c>
      <c r="AC52" s="43">
        <f>SUM(AC47:AC51)</f>
        <v>0</v>
      </c>
      <c r="AD52" s="43">
        <f>SUM(AD47:AD51)</f>
        <v>0</v>
      </c>
      <c r="AE52" s="68">
        <f t="shared" si="28"/>
        <v>0</v>
      </c>
      <c r="AF52" s="120">
        <f>SUM(AF47:AF51)</f>
        <v>0</v>
      </c>
      <c r="AG52" s="1" t="b">
        <f t="shared" si="21"/>
        <v>1</v>
      </c>
      <c r="AH52" s="4"/>
    </row>
    <row r="53" spans="1:34" ht="12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E53" s="24"/>
      <c r="AH53" s="4"/>
    </row>
    <row r="54" spans="1:34" ht="12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C54" s="1" t="s">
        <v>1</v>
      </c>
      <c r="AE54" s="1" t="s">
        <v>1</v>
      </c>
      <c r="AH54" s="4"/>
    </row>
    <row r="55" spans="1:34" ht="12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H55" s="4"/>
    </row>
    <row r="56" spans="1:34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H56" s="4"/>
    </row>
    <row r="57" spans="1:34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25">
      <c r="Q58" s="24"/>
    </row>
  </sheetData>
  <conditionalFormatting sqref="D28:O32 U28:AF32">
    <cfRule type="cellIs" dxfId="81" priority="3" operator="greaterThan">
      <formula>0.9</formula>
    </cfRule>
  </conditionalFormatting>
  <conditionalFormatting sqref="M35">
    <cfRule type="cellIs" dxfId="80" priority="1" operator="equal">
      <formula>"ERROR"</formula>
    </cfRule>
    <cfRule type="cellIs" dxfId="79" priority="2" operator="equal">
      <formula>TRUE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E32B-7BC1-40ED-A0D9-589FC2F0FE5A}">
  <sheetPr>
    <pageSetUpPr fitToPage="1"/>
  </sheetPr>
  <dimension ref="B1:S44"/>
  <sheetViews>
    <sheetView topLeftCell="E1" zoomScaleNormal="100" workbookViewId="0">
      <selection activeCell="I20" sqref="I20"/>
    </sheetView>
  </sheetViews>
  <sheetFormatPr baseColWidth="10" defaultRowHeight="13" x14ac:dyDescent="0.3"/>
  <cols>
    <col min="1" max="1" width="2.7265625" customWidth="1"/>
    <col min="2" max="2" width="17.453125" bestFit="1" customWidth="1"/>
    <col min="3" max="3" width="4.7265625" style="151" bestFit="1" customWidth="1"/>
    <col min="4" max="4" width="42.7265625" style="151" bestFit="1" customWidth="1"/>
    <col min="5" max="5" width="9" customWidth="1"/>
    <col min="6" max="6" width="15.7265625" customWidth="1"/>
    <col min="7" max="7" width="17.453125" bestFit="1" customWidth="1"/>
    <col min="8" max="8" width="14.26953125" customWidth="1"/>
    <col min="9" max="9" width="16.26953125" bestFit="1" customWidth="1"/>
    <col min="10" max="10" width="16.7265625" customWidth="1"/>
    <col min="11" max="11" width="17.54296875" customWidth="1"/>
    <col min="12" max="12" width="15.54296875" bestFit="1" customWidth="1"/>
    <col min="13" max="13" width="15.7265625" bestFit="1" customWidth="1"/>
    <col min="14" max="14" width="17" customWidth="1"/>
    <col min="15" max="15" width="17.7265625" customWidth="1"/>
    <col min="16" max="16" width="16.7265625" customWidth="1"/>
    <col min="17" max="17" width="18" customWidth="1"/>
    <col min="18" max="18" width="14.26953125" bestFit="1" customWidth="1"/>
    <col min="19" max="19" width="15.7265625" bestFit="1" customWidth="1"/>
    <col min="20" max="20" width="14.26953125" bestFit="1" customWidth="1"/>
    <col min="21" max="21" width="15.7265625" bestFit="1" customWidth="1"/>
    <col min="22" max="22" width="1.7265625" customWidth="1"/>
  </cols>
  <sheetData>
    <row r="1" spans="2:17" ht="13.5" thickBot="1" x14ac:dyDescent="0.35"/>
    <row r="2" spans="2:17" s="151" customFormat="1" ht="13.5" thickBot="1" x14ac:dyDescent="0.35">
      <c r="B2" s="658"/>
      <c r="E2" s="151" t="s">
        <v>1</v>
      </c>
      <c r="F2" s="573" t="s">
        <v>274</v>
      </c>
      <c r="G2" s="574" t="s">
        <v>275</v>
      </c>
      <c r="H2" s="575" t="s">
        <v>276</v>
      </c>
      <c r="I2" s="575" t="s">
        <v>277</v>
      </c>
      <c r="J2" s="575" t="s">
        <v>278</v>
      </c>
      <c r="K2" s="575" t="s">
        <v>279</v>
      </c>
      <c r="L2" s="574" t="s">
        <v>280</v>
      </c>
      <c r="M2" s="575" t="s">
        <v>281</v>
      </c>
      <c r="N2" s="575" t="s">
        <v>282</v>
      </c>
      <c r="O2" s="575" t="s">
        <v>283</v>
      </c>
      <c r="P2" s="574" t="s">
        <v>284</v>
      </c>
      <c r="Q2" s="748" t="s">
        <v>285</v>
      </c>
    </row>
    <row r="3" spans="2:17" s="151" customFormat="1" ht="26.5" thickBot="1" x14ac:dyDescent="0.35">
      <c r="B3" s="659" t="s">
        <v>134</v>
      </c>
      <c r="C3" s="152" t="s">
        <v>3</v>
      </c>
      <c r="D3" s="153" t="s">
        <v>9</v>
      </c>
      <c r="E3" s="552" t="s">
        <v>108</v>
      </c>
      <c r="F3" s="576" t="s">
        <v>286</v>
      </c>
      <c r="G3" s="577" t="s">
        <v>287</v>
      </c>
      <c r="H3" s="578" t="s">
        <v>288</v>
      </c>
      <c r="I3" s="579" t="s">
        <v>289</v>
      </c>
      <c r="J3" s="576" t="s">
        <v>290</v>
      </c>
      <c r="K3" s="577" t="s">
        <v>291</v>
      </c>
      <c r="L3" s="578" t="s">
        <v>292</v>
      </c>
      <c r="M3" s="579" t="s">
        <v>293</v>
      </c>
      <c r="N3" s="576" t="s">
        <v>294</v>
      </c>
      <c r="O3" s="577" t="s">
        <v>295</v>
      </c>
      <c r="P3" s="578" t="s">
        <v>296</v>
      </c>
      <c r="Q3" s="579" t="s">
        <v>297</v>
      </c>
    </row>
    <row r="4" spans="2:17" s="151" customFormat="1" x14ac:dyDescent="0.3">
      <c r="B4" s="660">
        <v>378371975</v>
      </c>
      <c r="C4" s="553">
        <v>1</v>
      </c>
      <c r="D4" s="161" t="s">
        <v>10</v>
      </c>
      <c r="E4" s="661">
        <v>0.22</v>
      </c>
      <c r="F4" s="662">
        <v>189185988</v>
      </c>
      <c r="G4" s="663">
        <v>189185987</v>
      </c>
      <c r="H4" s="664">
        <v>189185988</v>
      </c>
      <c r="I4" s="665">
        <v>189185987</v>
      </c>
      <c r="J4" s="662">
        <v>189185988</v>
      </c>
      <c r="K4" s="663">
        <v>189185987</v>
      </c>
      <c r="L4" s="664">
        <v>189185988</v>
      </c>
      <c r="M4" s="665">
        <v>189185987</v>
      </c>
      <c r="N4" s="662">
        <v>189185988</v>
      </c>
      <c r="O4" s="663">
        <v>189185987</v>
      </c>
      <c r="P4" s="664">
        <v>189185988</v>
      </c>
      <c r="Q4" s="665">
        <v>189185987</v>
      </c>
    </row>
    <row r="5" spans="2:17" s="151" customFormat="1" x14ac:dyDescent="0.3">
      <c r="B5" s="660">
        <v>533160511</v>
      </c>
      <c r="C5" s="554">
        <v>2</v>
      </c>
      <c r="D5" s="156" t="s">
        <v>11</v>
      </c>
      <c r="E5" s="666">
        <v>0.31</v>
      </c>
      <c r="F5" s="667">
        <v>266580256</v>
      </c>
      <c r="G5" s="668">
        <v>266580255</v>
      </c>
      <c r="H5" s="669">
        <v>266580256</v>
      </c>
      <c r="I5" s="665">
        <v>266580255</v>
      </c>
      <c r="J5" s="667">
        <v>266580256</v>
      </c>
      <c r="K5" s="668">
        <v>266580255</v>
      </c>
      <c r="L5" s="669">
        <v>266580256</v>
      </c>
      <c r="M5" s="665">
        <v>266580255</v>
      </c>
      <c r="N5" s="667">
        <v>266580256</v>
      </c>
      <c r="O5" s="668">
        <v>266580255</v>
      </c>
      <c r="P5" s="669">
        <v>266580256</v>
      </c>
      <c r="Q5" s="665">
        <v>266580255</v>
      </c>
    </row>
    <row r="6" spans="2:17" s="151" customFormat="1" x14ac:dyDescent="0.3">
      <c r="B6" s="660">
        <v>309577071</v>
      </c>
      <c r="C6" s="554">
        <v>3</v>
      </c>
      <c r="D6" s="156" t="s">
        <v>12</v>
      </c>
      <c r="E6" s="666">
        <v>0.18</v>
      </c>
      <c r="F6" s="667">
        <v>154788536</v>
      </c>
      <c r="G6" s="668">
        <v>154788535</v>
      </c>
      <c r="H6" s="669">
        <v>154788536</v>
      </c>
      <c r="I6" s="665">
        <v>154788535</v>
      </c>
      <c r="J6" s="667">
        <v>154788536</v>
      </c>
      <c r="K6" s="668">
        <v>154788535</v>
      </c>
      <c r="L6" s="669">
        <v>154788536</v>
      </c>
      <c r="M6" s="665">
        <v>154788535</v>
      </c>
      <c r="N6" s="667">
        <v>154788536</v>
      </c>
      <c r="O6" s="668">
        <v>154788535</v>
      </c>
      <c r="P6" s="669">
        <v>154788536</v>
      </c>
      <c r="Q6" s="665">
        <v>154788535</v>
      </c>
    </row>
    <row r="7" spans="2:17" s="151" customFormat="1" x14ac:dyDescent="0.3">
      <c r="B7" s="660">
        <v>240782166</v>
      </c>
      <c r="C7" s="554">
        <v>4</v>
      </c>
      <c r="D7" s="156" t="s">
        <v>13</v>
      </c>
      <c r="E7" s="666">
        <v>0.14000000000000001</v>
      </c>
      <c r="F7" s="667">
        <v>120391083</v>
      </c>
      <c r="G7" s="668">
        <v>120391083</v>
      </c>
      <c r="H7" s="669">
        <v>120391083</v>
      </c>
      <c r="I7" s="665">
        <v>120391083</v>
      </c>
      <c r="J7" s="667">
        <v>120391083</v>
      </c>
      <c r="K7" s="668">
        <v>120391083</v>
      </c>
      <c r="L7" s="669">
        <v>120391083</v>
      </c>
      <c r="M7" s="665">
        <v>120391083</v>
      </c>
      <c r="N7" s="667">
        <v>120391083</v>
      </c>
      <c r="O7" s="668">
        <v>120391083</v>
      </c>
      <c r="P7" s="669">
        <v>120391083</v>
      </c>
      <c r="Q7" s="665">
        <v>120391083</v>
      </c>
    </row>
    <row r="8" spans="2:17" s="151" customFormat="1" ht="13.5" thickBot="1" x14ac:dyDescent="0.35">
      <c r="B8" s="660">
        <v>257980891</v>
      </c>
      <c r="C8" s="555">
        <v>5</v>
      </c>
      <c r="D8" s="158" t="s">
        <v>14</v>
      </c>
      <c r="E8" s="670">
        <v>0.15</v>
      </c>
      <c r="F8" s="671">
        <v>128990446</v>
      </c>
      <c r="G8" s="672">
        <v>128990445</v>
      </c>
      <c r="H8" s="673">
        <v>128990446</v>
      </c>
      <c r="I8" s="674">
        <v>128990445</v>
      </c>
      <c r="J8" s="671">
        <v>128990446</v>
      </c>
      <c r="K8" s="672">
        <v>128990445</v>
      </c>
      <c r="L8" s="673">
        <v>128990446</v>
      </c>
      <c r="M8" s="674">
        <v>128990445</v>
      </c>
      <c r="N8" s="671">
        <v>128990446</v>
      </c>
      <c r="O8" s="672">
        <v>128990445</v>
      </c>
      <c r="P8" s="673">
        <v>128990446</v>
      </c>
      <c r="Q8" s="674">
        <v>128990445</v>
      </c>
    </row>
    <row r="9" spans="2:17" s="151" customFormat="1" ht="13.5" thickBot="1" x14ac:dyDescent="0.35">
      <c r="B9" s="675">
        <v>1719872614</v>
      </c>
      <c r="C9" s="159"/>
      <c r="D9" s="160" t="s">
        <v>2</v>
      </c>
      <c r="E9" s="556">
        <v>1</v>
      </c>
      <c r="F9" s="676">
        <v>859936309</v>
      </c>
      <c r="G9" s="676">
        <v>859936305</v>
      </c>
      <c r="H9" s="677">
        <v>859936309</v>
      </c>
      <c r="I9" s="677">
        <v>859936305</v>
      </c>
      <c r="J9" s="676">
        <v>859936309</v>
      </c>
      <c r="K9" s="676">
        <v>859936305</v>
      </c>
      <c r="L9" s="677">
        <v>859936309</v>
      </c>
      <c r="M9" s="677">
        <v>859936305</v>
      </c>
      <c r="N9" s="676">
        <v>859936309</v>
      </c>
      <c r="O9" s="676">
        <v>859936305</v>
      </c>
      <c r="P9" s="677">
        <v>859936309</v>
      </c>
      <c r="Q9" s="677">
        <v>859936305</v>
      </c>
    </row>
    <row r="10" spans="2:17" s="151" customFormat="1" ht="15.75" customHeight="1" thickBot="1" x14ac:dyDescent="0.35">
      <c r="B10" s="658"/>
      <c r="F10" s="772">
        <f>SUM(F9:G9)</f>
        <v>1719872614</v>
      </c>
      <c r="G10" s="773"/>
      <c r="H10" s="772">
        <f>SUM(H9:I9)</f>
        <v>1719872614</v>
      </c>
      <c r="I10" s="773"/>
      <c r="J10" s="772">
        <f>SUM(J9:K9)</f>
        <v>1719872614</v>
      </c>
      <c r="K10" s="773"/>
      <c r="L10" s="772">
        <f>SUM(L9:M9)</f>
        <v>1719872614</v>
      </c>
      <c r="M10" s="773"/>
      <c r="N10" s="772">
        <f>SUM(N9:O9)</f>
        <v>1719872614</v>
      </c>
      <c r="O10" s="773"/>
      <c r="P10" s="772">
        <f>SUM(P9:Q9)</f>
        <v>1719872614</v>
      </c>
      <c r="Q10" s="773"/>
    </row>
    <row r="12" spans="2:17" ht="13.5" thickBot="1" x14ac:dyDescent="0.35"/>
    <row r="13" spans="2:17" s="151" customFormat="1" ht="13.5" thickBot="1" x14ac:dyDescent="0.35">
      <c r="B13" s="658"/>
      <c r="E13" s="151" t="s">
        <v>1</v>
      </c>
      <c r="F13" s="573" t="s">
        <v>298</v>
      </c>
      <c r="G13" s="574" t="s">
        <v>299</v>
      </c>
      <c r="H13" s="574" t="s">
        <v>300</v>
      </c>
      <c r="I13" s="761" t="s">
        <v>301</v>
      </c>
      <c r="J13" s="575" t="s">
        <v>302</v>
      </c>
      <c r="K13" s="574" t="s">
        <v>303</v>
      </c>
      <c r="L13" s="574" t="s">
        <v>304</v>
      </c>
      <c r="M13" s="575" t="s">
        <v>305</v>
      </c>
      <c r="N13" s="575" t="s">
        <v>306</v>
      </c>
      <c r="O13" s="574" t="s">
        <v>307</v>
      </c>
      <c r="P13" s="574" t="s">
        <v>308</v>
      </c>
      <c r="Q13" s="575" t="s">
        <v>309</v>
      </c>
    </row>
    <row r="14" spans="2:17" s="151" customFormat="1" ht="26.5" thickBot="1" x14ac:dyDescent="0.35">
      <c r="B14" s="658"/>
      <c r="C14" s="152" t="s">
        <v>3</v>
      </c>
      <c r="D14" s="153" t="s">
        <v>9</v>
      </c>
      <c r="E14" s="552" t="s">
        <v>108</v>
      </c>
      <c r="F14" s="576" t="s">
        <v>310</v>
      </c>
      <c r="G14" s="577" t="s">
        <v>311</v>
      </c>
      <c r="H14" s="578" t="s">
        <v>312</v>
      </c>
      <c r="I14" s="579" t="s">
        <v>313</v>
      </c>
      <c r="J14" s="576" t="s">
        <v>314</v>
      </c>
      <c r="K14" s="577" t="s">
        <v>315</v>
      </c>
      <c r="L14" s="578" t="s">
        <v>316</v>
      </c>
      <c r="M14" s="579" t="s">
        <v>317</v>
      </c>
      <c r="N14" s="576" t="s">
        <v>318</v>
      </c>
      <c r="O14" s="577" t="s">
        <v>319</v>
      </c>
      <c r="P14" s="578" t="s">
        <v>320</v>
      </c>
      <c r="Q14" s="579" t="s">
        <v>321</v>
      </c>
    </row>
    <row r="15" spans="2:17" s="151" customFormat="1" x14ac:dyDescent="0.3">
      <c r="B15" s="658"/>
      <c r="C15" s="154">
        <v>1</v>
      </c>
      <c r="D15" s="161" t="s">
        <v>10</v>
      </c>
      <c r="E15" s="678">
        <v>0.22</v>
      </c>
      <c r="F15" s="662">
        <v>189185988</v>
      </c>
      <c r="G15" s="663">
        <v>189185987</v>
      </c>
      <c r="H15" s="664">
        <v>189185988</v>
      </c>
      <c r="I15" s="665">
        <v>189185987</v>
      </c>
      <c r="J15" s="662">
        <v>189185988</v>
      </c>
      <c r="K15" s="663">
        <v>189185987</v>
      </c>
      <c r="L15" s="664">
        <v>189185988</v>
      </c>
      <c r="M15" s="665">
        <v>189185987</v>
      </c>
      <c r="N15" s="662">
        <v>189185988</v>
      </c>
      <c r="O15" s="663">
        <v>189185987</v>
      </c>
      <c r="P15" s="664">
        <v>189185988</v>
      </c>
      <c r="Q15" s="665">
        <v>189185987</v>
      </c>
    </row>
    <row r="16" spans="2:17" s="151" customFormat="1" x14ac:dyDescent="0.3">
      <c r="B16" s="658"/>
      <c r="C16" s="155">
        <v>2</v>
      </c>
      <c r="D16" s="156" t="s">
        <v>11</v>
      </c>
      <c r="E16" s="679">
        <v>0.31</v>
      </c>
      <c r="F16" s="667">
        <v>266580256</v>
      </c>
      <c r="G16" s="668">
        <v>266580255</v>
      </c>
      <c r="H16" s="669">
        <v>266580256</v>
      </c>
      <c r="I16" s="665">
        <v>266580255</v>
      </c>
      <c r="J16" s="667">
        <v>266580256</v>
      </c>
      <c r="K16" s="668">
        <v>266580255</v>
      </c>
      <c r="L16" s="669">
        <v>266580256</v>
      </c>
      <c r="M16" s="665">
        <v>266580255</v>
      </c>
      <c r="N16" s="667">
        <v>266580256</v>
      </c>
      <c r="O16" s="668">
        <v>266580255</v>
      </c>
      <c r="P16" s="669">
        <v>266580256</v>
      </c>
      <c r="Q16" s="665">
        <v>266580255</v>
      </c>
    </row>
    <row r="17" spans="2:19" s="151" customFormat="1" x14ac:dyDescent="0.3">
      <c r="B17" s="658"/>
      <c r="C17" s="155">
        <v>3</v>
      </c>
      <c r="D17" s="156" t="s">
        <v>12</v>
      </c>
      <c r="E17" s="679">
        <v>0.18</v>
      </c>
      <c r="F17" s="667">
        <v>154788536</v>
      </c>
      <c r="G17" s="668">
        <v>154788535</v>
      </c>
      <c r="H17" s="669">
        <v>154788536</v>
      </c>
      <c r="I17" s="665">
        <v>154788535</v>
      </c>
      <c r="J17" s="667">
        <v>154788536</v>
      </c>
      <c r="K17" s="668">
        <v>154788535</v>
      </c>
      <c r="L17" s="669">
        <v>154788536</v>
      </c>
      <c r="M17" s="665">
        <v>154788535</v>
      </c>
      <c r="N17" s="667">
        <v>154788536</v>
      </c>
      <c r="O17" s="668">
        <v>154788535</v>
      </c>
      <c r="P17" s="669">
        <v>154788536</v>
      </c>
      <c r="Q17" s="665">
        <v>154788535</v>
      </c>
    </row>
    <row r="18" spans="2:19" s="151" customFormat="1" x14ac:dyDescent="0.3">
      <c r="B18" s="658"/>
      <c r="C18" s="155">
        <v>4</v>
      </c>
      <c r="D18" s="156" t="s">
        <v>13</v>
      </c>
      <c r="E18" s="679">
        <v>0.14000000000000001</v>
      </c>
      <c r="F18" s="667">
        <v>120391083</v>
      </c>
      <c r="G18" s="668">
        <v>120391083</v>
      </c>
      <c r="H18" s="669">
        <v>120391083</v>
      </c>
      <c r="I18" s="665">
        <v>120391083</v>
      </c>
      <c r="J18" s="667">
        <v>120391083</v>
      </c>
      <c r="K18" s="668">
        <v>120391083</v>
      </c>
      <c r="L18" s="669">
        <v>120391083</v>
      </c>
      <c r="M18" s="665">
        <v>120391083</v>
      </c>
      <c r="N18" s="667">
        <v>120391083</v>
      </c>
      <c r="O18" s="668">
        <v>120391083</v>
      </c>
      <c r="P18" s="669">
        <v>120391083</v>
      </c>
      <c r="Q18" s="665">
        <v>120391083</v>
      </c>
    </row>
    <row r="19" spans="2:19" s="151" customFormat="1" ht="13.5" thickBot="1" x14ac:dyDescent="0.35">
      <c r="B19" s="658"/>
      <c r="C19" s="157">
        <v>5</v>
      </c>
      <c r="D19" s="158" t="s">
        <v>14</v>
      </c>
      <c r="E19" s="680">
        <v>0.15</v>
      </c>
      <c r="F19" s="671">
        <v>128990446</v>
      </c>
      <c r="G19" s="672">
        <v>128990445</v>
      </c>
      <c r="H19" s="673">
        <v>128990446</v>
      </c>
      <c r="I19" s="674">
        <v>128990445</v>
      </c>
      <c r="J19" s="671">
        <v>128990446</v>
      </c>
      <c r="K19" s="672">
        <v>128990445</v>
      </c>
      <c r="L19" s="673">
        <v>128990446</v>
      </c>
      <c r="M19" s="674">
        <v>128990445</v>
      </c>
      <c r="N19" s="671">
        <v>128990446</v>
      </c>
      <c r="O19" s="672">
        <v>128990445</v>
      </c>
      <c r="P19" s="673">
        <v>128990446</v>
      </c>
      <c r="Q19" s="674">
        <v>128990445</v>
      </c>
    </row>
    <row r="20" spans="2:19" s="151" customFormat="1" ht="13.5" thickBot="1" x14ac:dyDescent="0.35">
      <c r="B20" s="658"/>
      <c r="C20" s="159"/>
      <c r="D20" s="160" t="s">
        <v>2</v>
      </c>
      <c r="E20" s="557">
        <v>1</v>
      </c>
      <c r="F20" s="676">
        <v>859936309</v>
      </c>
      <c r="G20" s="676">
        <v>859936305</v>
      </c>
      <c r="H20" s="677">
        <v>859936309</v>
      </c>
      <c r="I20" s="677">
        <v>859936305</v>
      </c>
      <c r="J20" s="676">
        <v>859936309</v>
      </c>
      <c r="K20" s="676">
        <v>859936305</v>
      </c>
      <c r="L20" s="677">
        <v>859936309</v>
      </c>
      <c r="M20" s="677">
        <v>859936305</v>
      </c>
      <c r="N20" s="676">
        <v>859936309</v>
      </c>
      <c r="O20" s="676">
        <v>859936305</v>
      </c>
      <c r="P20" s="677">
        <v>859936309</v>
      </c>
      <c r="Q20" s="677">
        <v>859936305</v>
      </c>
    </row>
    <row r="21" spans="2:19" s="151" customFormat="1" ht="13.5" thickBot="1" x14ac:dyDescent="0.35">
      <c r="B21" s="658"/>
      <c r="F21" s="772">
        <f>SUM(F20:G20)</f>
        <v>1719872614</v>
      </c>
      <c r="G21" s="773">
        <v>1191383498</v>
      </c>
      <c r="H21" s="772">
        <f>SUM(H20:I20)</f>
        <v>1719872614</v>
      </c>
      <c r="I21" s="773">
        <v>1191383498</v>
      </c>
      <c r="J21" s="772">
        <f>SUM(J20:K20)</f>
        <v>1719872614</v>
      </c>
      <c r="K21" s="773">
        <v>1191383498</v>
      </c>
      <c r="L21" s="772">
        <f>SUM(L20:M20)</f>
        <v>1719872614</v>
      </c>
      <c r="M21" s="773">
        <v>1191383498</v>
      </c>
      <c r="N21" s="772">
        <f>SUM(N20:O20)</f>
        <v>1719872614</v>
      </c>
      <c r="O21" s="773">
        <v>1191383498</v>
      </c>
      <c r="P21" s="772">
        <f>SUM(P20:Q20)</f>
        <v>1719872614</v>
      </c>
      <c r="Q21" s="773">
        <v>1191383498</v>
      </c>
    </row>
    <row r="24" spans="2:19" ht="13.5" thickBot="1" x14ac:dyDescent="0.35">
      <c r="B24" s="238"/>
      <c r="C24" s="521"/>
      <c r="D24" s="521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</row>
    <row r="25" spans="2:19" ht="24.75" customHeight="1" thickBot="1" x14ac:dyDescent="0.35">
      <c r="K25" s="714" t="s">
        <v>267</v>
      </c>
      <c r="L25" s="152" t="s">
        <v>3</v>
      </c>
      <c r="M25" s="636" t="s">
        <v>265</v>
      </c>
      <c r="N25" s="636" t="s">
        <v>266</v>
      </c>
      <c r="Q25" s="522" t="s">
        <v>1</v>
      </c>
      <c r="R25" s="29" t="s">
        <v>200</v>
      </c>
    </row>
    <row r="26" spans="2:19" x14ac:dyDescent="0.3">
      <c r="G26" s="212"/>
      <c r="H26" s="212"/>
      <c r="I26" s="212"/>
      <c r="J26" s="635"/>
      <c r="K26" s="681">
        <v>378371975</v>
      </c>
      <c r="L26" s="154">
        <v>1</v>
      </c>
      <c r="M26" s="712">
        <v>189185988</v>
      </c>
      <c r="N26" s="180">
        <v>189185987</v>
      </c>
      <c r="O26" s="167" t="b">
        <f>N26=R26</f>
        <v>1</v>
      </c>
      <c r="P26" s="167"/>
      <c r="Q26" s="713">
        <f>'CONSOLIDADO_TOTAL RECAUDO'!L104</f>
        <v>189185987</v>
      </c>
      <c r="R26" s="689">
        <f t="shared" ref="R26:R31" si="0">I15</f>
        <v>189185987</v>
      </c>
      <c r="S26" t="b">
        <f>Q26=R26</f>
        <v>1</v>
      </c>
    </row>
    <row r="27" spans="2:19" x14ac:dyDescent="0.3">
      <c r="G27" s="212"/>
      <c r="H27" s="212"/>
      <c r="I27" s="212"/>
      <c r="J27" s="635"/>
      <c r="K27" s="682">
        <v>533160511</v>
      </c>
      <c r="L27" s="155">
        <v>2</v>
      </c>
      <c r="M27" s="712">
        <v>266580256</v>
      </c>
      <c r="N27" s="180">
        <v>266580255</v>
      </c>
      <c r="O27" s="167" t="b">
        <f t="shared" ref="O27:O31" si="1">N27=R27</f>
        <v>1</v>
      </c>
      <c r="P27" s="167"/>
      <c r="Q27" s="713">
        <f>'CONSOLIDADO_TOTAL RECAUDO'!L105</f>
        <v>266580255</v>
      </c>
      <c r="R27" s="689">
        <f t="shared" si="0"/>
        <v>266580255</v>
      </c>
      <c r="S27" t="b">
        <f t="shared" ref="S27:S31" si="2">Q27=R27</f>
        <v>1</v>
      </c>
    </row>
    <row r="28" spans="2:19" x14ac:dyDescent="0.3">
      <c r="G28" s="167"/>
      <c r="H28" s="212"/>
      <c r="I28" s="212"/>
      <c r="J28" s="635"/>
      <c r="K28" s="682">
        <v>309577071</v>
      </c>
      <c r="L28" s="155">
        <v>3</v>
      </c>
      <c r="M28" s="712">
        <v>154788536</v>
      </c>
      <c r="N28" s="180">
        <v>154788535</v>
      </c>
      <c r="O28" s="167" t="b">
        <f t="shared" si="1"/>
        <v>1</v>
      </c>
      <c r="P28" s="167"/>
      <c r="Q28" s="713">
        <f>'CONSOLIDADO_TOTAL RECAUDO'!L106</f>
        <v>154788535</v>
      </c>
      <c r="R28" s="689">
        <f t="shared" si="0"/>
        <v>154788535</v>
      </c>
      <c r="S28" t="b">
        <f t="shared" si="2"/>
        <v>1</v>
      </c>
    </row>
    <row r="29" spans="2:19" x14ac:dyDescent="0.3">
      <c r="G29" s="593"/>
      <c r="H29" s="212"/>
      <c r="I29" s="212"/>
      <c r="J29" s="635"/>
      <c r="K29" s="682">
        <v>240782166</v>
      </c>
      <c r="L29" s="155">
        <v>4</v>
      </c>
      <c r="M29" s="712">
        <v>120391083</v>
      </c>
      <c r="N29" s="683">
        <v>120391083</v>
      </c>
      <c r="O29" s="167" t="b">
        <f t="shared" si="1"/>
        <v>1</v>
      </c>
      <c r="P29" s="167"/>
      <c r="Q29" s="713">
        <f>'CONSOLIDADO_TOTAL RECAUDO'!L107</f>
        <v>120391083</v>
      </c>
      <c r="R29" s="689">
        <f t="shared" si="0"/>
        <v>120391083</v>
      </c>
      <c r="S29" t="b">
        <f t="shared" si="2"/>
        <v>1</v>
      </c>
    </row>
    <row r="30" spans="2:19" ht="13.5" thickBot="1" x14ac:dyDescent="0.35">
      <c r="G30" s="593"/>
      <c r="H30" s="212"/>
      <c r="I30" s="212"/>
      <c r="J30" s="635"/>
      <c r="K30" s="684">
        <v>257980891</v>
      </c>
      <c r="L30" s="157">
        <v>5</v>
      </c>
      <c r="M30" s="712">
        <v>128990446</v>
      </c>
      <c r="N30" s="685">
        <v>128990445</v>
      </c>
      <c r="O30" s="167" t="b">
        <f t="shared" si="1"/>
        <v>1</v>
      </c>
      <c r="P30" s="167"/>
      <c r="Q30" s="713">
        <f>'CONSOLIDADO_TOTAL RECAUDO'!L108</f>
        <v>128990445</v>
      </c>
      <c r="R30" s="689">
        <f t="shared" si="0"/>
        <v>128990445</v>
      </c>
      <c r="S30" t="b">
        <f t="shared" si="2"/>
        <v>1</v>
      </c>
    </row>
    <row r="31" spans="2:19" ht="13.5" thickBot="1" x14ac:dyDescent="0.35">
      <c r="G31" s="593"/>
      <c r="H31" s="167"/>
      <c r="I31" s="167"/>
      <c r="J31" s="272"/>
      <c r="K31" s="686">
        <f>SUM(K26:K30)</f>
        <v>1719872614</v>
      </c>
      <c r="L31" s="159"/>
      <c r="M31" s="687">
        <f>SUM(M26:M30)</f>
        <v>859936309</v>
      </c>
      <c r="N31" s="687">
        <f>SUM(N26:N30)</f>
        <v>859936305</v>
      </c>
      <c r="O31" s="167" t="b">
        <f t="shared" si="1"/>
        <v>1</v>
      </c>
      <c r="P31" s="167"/>
      <c r="Q31" s="713">
        <f>'CONSOLIDADO_TOTAL RECAUDO'!L109</f>
        <v>859936305</v>
      </c>
      <c r="R31" s="689">
        <f t="shared" si="0"/>
        <v>859936305</v>
      </c>
      <c r="S31" t="b">
        <f t="shared" si="2"/>
        <v>1</v>
      </c>
    </row>
    <row r="32" spans="2:19" x14ac:dyDescent="0.3">
      <c r="G32" s="593"/>
      <c r="H32" s="167"/>
      <c r="I32" s="167"/>
      <c r="K32" s="637">
        <f>SUM(M31:N31)</f>
        <v>1719872614</v>
      </c>
      <c r="L32" s="272"/>
    </row>
    <row r="33" spans="7:17" x14ac:dyDescent="0.3">
      <c r="G33" s="593"/>
      <c r="H33" s="167"/>
      <c r="J33" s="272"/>
      <c r="K33" s="272"/>
      <c r="Q33" s="212"/>
    </row>
    <row r="34" spans="7:17" x14ac:dyDescent="0.3">
      <c r="G34" s="593"/>
      <c r="H34" s="167"/>
      <c r="Q34" s="212"/>
    </row>
    <row r="35" spans="7:17" x14ac:dyDescent="0.3">
      <c r="H35" s="167"/>
      <c r="K35" s="688"/>
      <c r="Q35" s="212"/>
    </row>
    <row r="36" spans="7:17" x14ac:dyDescent="0.3">
      <c r="H36" s="167"/>
      <c r="K36" s="688"/>
      <c r="Q36" s="212"/>
    </row>
    <row r="37" spans="7:17" x14ac:dyDescent="0.3">
      <c r="H37" s="167"/>
      <c r="K37" s="688"/>
      <c r="Q37" s="212"/>
    </row>
    <row r="38" spans="7:17" x14ac:dyDescent="0.3">
      <c r="H38" s="167"/>
      <c r="K38" s="688"/>
      <c r="Q38" s="212"/>
    </row>
    <row r="39" spans="7:17" x14ac:dyDescent="0.3">
      <c r="H39" s="167"/>
      <c r="K39" s="688"/>
    </row>
    <row r="40" spans="7:17" x14ac:dyDescent="0.3">
      <c r="H40" s="167"/>
      <c r="K40" s="688"/>
    </row>
    <row r="41" spans="7:17" x14ac:dyDescent="0.3">
      <c r="H41" s="167"/>
    </row>
    <row r="42" spans="7:17" x14ac:dyDescent="0.3">
      <c r="H42" s="167"/>
    </row>
    <row r="43" spans="7:17" x14ac:dyDescent="0.3">
      <c r="H43" s="167"/>
    </row>
    <row r="44" spans="7:17" x14ac:dyDescent="0.3">
      <c r="H44" s="167"/>
    </row>
  </sheetData>
  <mergeCells count="12">
    <mergeCell ref="P21:Q21"/>
    <mergeCell ref="F10:G10"/>
    <mergeCell ref="H10:I10"/>
    <mergeCell ref="J10:K10"/>
    <mergeCell ref="L10:M10"/>
    <mergeCell ref="N10:O10"/>
    <mergeCell ref="P10:Q10"/>
    <mergeCell ref="F21:G21"/>
    <mergeCell ref="H21:I21"/>
    <mergeCell ref="J21:K21"/>
    <mergeCell ref="L21:M21"/>
    <mergeCell ref="N21:O21"/>
  </mergeCells>
  <conditionalFormatting sqref="R26:R31">
    <cfRule type="cellIs" dxfId="78" priority="1" operator="notEqual">
      <formula>TRUE</formula>
    </cfRule>
  </conditionalFormatting>
  <printOptions horizontalCentered="1" verticalCentered="1"/>
  <pageMargins left="0.11811023622047245" right="0.70866141732283472" top="0" bottom="0" header="0.31496062992125984" footer="0.31496062992125984"/>
  <pageSetup scale="52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B25"/>
  <sheetViews>
    <sheetView zoomScaleNormal="100" workbookViewId="0"/>
  </sheetViews>
  <sheetFormatPr baseColWidth="10" defaultColWidth="11.453125" defaultRowHeight="11.5" x14ac:dyDescent="0.25"/>
  <cols>
    <col min="1" max="1" width="3" style="391" customWidth="1"/>
    <col min="2" max="2" width="4.453125" style="391" bestFit="1" customWidth="1"/>
    <col min="3" max="3" width="38.26953125" style="391" customWidth="1"/>
    <col min="4" max="4" width="15.26953125" style="391" customWidth="1"/>
    <col min="5" max="5" width="16" style="391" customWidth="1"/>
    <col min="6" max="7" width="14.7265625" style="391" customWidth="1"/>
    <col min="8" max="9" width="16" style="391" customWidth="1"/>
    <col min="10" max="10" width="17.54296875" style="391" customWidth="1"/>
    <col min="11" max="11" width="3.7265625" style="391" customWidth="1"/>
    <col min="12" max="12" width="2.7265625" style="391" customWidth="1"/>
    <col min="13" max="13" width="4.54296875" style="391" customWidth="1"/>
    <col min="14" max="14" width="11.26953125" style="391" customWidth="1"/>
    <col min="15" max="15" width="37.54296875" style="391" bestFit="1" customWidth="1"/>
    <col min="16" max="16" width="19.26953125" style="391" customWidth="1"/>
    <col min="17" max="17" width="17.7265625" style="391" customWidth="1"/>
    <col min="18" max="18" width="16.453125" style="391" customWidth="1"/>
    <col min="19" max="19" width="17.26953125" style="391" customWidth="1"/>
    <col min="20" max="20" width="15.7265625" style="391" customWidth="1"/>
    <col min="21" max="21" width="16.26953125" style="391" customWidth="1"/>
    <col min="22" max="22" width="13.26953125" style="393" customWidth="1"/>
    <col min="23" max="23" width="13.7265625" style="391" customWidth="1"/>
    <col min="24" max="24" width="3.453125" style="391" customWidth="1"/>
    <col min="25" max="25" width="13.7265625" style="391" bestFit="1" customWidth="1"/>
    <col min="26" max="27" width="11.453125" style="391"/>
    <col min="28" max="28" width="15.7265625" style="391" bestFit="1" customWidth="1"/>
    <col min="29" max="16384" width="11.453125" style="391"/>
  </cols>
  <sheetData>
    <row r="1" spans="2:28" x14ac:dyDescent="0.25">
      <c r="L1" s="392"/>
      <c r="X1" s="392"/>
    </row>
    <row r="2" spans="2:28" x14ac:dyDescent="0.25">
      <c r="L2" s="392"/>
      <c r="X2" s="392"/>
    </row>
    <row r="3" spans="2:28" ht="12" thickBot="1" x14ac:dyDescent="0.3">
      <c r="L3" s="392"/>
      <c r="X3" s="392"/>
    </row>
    <row r="4" spans="2:28" x14ac:dyDescent="0.25">
      <c r="B4" s="394"/>
      <c r="C4" s="395" t="s">
        <v>1</v>
      </c>
      <c r="D4" s="396" t="s">
        <v>1</v>
      </c>
      <c r="E4" s="395"/>
      <c r="F4" s="397"/>
      <c r="G4" s="395"/>
      <c r="H4" s="395" t="s">
        <v>1</v>
      </c>
      <c r="I4" s="395"/>
      <c r="J4" s="398"/>
      <c r="K4" s="399"/>
      <c r="L4" s="392"/>
      <c r="N4" s="394"/>
      <c r="O4" s="395" t="s">
        <v>1</v>
      </c>
      <c r="P4" s="396" t="s">
        <v>1</v>
      </c>
      <c r="Q4" s="395"/>
      <c r="R4" s="395"/>
      <c r="S4" s="395" t="s">
        <v>1</v>
      </c>
      <c r="T4" s="395"/>
      <c r="U4" s="398"/>
      <c r="V4" s="400"/>
      <c r="X4" s="392"/>
    </row>
    <row r="5" spans="2:28" ht="15.5" x14ac:dyDescent="0.35">
      <c r="B5" s="401"/>
      <c r="D5" s="402" t="s">
        <v>8</v>
      </c>
      <c r="E5" s="403"/>
      <c r="G5" s="403"/>
      <c r="I5" s="403" t="s">
        <v>16</v>
      </c>
      <c r="J5" s="404"/>
      <c r="K5" s="399"/>
      <c r="L5" s="392"/>
      <c r="N5" s="401"/>
      <c r="P5" s="402" t="s">
        <v>8</v>
      </c>
      <c r="R5" s="403"/>
      <c r="T5" s="403" t="s">
        <v>16</v>
      </c>
      <c r="U5" s="405"/>
      <c r="V5" s="400"/>
      <c r="X5" s="392"/>
    </row>
    <row r="6" spans="2:28" ht="15.5" x14ac:dyDescent="0.35">
      <c r="B6" s="401"/>
      <c r="D6" s="406" t="s">
        <v>184</v>
      </c>
      <c r="E6" s="407"/>
      <c r="G6" s="407"/>
      <c r="J6" s="404"/>
      <c r="K6" s="399"/>
      <c r="L6" s="392"/>
      <c r="N6" s="401"/>
      <c r="O6" s="403" t="s">
        <v>1</v>
      </c>
      <c r="P6" s="406" t="s">
        <v>173</v>
      </c>
      <c r="R6" s="407"/>
      <c r="U6" s="408" t="s">
        <v>1</v>
      </c>
      <c r="V6" s="400"/>
      <c r="X6" s="392"/>
    </row>
    <row r="7" spans="2:28" ht="15.5" x14ac:dyDescent="0.35">
      <c r="B7" s="401"/>
      <c r="D7" s="406" t="s">
        <v>174</v>
      </c>
      <c r="E7" s="407"/>
      <c r="G7" s="407"/>
      <c r="J7" s="404"/>
      <c r="K7" s="399"/>
      <c r="L7" s="392"/>
      <c r="N7" s="401"/>
      <c r="O7" s="403"/>
      <c r="P7" s="406" t="s">
        <v>174</v>
      </c>
      <c r="R7" s="407"/>
      <c r="U7" s="408"/>
      <c r="V7" s="400"/>
      <c r="X7" s="392"/>
    </row>
    <row r="8" spans="2:28" ht="15.5" x14ac:dyDescent="0.35">
      <c r="B8" s="401"/>
      <c r="D8" s="406" t="s">
        <v>175</v>
      </c>
      <c r="E8" s="407"/>
      <c r="G8" s="399"/>
      <c r="J8" s="404"/>
      <c r="K8" s="399"/>
      <c r="L8" s="392"/>
      <c r="N8" s="401"/>
      <c r="O8" s="409" t="s">
        <v>1</v>
      </c>
      <c r="P8" s="406" t="s">
        <v>175</v>
      </c>
      <c r="R8" s="399"/>
      <c r="U8" s="404"/>
      <c r="V8" s="400"/>
      <c r="X8" s="392"/>
    </row>
    <row r="9" spans="2:28" ht="15.5" x14ac:dyDescent="0.35">
      <c r="B9" s="401"/>
      <c r="C9" s="399"/>
      <c r="D9" s="410"/>
      <c r="E9" s="411"/>
      <c r="G9" s="411"/>
      <c r="H9" s="399"/>
      <c r="J9" s="404"/>
      <c r="K9" s="399"/>
      <c r="L9" s="392"/>
      <c r="N9" s="401"/>
      <c r="O9" s="411" t="s">
        <v>1</v>
      </c>
      <c r="P9" s="411"/>
      <c r="R9" s="411"/>
      <c r="S9" s="399"/>
      <c r="U9" s="405"/>
      <c r="V9" s="400"/>
      <c r="X9" s="392"/>
    </row>
    <row r="10" spans="2:28" ht="18" thickBot="1" x14ac:dyDescent="0.5">
      <c r="B10" s="401"/>
      <c r="C10" s="399"/>
      <c r="D10" s="412"/>
      <c r="E10" s="399" t="s">
        <v>27</v>
      </c>
      <c r="F10" s="459">
        <f>'CONSOLIDADO_TOTAL RECAUDO'!G102</f>
        <v>46266</v>
      </c>
      <c r="G10" s="410"/>
      <c r="H10" s="399" t="s">
        <v>28</v>
      </c>
      <c r="I10" s="459">
        <f>'CONSOLIDADO_TOTAL RECAUDO'!K102</f>
        <v>46280</v>
      </c>
      <c r="J10" s="405"/>
      <c r="K10" s="399"/>
      <c r="L10" s="392"/>
      <c r="N10" s="401"/>
      <c r="Q10" s="410"/>
      <c r="R10" s="391" t="s">
        <v>1</v>
      </c>
      <c r="T10" s="410"/>
      <c r="U10" s="405"/>
      <c r="V10" s="400"/>
      <c r="X10" s="392"/>
      <c r="Y10" s="413" t="s">
        <v>1</v>
      </c>
    </row>
    <row r="11" spans="2:28" ht="69.5" thickBot="1" x14ac:dyDescent="0.3">
      <c r="B11" s="414" t="s">
        <v>3</v>
      </c>
      <c r="C11" s="415" t="s">
        <v>9</v>
      </c>
      <c r="D11" s="414" t="s">
        <v>176</v>
      </c>
      <c r="E11" s="416" t="s">
        <v>177</v>
      </c>
      <c r="F11" s="415" t="s">
        <v>178</v>
      </c>
      <c r="G11" s="417" t="s">
        <v>179</v>
      </c>
      <c r="H11" s="415" t="s">
        <v>180</v>
      </c>
      <c r="I11" s="416" t="s">
        <v>181</v>
      </c>
      <c r="J11" s="418" t="s">
        <v>182</v>
      </c>
      <c r="K11" s="419"/>
      <c r="L11" s="392"/>
      <c r="N11" s="414" t="s">
        <v>3</v>
      </c>
      <c r="O11" s="415" t="s">
        <v>9</v>
      </c>
      <c r="P11" s="420" t="s">
        <v>39</v>
      </c>
      <c r="Q11" s="421" t="s">
        <v>40</v>
      </c>
      <c r="R11" s="421" t="s">
        <v>41</v>
      </c>
      <c r="S11" s="421" t="s">
        <v>42</v>
      </c>
      <c r="T11" s="422" t="s">
        <v>183</v>
      </c>
      <c r="U11" s="463" t="s">
        <v>182</v>
      </c>
      <c r="V11" s="423"/>
      <c r="X11" s="392"/>
    </row>
    <row r="12" spans="2:28" s="429" customFormat="1" x14ac:dyDescent="0.25">
      <c r="B12" s="424">
        <v>1</v>
      </c>
      <c r="C12" s="425" t="s">
        <v>10</v>
      </c>
      <c r="D12" s="426">
        <f>'Reporte Componentes R1'!F77*$D$24</f>
        <v>7108.83</v>
      </c>
      <c r="E12" s="426">
        <f>'Reporte Componentes R1'!G77*$D$24</f>
        <v>502.98</v>
      </c>
      <c r="F12" s="427">
        <f>'Reporte Componentes R1'!H77*$D$24</f>
        <v>213.69</v>
      </c>
      <c r="G12" s="427">
        <f>'Reporte Componentes R1'!I77*$D$24</f>
        <v>93.3</v>
      </c>
      <c r="H12" s="427">
        <f>'Reporte Componentes R1'!J77*$D$24</f>
        <v>1231.48</v>
      </c>
      <c r="I12" s="427">
        <f>'Reporte Componentes R1'!K77*$D$24</f>
        <v>79.58</v>
      </c>
      <c r="J12" s="428">
        <f t="shared" ref="J12:J16" si="0">D12-E12-F12-G12-H12-I12</f>
        <v>4987.8000000000011</v>
      </c>
      <c r="L12" s="430"/>
      <c r="N12" s="424">
        <v>1</v>
      </c>
      <c r="O12" s="425" t="s">
        <v>10</v>
      </c>
      <c r="P12" s="431">
        <f>'Reporte Componentes R1'!M77*$P$24</f>
        <v>698.02</v>
      </c>
      <c r="Q12" s="432">
        <f>'Reporte Componentes R1'!N77*$P$24</f>
        <v>584.16</v>
      </c>
      <c r="R12" s="432">
        <f>'Reporte Componentes R1'!O77*$P$24</f>
        <v>2331.79</v>
      </c>
      <c r="S12" s="432">
        <f>'Reporte Componentes R1'!P77*$P$24</f>
        <v>1243.99</v>
      </c>
      <c r="T12" s="432">
        <f>'Reporte Componentes R1'!Q77*$P$24</f>
        <v>129.84</v>
      </c>
      <c r="U12" s="466">
        <f>SUM(P12:T12)</f>
        <v>4987.8</v>
      </c>
      <c r="V12" s="467">
        <f>J12-U12</f>
        <v>0</v>
      </c>
      <c r="W12" s="429" t="b">
        <f t="shared" ref="W12:W17" si="1">V12=0</f>
        <v>1</v>
      </c>
      <c r="X12" s="430"/>
      <c r="AB12" s="433"/>
    </row>
    <row r="13" spans="2:28" s="429" customFormat="1" x14ac:dyDescent="0.25">
      <c r="B13" s="434">
        <v>2</v>
      </c>
      <c r="C13" s="435" t="s">
        <v>11</v>
      </c>
      <c r="D13" s="426">
        <f>'Reporte Componentes R1'!F211*$D$24</f>
        <v>274771.40999999997</v>
      </c>
      <c r="E13" s="427">
        <f>'Reporte Componentes R1'!G211*$D$24</f>
        <v>24590.67</v>
      </c>
      <c r="F13" s="427">
        <f>'Reporte Componentes R1'!H211*$D$24</f>
        <v>10446.86</v>
      </c>
      <c r="G13" s="427">
        <f>'Reporte Componentes R1'!I211*$D$24</f>
        <v>4562.18</v>
      </c>
      <c r="H13" s="427">
        <f>'Reporte Componentes R1'!J211*$D$24</f>
        <v>54962.58</v>
      </c>
      <c r="I13" s="427">
        <f>'Reporte Componentes R1'!K211*$D$24</f>
        <v>2264.61</v>
      </c>
      <c r="J13" s="428">
        <f t="shared" si="0"/>
        <v>177944.51</v>
      </c>
      <c r="L13" s="430"/>
      <c r="N13" s="434">
        <v>2</v>
      </c>
      <c r="O13" s="435" t="s">
        <v>11</v>
      </c>
      <c r="P13" s="436">
        <f>'Reporte Componentes R1'!M211*$P$24</f>
        <v>19865.54</v>
      </c>
      <c r="Q13" s="437">
        <f>'Reporte Componentes R1'!N211*$P$24</f>
        <v>24901.75</v>
      </c>
      <c r="R13" s="437">
        <f>'Reporte Componentes R1'!O211*$P$24</f>
        <v>83643.199999999997</v>
      </c>
      <c r="S13" s="437">
        <f>'Reporte Componentes R1'!P211*$P$24</f>
        <v>45838.96</v>
      </c>
      <c r="T13" s="437">
        <f>'Reporte Componentes R1'!Q211*$P$24</f>
        <v>3695.06</v>
      </c>
      <c r="U13" s="465">
        <f>SUM(P13:T13)</f>
        <v>177944.50999999998</v>
      </c>
      <c r="V13" s="468">
        <f t="shared" ref="V13:V16" si="2">J13-U13</f>
        <v>0</v>
      </c>
      <c r="W13" s="429" t="b">
        <f t="shared" si="1"/>
        <v>1</v>
      </c>
      <c r="X13" s="430"/>
      <c r="AB13" s="433"/>
    </row>
    <row r="14" spans="2:28" s="429" customFormat="1" x14ac:dyDescent="0.25">
      <c r="B14" s="434">
        <v>3</v>
      </c>
      <c r="C14" s="435" t="s">
        <v>12</v>
      </c>
      <c r="D14" s="426">
        <f>'Reporte Componentes R1'!F355*$D$24</f>
        <v>5649.87</v>
      </c>
      <c r="E14" s="426">
        <f>'Reporte Componentes R1'!G355*$D$24</f>
        <v>501.3</v>
      </c>
      <c r="F14" s="426">
        <f>'Reporte Componentes R1'!H355*$D$24</f>
        <v>212.97</v>
      </c>
      <c r="G14" s="426">
        <f>'Reporte Componentes R1'!I355*$D$24</f>
        <v>93</v>
      </c>
      <c r="H14" s="426">
        <f>'Reporte Componentes R1'!J355*$D$24</f>
        <v>1090.28</v>
      </c>
      <c r="I14" s="426">
        <f>'Reporte Componentes R1'!K355*$D$24</f>
        <v>44.92</v>
      </c>
      <c r="J14" s="428">
        <f t="shared" si="0"/>
        <v>3707.3999999999996</v>
      </c>
      <c r="L14" s="430"/>
      <c r="N14" s="434">
        <v>3</v>
      </c>
      <c r="O14" s="435" t="s">
        <v>12</v>
      </c>
      <c r="P14" s="436">
        <f>'Reporte Componentes R1'!M355*$P$24</f>
        <v>394.01</v>
      </c>
      <c r="Q14" s="437">
        <f>'Reporte Componentes R1'!N355*$P$24</f>
        <v>493.87</v>
      </c>
      <c r="R14" s="437">
        <f>'Reporte Componentes R1'!O355*$P$24</f>
        <v>1658.87</v>
      </c>
      <c r="S14" s="437">
        <f>'Reporte Componentes R1'!P355*$P$24</f>
        <v>1087.3599999999999</v>
      </c>
      <c r="T14" s="437">
        <f>'Reporte Componentes R1'!Q355*$P$24</f>
        <v>73.290000000000006</v>
      </c>
      <c r="U14" s="465">
        <f>SUM(P14:T14)</f>
        <v>3707.3999999999996</v>
      </c>
      <c r="V14" s="468">
        <f t="shared" si="2"/>
        <v>0</v>
      </c>
      <c r="W14" s="429" t="b">
        <f t="shared" si="1"/>
        <v>1</v>
      </c>
      <c r="X14" s="430"/>
      <c r="AB14" s="433"/>
    </row>
    <row r="15" spans="2:28" s="429" customFormat="1" x14ac:dyDescent="0.25">
      <c r="B15" s="434">
        <v>4</v>
      </c>
      <c r="C15" s="435" t="s">
        <v>13</v>
      </c>
      <c r="D15" s="426">
        <f>'Reporte Componentes R1'!F488*$D$24</f>
        <v>45650</v>
      </c>
      <c r="E15" s="427">
        <f>'Reporte Componentes R1'!G488*$D$24</f>
        <v>3731.55</v>
      </c>
      <c r="F15" s="427">
        <f>'Reporte Componentes R1'!H488*$D$24</f>
        <v>1585.29</v>
      </c>
      <c r="G15" s="427">
        <f>'Reporte Componentes R1'!I488*$D$24</f>
        <v>692.31</v>
      </c>
      <c r="H15" s="427">
        <f>'Reporte Componentes R1'!J488*$D$24</f>
        <v>8401.52</v>
      </c>
      <c r="I15" s="427">
        <f>'Reporte Componentes R1'!K488*$D$24</f>
        <v>342.15</v>
      </c>
      <c r="J15" s="428">
        <f t="shared" si="0"/>
        <v>30897.179999999997</v>
      </c>
      <c r="L15" s="430"/>
      <c r="N15" s="434">
        <v>4</v>
      </c>
      <c r="O15" s="435" t="s">
        <v>13</v>
      </c>
      <c r="P15" s="436">
        <f>'Reporte Componentes R1'!M488*$P$24</f>
        <v>3001.2</v>
      </c>
      <c r="Q15" s="437">
        <f>'Reporte Componentes R1'!N488*$P$24</f>
        <v>3816.34</v>
      </c>
      <c r="R15" s="437">
        <f>'Reporte Componentes R1'!O488*$P$24</f>
        <v>14012.94</v>
      </c>
      <c r="S15" s="437">
        <f>'Reporte Componentes R1'!P488*$P$24</f>
        <v>9508.44</v>
      </c>
      <c r="T15" s="437">
        <f>'Reporte Componentes R1'!Q488*$P$24</f>
        <v>558.26</v>
      </c>
      <c r="U15" s="465">
        <f>SUM(P15:T15)</f>
        <v>30897.179999999997</v>
      </c>
      <c r="V15" s="468">
        <f t="shared" si="2"/>
        <v>0</v>
      </c>
      <c r="W15" s="429" t="b">
        <f t="shared" si="1"/>
        <v>1</v>
      </c>
      <c r="X15" s="430"/>
      <c r="AB15" s="433"/>
    </row>
    <row r="16" spans="2:28" s="429" customFormat="1" ht="12" thickBot="1" x14ac:dyDescent="0.3">
      <c r="B16" s="438">
        <v>5</v>
      </c>
      <c r="C16" s="439" t="s">
        <v>14</v>
      </c>
      <c r="D16" s="440">
        <f>'Reporte Componentes R1'!F582*$D$24</f>
        <v>29681.86</v>
      </c>
      <c r="E16" s="441">
        <f>'Reporte Componentes R1'!G582*$D$24</f>
        <v>2042.55</v>
      </c>
      <c r="F16" s="441">
        <f>'Reporte Componentes R1'!H582*$D$24</f>
        <v>867.73</v>
      </c>
      <c r="G16" s="441">
        <f>'Reporte Componentes R1'!I582*$D$24</f>
        <v>378.94</v>
      </c>
      <c r="H16" s="441">
        <f>'Reporte Componentes R1'!J582*$D$24</f>
        <v>5515.52</v>
      </c>
      <c r="I16" s="441">
        <f>'Reporte Componentes R1'!K582*$D$24</f>
        <v>317.57</v>
      </c>
      <c r="J16" s="428">
        <f t="shared" si="0"/>
        <v>20559.550000000003</v>
      </c>
      <c r="L16" s="430"/>
      <c r="N16" s="438">
        <v>5</v>
      </c>
      <c r="O16" s="439" t="s">
        <v>14</v>
      </c>
      <c r="P16" s="440">
        <f>'Reporte Componentes R1'!M582*$P$24</f>
        <v>2785.77</v>
      </c>
      <c r="Q16" s="441">
        <f>'Reporte Componentes R1'!N582*$P$24</f>
        <v>2498.4499999999998</v>
      </c>
      <c r="R16" s="441">
        <f>'Reporte Componentes R1'!O582*$P$24</f>
        <v>9132.41</v>
      </c>
      <c r="S16" s="441">
        <f>'Reporte Componentes R1'!P582*$P$24</f>
        <v>5624.76</v>
      </c>
      <c r="T16" s="441">
        <f>'Reporte Componentes R1'!Q582*$P$24</f>
        <v>518.16</v>
      </c>
      <c r="U16" s="469">
        <f>SUM(P16:T16)</f>
        <v>20559.55</v>
      </c>
      <c r="V16" s="470">
        <f t="shared" si="2"/>
        <v>0</v>
      </c>
      <c r="W16" s="429" t="b">
        <f t="shared" si="1"/>
        <v>1</v>
      </c>
      <c r="X16" s="430"/>
      <c r="AB16" s="433"/>
    </row>
    <row r="17" spans="1:28" s="429" customFormat="1" ht="12" thickBot="1" x14ac:dyDescent="0.3">
      <c r="B17" s="442"/>
      <c r="C17" s="443" t="s">
        <v>2</v>
      </c>
      <c r="D17" s="444">
        <f t="shared" ref="D17:J17" si="3">SUM(D12:D16)</f>
        <v>362861.97</v>
      </c>
      <c r="E17" s="444">
        <f t="shared" si="3"/>
        <v>31369.049999999996</v>
      </c>
      <c r="F17" s="444">
        <f t="shared" si="3"/>
        <v>13326.54</v>
      </c>
      <c r="G17" s="444">
        <f t="shared" si="3"/>
        <v>5819.7300000000005</v>
      </c>
      <c r="H17" s="444">
        <f t="shared" si="3"/>
        <v>71201.38</v>
      </c>
      <c r="I17" s="444">
        <f t="shared" si="3"/>
        <v>3048.8300000000004</v>
      </c>
      <c r="J17" s="445">
        <f t="shared" si="3"/>
        <v>238096.44</v>
      </c>
      <c r="K17" s="446"/>
      <c r="L17" s="430"/>
      <c r="N17" s="442"/>
      <c r="O17" s="443" t="s">
        <v>2</v>
      </c>
      <c r="P17" s="447">
        <f>SUM(P12:P16)</f>
        <v>26744.54</v>
      </c>
      <c r="Q17" s="447">
        <f t="shared" ref="Q17:U17" si="4">SUM(Q12:Q16)</f>
        <v>32294.57</v>
      </c>
      <c r="R17" s="447">
        <f t="shared" si="4"/>
        <v>110779.20999999999</v>
      </c>
      <c r="S17" s="447">
        <f t="shared" si="4"/>
        <v>63303.51</v>
      </c>
      <c r="T17" s="447">
        <f t="shared" si="4"/>
        <v>4974.6099999999997</v>
      </c>
      <c r="U17" s="464">
        <f t="shared" si="4"/>
        <v>238096.43999999994</v>
      </c>
      <c r="V17" s="448">
        <f>SUM(V12:V16)</f>
        <v>0</v>
      </c>
      <c r="W17" s="429" t="b">
        <f t="shared" si="1"/>
        <v>1</v>
      </c>
      <c r="X17" s="430"/>
      <c r="AB17" s="433"/>
    </row>
    <row r="18" spans="1:28" ht="12" thickBot="1" x14ac:dyDescent="0.3">
      <c r="B18" s="399"/>
      <c r="C18" s="399"/>
      <c r="D18" s="449"/>
      <c r="E18" s="450"/>
      <c r="F18" s="450"/>
      <c r="G18" s="450"/>
      <c r="H18" s="450"/>
      <c r="I18" s="450"/>
      <c r="J18" s="450"/>
      <c r="L18" s="392"/>
      <c r="N18" s="399"/>
      <c r="O18" s="399"/>
      <c r="P18" s="450"/>
      <c r="Q18" s="450"/>
      <c r="R18" s="450"/>
      <c r="S18" s="450"/>
      <c r="T18" s="450"/>
      <c r="U18" s="450"/>
      <c r="X18" s="392"/>
    </row>
    <row r="19" spans="1:28" ht="12" thickBot="1" x14ac:dyDescent="0.3">
      <c r="B19" s="399"/>
      <c r="C19" s="399"/>
      <c r="D19" s="450"/>
      <c r="E19" s="450"/>
      <c r="F19" s="450"/>
      <c r="G19" s="450"/>
      <c r="H19" s="450"/>
      <c r="I19" s="450"/>
      <c r="J19" s="450"/>
      <c r="L19" s="392"/>
      <c r="T19" s="451">
        <f>SUM(P17:T17)</f>
        <v>238096.44</v>
      </c>
      <c r="U19" s="391" t="s">
        <v>1</v>
      </c>
      <c r="X19" s="392"/>
    </row>
    <row r="20" spans="1:28" ht="12" thickBot="1" x14ac:dyDescent="0.3">
      <c r="B20" s="399"/>
      <c r="C20" s="399"/>
      <c r="D20" s="450" t="s">
        <v>1</v>
      </c>
      <c r="E20" s="452"/>
      <c r="F20" s="452"/>
      <c r="G20" s="452"/>
      <c r="H20" s="452"/>
      <c r="I20" s="450"/>
      <c r="J20" s="632" t="b">
        <f>+IF(MAX(J12:J17)&gt;500000,"VALIDAR",TRUE)</f>
        <v>1</v>
      </c>
      <c r="L20" s="392"/>
      <c r="U20" s="453"/>
      <c r="X20" s="392"/>
    </row>
    <row r="21" spans="1:28" x14ac:dyDescent="0.25">
      <c r="B21" s="399"/>
      <c r="C21" s="399"/>
      <c r="D21" s="450" t="s">
        <v>1</v>
      </c>
      <c r="E21" s="450" t="s">
        <v>1</v>
      </c>
      <c r="F21" s="450" t="s">
        <v>25</v>
      </c>
      <c r="G21" s="450"/>
      <c r="H21" s="450"/>
      <c r="I21" s="450"/>
      <c r="J21" s="450"/>
      <c r="L21" s="392"/>
      <c r="X21" s="392"/>
    </row>
    <row r="22" spans="1:28" x14ac:dyDescent="0.25">
      <c r="A22" s="454"/>
      <c r="B22" s="455"/>
      <c r="C22" s="455"/>
      <c r="D22" s="456"/>
      <c r="E22" s="456"/>
      <c r="F22" s="456"/>
      <c r="G22" s="456"/>
      <c r="H22" s="456"/>
      <c r="I22" s="456"/>
      <c r="J22" s="456"/>
      <c r="K22" s="454"/>
      <c r="L22" s="454"/>
      <c r="M22" s="454"/>
      <c r="N22" s="454"/>
      <c r="O22" s="454"/>
      <c r="P22" s="454"/>
      <c r="Q22" s="454"/>
      <c r="R22" s="454"/>
      <c r="S22" s="454"/>
      <c r="T22" s="454"/>
      <c r="U22" s="454"/>
      <c r="V22" s="457"/>
      <c r="W22" s="454"/>
      <c r="X22" s="454"/>
    </row>
    <row r="24" spans="1:28" x14ac:dyDescent="0.25">
      <c r="D24" s="458">
        <v>-1</v>
      </c>
      <c r="P24" s="458">
        <v>-1</v>
      </c>
    </row>
    <row r="25" spans="1:28" ht="15.5" x14ac:dyDescent="0.35">
      <c r="E25" s="407"/>
    </row>
  </sheetData>
  <conditionalFormatting sqref="J20">
    <cfRule type="cellIs" dxfId="77" priority="1" operator="equal">
      <formula>TRUE</formula>
    </cfRule>
    <cfRule type="cellIs" dxfId="76" priority="2" operator="equal">
      <formula>"VALIDAR"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FF00"/>
    <pageSetUpPr fitToPage="1"/>
  </sheetPr>
  <dimension ref="A1:AM167"/>
  <sheetViews>
    <sheetView tabSelected="1" topLeftCell="A95" zoomScaleNormal="100" workbookViewId="0">
      <selection activeCell="A95" sqref="A95"/>
    </sheetView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7.7265625" style="1" customWidth="1"/>
    <col min="4" max="4" width="15.26953125" style="1" customWidth="1"/>
    <col min="5" max="5" width="16" style="1" customWidth="1"/>
    <col min="6" max="7" width="14.7265625" style="1" customWidth="1"/>
    <col min="8" max="9" width="16" style="1" customWidth="1"/>
    <col min="10" max="10" width="15.54296875" style="1" customWidth="1"/>
    <col min="11" max="11" width="17.54296875" style="1" customWidth="1"/>
    <col min="12" max="12" width="17.7265625" style="1" customWidth="1"/>
    <col min="13" max="13" width="20" style="1" customWidth="1"/>
    <col min="14" max="14" width="15.26953125" style="1" customWidth="1"/>
    <col min="15" max="15" width="16.7265625" style="1" customWidth="1"/>
    <col min="16" max="16" width="3.7265625" style="1" customWidth="1"/>
    <col min="17" max="17" width="2.7265625" style="1" customWidth="1"/>
    <col min="18" max="18" width="4.54296875" style="1" customWidth="1"/>
    <col min="19" max="19" width="11.26953125" style="1" customWidth="1"/>
    <col min="20" max="20" width="37.54296875" style="1" bestFit="1" customWidth="1"/>
    <col min="21" max="21" width="19.26953125" style="1" customWidth="1"/>
    <col min="22" max="22" width="17.7265625" style="1" customWidth="1"/>
    <col min="23" max="23" width="16.453125" style="1" customWidth="1"/>
    <col min="24" max="24" width="17.26953125" style="1" customWidth="1"/>
    <col min="25" max="25" width="15.7265625" style="1" customWidth="1"/>
    <col min="26" max="26" width="16" style="1" customWidth="1"/>
    <col min="27" max="27" width="15" style="1" customWidth="1"/>
    <col min="28" max="29" width="16.7265625" style="1" customWidth="1"/>
    <col min="30" max="31" width="15.453125" style="1" customWidth="1"/>
    <col min="32" max="32" width="16.26953125" style="1" customWidth="1"/>
    <col min="33" max="33" width="14.7265625" style="273" bestFit="1" customWidth="1"/>
    <col min="34" max="34" width="13.7265625" style="1" customWidth="1"/>
    <col min="35" max="35" width="3.453125" style="1" customWidth="1"/>
    <col min="36" max="36" width="13.7265625" style="1" bestFit="1" customWidth="1"/>
    <col min="37" max="38" width="11.453125" style="1"/>
    <col min="39" max="39" width="15.7265625" style="1" bestFit="1" customWidth="1"/>
    <col min="40" max="16384" width="11.453125" style="1"/>
  </cols>
  <sheetData>
    <row r="1" spans="2:35" ht="12" thickBot="1" x14ac:dyDescent="0.3">
      <c r="Q1" s="4"/>
      <c r="AI1" s="4"/>
    </row>
    <row r="2" spans="2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74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74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74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74"/>
      <c r="AI5" s="4"/>
    </row>
    <row r="6" spans="2:35" ht="15.5" x14ac:dyDescent="0.35">
      <c r="B6" s="8"/>
      <c r="C6" s="590" t="s">
        <v>17</v>
      </c>
      <c r="D6" s="9">
        <v>46282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74"/>
      <c r="AI6" s="4"/>
    </row>
    <row r="7" spans="2:35" ht="12" thickBot="1" x14ac:dyDescent="0.3">
      <c r="B7" s="8"/>
      <c r="C7" s="590" t="s">
        <v>0</v>
      </c>
      <c r="D7" s="241">
        <v>0.58333333333333337</v>
      </c>
      <c r="F7" s="2" t="s">
        <v>27</v>
      </c>
      <c r="G7" s="9">
        <v>46266</v>
      </c>
      <c r="J7" s="2" t="s">
        <v>28</v>
      </c>
      <c r="K7" s="9"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74"/>
      <c r="AI7" s="4"/>
    </row>
    <row r="8" spans="2:35" ht="72" customHeight="1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21" t="s">
        <v>107</v>
      </c>
      <c r="AE8" s="121" t="s">
        <v>223</v>
      </c>
      <c r="AF8" s="39" t="s">
        <v>23</v>
      </c>
      <c r="AG8" s="275"/>
      <c r="AI8" s="4"/>
    </row>
    <row r="9" spans="2:35" s="307" customFormat="1" x14ac:dyDescent="0.25">
      <c r="B9" s="305">
        <v>1</v>
      </c>
      <c r="C9" s="306" t="s">
        <v>10</v>
      </c>
      <c r="D9" s="388">
        <f>'Reporte Componentes R1'!F47</f>
        <v>17418907415.929996</v>
      </c>
      <c r="E9" s="294">
        <f>'Reporte Componentes R1'!G47</f>
        <v>1001082264.04</v>
      </c>
      <c r="F9" s="294">
        <f>'Reporte Componentes R1'!H47</f>
        <v>558624112.1099999</v>
      </c>
      <c r="G9" s="294">
        <f>'Reporte Componentes R1'!I47</f>
        <v>295818860.42000002</v>
      </c>
      <c r="H9" s="294">
        <f>'Reporte Componentes R1'!J47</f>
        <v>4854981286.4100008</v>
      </c>
      <c r="I9" s="294">
        <f>'Reporte Componentes R1'!K47</f>
        <v>182023416.53</v>
      </c>
      <c r="J9" s="290">
        <f>'BCE SC POR FACT.'!F3</f>
        <v>2589335716.54</v>
      </c>
      <c r="K9" s="295">
        <f>D9-E9-F9-G9-H9-I9-J9</f>
        <v>7937041759.8799925</v>
      </c>
      <c r="L9" s="296">
        <f>INTERVENTORIA!I15</f>
        <v>189185987</v>
      </c>
      <c r="M9" s="295">
        <f>K9-L9</f>
        <v>7747855772.8799925</v>
      </c>
      <c r="N9" s="389">
        <f>'Reporte Componentes R1'!L47</f>
        <v>30635669.579999998</v>
      </c>
      <c r="O9" s="295">
        <f>M9+N9</f>
        <v>7778491442.4599924</v>
      </c>
      <c r="Q9" s="308"/>
      <c r="S9" s="305">
        <v>1</v>
      </c>
      <c r="T9" s="306" t="s">
        <v>10</v>
      </c>
      <c r="U9" s="309">
        <f>'Reporte Componentes R1'!M47</f>
        <v>1597682463.6300001</v>
      </c>
      <c r="V9" s="310">
        <f>'Reporte Componentes R1'!N47</f>
        <v>1526552801.8999999</v>
      </c>
      <c r="W9" s="310">
        <f>'Reporte Componentes R1'!O47</f>
        <v>7180877540.9399996</v>
      </c>
      <c r="X9" s="310">
        <f>'Reporte Componentes R1'!P47</f>
        <v>2725346868.8800001</v>
      </c>
      <c r="Y9" s="311">
        <f>'Reporte Componentes R1'!Q47</f>
        <v>297024103.53000003</v>
      </c>
      <c r="Z9" s="312">
        <f>L9*-1</f>
        <v>-189185987</v>
      </c>
      <c r="AA9" s="313">
        <f>'Reporte Componentes R1'!R47+'Reporte Componentes R1'!U47+'Reporte Componentes R1'!V47</f>
        <v>-46873.26</v>
      </c>
      <c r="AB9" s="314">
        <f>N9</f>
        <v>30635669.579999998</v>
      </c>
      <c r="AC9" s="322">
        <f>'Reporte Componentes R1'!T47+'Reporte Componentes R1'!W47+'Reporte Componentes R1'!X47+'Reporte Componentes R1'!Y47+'Reporte Componentes R1'!Z47+'Reporte Componentes R1'!S47</f>
        <v>392.74</v>
      </c>
      <c r="AD9" s="293">
        <f>-J9+AE9</f>
        <v>-5390395538.4799995</v>
      </c>
      <c r="AE9" s="293">
        <f>'Reporte Componentes R1'!F48</f>
        <v>-2801059821.9400001</v>
      </c>
      <c r="AF9" s="315">
        <f>SUM(U9:AD9)</f>
        <v>7778491442.4599991</v>
      </c>
      <c r="AG9" s="523">
        <f>(AF9-O9)</f>
        <v>6.67572021484375E-6</v>
      </c>
      <c r="AH9" s="307" t="b">
        <f>INT(AG9)=0</f>
        <v>1</v>
      </c>
      <c r="AI9" s="308"/>
    </row>
    <row r="10" spans="2:35" s="307" customFormat="1" x14ac:dyDescent="0.25">
      <c r="B10" s="316">
        <v>2</v>
      </c>
      <c r="C10" s="317" t="s">
        <v>11</v>
      </c>
      <c r="D10" s="293">
        <f>'Reporte Componentes R1'!F181</f>
        <v>14054408759.650002</v>
      </c>
      <c r="E10" s="294">
        <f>'Reporte Componentes R1'!G181</f>
        <v>1088202523.8599999</v>
      </c>
      <c r="F10" s="294">
        <f>'Reporte Componentes R1'!H181</f>
        <v>603069813.52999997</v>
      </c>
      <c r="G10" s="294">
        <f>'Reporte Componentes R1'!I181</f>
        <v>319009174.52999997</v>
      </c>
      <c r="H10" s="294">
        <f>'Reporte Componentes R1'!J181</f>
        <v>4457807570.6099997</v>
      </c>
      <c r="I10" s="294">
        <f>'Reporte Componentes R1'!K181</f>
        <v>151586269.01999998</v>
      </c>
      <c r="J10" s="290">
        <f>'BCE SC POR FACT.'!F4</f>
        <v>-5093259797.2199993</v>
      </c>
      <c r="K10" s="297">
        <f>D10-E10-F10-G10-H10-I10-J10</f>
        <v>12527993205.32</v>
      </c>
      <c r="L10" s="296">
        <f>INTERVENTORIA!I16</f>
        <v>266580255</v>
      </c>
      <c r="M10" s="297">
        <f>K10-L10</f>
        <v>12261412950.32</v>
      </c>
      <c r="N10" s="296">
        <f>'Reporte Componentes R1'!L181</f>
        <v>43591201.600000001</v>
      </c>
      <c r="O10" s="297">
        <f>M10+N10</f>
        <v>12305004151.92</v>
      </c>
      <c r="Q10" s="308"/>
      <c r="S10" s="316">
        <v>2</v>
      </c>
      <c r="T10" s="317" t="s">
        <v>11</v>
      </c>
      <c r="U10" s="318">
        <f>'Reporte Componentes R1'!M181</f>
        <v>1328822138.54</v>
      </c>
      <c r="V10" s="319">
        <f>'Reporte Componentes R1'!N181</f>
        <v>1317202388.28</v>
      </c>
      <c r="W10" s="319">
        <f>'Reporte Componentes R1'!O181</f>
        <v>6178374673.29</v>
      </c>
      <c r="X10" s="319">
        <f>'Reporte Componentes R1'!P181</f>
        <v>2138079145.46</v>
      </c>
      <c r="Y10" s="320">
        <f>'Reporte Componentes R1'!Q181</f>
        <v>247785210.63</v>
      </c>
      <c r="Z10" s="321">
        <f>L10*-1</f>
        <v>-266580255</v>
      </c>
      <c r="AA10" s="322">
        <f>'Reporte Componentes R1'!R181+'Reporte Componentes R1'!U181+'Reporte Componentes R1'!V181</f>
        <v>60921.93</v>
      </c>
      <c r="AB10" s="323">
        <f>N10</f>
        <v>43591201.600000001</v>
      </c>
      <c r="AC10" s="322">
        <f>'Reporte Componentes R1'!T181+'Reporte Componentes R1'!W181+'Reporte Componentes R1'!X181+'Reporte Componentes R1'!Y181+'Reporte Componentes R1'!Z181+'Reporte Componentes R1'!S181</f>
        <v>-56807.54</v>
      </c>
      <c r="AD10" s="293">
        <f t="shared" ref="AD10:AD13" si="0">-J10+AE10</f>
        <v>1317725534.7299995</v>
      </c>
      <c r="AE10" s="293">
        <f>'Reporte Componentes R1'!F182</f>
        <v>-3775534262.4899998</v>
      </c>
      <c r="AF10" s="324">
        <f>SUM(U10:AD10)</f>
        <v>12305004151.919998</v>
      </c>
      <c r="AG10" s="524">
        <f>(AF10-O10)</f>
        <v>-1.9073486328125E-6</v>
      </c>
      <c r="AH10" s="307" t="b">
        <f t="shared" ref="AH10:AH13" si="1">INT(AG10)=0</f>
        <v>0</v>
      </c>
      <c r="AI10" s="308"/>
    </row>
    <row r="11" spans="2:35" s="307" customFormat="1" x14ac:dyDescent="0.25">
      <c r="B11" s="316">
        <v>3</v>
      </c>
      <c r="C11" s="317" t="s">
        <v>12</v>
      </c>
      <c r="D11" s="293">
        <f>'Reporte Componentes R1'!F325</f>
        <v>10873711675.940001</v>
      </c>
      <c r="E11" s="294">
        <f>'Reporte Componentes R1'!G325</f>
        <v>709480098.17000008</v>
      </c>
      <c r="F11" s="294">
        <f>'Reporte Componentes R1'!H325</f>
        <v>396797681.51999998</v>
      </c>
      <c r="G11" s="294">
        <f>'Reporte Componentes R1'!I325</f>
        <v>210072355.38</v>
      </c>
      <c r="H11" s="294">
        <f>'Reporte Componentes R1'!J325</f>
        <v>3086038541.25</v>
      </c>
      <c r="I11" s="294">
        <f>'Reporte Componentes R1'!K325</f>
        <v>102453809.81999999</v>
      </c>
      <c r="J11" s="290">
        <f>'BCE SC POR FACT.'!F5</f>
        <v>-1230396998.4399998</v>
      </c>
      <c r="K11" s="297">
        <f>D11-E11-F11-G11-H11-I11-J11</f>
        <v>7599266188.2400007</v>
      </c>
      <c r="L11" s="296">
        <f>INTERVENTORIA!I17</f>
        <v>154788535</v>
      </c>
      <c r="M11" s="297">
        <f>K11-L11</f>
        <v>7444477653.2400007</v>
      </c>
      <c r="N11" s="296">
        <f>'Reporte Componentes R1'!L325</f>
        <v>25517242.059999999</v>
      </c>
      <c r="O11" s="297">
        <f>M11+N11</f>
        <v>7469994895.3000011</v>
      </c>
      <c r="Q11" s="308"/>
      <c r="S11" s="316">
        <v>3</v>
      </c>
      <c r="T11" s="317" t="s">
        <v>12</v>
      </c>
      <c r="U11" s="318">
        <f>'Reporte Componentes R1'!M325</f>
        <v>898760633.08000004</v>
      </c>
      <c r="V11" s="319">
        <f>'Reporte Componentes R1'!N325</f>
        <v>879069803.20000005</v>
      </c>
      <c r="W11" s="319">
        <f>'Reporte Componentes R1'!O325</f>
        <v>4137828338.5999999</v>
      </c>
      <c r="X11" s="319">
        <f>'Reporte Componentes R1'!P325</f>
        <v>1679944527.1900001</v>
      </c>
      <c r="Y11" s="320">
        <f>'Reporte Componentes R1'!Q325</f>
        <v>167231419.58000001</v>
      </c>
      <c r="Z11" s="321">
        <f>L11*-1</f>
        <v>-154788535</v>
      </c>
      <c r="AA11" s="322">
        <f>'Reporte Componentes R1'!R325+'Reporte Componentes R1'!U325+'Reporte Componentes R1'!V325</f>
        <v>46878</v>
      </c>
      <c r="AB11" s="323">
        <f>N11</f>
        <v>25517242.059999999</v>
      </c>
      <c r="AC11" s="322">
        <f>'Reporte Componentes R1'!T325+'Reporte Componentes R1'!W325+'Reporte Componentes R1'!X325+'Reporte Componentes R1'!Y325+'Reporte Componentes R1'!Z325+'Reporte Componentes R1'!S325</f>
        <v>5.47</v>
      </c>
      <c r="AD11" s="293">
        <f t="shared" si="0"/>
        <v>-163615416.88000011</v>
      </c>
      <c r="AE11" s="293">
        <f>'Reporte Componentes R1'!F326</f>
        <v>-1394012415.3199999</v>
      </c>
      <c r="AF11" s="324">
        <f t="shared" ref="AF11:AF13" si="2">SUM(U11:AD11)</f>
        <v>7469994895.3000002</v>
      </c>
      <c r="AG11" s="524">
        <f>(AF11-O11)</f>
        <v>-9.5367431640625E-7</v>
      </c>
      <c r="AH11" s="307" t="b">
        <f t="shared" si="1"/>
        <v>0</v>
      </c>
      <c r="AI11" s="308"/>
    </row>
    <row r="12" spans="2:35" s="307" customFormat="1" x14ac:dyDescent="0.25">
      <c r="B12" s="316">
        <v>4</v>
      </c>
      <c r="C12" s="317" t="s">
        <v>13</v>
      </c>
      <c r="D12" s="293">
        <f>'Reporte Componentes R1'!F458</f>
        <v>11499013342.300001</v>
      </c>
      <c r="E12" s="294">
        <f>'Reporte Componentes R1'!G458</f>
        <v>650996403.70000005</v>
      </c>
      <c r="F12" s="294">
        <f>'Reporte Componentes R1'!H458</f>
        <v>361664569.63</v>
      </c>
      <c r="G12" s="294">
        <f>'Reporte Componentes R1'!I458</f>
        <v>191311695.88</v>
      </c>
      <c r="H12" s="294">
        <f>'Reporte Componentes R1'!J458</f>
        <v>2848443622.6900001</v>
      </c>
      <c r="I12" s="294">
        <f>'Reporte Componentes R1'!K458</f>
        <v>98370577</v>
      </c>
      <c r="J12" s="290">
        <f>'BCE SC POR FACT.'!F6</f>
        <v>38133905.800000012</v>
      </c>
      <c r="K12" s="297">
        <f>D12-E12-F12-G12-H12-I12-J12</f>
        <v>7310092567.6000013</v>
      </c>
      <c r="L12" s="296">
        <f>INTERVENTORIA!I18</f>
        <v>120391083</v>
      </c>
      <c r="M12" s="297">
        <f>K12-L12</f>
        <v>7189701484.6000013</v>
      </c>
      <c r="N12" s="296">
        <f>'Reporte Componentes R1'!L458</f>
        <v>23185407.98</v>
      </c>
      <c r="O12" s="297">
        <f>M12+N12</f>
        <v>7212886892.5800009</v>
      </c>
      <c r="Q12" s="308"/>
      <c r="S12" s="316">
        <v>4</v>
      </c>
      <c r="T12" s="317" t="s">
        <v>13</v>
      </c>
      <c r="U12" s="318">
        <f>'Reporte Componentes R1'!M458</f>
        <v>862525582.95999992</v>
      </c>
      <c r="V12" s="319">
        <f>'Reporte Componentes R1'!N458</f>
        <v>850278882.06999993</v>
      </c>
      <c r="W12" s="319">
        <f>'Reporte Componentes R1'!O458</f>
        <v>4334685078.6200008</v>
      </c>
      <c r="X12" s="319">
        <f>'Reporte Componentes R1'!P458</f>
        <v>1723212328.6599998</v>
      </c>
      <c r="Y12" s="320">
        <f>'Reporte Componentes R1'!Q458</f>
        <v>160807895.45000002</v>
      </c>
      <c r="Z12" s="321">
        <f>L12*-1</f>
        <v>-120391083</v>
      </c>
      <c r="AA12" s="322">
        <f>'Reporte Componentes R1'!R458+'Reporte Componentes R1'!U458+'Reporte Componentes R1'!V458</f>
        <v>-64274.34</v>
      </c>
      <c r="AB12" s="323">
        <f>N12</f>
        <v>23185407.98</v>
      </c>
      <c r="AC12" s="322">
        <f>'Reporte Componentes R1'!T458+'Reporte Componentes R1'!W458+'Reporte Componentes R1'!X458+'Reporte Componentes R1'!Y458+'Reporte Componentes R1'!Z458+'Reporte Componentes R1'!S458</f>
        <v>181.07</v>
      </c>
      <c r="AD12" s="293">
        <f t="shared" si="0"/>
        <v>-621353106.8900001</v>
      </c>
      <c r="AE12" s="293">
        <f>'Reporte Componentes R1'!F459</f>
        <v>-583219201.09000003</v>
      </c>
      <c r="AF12" s="324">
        <f t="shared" si="2"/>
        <v>7212886892.579999</v>
      </c>
      <c r="AG12" s="524">
        <f>(AF12-O12)</f>
        <v>-1.9073486328125E-6</v>
      </c>
      <c r="AH12" s="307" t="b">
        <f t="shared" si="1"/>
        <v>0</v>
      </c>
      <c r="AI12" s="308"/>
    </row>
    <row r="13" spans="2:35" s="307" customFormat="1" ht="12" thickBot="1" x14ac:dyDescent="0.3">
      <c r="B13" s="326">
        <v>5</v>
      </c>
      <c r="C13" s="327" t="s">
        <v>14</v>
      </c>
      <c r="D13" s="298">
        <f>'Reporte Componentes R1'!F552</f>
        <v>9128674277.6200008</v>
      </c>
      <c r="E13" s="299">
        <f>'Reporte Componentes R1'!G552</f>
        <v>499993856.34999996</v>
      </c>
      <c r="F13" s="299">
        <f>'Reporte Componentes R1'!H552</f>
        <v>279295266.87</v>
      </c>
      <c r="G13" s="299">
        <f>'Reporte Componentes R1'!I552</f>
        <v>147928727.49000001</v>
      </c>
      <c r="H13" s="299">
        <f>'Reporte Componentes R1'!J552</f>
        <v>2095567575.6800001</v>
      </c>
      <c r="I13" s="299">
        <f>'Reporte Componentes R1'!K552</f>
        <v>75251314.050000012</v>
      </c>
      <c r="J13" s="291">
        <f>'BCE SC POR FACT.'!F7</f>
        <v>-1224100690.4600003</v>
      </c>
      <c r="K13" s="297">
        <f>D13-E13-F13-G13-H13-I13-J13</f>
        <v>7254738227.6400003</v>
      </c>
      <c r="L13" s="296">
        <f>INTERVENTORIA!I19</f>
        <v>128990445</v>
      </c>
      <c r="M13" s="300">
        <f>K13-L13</f>
        <v>7125747782.6400003</v>
      </c>
      <c r="N13" s="301">
        <f>'Reporte Componentes R1'!L552</f>
        <v>32575938.379999999</v>
      </c>
      <c r="O13" s="300">
        <f>M13+N13</f>
        <v>7158323721.0200005</v>
      </c>
      <c r="Q13" s="308"/>
      <c r="S13" s="326">
        <v>5</v>
      </c>
      <c r="T13" s="327" t="s">
        <v>14</v>
      </c>
      <c r="U13" s="298">
        <f>'Reporte Componentes R1'!M552</f>
        <v>660452138.73000002</v>
      </c>
      <c r="V13" s="299">
        <f>'Reporte Componentes R1'!N552</f>
        <v>642660437.5999999</v>
      </c>
      <c r="W13" s="299">
        <f>'Reporte Componentes R1'!O552</f>
        <v>3298285899.1500001</v>
      </c>
      <c r="X13" s="299">
        <f>'Reporte Componentes R1'!P552</f>
        <v>1497014790.46</v>
      </c>
      <c r="Y13" s="291">
        <f>'Reporte Componentes R1'!Q552</f>
        <v>122873482.37</v>
      </c>
      <c r="Z13" s="321">
        <f>L13*-1</f>
        <v>-128990445</v>
      </c>
      <c r="AA13" s="322">
        <f>'Reporte Componentes R1'!R552+'Reporte Componentes R1'!U552+'Reporte Componentes R1'!V552</f>
        <v>-16285.89</v>
      </c>
      <c r="AB13" s="323">
        <f>N13</f>
        <v>32575938.379999999</v>
      </c>
      <c r="AC13" s="322">
        <f>'Reporte Componentes R1'!T552+'Reporte Componentes R1'!W552+'Reporte Componentes R1'!X552+'Reporte Componentes R1'!Y552+'Reporte Componentes R1'!Z552+'Reporte Componentes R1'!S552</f>
        <v>-105.68</v>
      </c>
      <c r="AD13" s="293">
        <f t="shared" si="0"/>
        <v>1033467870.9000003</v>
      </c>
      <c r="AE13" s="293">
        <f>'Reporte Componentes R1'!F553</f>
        <v>-190632819.56</v>
      </c>
      <c r="AF13" s="324">
        <f t="shared" si="2"/>
        <v>7158323721.0199995</v>
      </c>
      <c r="AG13" s="525">
        <f>(AF13-O13)</f>
        <v>-9.5367431640625E-7</v>
      </c>
      <c r="AH13" s="307" t="b">
        <f t="shared" si="1"/>
        <v>0</v>
      </c>
      <c r="AI13" s="308"/>
    </row>
    <row r="14" spans="2:35" s="307" customFormat="1" ht="13.5" thickBot="1" x14ac:dyDescent="0.35">
      <c r="B14" s="329"/>
      <c r="C14" s="330" t="s">
        <v>2</v>
      </c>
      <c r="D14" s="292">
        <f>SUM(D9:D13)</f>
        <v>62974715471.440002</v>
      </c>
      <c r="E14" s="292">
        <f t="shared" ref="E14:O14" si="3">SUM(E9:E13)</f>
        <v>3949755146.1199994</v>
      </c>
      <c r="F14" s="292">
        <f t="shared" si="3"/>
        <v>2199451443.6599998</v>
      </c>
      <c r="G14" s="292">
        <f t="shared" ref="G14" si="4">SUM(G9:G13)</f>
        <v>1164140813.7</v>
      </c>
      <c r="H14" s="292">
        <f t="shared" si="3"/>
        <v>17342838596.639999</v>
      </c>
      <c r="I14" s="292">
        <f t="shared" si="3"/>
        <v>609685386.41999996</v>
      </c>
      <c r="J14" s="292">
        <f t="shared" si="3"/>
        <v>-4920287863.7799988</v>
      </c>
      <c r="K14" s="302">
        <f>SUM(K9:K13)</f>
        <v>42629131948.679993</v>
      </c>
      <c r="L14" s="303">
        <f>SUM(L9:L13)</f>
        <v>859936305</v>
      </c>
      <c r="M14" s="304">
        <f t="shared" si="3"/>
        <v>41769195643.679993</v>
      </c>
      <c r="N14" s="303">
        <f t="shared" si="3"/>
        <v>155505459.60000002</v>
      </c>
      <c r="O14" s="304">
        <f t="shared" si="3"/>
        <v>41924701103.279999</v>
      </c>
      <c r="P14" s="331"/>
      <c r="Q14" s="308"/>
      <c r="S14" s="329"/>
      <c r="T14" s="330" t="s">
        <v>2</v>
      </c>
      <c r="U14" s="332">
        <f>SUM(U9:U13)</f>
        <v>5348242956.9400005</v>
      </c>
      <c r="V14" s="332">
        <f t="shared" ref="V14:AF14" si="5">SUM(V9:V13)</f>
        <v>5215764313.0499992</v>
      </c>
      <c r="W14" s="332">
        <f t="shared" si="5"/>
        <v>25130051530.599998</v>
      </c>
      <c r="X14" s="332">
        <f t="shared" si="5"/>
        <v>9763597660.6500015</v>
      </c>
      <c r="Y14" s="332">
        <f t="shared" si="5"/>
        <v>995722111.56000018</v>
      </c>
      <c r="Z14" s="292">
        <f t="shared" si="5"/>
        <v>-859936305</v>
      </c>
      <c r="AA14" s="292">
        <f t="shared" si="5"/>
        <v>-19633.559999999998</v>
      </c>
      <c r="AB14" s="292">
        <f t="shared" si="5"/>
        <v>155505459.60000002</v>
      </c>
      <c r="AC14" s="292">
        <f>SUM(AC9:AC13)</f>
        <v>-56333.94</v>
      </c>
      <c r="AD14" s="292">
        <f>SUM(AD9:AD13)</f>
        <v>-3824170656.6199999</v>
      </c>
      <c r="AE14" s="292">
        <f>SUM(AE9:AE13)</f>
        <v>-8744458520.3999996</v>
      </c>
      <c r="AF14" s="333">
        <f t="shared" si="5"/>
        <v>41924701103.279991</v>
      </c>
      <c r="AG14" s="526">
        <f>SUM(AG9:AG13)</f>
        <v>9.5367431640625E-7</v>
      </c>
      <c r="AH14" s="307" t="b">
        <f>INT(AG14)=0</f>
        <v>1</v>
      </c>
      <c r="AI14" s="308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/>
      <c r="E16" s="24"/>
      <c r="F16" s="24" t="s">
        <v>1</v>
      </c>
      <c r="G16" s="24"/>
      <c r="H16" s="24" t="s">
        <v>1</v>
      </c>
      <c r="I16" s="24"/>
      <c r="K16" s="24"/>
      <c r="L16" s="24"/>
      <c r="M16" s="24"/>
      <c r="N16" s="24"/>
      <c r="O16" s="24"/>
      <c r="Q16" s="4"/>
      <c r="Y16" s="86">
        <f>SUM(U14:Y14)</f>
        <v>46453378572.799995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" thickBot="1" x14ac:dyDescent="0.3">
      <c r="B17" s="2"/>
      <c r="C17" s="2"/>
      <c r="D17" s="24"/>
      <c r="E17" s="24"/>
      <c r="F17" s="33"/>
      <c r="G17" s="33"/>
      <c r="H17" s="33"/>
      <c r="I17" s="24"/>
      <c r="K17" s="24"/>
      <c r="L17" s="24" t="s">
        <v>1</v>
      </c>
      <c r="M17" s="24"/>
      <c r="N17" s="24"/>
      <c r="O17" s="709"/>
      <c r="Q17" s="4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276"/>
      <c r="AH19" s="4"/>
      <c r="AI19" s="4"/>
    </row>
    <row r="20" spans="1:35" ht="12" thickBot="1" x14ac:dyDescent="0.3">
      <c r="Q20" s="4"/>
      <c r="AI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74"/>
      <c r="AI21" s="4"/>
    </row>
    <row r="22" spans="1:35" ht="14" x14ac:dyDescent="0.3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74"/>
      <c r="AI22" s="4"/>
    </row>
    <row r="23" spans="1:35" ht="15.5" x14ac:dyDescent="0.3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74"/>
      <c r="AI23" s="4"/>
    </row>
    <row r="24" spans="1:35" ht="14" x14ac:dyDescent="0.3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74"/>
      <c r="AI24" s="4"/>
    </row>
    <row r="25" spans="1:35" ht="15.5" x14ac:dyDescent="0.35">
      <c r="B25" s="8"/>
      <c r="C25" s="590" t="s">
        <v>17</v>
      </c>
      <c r="D25" s="9">
        <f>D6</f>
        <v>46282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74"/>
      <c r="AI25" s="4"/>
    </row>
    <row r="26" spans="1:35" ht="12" thickBot="1" x14ac:dyDescent="0.3">
      <c r="B26" s="8"/>
      <c r="C26" s="590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74"/>
      <c r="AI26" s="4"/>
    </row>
    <row r="27" spans="1:35" ht="72" customHeight="1" thickBot="1" x14ac:dyDescent="0.3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21" t="s">
        <v>107</v>
      </c>
      <c r="AE27" s="121" t="s">
        <v>223</v>
      </c>
      <c r="AF27" s="39" t="s">
        <v>23</v>
      </c>
      <c r="AG27" s="275"/>
      <c r="AI27" s="4"/>
    </row>
    <row r="28" spans="1:35" s="307" customFormat="1" x14ac:dyDescent="0.25">
      <c r="B28" s="305">
        <v>1</v>
      </c>
      <c r="C28" s="306" t="s">
        <v>10</v>
      </c>
      <c r="D28" s="293">
        <f>'Rem. Anticipos R2'!E42</f>
        <v>34844954.140000001</v>
      </c>
      <c r="E28" s="294">
        <f>'Rem. Anticipos R2'!F42</f>
        <v>1865211.31</v>
      </c>
      <c r="F28" s="294">
        <f>'Rem. Anticipos R2'!G42</f>
        <v>1005487.32</v>
      </c>
      <c r="G28" s="294">
        <f>'Rem. Anticipos R2'!H42</f>
        <v>583812.15</v>
      </c>
      <c r="H28" s="294">
        <f>'Rem. Anticipos R2'!I42</f>
        <v>5020392.57</v>
      </c>
      <c r="I28" s="294">
        <f>'Rem. Anticipos R2'!J42</f>
        <v>230375.08</v>
      </c>
      <c r="J28" s="290">
        <v>0</v>
      </c>
      <c r="K28" s="295">
        <f>D28-E28-F28-G28-H28-I28-J28</f>
        <v>26139675.710000005</v>
      </c>
      <c r="L28" s="296">
        <v>0</v>
      </c>
      <c r="M28" s="295">
        <f>K28-L28</f>
        <v>26139675.710000005</v>
      </c>
      <c r="N28" s="296">
        <f>'Rem. Anticipos R2'!K42</f>
        <v>0</v>
      </c>
      <c r="O28" s="295">
        <f>M28+N28</f>
        <v>26139675.710000005</v>
      </c>
      <c r="Q28" s="308"/>
      <c r="S28" s="305">
        <v>1</v>
      </c>
      <c r="T28" s="306" t="s">
        <v>10</v>
      </c>
      <c r="U28" s="309">
        <f>'Rem. Anticipos R2'!L42</f>
        <v>2507180.08</v>
      </c>
      <c r="V28" s="310">
        <f>'Rem. Anticipos R2'!M42</f>
        <v>2526384.75</v>
      </c>
      <c r="W28" s="310">
        <f>'Rem. Anticipos R2'!N42</f>
        <v>12951452.1</v>
      </c>
      <c r="X28" s="310">
        <f>'Rem. Anticipos R2'!O42</f>
        <v>5510056.0099999998</v>
      </c>
      <c r="Y28" s="310">
        <f>'Rem. Anticipos R2'!P42</f>
        <v>369962.63</v>
      </c>
      <c r="Z28" s="312">
        <f>L28*-1</f>
        <v>0</v>
      </c>
      <c r="AA28" s="313">
        <f>'Rem. Anticipos R2'!Q42</f>
        <v>-21.97</v>
      </c>
      <c r="AB28" s="296">
        <f>N28</f>
        <v>0</v>
      </c>
      <c r="AC28" s="313">
        <f>'Rem. Anticipos R2'!R42</f>
        <v>0</v>
      </c>
      <c r="AD28" s="293">
        <f>-J28+AE28</f>
        <v>2274662.11</v>
      </c>
      <c r="AE28" s="293">
        <f>'Rem. Anticipos R2'!E43</f>
        <v>2274662.11</v>
      </c>
      <c r="AF28" s="315">
        <f>SUM(U28:AD28)</f>
        <v>26139675.709999997</v>
      </c>
      <c r="AG28" s="523">
        <f>(AF28-O28)</f>
        <v>-7.4505805969238281E-9</v>
      </c>
      <c r="AH28" s="307" t="b">
        <f>INT(AG28)=0</f>
        <v>0</v>
      </c>
      <c r="AI28" s="308"/>
    </row>
    <row r="29" spans="1:35" s="307" customFormat="1" x14ac:dyDescent="0.25">
      <c r="B29" s="316">
        <v>2</v>
      </c>
      <c r="C29" s="317" t="s">
        <v>11</v>
      </c>
      <c r="D29" s="293">
        <f>'Rem. Anticipos R2'!E135</f>
        <v>101662098.10999998</v>
      </c>
      <c r="E29" s="294">
        <f>'Rem. Anticipos R2'!F135</f>
        <v>8605592.6300000008</v>
      </c>
      <c r="F29" s="294">
        <f>'Rem. Anticipos R2'!G135</f>
        <v>4936937.04</v>
      </c>
      <c r="G29" s="294">
        <f>'Rem. Anticipos R2'!H135</f>
        <v>1904352.16</v>
      </c>
      <c r="H29" s="294">
        <f>'Rem. Anticipos R2'!I135</f>
        <v>30991475.91</v>
      </c>
      <c r="I29" s="294">
        <f>'Rem. Anticipos R2'!J135</f>
        <v>1003353.51</v>
      </c>
      <c r="J29" s="290">
        <v>0</v>
      </c>
      <c r="K29" s="297">
        <f>D29-E29-F29-G29-H29-I29-J29</f>
        <v>54220386.859999992</v>
      </c>
      <c r="L29" s="296">
        <v>0</v>
      </c>
      <c r="M29" s="297">
        <f>K29-L29</f>
        <v>54220386.859999992</v>
      </c>
      <c r="N29" s="296">
        <f>'Rem. Anticipos R2'!K135</f>
        <v>51372.12</v>
      </c>
      <c r="O29" s="297">
        <f t="shared" ref="O29:O32" si="6">M29+N29</f>
        <v>54271758.979999989</v>
      </c>
      <c r="Q29" s="308"/>
      <c r="S29" s="316">
        <v>2</v>
      </c>
      <c r="T29" s="317" t="s">
        <v>11</v>
      </c>
      <c r="U29" s="318">
        <f>'Rem. Anticipos R2'!L135</f>
        <v>10643668.619999999</v>
      </c>
      <c r="V29" s="319">
        <f>'Rem. Anticipos R2'!M135</f>
        <v>9614716.0800000001</v>
      </c>
      <c r="W29" s="319">
        <f>'Rem. Anticipos R2'!N135</f>
        <v>40202706.43</v>
      </c>
      <c r="X29" s="319">
        <f>'Rem. Anticipos R2'!O135</f>
        <v>17542860.43</v>
      </c>
      <c r="Y29" s="320">
        <f>'Rem. Anticipos R2'!P135</f>
        <v>1379320.38</v>
      </c>
      <c r="Z29" s="321">
        <f>L29*-1</f>
        <v>0</v>
      </c>
      <c r="AA29" s="322">
        <f>'Rem. Anticipos R2'!Q135</f>
        <v>497.4</v>
      </c>
      <c r="AB29" s="296">
        <f>N29</f>
        <v>51372.12</v>
      </c>
      <c r="AC29" s="322">
        <f>'Rem. Anticipos R2'!R135</f>
        <v>0</v>
      </c>
      <c r="AD29" s="293">
        <f>-J29+AE29</f>
        <v>-25163382.48</v>
      </c>
      <c r="AE29" s="293">
        <f>'Rem. Anticipos R2'!E136</f>
        <v>-25163382.48</v>
      </c>
      <c r="AF29" s="324">
        <f>SUM(U29:AD29)</f>
        <v>54271758.980000004</v>
      </c>
      <c r="AG29" s="524">
        <f>(AF29-O29)</f>
        <v>1.4901161193847656E-8</v>
      </c>
      <c r="AH29" s="307" t="b">
        <f t="shared" ref="AH29:AH32" si="7">INT(AG29)=0</f>
        <v>1</v>
      </c>
      <c r="AI29" s="308"/>
    </row>
    <row r="30" spans="1:35" s="307" customFormat="1" x14ac:dyDescent="0.25">
      <c r="B30" s="316">
        <v>3</v>
      </c>
      <c r="C30" s="317" t="s">
        <v>12</v>
      </c>
      <c r="D30" s="293">
        <f>'Rem. Anticipos R2'!E248</f>
        <v>23583927.43</v>
      </c>
      <c r="E30" s="294">
        <f>'Rem. Anticipos R2'!F248</f>
        <v>1547938</v>
      </c>
      <c r="F30" s="294">
        <f>'Rem. Anticipos R2'!G248</f>
        <v>861396.51</v>
      </c>
      <c r="G30" s="294">
        <f>'Rem. Anticipos R2'!H248</f>
        <v>389140.56</v>
      </c>
      <c r="H30" s="294">
        <f>'Rem. Anticipos R2'!I248</f>
        <v>5713748.3200000003</v>
      </c>
      <c r="I30" s="294">
        <f>'Rem. Anticipos R2'!J248</f>
        <v>195637.95</v>
      </c>
      <c r="J30" s="290">
        <v>0</v>
      </c>
      <c r="K30" s="297">
        <f t="shared" ref="K30:K31" si="8">D30-E30-F30-G30-H30-I30-J30</f>
        <v>14876066.09</v>
      </c>
      <c r="L30" s="296">
        <v>0</v>
      </c>
      <c r="M30" s="297">
        <f>K30-L30</f>
        <v>14876066.09</v>
      </c>
      <c r="N30" s="296">
        <f>'Rem. Anticipos R2'!K248</f>
        <v>45286.42</v>
      </c>
      <c r="O30" s="297">
        <f t="shared" si="6"/>
        <v>14921352.51</v>
      </c>
      <c r="Q30" s="308"/>
      <c r="S30" s="316">
        <v>3</v>
      </c>
      <c r="T30" s="317" t="s">
        <v>12</v>
      </c>
      <c r="U30" s="318">
        <f>'Rem. Anticipos R2'!L248</f>
        <v>2152729</v>
      </c>
      <c r="V30" s="319">
        <f>'Rem. Anticipos R2'!M248</f>
        <v>1674276.08</v>
      </c>
      <c r="W30" s="319">
        <f>'Rem. Anticipos R2'!N248</f>
        <v>7520400.4699999997</v>
      </c>
      <c r="X30" s="319">
        <f>'Rem. Anticipos R2'!O248</f>
        <v>4675829.62</v>
      </c>
      <c r="Y30" s="320">
        <f>'Rem. Anticipos R2'!P248</f>
        <v>285203.71999999997</v>
      </c>
      <c r="Z30" s="321">
        <f>L30*-1</f>
        <v>0</v>
      </c>
      <c r="AA30" s="322">
        <f>'Rem. Anticipos R2'!Q248</f>
        <v>-187.1</v>
      </c>
      <c r="AB30" s="296">
        <f>N30</f>
        <v>45286.42</v>
      </c>
      <c r="AC30" s="322">
        <f>'Rem. Anticipos R2'!R248</f>
        <v>0</v>
      </c>
      <c r="AD30" s="293">
        <f t="shared" ref="AD30:AD32" si="9">-J30+AE30</f>
        <v>-1432185.7</v>
      </c>
      <c r="AE30" s="293">
        <f>'Rem. Anticipos R2'!E249</f>
        <v>-1432185.7</v>
      </c>
      <c r="AF30" s="324">
        <f>SUM(U30:AD30)</f>
        <v>14921352.510000004</v>
      </c>
      <c r="AG30" s="524">
        <f t="shared" ref="AG30:AG31" si="10">(AF30-O30)</f>
        <v>3.7252902984619141E-9</v>
      </c>
      <c r="AH30" s="307" t="b">
        <f t="shared" si="7"/>
        <v>1</v>
      </c>
      <c r="AI30" s="308"/>
    </row>
    <row r="31" spans="1:35" s="307" customFormat="1" x14ac:dyDescent="0.25">
      <c r="B31" s="316">
        <v>4</v>
      </c>
      <c r="C31" s="317" t="s">
        <v>13</v>
      </c>
      <c r="D31" s="293">
        <f>'Rem. Anticipos R2'!E344</f>
        <v>23548210.240000002</v>
      </c>
      <c r="E31" s="294">
        <f>'Rem. Anticipos R2'!F344</f>
        <v>1470007.37</v>
      </c>
      <c r="F31" s="294">
        <f>'Rem. Anticipos R2'!G344</f>
        <v>836215.45</v>
      </c>
      <c r="G31" s="294">
        <f>'Rem. Anticipos R2'!H344</f>
        <v>336141.94</v>
      </c>
      <c r="H31" s="294">
        <f>'Rem. Anticipos R2'!I344</f>
        <v>5278546.46</v>
      </c>
      <c r="I31" s="294">
        <f>'Rem. Anticipos R2'!J344</f>
        <v>193637.28</v>
      </c>
      <c r="J31" s="290">
        <v>0</v>
      </c>
      <c r="K31" s="297">
        <f t="shared" si="8"/>
        <v>15433661.74</v>
      </c>
      <c r="L31" s="296">
        <v>0</v>
      </c>
      <c r="M31" s="297">
        <f>K31-L31</f>
        <v>15433661.74</v>
      </c>
      <c r="N31" s="296">
        <f>'Rem. Anticipos R2'!K344</f>
        <v>0</v>
      </c>
      <c r="O31" s="297">
        <f t="shared" si="6"/>
        <v>15433661.74</v>
      </c>
      <c r="Q31" s="308"/>
      <c r="S31" s="316">
        <v>4</v>
      </c>
      <c r="T31" s="317" t="s">
        <v>13</v>
      </c>
      <c r="U31" s="318">
        <f>'Rem. Anticipos R2'!L344</f>
        <v>2124229.15</v>
      </c>
      <c r="V31" s="319">
        <f>'Rem. Anticipos R2'!M344</f>
        <v>1645598.99</v>
      </c>
      <c r="W31" s="319">
        <f>'Rem. Anticipos R2'!N344</f>
        <v>7267809.2599999998</v>
      </c>
      <c r="X31" s="319">
        <f>'Rem. Anticipos R2'!O344</f>
        <v>4237012.8600000003</v>
      </c>
      <c r="Y31" s="320">
        <f>'Rem. Anticipos R2'!P344</f>
        <v>279286.86</v>
      </c>
      <c r="Z31" s="321">
        <f>L31*-1</f>
        <v>0</v>
      </c>
      <c r="AA31" s="322">
        <f>'Rem. Anticipos R2'!Q344</f>
        <v>-108.3</v>
      </c>
      <c r="AB31" s="296">
        <f>N31</f>
        <v>0</v>
      </c>
      <c r="AC31" s="322">
        <f>'Rem. Anticipos R2'!R344</f>
        <v>0</v>
      </c>
      <c r="AD31" s="293">
        <f t="shared" si="9"/>
        <v>-120167.08</v>
      </c>
      <c r="AE31" s="293">
        <f>'Rem. Anticipos R2'!E345</f>
        <v>-120167.08</v>
      </c>
      <c r="AF31" s="324">
        <f>SUM(U31:AD31)</f>
        <v>15433661.739999996</v>
      </c>
      <c r="AG31" s="524">
        <f t="shared" si="10"/>
        <v>-3.7252902984619141E-9</v>
      </c>
      <c r="AH31" s="307" t="b">
        <f t="shared" si="7"/>
        <v>0</v>
      </c>
      <c r="AI31" s="308"/>
    </row>
    <row r="32" spans="1:35" s="307" customFormat="1" ht="12" thickBot="1" x14ac:dyDescent="0.3">
      <c r="B32" s="326">
        <v>5</v>
      </c>
      <c r="C32" s="327" t="s">
        <v>14</v>
      </c>
      <c r="D32" s="298">
        <f>'Rem. Anticipos R2'!E415</f>
        <v>27520060.710000001</v>
      </c>
      <c r="E32" s="299">
        <f>'Rem. Anticipos R2'!F415</f>
        <v>1572950.46</v>
      </c>
      <c r="F32" s="299">
        <f>'Rem. Anticipos R2'!G415</f>
        <v>893114.93</v>
      </c>
      <c r="G32" s="299">
        <f>'Rem. Anticipos R2'!H415</f>
        <v>439698.34</v>
      </c>
      <c r="H32" s="299">
        <f>'Rem. Anticipos R2'!I415</f>
        <v>6421366.71</v>
      </c>
      <c r="I32" s="299">
        <f>'Rem. Anticipos R2'!J415</f>
        <v>208412.06</v>
      </c>
      <c r="J32" s="291">
        <v>0</v>
      </c>
      <c r="K32" s="297">
        <f>D32-E32-F32-G32-H32-I32-J32</f>
        <v>17984518.210000001</v>
      </c>
      <c r="L32" s="296">
        <v>0</v>
      </c>
      <c r="M32" s="300">
        <f>K32-L32</f>
        <v>17984518.210000001</v>
      </c>
      <c r="N32" s="301">
        <f>'Rem. Anticipos R2'!K415</f>
        <v>0</v>
      </c>
      <c r="O32" s="300">
        <f t="shared" si="6"/>
        <v>17984518.210000001</v>
      </c>
      <c r="Q32" s="308"/>
      <c r="S32" s="326">
        <v>5</v>
      </c>
      <c r="T32" s="327" t="s">
        <v>14</v>
      </c>
      <c r="U32" s="298">
        <f>'Rem. Anticipos R2'!L415</f>
        <v>1987677.55</v>
      </c>
      <c r="V32" s="299">
        <f>'Rem. Anticipos R2'!M415</f>
        <v>1803263.41</v>
      </c>
      <c r="W32" s="299">
        <f>'Rem. Anticipos R2'!N415</f>
        <v>8986120.5099999998</v>
      </c>
      <c r="X32" s="299">
        <f>'Rem. Anticipos R2'!O415</f>
        <v>4947370.04</v>
      </c>
      <c r="Y32" s="291">
        <f>'Rem. Anticipos R2'!P415</f>
        <v>335190.24</v>
      </c>
      <c r="Z32" s="321">
        <f>L32*-1</f>
        <v>0</v>
      </c>
      <c r="AA32" s="322">
        <f>'Rem. Anticipos R2'!Q415</f>
        <v>-244.14</v>
      </c>
      <c r="AB32" s="296">
        <f>N32</f>
        <v>0</v>
      </c>
      <c r="AC32" s="322">
        <f>'Rem. Anticipos R2'!R415</f>
        <v>0</v>
      </c>
      <c r="AD32" s="293">
        <f t="shared" si="9"/>
        <v>-74859.399999999994</v>
      </c>
      <c r="AE32" s="293">
        <f>'Rem. Anticipos R2'!E416</f>
        <v>-74859.399999999994</v>
      </c>
      <c r="AF32" s="324">
        <f>SUM(U32:AD32)</f>
        <v>17984518.209999997</v>
      </c>
      <c r="AG32" s="525">
        <f>(AF32-O32)</f>
        <v>-3.7252902984619141E-9</v>
      </c>
      <c r="AH32" s="307" t="b">
        <f t="shared" si="7"/>
        <v>0</v>
      </c>
      <c r="AI32" s="308"/>
    </row>
    <row r="33" spans="1:35" s="307" customFormat="1" ht="13.5" thickBot="1" x14ac:dyDescent="0.35">
      <c r="B33" s="329"/>
      <c r="C33" s="330" t="s">
        <v>2</v>
      </c>
      <c r="D33" s="292">
        <f>SUM(D28:D32)</f>
        <v>211159250.63000003</v>
      </c>
      <c r="E33" s="292">
        <f>SUM(E28:E32)</f>
        <v>15061699.770000003</v>
      </c>
      <c r="F33" s="292">
        <f t="shared" ref="F33:O33" si="11">SUM(F28:F32)</f>
        <v>8533151.25</v>
      </c>
      <c r="G33" s="292">
        <f t="shared" ref="G33" si="12">SUM(G28:G32)</f>
        <v>3653145.15</v>
      </c>
      <c r="H33" s="292">
        <f t="shared" si="11"/>
        <v>53425529.970000006</v>
      </c>
      <c r="I33" s="292">
        <f t="shared" si="11"/>
        <v>1831415.8800000001</v>
      </c>
      <c r="J33" s="292">
        <f t="shared" si="11"/>
        <v>0</v>
      </c>
      <c r="K33" s="302">
        <f t="shared" si="11"/>
        <v>128654308.60999998</v>
      </c>
      <c r="L33" s="303">
        <f t="shared" si="11"/>
        <v>0</v>
      </c>
      <c r="M33" s="304">
        <f t="shared" si="11"/>
        <v>128654308.60999998</v>
      </c>
      <c r="N33" s="303">
        <f t="shared" si="11"/>
        <v>96658.540000000008</v>
      </c>
      <c r="O33" s="304">
        <f t="shared" si="11"/>
        <v>128750967.15000001</v>
      </c>
      <c r="P33" s="331"/>
      <c r="Q33" s="308"/>
      <c r="S33" s="329"/>
      <c r="T33" s="330" t="s">
        <v>2</v>
      </c>
      <c r="U33" s="332">
        <f>SUM(U28:U32)</f>
        <v>19415484.399999999</v>
      </c>
      <c r="V33" s="332">
        <f t="shared" ref="V33:AF33" si="13">SUM(V28:V32)</f>
        <v>17264239.309999999</v>
      </c>
      <c r="W33" s="332">
        <f t="shared" si="13"/>
        <v>76928488.770000011</v>
      </c>
      <c r="X33" s="332">
        <f t="shared" si="13"/>
        <v>36913128.960000001</v>
      </c>
      <c r="Y33" s="332">
        <f t="shared" si="13"/>
        <v>2648963.83</v>
      </c>
      <c r="Z33" s="292">
        <f t="shared" si="13"/>
        <v>0</v>
      </c>
      <c r="AA33" s="292">
        <f t="shared" si="13"/>
        <v>-64.11000000000007</v>
      </c>
      <c r="AB33" s="292">
        <f t="shared" si="13"/>
        <v>96658.540000000008</v>
      </c>
      <c r="AC33" s="292">
        <f t="shared" ref="AC33" si="14">SUM(AC28:AC32)</f>
        <v>0</v>
      </c>
      <c r="AD33" s="292">
        <f>SUM(AD28:AD32)</f>
        <v>-24515932.549999997</v>
      </c>
      <c r="AE33" s="292">
        <f>SUM(AE28:AE32)</f>
        <v>-24515932.549999997</v>
      </c>
      <c r="AF33" s="333">
        <f t="shared" si="13"/>
        <v>128750967.14999999</v>
      </c>
      <c r="AG33" s="526">
        <f t="shared" ref="AG33" si="15">SUM(AG28:AG32)</f>
        <v>3.7252902984619141E-9</v>
      </c>
      <c r="AH33" s="307" t="b">
        <f>INT(AG33)=0</f>
        <v>1</v>
      </c>
      <c r="AI33" s="308"/>
    </row>
    <row r="34" spans="1:35" ht="12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153170305.27000001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276"/>
      <c r="AH38" s="4"/>
      <c r="AI38" s="4"/>
    </row>
    <row r="39" spans="1:35" ht="12" thickBot="1" x14ac:dyDescent="0.3">
      <c r="Q39" s="4"/>
      <c r="AI39" s="4"/>
    </row>
    <row r="40" spans="1:35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74"/>
      <c r="AI40" s="4"/>
    </row>
    <row r="41" spans="1:35" ht="14" x14ac:dyDescent="0.3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74"/>
      <c r="AI41" s="4"/>
    </row>
    <row r="42" spans="1:35" ht="15.5" x14ac:dyDescent="0.3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74"/>
      <c r="AI42" s="4"/>
    </row>
    <row r="43" spans="1:35" ht="14" x14ac:dyDescent="0.3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74"/>
      <c r="AI43" s="4"/>
    </row>
    <row r="44" spans="1:35" ht="15.5" x14ac:dyDescent="0.35">
      <c r="B44" s="8"/>
      <c r="C44" s="590" t="s">
        <v>17</v>
      </c>
      <c r="D44" s="9">
        <f>D6</f>
        <v>46282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74"/>
      <c r="AI44" s="4"/>
    </row>
    <row r="45" spans="1:35" ht="12" thickBot="1" x14ac:dyDescent="0.3">
      <c r="B45" s="8"/>
      <c r="C45" s="590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74"/>
      <c r="AI45" s="4"/>
    </row>
    <row r="46" spans="1:35" ht="72" customHeight="1" thickBot="1" x14ac:dyDescent="0.3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21" t="s">
        <v>107</v>
      </c>
      <c r="AE46" s="121" t="s">
        <v>223</v>
      </c>
      <c r="AF46" s="39" t="s">
        <v>23</v>
      </c>
      <c r="AG46" s="275"/>
      <c r="AI46" s="4"/>
    </row>
    <row r="47" spans="1:35" s="307" customFormat="1" x14ac:dyDescent="0.25">
      <c r="B47" s="305">
        <v>1</v>
      </c>
      <c r="C47" s="306" t="s">
        <v>10</v>
      </c>
      <c r="D47" s="293">
        <f>'Reporte Componentes R1'!F49</f>
        <v>42680</v>
      </c>
      <c r="E47" s="294">
        <f>'Reporte Componentes R1'!G49</f>
        <v>2083.94</v>
      </c>
      <c r="F47" s="294">
        <f>'Reporte Componentes R1'!H49</f>
        <v>1161.1600000000001</v>
      </c>
      <c r="G47" s="294">
        <f>'Reporte Componentes R1'!I49</f>
        <v>617.55999999999995</v>
      </c>
      <c r="H47" s="294">
        <f>'Reporte Componentes R1'!J49</f>
        <v>10417.41</v>
      </c>
      <c r="I47" s="294">
        <f>'Reporte Componentes R1'!K49</f>
        <v>383.09</v>
      </c>
      <c r="J47" s="290">
        <v>0</v>
      </c>
      <c r="K47" s="295">
        <f>D47-E47-F47-G47-H47-I47-J47</f>
        <v>28016.839999999997</v>
      </c>
      <c r="L47" s="296">
        <v>0</v>
      </c>
      <c r="M47" s="295">
        <f>K47-L47</f>
        <v>28016.839999999997</v>
      </c>
      <c r="N47" s="296">
        <f>'Reporte Componentes R1'!L49</f>
        <v>0</v>
      </c>
      <c r="O47" s="295">
        <f>M47+N47</f>
        <v>28016.839999999997</v>
      </c>
      <c r="Q47" s="308"/>
      <c r="S47" s="305">
        <v>1</v>
      </c>
      <c r="T47" s="306" t="s">
        <v>10</v>
      </c>
      <c r="U47" s="309">
        <f>'Reporte Componentes R1'!M49</f>
        <v>3360.38</v>
      </c>
      <c r="V47" s="310">
        <f>'Reporte Componentes R1'!N49</f>
        <v>3220.93</v>
      </c>
      <c r="W47" s="310">
        <f>'Reporte Componentes R1'!O49</f>
        <v>15119.8</v>
      </c>
      <c r="X47" s="310">
        <f>'Reporte Componentes R1'!P49</f>
        <v>5691.76</v>
      </c>
      <c r="Y47" s="311">
        <f>'Reporte Componentes R1'!Q49</f>
        <v>625.03</v>
      </c>
      <c r="Z47" s="312">
        <f>-L47</f>
        <v>0</v>
      </c>
      <c r="AA47" s="322">
        <f>'Reporte Componentes R1'!R49+'Reporte Componentes R1'!V49+'Reporte Componentes R1'!U49</f>
        <v>-1.06</v>
      </c>
      <c r="AB47" s="296">
        <f>N47</f>
        <v>0</v>
      </c>
      <c r="AC47" s="313">
        <f>'Reporte Componentes R1'!T49+'Reporte Componentes R1'!W49+'Reporte Componentes R1'!X49+'Reporte Componentes R1'!Y49+'Reporte Componentes R1'!Z49+'Reporte Componentes R1'!S49</f>
        <v>0</v>
      </c>
      <c r="AD47" s="293">
        <f>-J47+AE47</f>
        <v>0</v>
      </c>
      <c r="AE47" s="293">
        <f>'Reporte Componentes R1'!F50</f>
        <v>0</v>
      </c>
      <c r="AF47" s="315">
        <f>SUM(U47:AD47)</f>
        <v>28016.84</v>
      </c>
      <c r="AG47" s="523">
        <f>(AF47-O47)</f>
        <v>3.637978807091713E-12</v>
      </c>
      <c r="AH47" s="307" t="b">
        <f>INT(AG47)=0</f>
        <v>1</v>
      </c>
      <c r="AI47" s="308"/>
    </row>
    <row r="48" spans="1:35" s="307" customFormat="1" x14ac:dyDescent="0.25">
      <c r="B48" s="316">
        <v>2</v>
      </c>
      <c r="C48" s="317" t="s">
        <v>11</v>
      </c>
      <c r="D48" s="293">
        <f>'Reporte Componentes R1'!F183</f>
        <v>0</v>
      </c>
      <c r="E48" s="294">
        <f>'Reporte Componentes R1'!G183</f>
        <v>0</v>
      </c>
      <c r="F48" s="294">
        <f>'Reporte Componentes R1'!H183</f>
        <v>0</v>
      </c>
      <c r="G48" s="294">
        <f>'Reporte Componentes R1'!I183</f>
        <v>0</v>
      </c>
      <c r="H48" s="294">
        <f>'Reporte Componentes R1'!J183</f>
        <v>0</v>
      </c>
      <c r="I48" s="294">
        <f>'Reporte Componentes R1'!K183</f>
        <v>0</v>
      </c>
      <c r="J48" s="290">
        <v>0</v>
      </c>
      <c r="K48" s="297">
        <f t="shared" ref="K48:K51" si="16">D48-E48-F48-G48-H48-I48-J48</f>
        <v>0</v>
      </c>
      <c r="L48" s="296">
        <v>0</v>
      </c>
      <c r="M48" s="297">
        <f>K48-L48</f>
        <v>0</v>
      </c>
      <c r="N48" s="296">
        <f>'Reporte Componentes R1'!L183</f>
        <v>0</v>
      </c>
      <c r="O48" s="297">
        <f t="shared" ref="O48:O51" si="17">M48+N48</f>
        <v>0</v>
      </c>
      <c r="Q48" s="308"/>
      <c r="S48" s="316">
        <v>2</v>
      </c>
      <c r="T48" s="317" t="s">
        <v>11</v>
      </c>
      <c r="U48" s="318">
        <f>'Reporte Componentes R1'!M183</f>
        <v>0</v>
      </c>
      <c r="V48" s="319">
        <f>'Reporte Componentes R1'!N183</f>
        <v>0</v>
      </c>
      <c r="W48" s="319">
        <f>'Reporte Componentes R1'!O183</f>
        <v>0</v>
      </c>
      <c r="X48" s="319">
        <f>'Reporte Componentes R1'!P183</f>
        <v>0</v>
      </c>
      <c r="Y48" s="320">
        <f>'Reporte Componentes R1'!Q183</f>
        <v>0</v>
      </c>
      <c r="Z48" s="321">
        <f>-L48</f>
        <v>0</v>
      </c>
      <c r="AA48" s="322">
        <f>'Reporte Componentes R1'!R183+'Reporte Componentes R1'!V183+'Reporte Componentes R1'!U183</f>
        <v>0</v>
      </c>
      <c r="AB48" s="296">
        <f>N48</f>
        <v>0</v>
      </c>
      <c r="AC48" s="322">
        <f>'Reporte Componentes R1'!T183+'Reporte Componentes R1'!W183+'Reporte Componentes R1'!X183+'Reporte Componentes R1'!Y183+'Reporte Componentes R1'!Z183+'Reporte Componentes R1'!S183</f>
        <v>0</v>
      </c>
      <c r="AD48" s="293">
        <f t="shared" ref="AD48:AD51" si="18">-J48+AE48</f>
        <v>0</v>
      </c>
      <c r="AE48" s="293">
        <f>'Reporte Componentes R1'!F184</f>
        <v>0</v>
      </c>
      <c r="AF48" s="324">
        <f>SUM(U48:AD48)</f>
        <v>0</v>
      </c>
      <c r="AG48" s="524">
        <f>(AF48-O48)</f>
        <v>0</v>
      </c>
      <c r="AH48" s="307" t="b">
        <f t="shared" ref="AH48:AH51" si="19">INT(AG48)=0</f>
        <v>1</v>
      </c>
      <c r="AI48" s="308"/>
    </row>
    <row r="49" spans="1:35" s="307" customFormat="1" x14ac:dyDescent="0.25">
      <c r="B49" s="316">
        <v>3</v>
      </c>
      <c r="C49" s="317" t="s">
        <v>12</v>
      </c>
      <c r="D49" s="293">
        <f>'Reporte Componentes R1'!F327</f>
        <v>169120</v>
      </c>
      <c r="E49" s="294">
        <f>'Reporte Componentes R1'!G327</f>
        <v>9182.42</v>
      </c>
      <c r="F49" s="294">
        <f>'Reporte Componentes R1'!H327</f>
        <v>5162.6400000000003</v>
      </c>
      <c r="G49" s="294">
        <f>'Reporte Componentes R1'!I327</f>
        <v>2721.2</v>
      </c>
      <c r="H49" s="294">
        <f>'Reporte Componentes R1'!J327</f>
        <v>52890.57</v>
      </c>
      <c r="I49" s="294">
        <f>'Reporte Componentes R1'!K327</f>
        <v>1377.07</v>
      </c>
      <c r="J49" s="290">
        <v>0</v>
      </c>
      <c r="K49" s="297">
        <f t="shared" si="16"/>
        <v>97786.099999999948</v>
      </c>
      <c r="L49" s="296">
        <v>0</v>
      </c>
      <c r="M49" s="297">
        <f>K49-L49</f>
        <v>97786.099999999948</v>
      </c>
      <c r="N49" s="296">
        <f>'Reporte Componentes R1'!L327</f>
        <v>0</v>
      </c>
      <c r="O49" s="297">
        <f t="shared" si="17"/>
        <v>97786.099999999948</v>
      </c>
      <c r="Q49" s="308"/>
      <c r="S49" s="316">
        <v>3</v>
      </c>
      <c r="T49" s="317" t="s">
        <v>12</v>
      </c>
      <c r="U49" s="318">
        <f>'Reporte Componentes R1'!M327</f>
        <v>12079.7</v>
      </c>
      <c r="V49" s="319">
        <f>'Reporte Componentes R1'!N327</f>
        <v>16023.47</v>
      </c>
      <c r="W49" s="319">
        <f>'Reporte Componentes R1'!O327</f>
        <v>75525.460000000006</v>
      </c>
      <c r="X49" s="319">
        <f>'Reporte Componentes R1'!P327</f>
        <v>21576.6</v>
      </c>
      <c r="Y49" s="320">
        <f>'Reporte Componentes R1'!Q327</f>
        <v>2246.83</v>
      </c>
      <c r="Z49" s="321">
        <f>-L49</f>
        <v>0</v>
      </c>
      <c r="AA49" s="322">
        <f>'Reporte Componentes R1'!R327+'Reporte Componentes R1'!V327+'Reporte Componentes R1'!U327</f>
        <v>-4.8899999999999997</v>
      </c>
      <c r="AB49" s="296">
        <f>N49</f>
        <v>0</v>
      </c>
      <c r="AC49" s="322">
        <f>'Reporte Componentes R1'!T327+'Reporte Componentes R1'!W327+'Reporte Componentes R1'!X327+'Reporte Componentes R1'!Y327+'Reporte Componentes R1'!Z327+'Reporte Componentes R1'!S327</f>
        <v>0</v>
      </c>
      <c r="AD49" s="293">
        <f t="shared" si="18"/>
        <v>-29661.07</v>
      </c>
      <c r="AE49" s="293">
        <f>'Reporte Componentes R1'!F328</f>
        <v>-29661.07</v>
      </c>
      <c r="AF49" s="324">
        <f t="shared" ref="AF49:AF51" si="20">SUM(U49:AD49)</f>
        <v>97786.1</v>
      </c>
      <c r="AG49" s="524">
        <f t="shared" ref="AG49:AG51" si="21">(AF49-O49)</f>
        <v>5.8207660913467407E-11</v>
      </c>
      <c r="AH49" s="307" t="b">
        <f t="shared" si="19"/>
        <v>1</v>
      </c>
      <c r="AI49" s="308"/>
    </row>
    <row r="50" spans="1:35" s="307" customFormat="1" x14ac:dyDescent="0.25">
      <c r="B50" s="316">
        <v>4</v>
      </c>
      <c r="C50" s="317" t="s">
        <v>13</v>
      </c>
      <c r="D50" s="293">
        <f>'Reporte Componentes R1'!F460</f>
        <v>8635714</v>
      </c>
      <c r="E50" s="294">
        <f>'Reporte Componentes R1'!G460</f>
        <v>521617.57</v>
      </c>
      <c r="F50" s="294">
        <f>'Reporte Componentes R1'!H460</f>
        <v>295276.31</v>
      </c>
      <c r="G50" s="294">
        <f>'Reporte Componentes R1'!I460</f>
        <v>158970.97</v>
      </c>
      <c r="H50" s="294">
        <f>'Reporte Componentes R1'!J460</f>
        <v>1910496.63</v>
      </c>
      <c r="I50" s="294">
        <f>'Reporte Componentes R1'!K460</f>
        <v>53118.02</v>
      </c>
      <c r="J50" s="290">
        <v>0</v>
      </c>
      <c r="K50" s="297">
        <f t="shared" si="16"/>
        <v>5696234.5000000009</v>
      </c>
      <c r="L50" s="296">
        <v>0</v>
      </c>
      <c r="M50" s="297">
        <f>K50-L50</f>
        <v>5696234.5000000009</v>
      </c>
      <c r="N50" s="296">
        <f>'Reporte Componentes R1'!L460</f>
        <v>0</v>
      </c>
      <c r="O50" s="297">
        <f t="shared" si="17"/>
        <v>5696234.5000000009</v>
      </c>
      <c r="Q50" s="308"/>
      <c r="S50" s="316">
        <v>4</v>
      </c>
      <c r="T50" s="317" t="s">
        <v>13</v>
      </c>
      <c r="U50" s="318">
        <f>'Reporte Componentes R1'!M460</f>
        <v>465949.63</v>
      </c>
      <c r="V50" s="319">
        <f>'Reporte Componentes R1'!N460</f>
        <v>593731.16</v>
      </c>
      <c r="W50" s="319">
        <f>'Reporte Componentes R1'!O460</f>
        <v>3012620.79</v>
      </c>
      <c r="X50" s="319">
        <f>'Reporte Componentes R1'!P460</f>
        <v>1391474.98</v>
      </c>
      <c r="Y50" s="320">
        <f>'Reporte Componentes R1'!Q460</f>
        <v>87879.79</v>
      </c>
      <c r="Z50" s="321">
        <f>-L50</f>
        <v>0</v>
      </c>
      <c r="AA50" s="322">
        <f>'Reporte Componentes R1'!R460+'Reporte Componentes R1'!V460+'Reporte Componentes R1'!U460</f>
        <v>-15.83</v>
      </c>
      <c r="AB50" s="296">
        <f>N50</f>
        <v>0</v>
      </c>
      <c r="AC50" s="322">
        <f>'Reporte Componentes R1'!T460+'Reporte Componentes R1'!W460+'Reporte Componentes R1'!X460+'Reporte Componentes R1'!Y460+'Reporte Componentes R1'!Z460+'Reporte Componentes R1'!S460</f>
        <v>0</v>
      </c>
      <c r="AD50" s="293">
        <f t="shared" si="18"/>
        <v>144593.98000000001</v>
      </c>
      <c r="AE50" s="293">
        <f>'Reporte Componentes R1'!F461</f>
        <v>144593.98000000001</v>
      </c>
      <c r="AF50" s="324">
        <f t="shared" si="20"/>
        <v>5696234.5000000009</v>
      </c>
      <c r="AG50" s="524">
        <f t="shared" si="21"/>
        <v>0</v>
      </c>
      <c r="AH50" s="307" t="b">
        <f t="shared" si="19"/>
        <v>1</v>
      </c>
      <c r="AI50" s="308"/>
    </row>
    <row r="51" spans="1:35" s="307" customFormat="1" ht="12" thickBot="1" x14ac:dyDescent="0.3">
      <c r="B51" s="326">
        <v>5</v>
      </c>
      <c r="C51" s="327" t="s">
        <v>14</v>
      </c>
      <c r="D51" s="298">
        <f>'Reporte Componentes R1'!F554</f>
        <v>61140</v>
      </c>
      <c r="E51" s="299">
        <f>'Reporte Componentes R1'!G554</f>
        <v>2566.4299999999998</v>
      </c>
      <c r="F51" s="299">
        <f>'Reporte Componentes R1'!H554</f>
        <v>1430.01</v>
      </c>
      <c r="G51" s="299">
        <f>'Reporte Componentes R1'!I554</f>
        <v>760.56</v>
      </c>
      <c r="H51" s="299">
        <f>'Reporte Componentes R1'!J554</f>
        <v>11744.12</v>
      </c>
      <c r="I51" s="299">
        <f>'Reporte Componentes R1'!K554</f>
        <v>584.9</v>
      </c>
      <c r="J51" s="291">
        <v>0</v>
      </c>
      <c r="K51" s="297">
        <f t="shared" si="16"/>
        <v>44053.979999999996</v>
      </c>
      <c r="L51" s="296">
        <v>0</v>
      </c>
      <c r="M51" s="300">
        <f>K51-L51</f>
        <v>44053.979999999996</v>
      </c>
      <c r="N51" s="301">
        <f>'Reporte Componentes R1'!L554</f>
        <v>0</v>
      </c>
      <c r="O51" s="300">
        <f t="shared" si="17"/>
        <v>44053.979999999996</v>
      </c>
      <c r="Q51" s="308"/>
      <c r="S51" s="326">
        <v>5</v>
      </c>
      <c r="T51" s="327" t="s">
        <v>14</v>
      </c>
      <c r="U51" s="298">
        <f>'Reporte Componentes R1'!M554</f>
        <v>5130.67</v>
      </c>
      <c r="V51" s="299">
        <f>'Reporte Componentes R1'!N554</f>
        <v>5018.8999999999996</v>
      </c>
      <c r="W51" s="299">
        <f>'Reporte Componentes R1'!O554</f>
        <v>25484.97</v>
      </c>
      <c r="X51" s="299">
        <f>'Reporte Componentes R1'!P554</f>
        <v>7649.02</v>
      </c>
      <c r="Y51" s="291">
        <f>'Reporte Componentes R1'!Q554</f>
        <v>954.31</v>
      </c>
      <c r="Z51" s="321">
        <f>-L51</f>
        <v>0</v>
      </c>
      <c r="AA51" s="322">
        <f>'Reporte Componentes R1'!R554+'Reporte Componentes R1'!V554+'Reporte Componentes R1'!U554</f>
        <v>-4.74</v>
      </c>
      <c r="AB51" s="296">
        <f>N51</f>
        <v>0</v>
      </c>
      <c r="AC51" s="322">
        <f>'Reporte Componentes R1'!T554+'Reporte Componentes R1'!W554+'Reporte Componentes R1'!X554+'Reporte Componentes R1'!Y554+'Reporte Componentes R1'!Z554+'Reporte Componentes R1'!S554</f>
        <v>0</v>
      </c>
      <c r="AD51" s="293">
        <f t="shared" si="18"/>
        <v>-179.15</v>
      </c>
      <c r="AE51" s="293">
        <f>'Reporte Componentes R1'!F555</f>
        <v>-179.15</v>
      </c>
      <c r="AF51" s="324">
        <f t="shared" si="20"/>
        <v>44053.979999999996</v>
      </c>
      <c r="AG51" s="525">
        <f t="shared" si="21"/>
        <v>0</v>
      </c>
      <c r="AH51" s="307" t="b">
        <f t="shared" si="19"/>
        <v>1</v>
      </c>
      <c r="AI51" s="308"/>
    </row>
    <row r="52" spans="1:35" s="307" customFormat="1" ht="13.5" thickBot="1" x14ac:dyDescent="0.35">
      <c r="B52" s="329"/>
      <c r="C52" s="330" t="s">
        <v>2</v>
      </c>
      <c r="D52" s="292">
        <f t="shared" ref="D52:O52" si="22">SUM(D47:D51)</f>
        <v>8908654</v>
      </c>
      <c r="E52" s="292">
        <f t="shared" si="22"/>
        <v>535450.3600000001</v>
      </c>
      <c r="F52" s="292">
        <f t="shared" si="22"/>
        <v>303030.12</v>
      </c>
      <c r="G52" s="292">
        <f t="shared" ref="G52" si="23">SUM(G47:G51)</f>
        <v>163070.29</v>
      </c>
      <c r="H52" s="292">
        <f t="shared" si="22"/>
        <v>1985548.73</v>
      </c>
      <c r="I52" s="292">
        <f t="shared" si="22"/>
        <v>55463.079999999994</v>
      </c>
      <c r="J52" s="292">
        <f t="shared" si="22"/>
        <v>0</v>
      </c>
      <c r="K52" s="302">
        <f t="shared" si="22"/>
        <v>5866091.4200000018</v>
      </c>
      <c r="L52" s="303">
        <f t="shared" si="22"/>
        <v>0</v>
      </c>
      <c r="M52" s="304">
        <f t="shared" si="22"/>
        <v>5866091.4200000018</v>
      </c>
      <c r="N52" s="303">
        <f t="shared" si="22"/>
        <v>0</v>
      </c>
      <c r="O52" s="304">
        <f t="shared" si="22"/>
        <v>5866091.4200000018</v>
      </c>
      <c r="P52" s="331"/>
      <c r="Q52" s="308"/>
      <c r="S52" s="329"/>
      <c r="T52" s="330" t="s">
        <v>2</v>
      </c>
      <c r="U52" s="332">
        <f>SUM(U47:U51)</f>
        <v>486520.38</v>
      </c>
      <c r="V52" s="332">
        <f t="shared" ref="V52:AG52" si="24">SUM(V47:V51)</f>
        <v>617994.46000000008</v>
      </c>
      <c r="W52" s="332">
        <f t="shared" si="24"/>
        <v>3128751.02</v>
      </c>
      <c r="X52" s="332">
        <f t="shared" si="24"/>
        <v>1426392.36</v>
      </c>
      <c r="Y52" s="332">
        <f t="shared" si="24"/>
        <v>91705.959999999992</v>
      </c>
      <c r="Z52" s="292">
        <f t="shared" si="24"/>
        <v>0</v>
      </c>
      <c r="AA52" s="292">
        <f t="shared" si="24"/>
        <v>-26.520000000000003</v>
      </c>
      <c r="AB52" s="292">
        <f t="shared" si="24"/>
        <v>0</v>
      </c>
      <c r="AC52" s="292">
        <f t="shared" si="24"/>
        <v>0</v>
      </c>
      <c r="AD52" s="292">
        <f>SUM(AD47:AD51)</f>
        <v>114753.76000000001</v>
      </c>
      <c r="AE52" s="292">
        <f>SUM(AE47:AE51)</f>
        <v>114753.76000000001</v>
      </c>
      <c r="AF52" s="333">
        <f t="shared" si="24"/>
        <v>5866091.4200000018</v>
      </c>
      <c r="AG52" s="526">
        <f t="shared" si="24"/>
        <v>6.184563972055912E-11</v>
      </c>
      <c r="AH52" s="307" t="b">
        <f>INT(AG52)=0</f>
        <v>1</v>
      </c>
      <c r="AI52" s="308"/>
    </row>
    <row r="53" spans="1:35" ht="12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5751364.1800000006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276"/>
      <c r="AH57" s="4"/>
      <c r="AI57" s="4"/>
    </row>
    <row r="58" spans="1:35" ht="12" thickBot="1" x14ac:dyDescent="0.3">
      <c r="Q58" s="4"/>
      <c r="AI58" s="4"/>
    </row>
    <row r="59" spans="1:35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74"/>
      <c r="AI59" s="4"/>
    </row>
    <row r="60" spans="1:35" ht="14" x14ac:dyDescent="0.3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74"/>
      <c r="AI60" s="4"/>
    </row>
    <row r="61" spans="1:35" ht="15.5" x14ac:dyDescent="0.3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74"/>
      <c r="AI61" s="4"/>
    </row>
    <row r="62" spans="1:35" ht="14" x14ac:dyDescent="0.3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74"/>
      <c r="AI62" s="4"/>
    </row>
    <row r="63" spans="1:35" ht="15.5" x14ac:dyDescent="0.35">
      <c r="B63" s="8"/>
      <c r="C63" s="590" t="s">
        <v>17</v>
      </c>
      <c r="D63" s="9">
        <f>D6</f>
        <v>46282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74"/>
      <c r="AI63" s="4"/>
    </row>
    <row r="64" spans="1:35" ht="12" thickBot="1" x14ac:dyDescent="0.3">
      <c r="B64" s="8"/>
      <c r="C64" s="590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74"/>
      <c r="AI64" s="4"/>
    </row>
    <row r="65" spans="1:35" ht="72" customHeight="1" thickBot="1" x14ac:dyDescent="0.3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21" t="s">
        <v>107</v>
      </c>
      <c r="AE65" s="121" t="s">
        <v>223</v>
      </c>
      <c r="AF65" s="39" t="s">
        <v>23</v>
      </c>
      <c r="AG65" s="275"/>
      <c r="AI65" s="4"/>
    </row>
    <row r="66" spans="1:35" s="307" customFormat="1" x14ac:dyDescent="0.25">
      <c r="B66" s="305">
        <v>1</v>
      </c>
      <c r="C66" s="306" t="s">
        <v>10</v>
      </c>
      <c r="D66" s="293">
        <f>'Reversion Pagos R4'!D71</f>
        <v>-3544507.29</v>
      </c>
      <c r="E66" s="294">
        <f>'Reversion Pagos R4'!E71</f>
        <v>-219031.92</v>
      </c>
      <c r="F66" s="294">
        <f>'Reversion Pagos R4'!F71</f>
        <v>-117594.76</v>
      </c>
      <c r="G66" s="294">
        <f>'Reversion Pagos R4'!G71</f>
        <v>-63004.75</v>
      </c>
      <c r="H66" s="294">
        <f>'Reversion Pagos R4'!H71</f>
        <v>-1190187.3899999999</v>
      </c>
      <c r="I66" s="294">
        <f>'Reversion Pagos R4'!I71</f>
        <v>-45698.67</v>
      </c>
      <c r="J66" s="290">
        <v>0</v>
      </c>
      <c r="K66" s="295">
        <f>D66-E66-F66-G66-H66-I66-J66</f>
        <v>-1908989.8000000005</v>
      </c>
      <c r="L66" s="296">
        <v>0</v>
      </c>
      <c r="M66" s="295">
        <f>K66-L66</f>
        <v>-1908989.8000000005</v>
      </c>
      <c r="N66" s="296">
        <f>'Reversion Pagos R4'!P71</f>
        <v>0</v>
      </c>
      <c r="O66" s="295">
        <f>M66+N66</f>
        <v>-1908989.8000000005</v>
      </c>
      <c r="Q66" s="308"/>
      <c r="S66" s="305">
        <v>1</v>
      </c>
      <c r="T66" s="306" t="s">
        <v>10</v>
      </c>
      <c r="U66" s="309">
        <f>'Reversion Pagos R4'!J71</f>
        <v>-400863.95999999996</v>
      </c>
      <c r="V66" s="310">
        <f>'Reversion Pagos R4'!K71</f>
        <v>-377006.69999999995</v>
      </c>
      <c r="W66" s="310">
        <f>'Reversion Pagos R4'!L71</f>
        <v>-1788474</v>
      </c>
      <c r="X66" s="310">
        <f>'Reversion Pagos R4'!M71</f>
        <v>-573353.78</v>
      </c>
      <c r="Y66" s="310">
        <f>'Reversion Pagos R4'!N71</f>
        <v>-73936.2</v>
      </c>
      <c r="Z66" s="312">
        <f>-L66</f>
        <v>0</v>
      </c>
      <c r="AA66" s="322">
        <f>'Reversion Pagos R4'!O71</f>
        <v>10.66</v>
      </c>
      <c r="AB66" s="296">
        <f>N66</f>
        <v>0</v>
      </c>
      <c r="AC66" s="322">
        <f>+'Reversion Pagos R4'!Q71+'Reversion Pagos R4'!R71</f>
        <v>0</v>
      </c>
      <c r="AD66" s="293">
        <f>-J66+AE66</f>
        <v>1304634.18</v>
      </c>
      <c r="AE66" s="293">
        <f>'Reversion Pagos R4'!D72</f>
        <v>1304634.18</v>
      </c>
      <c r="AF66" s="315">
        <f>SUM(U66:AD66)</f>
        <v>-1908989.8000000005</v>
      </c>
      <c r="AG66" s="523">
        <f>(AF66-O66)</f>
        <v>0</v>
      </c>
      <c r="AH66" s="307" t="b">
        <f>INT(AG66)=0</f>
        <v>1</v>
      </c>
      <c r="AI66" s="308"/>
    </row>
    <row r="67" spans="1:35" s="307" customFormat="1" x14ac:dyDescent="0.25">
      <c r="B67" s="316">
        <v>2</v>
      </c>
      <c r="C67" s="317" t="s">
        <v>11</v>
      </c>
      <c r="D67" s="293">
        <f>'Reversion Pagos R4'!D160</f>
        <v>-8713102.3699999992</v>
      </c>
      <c r="E67" s="294">
        <f>'Reversion Pagos R4'!E160</f>
        <v>-566211.69999999995</v>
      </c>
      <c r="F67" s="294">
        <f>'Reversion Pagos R4'!F160</f>
        <v>-318239.98</v>
      </c>
      <c r="G67" s="294">
        <f>'Reversion Pagos R4'!G160</f>
        <v>-167439.25</v>
      </c>
      <c r="H67" s="294">
        <f>'Reversion Pagos R4'!H160</f>
        <v>-2642163.0499999998</v>
      </c>
      <c r="I67" s="294">
        <f>'Reversion Pagos R4'!I160</f>
        <v>-90052.6</v>
      </c>
      <c r="J67" s="290">
        <v>0</v>
      </c>
      <c r="K67" s="297">
        <f t="shared" ref="K67:K70" si="25">D67-E67-F67-G67-H67-I67-J67</f>
        <v>-4928995.79</v>
      </c>
      <c r="L67" s="296">
        <v>0</v>
      </c>
      <c r="M67" s="297">
        <f>K67-L67</f>
        <v>-4928995.79</v>
      </c>
      <c r="N67" s="296">
        <f>'Reversion Pagos R4'!P160</f>
        <v>-26500</v>
      </c>
      <c r="O67" s="297">
        <f t="shared" ref="O67:O70" si="26">M67+N67</f>
        <v>-4955495.79</v>
      </c>
      <c r="Q67" s="308"/>
      <c r="S67" s="316">
        <v>2</v>
      </c>
      <c r="T67" s="317" t="s">
        <v>11</v>
      </c>
      <c r="U67" s="318">
        <f>'Reversion Pagos R4'!J160</f>
        <v>-789932.39</v>
      </c>
      <c r="V67" s="319">
        <f>'Reversion Pagos R4'!K160</f>
        <v>-770822.52</v>
      </c>
      <c r="W67" s="319">
        <f>'Reversion Pagos R4'!L160</f>
        <v>-3654042.78</v>
      </c>
      <c r="X67" s="319">
        <f>'Reversion Pagos R4'!M160</f>
        <v>-1114650.32</v>
      </c>
      <c r="Y67" s="320">
        <f>'Reversion Pagos R4'!N160</f>
        <v>-146927.71</v>
      </c>
      <c r="Z67" s="321">
        <f t="shared" ref="Z67:Z70" si="27">-L67</f>
        <v>0</v>
      </c>
      <c r="AA67" s="322">
        <f>'Reversion Pagos R4'!O160</f>
        <v>4.09</v>
      </c>
      <c r="AB67" s="296">
        <f t="shared" ref="AB67:AB70" si="28">N67</f>
        <v>-26500</v>
      </c>
      <c r="AC67" s="322">
        <f>+'Reversion Pagos R4'!Q160+'Reversion Pagos R4'!R160</f>
        <v>0</v>
      </c>
      <c r="AD67" s="293">
        <f>-J67+AE67</f>
        <v>1547375.84</v>
      </c>
      <c r="AE67" s="293">
        <f>'Reversion Pagos R4'!D161</f>
        <v>1547375.84</v>
      </c>
      <c r="AF67" s="324">
        <f>SUM(U67:AD67)</f>
        <v>-4955495.79</v>
      </c>
      <c r="AG67" s="524">
        <f>(AF67-O67)</f>
        <v>0</v>
      </c>
      <c r="AH67" s="307" t="b">
        <f t="shared" ref="AH67:AH70" si="29">INT(AG67)=0</f>
        <v>1</v>
      </c>
      <c r="AI67" s="308"/>
    </row>
    <row r="68" spans="1:35" s="307" customFormat="1" x14ac:dyDescent="0.25">
      <c r="B68" s="316">
        <v>3</v>
      </c>
      <c r="C68" s="317" t="s">
        <v>12</v>
      </c>
      <c r="D68" s="293">
        <f>'Reversion Pagos R4'!D196</f>
        <v>-6125983.8899999997</v>
      </c>
      <c r="E68" s="294">
        <f>'Reversion Pagos R4'!E196</f>
        <v>-331141.74</v>
      </c>
      <c r="F68" s="294">
        <f>'Reversion Pagos R4'!F196</f>
        <v>-186760.31999999998</v>
      </c>
      <c r="G68" s="294">
        <f>'Reversion Pagos R4'!G196</f>
        <v>-98282.84</v>
      </c>
      <c r="H68" s="294">
        <f>'Reversion Pagos R4'!H196</f>
        <v>-2019437.33</v>
      </c>
      <c r="I68" s="294">
        <f>'Reversion Pagos R4'!I196</f>
        <v>-59765.73</v>
      </c>
      <c r="J68" s="290">
        <v>0</v>
      </c>
      <c r="K68" s="297">
        <f t="shared" si="25"/>
        <v>-3430595.9299999992</v>
      </c>
      <c r="L68" s="296">
        <v>0</v>
      </c>
      <c r="M68" s="297">
        <f>K68-L68</f>
        <v>-3430595.9299999992</v>
      </c>
      <c r="N68" s="296">
        <f>'Reversion Pagos R4'!P196</f>
        <v>0</v>
      </c>
      <c r="O68" s="297">
        <f t="shared" si="26"/>
        <v>-3430595.9299999992</v>
      </c>
      <c r="Q68" s="308"/>
      <c r="S68" s="316">
        <v>3</v>
      </c>
      <c r="T68" s="317" t="s">
        <v>12</v>
      </c>
      <c r="U68" s="318">
        <f>'Reversion Pagos R4'!J196</f>
        <v>-521004.73000000004</v>
      </c>
      <c r="V68" s="319">
        <f>'Reversion Pagos R4'!K196</f>
        <v>-508266.77999999997</v>
      </c>
      <c r="W68" s="319">
        <f>'Reversion Pagos R4'!L196</f>
        <v>-2407798.73</v>
      </c>
      <c r="X68" s="319">
        <f>'Reversion Pagos R4'!M196</f>
        <v>-780590.23</v>
      </c>
      <c r="Y68" s="320">
        <f>'Reversion Pagos R4'!N196</f>
        <v>-97513.12999999999</v>
      </c>
      <c r="Z68" s="321">
        <f t="shared" si="27"/>
        <v>0</v>
      </c>
      <c r="AA68" s="322">
        <f>'Reversion Pagos R4'!O196</f>
        <v>-29.009999999999998</v>
      </c>
      <c r="AB68" s="296">
        <f t="shared" si="28"/>
        <v>0</v>
      </c>
      <c r="AC68" s="322">
        <f>+'Reversion Pagos R4'!Q196+'Reversion Pagos R4'!R196</f>
        <v>0</v>
      </c>
      <c r="AD68" s="293">
        <f t="shared" ref="AD68:AD69" si="30">-J68+AE68</f>
        <v>884606.67999999993</v>
      </c>
      <c r="AE68" s="293">
        <f>'Reversion Pagos R4'!D197</f>
        <v>884606.67999999993</v>
      </c>
      <c r="AF68" s="324">
        <f t="shared" ref="AF68:AF70" si="31">SUM(U68:AD68)</f>
        <v>-3430595.9300000006</v>
      </c>
      <c r="AG68" s="524">
        <f t="shared" ref="AG68:AG70" si="32">(AF68-O68)</f>
        <v>-1.3969838619232178E-9</v>
      </c>
      <c r="AH68" s="307" t="b">
        <f t="shared" si="29"/>
        <v>0</v>
      </c>
      <c r="AI68" s="308"/>
    </row>
    <row r="69" spans="1:35" s="307" customFormat="1" x14ac:dyDescent="0.25">
      <c r="B69" s="316">
        <v>4</v>
      </c>
      <c r="C69" s="317" t="s">
        <v>13</v>
      </c>
      <c r="D69" s="293">
        <f>'Reversion Pagos R4'!D310</f>
        <v>-22250059.780000001</v>
      </c>
      <c r="E69" s="294">
        <f>'Reversion Pagos R4'!E310</f>
        <v>-1367674.67</v>
      </c>
      <c r="F69" s="294">
        <f>'Reversion Pagos R4'!F310</f>
        <v>-719170.4</v>
      </c>
      <c r="G69" s="294">
        <f>'Reversion Pagos R4'!G310</f>
        <v>-382313.94</v>
      </c>
      <c r="H69" s="294">
        <f>'Reversion Pagos R4'!H310</f>
        <v>-5113171.58</v>
      </c>
      <c r="I69" s="294">
        <f>'Reversion Pagos R4'!I310</f>
        <v>-183488.2</v>
      </c>
      <c r="J69" s="290">
        <v>0</v>
      </c>
      <c r="K69" s="297">
        <f t="shared" si="25"/>
        <v>-14484240.99</v>
      </c>
      <c r="L69" s="296">
        <v>0</v>
      </c>
      <c r="M69" s="297">
        <f>K69-L69</f>
        <v>-14484240.99</v>
      </c>
      <c r="N69" s="296">
        <f>'Reversion Pagos R4'!P310</f>
        <v>0</v>
      </c>
      <c r="O69" s="297">
        <f t="shared" si="26"/>
        <v>-14484240.99</v>
      </c>
      <c r="Q69" s="308"/>
      <c r="S69" s="316">
        <v>4</v>
      </c>
      <c r="T69" s="317" t="s">
        <v>13</v>
      </c>
      <c r="U69" s="318">
        <f>'Reversion Pagos R4'!J310</f>
        <v>-1619246.4100000001</v>
      </c>
      <c r="V69" s="319">
        <f>'Reversion Pagos R4'!K310</f>
        <v>-1602973.43</v>
      </c>
      <c r="W69" s="319">
        <f>'Reversion Pagos R4'!L310</f>
        <v>-8034602.9399999995</v>
      </c>
      <c r="X69" s="319">
        <f>'Reversion Pagos R4'!M310</f>
        <v>-3828497.81</v>
      </c>
      <c r="Y69" s="320">
        <f>'Reversion Pagos R4'!N310</f>
        <v>-296831.71999999997</v>
      </c>
      <c r="Z69" s="321">
        <f t="shared" si="27"/>
        <v>0</v>
      </c>
      <c r="AA69" s="322">
        <f>'Reversion Pagos R4'!O310</f>
        <v>87.929999999999993</v>
      </c>
      <c r="AB69" s="296">
        <f t="shared" si="28"/>
        <v>0</v>
      </c>
      <c r="AC69" s="322">
        <f>+'Reversion Pagos R4'!Q310+'Reversion Pagos R4'!R310</f>
        <v>0</v>
      </c>
      <c r="AD69" s="293">
        <f t="shared" si="30"/>
        <v>897823.3899999999</v>
      </c>
      <c r="AE69" s="293">
        <f>'Reversion Pagos R4'!D311</f>
        <v>897823.3899999999</v>
      </c>
      <c r="AF69" s="324">
        <f>SUM(U69:AD69)</f>
        <v>-14484240.99</v>
      </c>
      <c r="AG69" s="524">
        <f>(AF69-O69)</f>
        <v>0</v>
      </c>
      <c r="AH69" s="307" t="b">
        <f t="shared" si="29"/>
        <v>1</v>
      </c>
      <c r="AI69" s="308"/>
    </row>
    <row r="70" spans="1:35" s="307" customFormat="1" ht="12" thickBot="1" x14ac:dyDescent="0.3">
      <c r="B70" s="326">
        <v>5</v>
      </c>
      <c r="C70" s="327" t="s">
        <v>14</v>
      </c>
      <c r="D70" s="298">
        <f>'Reversion Pagos R4'!D345</f>
        <v>-9076100</v>
      </c>
      <c r="E70" s="299">
        <f>'Reversion Pagos R4'!E345</f>
        <v>-427564.46</v>
      </c>
      <c r="F70" s="299">
        <f>'Reversion Pagos R4'!F345</f>
        <v>-239080.94</v>
      </c>
      <c r="G70" s="299">
        <f>'Reversion Pagos R4'!G345</f>
        <v>-126277.96</v>
      </c>
      <c r="H70" s="299">
        <f>'Reversion Pagos R4'!H345</f>
        <v>-1933506.78</v>
      </c>
      <c r="I70" s="299">
        <f>'Reversion Pagos R4'!I345</f>
        <v>-69553.97</v>
      </c>
      <c r="J70" s="291">
        <v>0</v>
      </c>
      <c r="K70" s="297">
        <f t="shared" si="25"/>
        <v>-6280115.8899999997</v>
      </c>
      <c r="L70" s="296">
        <v>0</v>
      </c>
      <c r="M70" s="300">
        <f>K70-L70</f>
        <v>-6280115.8899999997</v>
      </c>
      <c r="N70" s="296">
        <f>'Reversion Pagos R4'!P345</f>
        <v>0</v>
      </c>
      <c r="O70" s="300">
        <f t="shared" si="26"/>
        <v>-6280115.8899999997</v>
      </c>
      <c r="Q70" s="308"/>
      <c r="S70" s="326">
        <v>5</v>
      </c>
      <c r="T70" s="327" t="s">
        <v>14</v>
      </c>
      <c r="U70" s="298">
        <f>'Reversion Pagos R4'!J345</f>
        <v>-610117.24</v>
      </c>
      <c r="V70" s="299">
        <f>'Reversion Pagos R4'!K345</f>
        <v>-592518.26</v>
      </c>
      <c r="W70" s="299">
        <f>'Reversion Pagos R4'!L345</f>
        <v>-3080559.18</v>
      </c>
      <c r="X70" s="299">
        <f>'Reversion Pagos R4'!M345</f>
        <v>-1290465.9099999999</v>
      </c>
      <c r="Y70" s="291">
        <f>'Reversion Pagos R4'!N345</f>
        <v>-113482.38</v>
      </c>
      <c r="Z70" s="321">
        <f t="shared" si="27"/>
        <v>0</v>
      </c>
      <c r="AA70" s="322">
        <f>'Reversion Pagos R4'!O345</f>
        <v>-48</v>
      </c>
      <c r="AB70" s="296">
        <f t="shared" si="28"/>
        <v>0</v>
      </c>
      <c r="AC70" s="322">
        <f>+'Reversion Pagos R4'!Q345+'Reversion Pagos R4'!R345</f>
        <v>0</v>
      </c>
      <c r="AD70" s="293">
        <f>-J70+AE70</f>
        <v>-592924.92000000004</v>
      </c>
      <c r="AE70" s="293">
        <f>'Reversion Pagos R4'!D346</f>
        <v>-592924.92000000004</v>
      </c>
      <c r="AF70" s="324">
        <f t="shared" si="31"/>
        <v>-6280115.8899999997</v>
      </c>
      <c r="AG70" s="525">
        <f t="shared" si="32"/>
        <v>0</v>
      </c>
      <c r="AH70" s="307" t="b">
        <f t="shared" si="29"/>
        <v>1</v>
      </c>
      <c r="AI70" s="308"/>
    </row>
    <row r="71" spans="1:35" s="307" customFormat="1" ht="13.5" thickBot="1" x14ac:dyDescent="0.35">
      <c r="B71" s="329"/>
      <c r="C71" s="330" t="s">
        <v>2</v>
      </c>
      <c r="D71" s="292">
        <f t="shared" ref="D71:O71" si="33">SUM(D66:D70)</f>
        <v>-49709753.329999998</v>
      </c>
      <c r="E71" s="292">
        <f t="shared" si="33"/>
        <v>-2911624.4899999998</v>
      </c>
      <c r="F71" s="292">
        <f t="shared" si="33"/>
        <v>-1580846.4</v>
      </c>
      <c r="G71" s="292">
        <f t="shared" ref="G71" si="34">SUM(G66:G70)</f>
        <v>-837318.74</v>
      </c>
      <c r="H71" s="292">
        <f t="shared" si="33"/>
        <v>-12898466.129999999</v>
      </c>
      <c r="I71" s="292">
        <f t="shared" si="33"/>
        <v>-448559.17000000004</v>
      </c>
      <c r="J71" s="292">
        <f t="shared" si="33"/>
        <v>0</v>
      </c>
      <c r="K71" s="302">
        <f t="shared" si="33"/>
        <v>-31032938.399999999</v>
      </c>
      <c r="L71" s="303">
        <f t="shared" si="33"/>
        <v>0</v>
      </c>
      <c r="M71" s="304">
        <f t="shared" si="33"/>
        <v>-31032938.399999999</v>
      </c>
      <c r="N71" s="303">
        <f t="shared" si="33"/>
        <v>-26500</v>
      </c>
      <c r="O71" s="304">
        <f t="shared" si="33"/>
        <v>-31059438.399999999</v>
      </c>
      <c r="P71" s="331"/>
      <c r="Q71" s="308"/>
      <c r="S71" s="329"/>
      <c r="T71" s="330" t="s">
        <v>2</v>
      </c>
      <c r="U71" s="332">
        <f>SUM(U66:U70)</f>
        <v>-3941164.7300000004</v>
      </c>
      <c r="V71" s="332">
        <f t="shared" ref="V71:AF71" si="35">SUM(V66:V70)</f>
        <v>-3851587.6899999995</v>
      </c>
      <c r="W71" s="332">
        <f t="shared" si="35"/>
        <v>-18965477.629999999</v>
      </c>
      <c r="X71" s="332">
        <f t="shared" si="35"/>
        <v>-7587558.0500000007</v>
      </c>
      <c r="Y71" s="332">
        <f t="shared" si="35"/>
        <v>-728691.14</v>
      </c>
      <c r="Z71" s="292">
        <f t="shared" si="35"/>
        <v>0</v>
      </c>
      <c r="AA71" s="292">
        <f>SUM(AA66:AA70)</f>
        <v>25.669999999999987</v>
      </c>
      <c r="AB71" s="292">
        <f t="shared" si="35"/>
        <v>-26500</v>
      </c>
      <c r="AC71" s="292">
        <f t="shared" ref="AC71" si="36">SUM(AC66:AC70)</f>
        <v>0</v>
      </c>
      <c r="AD71" s="292">
        <f>SUM(AD66:AD70)</f>
        <v>4041515.17</v>
      </c>
      <c r="AE71" s="292">
        <f>SUM(AE66:AE70)</f>
        <v>4041515.17</v>
      </c>
      <c r="AF71" s="333">
        <f t="shared" si="35"/>
        <v>-31059438.400000002</v>
      </c>
      <c r="AG71" s="526">
        <f t="shared" ref="AG71" si="37">SUM(AG66:AG70)</f>
        <v>-1.3969838619232178E-9</v>
      </c>
      <c r="AH71" s="307" t="b">
        <f>INT(AG71)=0</f>
        <v>0</v>
      </c>
      <c r="AI71" s="308"/>
    </row>
    <row r="72" spans="1:35" ht="12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-35074479.239999995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276"/>
      <c r="AH76" s="4"/>
      <c r="AI76" s="4"/>
    </row>
    <row r="77" spans="1:35" ht="12" thickBot="1" x14ac:dyDescent="0.3">
      <c r="Q77" s="4"/>
      <c r="AI77" s="4"/>
    </row>
    <row r="78" spans="1:35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74"/>
      <c r="AI78" s="4"/>
    </row>
    <row r="79" spans="1:35" ht="14" x14ac:dyDescent="0.3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74"/>
      <c r="AI79" s="4"/>
    </row>
    <row r="80" spans="1:35" ht="15.5" x14ac:dyDescent="0.3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74"/>
      <c r="AI80" s="4"/>
    </row>
    <row r="81" spans="1:35" ht="14" x14ac:dyDescent="0.3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74"/>
      <c r="AI81" s="4"/>
    </row>
    <row r="82" spans="1:35" ht="15.5" x14ac:dyDescent="0.35">
      <c r="B82" s="8"/>
      <c r="C82" s="590" t="s">
        <v>17</v>
      </c>
      <c r="D82" s="9">
        <f>D6</f>
        <v>46282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tr">
        <f>F82</f>
        <v>R5 - REMUNERACIÓN SALDOS A FAVOR POR NOTA</v>
      </c>
      <c r="V82" s="2"/>
      <c r="X82" s="2"/>
      <c r="Y82" s="2"/>
      <c r="AF82" s="48"/>
      <c r="AG82" s="274"/>
      <c r="AI82" s="4"/>
    </row>
    <row r="83" spans="1:35" ht="12" thickBot="1" x14ac:dyDescent="0.3">
      <c r="B83" s="8"/>
      <c r="C83" s="590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74"/>
      <c r="AI83" s="4"/>
    </row>
    <row r="84" spans="1:35" ht="72" customHeight="1" thickBot="1" x14ac:dyDescent="0.3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598" t="s">
        <v>7</v>
      </c>
      <c r="AC84" s="65" t="s">
        <v>167</v>
      </c>
      <c r="AD84" s="565" t="s">
        <v>105</v>
      </c>
      <c r="AE84" s="121" t="s">
        <v>104</v>
      </c>
      <c r="AF84" s="39" t="s">
        <v>23</v>
      </c>
      <c r="AG84" s="275"/>
      <c r="AI84" s="4"/>
    </row>
    <row r="85" spans="1:35" s="307" customFormat="1" x14ac:dyDescent="0.25">
      <c r="B85" s="305">
        <v>1</v>
      </c>
      <c r="C85" s="306" t="s">
        <v>10</v>
      </c>
      <c r="D85" s="293">
        <f>'AJUSTES - SF-T'!D47</f>
        <v>0</v>
      </c>
      <c r="E85" s="294">
        <f>'AJUSTES - SF-T'!E47</f>
        <v>0</v>
      </c>
      <c r="F85" s="294">
        <f>'AJUSTES - SF-T'!F47</f>
        <v>0</v>
      </c>
      <c r="G85" s="294">
        <f>'AJUSTES - SF-T'!G47</f>
        <v>0</v>
      </c>
      <c r="H85" s="294">
        <f>'AJUSTES - SF-T'!H47</f>
        <v>0</v>
      </c>
      <c r="I85" s="294">
        <f>'AJUSTES - SF-T'!I47</f>
        <v>0</v>
      </c>
      <c r="J85" s="290">
        <f>'AJUSTES - SF-T'!J47</f>
        <v>0</v>
      </c>
      <c r="K85" s="295">
        <f>D85-E85-F85-G85-H85-I85-J85</f>
        <v>0</v>
      </c>
      <c r="L85" s="296">
        <v>0</v>
      </c>
      <c r="M85" s="295">
        <f>K85-L85</f>
        <v>0</v>
      </c>
      <c r="N85" s="296">
        <f>'AJUSTES - SF-T'!N47</f>
        <v>0</v>
      </c>
      <c r="O85" s="295">
        <f>M85+N85</f>
        <v>0</v>
      </c>
      <c r="Q85" s="308"/>
      <c r="S85" s="305">
        <v>1</v>
      </c>
      <c r="T85" s="306" t="s">
        <v>10</v>
      </c>
      <c r="U85" s="309">
        <f>'AJUSTES - SF-T'!U47</f>
        <v>0</v>
      </c>
      <c r="V85" s="310">
        <f>'AJUSTES - SF-T'!V47</f>
        <v>0</v>
      </c>
      <c r="W85" s="310">
        <f>'AJUSTES - SF-T'!W47</f>
        <v>0</v>
      </c>
      <c r="X85" s="310">
        <f>'AJUSTES - SF-T'!X47</f>
        <v>0</v>
      </c>
      <c r="Y85" s="311">
        <f>'AJUSTES - SF-T'!Y47</f>
        <v>0</v>
      </c>
      <c r="Z85" s="312">
        <f>-L85</f>
        <v>0</v>
      </c>
      <c r="AA85" s="313">
        <v>0</v>
      </c>
      <c r="AB85" s="296">
        <f>N85</f>
        <v>0</v>
      </c>
      <c r="AC85" s="313">
        <f>'AJUSTES - SF-T'!AA47</f>
        <v>0</v>
      </c>
      <c r="AD85" s="596">
        <f>-J85+AE85</f>
        <v>0</v>
      </c>
      <c r="AE85" s="293">
        <f>'AJUSTES - SF-T'!AD47</f>
        <v>0</v>
      </c>
      <c r="AF85" s="315">
        <f>SUM(U85:AD85)</f>
        <v>0</v>
      </c>
      <c r="AG85" s="523">
        <f>AF85-O85</f>
        <v>0</v>
      </c>
      <c r="AH85" s="307" t="b">
        <f>INT(AG85)=0</f>
        <v>1</v>
      </c>
      <c r="AI85" s="308"/>
    </row>
    <row r="86" spans="1:35" s="307" customFormat="1" x14ac:dyDescent="0.25">
      <c r="B86" s="316">
        <v>2</v>
      </c>
      <c r="C86" s="317" t="s">
        <v>11</v>
      </c>
      <c r="D86" s="293">
        <f>'AJUSTES - SF-T'!D48</f>
        <v>0</v>
      </c>
      <c r="E86" s="294">
        <f>'AJUSTES - SF-T'!E48</f>
        <v>0</v>
      </c>
      <c r="F86" s="294">
        <f>'AJUSTES - SF-T'!F48</f>
        <v>0</v>
      </c>
      <c r="G86" s="294">
        <f>'AJUSTES - SF-T'!G48</f>
        <v>0</v>
      </c>
      <c r="H86" s="294">
        <f>'AJUSTES - SF-T'!H48</f>
        <v>0</v>
      </c>
      <c r="I86" s="294">
        <f>'AJUSTES - SF-T'!I48</f>
        <v>0</v>
      </c>
      <c r="J86" s="290">
        <f>'AJUSTES - SF-T'!J48</f>
        <v>0</v>
      </c>
      <c r="K86" s="297">
        <f t="shared" ref="K86:K89" si="38">D86-E86-F86-G86-H86-I86-J86</f>
        <v>0</v>
      </c>
      <c r="L86" s="296">
        <v>0</v>
      </c>
      <c r="M86" s="297">
        <f>K86-L86</f>
        <v>0</v>
      </c>
      <c r="N86" s="296">
        <f>'AJUSTES - SF-T'!N48</f>
        <v>0</v>
      </c>
      <c r="O86" s="297">
        <f t="shared" ref="O86:O89" si="39">M86+N86</f>
        <v>0</v>
      </c>
      <c r="Q86" s="308"/>
      <c r="S86" s="316">
        <v>2</v>
      </c>
      <c r="T86" s="317" t="s">
        <v>11</v>
      </c>
      <c r="U86" s="318">
        <f>'AJUSTES - SF-T'!U48</f>
        <v>0</v>
      </c>
      <c r="V86" s="319">
        <f>'AJUSTES - SF-T'!V48</f>
        <v>0</v>
      </c>
      <c r="W86" s="319">
        <f>'AJUSTES - SF-T'!W48</f>
        <v>0</v>
      </c>
      <c r="X86" s="319">
        <f>'AJUSTES - SF-T'!X48</f>
        <v>0</v>
      </c>
      <c r="Y86" s="320">
        <f>'AJUSTES - SF-T'!Y48</f>
        <v>0</v>
      </c>
      <c r="Z86" s="321">
        <f>-L86</f>
        <v>0</v>
      </c>
      <c r="AA86" s="322">
        <f>'AJUSTES - SF-T'!AA48</f>
        <v>0</v>
      </c>
      <c r="AB86" s="296">
        <f>N86</f>
        <v>0</v>
      </c>
      <c r="AC86" s="597">
        <v>0</v>
      </c>
      <c r="AD86" s="596">
        <f t="shared" ref="AD86:AD89" si="40">-J86+AE86</f>
        <v>0</v>
      </c>
      <c r="AE86" s="293">
        <f>'AJUSTES - SF-T'!AD48</f>
        <v>0</v>
      </c>
      <c r="AF86" s="324">
        <f>SUM(U86:AD86)</f>
        <v>0</v>
      </c>
      <c r="AG86" s="524">
        <f>AF86-O86</f>
        <v>0</v>
      </c>
      <c r="AH86" s="307" t="b">
        <f t="shared" ref="AH86:AH89" si="41">INT(AG86)=0</f>
        <v>1</v>
      </c>
      <c r="AI86" s="308"/>
    </row>
    <row r="87" spans="1:35" s="307" customFormat="1" x14ac:dyDescent="0.25">
      <c r="B87" s="316">
        <v>3</v>
      </c>
      <c r="C87" s="317" t="s">
        <v>12</v>
      </c>
      <c r="D87" s="293">
        <f>'AJUSTES - SF-T'!D49</f>
        <v>0</v>
      </c>
      <c r="E87" s="294">
        <f>'AJUSTES - SF-T'!E49</f>
        <v>0</v>
      </c>
      <c r="F87" s="294">
        <f>'AJUSTES - SF-T'!F49</f>
        <v>0</v>
      </c>
      <c r="G87" s="294">
        <f>'AJUSTES - SF-T'!G49</f>
        <v>0</v>
      </c>
      <c r="H87" s="294">
        <f>'AJUSTES - SF-T'!H49</f>
        <v>0</v>
      </c>
      <c r="I87" s="294">
        <f>'AJUSTES - SF-T'!I49</f>
        <v>0</v>
      </c>
      <c r="J87" s="290">
        <f>'AJUSTES - SF-T'!J49</f>
        <v>0</v>
      </c>
      <c r="K87" s="297">
        <f t="shared" si="38"/>
        <v>0</v>
      </c>
      <c r="L87" s="296">
        <v>0</v>
      </c>
      <c r="M87" s="297">
        <f>K87-L87</f>
        <v>0</v>
      </c>
      <c r="N87" s="296">
        <f>'AJUSTES - SF-T'!N49</f>
        <v>0</v>
      </c>
      <c r="O87" s="297">
        <f t="shared" si="39"/>
        <v>0</v>
      </c>
      <c r="Q87" s="308"/>
      <c r="S87" s="316">
        <v>3</v>
      </c>
      <c r="T87" s="317" t="s">
        <v>12</v>
      </c>
      <c r="U87" s="318">
        <f>'AJUSTES - SF-T'!U49</f>
        <v>0</v>
      </c>
      <c r="V87" s="319">
        <f>'AJUSTES - SF-T'!V49</f>
        <v>0</v>
      </c>
      <c r="W87" s="319">
        <f>'AJUSTES - SF-T'!W49</f>
        <v>0</v>
      </c>
      <c r="X87" s="319">
        <f>'AJUSTES - SF-T'!X49</f>
        <v>0</v>
      </c>
      <c r="Y87" s="320">
        <f>'AJUSTES - SF-T'!Y49</f>
        <v>0</v>
      </c>
      <c r="Z87" s="321">
        <f>-L87</f>
        <v>0</v>
      </c>
      <c r="AA87" s="322">
        <f>'AJUSTES - SF-T'!AA49</f>
        <v>0</v>
      </c>
      <c r="AB87" s="296">
        <f>N87</f>
        <v>0</v>
      </c>
      <c r="AC87" s="325">
        <v>0</v>
      </c>
      <c r="AD87" s="596">
        <f t="shared" si="40"/>
        <v>0</v>
      </c>
      <c r="AE87" s="293">
        <f>'AJUSTES - SF-T'!AD49</f>
        <v>0</v>
      </c>
      <c r="AF87" s="324">
        <f t="shared" ref="AF87:AF89" si="42">SUM(U87:AD87)</f>
        <v>0</v>
      </c>
      <c r="AG87" s="524">
        <f>AF87-O87</f>
        <v>0</v>
      </c>
      <c r="AH87" s="307" t="b">
        <f t="shared" si="41"/>
        <v>1</v>
      </c>
      <c r="AI87" s="308"/>
    </row>
    <row r="88" spans="1:35" s="307" customFormat="1" x14ac:dyDescent="0.25">
      <c r="B88" s="316">
        <v>4</v>
      </c>
      <c r="C88" s="317" t="s">
        <v>13</v>
      </c>
      <c r="D88" s="293">
        <f>'AJUSTES - SF-T'!D50</f>
        <v>0</v>
      </c>
      <c r="E88" s="294">
        <f>'AJUSTES - SF-T'!E50</f>
        <v>0</v>
      </c>
      <c r="F88" s="294">
        <f>'AJUSTES - SF-T'!F50</f>
        <v>0</v>
      </c>
      <c r="G88" s="294">
        <f>'AJUSTES - SF-T'!G50</f>
        <v>0</v>
      </c>
      <c r="H88" s="294">
        <f>'AJUSTES - SF-T'!H50</f>
        <v>0</v>
      </c>
      <c r="I88" s="294">
        <f>'AJUSTES - SF-T'!I50</f>
        <v>0</v>
      </c>
      <c r="J88" s="290">
        <f>'AJUSTES - SF-T'!J50</f>
        <v>0</v>
      </c>
      <c r="K88" s="297">
        <f t="shared" si="38"/>
        <v>0</v>
      </c>
      <c r="L88" s="296">
        <v>0</v>
      </c>
      <c r="M88" s="297">
        <f>K88-L88</f>
        <v>0</v>
      </c>
      <c r="N88" s="296">
        <f>'AJUSTES - SF-T'!N50</f>
        <v>0</v>
      </c>
      <c r="O88" s="297">
        <f t="shared" si="39"/>
        <v>0</v>
      </c>
      <c r="Q88" s="308"/>
      <c r="S88" s="316">
        <v>4</v>
      </c>
      <c r="T88" s="317" t="s">
        <v>13</v>
      </c>
      <c r="U88" s="318">
        <f>'AJUSTES - SF-T'!U50</f>
        <v>0</v>
      </c>
      <c r="V88" s="319">
        <f>'AJUSTES - SF-T'!V50</f>
        <v>0</v>
      </c>
      <c r="W88" s="319">
        <f>'AJUSTES - SF-T'!W50</f>
        <v>0</v>
      </c>
      <c r="X88" s="319">
        <f>'AJUSTES - SF-T'!X50</f>
        <v>0</v>
      </c>
      <c r="Y88" s="320">
        <f>'AJUSTES - SF-T'!Y50</f>
        <v>0</v>
      </c>
      <c r="Z88" s="321">
        <f>-L88</f>
        <v>0</v>
      </c>
      <c r="AA88" s="322">
        <f>'AJUSTES - SF-T'!AA50</f>
        <v>0</v>
      </c>
      <c r="AB88" s="296">
        <f>N88</f>
        <v>0</v>
      </c>
      <c r="AC88" s="322">
        <v>0</v>
      </c>
      <c r="AD88" s="596">
        <f t="shared" si="40"/>
        <v>0</v>
      </c>
      <c r="AE88" s="293">
        <f>'AJUSTES - SF-T'!AD50</f>
        <v>0</v>
      </c>
      <c r="AF88" s="324">
        <f t="shared" si="42"/>
        <v>0</v>
      </c>
      <c r="AG88" s="524">
        <f>AF88-O88</f>
        <v>0</v>
      </c>
      <c r="AH88" s="307" t="b">
        <f t="shared" si="41"/>
        <v>1</v>
      </c>
      <c r="AI88" s="308"/>
    </row>
    <row r="89" spans="1:35" s="307" customFormat="1" ht="12" thickBot="1" x14ac:dyDescent="0.3">
      <c r="B89" s="326">
        <v>5</v>
      </c>
      <c r="C89" s="327" t="s">
        <v>14</v>
      </c>
      <c r="D89" s="293">
        <f>'AJUSTES - SF-T'!D51</f>
        <v>0</v>
      </c>
      <c r="E89" s="294">
        <f>'AJUSTES - SF-T'!E51</f>
        <v>0</v>
      </c>
      <c r="F89" s="299">
        <f>'AJUSTES - SF-T'!F51</f>
        <v>0</v>
      </c>
      <c r="G89" s="299">
        <f>'AJUSTES - SF-T'!G51</f>
        <v>0</v>
      </c>
      <c r="H89" s="299">
        <f>'AJUSTES - SF-T'!H51</f>
        <v>0</v>
      </c>
      <c r="I89" s="299">
        <f>'AJUSTES - SF-T'!I51</f>
        <v>0</v>
      </c>
      <c r="J89" s="291">
        <f>'AJUSTES - SF-T'!J51</f>
        <v>0</v>
      </c>
      <c r="K89" s="297">
        <f t="shared" si="38"/>
        <v>0</v>
      </c>
      <c r="L89" s="296">
        <v>0</v>
      </c>
      <c r="M89" s="300">
        <f>K89-L89</f>
        <v>0</v>
      </c>
      <c r="N89" s="301">
        <f>'AJUSTES - SF-T'!N51</f>
        <v>0</v>
      </c>
      <c r="O89" s="300">
        <f t="shared" si="39"/>
        <v>0</v>
      </c>
      <c r="Q89" s="308"/>
      <c r="S89" s="326">
        <v>5</v>
      </c>
      <c r="T89" s="327" t="s">
        <v>14</v>
      </c>
      <c r="U89" s="298">
        <f>'AJUSTES - SF-T'!U51</f>
        <v>0</v>
      </c>
      <c r="V89" s="299">
        <f>'AJUSTES - SF-T'!V51</f>
        <v>0</v>
      </c>
      <c r="W89" s="299">
        <f>'AJUSTES - SF-T'!W51</f>
        <v>0</v>
      </c>
      <c r="X89" s="299">
        <f>'AJUSTES - SF-T'!X51</f>
        <v>0</v>
      </c>
      <c r="Y89" s="291">
        <f>'AJUSTES - SF-T'!Y51</f>
        <v>0</v>
      </c>
      <c r="Z89" s="321">
        <f>-L89</f>
        <v>0</v>
      </c>
      <c r="AA89" s="322">
        <f>'AJUSTES - SF-T'!AA51</f>
        <v>0</v>
      </c>
      <c r="AB89" s="296">
        <f>N89</f>
        <v>0</v>
      </c>
      <c r="AC89" s="325">
        <v>0</v>
      </c>
      <c r="AD89" s="596">
        <f t="shared" si="40"/>
        <v>0</v>
      </c>
      <c r="AE89" s="293">
        <f>'AJUSTES - SF-T'!AD51</f>
        <v>0</v>
      </c>
      <c r="AF89" s="324">
        <f t="shared" si="42"/>
        <v>0</v>
      </c>
      <c r="AG89" s="525">
        <f>AF89-O89</f>
        <v>0</v>
      </c>
      <c r="AH89" s="307" t="b">
        <f t="shared" si="41"/>
        <v>1</v>
      </c>
      <c r="AI89" s="308"/>
    </row>
    <row r="90" spans="1:35" s="307" customFormat="1" ht="13.5" thickBot="1" x14ac:dyDescent="0.35">
      <c r="B90" s="329"/>
      <c r="C90" s="330" t="s">
        <v>2</v>
      </c>
      <c r="D90" s="292">
        <f>SUM(D85:D89)</f>
        <v>0</v>
      </c>
      <c r="E90" s="292">
        <f t="shared" ref="E90:O90" si="43">SUM(E85:E89)</f>
        <v>0</v>
      </c>
      <c r="F90" s="292">
        <f t="shared" si="43"/>
        <v>0</v>
      </c>
      <c r="G90" s="292">
        <f t="shared" ref="G90" si="44">SUM(G85:G89)</f>
        <v>0</v>
      </c>
      <c r="H90" s="292">
        <f t="shared" si="43"/>
        <v>0</v>
      </c>
      <c r="I90" s="292">
        <f t="shared" si="43"/>
        <v>0</v>
      </c>
      <c r="J90" s="292">
        <f t="shared" si="43"/>
        <v>0</v>
      </c>
      <c r="K90" s="302">
        <f t="shared" si="43"/>
        <v>0</v>
      </c>
      <c r="L90" s="303">
        <f t="shared" si="43"/>
        <v>0</v>
      </c>
      <c r="M90" s="304">
        <f t="shared" si="43"/>
        <v>0</v>
      </c>
      <c r="N90" s="303">
        <f t="shared" si="43"/>
        <v>0</v>
      </c>
      <c r="O90" s="304">
        <f t="shared" si="43"/>
        <v>0</v>
      </c>
      <c r="P90" s="331"/>
      <c r="Q90" s="308"/>
      <c r="S90" s="329"/>
      <c r="T90" s="330" t="s">
        <v>2</v>
      </c>
      <c r="U90" s="332">
        <f>SUM(U85:U89)</f>
        <v>0</v>
      </c>
      <c r="V90" s="332">
        <f t="shared" ref="V90:AG90" si="45">SUM(V85:V89)</f>
        <v>0</v>
      </c>
      <c r="W90" s="332">
        <f t="shared" si="45"/>
        <v>0</v>
      </c>
      <c r="X90" s="332">
        <f t="shared" si="45"/>
        <v>0</v>
      </c>
      <c r="Y90" s="332">
        <f t="shared" si="45"/>
        <v>0</v>
      </c>
      <c r="Z90" s="292">
        <f t="shared" si="45"/>
        <v>0</v>
      </c>
      <c r="AA90" s="292">
        <f t="shared" si="45"/>
        <v>0</v>
      </c>
      <c r="AB90" s="472">
        <f t="shared" si="45"/>
        <v>0</v>
      </c>
      <c r="AC90" s="292">
        <f t="shared" ref="AC90" si="46">SUM(AC85:AC89)</f>
        <v>0</v>
      </c>
      <c r="AD90" s="599">
        <f t="shared" si="45"/>
        <v>0</v>
      </c>
      <c r="AE90" s="292">
        <f t="shared" si="45"/>
        <v>0</v>
      </c>
      <c r="AF90" s="333">
        <f t="shared" si="45"/>
        <v>0</v>
      </c>
      <c r="AG90" s="526">
        <f t="shared" si="45"/>
        <v>0</v>
      </c>
      <c r="AH90" s="307" t="b">
        <f>INT(AG90)=0</f>
        <v>1</v>
      </c>
      <c r="AI90" s="308"/>
    </row>
    <row r="91" spans="1:35" ht="12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" thickBot="1" x14ac:dyDescent="0.3">
      <c r="B92" s="2" t="s">
        <v>1</v>
      </c>
      <c r="C92" s="2"/>
      <c r="D92" s="24"/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276"/>
      <c r="AH95" s="4"/>
      <c r="AI95" s="4"/>
    </row>
    <row r="96" spans="1:35" ht="12" thickBot="1" x14ac:dyDescent="0.3">
      <c r="Q96" s="4"/>
      <c r="AI96" s="4"/>
    </row>
    <row r="97" spans="2:39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74"/>
      <c r="AI97" s="4"/>
    </row>
    <row r="98" spans="2:39" ht="14" x14ac:dyDescent="0.3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74"/>
      <c r="AI98" s="4"/>
    </row>
    <row r="99" spans="2:39" ht="15.5" x14ac:dyDescent="0.3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74"/>
      <c r="AI99" s="4"/>
    </row>
    <row r="100" spans="2:39" ht="14" x14ac:dyDescent="0.3">
      <c r="B100" s="8"/>
      <c r="F100" s="2" t="s">
        <v>30</v>
      </c>
      <c r="G100" s="2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74"/>
      <c r="AI100" s="4"/>
    </row>
    <row r="101" spans="2:39" ht="15.5" x14ac:dyDescent="0.35">
      <c r="B101" s="8"/>
      <c r="C101" s="590" t="s">
        <v>17</v>
      </c>
      <c r="D101" s="9">
        <f>D6</f>
        <v>46282</v>
      </c>
      <c r="F101" s="58" t="s">
        <v>211</v>
      </c>
      <c r="G101" s="58"/>
      <c r="H101" s="59"/>
      <c r="I101" s="60"/>
      <c r="J101" s="59"/>
      <c r="O101" s="10"/>
      <c r="P101" s="2"/>
      <c r="Q101" s="4"/>
      <c r="S101" s="8"/>
      <c r="T101" s="41" t="s">
        <v>1</v>
      </c>
      <c r="U101" s="58" t="s">
        <v>212</v>
      </c>
      <c r="V101" s="59"/>
      <c r="W101" s="60"/>
      <c r="X101" s="59"/>
      <c r="Y101" s="59"/>
      <c r="AF101" s="48"/>
      <c r="AG101" s="274"/>
      <c r="AI101" s="4"/>
    </row>
    <row r="102" spans="2:39" ht="18" thickBot="1" x14ac:dyDescent="0.5">
      <c r="B102" s="8"/>
      <c r="C102" s="590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74"/>
      <c r="AI102" s="4"/>
      <c r="AJ102" s="112" t="s">
        <v>1</v>
      </c>
    </row>
    <row r="103" spans="2:39" ht="72" customHeight="1" thickBot="1" x14ac:dyDescent="0.3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0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572" t="s">
        <v>40</v>
      </c>
      <c r="W103" s="572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21" t="s">
        <v>105</v>
      </c>
      <c r="AE103" s="121" t="s">
        <v>104</v>
      </c>
      <c r="AF103" s="39" t="s">
        <v>23</v>
      </c>
      <c r="AG103" s="275"/>
      <c r="AI103" s="4"/>
    </row>
    <row r="104" spans="2:39" s="307" customFormat="1" x14ac:dyDescent="0.25">
      <c r="B104" s="305">
        <v>1</v>
      </c>
      <c r="C104" s="306" t="s">
        <v>10</v>
      </c>
      <c r="D104" s="293">
        <f t="shared" ref="D104:F106" si="47">D9+D28+D47+D66+D85</f>
        <v>17450250542.779995</v>
      </c>
      <c r="E104" s="294">
        <f t="shared" si="47"/>
        <v>1002730527.37</v>
      </c>
      <c r="F104" s="294">
        <f t="shared" si="47"/>
        <v>559513165.82999992</v>
      </c>
      <c r="G104" s="294">
        <f t="shared" ref="G104" si="48">G9+G28+G47+G66+G85</f>
        <v>296340285.38</v>
      </c>
      <c r="H104" s="294">
        <f t="shared" ref="H104:J108" si="49">H9+H28+H47+H66+H85</f>
        <v>4858821909</v>
      </c>
      <c r="I104" s="294">
        <f t="shared" si="49"/>
        <v>182208476.03000003</v>
      </c>
      <c r="J104" s="290">
        <f t="shared" si="49"/>
        <v>2589335716.54</v>
      </c>
      <c r="K104" s="295">
        <f>D104-E104-F104-G104-H104-I104-J104</f>
        <v>7961300462.6299944</v>
      </c>
      <c r="L104" s="296">
        <f>L9+L28+L47+L66+L85</f>
        <v>189185987</v>
      </c>
      <c r="M104" s="295">
        <f>K104-L104</f>
        <v>7772114475.6299944</v>
      </c>
      <c r="N104" s="296">
        <f>N9+N28+N47+N66+N85</f>
        <v>30635669.579999998</v>
      </c>
      <c r="O104" s="295">
        <f>M104+N104</f>
        <v>7802750145.2099943</v>
      </c>
      <c r="Q104" s="308"/>
      <c r="S104" s="305">
        <v>1</v>
      </c>
      <c r="T104" s="306" t="s">
        <v>10</v>
      </c>
      <c r="U104" s="309">
        <f t="shared" ref="U104:AB108" si="50">U9+U28+U47+U66+U85</f>
        <v>1599792140.1300001</v>
      </c>
      <c r="V104" s="310">
        <f t="shared" si="50"/>
        <v>1528705400.8799999</v>
      </c>
      <c r="W104" s="310">
        <f t="shared" si="50"/>
        <v>7192055638.8400002</v>
      </c>
      <c r="X104" s="310">
        <f t="shared" si="50"/>
        <v>2730289262.8700004</v>
      </c>
      <c r="Y104" s="311">
        <f t="shared" si="50"/>
        <v>297320754.99000001</v>
      </c>
      <c r="Z104" s="312">
        <f t="shared" si="50"/>
        <v>-189185987</v>
      </c>
      <c r="AA104" s="313">
        <f>AA9+AA28+AA47+AA66+AA85</f>
        <v>-46885.63</v>
      </c>
      <c r="AB104" s="296">
        <f t="shared" si="50"/>
        <v>30635669.579999998</v>
      </c>
      <c r="AC104" s="313">
        <f>AC9+AC28+AC47+AC66+AC85</f>
        <v>392.74</v>
      </c>
      <c r="AD104" s="293">
        <f>-J104+AE104</f>
        <v>-5386816242.1900005</v>
      </c>
      <c r="AE104" s="293">
        <f>AE9+AE28+AE47+AE66+AE85</f>
        <v>-2797480525.6500001</v>
      </c>
      <c r="AF104" s="315">
        <f>SUM(U104:AD104)</f>
        <v>7802750145.210001</v>
      </c>
      <c r="AG104" s="523">
        <f>AF104-O104</f>
        <v>0</v>
      </c>
      <c r="AH104" s="307" t="b">
        <f>INT(AG104)=0</f>
        <v>1</v>
      </c>
      <c r="AI104" s="308"/>
      <c r="AM104" s="335"/>
    </row>
    <row r="105" spans="2:39" s="307" customFormat="1" x14ac:dyDescent="0.25">
      <c r="B105" s="316">
        <v>2</v>
      </c>
      <c r="C105" s="317" t="s">
        <v>11</v>
      </c>
      <c r="D105" s="293">
        <f>D10+D29+D48+D67+D86</f>
        <v>14147357755.390001</v>
      </c>
      <c r="E105" s="294">
        <f>E10+E29+E48+E67+E86</f>
        <v>1096241904.79</v>
      </c>
      <c r="F105" s="294">
        <f t="shared" si="47"/>
        <v>607688510.58999991</v>
      </c>
      <c r="G105" s="294">
        <f t="shared" ref="G105" si="51">G10+G29+G48+G67+G86</f>
        <v>320746087.44</v>
      </c>
      <c r="H105" s="294">
        <f t="shared" si="49"/>
        <v>4486156883.4699993</v>
      </c>
      <c r="I105" s="294">
        <f t="shared" si="49"/>
        <v>152499569.92999998</v>
      </c>
      <c r="J105" s="290">
        <f t="shared" si="49"/>
        <v>-5093259797.2199993</v>
      </c>
      <c r="K105" s="297">
        <f t="shared" ref="K105:K108" si="52">D105-E105-F105-G105-H105-I105-J105</f>
        <v>12577284596.390001</v>
      </c>
      <c r="L105" s="296">
        <f>L10+L29+L48+L67+L86</f>
        <v>266580255</v>
      </c>
      <c r="M105" s="297">
        <f>K105-L105</f>
        <v>12310704341.390001</v>
      </c>
      <c r="N105" s="296">
        <f>N10+N29+N48+N67+N86</f>
        <v>43616073.719999999</v>
      </c>
      <c r="O105" s="297">
        <f t="shared" ref="O105:O108" si="53">M105+N105</f>
        <v>12354320415.110001</v>
      </c>
      <c r="Q105" s="308"/>
      <c r="S105" s="316">
        <v>2</v>
      </c>
      <c r="T105" s="317" t="s">
        <v>11</v>
      </c>
      <c r="U105" s="318">
        <f t="shared" si="50"/>
        <v>1338675874.7699997</v>
      </c>
      <c r="V105" s="319">
        <f t="shared" si="50"/>
        <v>1326046281.8399999</v>
      </c>
      <c r="W105" s="319">
        <f t="shared" si="50"/>
        <v>6214923336.9400005</v>
      </c>
      <c r="X105" s="319">
        <f t="shared" si="50"/>
        <v>2154507355.5699997</v>
      </c>
      <c r="Y105" s="320">
        <f t="shared" si="50"/>
        <v>249017603.29999998</v>
      </c>
      <c r="Z105" s="321">
        <f t="shared" si="50"/>
        <v>-266580255</v>
      </c>
      <c r="AA105" s="322">
        <f t="shared" si="50"/>
        <v>61423.42</v>
      </c>
      <c r="AB105" s="296">
        <f t="shared" si="50"/>
        <v>43616073.719999999</v>
      </c>
      <c r="AC105" s="322">
        <f t="shared" ref="AC105" si="54">AC10+AC29+AC48+AC67+AC86</f>
        <v>-56807.54</v>
      </c>
      <c r="AD105" s="293">
        <f t="shared" ref="AD105:AD107" si="55">-J105+AE105</f>
        <v>1294109528.0899997</v>
      </c>
      <c r="AE105" s="293">
        <f>AE10+AE29+AE48+AE67+AE86</f>
        <v>-3799150269.1299996</v>
      </c>
      <c r="AF105" s="324">
        <f>SUM(U105:AD105)</f>
        <v>12354320415.109997</v>
      </c>
      <c r="AG105" s="524">
        <f>AF105-O105</f>
        <v>0</v>
      </c>
      <c r="AH105" s="307" t="b">
        <f t="shared" ref="AH105:AH108" si="56">INT(AG105)=0</f>
        <v>1</v>
      </c>
      <c r="AI105" s="308"/>
      <c r="AM105" s="335"/>
    </row>
    <row r="106" spans="2:39" s="307" customFormat="1" x14ac:dyDescent="0.25">
      <c r="B106" s="316">
        <v>3</v>
      </c>
      <c r="C106" s="317" t="s">
        <v>12</v>
      </c>
      <c r="D106" s="293">
        <f t="shared" si="47"/>
        <v>10891338739.480001</v>
      </c>
      <c r="E106" s="294">
        <f t="shared" si="47"/>
        <v>710706076.85000002</v>
      </c>
      <c r="F106" s="294">
        <f t="shared" si="47"/>
        <v>397477480.34999996</v>
      </c>
      <c r="G106" s="294">
        <f t="shared" ref="G106" si="57">G11+G30+G49+G68+G87</f>
        <v>210365934.29999998</v>
      </c>
      <c r="H106" s="294">
        <f t="shared" si="49"/>
        <v>3089785742.8100004</v>
      </c>
      <c r="I106" s="294">
        <f t="shared" si="49"/>
        <v>102591059.10999998</v>
      </c>
      <c r="J106" s="290">
        <f t="shared" si="49"/>
        <v>-1230396998.4399998</v>
      </c>
      <c r="K106" s="297">
        <f t="shared" si="52"/>
        <v>7610809444.500001</v>
      </c>
      <c r="L106" s="296">
        <f>L11+L30+L49+L68+L87</f>
        <v>154788535</v>
      </c>
      <c r="M106" s="297">
        <f>K106-L106</f>
        <v>7456020909.500001</v>
      </c>
      <c r="N106" s="296">
        <f>N11+N30+N49+N68+N87</f>
        <v>25562528.48</v>
      </c>
      <c r="O106" s="297">
        <f t="shared" si="53"/>
        <v>7481583437.9800005</v>
      </c>
      <c r="Q106" s="308"/>
      <c r="S106" s="316">
        <v>3</v>
      </c>
      <c r="T106" s="317" t="s">
        <v>12</v>
      </c>
      <c r="U106" s="318">
        <f t="shared" si="50"/>
        <v>900404437.05000007</v>
      </c>
      <c r="V106" s="319">
        <f t="shared" si="50"/>
        <v>880251835.97000015</v>
      </c>
      <c r="W106" s="319">
        <f t="shared" si="50"/>
        <v>4143016465.7999997</v>
      </c>
      <c r="X106" s="319">
        <f t="shared" si="50"/>
        <v>1683861343.1799998</v>
      </c>
      <c r="Y106" s="320">
        <f t="shared" si="50"/>
        <v>167421357.00000003</v>
      </c>
      <c r="Z106" s="321">
        <f t="shared" si="50"/>
        <v>-154788535</v>
      </c>
      <c r="AA106" s="322">
        <f t="shared" si="50"/>
        <v>46657</v>
      </c>
      <c r="AB106" s="296">
        <f t="shared" si="50"/>
        <v>25562528.48</v>
      </c>
      <c r="AC106" s="322">
        <f t="shared" ref="AC106" si="58">AC11+AC30+AC49+AC68+AC87</f>
        <v>5.47</v>
      </c>
      <c r="AD106" s="293">
        <f t="shared" si="55"/>
        <v>-164192656.97000003</v>
      </c>
      <c r="AE106" s="293">
        <f>AE11+AE30+AE49+AE68+AE87</f>
        <v>-1394589655.4099998</v>
      </c>
      <c r="AF106" s="324">
        <f>SUM(U106:AD106)</f>
        <v>7481583437.9799995</v>
      </c>
      <c r="AG106" s="524">
        <f>AF106-O106</f>
        <v>0</v>
      </c>
      <c r="AH106" s="307" t="b">
        <f t="shared" si="56"/>
        <v>1</v>
      </c>
      <c r="AI106" s="308"/>
      <c r="AM106" s="335"/>
    </row>
    <row r="107" spans="2:39" s="307" customFormat="1" x14ac:dyDescent="0.25">
      <c r="B107" s="316">
        <v>4</v>
      </c>
      <c r="C107" s="317" t="s">
        <v>13</v>
      </c>
      <c r="D107" s="293">
        <f>D12+D31+D50+D69+D88</f>
        <v>11508947206.76</v>
      </c>
      <c r="E107" s="294">
        <f>E12+E31+E50+E69+E88</f>
        <v>651620353.97000015</v>
      </c>
      <c r="F107" s="294">
        <f t="shared" ref="E107:F108" si="59">F12+F31+F50+F69+F88</f>
        <v>362076890.99000001</v>
      </c>
      <c r="G107" s="294">
        <f t="shared" ref="G107" si="60">G12+G31+G50+G69+G88</f>
        <v>191424494.84999999</v>
      </c>
      <c r="H107" s="294">
        <f t="shared" si="49"/>
        <v>2850519494.2000003</v>
      </c>
      <c r="I107" s="294">
        <f t="shared" si="49"/>
        <v>98433844.099999994</v>
      </c>
      <c r="J107" s="290">
        <f t="shared" si="49"/>
        <v>38133905.800000012</v>
      </c>
      <c r="K107" s="297">
        <f>D107-E107-F107-G107-H107-I107-J107</f>
        <v>7316738222.8499994</v>
      </c>
      <c r="L107" s="296">
        <f>L12+L31+L50+L69+L88</f>
        <v>120391083</v>
      </c>
      <c r="M107" s="297">
        <f>K107-L107</f>
        <v>7196347139.8499994</v>
      </c>
      <c r="N107" s="296">
        <f>N12+N31+N50+N69+N88</f>
        <v>23185407.98</v>
      </c>
      <c r="O107" s="297">
        <f>M107+N107</f>
        <v>7219532547.829999</v>
      </c>
      <c r="Q107" s="308"/>
      <c r="S107" s="316">
        <v>4</v>
      </c>
      <c r="T107" s="317" t="s">
        <v>13</v>
      </c>
      <c r="U107" s="318">
        <f t="shared" si="50"/>
        <v>863496515.32999992</v>
      </c>
      <c r="V107" s="319">
        <f t="shared" si="50"/>
        <v>850915238.78999996</v>
      </c>
      <c r="W107" s="319">
        <f t="shared" si="50"/>
        <v>4336930905.7300014</v>
      </c>
      <c r="X107" s="319">
        <f t="shared" si="50"/>
        <v>1725012318.6899998</v>
      </c>
      <c r="Y107" s="320">
        <f t="shared" si="50"/>
        <v>160878230.38000003</v>
      </c>
      <c r="Z107" s="321">
        <f t="shared" si="50"/>
        <v>-120391083</v>
      </c>
      <c r="AA107" s="322">
        <f>AA12+AA31+AA50+AA69+AA88</f>
        <v>-64310.54</v>
      </c>
      <c r="AB107" s="296">
        <f t="shared" si="50"/>
        <v>23185407.98</v>
      </c>
      <c r="AC107" s="322">
        <f t="shared" ref="AC107" si="61">AC12+AC31+AC50+AC69+AC88</f>
        <v>181.07</v>
      </c>
      <c r="AD107" s="293">
        <f t="shared" si="55"/>
        <v>-620430856.60000014</v>
      </c>
      <c r="AE107" s="293">
        <f>AE12+AE31+AE50+AE69+AE88</f>
        <v>-582296950.80000007</v>
      </c>
      <c r="AF107" s="324">
        <f>SUM(U107:AD107)</f>
        <v>7219532547.8299999</v>
      </c>
      <c r="AG107" s="524">
        <f>AF107-O107</f>
        <v>0</v>
      </c>
      <c r="AH107" s="307" t="b">
        <f t="shared" si="56"/>
        <v>1</v>
      </c>
      <c r="AI107" s="308"/>
      <c r="AM107" s="335"/>
    </row>
    <row r="108" spans="2:39" s="307" customFormat="1" ht="12" thickBot="1" x14ac:dyDescent="0.3">
      <c r="B108" s="326">
        <v>5</v>
      </c>
      <c r="C108" s="327" t="s">
        <v>14</v>
      </c>
      <c r="D108" s="298">
        <f>D13+D32+D51+D70+D89</f>
        <v>9147179378.3299999</v>
      </c>
      <c r="E108" s="299">
        <f t="shared" si="59"/>
        <v>501141808.77999997</v>
      </c>
      <c r="F108" s="299">
        <f t="shared" si="59"/>
        <v>279950730.87</v>
      </c>
      <c r="G108" s="299">
        <f t="shared" ref="G108" si="62">G13+G32+G51+G70+G89</f>
        <v>148242908.43000001</v>
      </c>
      <c r="H108" s="299">
        <f t="shared" si="49"/>
        <v>2100067179.73</v>
      </c>
      <c r="I108" s="299">
        <f t="shared" si="49"/>
        <v>75390757.040000021</v>
      </c>
      <c r="J108" s="291">
        <f t="shared" si="49"/>
        <v>-1224100690.4600003</v>
      </c>
      <c r="K108" s="297">
        <f t="shared" si="52"/>
        <v>7266486683.9399986</v>
      </c>
      <c r="L108" s="296">
        <f>L13+L32+L51+L70+L89</f>
        <v>128990445</v>
      </c>
      <c r="M108" s="300">
        <f>K108-L108</f>
        <v>7137496238.9399986</v>
      </c>
      <c r="N108" s="301">
        <f>N13+N32+N51+N70+N89</f>
        <v>32575938.379999999</v>
      </c>
      <c r="O108" s="300">
        <f t="shared" si="53"/>
        <v>7170072177.3199987</v>
      </c>
      <c r="Q108" s="308"/>
      <c r="S108" s="326">
        <v>5</v>
      </c>
      <c r="T108" s="327" t="s">
        <v>14</v>
      </c>
      <c r="U108" s="298">
        <f t="shared" si="50"/>
        <v>661834829.70999992</v>
      </c>
      <c r="V108" s="299">
        <f t="shared" si="50"/>
        <v>643876201.64999986</v>
      </c>
      <c r="W108" s="299">
        <f t="shared" si="50"/>
        <v>3304216945.4500003</v>
      </c>
      <c r="X108" s="299">
        <f t="shared" si="50"/>
        <v>1500679343.6099999</v>
      </c>
      <c r="Y108" s="291">
        <f t="shared" si="50"/>
        <v>123096144.54000001</v>
      </c>
      <c r="Z108" s="321">
        <f t="shared" si="50"/>
        <v>-128990445</v>
      </c>
      <c r="AA108" s="322">
        <f t="shared" si="50"/>
        <v>-16582.77</v>
      </c>
      <c r="AB108" s="296">
        <f t="shared" si="50"/>
        <v>32575938.379999999</v>
      </c>
      <c r="AC108" s="322">
        <f t="shared" ref="AC108" si="63">AC13+AC32+AC51+AC70+AC89</f>
        <v>-105.68</v>
      </c>
      <c r="AD108" s="293">
        <f>-J108+AE108</f>
        <v>1032799907.4300003</v>
      </c>
      <c r="AE108" s="293">
        <f>AE13+AE32+AE51+AE70+AE89</f>
        <v>-191300783.03</v>
      </c>
      <c r="AF108" s="324">
        <f>SUM(U108:AD108)</f>
        <v>7170072177.3199987</v>
      </c>
      <c r="AG108" s="525">
        <f>AF108-O108</f>
        <v>0</v>
      </c>
      <c r="AH108" s="307" t="b">
        <f t="shared" si="56"/>
        <v>1</v>
      </c>
      <c r="AI108" s="308"/>
      <c r="AM108" s="335"/>
    </row>
    <row r="109" spans="2:39" s="307" customFormat="1" ht="13.5" thickBot="1" x14ac:dyDescent="0.35">
      <c r="B109" s="329"/>
      <c r="C109" s="330" t="s">
        <v>2</v>
      </c>
      <c r="D109" s="292">
        <f t="shared" ref="D109:N109" si="64">SUM(D104:D108)</f>
        <v>63145073622.740005</v>
      </c>
      <c r="E109" s="292">
        <f t="shared" si="64"/>
        <v>3962440671.7600002</v>
      </c>
      <c r="F109" s="292">
        <f t="shared" si="64"/>
        <v>2206706778.6299996</v>
      </c>
      <c r="G109" s="292">
        <f t="shared" ref="G109" si="65">SUM(G104:G108)</f>
        <v>1167119710.3999999</v>
      </c>
      <c r="H109" s="292">
        <f t="shared" si="64"/>
        <v>17385351209.209999</v>
      </c>
      <c r="I109" s="292">
        <f t="shared" si="64"/>
        <v>611123706.21000004</v>
      </c>
      <c r="J109" s="292">
        <f t="shared" si="64"/>
        <v>-4920287863.7799988</v>
      </c>
      <c r="K109" s="302">
        <f t="shared" si="64"/>
        <v>42732619410.309998</v>
      </c>
      <c r="L109" s="303">
        <f t="shared" si="64"/>
        <v>859936305</v>
      </c>
      <c r="M109" s="304">
        <f t="shared" si="64"/>
        <v>41872683105.309998</v>
      </c>
      <c r="N109" s="303">
        <f t="shared" si="64"/>
        <v>155575618.14000002</v>
      </c>
      <c r="O109" s="304">
        <f>SUM(O104:O108)</f>
        <v>42028258723.449997</v>
      </c>
      <c r="P109" s="331"/>
      <c r="Q109" s="308"/>
      <c r="S109" s="329"/>
      <c r="T109" s="330" t="s">
        <v>2</v>
      </c>
      <c r="U109" s="332">
        <f>SUM(U104:U108)</f>
        <v>5364203796.9899998</v>
      </c>
      <c r="V109" s="332">
        <f t="shared" ref="V109:AF109" si="66">SUM(V104:V108)</f>
        <v>5229794959.1299992</v>
      </c>
      <c r="W109" s="332">
        <f t="shared" si="66"/>
        <v>25191143292.760006</v>
      </c>
      <c r="X109" s="332">
        <f t="shared" si="66"/>
        <v>9794349623.9200001</v>
      </c>
      <c r="Y109" s="332">
        <f t="shared" si="66"/>
        <v>997734090.20999992</v>
      </c>
      <c r="Z109" s="292">
        <f t="shared" si="66"/>
        <v>-859936305</v>
      </c>
      <c r="AA109" s="292">
        <f t="shared" si="66"/>
        <v>-19698.52</v>
      </c>
      <c r="AB109" s="292">
        <f t="shared" si="66"/>
        <v>155575618.14000002</v>
      </c>
      <c r="AC109" s="292">
        <f t="shared" ref="AC109" si="67">SUM(AC104:AC108)</f>
        <v>-56333.94</v>
      </c>
      <c r="AD109" s="292">
        <f t="shared" si="66"/>
        <v>-3844530320.2400007</v>
      </c>
      <c r="AE109" s="292">
        <f>SUM(AE104:AE108)</f>
        <v>-8764818184.0200005</v>
      </c>
      <c r="AF109" s="333">
        <f t="shared" si="66"/>
        <v>42028258723.449997</v>
      </c>
      <c r="AG109" s="526">
        <f>SUM(AG104:AG108)</f>
        <v>0</v>
      </c>
      <c r="AH109" s="307" t="b">
        <f>INT(AG109)=0</f>
        <v>1</v>
      </c>
      <c r="AI109" s="308"/>
      <c r="AM109" s="335"/>
    </row>
    <row r="110" spans="2:39" ht="12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9" ht="12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V111" s="583"/>
      <c r="W111" s="583"/>
      <c r="Y111" s="86">
        <f>SUM(U109:Y109)</f>
        <v>46577225763.010002</v>
      </c>
      <c r="AA111" s="1" t="s">
        <v>1</v>
      </c>
      <c r="AB111" s="1" t="s">
        <v>1</v>
      </c>
      <c r="AD111" s="307"/>
      <c r="AF111" s="307"/>
      <c r="AI111" s="4"/>
    </row>
    <row r="112" spans="2:39" ht="12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F112" s="307"/>
      <c r="AI112" s="4"/>
    </row>
    <row r="113" spans="1:35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277"/>
      <c r="AH114" s="52"/>
      <c r="AI114" s="52"/>
    </row>
    <row r="115" spans="1:35" ht="12" thickBot="1" x14ac:dyDescent="0.3">
      <c r="Q115" s="4"/>
    </row>
    <row r="116" spans="1:35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  <c r="V116" s="580"/>
      <c r="W116" s="580"/>
      <c r="AA116" s="307"/>
    </row>
    <row r="117" spans="1:35" ht="14" x14ac:dyDescent="0.3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  <c r="AA117" s="307"/>
    </row>
    <row r="118" spans="1:35" ht="15.5" x14ac:dyDescent="0.35">
      <c r="B118" s="8"/>
      <c r="C118" s="2"/>
      <c r="D118" s="57"/>
      <c r="F118" s="36" t="s">
        <v>29</v>
      </c>
      <c r="G118" s="36"/>
      <c r="O118" s="10"/>
      <c r="P118" s="2"/>
      <c r="Q118" s="4"/>
      <c r="X118" s="307"/>
      <c r="Y118" s="307"/>
      <c r="AA118" s="307"/>
    </row>
    <row r="119" spans="1:35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  <c r="X119" s="307"/>
      <c r="Y119" s="307"/>
      <c r="AA119" s="307"/>
    </row>
    <row r="120" spans="1:35" x14ac:dyDescent="0.25">
      <c r="B120" s="8"/>
      <c r="I120" s="2"/>
      <c r="J120" s="2"/>
      <c r="O120" s="10"/>
      <c r="P120" s="2"/>
      <c r="Q120" s="4"/>
      <c r="X120" s="307"/>
      <c r="Y120" s="307"/>
      <c r="AA120" s="307"/>
    </row>
    <row r="121" spans="1:35" ht="15.5" x14ac:dyDescent="0.35">
      <c r="B121" s="8"/>
      <c r="F121" s="41" t="s">
        <v>37</v>
      </c>
      <c r="G121" s="41"/>
      <c r="H121" s="2"/>
      <c r="J121" s="2"/>
      <c r="O121" s="10"/>
      <c r="P121" s="2"/>
      <c r="Q121" s="4"/>
      <c r="X121" s="307"/>
      <c r="Y121" s="307"/>
    </row>
    <row r="122" spans="1:35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  <c r="X122" s="307"/>
      <c r="Y122" s="307"/>
    </row>
    <row r="123" spans="1:35" ht="12" thickBot="1" x14ac:dyDescent="0.3">
      <c r="B123" s="8"/>
      <c r="C123" s="2" t="s">
        <v>1</v>
      </c>
      <c r="D123" s="2" t="s">
        <v>1</v>
      </c>
      <c r="O123" s="44"/>
      <c r="P123" s="2"/>
      <c r="Q123" s="4"/>
      <c r="X123" s="307"/>
      <c r="Y123" s="307"/>
    </row>
    <row r="124" spans="1:35" ht="46.5" thickBot="1" x14ac:dyDescent="0.3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s="307" customFormat="1" x14ac:dyDescent="0.25">
      <c r="B125" s="336">
        <v>1</v>
      </c>
      <c r="C125" s="337" t="s">
        <v>10</v>
      </c>
      <c r="D125" s="387">
        <f>'ANTICIPOS USUARIOS'!C3</f>
        <v>33419430.490000002</v>
      </c>
      <c r="E125" s="311">
        <v>0</v>
      </c>
      <c r="G125" s="338">
        <f>D47+N47</f>
        <v>42680</v>
      </c>
      <c r="H125" s="312">
        <f>D28+N28</f>
        <v>34844954.140000001</v>
      </c>
      <c r="I125" s="311">
        <f>D85+N85</f>
        <v>0</v>
      </c>
      <c r="J125" s="311">
        <f>D66+N66</f>
        <v>-3544507.29</v>
      </c>
      <c r="K125" s="311">
        <f>'ANTICIPOS USUARIOS'!C12</f>
        <v>40630</v>
      </c>
      <c r="L125" s="311">
        <f>-'ANTICIPOS USUARIOS'!C21</f>
        <v>1752.71</v>
      </c>
      <c r="O125" s="339"/>
      <c r="Q125" s="308"/>
      <c r="AG125" s="335"/>
    </row>
    <row r="126" spans="1:35" s="307" customFormat="1" x14ac:dyDescent="0.25">
      <c r="B126" s="316">
        <v>2</v>
      </c>
      <c r="C126" s="340" t="s">
        <v>11</v>
      </c>
      <c r="D126" s="294">
        <f>'ANTICIPOS USUARIOS'!C4</f>
        <v>88020913.75</v>
      </c>
      <c r="E126" s="290">
        <v>0</v>
      </c>
      <c r="G126" s="341">
        <f>D48+N48</f>
        <v>0</v>
      </c>
      <c r="H126" s="342">
        <f>D29+N29</f>
        <v>101713470.22999999</v>
      </c>
      <c r="I126" s="290">
        <f>D86+N86</f>
        <v>0</v>
      </c>
      <c r="J126" s="290">
        <f>D67+N67</f>
        <v>-8739602.3699999992</v>
      </c>
      <c r="K126" s="290">
        <f>'ANTICIPOS USUARIOS'!C13</f>
        <v>0</v>
      </c>
      <c r="L126" s="290">
        <f>-'ANTICIPOS USUARIOS'!C22</f>
        <v>310.63</v>
      </c>
      <c r="O126" s="339"/>
      <c r="Q126" s="308"/>
      <c r="AG126" s="335"/>
    </row>
    <row r="127" spans="1:35" s="307" customFormat="1" x14ac:dyDescent="0.25">
      <c r="B127" s="316">
        <v>3</v>
      </c>
      <c r="C127" s="340" t="s">
        <v>12</v>
      </c>
      <c r="D127" s="294">
        <f>'ANTICIPOS USUARIOS'!C5</f>
        <v>8946171</v>
      </c>
      <c r="E127" s="290">
        <v>0</v>
      </c>
      <c r="G127" s="341">
        <f>D49+N49</f>
        <v>169120</v>
      </c>
      <c r="H127" s="342">
        <f>D30+N30</f>
        <v>23629213.850000001</v>
      </c>
      <c r="I127" s="290">
        <f>D87+N87</f>
        <v>0</v>
      </c>
      <c r="J127" s="290">
        <f t="shared" ref="J127:J129" si="68">D68+N68</f>
        <v>-6125983.8899999997</v>
      </c>
      <c r="K127" s="290">
        <f>'ANTICIPOS USUARIOS'!C14</f>
        <v>2320</v>
      </c>
      <c r="L127" s="290">
        <f>-'ANTICIPOS USUARIOS'!C23</f>
        <v>984746.11</v>
      </c>
      <c r="O127" s="339"/>
      <c r="Q127" s="308"/>
      <c r="AG127" s="335"/>
    </row>
    <row r="128" spans="1:35" s="307" customFormat="1" x14ac:dyDescent="0.25">
      <c r="B128" s="316">
        <v>4</v>
      </c>
      <c r="C128" s="340" t="s">
        <v>13</v>
      </c>
      <c r="D128" s="294">
        <f>'ANTICIPOS USUARIOS'!C6</f>
        <v>41072279.719999999</v>
      </c>
      <c r="E128" s="290">
        <v>0</v>
      </c>
      <c r="G128" s="341">
        <f>D50+N50</f>
        <v>8635714</v>
      </c>
      <c r="H128" s="342">
        <f>D31+N31</f>
        <v>23548210.240000002</v>
      </c>
      <c r="I128" s="290">
        <f>D88+N88</f>
        <v>0</v>
      </c>
      <c r="J128" s="290">
        <f t="shared" si="68"/>
        <v>-22250059.780000001</v>
      </c>
      <c r="K128" s="290">
        <f>'ANTICIPOS USUARIOS'!C15</f>
        <v>10812878</v>
      </c>
      <c r="L128" s="290">
        <f>-'ANTICIPOS USUARIOS'!C24</f>
        <v>459462.22</v>
      </c>
      <c r="O128" s="339"/>
      <c r="Q128" s="308"/>
      <c r="AG128" s="335"/>
    </row>
    <row r="129" spans="1:33" s="307" customFormat="1" x14ac:dyDescent="0.25">
      <c r="B129" s="343">
        <v>5</v>
      </c>
      <c r="C129" s="344" t="s">
        <v>14</v>
      </c>
      <c r="D129" s="345">
        <f>'ANTICIPOS USUARIOS'!C7</f>
        <v>14445987</v>
      </c>
      <c r="E129" s="346">
        <v>0</v>
      </c>
      <c r="G129" s="341">
        <f>D51+N51</f>
        <v>61140</v>
      </c>
      <c r="H129" s="342">
        <f>D32+N32</f>
        <v>27520060.710000001</v>
      </c>
      <c r="I129" s="290">
        <f>D89+N89</f>
        <v>0</v>
      </c>
      <c r="J129" s="290">
        <f t="shared" si="68"/>
        <v>-9076100</v>
      </c>
      <c r="K129" s="290">
        <f>'ANTICIPOS USUARIOS'!C16</f>
        <v>309980</v>
      </c>
      <c r="L129" s="290">
        <f>-'ANTICIPOS USUARIOS'!C25</f>
        <v>133820</v>
      </c>
      <c r="O129" s="339"/>
      <c r="Q129" s="308"/>
      <c r="AG129" s="335"/>
    </row>
    <row r="130" spans="1:33" s="307" customFormat="1" ht="12" thickBot="1" x14ac:dyDescent="0.3">
      <c r="B130" s="326" t="s">
        <v>89</v>
      </c>
      <c r="C130" s="347" t="s">
        <v>113</v>
      </c>
      <c r="D130" s="299"/>
      <c r="E130" s="291">
        <f>'Recaudo Directa Occidente'!D26</f>
        <v>0</v>
      </c>
      <c r="G130" s="348"/>
      <c r="H130" s="349"/>
      <c r="I130" s="291"/>
      <c r="J130" s="291"/>
      <c r="K130" s="291"/>
      <c r="L130" s="291"/>
      <c r="O130" s="339"/>
      <c r="Q130" s="308"/>
      <c r="AG130" s="335"/>
    </row>
    <row r="131" spans="1:33" s="307" customFormat="1" ht="12" thickBot="1" x14ac:dyDescent="0.3">
      <c r="B131" s="350"/>
      <c r="C131" s="351" t="s">
        <v>2</v>
      </c>
      <c r="D131" s="352">
        <f>SUM(D125:D130)</f>
        <v>185904781.96000001</v>
      </c>
      <c r="E131" s="352">
        <f>SUM(E125:E130)</f>
        <v>0</v>
      </c>
      <c r="F131" s="353"/>
      <c r="G131" s="352">
        <f t="shared" ref="G131" si="69">SUM(G125:G129)</f>
        <v>8908654</v>
      </c>
      <c r="H131" s="352">
        <f>SUM(H125:H130)</f>
        <v>211255909.17000002</v>
      </c>
      <c r="I131" s="352">
        <f>SUM(I125:I130)</f>
        <v>0</v>
      </c>
      <c r="J131" s="352">
        <f>SUM(J125:J130)</f>
        <v>-49736253.329999998</v>
      </c>
      <c r="K131" s="352">
        <f>SUM(K125:K130)</f>
        <v>11165808</v>
      </c>
      <c r="L131" s="352">
        <f>SUM(L125:L130)</f>
        <v>1580091.67</v>
      </c>
      <c r="M131" s="353"/>
      <c r="N131" s="353"/>
      <c r="O131" s="354"/>
      <c r="P131" s="331"/>
      <c r="Q131" s="308"/>
      <c r="AG131" s="335"/>
    </row>
    <row r="132" spans="1:33" x14ac:dyDescent="0.25">
      <c r="B132" s="2"/>
      <c r="C132" s="2"/>
      <c r="D132" s="24"/>
      <c r="Q132" s="4"/>
    </row>
    <row r="133" spans="1:33" x14ac:dyDescent="0.25">
      <c r="B133" s="2"/>
      <c r="C133" s="2"/>
      <c r="D133" s="24"/>
      <c r="L133" s="1" t="s">
        <v>1</v>
      </c>
      <c r="Q133" s="4"/>
    </row>
    <row r="134" spans="1:33" ht="12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33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33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33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33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33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33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33" ht="46.5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33" x14ac:dyDescent="0.25">
      <c r="B142" s="108">
        <v>1</v>
      </c>
      <c r="C142" s="109" t="s">
        <v>10</v>
      </c>
      <c r="D142" s="110">
        <f>D104+N104+D125+E125</f>
        <v>17514305642.849998</v>
      </c>
      <c r="E142" s="110">
        <f>'Recaudo EAAB Reciprocidad'!D21+'Recaudo EAAB + Ciud Limp'!D21+'Recaudo Directa Occidente'!D21+'Recaudo ENEL'!D21+'Recaudo ENERBIT'!D21</f>
        <v>17482962516</v>
      </c>
      <c r="F142" s="110">
        <f>D28+N28</f>
        <v>34844954.140000001</v>
      </c>
      <c r="G142" s="110">
        <f>D66+N66</f>
        <v>-3544507.29</v>
      </c>
      <c r="H142" s="110">
        <f>D85+N85</f>
        <v>0</v>
      </c>
      <c r="I142" s="110">
        <f>('REPORTE RECAUDO x BANCO'!E62+'REPORTE RECAUDO x BANCO'!E63+'REPORTE RECAUDO x BANCO'!E75)*-1</f>
        <v>0</v>
      </c>
      <c r="J142" s="110">
        <f t="shared" ref="J142:K146" si="70">G125</f>
        <v>42680</v>
      </c>
      <c r="K142" s="111">
        <f t="shared" si="70"/>
        <v>34844954.140000001</v>
      </c>
      <c r="L142" s="589">
        <f>D142-E142-F142-G142-J142-H142-I142</f>
        <v>-1.5264376997947693E-6</v>
      </c>
      <c r="M142" s="1" t="b">
        <f t="shared" ref="M142:M147" si="71">INT(ABS(L142))=0</f>
        <v>1</v>
      </c>
      <c r="O142" s="55"/>
      <c r="P142" s="24"/>
      <c r="Q142" s="35"/>
      <c r="R142" s="24"/>
    </row>
    <row r="143" spans="1:33" x14ac:dyDescent="0.25">
      <c r="B143" s="16">
        <v>2</v>
      </c>
      <c r="C143" s="17" t="s">
        <v>11</v>
      </c>
      <c r="D143" s="18">
        <f>D105+N105+D126+E126</f>
        <v>14278994742.860001</v>
      </c>
      <c r="E143" s="18">
        <f>'Recaudo EAAB Reciprocidad'!D22+'Recaudo EAAB + Ciud Limp'!D22+'Recaudo Directa Occidente'!D22+'Recaudo ENEL'!D22+'Recaudo ENERBIT'!D22</f>
        <v>14185615645</v>
      </c>
      <c r="F143" s="18">
        <f>D29+N29</f>
        <v>101713470.22999999</v>
      </c>
      <c r="G143" s="18">
        <f>D67+N67</f>
        <v>-8739602.3699999992</v>
      </c>
      <c r="H143" s="18">
        <f>D86+N86</f>
        <v>0</v>
      </c>
      <c r="I143" s="18">
        <f>('REPORTE RECAUDO x BANCO'!E64+'REPORTE RECAUDO x BANCO'!E65+'REPORTE RECAUDO x BANCO'!E66+'REPORTE RECAUDO x BANCO'!E76)</f>
        <v>405230</v>
      </c>
      <c r="J143" s="18">
        <f>G126</f>
        <v>0</v>
      </c>
      <c r="K143" s="83">
        <f>H126</f>
        <v>101713470.22999999</v>
      </c>
      <c r="L143" s="589">
        <f>D143-E143-F143-G143-J143-H143-I143</f>
        <v>6.2026083469390869E-7</v>
      </c>
      <c r="M143" s="1" t="b">
        <f t="shared" si="71"/>
        <v>1</v>
      </c>
      <c r="O143" s="130"/>
      <c r="P143" s="24"/>
      <c r="Q143" s="35"/>
      <c r="R143" s="24"/>
    </row>
    <row r="144" spans="1:33" x14ac:dyDescent="0.25">
      <c r="B144" s="16">
        <v>3</v>
      </c>
      <c r="C144" s="17" t="s">
        <v>12</v>
      </c>
      <c r="D144" s="18">
        <f>D106+N106+D127+E127</f>
        <v>10925847438.960001</v>
      </c>
      <c r="E144" s="18">
        <f>'Recaudo EAAB Reciprocidad'!D23+'Recaudo EAAB + Ciud Limp'!D23+'Recaudo Directa Occidente'!D23+'Recaudo ENEL'!D23+'Recaudo ENERBIT'!D23</f>
        <v>10907983499</v>
      </c>
      <c r="F144" s="18">
        <f>D30+N30</f>
        <v>23629213.850000001</v>
      </c>
      <c r="G144" s="18">
        <f>D68+N68</f>
        <v>-6125983.8899999997</v>
      </c>
      <c r="H144" s="18">
        <f>D87+N87</f>
        <v>0</v>
      </c>
      <c r="I144" s="18">
        <f>('REPORTE RECAUDO x BANCO'!E67+'REPORTE RECAUDO x BANCO'!E68+'REPORTE RECAUDO x BANCO'!E77)</f>
        <v>191590</v>
      </c>
      <c r="J144" s="18">
        <f>G127</f>
        <v>169120</v>
      </c>
      <c r="K144" s="83">
        <f t="shared" si="70"/>
        <v>23629213.850000001</v>
      </c>
      <c r="L144" s="589">
        <f>D144-E144-F144-G144-J144-H144-I144</f>
        <v>9.8999589681625366E-7</v>
      </c>
      <c r="M144" s="1" t="b">
        <f t="shared" si="71"/>
        <v>1</v>
      </c>
      <c r="O144" s="55"/>
      <c r="P144" s="24"/>
      <c r="Q144" s="35"/>
      <c r="R144" s="24"/>
    </row>
    <row r="145" spans="1:20" x14ac:dyDescent="0.25">
      <c r="B145" s="16">
        <v>4</v>
      </c>
      <c r="C145" s="17" t="s">
        <v>13</v>
      </c>
      <c r="D145" s="18">
        <f>D107+N107+D128+E128</f>
        <v>11573204894.459999</v>
      </c>
      <c r="E145" s="18">
        <f>'Recaudo EAAB Reciprocidad'!D24+'Recaudo EAAB + Ciud Limp'!D24+'Recaudo Directa Occidente'!D24+'Recaudo ENEL'!D24+'Recaudo ENERBIT'!D24</f>
        <v>11562258440</v>
      </c>
      <c r="F145" s="18">
        <f>D31+N31</f>
        <v>23548210.240000002</v>
      </c>
      <c r="G145" s="18">
        <f>D69+N69</f>
        <v>-22250059.780000001</v>
      </c>
      <c r="H145" s="18">
        <f>D88+N88</f>
        <v>0</v>
      </c>
      <c r="I145" s="18">
        <f>('REPORTE RECAUDO x BANCO'!E69+'REPORTE RECAUDO x BANCO'!E70+'REPORTE RECAUDO x BANCO'!E71+'REPORTE RECAUDO x BANCO'!E78)</f>
        <v>1012590</v>
      </c>
      <c r="J145" s="18">
        <f t="shared" si="70"/>
        <v>8635714</v>
      </c>
      <c r="K145" s="83">
        <f>H128</f>
        <v>23548210.240000002</v>
      </c>
      <c r="L145" s="589">
        <f t="shared" ref="L145:L147" si="72">D145-E145-F145-G145-J145-H145-I145</f>
        <v>-9.1642141342163086E-7</v>
      </c>
      <c r="M145" s="1" t="b">
        <f t="shared" si="71"/>
        <v>1</v>
      </c>
      <c r="O145" s="96"/>
      <c r="P145" s="24"/>
      <c r="Q145" s="35"/>
      <c r="R145" s="24"/>
    </row>
    <row r="146" spans="1:20" ht="12" thickBot="1" x14ac:dyDescent="0.3">
      <c r="B146" s="133">
        <v>5</v>
      </c>
      <c r="C146" s="138" t="s">
        <v>14</v>
      </c>
      <c r="D146" s="134">
        <f>D108+N108+D129+E129</f>
        <v>9194201303.7099991</v>
      </c>
      <c r="E146" s="18">
        <f>'Recaudo EAAB Reciprocidad'!D25+'Recaudo EAAB + Ciud Limp'!D25+'Recaudo Directa Occidente'!D25+'Recaudo ENEL'!D25+'Recaudo ENERBIT'!D25</f>
        <v>9175344553</v>
      </c>
      <c r="F146" s="134">
        <f>D32+N32</f>
        <v>27520060.710000001</v>
      </c>
      <c r="G146" s="134">
        <f>D70+N70</f>
        <v>-9076100</v>
      </c>
      <c r="H146" s="134">
        <f>D89+N89</f>
        <v>0</v>
      </c>
      <c r="I146" s="134">
        <f>('REPORTE RECAUDO x BANCO'!E72+'REPORTE RECAUDO x BANCO'!E73+'REPORTE RECAUDO x BANCO'!E79)</f>
        <v>351650</v>
      </c>
      <c r="J146" s="134">
        <f t="shared" si="70"/>
        <v>61140</v>
      </c>
      <c r="K146" s="136">
        <f t="shared" si="70"/>
        <v>27520060.710000001</v>
      </c>
      <c r="L146" s="589">
        <f t="shared" si="72"/>
        <v>-9.1642141342163086E-7</v>
      </c>
      <c r="M146" s="1" t="b">
        <f t="shared" si="71"/>
        <v>1</v>
      </c>
      <c r="O146" s="55"/>
      <c r="P146" s="24"/>
      <c r="Q146" s="35"/>
      <c r="R146" s="24"/>
    </row>
    <row r="147" spans="1:20" ht="12" thickBot="1" x14ac:dyDescent="0.3">
      <c r="B147" s="21"/>
      <c r="C147" s="22" t="s">
        <v>2</v>
      </c>
      <c r="D147" s="47">
        <f>SUM(D142:D146)</f>
        <v>63486554022.839996</v>
      </c>
      <c r="E147" s="47">
        <f>SUM(E142:E146)</f>
        <v>63314164653</v>
      </c>
      <c r="F147" s="47">
        <f t="shared" ref="F147:K147" si="73">SUM(F142:F146)</f>
        <v>211255909.17000002</v>
      </c>
      <c r="G147" s="47">
        <f t="shared" si="73"/>
        <v>-49736253.329999998</v>
      </c>
      <c r="H147" s="47">
        <f t="shared" si="73"/>
        <v>0</v>
      </c>
      <c r="I147" s="47">
        <f t="shared" si="73"/>
        <v>1961060</v>
      </c>
      <c r="J147" s="47">
        <f t="shared" si="73"/>
        <v>8908654</v>
      </c>
      <c r="K147" s="47">
        <f t="shared" si="73"/>
        <v>211255909.17000002</v>
      </c>
      <c r="L147" s="589">
        <f t="shared" si="72"/>
        <v>-3.6805868148803711E-6</v>
      </c>
      <c r="M147" s="1" t="b">
        <f t="shared" si="71"/>
        <v>1</v>
      </c>
      <c r="P147" s="24"/>
      <c r="Q147" s="35"/>
      <c r="R147" s="24"/>
    </row>
    <row r="148" spans="1:20" x14ac:dyDescent="0.25">
      <c r="B148" s="2"/>
      <c r="E148" s="24"/>
      <c r="F148" s="55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E149" s="24"/>
      <c r="F149" s="24"/>
      <c r="G149" s="24"/>
      <c r="H149" s="24"/>
      <c r="I149" s="24"/>
      <c r="J149" s="1" t="s">
        <v>1</v>
      </c>
      <c r="K149" s="24"/>
      <c r="L149" s="24"/>
      <c r="M149" s="24"/>
      <c r="N149" s="24"/>
      <c r="O149" s="24"/>
      <c r="Q149" s="35"/>
    </row>
    <row r="150" spans="1:20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5">
      <c r="E152" s="55"/>
      <c r="N152" s="24"/>
      <c r="O152" s="24"/>
      <c r="Q152" s="24"/>
      <c r="T152" s="24"/>
    </row>
    <row r="153" spans="1:20" x14ac:dyDescent="0.25">
      <c r="N153" s="24"/>
      <c r="O153" s="24"/>
      <c r="Q153" s="24"/>
      <c r="T153" s="24"/>
    </row>
    <row r="154" spans="1:20" x14ac:dyDescent="0.25">
      <c r="D154" s="307"/>
      <c r="E154" s="96"/>
      <c r="F154" s="307"/>
      <c r="G154" s="307"/>
      <c r="H154" s="307"/>
      <c r="K154" s="580"/>
      <c r="N154" s="24"/>
      <c r="O154" s="24"/>
      <c r="Q154" s="24"/>
      <c r="T154" s="24"/>
    </row>
    <row r="155" spans="1:20" x14ac:dyDescent="0.25">
      <c r="D155" s="307"/>
      <c r="K155" s="581"/>
      <c r="N155" s="24"/>
      <c r="O155" s="24"/>
      <c r="Q155" s="24"/>
      <c r="T155" s="24"/>
    </row>
    <row r="156" spans="1:20" x14ac:dyDescent="0.25">
      <c r="D156" s="580"/>
      <c r="N156" s="24"/>
      <c r="O156" s="24"/>
      <c r="Q156" s="24"/>
      <c r="T156" s="24"/>
    </row>
    <row r="157" spans="1:20" x14ac:dyDescent="0.25">
      <c r="N157" s="24"/>
      <c r="O157" s="24"/>
      <c r="Q157" s="24"/>
      <c r="T157" s="24"/>
    </row>
    <row r="158" spans="1:20" x14ac:dyDescent="0.25">
      <c r="N158" s="24"/>
      <c r="O158" s="24"/>
      <c r="Q158" s="24"/>
      <c r="T158" s="24"/>
    </row>
    <row r="159" spans="1:20" x14ac:dyDescent="0.25">
      <c r="N159" s="24"/>
      <c r="O159" s="24"/>
      <c r="Q159" s="24"/>
      <c r="T159" s="24"/>
    </row>
    <row r="160" spans="1:20" x14ac:dyDescent="0.25">
      <c r="N160" s="24"/>
      <c r="O160" s="24"/>
      <c r="Q160" s="24"/>
      <c r="T160" s="24"/>
    </row>
    <row r="161" spans="14:20" x14ac:dyDescent="0.25">
      <c r="N161" s="24"/>
      <c r="O161" s="24"/>
      <c r="Q161" s="24"/>
      <c r="T161" s="24"/>
    </row>
    <row r="162" spans="14:20" x14ac:dyDescent="0.25">
      <c r="N162" s="24"/>
      <c r="O162" s="24"/>
      <c r="Q162" s="24"/>
      <c r="T162" s="24"/>
    </row>
    <row r="163" spans="14:20" x14ac:dyDescent="0.25">
      <c r="N163" s="24"/>
      <c r="O163" s="24"/>
      <c r="Q163" s="24"/>
      <c r="T163" s="24"/>
    </row>
    <row r="164" spans="14:20" x14ac:dyDescent="0.25">
      <c r="N164" s="24"/>
      <c r="O164" s="24"/>
      <c r="Q164" s="24"/>
      <c r="T164" s="24"/>
    </row>
    <row r="165" spans="14:20" x14ac:dyDescent="0.25">
      <c r="N165" s="24"/>
      <c r="O165" s="24"/>
      <c r="Q165" s="24"/>
      <c r="T165" s="24"/>
    </row>
    <row r="166" spans="14:20" x14ac:dyDescent="0.25">
      <c r="Q166" s="24"/>
      <c r="T166" s="24"/>
    </row>
    <row r="167" spans="14:20" x14ac:dyDescent="0.25">
      <c r="Q167" s="24"/>
    </row>
  </sheetData>
  <phoneticPr fontId="21" type="noConversion"/>
  <conditionalFormatting sqref="L142:L147">
    <cfRule type="expression" dxfId="75" priority="6">
      <formula>$L$142&lt;&gt;0</formula>
    </cfRule>
  </conditionalFormatting>
  <conditionalFormatting sqref="M142:M147">
    <cfRule type="cellIs" dxfId="74" priority="19" operator="notEqual">
      <formula>TRUE</formula>
    </cfRule>
  </conditionalFormatting>
  <conditionalFormatting sqref="AH9:AH14">
    <cfRule type="cellIs" dxfId="73" priority="1" operator="notEqual">
      <formula>TRUE</formula>
    </cfRule>
  </conditionalFormatting>
  <conditionalFormatting sqref="AH28:AH33">
    <cfRule type="cellIs" dxfId="72" priority="2" operator="notEqual">
      <formula>TRUE</formula>
    </cfRule>
  </conditionalFormatting>
  <conditionalFormatting sqref="AH47:AH52">
    <cfRule type="cellIs" dxfId="71" priority="3" operator="notEqual">
      <formula>TRUE</formula>
    </cfRule>
  </conditionalFormatting>
  <conditionalFormatting sqref="AH66:AH71">
    <cfRule type="cellIs" dxfId="70" priority="4" operator="notEqual">
      <formula>TRUE</formula>
    </cfRule>
  </conditionalFormatting>
  <conditionalFormatting sqref="AH85:AH90">
    <cfRule type="cellIs" dxfId="69" priority="5" operator="notEqual">
      <formula>TRUE</formula>
    </cfRule>
  </conditionalFormatting>
  <conditionalFormatting sqref="AH104:AH109">
    <cfRule type="cellIs" dxfId="68" priority="7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M104:M105 K104:K106 AD104:AD108 K108 M108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FF00"/>
  </sheetPr>
  <dimension ref="B1:R38"/>
  <sheetViews>
    <sheetView zoomScale="90" zoomScaleNormal="90" workbookViewId="0">
      <selection activeCell="C14" sqref="C14"/>
    </sheetView>
  </sheetViews>
  <sheetFormatPr baseColWidth="10" defaultRowHeight="12.5" x14ac:dyDescent="0.25"/>
  <cols>
    <col min="1" max="1" width="3" customWidth="1"/>
    <col min="2" max="2" width="4.26953125" bestFit="1" customWidth="1"/>
    <col min="3" max="4" width="16.7265625" customWidth="1"/>
    <col min="5" max="7" width="17.7265625" customWidth="1"/>
    <col min="8" max="8" width="18.26953125" customWidth="1"/>
    <col min="9" max="9" width="15.7265625" customWidth="1"/>
    <col min="10" max="10" width="16.453125" customWidth="1"/>
    <col min="11" max="11" width="15.7265625" customWidth="1"/>
    <col min="12" max="13" width="18.26953125" customWidth="1"/>
    <col min="14" max="14" width="15.7265625" customWidth="1"/>
    <col min="15" max="15" width="16" bestFit="1" customWidth="1"/>
    <col min="16" max="16" width="14.453125" customWidth="1"/>
    <col min="17" max="17" width="12.54296875" bestFit="1" customWidth="1"/>
  </cols>
  <sheetData>
    <row r="1" spans="2:16" ht="13" thickBot="1" x14ac:dyDescent="0.3"/>
    <row r="2" spans="2:16" ht="35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7" customFormat="1" x14ac:dyDescent="0.25">
      <c r="B3" s="305">
        <v>1</v>
      </c>
      <c r="C3" s="294">
        <f>'Recaudo EAAB Reciprocidad'!D21+'Recaudo EAAB + Ciud Limp'!D21+'Recaudo Directa Occidente'!D21+'Recaudo ENEL'!D21+'Recaudo ENERBIT'!D21</f>
        <v>17482962516</v>
      </c>
      <c r="D3" s="294">
        <f>'CONSOLIDADO_TOTAL RECAUDO'!G125</f>
        <v>42680</v>
      </c>
      <c r="E3" s="294">
        <f>'CONSOLIDADO_TOTAL RECAUDO'!D28+'CONSOLIDADO_TOTAL RECAUDO'!N28</f>
        <v>34844954.140000001</v>
      </c>
      <c r="F3" s="294">
        <f>'CONSOLIDADO_TOTAL RECAUDO'!I142</f>
        <v>0</v>
      </c>
      <c r="G3" s="294">
        <f>'CONSOLIDADO_TOTAL RECAUDO'!H142</f>
        <v>0</v>
      </c>
      <c r="H3" s="342">
        <f>SUM(C3:G3)</f>
        <v>17517850150.139999</v>
      </c>
      <c r="I3" s="293">
        <f>'CONSOLIDADO_TOTAL RECAUDO'!D104</f>
        <v>17450250542.779995</v>
      </c>
      <c r="J3" s="294">
        <f>'CONSOLIDADO_TOTAL RECAUDO'!N104</f>
        <v>30635669.579999998</v>
      </c>
      <c r="K3" s="294">
        <f>'CONSOLIDADO_TOTAL RECAUDO'!D125</f>
        <v>33419430.490000002</v>
      </c>
      <c r="L3" s="355">
        <f>'CONSOLIDADO_TOTAL RECAUDO'!E125</f>
        <v>0</v>
      </c>
      <c r="M3" s="294">
        <f>-'CONSOLIDADO_TOTAL RECAUDO'!D66-'CONSOLIDADO_TOTAL RECAUDO'!N66</f>
        <v>3544507.29</v>
      </c>
      <c r="N3" s="290">
        <f>SUM(I3:M3)</f>
        <v>17517850150.139999</v>
      </c>
      <c r="O3" s="356">
        <f>H3-N3</f>
        <v>0</v>
      </c>
      <c r="P3" s="1" t="b">
        <f t="shared" ref="P3:P9" si="0">INT(O3)=0</f>
        <v>1</v>
      </c>
    </row>
    <row r="4" spans="2:16" s="357" customFormat="1" x14ac:dyDescent="0.25">
      <c r="B4" s="316">
        <v>2</v>
      </c>
      <c r="C4" s="294">
        <f>'Recaudo EAAB Reciprocidad'!D22+'Recaudo EAAB + Ciud Limp'!D22+'Recaudo Directa Occidente'!D22+'Recaudo ENEL'!D22+'Recaudo ENERBIT'!D22</f>
        <v>14185615645</v>
      </c>
      <c r="D4" s="294">
        <f>'CONSOLIDADO_TOTAL RECAUDO'!G126</f>
        <v>0</v>
      </c>
      <c r="E4" s="294">
        <f>'CONSOLIDADO_TOTAL RECAUDO'!D29+'CONSOLIDADO_TOTAL RECAUDO'!N29</f>
        <v>101713470.22999999</v>
      </c>
      <c r="F4" s="294">
        <f>'CONSOLIDADO_TOTAL RECAUDO'!I143</f>
        <v>405230</v>
      </c>
      <c r="G4" s="294">
        <f>'CONSOLIDADO_TOTAL RECAUDO'!H143</f>
        <v>0</v>
      </c>
      <c r="H4" s="342">
        <f t="shared" ref="H4:H8" si="1">SUM(C4:G4)</f>
        <v>14287734345.23</v>
      </c>
      <c r="I4" s="293">
        <f>'CONSOLIDADO_TOTAL RECAUDO'!D105</f>
        <v>14147357755.390001</v>
      </c>
      <c r="J4" s="294">
        <f>'CONSOLIDADO_TOTAL RECAUDO'!N105</f>
        <v>43616073.719999999</v>
      </c>
      <c r="K4" s="294">
        <f>'CONSOLIDADO_TOTAL RECAUDO'!D126</f>
        <v>88020913.75</v>
      </c>
      <c r="L4" s="355">
        <f>'CONSOLIDADO_TOTAL RECAUDO'!E126</f>
        <v>0</v>
      </c>
      <c r="M4" s="294">
        <f>-'CONSOLIDADO_TOTAL RECAUDO'!D67-'CONSOLIDADO_TOTAL RECAUDO'!N67</f>
        <v>8739602.3699999992</v>
      </c>
      <c r="N4" s="320">
        <f>SUM(I4:M4)</f>
        <v>14287734345.230001</v>
      </c>
      <c r="O4" s="356">
        <f t="shared" ref="O4:O6" si="2">H4-N4</f>
        <v>0</v>
      </c>
      <c r="P4" s="1" t="b">
        <f t="shared" si="0"/>
        <v>1</v>
      </c>
    </row>
    <row r="5" spans="2:16" s="357" customFormat="1" x14ac:dyDescent="0.25">
      <c r="B5" s="316">
        <v>3</v>
      </c>
      <c r="C5" s="294">
        <f>'Recaudo EAAB Reciprocidad'!D23+'Recaudo EAAB + Ciud Limp'!D23+'Recaudo Directa Occidente'!D23+'Recaudo ENEL'!D23+'Recaudo ENERBIT'!D23</f>
        <v>10907983499</v>
      </c>
      <c r="D5" s="294">
        <f>'CONSOLIDADO_TOTAL RECAUDO'!G127</f>
        <v>169120</v>
      </c>
      <c r="E5" s="294">
        <f>'CONSOLIDADO_TOTAL RECAUDO'!D30+'CONSOLIDADO_TOTAL RECAUDO'!N30</f>
        <v>23629213.850000001</v>
      </c>
      <c r="F5" s="294">
        <f>'CONSOLIDADO_TOTAL RECAUDO'!I144</f>
        <v>191590</v>
      </c>
      <c r="G5" s="294">
        <f>'CONSOLIDADO_TOTAL RECAUDO'!H144</f>
        <v>0</v>
      </c>
      <c r="H5" s="342">
        <f t="shared" si="1"/>
        <v>10931973422.85</v>
      </c>
      <c r="I5" s="293">
        <f>'CONSOLIDADO_TOTAL RECAUDO'!D106</f>
        <v>10891338739.480001</v>
      </c>
      <c r="J5" s="294">
        <f>'CONSOLIDADO_TOTAL RECAUDO'!N106</f>
        <v>25562528.48</v>
      </c>
      <c r="K5" s="294">
        <f>'CONSOLIDADO_TOTAL RECAUDO'!D127</f>
        <v>8946171</v>
      </c>
      <c r="L5" s="355">
        <f>'CONSOLIDADO_TOTAL RECAUDO'!E127</f>
        <v>0</v>
      </c>
      <c r="M5" s="294">
        <f>-'CONSOLIDADO_TOTAL RECAUDO'!D68-'CONSOLIDADO_TOTAL RECAUDO'!N68</f>
        <v>6125983.8899999997</v>
      </c>
      <c r="N5" s="320">
        <f>SUM(I5:M5)</f>
        <v>10931973422.85</v>
      </c>
      <c r="O5" s="356">
        <f>H5-N5</f>
        <v>0</v>
      </c>
      <c r="P5" s="1" t="b">
        <f t="shared" si="0"/>
        <v>1</v>
      </c>
    </row>
    <row r="6" spans="2:16" s="357" customFormat="1" x14ac:dyDescent="0.25">
      <c r="B6" s="316">
        <v>4</v>
      </c>
      <c r="C6" s="294">
        <f>'Recaudo EAAB Reciprocidad'!D24+'Recaudo EAAB + Ciud Limp'!D24+'Recaudo Directa Occidente'!D24+'Recaudo ENEL'!D24+'Recaudo ENERBIT'!D24</f>
        <v>11562258440</v>
      </c>
      <c r="D6" s="294">
        <f>'CONSOLIDADO_TOTAL RECAUDO'!G128</f>
        <v>8635714</v>
      </c>
      <c r="E6" s="294">
        <f>'CONSOLIDADO_TOTAL RECAUDO'!D31+'CONSOLIDADO_TOTAL RECAUDO'!N31</f>
        <v>23548210.240000002</v>
      </c>
      <c r="F6" s="294">
        <f>'CONSOLIDADO_TOTAL RECAUDO'!I145</f>
        <v>1012590</v>
      </c>
      <c r="G6" s="294">
        <f>'CONSOLIDADO_TOTAL RECAUDO'!H145</f>
        <v>0</v>
      </c>
      <c r="H6" s="342">
        <f t="shared" si="1"/>
        <v>11595454954.24</v>
      </c>
      <c r="I6" s="293">
        <f>'CONSOLIDADO_TOTAL RECAUDO'!D107</f>
        <v>11508947206.76</v>
      </c>
      <c r="J6" s="294">
        <f>'CONSOLIDADO_TOTAL RECAUDO'!N107</f>
        <v>23185407.98</v>
      </c>
      <c r="K6" s="294">
        <f>'CONSOLIDADO_TOTAL RECAUDO'!D128</f>
        <v>41072279.719999999</v>
      </c>
      <c r="L6" s="355">
        <f>'CONSOLIDADO_TOTAL RECAUDO'!E128</f>
        <v>0</v>
      </c>
      <c r="M6" s="294">
        <f>-'CONSOLIDADO_TOTAL RECAUDO'!D69-'CONSOLIDADO_TOTAL RECAUDO'!N69</f>
        <v>22250059.780000001</v>
      </c>
      <c r="N6" s="320">
        <f t="shared" ref="N6:N7" si="3">SUM(I6:M6)</f>
        <v>11595454954.24</v>
      </c>
      <c r="O6" s="356">
        <f t="shared" si="2"/>
        <v>0</v>
      </c>
      <c r="P6" s="1" t="b">
        <f t="shared" si="0"/>
        <v>1</v>
      </c>
    </row>
    <row r="7" spans="2:16" s="357" customFormat="1" x14ac:dyDescent="0.25">
      <c r="B7" s="316">
        <v>5</v>
      </c>
      <c r="C7" s="294">
        <f>'Recaudo EAAB Reciprocidad'!D25+'Recaudo EAAB + Ciud Limp'!D25+'Recaudo Directa Occidente'!D25+'Recaudo ENEL'!D25+'Recaudo ENERBIT'!D25</f>
        <v>9175344553</v>
      </c>
      <c r="D7" s="294">
        <f>'CONSOLIDADO_TOTAL RECAUDO'!G129</f>
        <v>61140</v>
      </c>
      <c r="E7" s="294">
        <f>'CONSOLIDADO_TOTAL RECAUDO'!D32+'CONSOLIDADO_TOTAL RECAUDO'!N32</f>
        <v>27520060.710000001</v>
      </c>
      <c r="F7" s="294">
        <f>'CONSOLIDADO_TOTAL RECAUDO'!I146</f>
        <v>351650</v>
      </c>
      <c r="G7" s="294">
        <f>'CONSOLIDADO_TOTAL RECAUDO'!H146</f>
        <v>0</v>
      </c>
      <c r="H7" s="342">
        <f>SUM(C7:G7)</f>
        <v>9203277403.7099991</v>
      </c>
      <c r="I7" s="293">
        <f>'CONSOLIDADO_TOTAL RECAUDO'!D108</f>
        <v>9147179378.3299999</v>
      </c>
      <c r="J7" s="294">
        <f>'CONSOLIDADO_TOTAL RECAUDO'!N108</f>
        <v>32575938.379999999</v>
      </c>
      <c r="K7" s="294">
        <f>'CONSOLIDADO_TOTAL RECAUDO'!D129</f>
        <v>14445987</v>
      </c>
      <c r="L7" s="355">
        <f>'CONSOLIDADO_TOTAL RECAUDO'!E129</f>
        <v>0</v>
      </c>
      <c r="M7" s="294">
        <f>-'CONSOLIDADO_TOTAL RECAUDO'!D70-'CONSOLIDADO_TOTAL RECAUDO'!N70</f>
        <v>9076100</v>
      </c>
      <c r="N7" s="320">
        <f t="shared" si="3"/>
        <v>9203277403.7099991</v>
      </c>
      <c r="O7" s="356">
        <f>H7-N7</f>
        <v>0</v>
      </c>
      <c r="P7" s="1" t="b">
        <f t="shared" si="0"/>
        <v>1</v>
      </c>
    </row>
    <row r="8" spans="2:16" s="357" customFormat="1" ht="13" thickBot="1" x14ac:dyDescent="0.3">
      <c r="B8" s="343" t="s">
        <v>89</v>
      </c>
      <c r="C8" s="358">
        <f>'Recaudo EAAB Reciprocidad'!D26+'Recaudo EAAB + Ciud Limp'!D26+'Recaudo Directa Occidente'!D26+'Recaudo ENEL'!D26+'Recaudo ENERBIT'!D26</f>
        <v>0</v>
      </c>
      <c r="D8" s="358">
        <v>0</v>
      </c>
      <c r="E8" s="358">
        <v>0</v>
      </c>
      <c r="F8" s="358">
        <v>0</v>
      </c>
      <c r="G8" s="358">
        <v>0</v>
      </c>
      <c r="H8" s="342">
        <f t="shared" si="1"/>
        <v>0</v>
      </c>
      <c r="I8" s="359">
        <v>0</v>
      </c>
      <c r="J8" s="345">
        <v>0</v>
      </c>
      <c r="K8" s="345">
        <v>0</v>
      </c>
      <c r="L8" s="355">
        <f>'CONSOLIDADO_TOTAL RECAUDO'!E130</f>
        <v>0</v>
      </c>
      <c r="M8" s="358">
        <v>0</v>
      </c>
      <c r="N8" s="360">
        <f>SUM(I8:L8)-M8</f>
        <v>0</v>
      </c>
      <c r="O8" s="356">
        <f>H8-N8</f>
        <v>0</v>
      </c>
      <c r="P8" s="1" t="b">
        <f t="shared" si="0"/>
        <v>1</v>
      </c>
    </row>
    <row r="9" spans="2:16" s="357" customFormat="1" ht="13" thickBot="1" x14ac:dyDescent="0.3">
      <c r="B9" s="329"/>
      <c r="C9" s="292">
        <f>SUM(C3:C8)</f>
        <v>63314164653</v>
      </c>
      <c r="D9" s="292">
        <f t="shared" ref="D9:L9" si="4">SUM(D3:D8)</f>
        <v>8908654</v>
      </c>
      <c r="E9" s="292">
        <f t="shared" si="4"/>
        <v>211255909.17000002</v>
      </c>
      <c r="F9" s="292">
        <f t="shared" si="4"/>
        <v>1961060</v>
      </c>
      <c r="G9" s="292">
        <f t="shared" si="4"/>
        <v>0</v>
      </c>
      <c r="H9" s="292">
        <f t="shared" si="4"/>
        <v>63536290276.169998</v>
      </c>
      <c r="I9" s="292">
        <f t="shared" si="4"/>
        <v>63145073622.740005</v>
      </c>
      <c r="J9" s="292">
        <f t="shared" si="4"/>
        <v>155575618.14000002</v>
      </c>
      <c r="K9" s="292">
        <f t="shared" si="4"/>
        <v>185904781.96000001</v>
      </c>
      <c r="L9" s="292">
        <f t="shared" si="4"/>
        <v>0</v>
      </c>
      <c r="M9" s="292">
        <f>SUM(M3:M8)</f>
        <v>49736253.329999998</v>
      </c>
      <c r="N9" s="292">
        <f>SUM(N3:N8)</f>
        <v>63536290276.169998</v>
      </c>
      <c r="O9" s="361">
        <f>SUM(O3:O8)</f>
        <v>0</v>
      </c>
      <c r="P9" s="1" t="b">
        <f t="shared" si="0"/>
        <v>1</v>
      </c>
    </row>
    <row r="11" spans="2:16" ht="13" x14ac:dyDescent="0.3">
      <c r="B11" s="102" t="s">
        <v>89</v>
      </c>
      <c r="C11" s="103" t="s">
        <v>90</v>
      </c>
      <c r="M11" s="141"/>
      <c r="O11" s="137"/>
    </row>
    <row r="12" spans="2:16" x14ac:dyDescent="0.25">
      <c r="C12" s="143"/>
      <c r="M12" s="357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Recaudo'!F10</f>
        <v>63314164653</v>
      </c>
      <c r="D14" s="212"/>
    </row>
    <row r="15" spans="2:16" x14ac:dyDescent="0.25">
      <c r="C15" s="249" t="b">
        <f>C14=C9</f>
        <v>1</v>
      </c>
    </row>
    <row r="16" spans="2:16" x14ac:dyDescent="0.25">
      <c r="C16" s="357"/>
    </row>
    <row r="18" spans="3:18" ht="13.5" thickBot="1" x14ac:dyDescent="0.35">
      <c r="D18" s="697" t="s">
        <v>268</v>
      </c>
      <c r="E18" s="697"/>
    </row>
    <row r="19" spans="3:18" ht="35" thickBot="1" x14ac:dyDescent="0.3">
      <c r="D19" s="28" t="s">
        <v>55</v>
      </c>
      <c r="E19" s="28" t="s">
        <v>50</v>
      </c>
      <c r="F19" s="28" t="s">
        <v>57</v>
      </c>
      <c r="G19" s="28" t="s">
        <v>129</v>
      </c>
      <c r="H19" s="28" t="s">
        <v>130</v>
      </c>
      <c r="I19" s="131" t="s">
        <v>52</v>
      </c>
      <c r="J19" s="12" t="s">
        <v>58</v>
      </c>
      <c r="K19" s="12" t="s">
        <v>59</v>
      </c>
      <c r="L19" s="12" t="s">
        <v>53</v>
      </c>
      <c r="M19" s="27" t="s">
        <v>60</v>
      </c>
      <c r="N19" s="65" t="s">
        <v>92</v>
      </c>
      <c r="O19" s="132" t="s">
        <v>54</v>
      </c>
    </row>
    <row r="20" spans="3:18" x14ac:dyDescent="0.25">
      <c r="C20" t="s">
        <v>202</v>
      </c>
      <c r="D20" s="688">
        <f>VALIDACION_RECIP!C9</f>
        <v>19010440</v>
      </c>
      <c r="E20" s="688">
        <f>VALIDACION_RECIP!D9</f>
        <v>208970</v>
      </c>
      <c r="F20" s="688">
        <f>VALIDACION_RECIP!E9</f>
        <v>20863639.890000001</v>
      </c>
      <c r="G20" s="688">
        <f>VALIDACION_RECIP!F9</f>
        <v>0</v>
      </c>
      <c r="H20" s="688">
        <f>VALIDACION_RECIP!G9</f>
        <v>0</v>
      </c>
      <c r="I20" s="688">
        <f>VALIDACION_RECIP!H9</f>
        <v>40083049.890000001</v>
      </c>
      <c r="J20" s="688">
        <f>VALIDACION_RECIP!I9</f>
        <v>26413819.890000001</v>
      </c>
      <c r="K20" s="688">
        <f>VALIDACION_RECIP!J9</f>
        <v>0</v>
      </c>
      <c r="L20" s="688">
        <f>VALIDACION_RECIP!K9</f>
        <v>13407230</v>
      </c>
      <c r="M20" s="688">
        <f>VALIDACION_RECIP!L9</f>
        <v>0</v>
      </c>
      <c r="N20" s="688">
        <f>VALIDACION_RECIP!M9</f>
        <v>262000</v>
      </c>
      <c r="O20" s="688">
        <f>VALIDACION_RECIP!N9</f>
        <v>40083049.890000001</v>
      </c>
    </row>
    <row r="21" spans="3:18" x14ac:dyDescent="0.25">
      <c r="C21" s="167" t="s">
        <v>155</v>
      </c>
      <c r="D21" s="688">
        <f>VALIDACION_ENEL!C9</f>
        <v>59740889865</v>
      </c>
      <c r="E21" s="688">
        <f>VALIDACION_ENEL!D9</f>
        <v>8322850</v>
      </c>
      <c r="F21" s="688">
        <f>VALIDACION_ENEL!E9</f>
        <v>150594674.21999997</v>
      </c>
      <c r="G21" s="688">
        <f>VALIDACION_ENEL!F9</f>
        <v>1961060</v>
      </c>
      <c r="H21" s="688">
        <f>VALIDACION_ENEL!G9</f>
        <v>0</v>
      </c>
      <c r="I21" s="688">
        <f>VALIDACION_ENEL!H9</f>
        <v>59901768449.220001</v>
      </c>
      <c r="J21" s="688">
        <f>VALIDACION_ENEL!I9</f>
        <v>59677535897.490005</v>
      </c>
      <c r="K21" s="688">
        <f>VALIDACION_ENEL!J9</f>
        <v>80999589.399999991</v>
      </c>
      <c r="L21" s="688">
        <f>VALIDACION_ENEL!K9</f>
        <v>95923744</v>
      </c>
      <c r="M21" s="688">
        <f>VALIDACION_ENEL!L9</f>
        <v>0</v>
      </c>
      <c r="N21" s="688">
        <f>VALIDACION_ENEL!M9</f>
        <v>47309218.329999998</v>
      </c>
      <c r="O21" s="688">
        <f>VALIDACION_ENEL!N9</f>
        <v>59901768449.220009</v>
      </c>
    </row>
    <row r="22" spans="3:18" x14ac:dyDescent="0.25">
      <c r="C22" s="746" t="s">
        <v>324</v>
      </c>
      <c r="D22" s="688">
        <f>VALIDACION_ENERBIT!C9</f>
        <v>138550812</v>
      </c>
      <c r="E22" s="688">
        <f>VALIDACION_ENERBIT!D9</f>
        <v>0</v>
      </c>
      <c r="F22" s="688">
        <f>VALIDACION_ENERBIT!E9</f>
        <v>0</v>
      </c>
      <c r="G22" s="688">
        <f>VALIDACION_ENERBIT!F9</f>
        <v>0</v>
      </c>
      <c r="H22" s="688">
        <f>VALIDACION_ENERBIT!G9</f>
        <v>0</v>
      </c>
      <c r="I22" s="688">
        <f>VALIDACION_ENERBIT!H9</f>
        <v>138550812</v>
      </c>
      <c r="J22" s="688">
        <f>VALIDACION_ENERBIT!I9</f>
        <v>137170902</v>
      </c>
      <c r="K22" s="688">
        <f>VALIDACION_ENERBIT!J9</f>
        <v>0</v>
      </c>
      <c r="L22" s="688">
        <f>VALIDACION_ENERBIT!K9</f>
        <v>1379910</v>
      </c>
      <c r="M22" s="688">
        <f>VALIDACION_ENERBIT!L9</f>
        <v>0</v>
      </c>
      <c r="N22" s="688">
        <f>VALIDACION_ENERBIT!M9</f>
        <v>0</v>
      </c>
      <c r="O22" s="688">
        <f>VALIDACION_ENERBIT!N9</f>
        <v>138550812</v>
      </c>
    </row>
    <row r="23" spans="3:18" x14ac:dyDescent="0.25">
      <c r="C23" s="212" t="s">
        <v>119</v>
      </c>
      <c r="D23" s="688">
        <f>VALIDACION_OCCIDENTE!C9</f>
        <v>3415713536</v>
      </c>
      <c r="E23" s="688">
        <f>VALIDACION_OCCIDENTE!D9</f>
        <v>376834</v>
      </c>
      <c r="F23" s="688">
        <f>VALIDACION_OCCIDENTE!E9</f>
        <v>39797595.060000002</v>
      </c>
      <c r="G23" s="688">
        <f>VALIDACION_OCCIDENTE!F9</f>
        <v>0</v>
      </c>
      <c r="H23" s="688">
        <f>VALIDACION_OCCIDENTE!G9</f>
        <v>0</v>
      </c>
      <c r="I23" s="688">
        <f>VALIDACION_OCCIDENTE!H9</f>
        <v>3455887965.0599999</v>
      </c>
      <c r="J23" s="688">
        <f>VALIDACION_OCCIDENTE!I9</f>
        <v>3303953003.3599997</v>
      </c>
      <c r="K23" s="688">
        <f>VALIDACION_OCCIDENTE!J9</f>
        <v>74576028.74000001</v>
      </c>
      <c r="L23" s="688">
        <f>VALIDACION_OCCIDENTE!K9</f>
        <v>75193897.960000008</v>
      </c>
      <c r="M23" s="688">
        <f>VALIDACION_OCCIDENTE!L9</f>
        <v>0</v>
      </c>
      <c r="N23" s="688">
        <f>VALIDACION_OCCIDENTE!M9</f>
        <v>2165035</v>
      </c>
      <c r="O23" s="688">
        <f>VALIDACION_OCCIDENTE!N9</f>
        <v>3455887965.0599999</v>
      </c>
    </row>
    <row r="24" spans="3:18" x14ac:dyDescent="0.25">
      <c r="D24" s="698">
        <f>SUM(D20:D23)</f>
        <v>63314164653</v>
      </c>
      <c r="E24" s="141">
        <f t="shared" ref="E24:O24" si="5">SUM(E20:E23)</f>
        <v>8908654</v>
      </c>
      <c r="F24" s="141">
        <f>SUM(F20:F23)</f>
        <v>211255909.16999996</v>
      </c>
      <c r="G24" s="141">
        <f t="shared" si="5"/>
        <v>1961060</v>
      </c>
      <c r="H24" s="141">
        <f t="shared" si="5"/>
        <v>0</v>
      </c>
      <c r="I24" s="141">
        <f t="shared" si="5"/>
        <v>63536290276.169998</v>
      </c>
      <c r="J24" s="141">
        <f t="shared" si="5"/>
        <v>63145073622.740005</v>
      </c>
      <c r="K24" s="141">
        <f t="shared" si="5"/>
        <v>155575618.13999999</v>
      </c>
      <c r="L24" s="141">
        <f t="shared" si="5"/>
        <v>185904781.96000001</v>
      </c>
      <c r="M24" s="141">
        <f t="shared" si="5"/>
        <v>0</v>
      </c>
      <c r="N24" s="141">
        <f t="shared" si="5"/>
        <v>49736253.329999998</v>
      </c>
      <c r="O24" s="141">
        <f t="shared" si="5"/>
        <v>63536290276.170006</v>
      </c>
    </row>
    <row r="25" spans="3:18" x14ac:dyDescent="0.25">
      <c r="D25" t="b">
        <f>D24=C9</f>
        <v>1</v>
      </c>
      <c r="E25" t="b">
        <f t="shared" ref="E25:O25" si="6">E24=D9</f>
        <v>1</v>
      </c>
      <c r="F25" t="b">
        <f>F24=E9</f>
        <v>1</v>
      </c>
      <c r="G25" t="b">
        <f t="shared" si="6"/>
        <v>1</v>
      </c>
      <c r="H25" t="b">
        <f t="shared" si="6"/>
        <v>1</v>
      </c>
      <c r="I25" t="b">
        <f t="shared" si="6"/>
        <v>1</v>
      </c>
      <c r="J25" t="b">
        <f>J24=I9</f>
        <v>1</v>
      </c>
      <c r="K25" t="b">
        <f t="shared" si="6"/>
        <v>1</v>
      </c>
      <c r="L25" t="b">
        <f t="shared" si="6"/>
        <v>1</v>
      </c>
      <c r="M25" t="b">
        <f t="shared" si="6"/>
        <v>1</v>
      </c>
      <c r="N25" t="b">
        <f t="shared" si="6"/>
        <v>1</v>
      </c>
      <c r="O25" t="b">
        <f t="shared" si="6"/>
        <v>1</v>
      </c>
    </row>
    <row r="27" spans="3:18" ht="13.5" thickBot="1" x14ac:dyDescent="0.35">
      <c r="D27" s="697" t="s">
        <v>269</v>
      </c>
    </row>
    <row r="28" spans="3:18" ht="57" customHeight="1" thickBot="1" x14ac:dyDescent="0.3">
      <c r="D28" s="11" t="s">
        <v>4</v>
      </c>
      <c r="E28" s="12" t="s">
        <v>7</v>
      </c>
      <c r="F28" s="12" t="s">
        <v>273</v>
      </c>
      <c r="G28" s="12" t="s">
        <v>190</v>
      </c>
      <c r="I28" s="12" t="s">
        <v>38</v>
      </c>
      <c r="J28" s="85" t="s">
        <v>271</v>
      </c>
      <c r="K28" s="65" t="s">
        <v>47</v>
      </c>
      <c r="L28" s="372" t="s">
        <v>56</v>
      </c>
      <c r="M28" s="73" t="s">
        <v>272</v>
      </c>
      <c r="N28" s="73" t="s">
        <v>171</v>
      </c>
      <c r="O28" s="28" t="s">
        <v>129</v>
      </c>
      <c r="P28" s="12" t="s">
        <v>190</v>
      </c>
      <c r="Q28" s="12" t="s">
        <v>270</v>
      </c>
    </row>
    <row r="29" spans="3:18" x14ac:dyDescent="0.25">
      <c r="C29" t="s">
        <v>202</v>
      </c>
      <c r="D29" s="688">
        <f>'REMUNERACION Reciprocidad EAAB'!D109</f>
        <v>26413819.890000001</v>
      </c>
      <c r="E29" s="688">
        <f>'REMUNERACION Reciprocidad EAAB'!N109</f>
        <v>0</v>
      </c>
      <c r="F29" s="688">
        <f>D29+E29</f>
        <v>26413819.890000001</v>
      </c>
      <c r="G29" s="699">
        <f>D20-F29</f>
        <v>-7403379.8900000006</v>
      </c>
      <c r="H29" s="688"/>
      <c r="I29" s="688">
        <f>'REMUNERACION Reciprocidad EAAB'!D131</f>
        <v>13407230</v>
      </c>
      <c r="J29" s="688"/>
      <c r="K29" s="688">
        <f>'REMUNERACION Reciprocidad EAAB'!G131</f>
        <v>208970</v>
      </c>
      <c r="L29" s="688">
        <f>'REMUNERACION Reciprocidad EAAB'!H131</f>
        <v>20863639.890000001</v>
      </c>
      <c r="M29" s="688">
        <f>'REMUNERACION Reciprocidad EAAB'!I131</f>
        <v>0</v>
      </c>
      <c r="N29" s="688">
        <f>+'REMUNERACION Reciprocidad EAAB'!J131</f>
        <v>-262000</v>
      </c>
      <c r="O29" s="688">
        <f>'REMUNERACION Reciprocidad EAAB'!I147</f>
        <v>0</v>
      </c>
      <c r="P29" s="699">
        <f>I29+J29-K29-L29-M29-N29-O29</f>
        <v>-7403379.8900000006</v>
      </c>
      <c r="Q29" s="700">
        <f>G29-P29</f>
        <v>0</v>
      </c>
      <c r="R29" s="141"/>
    </row>
    <row r="30" spans="3:18" x14ac:dyDescent="0.25">
      <c r="C30" s="167" t="s">
        <v>155</v>
      </c>
      <c r="D30" s="688">
        <f>REMUNERACION_ENEL!D109</f>
        <v>59677535897.490005</v>
      </c>
      <c r="E30" s="688">
        <f>REMUNERACION_ENEL!N109</f>
        <v>80999589.399999991</v>
      </c>
      <c r="F30" s="688">
        <f>D30+E30</f>
        <v>59758535486.890007</v>
      </c>
      <c r="G30" s="701">
        <f>D21-F30</f>
        <v>-17645621.890007019</v>
      </c>
      <c r="H30" s="688"/>
      <c r="I30" s="688">
        <f>REMUNERACION_ENEL!D131</f>
        <v>95923744</v>
      </c>
      <c r="J30" s="688"/>
      <c r="K30" s="688">
        <f>REMUNERACION_ENEL!G131</f>
        <v>8322850</v>
      </c>
      <c r="L30" s="688">
        <f>REMUNERACION_ENEL!H131</f>
        <v>150594674.21999997</v>
      </c>
      <c r="M30" s="688">
        <f>REMUNERACION_ENEL!I131</f>
        <v>0</v>
      </c>
      <c r="N30" s="688">
        <f>REMUNERACION_ENEL!J131</f>
        <v>-47309218.329999998</v>
      </c>
      <c r="O30" s="688">
        <f>REMUNERACION_ENEL!I147</f>
        <v>1961060</v>
      </c>
      <c r="P30" s="699">
        <f>I30+J30-K30-L30-M30-N30-O30</f>
        <v>-17645621.889999971</v>
      </c>
      <c r="Q30" s="700">
        <f>G30-P30</f>
        <v>-7.0482492446899414E-6</v>
      </c>
      <c r="R30" s="141"/>
    </row>
    <row r="31" spans="3:18" x14ac:dyDescent="0.25">
      <c r="C31" s="746" t="s">
        <v>324</v>
      </c>
      <c r="D31" s="688">
        <f>REMUNERACION_ENERBIT!D109</f>
        <v>137170902</v>
      </c>
      <c r="E31" s="688">
        <f>REMUNERACION_ENERBIT!N109</f>
        <v>0</v>
      </c>
      <c r="F31" s="688">
        <f>D31+E31</f>
        <v>137170902</v>
      </c>
      <c r="G31" s="701">
        <f>D22-F31</f>
        <v>1379910</v>
      </c>
      <c r="H31" s="688"/>
      <c r="I31" s="688">
        <f>REMUNERACION_ENERBIT!D131</f>
        <v>1379910</v>
      </c>
      <c r="J31" s="688"/>
      <c r="K31" s="688">
        <f>REMUNERACION_ENERBIT!G132</f>
        <v>0</v>
      </c>
      <c r="L31" s="688">
        <f>REMUNERACION_ENERBIT!H132</f>
        <v>0</v>
      </c>
      <c r="M31" s="688">
        <f>REMUNERACION_ENERBIT!I132</f>
        <v>0</v>
      </c>
      <c r="N31" s="688">
        <f>REMUNERACION_ENERBIT!J132</f>
        <v>0</v>
      </c>
      <c r="O31" s="688">
        <f>REMUNERACION_ENERBIT!K132</f>
        <v>0</v>
      </c>
      <c r="P31" s="699">
        <f t="shared" ref="P31:P32" si="7">I31+J31-K31-L31-M31-N31-O31</f>
        <v>1379910</v>
      </c>
      <c r="Q31" s="700"/>
      <c r="R31" s="141"/>
    </row>
    <row r="32" spans="3:18" x14ac:dyDescent="0.25">
      <c r="C32" s="212" t="s">
        <v>119</v>
      </c>
      <c r="D32" s="688">
        <f>'REMUNERACION_OCCIDENTE_ Directa'!D109</f>
        <v>3303953003.3599997</v>
      </c>
      <c r="E32" s="688">
        <f>'REMUNERACION_OCCIDENTE_ Directa'!N109</f>
        <v>74576028.74000001</v>
      </c>
      <c r="F32" s="688">
        <f t="shared" ref="F32" si="8">D32+E32</f>
        <v>3378529032.0999994</v>
      </c>
      <c r="G32" s="701">
        <f>D23-F32</f>
        <v>37184503.900000572</v>
      </c>
      <c r="H32" s="688"/>
      <c r="I32" s="688">
        <f>'REMUNERACION_OCCIDENTE_ Directa'!D131</f>
        <v>75193897.960000008</v>
      </c>
      <c r="J32" s="688">
        <f>'CONSOLIDADO_TOTAL RECAUDO'!E131</f>
        <v>0</v>
      </c>
      <c r="K32" s="688">
        <f>'REMUNERACION_OCCIDENTE_ Directa'!G131</f>
        <v>376834</v>
      </c>
      <c r="L32" s="688">
        <f>'REMUNERACION_OCCIDENTE_ Directa'!H131</f>
        <v>39797595.060000002</v>
      </c>
      <c r="M32" s="688">
        <f>'REMUNERACION_OCCIDENTE_ Directa'!I131</f>
        <v>0</v>
      </c>
      <c r="N32" s="688">
        <f>'REMUNERACION_OCCIDENTE_ Directa'!J131</f>
        <v>-2165035</v>
      </c>
      <c r="O32" s="688">
        <f>'REMUNERACION_OCCIDENTE_ Directa'!I147</f>
        <v>0</v>
      </c>
      <c r="P32" s="699">
        <f t="shared" si="7"/>
        <v>37184503.900000006</v>
      </c>
      <c r="Q32" s="700">
        <f>G32-P32</f>
        <v>5.6624412536621094E-7</v>
      </c>
      <c r="R32" s="141"/>
    </row>
    <row r="33" spans="4:17" x14ac:dyDescent="0.25">
      <c r="D33" s="688">
        <f>SUM(D29:D32)</f>
        <v>63145073622.740005</v>
      </c>
      <c r="E33" s="688">
        <f>SUM(E29:E32)</f>
        <v>155575618.13999999</v>
      </c>
      <c r="F33" s="702">
        <f t="shared" ref="F33" si="9">SUM(F29:F32)</f>
        <v>63300649240.880005</v>
      </c>
      <c r="G33" s="703">
        <f>D24-F33</f>
        <v>13515412.119995117</v>
      </c>
      <c r="H33" s="688"/>
      <c r="I33" s="688">
        <f>SUM(I29:I32)</f>
        <v>185904781.96000001</v>
      </c>
      <c r="J33" s="688">
        <f>SUM(J29:J32)</f>
        <v>0</v>
      </c>
      <c r="K33" s="688">
        <f>SUM(K29:K32)</f>
        <v>8908654</v>
      </c>
      <c r="L33" s="688">
        <f t="shared" ref="L33:N33" si="10">SUM(L29:L32)</f>
        <v>211255909.16999996</v>
      </c>
      <c r="M33" s="688">
        <f t="shared" si="10"/>
        <v>0</v>
      </c>
      <c r="N33" s="688">
        <f t="shared" si="10"/>
        <v>-49736253.329999998</v>
      </c>
      <c r="O33" s="688">
        <f>SUM(O29:O32)</f>
        <v>1961060</v>
      </c>
      <c r="P33" s="704">
        <f>SUM(P29:P32)</f>
        <v>13515412.120000035</v>
      </c>
      <c r="Q33" s="700">
        <f>SUM(Q29:Q32)</f>
        <v>-6.4820051193237305E-6</v>
      </c>
    </row>
    <row r="34" spans="4:17" x14ac:dyDescent="0.25">
      <c r="D34" s="688" t="b">
        <f>D33='CONSOLIDADO_TOTAL RECAUDO'!D109</f>
        <v>1</v>
      </c>
      <c r="E34" s="688" t="b">
        <f>E33='CONSOLIDADO_TOTAL RECAUDO'!N109</f>
        <v>1</v>
      </c>
      <c r="F34" s="688" t="b">
        <f>F33='CONSOLIDADO_TOTAL RECAUDO'!D109+'CONSOLIDADO_TOTAL RECAUDO'!N109</f>
        <v>1</v>
      </c>
      <c r="G34" s="688"/>
      <c r="H34" s="688"/>
      <c r="I34" s="688"/>
      <c r="J34" s="688"/>
      <c r="K34" s="688"/>
      <c r="L34" s="688"/>
      <c r="M34" s="688"/>
      <c r="N34" s="688"/>
      <c r="O34" s="688"/>
    </row>
    <row r="36" spans="4:17" x14ac:dyDescent="0.25">
      <c r="P36" s="141"/>
    </row>
    <row r="37" spans="4:17" x14ac:dyDescent="0.25">
      <c r="P37" s="593"/>
    </row>
    <row r="38" spans="4:17" x14ac:dyDescent="0.25">
      <c r="P38" s="141"/>
    </row>
  </sheetData>
  <conditionalFormatting sqref="C15">
    <cfRule type="cellIs" dxfId="67" priority="1" operator="equal">
      <formula>FALSE</formula>
    </cfRule>
    <cfRule type="cellIs" dxfId="66" priority="2" operator="equal">
      <formula>TRUE</formula>
    </cfRule>
    <cfRule type="cellIs" dxfId="65" priority="4" operator="notEqual">
      <formula>TRUE</formula>
    </cfRule>
  </conditionalFormatting>
  <conditionalFormatting sqref="P3:P9">
    <cfRule type="cellIs" dxfId="64" priority="3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  <pageSetUpPr fitToPage="1"/>
  </sheetPr>
  <dimension ref="A1:AI52"/>
  <sheetViews>
    <sheetView topLeftCell="A6" zoomScaleNormal="100" workbookViewId="0"/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7265625" style="1" customWidth="1"/>
    <col min="4" max="4" width="14.7265625" style="1" bestFit="1" customWidth="1"/>
    <col min="5" max="5" width="15.453125" style="1" bestFit="1" customWidth="1"/>
    <col min="6" max="7" width="14.7265625" style="1" customWidth="1"/>
    <col min="8" max="8" width="16.26953125" style="1" customWidth="1"/>
    <col min="9" max="9" width="20.26953125" style="1" bestFit="1" customWidth="1"/>
    <col min="10" max="10" width="15.54296875" style="1" customWidth="1"/>
    <col min="11" max="11" width="17.54296875" style="1" customWidth="1"/>
    <col min="12" max="12" width="16.54296875" style="1" customWidth="1"/>
    <col min="13" max="13" width="19.7265625" style="1" customWidth="1"/>
    <col min="14" max="14" width="15.26953125" style="1" customWidth="1"/>
    <col min="15" max="15" width="16.7265625" style="1" customWidth="1"/>
    <col min="16" max="16" width="3.7265625" style="1" customWidth="1"/>
    <col min="17" max="17" width="2.7265625" style="1" customWidth="1"/>
    <col min="18" max="18" width="4.54296875" style="1" customWidth="1"/>
    <col min="19" max="19" width="11.26953125" style="1" customWidth="1"/>
    <col min="20" max="20" width="39.453125" style="1" customWidth="1"/>
    <col min="21" max="21" width="19.26953125" style="1" customWidth="1"/>
    <col min="22" max="22" width="17.7265625" style="1" customWidth="1"/>
    <col min="23" max="23" width="16.453125" style="1" customWidth="1"/>
    <col min="24" max="24" width="17.26953125" style="1" customWidth="1"/>
    <col min="25" max="25" width="15.7265625" style="1" customWidth="1"/>
    <col min="26" max="26" width="16" style="1" customWidth="1"/>
    <col min="27" max="27" width="15" style="1" customWidth="1"/>
    <col min="28" max="29" width="16.7265625" style="1" customWidth="1"/>
    <col min="30" max="31" width="15.453125" style="1" customWidth="1"/>
    <col min="32" max="32" width="16.26953125" style="1" customWidth="1"/>
    <col min="33" max="33" width="11.26953125" style="1" customWidth="1"/>
    <col min="34" max="34" width="12" style="1" bestFit="1" customWidth="1"/>
    <col min="35" max="35" width="3.453125" style="1" customWidth="1"/>
    <col min="36" max="16384" width="11.453125" style="1"/>
  </cols>
  <sheetData>
    <row r="1" spans="2:35" ht="12" thickBot="1" x14ac:dyDescent="0.3">
      <c r="Q1" s="4"/>
      <c r="AI1" s="4"/>
    </row>
    <row r="2" spans="2:35" x14ac:dyDescent="0.25">
      <c r="B2" s="591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5" x14ac:dyDescent="0.35">
      <c r="B6" s="8"/>
      <c r="C6" s="590" t="s">
        <v>17</v>
      </c>
      <c r="D6" s="9">
        <f>'CONSOLIDADO_TOTAL RECAUDO'!D101</f>
        <v>46282</v>
      </c>
      <c r="F6" s="58" t="str">
        <f>'CONSOLIDADO_TOTAL RECAUDO'!F101</f>
        <v>REPORTE CONSOLIDADO TOTAL DE RECAUDO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'CONSOLIDADO_TOTAL RECAUDO'!U101</f>
        <v>REPORTE DETALLADO SUBBOLSA RBL DISCRIMINADO POR ACTIVIDADES</v>
      </c>
      <c r="V6" s="59"/>
      <c r="W6" s="60"/>
      <c r="X6" s="59"/>
      <c r="Y6" s="2"/>
      <c r="AF6" s="48"/>
      <c r="AG6" s="2"/>
      <c r="AI6" s="4"/>
    </row>
    <row r="7" spans="2:35" ht="12" thickBot="1" x14ac:dyDescent="0.3">
      <c r="B7" s="95"/>
      <c r="C7" s="592" t="s">
        <v>0</v>
      </c>
      <c r="D7" s="548">
        <f>'CONSOLIDADO_TOTAL RECAUDO'!D102</f>
        <v>0.58333333333333337</v>
      </c>
      <c r="E7" s="45"/>
      <c r="F7" s="547" t="s">
        <v>27</v>
      </c>
      <c r="G7" s="549">
        <f>'CONSOLIDADO_TOTAL RECAUDO'!G102</f>
        <v>46266</v>
      </c>
      <c r="H7" s="45"/>
      <c r="I7" s="45"/>
      <c r="J7" s="547" t="s">
        <v>28</v>
      </c>
      <c r="K7" s="549">
        <f>'CONSOLIDADO_TOTAL RECAUDO'!K102</f>
        <v>46280</v>
      </c>
      <c r="L7" s="45"/>
      <c r="M7" s="45"/>
      <c r="N7" s="45"/>
      <c r="O7" s="55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69.5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0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65" t="s">
        <v>167</v>
      </c>
      <c r="AD8" s="65" t="s">
        <v>105</v>
      </c>
      <c r="AE8" s="65" t="s">
        <v>104</v>
      </c>
      <c r="AF8" s="39" t="s">
        <v>23</v>
      </c>
      <c r="AG8" s="13"/>
      <c r="AI8" s="4"/>
    </row>
    <row r="9" spans="2:35" x14ac:dyDescent="0.25">
      <c r="B9" s="14">
        <v>1</v>
      </c>
      <c r="C9" s="61" t="s">
        <v>10</v>
      </c>
      <c r="D9" s="66">
        <f>'CONSOLIDADO_TOTAL RECAUDO'!D104</f>
        <v>17450250542.779995</v>
      </c>
      <c r="E9" s="66">
        <f>'CONSOLIDADO_TOTAL RECAUDO'!E104</f>
        <v>1002730527.37</v>
      </c>
      <c r="F9" s="66">
        <f>'CONSOLIDADO_TOTAL RECAUDO'!F104</f>
        <v>559513165.82999992</v>
      </c>
      <c r="G9" s="66">
        <f>'CONSOLIDADO_TOTAL RECAUDO'!G104</f>
        <v>296340285.38</v>
      </c>
      <c r="H9" s="66">
        <f>'CONSOLIDADO_TOTAL RECAUDO'!H104</f>
        <v>4858821909</v>
      </c>
      <c r="I9" s="66">
        <f>'CONSOLIDADO_TOTAL RECAUDO'!I104</f>
        <v>182208476.03000003</v>
      </c>
      <c r="J9" s="66">
        <f>'CONSOLIDADO_TOTAL RECAUDO'!J104</f>
        <v>2589335716.54</v>
      </c>
      <c r="K9" s="30">
        <f>D9-E9-F9-G9-H9-I9-J9</f>
        <v>7961300462.6299944</v>
      </c>
      <c r="L9" s="66">
        <f>'CONSOLIDADO_TOTAL RECAUDO'!L104</f>
        <v>189185987</v>
      </c>
      <c r="M9" s="30">
        <f>K9-L9</f>
        <v>7772114475.6299944</v>
      </c>
      <c r="N9" s="66">
        <f>'CONSOLIDADO_TOTAL RECAUDO'!N104</f>
        <v>30635669.579999998</v>
      </c>
      <c r="O9" s="30">
        <f>M9+N9</f>
        <v>7802750145.2099943</v>
      </c>
      <c r="Q9" s="4"/>
      <c r="S9" s="14">
        <v>1</v>
      </c>
      <c r="T9" s="61" t="s">
        <v>10</v>
      </c>
      <c r="U9" s="66">
        <f>'CONSOLIDADO_TOTAL RECAUDO'!U104</f>
        <v>1599792140.1300001</v>
      </c>
      <c r="V9" s="66">
        <f>'CONSOLIDADO_TOTAL RECAUDO'!V104</f>
        <v>1528705400.8799999</v>
      </c>
      <c r="W9" s="66">
        <f>'CONSOLIDADO_TOTAL RECAUDO'!W104</f>
        <v>7192055638.8400002</v>
      </c>
      <c r="X9" s="66">
        <f>'CONSOLIDADO_TOTAL RECAUDO'!X104</f>
        <v>2730289262.8700004</v>
      </c>
      <c r="Y9" s="66">
        <f>'CONSOLIDADO_TOTAL RECAUDO'!Y104</f>
        <v>297320754.99000001</v>
      </c>
      <c r="Z9" s="66">
        <f>'CONSOLIDADO_TOTAL RECAUDO'!Z104</f>
        <v>-189185987</v>
      </c>
      <c r="AA9" s="66">
        <f>'CONSOLIDADO_TOTAL RECAUDO'!AA104</f>
        <v>-46885.63</v>
      </c>
      <c r="AB9" s="66">
        <f>'CONSOLIDADO_TOTAL RECAUDO'!AB104</f>
        <v>30635669.579999998</v>
      </c>
      <c r="AC9" s="66">
        <f>'CONSOLIDADO_TOTAL RECAUDO'!AC104</f>
        <v>392.74</v>
      </c>
      <c r="AD9" s="66">
        <f>'CONSOLIDADO_TOTAL RECAUDO'!AD104</f>
        <v>-5386816242.1900005</v>
      </c>
      <c r="AE9" s="66">
        <f>'CONSOLIDADO_TOTAL RECAUDO'!AE104</f>
        <v>-2797480525.6500001</v>
      </c>
      <c r="AF9" s="69">
        <f>SUM(U9:AD9)</f>
        <v>7802750145.210001</v>
      </c>
      <c r="AG9" s="71">
        <f>AF9-O9</f>
        <v>0</v>
      </c>
      <c r="AH9" s="1" t="b">
        <f>INT(AG9)=0</f>
        <v>1</v>
      </c>
      <c r="AI9" s="4"/>
    </row>
    <row r="10" spans="2:35" x14ac:dyDescent="0.25">
      <c r="B10" s="16">
        <v>2</v>
      </c>
      <c r="C10" s="62" t="s">
        <v>11</v>
      </c>
      <c r="D10" s="66">
        <f>'CONSOLIDADO_TOTAL RECAUDO'!D105</f>
        <v>14147357755.390001</v>
      </c>
      <c r="E10" s="66">
        <f>'CONSOLIDADO_TOTAL RECAUDO'!E105</f>
        <v>1096241904.79</v>
      </c>
      <c r="F10" s="66">
        <f>'CONSOLIDADO_TOTAL RECAUDO'!F105</f>
        <v>607688510.58999991</v>
      </c>
      <c r="G10" s="66">
        <f>'CONSOLIDADO_TOTAL RECAUDO'!G105</f>
        <v>320746087.44</v>
      </c>
      <c r="H10" s="66">
        <f>'CONSOLIDADO_TOTAL RECAUDO'!H105</f>
        <v>4486156883.4699993</v>
      </c>
      <c r="I10" s="66">
        <f>'CONSOLIDADO_TOTAL RECAUDO'!I105</f>
        <v>152499569.92999998</v>
      </c>
      <c r="J10" s="66">
        <f>'CONSOLIDADO_TOTAL RECAUDO'!J105</f>
        <v>-5093259797.2199993</v>
      </c>
      <c r="K10" s="31">
        <f t="shared" ref="K10:K13" si="0">D10-E10-F10-G10-H10-I10-J10</f>
        <v>12577284596.390001</v>
      </c>
      <c r="L10" s="66">
        <f>'CONSOLIDADO_TOTAL RECAUDO'!L105</f>
        <v>266580255</v>
      </c>
      <c r="M10" s="31">
        <f>K10-L10</f>
        <v>12310704341.390001</v>
      </c>
      <c r="N10" s="66">
        <f>'CONSOLIDADO_TOTAL RECAUDO'!N105</f>
        <v>43616073.719999999</v>
      </c>
      <c r="O10" s="31">
        <f t="shared" ref="O10:O13" si="1">M10+N10</f>
        <v>12354320415.110001</v>
      </c>
      <c r="Q10" s="4"/>
      <c r="S10" s="16">
        <v>2</v>
      </c>
      <c r="T10" s="62" t="s">
        <v>11</v>
      </c>
      <c r="U10" s="66">
        <f>'CONSOLIDADO_TOTAL RECAUDO'!U105</f>
        <v>1338675874.7699997</v>
      </c>
      <c r="V10" s="66">
        <f>'CONSOLIDADO_TOTAL RECAUDO'!V105</f>
        <v>1326046281.8399999</v>
      </c>
      <c r="W10" s="66">
        <f>'CONSOLIDADO_TOTAL RECAUDO'!W105</f>
        <v>6214923336.9400005</v>
      </c>
      <c r="X10" s="66">
        <f>'CONSOLIDADO_TOTAL RECAUDO'!X105</f>
        <v>2154507355.5699997</v>
      </c>
      <c r="Y10" s="66">
        <f>'CONSOLIDADO_TOTAL RECAUDO'!Y105</f>
        <v>249017603.29999998</v>
      </c>
      <c r="Z10" s="66">
        <f>'CONSOLIDADO_TOTAL RECAUDO'!Z105</f>
        <v>-266580255</v>
      </c>
      <c r="AA10" s="66">
        <f>'CONSOLIDADO_TOTAL RECAUDO'!AA105</f>
        <v>61423.42</v>
      </c>
      <c r="AB10" s="66">
        <f>'CONSOLIDADO_TOTAL RECAUDO'!AB105</f>
        <v>43616073.719999999</v>
      </c>
      <c r="AC10" s="66">
        <f>'CONSOLIDADO_TOTAL RECAUDO'!AC105</f>
        <v>-56807.54</v>
      </c>
      <c r="AD10" s="66">
        <f>'CONSOLIDADO_TOTAL RECAUDO'!AD105</f>
        <v>1294109528.0899997</v>
      </c>
      <c r="AE10" s="66">
        <f>'CONSOLIDADO_TOTAL RECAUDO'!AE105</f>
        <v>-3799150269.1299996</v>
      </c>
      <c r="AF10" s="70">
        <f>SUM(U10:AD10)</f>
        <v>12354320415.109997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5">
      <c r="B11" s="16">
        <v>3</v>
      </c>
      <c r="C11" s="62" t="s">
        <v>12</v>
      </c>
      <c r="D11" s="66">
        <f>'CONSOLIDADO_TOTAL RECAUDO'!D106</f>
        <v>10891338739.480001</v>
      </c>
      <c r="E11" s="66">
        <f>'CONSOLIDADO_TOTAL RECAUDO'!E106</f>
        <v>710706076.85000002</v>
      </c>
      <c r="F11" s="66">
        <f>'CONSOLIDADO_TOTAL RECAUDO'!F106</f>
        <v>397477480.34999996</v>
      </c>
      <c r="G11" s="66">
        <f>'CONSOLIDADO_TOTAL RECAUDO'!G106</f>
        <v>210365934.29999998</v>
      </c>
      <c r="H11" s="66">
        <f>'CONSOLIDADO_TOTAL RECAUDO'!H106</f>
        <v>3089785742.8100004</v>
      </c>
      <c r="I11" s="66">
        <f>'CONSOLIDADO_TOTAL RECAUDO'!I106</f>
        <v>102591059.10999998</v>
      </c>
      <c r="J11" s="66">
        <f>'CONSOLIDADO_TOTAL RECAUDO'!J106</f>
        <v>-1230396998.4399998</v>
      </c>
      <c r="K11" s="31">
        <f t="shared" si="0"/>
        <v>7610809444.500001</v>
      </c>
      <c r="L11" s="66">
        <f>'CONSOLIDADO_TOTAL RECAUDO'!L106</f>
        <v>154788535</v>
      </c>
      <c r="M11" s="31">
        <f>K11-L11</f>
        <v>7456020909.500001</v>
      </c>
      <c r="N11" s="66">
        <f>'CONSOLIDADO_TOTAL RECAUDO'!N106</f>
        <v>25562528.48</v>
      </c>
      <c r="O11" s="31">
        <f t="shared" si="1"/>
        <v>7481583437.9800005</v>
      </c>
      <c r="Q11" s="4"/>
      <c r="S11" s="16">
        <v>3</v>
      </c>
      <c r="T11" s="62" t="s">
        <v>12</v>
      </c>
      <c r="U11" s="66">
        <f>'CONSOLIDADO_TOTAL RECAUDO'!U106</f>
        <v>900404437.05000007</v>
      </c>
      <c r="V11" s="66">
        <f>'CONSOLIDADO_TOTAL RECAUDO'!V106</f>
        <v>880251835.97000015</v>
      </c>
      <c r="W11" s="66">
        <f>'CONSOLIDADO_TOTAL RECAUDO'!W106</f>
        <v>4143016465.7999997</v>
      </c>
      <c r="X11" s="66">
        <f>'CONSOLIDADO_TOTAL RECAUDO'!X106</f>
        <v>1683861343.1799998</v>
      </c>
      <c r="Y11" s="66">
        <f>'CONSOLIDADO_TOTAL RECAUDO'!Y106</f>
        <v>167421357.00000003</v>
      </c>
      <c r="Z11" s="66">
        <f>'CONSOLIDADO_TOTAL RECAUDO'!Z106</f>
        <v>-154788535</v>
      </c>
      <c r="AA11" s="66">
        <f>'CONSOLIDADO_TOTAL RECAUDO'!AA106</f>
        <v>46657</v>
      </c>
      <c r="AB11" s="66">
        <f>'CONSOLIDADO_TOTAL RECAUDO'!AB106</f>
        <v>25562528.48</v>
      </c>
      <c r="AC11" s="66">
        <f>'CONSOLIDADO_TOTAL RECAUDO'!AC106</f>
        <v>5.47</v>
      </c>
      <c r="AD11" s="66">
        <f>'CONSOLIDADO_TOTAL RECAUDO'!AD106</f>
        <v>-164192656.97000003</v>
      </c>
      <c r="AE11" s="66">
        <f>'CONSOLIDADO_TOTAL RECAUDO'!AE106</f>
        <v>-1394589655.4099998</v>
      </c>
      <c r="AF11" s="70">
        <f>SUM(U11:AD11)</f>
        <v>7481583437.9799995</v>
      </c>
      <c r="AG11" s="72">
        <f>AF11-O11</f>
        <v>0</v>
      </c>
      <c r="AH11" s="1" t="b">
        <f t="shared" si="2"/>
        <v>1</v>
      </c>
      <c r="AI11" s="4"/>
    </row>
    <row r="12" spans="2:35" x14ac:dyDescent="0.25">
      <c r="B12" s="16">
        <v>4</v>
      </c>
      <c r="C12" s="62" t="s">
        <v>13</v>
      </c>
      <c r="D12" s="66">
        <f>'CONSOLIDADO_TOTAL RECAUDO'!D107</f>
        <v>11508947206.76</v>
      </c>
      <c r="E12" s="66">
        <f>'CONSOLIDADO_TOTAL RECAUDO'!E107</f>
        <v>651620353.97000015</v>
      </c>
      <c r="F12" s="66">
        <f>'CONSOLIDADO_TOTAL RECAUDO'!F107</f>
        <v>362076890.99000001</v>
      </c>
      <c r="G12" s="66">
        <f>'CONSOLIDADO_TOTAL RECAUDO'!G107</f>
        <v>191424494.84999999</v>
      </c>
      <c r="H12" s="66">
        <f>'CONSOLIDADO_TOTAL RECAUDO'!H107</f>
        <v>2850519494.2000003</v>
      </c>
      <c r="I12" s="66">
        <f>'CONSOLIDADO_TOTAL RECAUDO'!I107</f>
        <v>98433844.099999994</v>
      </c>
      <c r="J12" s="66">
        <f>'CONSOLIDADO_TOTAL RECAUDO'!J107</f>
        <v>38133905.800000012</v>
      </c>
      <c r="K12" s="31">
        <f t="shared" si="0"/>
        <v>7316738222.8499994</v>
      </c>
      <c r="L12" s="66">
        <f>'CONSOLIDADO_TOTAL RECAUDO'!L107</f>
        <v>120391083</v>
      </c>
      <c r="M12" s="31">
        <f>K12-L12</f>
        <v>7196347139.8499994</v>
      </c>
      <c r="N12" s="66">
        <f>'CONSOLIDADO_TOTAL RECAUDO'!N107</f>
        <v>23185407.98</v>
      </c>
      <c r="O12" s="31">
        <f t="shared" si="1"/>
        <v>7219532547.829999</v>
      </c>
      <c r="Q12" s="4"/>
      <c r="S12" s="16">
        <v>4</v>
      </c>
      <c r="T12" s="62" t="s">
        <v>13</v>
      </c>
      <c r="U12" s="66">
        <f>'CONSOLIDADO_TOTAL RECAUDO'!U107</f>
        <v>863496515.32999992</v>
      </c>
      <c r="V12" s="66">
        <f>'CONSOLIDADO_TOTAL RECAUDO'!V107</f>
        <v>850915238.78999996</v>
      </c>
      <c r="W12" s="66">
        <f>'CONSOLIDADO_TOTAL RECAUDO'!W107</f>
        <v>4336930905.7300014</v>
      </c>
      <c r="X12" s="66">
        <f>'CONSOLIDADO_TOTAL RECAUDO'!X107</f>
        <v>1725012318.6899998</v>
      </c>
      <c r="Y12" s="66">
        <f>'CONSOLIDADO_TOTAL RECAUDO'!Y107</f>
        <v>160878230.38000003</v>
      </c>
      <c r="Z12" s="66">
        <f>'CONSOLIDADO_TOTAL RECAUDO'!Z107</f>
        <v>-120391083</v>
      </c>
      <c r="AA12" s="66">
        <f>'CONSOLIDADO_TOTAL RECAUDO'!AA107</f>
        <v>-64310.54</v>
      </c>
      <c r="AB12" s="66">
        <f>'CONSOLIDADO_TOTAL RECAUDO'!AB107</f>
        <v>23185407.98</v>
      </c>
      <c r="AC12" s="66">
        <f>'CONSOLIDADO_TOTAL RECAUDO'!AC107</f>
        <v>181.07</v>
      </c>
      <c r="AD12" s="66">
        <f>'CONSOLIDADO_TOTAL RECAUDO'!AD107</f>
        <v>-620430856.60000014</v>
      </c>
      <c r="AE12" s="66">
        <f>'CONSOLIDADO_TOTAL RECAUDO'!AE107</f>
        <v>-582296950.80000007</v>
      </c>
      <c r="AF12" s="70">
        <f>SUM(U12:AD12)</f>
        <v>7219532547.8299999</v>
      </c>
      <c r="AG12" s="72">
        <f>AF12-O12</f>
        <v>0</v>
      </c>
      <c r="AH12" s="1" t="b">
        <f t="shared" si="2"/>
        <v>1</v>
      </c>
      <c r="AI12" s="4"/>
    </row>
    <row r="13" spans="2:35" ht="12" thickBot="1" x14ac:dyDescent="0.3">
      <c r="B13" s="19">
        <v>5</v>
      </c>
      <c r="C13" s="63" t="s">
        <v>14</v>
      </c>
      <c r="D13" s="66">
        <f>'CONSOLIDADO_TOTAL RECAUDO'!D108</f>
        <v>9147179378.3299999</v>
      </c>
      <c r="E13" s="66">
        <f>'CONSOLIDADO_TOTAL RECAUDO'!E108</f>
        <v>501141808.77999997</v>
      </c>
      <c r="F13" s="66">
        <f>'CONSOLIDADO_TOTAL RECAUDO'!F108</f>
        <v>279950730.87</v>
      </c>
      <c r="G13" s="66">
        <f>'CONSOLIDADO_TOTAL RECAUDO'!G108</f>
        <v>148242908.43000001</v>
      </c>
      <c r="H13" s="66">
        <f>'CONSOLIDADO_TOTAL RECAUDO'!H108</f>
        <v>2100067179.73</v>
      </c>
      <c r="I13" s="66">
        <f>'CONSOLIDADO_TOTAL RECAUDO'!I108</f>
        <v>75390757.040000021</v>
      </c>
      <c r="J13" s="66">
        <f>'CONSOLIDADO_TOTAL RECAUDO'!J108</f>
        <v>-1224100690.4600003</v>
      </c>
      <c r="K13" s="31">
        <f t="shared" si="0"/>
        <v>7266486683.9399986</v>
      </c>
      <c r="L13" s="66">
        <f>'CONSOLIDADO_TOTAL RECAUDO'!L108</f>
        <v>128990445</v>
      </c>
      <c r="M13" s="40">
        <f>K13-L13</f>
        <v>7137496238.9399986</v>
      </c>
      <c r="N13" s="66">
        <f>'CONSOLIDADO_TOTAL RECAUDO'!N108</f>
        <v>32575938.379999999</v>
      </c>
      <c r="O13" s="40">
        <f t="shared" si="1"/>
        <v>7170072177.3199987</v>
      </c>
      <c r="Q13" s="4"/>
      <c r="S13" s="19">
        <v>5</v>
      </c>
      <c r="T13" s="63" t="s">
        <v>14</v>
      </c>
      <c r="U13" s="66">
        <f>'CONSOLIDADO_TOTAL RECAUDO'!U108</f>
        <v>661834829.70999992</v>
      </c>
      <c r="V13" s="66">
        <f>'CONSOLIDADO_TOTAL RECAUDO'!V108</f>
        <v>643876201.64999986</v>
      </c>
      <c r="W13" s="66">
        <f>'CONSOLIDADO_TOTAL RECAUDO'!W108</f>
        <v>3304216945.4500003</v>
      </c>
      <c r="X13" s="66">
        <f>'CONSOLIDADO_TOTAL RECAUDO'!X108</f>
        <v>1500679343.6099999</v>
      </c>
      <c r="Y13" s="66">
        <f>'CONSOLIDADO_TOTAL RECAUDO'!Y108</f>
        <v>123096144.54000001</v>
      </c>
      <c r="Z13" s="66">
        <f>'CONSOLIDADO_TOTAL RECAUDO'!Z108</f>
        <v>-128990445</v>
      </c>
      <c r="AA13" s="66">
        <f>'CONSOLIDADO_TOTAL RECAUDO'!AA108</f>
        <v>-16582.77</v>
      </c>
      <c r="AB13" s="66">
        <f>'CONSOLIDADO_TOTAL RECAUDO'!AB108</f>
        <v>32575938.379999999</v>
      </c>
      <c r="AC13" s="66">
        <f>'CONSOLIDADO_TOTAL RECAUDO'!AC108</f>
        <v>-105.68</v>
      </c>
      <c r="AD13" s="66">
        <f>'CONSOLIDADO_TOTAL RECAUDO'!AD108</f>
        <v>1032799907.4300003</v>
      </c>
      <c r="AE13" s="66">
        <f>'CONSOLIDADO_TOTAL RECAUDO'!AE108</f>
        <v>-191300783.03</v>
      </c>
      <c r="AF13" s="70">
        <f>SUM(U13:AD13)</f>
        <v>7170072177.3199987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35">
      <c r="B14" s="21"/>
      <c r="C14" s="22" t="s">
        <v>2</v>
      </c>
      <c r="D14" s="43">
        <f t="shared" ref="D14:O14" si="3">SUM(D9:D13)</f>
        <v>63145073622.740005</v>
      </c>
      <c r="E14" s="43">
        <f t="shared" si="3"/>
        <v>3962440671.7600002</v>
      </c>
      <c r="F14" s="43">
        <f t="shared" si="3"/>
        <v>2206706778.6299996</v>
      </c>
      <c r="G14" s="43">
        <f t="shared" si="3"/>
        <v>1167119710.3999999</v>
      </c>
      <c r="H14" s="43">
        <f t="shared" si="3"/>
        <v>17385351209.209999</v>
      </c>
      <c r="I14" s="43">
        <f t="shared" si="3"/>
        <v>611123706.21000004</v>
      </c>
      <c r="J14" s="43">
        <f t="shared" si="3"/>
        <v>-4920287863.7799988</v>
      </c>
      <c r="K14" s="32">
        <f t="shared" si="3"/>
        <v>42732619410.309998</v>
      </c>
      <c r="L14" s="23">
        <f t="shared" si="3"/>
        <v>859936305</v>
      </c>
      <c r="M14" s="76">
        <f t="shared" si="3"/>
        <v>41872683105.309998</v>
      </c>
      <c r="N14" s="23">
        <f t="shared" si="3"/>
        <v>155575618.14000002</v>
      </c>
      <c r="O14" s="76">
        <f t="shared" si="3"/>
        <v>42028258723.449997</v>
      </c>
      <c r="P14" s="2"/>
      <c r="Q14" s="4"/>
      <c r="S14" s="21"/>
      <c r="T14" s="22" t="s">
        <v>2</v>
      </c>
      <c r="U14" s="43">
        <f>SUM(U9:U13)</f>
        <v>5364203796.9899998</v>
      </c>
      <c r="V14" s="43">
        <f t="shared" ref="V14:AG14" si="4">SUM(V9:V13)</f>
        <v>5229794959.1299992</v>
      </c>
      <c r="W14" s="43">
        <f t="shared" si="4"/>
        <v>25191143292.760006</v>
      </c>
      <c r="X14" s="43">
        <f t="shared" si="4"/>
        <v>9794349623.9200001</v>
      </c>
      <c r="Y14" s="43">
        <f t="shared" si="4"/>
        <v>997734090.20999992</v>
      </c>
      <c r="Z14" s="43">
        <f t="shared" si="4"/>
        <v>-859936305</v>
      </c>
      <c r="AA14" s="43">
        <f t="shared" si="4"/>
        <v>-19698.52</v>
      </c>
      <c r="AB14" s="43">
        <f t="shared" si="4"/>
        <v>155575618.14000002</v>
      </c>
      <c r="AC14" s="43">
        <f t="shared" si="4"/>
        <v>-56333.94</v>
      </c>
      <c r="AD14" s="43">
        <f t="shared" ref="AD14" si="5">SUM(AD9:AD13)</f>
        <v>-3844530320.2400007</v>
      </c>
      <c r="AE14" s="43">
        <f>SUM(AE9:AE13)</f>
        <v>-8764818184.0200005</v>
      </c>
      <c r="AF14" s="68">
        <f t="shared" si="4"/>
        <v>42028258723.449997</v>
      </c>
      <c r="AG14" s="43">
        <f t="shared" si="4"/>
        <v>0</v>
      </c>
      <c r="AH14" s="1" t="b">
        <f t="shared" si="2"/>
        <v>1</v>
      </c>
      <c r="AI14" s="4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46577225763.010002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3">
      <c r="Q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4" x14ac:dyDescent="0.3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2026091</v>
      </c>
      <c r="O22" s="10"/>
      <c r="P22" s="2"/>
      <c r="Q22" s="4"/>
    </row>
    <row r="23" spans="1:35" ht="15.5" x14ac:dyDescent="0.3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5">
      <c r="B25" s="8"/>
      <c r="I25" s="2"/>
      <c r="J25" s="2"/>
      <c r="O25" s="10"/>
      <c r="P25" s="2"/>
      <c r="Q25" s="4"/>
    </row>
    <row r="26" spans="1:35" ht="15.5" x14ac:dyDescent="0.3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5">
      <c r="B27" s="8"/>
      <c r="F27" s="2" t="s">
        <v>27</v>
      </c>
      <c r="G27" s="2"/>
      <c r="H27" s="9">
        <f>'CONSOLIDADO_TOTAL RECAUDO'!G122</f>
        <v>46266</v>
      </c>
      <c r="J27" s="2" t="s">
        <v>28</v>
      </c>
      <c r="K27" s="9">
        <f>'CONSOLIDADO_TOTAL RECAUDO'!K122</f>
        <v>46280</v>
      </c>
      <c r="O27" s="10"/>
      <c r="P27" s="2"/>
      <c r="Q27" s="4"/>
    </row>
    <row r="28" spans="1:35" ht="12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6.5" thickBot="1" x14ac:dyDescent="0.3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105" t="s">
        <v>56</v>
      </c>
      <c r="I29" s="147" t="s">
        <v>130</v>
      </c>
      <c r="J29" s="147" t="s">
        <v>171</v>
      </c>
      <c r="K29" s="73" t="s">
        <v>143</v>
      </c>
      <c r="L29" s="73" t="s">
        <v>144</v>
      </c>
      <c r="O29" s="44"/>
      <c r="P29" s="13"/>
      <c r="Q29" s="4"/>
    </row>
    <row r="30" spans="1:35" x14ac:dyDescent="0.25">
      <c r="B30" s="108">
        <v>1</v>
      </c>
      <c r="C30" s="109" t="s">
        <v>10</v>
      </c>
      <c r="D30" s="110">
        <f>'CONSOLIDADO_TOTAL RECAUDO'!D125</f>
        <v>33419430.490000002</v>
      </c>
      <c r="E30" s="111">
        <f>'CONSOLIDADO_TOTAL RECAUDO'!E125</f>
        <v>0</v>
      </c>
      <c r="G30" s="140">
        <f>'CONSOLIDADO_TOTAL RECAUDO'!G125</f>
        <v>42680</v>
      </c>
      <c r="H30" s="110">
        <f>'CONSOLIDADO_TOTAL RECAUDO'!H125</f>
        <v>34844954.140000001</v>
      </c>
      <c r="I30" s="111">
        <f>'CONSOLIDADO_TOTAL RECAUDO'!I125</f>
        <v>0</v>
      </c>
      <c r="J30" s="111">
        <f>'CONSOLIDADO_TOTAL RECAUDO'!J125</f>
        <v>-3544507.29</v>
      </c>
      <c r="K30" s="111">
        <f>'CONSOLIDADO_TOTAL RECAUDO'!K125</f>
        <v>40630</v>
      </c>
      <c r="L30" s="111">
        <f>'CONSOLIDADO_TOTAL RECAUDO'!L125</f>
        <v>1752.71</v>
      </c>
      <c r="O30" s="44"/>
      <c r="Q30" s="4"/>
    </row>
    <row r="31" spans="1:35" x14ac:dyDescent="0.25">
      <c r="B31" s="16">
        <v>2</v>
      </c>
      <c r="C31" s="17" t="s">
        <v>11</v>
      </c>
      <c r="D31" s="15">
        <f>'CONSOLIDADO_TOTAL RECAUDO'!D126</f>
        <v>88020913.75</v>
      </c>
      <c r="E31" s="74">
        <f>'CONSOLIDADO_TOTAL RECAUDO'!E126</f>
        <v>0</v>
      </c>
      <c r="G31" s="82">
        <f>'CONSOLIDADO_TOTAL RECAUDO'!G126</f>
        <v>0</v>
      </c>
      <c r="H31" s="18">
        <f>'CONSOLIDADO_TOTAL RECAUDO'!H126</f>
        <v>101713470.22999999</v>
      </c>
      <c r="I31" s="83">
        <f>'CONSOLIDADO_TOTAL RECAUDO'!I126</f>
        <v>0</v>
      </c>
      <c r="J31" s="83">
        <f>'CONSOLIDADO_TOTAL RECAUDO'!J126</f>
        <v>-8739602.3699999992</v>
      </c>
      <c r="K31" s="83">
        <f>'CONSOLIDADO_TOTAL RECAUDO'!K126</f>
        <v>0</v>
      </c>
      <c r="L31" s="83">
        <f>'CONSOLIDADO_TOTAL RECAUDO'!L126</f>
        <v>310.63</v>
      </c>
      <c r="O31" s="44"/>
      <c r="Q31" s="4"/>
    </row>
    <row r="32" spans="1:35" x14ac:dyDescent="0.25">
      <c r="B32" s="16">
        <v>3</v>
      </c>
      <c r="C32" s="17" t="s">
        <v>12</v>
      </c>
      <c r="D32" s="15">
        <f>'CONSOLIDADO_TOTAL RECAUDO'!D127</f>
        <v>8946171</v>
      </c>
      <c r="E32" s="74">
        <f>'CONSOLIDADO_TOTAL RECAUDO'!E127</f>
        <v>0</v>
      </c>
      <c r="G32" s="82">
        <f>'CONSOLIDADO_TOTAL RECAUDO'!G127</f>
        <v>169120</v>
      </c>
      <c r="H32" s="18">
        <f>'CONSOLIDADO_TOTAL RECAUDO'!H127</f>
        <v>23629213.850000001</v>
      </c>
      <c r="I32" s="83">
        <f>'CONSOLIDADO_TOTAL RECAUDO'!I127</f>
        <v>0</v>
      </c>
      <c r="J32" s="83">
        <f>'CONSOLIDADO_TOTAL RECAUDO'!J127</f>
        <v>-6125983.8899999997</v>
      </c>
      <c r="K32" s="83">
        <f>'CONSOLIDADO_TOTAL RECAUDO'!K127</f>
        <v>2320</v>
      </c>
      <c r="L32" s="83">
        <f>'CONSOLIDADO_TOTAL RECAUDO'!L127</f>
        <v>984746.11</v>
      </c>
      <c r="O32" s="44"/>
      <c r="Q32" s="4"/>
    </row>
    <row r="33" spans="1:20" x14ac:dyDescent="0.25">
      <c r="B33" s="16">
        <v>4</v>
      </c>
      <c r="C33" s="17" t="s">
        <v>13</v>
      </c>
      <c r="D33" s="15">
        <f>'CONSOLIDADO_TOTAL RECAUDO'!D128</f>
        <v>41072279.719999999</v>
      </c>
      <c r="E33" s="74">
        <f>'CONSOLIDADO_TOTAL RECAUDO'!E128</f>
        <v>0</v>
      </c>
      <c r="G33" s="82">
        <f>'CONSOLIDADO_TOTAL RECAUDO'!G128</f>
        <v>8635714</v>
      </c>
      <c r="H33" s="18">
        <f>'CONSOLIDADO_TOTAL RECAUDO'!H128</f>
        <v>23548210.240000002</v>
      </c>
      <c r="I33" s="83">
        <f>'CONSOLIDADO_TOTAL RECAUDO'!I128</f>
        <v>0</v>
      </c>
      <c r="J33" s="83">
        <f>'CONSOLIDADO_TOTAL RECAUDO'!J128</f>
        <v>-22250059.780000001</v>
      </c>
      <c r="K33" s="83">
        <f>'CONSOLIDADO_TOTAL RECAUDO'!K128</f>
        <v>10812878</v>
      </c>
      <c r="L33" s="83">
        <f>'CONSOLIDADO_TOTAL RECAUDO'!L128</f>
        <v>459462.22</v>
      </c>
      <c r="O33" s="44"/>
      <c r="Q33" s="4"/>
    </row>
    <row r="34" spans="1:20" x14ac:dyDescent="0.25">
      <c r="B34" s="133">
        <v>5</v>
      </c>
      <c r="C34" s="138" t="s">
        <v>14</v>
      </c>
      <c r="D34" s="135">
        <f>'CONSOLIDADO_TOTAL RECAUDO'!D129</f>
        <v>14445987</v>
      </c>
      <c r="E34" s="139">
        <f>'CONSOLIDADO_TOTAL RECAUDO'!E129</f>
        <v>0</v>
      </c>
      <c r="G34" s="82">
        <f>'CONSOLIDADO_TOTAL RECAUDO'!G129</f>
        <v>61140</v>
      </c>
      <c r="H34" s="18">
        <f>'CONSOLIDADO_TOTAL RECAUDO'!H129</f>
        <v>27520060.710000001</v>
      </c>
      <c r="I34" s="83">
        <f>'CONSOLIDADO_TOTAL RECAUDO'!I129</f>
        <v>0</v>
      </c>
      <c r="J34" s="83">
        <f>'CONSOLIDADO_TOTAL RECAUDO'!J129</f>
        <v>-9076100</v>
      </c>
      <c r="K34" s="83">
        <f>'CONSOLIDADO_TOTAL RECAUDO'!K129</f>
        <v>309980</v>
      </c>
      <c r="L34" s="83">
        <f>'CONSOLIDADO_TOTAL RECAUDO'!L129</f>
        <v>133820</v>
      </c>
      <c r="O34" s="44"/>
      <c r="Q34" s="4"/>
    </row>
    <row r="35" spans="1:20" ht="12" thickBot="1" x14ac:dyDescent="0.3">
      <c r="B35" s="19" t="s">
        <v>89</v>
      </c>
      <c r="C35" s="20" t="s">
        <v>113</v>
      </c>
      <c r="D35" s="78"/>
      <c r="E35" s="79">
        <f>'CONSOLIDADO_TOTAL RECAUDO'!E130</f>
        <v>0</v>
      </c>
      <c r="G35" s="77"/>
      <c r="H35" s="78"/>
      <c r="I35" s="79"/>
      <c r="J35" s="79"/>
      <c r="K35" s="79"/>
      <c r="L35" s="79"/>
      <c r="O35" s="44"/>
      <c r="Q35" s="4"/>
    </row>
    <row r="36" spans="1:20" ht="12" thickBot="1" x14ac:dyDescent="0.3">
      <c r="B36" s="95"/>
      <c r="C36" s="106" t="s">
        <v>2</v>
      </c>
      <c r="D36" s="107">
        <f t="shared" ref="D36" si="6">SUM(D30:D34)</f>
        <v>185904781.96000001</v>
      </c>
      <c r="E36" s="107">
        <f>'CONSOLIDADO_TOTAL RECAUDO'!E131</f>
        <v>0</v>
      </c>
      <c r="F36" s="45"/>
      <c r="G36" s="107">
        <f t="shared" ref="G36" si="7">SUM(G30:G34)</f>
        <v>8908654</v>
      </c>
      <c r="H36" s="107">
        <f t="shared" ref="H36:L36" si="8">SUM(H30:H34)</f>
        <v>211255909.17000002</v>
      </c>
      <c r="I36" s="107">
        <f t="shared" si="8"/>
        <v>0</v>
      </c>
      <c r="J36" s="107">
        <f t="shared" ref="J36" si="9">SUM(J30:J34)</f>
        <v>-49736253.329999998</v>
      </c>
      <c r="K36" s="107">
        <f t="shared" si="8"/>
        <v>11165808</v>
      </c>
      <c r="L36" s="107">
        <f t="shared" si="8"/>
        <v>1580091.67</v>
      </c>
      <c r="M36" s="45"/>
      <c r="N36" s="45"/>
      <c r="O36" s="46"/>
      <c r="P36" s="2"/>
      <c r="Q36" s="4"/>
    </row>
    <row r="37" spans="1:20" x14ac:dyDescent="0.25">
      <c r="B37" s="2"/>
      <c r="C37" s="2"/>
      <c r="D37" s="24"/>
      <c r="Q37" s="4"/>
    </row>
    <row r="38" spans="1:20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5">
      <c r="N42" s="24"/>
      <c r="O42" s="24"/>
      <c r="Q42" s="24"/>
      <c r="T42" s="24"/>
    </row>
    <row r="43" spans="1:20" x14ac:dyDescent="0.25">
      <c r="N43" s="24"/>
      <c r="O43" s="24"/>
      <c r="Q43" s="24"/>
      <c r="T43" s="24"/>
    </row>
    <row r="44" spans="1:20" x14ac:dyDescent="0.25">
      <c r="D44" s="269" t="b">
        <f>D14='CONSOLIDADO_TOTAL RECAUDO'!D109</f>
        <v>1</v>
      </c>
      <c r="E44" s="269" t="b">
        <f>E14='CONSOLIDADO_TOTAL RECAUDO'!E109</f>
        <v>1</v>
      </c>
      <c r="F44" s="269" t="b">
        <f>F14='CONSOLIDADO_TOTAL RECAUDO'!F109</f>
        <v>1</v>
      </c>
      <c r="G44" s="269" t="b">
        <f>G14='CONSOLIDADO_TOTAL RECAUDO'!G109</f>
        <v>1</v>
      </c>
      <c r="H44" s="269" t="b">
        <f>H14='CONSOLIDADO_TOTAL RECAUDO'!H109</f>
        <v>1</v>
      </c>
      <c r="I44" s="269" t="b">
        <f>I14='CONSOLIDADO_TOTAL RECAUDO'!I109</f>
        <v>1</v>
      </c>
      <c r="J44" s="269" t="b">
        <f>J14='CONSOLIDADO_TOTAL RECAUDO'!J109</f>
        <v>1</v>
      </c>
      <c r="K44" s="269" t="b">
        <f>K14='CONSOLIDADO_TOTAL RECAUDO'!K109</f>
        <v>1</v>
      </c>
      <c r="L44" s="269" t="b">
        <f>L14='CONSOLIDADO_TOTAL RECAUDO'!L109</f>
        <v>1</v>
      </c>
      <c r="M44" s="269" t="b">
        <f>M14='CONSOLIDADO_TOTAL RECAUDO'!M109</f>
        <v>1</v>
      </c>
      <c r="N44" s="269" t="b">
        <f>N14='CONSOLIDADO_TOTAL RECAUDO'!N109</f>
        <v>1</v>
      </c>
      <c r="O44" s="269" t="b">
        <f>O14='CONSOLIDADO_TOTAL RECAUDO'!O109</f>
        <v>1</v>
      </c>
      <c r="Q44" s="24"/>
      <c r="T44" s="24"/>
    </row>
    <row r="45" spans="1:20" x14ac:dyDescent="0.25">
      <c r="D45" s="269" t="b">
        <f>D36='CONSOLIDADO_TOTAL RECAUDO'!D131</f>
        <v>1</v>
      </c>
      <c r="E45" s="269" t="b">
        <f>E36='CONSOLIDADO_TOTAL RECAUDO'!E131</f>
        <v>1</v>
      </c>
      <c r="F45" s="269" t="b">
        <f>F36='CONSOLIDADO_TOTAL RECAUDO'!F131</f>
        <v>1</v>
      </c>
      <c r="G45" s="269" t="b">
        <f>G36='CONSOLIDADO_TOTAL RECAUDO'!G131</f>
        <v>1</v>
      </c>
      <c r="H45" s="269" t="b">
        <f>H36='CONSOLIDADO_TOTAL RECAUDO'!H131</f>
        <v>1</v>
      </c>
      <c r="I45" s="269" t="b">
        <f>I36='CONSOLIDADO_TOTAL RECAUDO'!I131</f>
        <v>1</v>
      </c>
      <c r="J45" s="269" t="b">
        <f>K36='CONSOLIDADO_TOTAL RECAUDO'!K131</f>
        <v>1</v>
      </c>
      <c r="K45" s="269" t="b">
        <f>K36='CONSOLIDADO_TOTAL RECAUDO'!K131</f>
        <v>1</v>
      </c>
      <c r="L45" s="269" t="b">
        <f>L36='CONSOLIDADO_TOTAL RECAUDO'!L131</f>
        <v>1</v>
      </c>
      <c r="M45" s="269" t="b">
        <f>M36='CONSOLIDADO_TOTAL RECAUDO'!M131</f>
        <v>1</v>
      </c>
      <c r="N45" s="269" t="b">
        <f>N36='CONSOLIDADO_TOTAL RECAUDO'!N131</f>
        <v>1</v>
      </c>
      <c r="O45" s="269" t="b">
        <f>O36='CONSOLIDADO_TOTAL RECAUDO'!O131</f>
        <v>1</v>
      </c>
      <c r="Q45" s="24"/>
      <c r="T45" s="24"/>
    </row>
    <row r="46" spans="1:20" x14ac:dyDescent="0.25">
      <c r="N46" s="24"/>
      <c r="O46" s="24"/>
      <c r="Q46" s="24"/>
      <c r="T46" s="24"/>
    </row>
    <row r="47" spans="1:20" x14ac:dyDescent="0.25">
      <c r="N47" s="24"/>
      <c r="O47" s="24"/>
      <c r="Q47" s="24"/>
      <c r="T47" s="24"/>
    </row>
    <row r="48" spans="1:20" x14ac:dyDescent="0.25">
      <c r="N48" s="24"/>
      <c r="O48" s="24"/>
      <c r="Q48" s="24"/>
      <c r="T48" s="24"/>
    </row>
    <row r="49" spans="14:20" x14ac:dyDescent="0.25">
      <c r="N49" s="24"/>
      <c r="O49" s="24"/>
      <c r="Q49" s="24"/>
      <c r="T49" s="24"/>
    </row>
    <row r="50" spans="14:20" x14ac:dyDescent="0.25">
      <c r="N50" s="24"/>
      <c r="O50" s="24"/>
      <c r="Q50" s="24"/>
      <c r="T50" s="24"/>
    </row>
    <row r="51" spans="14:20" x14ac:dyDescent="0.25">
      <c r="Q51" s="24"/>
      <c r="T51" s="24"/>
    </row>
    <row r="52" spans="14:20" x14ac:dyDescent="0.25">
      <c r="Q52" s="24"/>
    </row>
  </sheetData>
  <conditionalFormatting sqref="AH9:AH14">
    <cfRule type="cellIs" dxfId="63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  <pageSetUpPr fitToPage="1"/>
  </sheetPr>
  <dimension ref="A1:AJ166"/>
  <sheetViews>
    <sheetView zoomScaleNormal="100" workbookViewId="0"/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7265625" style="1" customWidth="1"/>
    <col min="4" max="4" width="15.26953125" style="1" customWidth="1"/>
    <col min="5" max="5" width="16" style="1" customWidth="1"/>
    <col min="6" max="7" width="14.7265625" style="1" customWidth="1"/>
    <col min="8" max="9" width="16" style="1" customWidth="1"/>
    <col min="10" max="10" width="15.54296875" style="1" customWidth="1"/>
    <col min="11" max="11" width="17.54296875" style="1" customWidth="1"/>
    <col min="12" max="12" width="17.7265625" style="1" customWidth="1"/>
    <col min="13" max="13" width="18.7265625" style="1" customWidth="1"/>
    <col min="14" max="14" width="15.26953125" style="1" customWidth="1"/>
    <col min="15" max="15" width="16.7265625" style="1" customWidth="1"/>
    <col min="16" max="16" width="3.7265625" style="1" customWidth="1"/>
    <col min="17" max="17" width="2.7265625" style="1" customWidth="1"/>
    <col min="18" max="18" width="4.54296875" style="1" customWidth="1"/>
    <col min="19" max="19" width="11.26953125" style="1" customWidth="1"/>
    <col min="20" max="20" width="37.54296875" style="1" bestFit="1" customWidth="1"/>
    <col min="21" max="21" width="19.26953125" style="1" customWidth="1"/>
    <col min="22" max="22" width="17.7265625" style="1" customWidth="1"/>
    <col min="23" max="23" width="16.453125" style="1" customWidth="1"/>
    <col min="24" max="24" width="17.26953125" style="1" customWidth="1"/>
    <col min="25" max="25" width="15.7265625" style="1" customWidth="1"/>
    <col min="26" max="26" width="16" style="1" customWidth="1"/>
    <col min="27" max="27" width="15" style="1" customWidth="1"/>
    <col min="28" max="29" width="16.7265625" style="1" customWidth="1"/>
    <col min="30" max="31" width="15.453125" style="1" customWidth="1"/>
    <col min="32" max="32" width="16.26953125" style="1" customWidth="1"/>
    <col min="33" max="33" width="18.26953125" style="1" customWidth="1"/>
    <col min="34" max="34" width="13.7265625" style="1" customWidth="1"/>
    <col min="35" max="35" width="3.453125" style="1" customWidth="1"/>
    <col min="36" max="36" width="13.7265625" style="1" bestFit="1" customWidth="1"/>
    <col min="37" max="16384" width="11.453125" style="1"/>
  </cols>
  <sheetData>
    <row r="1" spans="1:35" ht="12" thickBot="1" x14ac:dyDescent="0.3">
      <c r="A1" s="241"/>
      <c r="Q1" s="4"/>
      <c r="AI1" s="4"/>
    </row>
    <row r="2" spans="1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1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5" x14ac:dyDescent="0.35">
      <c r="B6" s="8"/>
      <c r="C6" s="590" t="s">
        <v>17</v>
      </c>
      <c r="D6" s="9">
        <f>'CONSOLIDADO_TOTAL RECAUDO'!D6</f>
        <v>46282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" thickBot="1" x14ac:dyDescent="0.3">
      <c r="B7" s="8"/>
      <c r="C7" s="590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1:35" ht="72" customHeight="1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0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21" t="s">
        <v>107</v>
      </c>
      <c r="AE8" s="121" t="s">
        <v>223</v>
      </c>
      <c r="AF8" s="39" t="s">
        <v>23</v>
      </c>
      <c r="AG8" s="13"/>
      <c r="AI8" s="4"/>
    </row>
    <row r="9" spans="1:35" s="307" customFormat="1" x14ac:dyDescent="0.25">
      <c r="B9" s="305">
        <v>1</v>
      </c>
      <c r="C9" s="306" t="s">
        <v>10</v>
      </c>
      <c r="D9" s="293">
        <f>'Reporte Componentes R1'!F52</f>
        <v>0</v>
      </c>
      <c r="E9" s="294">
        <f>'Reporte Componentes R1'!G52</f>
        <v>0</v>
      </c>
      <c r="F9" s="294">
        <f>'Reporte Componentes R1'!H52</f>
        <v>0</v>
      </c>
      <c r="G9" s="294">
        <f>'Reporte Componentes R1'!I52</f>
        <v>0</v>
      </c>
      <c r="H9" s="294">
        <f>'Reporte Componentes R1'!J52</f>
        <v>0</v>
      </c>
      <c r="I9" s="294">
        <f>'Reporte Componentes R1'!K52</f>
        <v>0</v>
      </c>
      <c r="J9" s="290">
        <v>0</v>
      </c>
      <c r="K9" s="295">
        <f>D9-E9-F9-G9-H9-I9-J9</f>
        <v>0</v>
      </c>
      <c r="L9" s="296">
        <v>0</v>
      </c>
      <c r="M9" s="295">
        <f>K9-L9</f>
        <v>0</v>
      </c>
      <c r="N9" s="296">
        <f>'Reporte Componentes R1'!L52</f>
        <v>0</v>
      </c>
      <c r="O9" s="295">
        <f>M9+N9</f>
        <v>0</v>
      </c>
      <c r="Q9" s="308"/>
      <c r="S9" s="305">
        <v>1</v>
      </c>
      <c r="T9" s="306" t="s">
        <v>10</v>
      </c>
      <c r="U9" s="309">
        <f>'Reporte Componentes R1'!M52</f>
        <v>0</v>
      </c>
      <c r="V9" s="310">
        <f>'Reporte Componentes R1'!N52</f>
        <v>0</v>
      </c>
      <c r="W9" s="310">
        <f>'Reporte Componentes R1'!O52</f>
        <v>0</v>
      </c>
      <c r="X9" s="310">
        <f>'Reporte Componentes R1'!P52</f>
        <v>0</v>
      </c>
      <c r="Y9" s="311">
        <f>'Reporte Componentes R1'!Q52</f>
        <v>0</v>
      </c>
      <c r="Z9" s="312">
        <f>L9*-1</f>
        <v>0</v>
      </c>
      <c r="AA9" s="313">
        <f>'Reporte Componentes R1'!R52+'Reporte Componentes R1'!V52+'Reporte Componentes R1'!U52</f>
        <v>0</v>
      </c>
      <c r="AB9" s="296">
        <f>N9</f>
        <v>0</v>
      </c>
      <c r="AC9" s="313">
        <f>'Reporte Componentes R1'!T52+'Reporte Componentes R1'!W52+'Reporte Componentes R1'!X52+'Reporte Componentes R1'!Y52+'Reporte Componentes R1'!Z52+'Reporte Componentes R1'!S52</f>
        <v>0</v>
      </c>
      <c r="AD9" s="293">
        <f>-J9+AE9</f>
        <v>0</v>
      </c>
      <c r="AE9" s="293">
        <f>'Reporte Componentes R1'!F53</f>
        <v>0</v>
      </c>
      <c r="AF9" s="315">
        <f>SUM(U9:AD9)</f>
        <v>0</v>
      </c>
      <c r="AG9" s="523">
        <f>(AF9-O9)</f>
        <v>0</v>
      </c>
      <c r="AH9" s="1" t="b">
        <f>INT(AG9)=0</f>
        <v>1</v>
      </c>
      <c r="AI9" s="308"/>
    </row>
    <row r="10" spans="1:35" s="307" customFormat="1" x14ac:dyDescent="0.25">
      <c r="B10" s="316">
        <v>2</v>
      </c>
      <c r="C10" s="317" t="s">
        <v>11</v>
      </c>
      <c r="D10" s="293">
        <f>'Reporte Componentes R1'!F186</f>
        <v>3445900</v>
      </c>
      <c r="E10" s="294">
        <f>'Reporte Componentes R1'!G186</f>
        <v>267464.13</v>
      </c>
      <c r="F10" s="294">
        <f>'Reporte Componentes R1'!H186</f>
        <v>147953.18</v>
      </c>
      <c r="G10" s="294">
        <f>'Reporte Componentes R1'!I186</f>
        <v>78179.08</v>
      </c>
      <c r="H10" s="294">
        <f>'Reporte Componentes R1'!J186</f>
        <v>1184623.3500000001</v>
      </c>
      <c r="I10" s="294">
        <f>'Reporte Componentes R1'!K186</f>
        <v>36371.93</v>
      </c>
      <c r="J10" s="290">
        <v>0</v>
      </c>
      <c r="K10" s="297">
        <f t="shared" ref="K10:K13" si="0">D10-E10-F10-G10-H10-I10-J10</f>
        <v>1731308.3299999998</v>
      </c>
      <c r="L10" s="296">
        <v>0</v>
      </c>
      <c r="M10" s="297">
        <f>K10-L10</f>
        <v>1731308.3299999998</v>
      </c>
      <c r="N10" s="296">
        <f>'Reporte Componentes R1'!L186</f>
        <v>0</v>
      </c>
      <c r="O10" s="297">
        <f t="shared" ref="O10:O12" si="1">M10+N10</f>
        <v>1731308.3299999998</v>
      </c>
      <c r="Q10" s="308"/>
      <c r="S10" s="316">
        <v>2</v>
      </c>
      <c r="T10" s="317" t="s">
        <v>11</v>
      </c>
      <c r="U10" s="318">
        <f>'Reporte Componentes R1'!M186</f>
        <v>313529.02</v>
      </c>
      <c r="V10" s="319">
        <f>'Reporte Componentes R1'!N186</f>
        <v>351306.01</v>
      </c>
      <c r="W10" s="319">
        <f>'Reporte Componentes R1'!O186</f>
        <v>1657290.85</v>
      </c>
      <c r="X10" s="319">
        <f>'Reporte Componentes R1'!P186</f>
        <v>516566.24</v>
      </c>
      <c r="Y10" s="320">
        <f>'Reporte Componentes R1'!Q186</f>
        <v>59343.8</v>
      </c>
      <c r="Z10" s="321">
        <f>L10*-1</f>
        <v>0</v>
      </c>
      <c r="AA10" s="322">
        <f>'Reporte Componentes R1'!R186+'Reporte Componentes R1'!V186+'Reporte Componentes R1'!U186</f>
        <v>28.27</v>
      </c>
      <c r="AB10" s="296">
        <f>N10</f>
        <v>0</v>
      </c>
      <c r="AC10" s="322">
        <f>'Reporte Componentes R1'!T186+'Reporte Componentes R1'!W186+'Reporte Componentes R1'!X186+'Reporte Componentes R1'!Y186+'Reporte Componentes R1'!Z186++'Reporte Componentes R1'!S186</f>
        <v>1.3499999999999999</v>
      </c>
      <c r="AD10" s="293">
        <f t="shared" ref="AD10:AD13" si="2">-J10+AE10</f>
        <v>-1166757.21</v>
      </c>
      <c r="AE10" s="293">
        <f>'Reporte Componentes R1'!F187</f>
        <v>-1166757.21</v>
      </c>
      <c r="AF10" s="324">
        <f>SUM(U10:AD10)</f>
        <v>1731308.33</v>
      </c>
      <c r="AG10" s="524">
        <f>(AF10-O10)</f>
        <v>2.3283064365386963E-10</v>
      </c>
      <c r="AH10" s="1" t="b">
        <f t="shared" ref="AH10:AH14" si="3">INT(AG10)=0</f>
        <v>1</v>
      </c>
      <c r="AI10" s="308"/>
    </row>
    <row r="11" spans="1:35" s="307" customFormat="1" x14ac:dyDescent="0.25">
      <c r="B11" s="316">
        <v>3</v>
      </c>
      <c r="C11" s="317" t="s">
        <v>12</v>
      </c>
      <c r="D11" s="293">
        <f>'Reporte Componentes R1'!F330</f>
        <v>0</v>
      </c>
      <c r="E11" s="294">
        <f>'Reporte Componentes R1'!G330</f>
        <v>0</v>
      </c>
      <c r="F11" s="294">
        <f>'Reporte Componentes R1'!H330</f>
        <v>0</v>
      </c>
      <c r="G11" s="294">
        <f>'Reporte Componentes R1'!I330</f>
        <v>0</v>
      </c>
      <c r="H11" s="294">
        <f>'Reporte Componentes R1'!J330</f>
        <v>0</v>
      </c>
      <c r="I11" s="294">
        <f>'Reporte Componentes R1'!K330</f>
        <v>0</v>
      </c>
      <c r="J11" s="290">
        <v>0</v>
      </c>
      <c r="K11" s="297">
        <f t="shared" si="0"/>
        <v>0</v>
      </c>
      <c r="L11" s="296">
        <v>0</v>
      </c>
      <c r="M11" s="297">
        <f>K11-L11</f>
        <v>0</v>
      </c>
      <c r="N11" s="296">
        <f>'Reporte Componentes R1'!L330</f>
        <v>0</v>
      </c>
      <c r="O11" s="297">
        <f t="shared" si="1"/>
        <v>0</v>
      </c>
      <c r="Q11" s="308"/>
      <c r="S11" s="316">
        <v>3</v>
      </c>
      <c r="T11" s="317" t="s">
        <v>12</v>
      </c>
      <c r="U11" s="318">
        <f>'Reporte Componentes R1'!M330</f>
        <v>0</v>
      </c>
      <c r="V11" s="319">
        <f>'Reporte Componentes R1'!N330</f>
        <v>0</v>
      </c>
      <c r="W11" s="319">
        <f>'Reporte Componentes R1'!O330</f>
        <v>0</v>
      </c>
      <c r="X11" s="319">
        <f>'Reporte Componentes R1'!P330</f>
        <v>0</v>
      </c>
      <c r="Y11" s="320">
        <f>'Reporte Componentes R1'!Q330</f>
        <v>0</v>
      </c>
      <c r="Z11" s="321">
        <f>L11*-1</f>
        <v>0</v>
      </c>
      <c r="AA11" s="322">
        <f>'Reporte Componentes R1'!R330+'Reporte Componentes R1'!V330+'Reporte Componentes R1'!U330</f>
        <v>0</v>
      </c>
      <c r="AB11" s="296">
        <f>N11</f>
        <v>0</v>
      </c>
      <c r="AC11" s="322">
        <f>'Reporte Componentes R1'!T330+'Reporte Componentes R1'!W330+'Reporte Componentes R1'!X330+'Reporte Componentes R1'!Y330+'Reporte Componentes R1'!Z330++'Reporte Componentes R1'!S330</f>
        <v>0</v>
      </c>
      <c r="AD11" s="293">
        <f t="shared" si="2"/>
        <v>0</v>
      </c>
      <c r="AE11" s="293">
        <f>'Reporte Componentes R1'!F331</f>
        <v>0</v>
      </c>
      <c r="AF11" s="324">
        <f t="shared" ref="AF11:AF13" si="4">SUM(U11:AD11)</f>
        <v>0</v>
      </c>
      <c r="AG11" s="524">
        <f>(AF11-O11)</f>
        <v>0</v>
      </c>
      <c r="AH11" s="1" t="b">
        <f t="shared" si="3"/>
        <v>1</v>
      </c>
      <c r="AI11" s="308"/>
    </row>
    <row r="12" spans="1:35" s="307" customFormat="1" x14ac:dyDescent="0.25">
      <c r="B12" s="316">
        <v>4</v>
      </c>
      <c r="C12" s="317" t="s">
        <v>13</v>
      </c>
      <c r="D12" s="293">
        <f>'Reporte Componentes R1'!F463</f>
        <v>2157310</v>
      </c>
      <c r="E12" s="294">
        <f>'Reporte Componentes R1'!G463</f>
        <v>107058.24000000001</v>
      </c>
      <c r="F12" s="294">
        <f>'Reporte Componentes R1'!H463</f>
        <v>57977.77</v>
      </c>
      <c r="G12" s="294">
        <f>'Reporte Componentes R1'!I463</f>
        <v>32702.82</v>
      </c>
      <c r="H12" s="294">
        <f>'Reporte Componentes R1'!J463</f>
        <v>535922.02</v>
      </c>
      <c r="I12" s="294">
        <f>'Reporte Componentes R1'!K463</f>
        <v>18523.8</v>
      </c>
      <c r="J12" s="290">
        <v>0</v>
      </c>
      <c r="K12" s="297">
        <f t="shared" si="0"/>
        <v>1405125.3499999999</v>
      </c>
      <c r="L12" s="296">
        <v>0</v>
      </c>
      <c r="M12" s="297">
        <f>K12-L12</f>
        <v>1405125.3499999999</v>
      </c>
      <c r="N12" s="296">
        <f>'Reporte Componentes R1'!L463</f>
        <v>0</v>
      </c>
      <c r="O12" s="297">
        <f t="shared" si="1"/>
        <v>1405125.3499999999</v>
      </c>
      <c r="Q12" s="308"/>
      <c r="S12" s="316">
        <v>4</v>
      </c>
      <c r="T12" s="317" t="s">
        <v>13</v>
      </c>
      <c r="U12" s="318">
        <f>'Reporte Componentes R1'!M463</f>
        <v>162490.31</v>
      </c>
      <c r="V12" s="319">
        <f>'Reporte Componentes R1'!N463</f>
        <v>173660.97</v>
      </c>
      <c r="W12" s="319">
        <f>'Reporte Componentes R1'!O463</f>
        <v>895916.8</v>
      </c>
      <c r="X12" s="319">
        <f>'Reporte Componentes R1'!P463</f>
        <v>284989.5</v>
      </c>
      <c r="Y12" s="320">
        <f>'Reporte Componentes R1'!Q463</f>
        <v>32042.240000000002</v>
      </c>
      <c r="Z12" s="321">
        <f>L12*-1</f>
        <v>0</v>
      </c>
      <c r="AA12" s="322">
        <f>'Reporte Componentes R1'!R463+'Reporte Componentes R1'!V463+'Reporte Componentes R1'!U463</f>
        <v>-5.69</v>
      </c>
      <c r="AB12" s="296">
        <f>N12</f>
        <v>0</v>
      </c>
      <c r="AC12" s="322">
        <f>'Reporte Componentes R1'!T463+'Reporte Componentes R1'!W463+'Reporte Componentes R1'!X463+'Reporte Componentes R1'!Y463+'Reporte Componentes R1'!Z463++'Reporte Componentes R1'!S463</f>
        <v>0</v>
      </c>
      <c r="AD12" s="293">
        <f t="shared" si="2"/>
        <v>-143968.78</v>
      </c>
      <c r="AE12" s="293">
        <f>'Reporte Componentes R1'!F464</f>
        <v>-143968.78</v>
      </c>
      <c r="AF12" s="324">
        <f t="shared" si="4"/>
        <v>1405125.35</v>
      </c>
      <c r="AG12" s="524">
        <f>(AF12-O12)</f>
        <v>2.3283064365386963E-10</v>
      </c>
      <c r="AH12" s="1" t="b">
        <f t="shared" si="3"/>
        <v>1</v>
      </c>
      <c r="AI12" s="308"/>
    </row>
    <row r="13" spans="1:35" s="307" customFormat="1" ht="12" thickBot="1" x14ac:dyDescent="0.3">
      <c r="B13" s="326">
        <v>5</v>
      </c>
      <c r="C13" s="327" t="s">
        <v>14</v>
      </c>
      <c r="D13" s="298">
        <f>'Reporte Componentes R1'!F557</f>
        <v>0</v>
      </c>
      <c r="E13" s="299">
        <f>'Reporte Componentes R1'!G557</f>
        <v>0</v>
      </c>
      <c r="F13" s="299">
        <f>'Reporte Componentes R1'!H557</f>
        <v>0</v>
      </c>
      <c r="G13" s="299">
        <f>'Reporte Componentes R1'!I557</f>
        <v>0</v>
      </c>
      <c r="H13" s="299">
        <f>'Reporte Componentes R1'!J557</f>
        <v>0</v>
      </c>
      <c r="I13" s="299">
        <f>'Reporte Componentes R1'!K557</f>
        <v>0</v>
      </c>
      <c r="J13" s="291">
        <v>0</v>
      </c>
      <c r="K13" s="297">
        <f t="shared" si="0"/>
        <v>0</v>
      </c>
      <c r="L13" s="296">
        <v>0</v>
      </c>
      <c r="M13" s="300">
        <f>K13-L13</f>
        <v>0</v>
      </c>
      <c r="N13" s="301">
        <f>'Reporte Componentes R1'!L557</f>
        <v>0</v>
      </c>
      <c r="O13" s="300">
        <f>M13+N13</f>
        <v>0</v>
      </c>
      <c r="Q13" s="308"/>
      <c r="S13" s="326">
        <v>5</v>
      </c>
      <c r="T13" s="327" t="s">
        <v>14</v>
      </c>
      <c r="U13" s="298">
        <f>'Reporte Componentes R1'!M557</f>
        <v>0</v>
      </c>
      <c r="V13" s="299">
        <f>'Reporte Componentes R1'!N557</f>
        <v>0</v>
      </c>
      <c r="W13" s="299">
        <f>'Reporte Componentes R1'!O557</f>
        <v>0</v>
      </c>
      <c r="X13" s="299">
        <f>'Reporte Componentes R1'!P557</f>
        <v>0</v>
      </c>
      <c r="Y13" s="291">
        <f>'Reporte Componentes R1'!Q557</f>
        <v>0</v>
      </c>
      <c r="Z13" s="321">
        <f>L13*-1</f>
        <v>0</v>
      </c>
      <c r="AA13" s="322">
        <f>'Reporte Componentes R1'!R557+'Reporte Componentes R1'!V557+'Reporte Componentes R1'!U557</f>
        <v>0</v>
      </c>
      <c r="AB13" s="296">
        <f>N13</f>
        <v>0</v>
      </c>
      <c r="AC13" s="322">
        <f>'Reporte Componentes R1'!T557+'Reporte Componentes R1'!W557+'Reporte Componentes R1'!X557+'Reporte Componentes R1'!Y557+'Reporte Componentes R1'!Z557+'Reporte Componentes R1'!S557</f>
        <v>0</v>
      </c>
      <c r="AD13" s="293">
        <f t="shared" si="2"/>
        <v>0</v>
      </c>
      <c r="AE13" s="293">
        <f>'Reporte Componentes R1'!F558</f>
        <v>0</v>
      </c>
      <c r="AF13" s="324">
        <f t="shared" si="4"/>
        <v>0</v>
      </c>
      <c r="AG13" s="525">
        <f>(AF13-O13)</f>
        <v>0</v>
      </c>
      <c r="AH13" s="1" t="b">
        <f t="shared" si="3"/>
        <v>1</v>
      </c>
      <c r="AI13" s="308"/>
    </row>
    <row r="14" spans="1:35" s="307" customFormat="1" ht="13.5" thickBot="1" x14ac:dyDescent="0.35">
      <c r="B14" s="329"/>
      <c r="C14" s="330" t="s">
        <v>2</v>
      </c>
      <c r="D14" s="292">
        <f>SUM(D9:D13)</f>
        <v>5603210</v>
      </c>
      <c r="E14" s="292">
        <f t="shared" ref="E14:O14" si="5">SUM(E9:E13)</f>
        <v>374522.37</v>
      </c>
      <c r="F14" s="292">
        <f t="shared" si="5"/>
        <v>205930.94999999998</v>
      </c>
      <c r="G14" s="292">
        <f t="shared" si="5"/>
        <v>110881.9</v>
      </c>
      <c r="H14" s="292">
        <f t="shared" si="5"/>
        <v>1720545.37</v>
      </c>
      <c r="I14" s="292">
        <f t="shared" si="5"/>
        <v>54895.729999999996</v>
      </c>
      <c r="J14" s="292">
        <f t="shared" si="5"/>
        <v>0</v>
      </c>
      <c r="K14" s="302">
        <f t="shared" si="5"/>
        <v>3136433.6799999997</v>
      </c>
      <c r="L14" s="303">
        <f>SUM(L9:L13)</f>
        <v>0</v>
      </c>
      <c r="M14" s="304">
        <f t="shared" si="5"/>
        <v>3136433.6799999997</v>
      </c>
      <c r="N14" s="303">
        <f t="shared" si="5"/>
        <v>0</v>
      </c>
      <c r="O14" s="304">
        <f t="shared" si="5"/>
        <v>3136433.6799999997</v>
      </c>
      <c r="P14" s="331"/>
      <c r="Q14" s="308"/>
      <c r="S14" s="329"/>
      <c r="T14" s="330" t="s">
        <v>2</v>
      </c>
      <c r="U14" s="332">
        <f>SUM(U9:U13)</f>
        <v>476019.33</v>
      </c>
      <c r="V14" s="332">
        <f t="shared" ref="V14:AF14" si="6">SUM(V9:V13)</f>
        <v>524966.98</v>
      </c>
      <c r="W14" s="332">
        <f t="shared" si="6"/>
        <v>2553207.6500000004</v>
      </c>
      <c r="X14" s="332">
        <f t="shared" si="6"/>
        <v>801555.74</v>
      </c>
      <c r="Y14" s="332">
        <f t="shared" si="6"/>
        <v>91386.040000000008</v>
      </c>
      <c r="Z14" s="292">
        <f t="shared" si="6"/>
        <v>0</v>
      </c>
      <c r="AA14" s="292">
        <f t="shared" si="6"/>
        <v>22.58</v>
      </c>
      <c r="AB14" s="292">
        <f t="shared" si="6"/>
        <v>0</v>
      </c>
      <c r="AC14" s="292">
        <f t="shared" si="6"/>
        <v>1.3499999999999999</v>
      </c>
      <c r="AD14" s="292">
        <f>SUM(AD9:AD13)</f>
        <v>-1310725.99</v>
      </c>
      <c r="AE14" s="292">
        <f>SUM(AE9:AE13)</f>
        <v>-1310725.99</v>
      </c>
      <c r="AF14" s="333">
        <f t="shared" si="6"/>
        <v>3136433.68</v>
      </c>
      <c r="AG14" s="526">
        <f>SUM(AG9:AG13)</f>
        <v>4.6566128730773926E-10</v>
      </c>
      <c r="AH14" s="1" t="b">
        <f t="shared" si="3"/>
        <v>1</v>
      </c>
      <c r="AI14" s="308"/>
    </row>
    <row r="15" spans="1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4447135.74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3">
      <c r="Q20" s="4"/>
      <c r="AI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4" x14ac:dyDescent="0.3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5" x14ac:dyDescent="0.3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4" x14ac:dyDescent="0.3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5" x14ac:dyDescent="0.35">
      <c r="B25" s="8"/>
      <c r="C25" s="590" t="s">
        <v>17</v>
      </c>
      <c r="D25" s="9">
        <f>D6</f>
        <v>46282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" thickBot="1" x14ac:dyDescent="0.3">
      <c r="B26" s="8"/>
      <c r="C26" s="590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3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0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21" t="s">
        <v>107</v>
      </c>
      <c r="AE27" s="121" t="s">
        <v>223</v>
      </c>
      <c r="AF27" s="39" t="s">
        <v>23</v>
      </c>
      <c r="AG27" s="13"/>
      <c r="AI27" s="4"/>
    </row>
    <row r="28" spans="1:35" s="307" customFormat="1" x14ac:dyDescent="0.25">
      <c r="B28" s="305">
        <v>1</v>
      </c>
      <c r="C28" s="306" t="s">
        <v>10</v>
      </c>
      <c r="D28" s="293">
        <f>'Rem. Anticipos R2'!E45</f>
        <v>0</v>
      </c>
      <c r="E28" s="294">
        <f>'Rem. Anticipos R2'!F45</f>
        <v>0</v>
      </c>
      <c r="F28" s="294">
        <f>'Rem. Anticipos R2'!G45</f>
        <v>0</v>
      </c>
      <c r="G28" s="294">
        <f>'Rem. Anticipos R2'!H45</f>
        <v>0</v>
      </c>
      <c r="H28" s="294">
        <f>'Rem. Anticipos R2'!I45</f>
        <v>0</v>
      </c>
      <c r="I28" s="294">
        <f>'Rem. Anticipos R2'!J45</f>
        <v>0</v>
      </c>
      <c r="J28" s="290">
        <v>0</v>
      </c>
      <c r="K28" s="295">
        <f>D28-E28-F28-G28-H28-I28-J28</f>
        <v>0</v>
      </c>
      <c r="L28" s="296">
        <v>0</v>
      </c>
      <c r="M28" s="295">
        <f>K28-L28</f>
        <v>0</v>
      </c>
      <c r="N28" s="296">
        <f>'Rem. Anticipos R2'!K45</f>
        <v>0</v>
      </c>
      <c r="O28" s="295">
        <f>M28+N28</f>
        <v>0</v>
      </c>
      <c r="Q28" s="308"/>
      <c r="S28" s="305">
        <v>1</v>
      </c>
      <c r="T28" s="306" t="s">
        <v>10</v>
      </c>
      <c r="U28" s="309">
        <f>'Rem. Anticipos R2'!L45</f>
        <v>0</v>
      </c>
      <c r="V28" s="310">
        <f>'Rem. Anticipos R2'!M45</f>
        <v>0</v>
      </c>
      <c r="W28" s="310">
        <f>'Rem. Anticipos R2'!N45</f>
        <v>0</v>
      </c>
      <c r="X28" s="310">
        <f>'Rem. Anticipos R2'!O45</f>
        <v>0</v>
      </c>
      <c r="Y28" s="311">
        <f>'Rem. Anticipos R2'!P45</f>
        <v>0</v>
      </c>
      <c r="Z28" s="312">
        <f>L28*-1</f>
        <v>0</v>
      </c>
      <c r="AA28" s="313">
        <f>'Rem. Anticipos R2'!Q45</f>
        <v>0</v>
      </c>
      <c r="AB28" s="296">
        <f>N28</f>
        <v>0</v>
      </c>
      <c r="AC28" s="313">
        <f>'Rem. Anticipos R2'!R45</f>
        <v>0</v>
      </c>
      <c r="AD28" s="293">
        <f>-J28+AE28</f>
        <v>0</v>
      </c>
      <c r="AE28" s="293">
        <f>'Rem. Anticipos R2'!E46</f>
        <v>0</v>
      </c>
      <c r="AF28" s="315">
        <f>SUM(U28:AD28)</f>
        <v>0</v>
      </c>
      <c r="AG28" s="523">
        <f>(AF28-O28)</f>
        <v>0</v>
      </c>
      <c r="AH28" s="1" t="b">
        <f>INT(AG28)=0</f>
        <v>1</v>
      </c>
      <c r="AI28" s="308"/>
    </row>
    <row r="29" spans="1:35" s="307" customFormat="1" x14ac:dyDescent="0.25">
      <c r="B29" s="316">
        <v>2</v>
      </c>
      <c r="C29" s="317" t="s">
        <v>11</v>
      </c>
      <c r="D29" s="293">
        <f>'Rem. Anticipos R2'!E138</f>
        <v>16022820.030000001</v>
      </c>
      <c r="E29" s="294">
        <f>'Rem. Anticipos R2'!F138</f>
        <v>1363563.72</v>
      </c>
      <c r="F29" s="294">
        <f>'Rem. Anticipos R2'!G138</f>
        <v>820950.66</v>
      </c>
      <c r="G29" s="294">
        <f>'Rem. Anticipos R2'!H138</f>
        <v>239170.27</v>
      </c>
      <c r="H29" s="294">
        <f>'Rem. Anticipos R2'!I138</f>
        <v>6922017.6500000004</v>
      </c>
      <c r="I29" s="294">
        <f>'Rem. Anticipos R2'!J138</f>
        <v>207742.91</v>
      </c>
      <c r="J29" s="290">
        <v>0</v>
      </c>
      <c r="K29" s="297">
        <f t="shared" ref="K29:K31" si="7">D29-E29-F29-G29-H29-I29-J29</f>
        <v>6469374.8200000003</v>
      </c>
      <c r="L29" s="296">
        <v>0</v>
      </c>
      <c r="M29" s="297">
        <f>K29-L29</f>
        <v>6469374.8200000003</v>
      </c>
      <c r="N29" s="296">
        <f>'Rem. Anticipos R2'!K138</f>
        <v>0</v>
      </c>
      <c r="O29" s="297">
        <f t="shared" ref="O29:O32" si="8">M29+N29</f>
        <v>6469374.8200000003</v>
      </c>
      <c r="Q29" s="308"/>
      <c r="S29" s="316">
        <v>2</v>
      </c>
      <c r="T29" s="317" t="s">
        <v>11</v>
      </c>
      <c r="U29" s="318">
        <f>'Rem. Anticipos R2'!L138</f>
        <v>2074279.74</v>
      </c>
      <c r="V29" s="319">
        <f>'Rem. Anticipos R2'!M138</f>
        <v>1766598.37</v>
      </c>
      <c r="W29" s="319">
        <f>'Rem. Anticipos R2'!N138</f>
        <v>7092923.6799999997</v>
      </c>
      <c r="X29" s="319">
        <f>'Rem. Anticipos R2'!O138</f>
        <v>2735733.96</v>
      </c>
      <c r="Y29" s="320">
        <f>'Rem. Anticipos R2'!P138</f>
        <v>224551.9</v>
      </c>
      <c r="Z29" s="321">
        <f>L29*-1</f>
        <v>0</v>
      </c>
      <c r="AA29" s="322">
        <f>'Rem. Anticipos R2'!Q138</f>
        <v>157.16999999999999</v>
      </c>
      <c r="AB29" s="296">
        <f>N29</f>
        <v>0</v>
      </c>
      <c r="AC29" s="322">
        <f>'Rem. Anticipos R2'!R138</f>
        <v>0</v>
      </c>
      <c r="AD29" s="293">
        <f>-J29+AE29</f>
        <v>-7424870</v>
      </c>
      <c r="AE29" s="293">
        <f>'Rem. Anticipos R2'!E139</f>
        <v>-7424870</v>
      </c>
      <c r="AF29" s="324">
        <f>SUM(U29:AD29)</f>
        <v>6469374.8200000003</v>
      </c>
      <c r="AG29" s="524">
        <f>(AF29-O29)</f>
        <v>0</v>
      </c>
      <c r="AH29" s="1" t="b">
        <f t="shared" ref="AH29:AH33" si="9">INT(AG29)=0</f>
        <v>1</v>
      </c>
      <c r="AI29" s="308"/>
    </row>
    <row r="30" spans="1:35" s="307" customFormat="1" x14ac:dyDescent="0.25">
      <c r="B30" s="316">
        <v>3</v>
      </c>
      <c r="C30" s="317" t="s">
        <v>12</v>
      </c>
      <c r="D30" s="293">
        <f>'Rem. Anticipos R2'!E251</f>
        <v>0</v>
      </c>
      <c r="E30" s="294">
        <f>'Rem. Anticipos R2'!F251</f>
        <v>0</v>
      </c>
      <c r="F30" s="294">
        <f>'Rem. Anticipos R2'!G251</f>
        <v>0</v>
      </c>
      <c r="G30" s="294">
        <f>'Rem. Anticipos R2'!H251</f>
        <v>0</v>
      </c>
      <c r="H30" s="294">
        <f>'Rem. Anticipos R2'!I251</f>
        <v>0</v>
      </c>
      <c r="I30" s="294">
        <f>'Rem. Anticipos R2'!J251</f>
        <v>0</v>
      </c>
      <c r="J30" s="290">
        <v>0</v>
      </c>
      <c r="K30" s="297">
        <f t="shared" si="7"/>
        <v>0</v>
      </c>
      <c r="L30" s="296">
        <v>0</v>
      </c>
      <c r="M30" s="297">
        <f>K30-L30</f>
        <v>0</v>
      </c>
      <c r="N30" s="296">
        <f>'Rem. Anticipos R2'!K251</f>
        <v>0</v>
      </c>
      <c r="O30" s="297">
        <f t="shared" si="8"/>
        <v>0</v>
      </c>
      <c r="Q30" s="308"/>
      <c r="S30" s="316">
        <v>3</v>
      </c>
      <c r="T30" s="317" t="s">
        <v>12</v>
      </c>
      <c r="U30" s="318">
        <f>'Rem. Anticipos R2'!L251</f>
        <v>0</v>
      </c>
      <c r="V30" s="319">
        <f>'Rem. Anticipos R2'!M251</f>
        <v>0</v>
      </c>
      <c r="W30" s="319">
        <f>'Rem. Anticipos R2'!N251</f>
        <v>0</v>
      </c>
      <c r="X30" s="319">
        <f>'Rem. Anticipos R2'!O251</f>
        <v>0</v>
      </c>
      <c r="Y30" s="320">
        <f>'Rem. Anticipos R2'!P251</f>
        <v>0</v>
      </c>
      <c r="Z30" s="321">
        <f>L30*-1</f>
        <v>0</v>
      </c>
      <c r="AA30" s="322">
        <f>'Rem. Anticipos R2'!Q251</f>
        <v>0</v>
      </c>
      <c r="AB30" s="296">
        <f>N30</f>
        <v>0</v>
      </c>
      <c r="AC30" s="322">
        <f>'Rem. Anticipos R2'!R251</f>
        <v>0</v>
      </c>
      <c r="AD30" s="293">
        <f t="shared" ref="AD30:AD32" si="10">-J30+AE30</f>
        <v>0</v>
      </c>
      <c r="AE30" s="293">
        <f>'Rem. Anticipos R2'!E252</f>
        <v>0</v>
      </c>
      <c r="AF30" s="324">
        <f>SUM(U30:AD30)</f>
        <v>0</v>
      </c>
      <c r="AG30" s="524">
        <f t="shared" ref="AG30:AG31" si="11">(AF30-O30)</f>
        <v>0</v>
      </c>
      <c r="AH30" s="1" t="b">
        <f t="shared" si="9"/>
        <v>1</v>
      </c>
      <c r="AI30" s="308"/>
    </row>
    <row r="31" spans="1:35" s="307" customFormat="1" x14ac:dyDescent="0.25">
      <c r="B31" s="316">
        <v>4</v>
      </c>
      <c r="C31" s="317" t="s">
        <v>13</v>
      </c>
      <c r="D31" s="293">
        <f>'Rem. Anticipos R2'!E347</f>
        <v>4840819.8599999994</v>
      </c>
      <c r="E31" s="294">
        <f>'Rem. Anticipos R2'!F347</f>
        <v>279744.58</v>
      </c>
      <c r="F31" s="294">
        <f>'Rem. Anticipos R2'!G347</f>
        <v>162265.51</v>
      </c>
      <c r="G31" s="294">
        <f>'Rem. Anticipos R2'!H347</f>
        <v>60095.57</v>
      </c>
      <c r="H31" s="294">
        <f>'Rem. Anticipos R2'!I347</f>
        <v>1186334.92</v>
      </c>
      <c r="I31" s="294">
        <f>'Rem. Anticipos R2'!J347</f>
        <v>34753.74</v>
      </c>
      <c r="J31" s="290">
        <v>0</v>
      </c>
      <c r="K31" s="297">
        <f t="shared" si="7"/>
        <v>3117625.5399999991</v>
      </c>
      <c r="L31" s="296">
        <v>0</v>
      </c>
      <c r="M31" s="297">
        <f>K31-L31</f>
        <v>3117625.5399999991</v>
      </c>
      <c r="N31" s="296">
        <f>'Rem. Anticipos R2'!K347</f>
        <v>0</v>
      </c>
      <c r="O31" s="297">
        <f t="shared" si="8"/>
        <v>3117625.5399999991</v>
      </c>
      <c r="Q31" s="308"/>
      <c r="S31" s="316">
        <v>4</v>
      </c>
      <c r="T31" s="317" t="s">
        <v>13</v>
      </c>
      <c r="U31" s="318">
        <f>'Rem. Anticipos R2'!L347</f>
        <v>337364.43</v>
      </c>
      <c r="V31" s="319">
        <f>'Rem. Anticipos R2'!M347</f>
        <v>326316.08</v>
      </c>
      <c r="W31" s="319">
        <f>'Rem. Anticipos R2'!N347</f>
        <v>1543170.48</v>
      </c>
      <c r="X31" s="319">
        <f>'Rem. Anticipos R2'!O347</f>
        <v>781613.85</v>
      </c>
      <c r="Y31" s="320">
        <f>'Rem. Anticipos R2'!P347</f>
        <v>43697.84</v>
      </c>
      <c r="Z31" s="321">
        <f>L31*-1</f>
        <v>0</v>
      </c>
      <c r="AA31" s="322">
        <f>'Rem. Anticipos R2'!Q347</f>
        <v>9.76</v>
      </c>
      <c r="AB31" s="296">
        <f>N31</f>
        <v>0</v>
      </c>
      <c r="AC31" s="322">
        <f>'Rem. Anticipos R2'!R347</f>
        <v>0</v>
      </c>
      <c r="AD31" s="293">
        <f t="shared" si="10"/>
        <v>85453.1</v>
      </c>
      <c r="AE31" s="293">
        <f>'Rem. Anticipos R2'!E348</f>
        <v>85453.1</v>
      </c>
      <c r="AF31" s="324">
        <f>SUM(U31:AD31)</f>
        <v>3117625.54</v>
      </c>
      <c r="AG31" s="524">
        <f t="shared" si="11"/>
        <v>9.3132257461547852E-10</v>
      </c>
      <c r="AH31" s="1" t="b">
        <f t="shared" si="9"/>
        <v>1</v>
      </c>
      <c r="AI31" s="308"/>
    </row>
    <row r="32" spans="1:35" s="307" customFormat="1" ht="12" thickBot="1" x14ac:dyDescent="0.3">
      <c r="B32" s="326">
        <v>5</v>
      </c>
      <c r="C32" s="327" t="s">
        <v>14</v>
      </c>
      <c r="D32" s="298">
        <f>'Rem. Anticipos R2'!E418</f>
        <v>0</v>
      </c>
      <c r="E32" s="299">
        <f>'Rem. Anticipos R2'!F418</f>
        <v>0</v>
      </c>
      <c r="F32" s="299">
        <f>'Rem. Anticipos R2'!G418</f>
        <v>0</v>
      </c>
      <c r="G32" s="299">
        <f>'Rem. Anticipos R2'!H418</f>
        <v>0</v>
      </c>
      <c r="H32" s="299">
        <f>'Rem. Anticipos R2'!I418</f>
        <v>0</v>
      </c>
      <c r="I32" s="299">
        <f>'Rem. Anticipos R2'!J418</f>
        <v>0</v>
      </c>
      <c r="J32" s="291">
        <v>0</v>
      </c>
      <c r="K32" s="297">
        <f>D32-E32-F32-G32-H32-I32-J32</f>
        <v>0</v>
      </c>
      <c r="L32" s="296">
        <v>0</v>
      </c>
      <c r="M32" s="300">
        <f>K32-L32</f>
        <v>0</v>
      </c>
      <c r="N32" s="301">
        <f>'Rem. Anticipos R2'!K418</f>
        <v>0</v>
      </c>
      <c r="O32" s="300">
        <f t="shared" si="8"/>
        <v>0</v>
      </c>
      <c r="Q32" s="308"/>
      <c r="S32" s="326">
        <v>5</v>
      </c>
      <c r="T32" s="327" t="s">
        <v>14</v>
      </c>
      <c r="U32" s="298">
        <f>'Rem. Anticipos R2'!L418</f>
        <v>0</v>
      </c>
      <c r="V32" s="299">
        <f>'Rem. Anticipos R2'!M418</f>
        <v>0</v>
      </c>
      <c r="W32" s="299">
        <f>'Rem. Anticipos R2'!N418</f>
        <v>0</v>
      </c>
      <c r="X32" s="299">
        <f>'Rem. Anticipos R2'!O418</f>
        <v>0</v>
      </c>
      <c r="Y32" s="291">
        <f>'Rem. Anticipos R2'!P418</f>
        <v>0</v>
      </c>
      <c r="Z32" s="321">
        <f>L32*-1</f>
        <v>0</v>
      </c>
      <c r="AA32" s="322">
        <f>'Rem. Anticipos R2'!Q418</f>
        <v>0</v>
      </c>
      <c r="AB32" s="296">
        <f>N32</f>
        <v>0</v>
      </c>
      <c r="AC32" s="322">
        <f>'Rem. Anticipos R2'!R418</f>
        <v>0</v>
      </c>
      <c r="AD32" s="293">
        <f t="shared" si="10"/>
        <v>0</v>
      </c>
      <c r="AE32" s="293">
        <f>'Rem. Anticipos R2'!E419</f>
        <v>0</v>
      </c>
      <c r="AF32" s="324">
        <f>SUM(U32:AD32)</f>
        <v>0</v>
      </c>
      <c r="AG32" s="525">
        <f>(AF32-O32)</f>
        <v>0</v>
      </c>
      <c r="AH32" s="1" t="b">
        <f t="shared" si="9"/>
        <v>1</v>
      </c>
      <c r="AI32" s="308"/>
    </row>
    <row r="33" spans="1:35" s="307" customFormat="1" ht="13.5" thickBot="1" x14ac:dyDescent="0.35">
      <c r="B33" s="329"/>
      <c r="C33" s="330" t="s">
        <v>2</v>
      </c>
      <c r="D33" s="292">
        <f>SUM(D28:D32)</f>
        <v>20863639.890000001</v>
      </c>
      <c r="E33" s="292">
        <f>SUM(E28:E32)</f>
        <v>1643308.3</v>
      </c>
      <c r="F33" s="292">
        <f t="shared" ref="F33:O33" si="12">SUM(F28:F32)</f>
        <v>983216.17</v>
      </c>
      <c r="G33" s="292">
        <f t="shared" si="12"/>
        <v>299265.83999999997</v>
      </c>
      <c r="H33" s="292">
        <f t="shared" si="12"/>
        <v>8108352.5700000003</v>
      </c>
      <c r="I33" s="292">
        <f t="shared" si="12"/>
        <v>242496.65</v>
      </c>
      <c r="J33" s="292">
        <f t="shared" si="12"/>
        <v>0</v>
      </c>
      <c r="K33" s="302">
        <f t="shared" si="12"/>
        <v>9587000.3599999994</v>
      </c>
      <c r="L33" s="303">
        <f t="shared" si="12"/>
        <v>0</v>
      </c>
      <c r="M33" s="304">
        <f t="shared" si="12"/>
        <v>9587000.3599999994</v>
      </c>
      <c r="N33" s="303">
        <f t="shared" si="12"/>
        <v>0</v>
      </c>
      <c r="O33" s="304">
        <f t="shared" si="12"/>
        <v>9587000.3599999994</v>
      </c>
      <c r="P33" s="331"/>
      <c r="Q33" s="308"/>
      <c r="S33" s="329"/>
      <c r="T33" s="330" t="s">
        <v>2</v>
      </c>
      <c r="U33" s="332">
        <f>SUM(U28:U32)</f>
        <v>2411644.17</v>
      </c>
      <c r="V33" s="332">
        <f t="shared" ref="V33:AG33" si="13">SUM(V28:V32)</f>
        <v>2092914.4500000002</v>
      </c>
      <c r="W33" s="332">
        <f t="shared" si="13"/>
        <v>8636094.1600000001</v>
      </c>
      <c r="X33" s="332">
        <f t="shared" si="13"/>
        <v>3517347.81</v>
      </c>
      <c r="Y33" s="332">
        <f t="shared" si="13"/>
        <v>268249.74</v>
      </c>
      <c r="Z33" s="292">
        <f t="shared" si="13"/>
        <v>0</v>
      </c>
      <c r="AA33" s="292">
        <f t="shared" si="13"/>
        <v>166.92999999999998</v>
      </c>
      <c r="AB33" s="292">
        <f t="shared" si="13"/>
        <v>0</v>
      </c>
      <c r="AC33" s="292">
        <f t="shared" ref="AC33" si="14">SUM(AC28:AC32)</f>
        <v>0</v>
      </c>
      <c r="AD33" s="292">
        <f>SUM(AD28:AD32)</f>
        <v>-7339416.9000000004</v>
      </c>
      <c r="AE33" s="292">
        <f>SUM(AE28:AE32)</f>
        <v>-7339416.9000000004</v>
      </c>
      <c r="AF33" s="333">
        <f t="shared" si="13"/>
        <v>9587000.3599999994</v>
      </c>
      <c r="AG33" s="526">
        <f t="shared" si="13"/>
        <v>9.3132257461547852E-10</v>
      </c>
      <c r="AH33" s="1" t="b">
        <f t="shared" si="9"/>
        <v>1</v>
      </c>
      <c r="AI33" s="308"/>
    </row>
    <row r="34" spans="1:35" ht="12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16926250.330000002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3">
      <c r="Q39" s="4"/>
      <c r="AI39" s="4"/>
    </row>
    <row r="40" spans="1:35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4" x14ac:dyDescent="0.3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5" x14ac:dyDescent="0.3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4" x14ac:dyDescent="0.3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5" x14ac:dyDescent="0.35">
      <c r="B44" s="8"/>
      <c r="C44" s="590" t="s">
        <v>17</v>
      </c>
      <c r="D44" s="9">
        <f>D6</f>
        <v>46282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" thickBot="1" x14ac:dyDescent="0.3">
      <c r="B45" s="8"/>
      <c r="C45" s="590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3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0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21" t="s">
        <v>107</v>
      </c>
      <c r="AE46" s="121" t="s">
        <v>223</v>
      </c>
      <c r="AF46" s="39" t="s">
        <v>23</v>
      </c>
      <c r="AG46" s="13"/>
      <c r="AI46" s="4"/>
    </row>
    <row r="47" spans="1:35" s="307" customFormat="1" x14ac:dyDescent="0.25">
      <c r="B47" s="305">
        <v>1</v>
      </c>
      <c r="C47" s="306" t="s">
        <v>10</v>
      </c>
      <c r="D47" s="293">
        <f>'Reporte Componentes R1'!F54</f>
        <v>0</v>
      </c>
      <c r="E47" s="294">
        <f>'Reporte Componentes R1'!G54</f>
        <v>0</v>
      </c>
      <c r="F47" s="294">
        <f>'Reporte Componentes R1'!H54</f>
        <v>0</v>
      </c>
      <c r="G47" s="294">
        <f>'Reporte Componentes R1'!I54</f>
        <v>0</v>
      </c>
      <c r="H47" s="294">
        <f>'Reporte Componentes R1'!J54</f>
        <v>0</v>
      </c>
      <c r="I47" s="294">
        <f>'Reporte Componentes R1'!K54</f>
        <v>0</v>
      </c>
      <c r="J47" s="290">
        <v>0</v>
      </c>
      <c r="K47" s="295">
        <f>D47-E47-F47-G47-H47-I47-J47</f>
        <v>0</v>
      </c>
      <c r="L47" s="296">
        <v>0</v>
      </c>
      <c r="M47" s="295">
        <f>K47-L47</f>
        <v>0</v>
      </c>
      <c r="N47" s="296">
        <f>'Reporte Componentes R1'!L54</f>
        <v>0</v>
      </c>
      <c r="O47" s="295">
        <f>M47+N47</f>
        <v>0</v>
      </c>
      <c r="Q47" s="308"/>
      <c r="S47" s="305">
        <v>1</v>
      </c>
      <c r="T47" s="306" t="s">
        <v>10</v>
      </c>
      <c r="U47" s="309">
        <f>'Reporte Componentes R1'!M54</f>
        <v>0</v>
      </c>
      <c r="V47" s="310">
        <f>'Reporte Componentes R1'!N54</f>
        <v>0</v>
      </c>
      <c r="W47" s="310">
        <f>'Reporte Componentes R1'!O54</f>
        <v>0</v>
      </c>
      <c r="X47" s="310">
        <f>'Reporte Componentes R1'!P54</f>
        <v>0</v>
      </c>
      <c r="Y47" s="311">
        <f>'Reporte Componentes R1'!Q54</f>
        <v>0</v>
      </c>
      <c r="Z47" s="312">
        <f>-L47</f>
        <v>0</v>
      </c>
      <c r="AA47" s="313">
        <f>'Reporte Componentes R1'!R54+'Reporte Componentes R1'!V54+'Reporte Componentes R1'!U54</f>
        <v>0</v>
      </c>
      <c r="AB47" s="296">
        <f>N47</f>
        <v>0</v>
      </c>
      <c r="AC47" s="313">
        <f>'Reporte Componentes R1'!T54+'Reporte Componentes R1'!W54+'Reporte Componentes R1'!X54+'Reporte Componentes R1'!Y54+'Reporte Componentes R1'!Z54+'Reporte Componentes R1'!S54</f>
        <v>0</v>
      </c>
      <c r="AD47" s="293">
        <f>-J47+AE47</f>
        <v>0</v>
      </c>
      <c r="AE47" s="293">
        <f>'Reporte Componentes R1'!F55</f>
        <v>0</v>
      </c>
      <c r="AF47" s="315">
        <f>SUM(U47:AD47)</f>
        <v>0</v>
      </c>
      <c r="AG47" s="523">
        <f>(AF47-O47)</f>
        <v>0</v>
      </c>
      <c r="AH47" s="1" t="b">
        <f t="shared" ref="AH47:AH52" si="15">INT(AG47)=0</f>
        <v>1</v>
      </c>
      <c r="AI47" s="308"/>
    </row>
    <row r="48" spans="1:35" s="307" customFormat="1" x14ac:dyDescent="0.25">
      <c r="B48" s="316">
        <v>2</v>
      </c>
      <c r="C48" s="317" t="s">
        <v>11</v>
      </c>
      <c r="D48" s="293">
        <f>'Reporte Componentes R1'!F188</f>
        <v>0</v>
      </c>
      <c r="E48" s="294">
        <f>'Reporte Componentes R1'!G188</f>
        <v>0</v>
      </c>
      <c r="F48" s="294">
        <f>'Reporte Componentes R1'!H188</f>
        <v>0</v>
      </c>
      <c r="G48" s="294">
        <f>'Reporte Componentes R1'!I188</f>
        <v>0</v>
      </c>
      <c r="H48" s="294">
        <f>'Reporte Componentes R1'!J188</f>
        <v>0</v>
      </c>
      <c r="I48" s="294">
        <f>'Reporte Componentes R1'!K188</f>
        <v>0</v>
      </c>
      <c r="J48" s="290">
        <v>0</v>
      </c>
      <c r="K48" s="297">
        <f t="shared" ref="K48:K51" si="16">D48-E48-F48-G48-H48-I48-J48</f>
        <v>0</v>
      </c>
      <c r="L48" s="296">
        <v>0</v>
      </c>
      <c r="M48" s="297">
        <f>K48-L48</f>
        <v>0</v>
      </c>
      <c r="N48" s="296">
        <f>'Reporte Componentes R1'!L188</f>
        <v>0</v>
      </c>
      <c r="O48" s="297">
        <f t="shared" ref="O48:O51" si="17">M48+N48</f>
        <v>0</v>
      </c>
      <c r="Q48" s="308"/>
      <c r="S48" s="316">
        <v>2</v>
      </c>
      <c r="T48" s="317" t="s">
        <v>11</v>
      </c>
      <c r="U48" s="318">
        <f>'Reporte Componentes R1'!M188</f>
        <v>0</v>
      </c>
      <c r="V48" s="319">
        <f>'Reporte Componentes R1'!N188</f>
        <v>0</v>
      </c>
      <c r="W48" s="319">
        <f>'Reporte Componentes R1'!O188</f>
        <v>0</v>
      </c>
      <c r="X48" s="319">
        <f>'Reporte Componentes R1'!P188</f>
        <v>0</v>
      </c>
      <c r="Y48" s="320">
        <f>'Reporte Componentes R1'!Q188</f>
        <v>0</v>
      </c>
      <c r="Z48" s="321">
        <f>-L48</f>
        <v>0</v>
      </c>
      <c r="AA48" s="322">
        <f>'Reporte Componentes R1'!R188+'Reporte Componentes R1'!V188+'Reporte Componentes R1'!U188</f>
        <v>0</v>
      </c>
      <c r="AB48" s="296">
        <f>N48</f>
        <v>0</v>
      </c>
      <c r="AC48" s="322">
        <f>'Reporte Componentes R1'!T188+'Reporte Componentes R1'!W188+'Reporte Componentes R1'!X188+'Reporte Componentes R1'!Y188+'Reporte Componentes R1'!Z188+'Reporte Componentes R1'!S188</f>
        <v>0</v>
      </c>
      <c r="AD48" s="293">
        <f t="shared" ref="AD48:AD51" si="18">-J48+AE48</f>
        <v>0</v>
      </c>
      <c r="AE48" s="293">
        <f>'Reporte Componentes R1'!F189</f>
        <v>0</v>
      </c>
      <c r="AF48" s="324">
        <f>SUM(U48:AD48)</f>
        <v>0</v>
      </c>
      <c r="AG48" s="524">
        <f>(AF48-O48)</f>
        <v>0</v>
      </c>
      <c r="AH48" s="1" t="b">
        <f t="shared" si="15"/>
        <v>1</v>
      </c>
      <c r="AI48" s="308"/>
    </row>
    <row r="49" spans="1:35" s="307" customFormat="1" x14ac:dyDescent="0.25">
      <c r="B49" s="316">
        <v>3</v>
      </c>
      <c r="C49" s="317" t="s">
        <v>12</v>
      </c>
      <c r="D49" s="293">
        <f>'Reporte Componentes R1'!F332</f>
        <v>0</v>
      </c>
      <c r="E49" s="294">
        <f>'Reporte Componentes R1'!G332</f>
        <v>0</v>
      </c>
      <c r="F49" s="294">
        <f>'Reporte Componentes R1'!H332</f>
        <v>0</v>
      </c>
      <c r="G49" s="294">
        <f>'Reporte Componentes R1'!I332</f>
        <v>0</v>
      </c>
      <c r="H49" s="294">
        <f>'Reporte Componentes R1'!J332</f>
        <v>0</v>
      </c>
      <c r="I49" s="294">
        <f>'Reporte Componentes R1'!K332</f>
        <v>0</v>
      </c>
      <c r="J49" s="290">
        <v>0</v>
      </c>
      <c r="K49" s="297">
        <f t="shared" si="16"/>
        <v>0</v>
      </c>
      <c r="L49" s="296">
        <v>0</v>
      </c>
      <c r="M49" s="297">
        <f>K49-L49</f>
        <v>0</v>
      </c>
      <c r="N49" s="296">
        <f>'Reporte Componentes R1'!L332</f>
        <v>0</v>
      </c>
      <c r="O49" s="297">
        <f t="shared" si="17"/>
        <v>0</v>
      </c>
      <c r="Q49" s="308"/>
      <c r="S49" s="316">
        <v>3</v>
      </c>
      <c r="T49" s="317" t="s">
        <v>12</v>
      </c>
      <c r="U49" s="318">
        <f>'Reporte Componentes R1'!M332</f>
        <v>0</v>
      </c>
      <c r="V49" s="319">
        <f>'Reporte Componentes R1'!N332</f>
        <v>0</v>
      </c>
      <c r="W49" s="319">
        <f>'Reporte Componentes R1'!O332</f>
        <v>0</v>
      </c>
      <c r="X49" s="319">
        <f>'Reporte Componentes R1'!P332</f>
        <v>0</v>
      </c>
      <c r="Y49" s="320">
        <f>'Reporte Componentes R1'!Q332</f>
        <v>0</v>
      </c>
      <c r="Z49" s="321">
        <f>-L49</f>
        <v>0</v>
      </c>
      <c r="AA49" s="322">
        <f>'Reporte Componentes R1'!R332+'Reporte Componentes R1'!V332+'Reporte Componentes R1'!U332</f>
        <v>0</v>
      </c>
      <c r="AB49" s="296">
        <f>N49</f>
        <v>0</v>
      </c>
      <c r="AC49" s="322">
        <f>'Reporte Componentes R1'!T332+'Reporte Componentes R1'!W332+'Reporte Componentes R1'!X332+'Reporte Componentes R1'!Y332+'Reporte Componentes R1'!Z332+'Reporte Componentes R1'!S332</f>
        <v>0</v>
      </c>
      <c r="AD49" s="293">
        <f t="shared" si="18"/>
        <v>0</v>
      </c>
      <c r="AE49" s="293">
        <f>'Reporte Componentes R1'!F333</f>
        <v>0</v>
      </c>
      <c r="AF49" s="324">
        <f t="shared" ref="AF49:AF51" si="19">SUM(U49:AD49)</f>
        <v>0</v>
      </c>
      <c r="AG49" s="524">
        <f t="shared" ref="AG49:AG51" si="20">(AF49-O49)</f>
        <v>0</v>
      </c>
      <c r="AH49" s="1" t="b">
        <f t="shared" si="15"/>
        <v>1</v>
      </c>
      <c r="AI49" s="308"/>
    </row>
    <row r="50" spans="1:35" s="307" customFormat="1" x14ac:dyDescent="0.25">
      <c r="B50" s="316">
        <v>4</v>
      </c>
      <c r="C50" s="317" t="s">
        <v>13</v>
      </c>
      <c r="D50" s="293">
        <f>'Reporte Componentes R1'!F465</f>
        <v>208970</v>
      </c>
      <c r="E50" s="294">
        <f>'Reporte Componentes R1'!G465</f>
        <v>18444.439999999999</v>
      </c>
      <c r="F50" s="294">
        <f>'Reporte Componentes R1'!H465</f>
        <v>10402.530000000001</v>
      </c>
      <c r="G50" s="294">
        <f>'Reporte Componentes R1'!I465</f>
        <v>5470.04</v>
      </c>
      <c r="H50" s="294">
        <f>'Reporte Componentes R1'!J465</f>
        <v>98621.6</v>
      </c>
      <c r="I50" s="294">
        <f>'Reporte Componentes R1'!K465</f>
        <v>3394.58</v>
      </c>
      <c r="J50" s="290">
        <v>0</v>
      </c>
      <c r="K50" s="297">
        <f t="shared" si="16"/>
        <v>72636.809999999983</v>
      </c>
      <c r="L50" s="296">
        <v>0</v>
      </c>
      <c r="M50" s="297">
        <f>K50-L50</f>
        <v>72636.809999999983</v>
      </c>
      <c r="N50" s="296">
        <f>'Reporte Componentes R1'!L465</f>
        <v>0</v>
      </c>
      <c r="O50" s="297">
        <f t="shared" si="17"/>
        <v>72636.809999999983</v>
      </c>
      <c r="Q50" s="308"/>
      <c r="S50" s="316">
        <v>4</v>
      </c>
      <c r="T50" s="317" t="s">
        <v>13</v>
      </c>
      <c r="U50" s="318">
        <f>'Reporte Componentes R1'!M465</f>
        <v>29777.14</v>
      </c>
      <c r="V50" s="319">
        <f>'Reporte Componentes R1'!N465</f>
        <v>30449</v>
      </c>
      <c r="W50" s="319">
        <f>'Reporte Componentes R1'!O465</f>
        <v>154481.26</v>
      </c>
      <c r="X50" s="319">
        <f>'Reporte Componentes R1'!P465</f>
        <v>48862.7</v>
      </c>
      <c r="Y50" s="320">
        <f>'Reporte Componentes R1'!Q465</f>
        <v>5538.51</v>
      </c>
      <c r="Z50" s="321">
        <f>-L50</f>
        <v>0</v>
      </c>
      <c r="AA50" s="322">
        <f>'Reporte Componentes R1'!R465+'Reporte Componentes R1'!V465+'Reporte Componentes R1'!U465</f>
        <v>-2.36</v>
      </c>
      <c r="AB50" s="296">
        <f>N50</f>
        <v>0</v>
      </c>
      <c r="AC50" s="322">
        <f>'Reporte Componentes R1'!T465+'Reporte Componentes R1'!W465+'Reporte Componentes R1'!X465+'Reporte Componentes R1'!Y465+'Reporte Componentes R1'!Z465+'Reporte Componentes R1'!S465</f>
        <v>0</v>
      </c>
      <c r="AD50" s="293">
        <f t="shared" si="18"/>
        <v>-196469.44</v>
      </c>
      <c r="AE50" s="293">
        <f>'Reporte Componentes R1'!F466</f>
        <v>-196469.44</v>
      </c>
      <c r="AF50" s="324">
        <f t="shared" si="19"/>
        <v>72636.810000000056</v>
      </c>
      <c r="AG50" s="524">
        <f t="shared" si="20"/>
        <v>7.2759576141834259E-11</v>
      </c>
      <c r="AH50" s="1" t="b">
        <f t="shared" si="15"/>
        <v>1</v>
      </c>
      <c r="AI50" s="308"/>
    </row>
    <row r="51" spans="1:35" s="307" customFormat="1" ht="12" thickBot="1" x14ac:dyDescent="0.3">
      <c r="B51" s="326">
        <v>5</v>
      </c>
      <c r="C51" s="327" t="s">
        <v>14</v>
      </c>
      <c r="D51" s="298">
        <f>'Reporte Componentes R1'!F559</f>
        <v>0</v>
      </c>
      <c r="E51" s="299">
        <f>'Reporte Componentes R1'!G559</f>
        <v>0</v>
      </c>
      <c r="F51" s="299">
        <f>'Reporte Componentes R1'!H559</f>
        <v>0</v>
      </c>
      <c r="G51" s="299">
        <f>'Reporte Componentes R1'!I559</f>
        <v>0</v>
      </c>
      <c r="H51" s="299">
        <f>'Reporte Componentes R1'!J559</f>
        <v>0</v>
      </c>
      <c r="I51" s="299">
        <f>'Reporte Componentes R1'!K559</f>
        <v>0</v>
      </c>
      <c r="J51" s="291">
        <v>0</v>
      </c>
      <c r="K51" s="297">
        <f t="shared" si="16"/>
        <v>0</v>
      </c>
      <c r="L51" s="296">
        <v>0</v>
      </c>
      <c r="M51" s="300">
        <f>K51-L51</f>
        <v>0</v>
      </c>
      <c r="N51" s="301">
        <f>'Reporte Componentes R1'!L559</f>
        <v>0</v>
      </c>
      <c r="O51" s="300">
        <f t="shared" si="17"/>
        <v>0</v>
      </c>
      <c r="Q51" s="308"/>
      <c r="S51" s="326">
        <v>5</v>
      </c>
      <c r="T51" s="327" t="s">
        <v>14</v>
      </c>
      <c r="U51" s="298">
        <f>'Reporte Componentes R1'!M559</f>
        <v>0</v>
      </c>
      <c r="V51" s="299">
        <f>'Reporte Componentes R1'!N559</f>
        <v>0</v>
      </c>
      <c r="W51" s="299">
        <f>'Reporte Componentes R1'!O559</f>
        <v>0</v>
      </c>
      <c r="X51" s="299">
        <f>'Reporte Componentes R1'!P559</f>
        <v>0</v>
      </c>
      <c r="Y51" s="291">
        <f>'Reporte Componentes R1'!Q559</f>
        <v>0</v>
      </c>
      <c r="Z51" s="321">
        <f>-L51</f>
        <v>0</v>
      </c>
      <c r="AA51" s="322">
        <f>'Reporte Componentes R1'!R559+'Reporte Componentes R1'!V559+'Reporte Componentes R1'!U559</f>
        <v>0</v>
      </c>
      <c r="AB51" s="296">
        <f>N51</f>
        <v>0</v>
      </c>
      <c r="AC51" s="322">
        <f>'Reporte Componentes R1'!T559+'Reporte Componentes R1'!W559+'Reporte Componentes R1'!X559+'Reporte Componentes R1'!Y559+'Reporte Componentes R1'!Z559+'Reporte Componentes R1'!S559</f>
        <v>0</v>
      </c>
      <c r="AD51" s="293">
        <f t="shared" si="18"/>
        <v>0</v>
      </c>
      <c r="AE51" s="293">
        <f>'Reporte Componentes R1'!F560</f>
        <v>0</v>
      </c>
      <c r="AF51" s="324">
        <f t="shared" si="19"/>
        <v>0</v>
      </c>
      <c r="AG51" s="525">
        <f t="shared" si="20"/>
        <v>0</v>
      </c>
      <c r="AH51" s="1" t="b">
        <f t="shared" si="15"/>
        <v>1</v>
      </c>
      <c r="AI51" s="308"/>
    </row>
    <row r="52" spans="1:35" s="307" customFormat="1" ht="13.5" thickBot="1" x14ac:dyDescent="0.35">
      <c r="B52" s="329"/>
      <c r="C52" s="330" t="s">
        <v>2</v>
      </c>
      <c r="D52" s="292">
        <f t="shared" ref="D52:O52" si="21">SUM(D47:D51)</f>
        <v>208970</v>
      </c>
      <c r="E52" s="292">
        <f t="shared" si="21"/>
        <v>18444.439999999999</v>
      </c>
      <c r="F52" s="292">
        <f t="shared" si="21"/>
        <v>10402.530000000001</v>
      </c>
      <c r="G52" s="292">
        <f t="shared" ref="G52" si="22">SUM(G47:G51)</f>
        <v>5470.04</v>
      </c>
      <c r="H52" s="292">
        <f t="shared" si="21"/>
        <v>98621.6</v>
      </c>
      <c r="I52" s="292">
        <f t="shared" si="21"/>
        <v>3394.58</v>
      </c>
      <c r="J52" s="292">
        <f t="shared" si="21"/>
        <v>0</v>
      </c>
      <c r="K52" s="302">
        <f t="shared" si="21"/>
        <v>72636.809999999983</v>
      </c>
      <c r="L52" s="303">
        <f t="shared" si="21"/>
        <v>0</v>
      </c>
      <c r="M52" s="304">
        <f t="shared" si="21"/>
        <v>72636.809999999983</v>
      </c>
      <c r="N52" s="303">
        <f t="shared" si="21"/>
        <v>0</v>
      </c>
      <c r="O52" s="304">
        <f t="shared" si="21"/>
        <v>72636.809999999983</v>
      </c>
      <c r="P52" s="331"/>
      <c r="Q52" s="308"/>
      <c r="S52" s="329"/>
      <c r="T52" s="330" t="s">
        <v>2</v>
      </c>
      <c r="U52" s="332">
        <f>SUM(U47:U51)</f>
        <v>29777.14</v>
      </c>
      <c r="V52" s="332">
        <f t="shared" ref="V52:AG52" si="23">SUM(V47:V51)</f>
        <v>30449</v>
      </c>
      <c r="W52" s="332">
        <f t="shared" si="23"/>
        <v>154481.26</v>
      </c>
      <c r="X52" s="332">
        <f t="shared" si="23"/>
        <v>48862.7</v>
      </c>
      <c r="Y52" s="332">
        <f t="shared" si="23"/>
        <v>5538.51</v>
      </c>
      <c r="Z52" s="292">
        <f t="shared" si="23"/>
        <v>0</v>
      </c>
      <c r="AA52" s="292">
        <f t="shared" si="23"/>
        <v>-2.36</v>
      </c>
      <c r="AB52" s="292">
        <f t="shared" si="23"/>
        <v>0</v>
      </c>
      <c r="AC52" s="292">
        <f t="shared" si="23"/>
        <v>0</v>
      </c>
      <c r="AD52" s="292">
        <f>SUM(AD47:AD51)</f>
        <v>-196469.44</v>
      </c>
      <c r="AE52" s="292">
        <f>SUM(AE47:AE51)</f>
        <v>-196469.44</v>
      </c>
      <c r="AF52" s="333">
        <f t="shared" si="23"/>
        <v>72636.810000000056</v>
      </c>
      <c r="AG52" s="526">
        <f t="shared" si="23"/>
        <v>7.2759576141834259E-11</v>
      </c>
      <c r="AH52" s="1" t="b">
        <f t="shared" si="15"/>
        <v>1</v>
      </c>
      <c r="AI52" s="308"/>
    </row>
    <row r="53" spans="1:35" ht="12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269108.61000000004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3">
      <c r="Q58" s="4"/>
      <c r="AI58" s="4"/>
    </row>
    <row r="59" spans="1:35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4" x14ac:dyDescent="0.3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5" x14ac:dyDescent="0.3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4" x14ac:dyDescent="0.3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5" x14ac:dyDescent="0.35">
      <c r="B63" s="8"/>
      <c r="C63" s="590" t="s">
        <v>17</v>
      </c>
      <c r="D63" s="9">
        <f>D6</f>
        <v>46282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" thickBot="1" x14ac:dyDescent="0.3">
      <c r="B64" s="8"/>
      <c r="C64" s="590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3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0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21" t="s">
        <v>107</v>
      </c>
      <c r="AE65" s="121" t="s">
        <v>223</v>
      </c>
      <c r="AF65" s="39" t="s">
        <v>23</v>
      </c>
      <c r="AG65" s="13"/>
      <c r="AI65" s="4"/>
    </row>
    <row r="66" spans="1:35" s="307" customFormat="1" x14ac:dyDescent="0.25">
      <c r="B66" s="305">
        <v>1</v>
      </c>
      <c r="C66" s="306" t="s">
        <v>10</v>
      </c>
      <c r="D66" s="293">
        <f>'Reversion Pagos R4'!D74</f>
        <v>0</v>
      </c>
      <c r="E66" s="294">
        <f>'Reversion Pagos R4'!E74</f>
        <v>0</v>
      </c>
      <c r="F66" s="294">
        <f>'Reversion Pagos R4'!F74</f>
        <v>0</v>
      </c>
      <c r="G66" s="294">
        <f>'Reversion Pagos R4'!G74</f>
        <v>0</v>
      </c>
      <c r="H66" s="294">
        <f>'Reversion Pagos R4'!H74</f>
        <v>0</v>
      </c>
      <c r="I66" s="294">
        <f>'Reversion Pagos R4'!I74</f>
        <v>0</v>
      </c>
      <c r="J66" s="290">
        <v>0</v>
      </c>
      <c r="K66" s="295">
        <f>D66-E66-F66-G66-H66-I66-J66</f>
        <v>0</v>
      </c>
      <c r="L66" s="296">
        <v>0</v>
      </c>
      <c r="M66" s="295">
        <f>K66-L66</f>
        <v>0</v>
      </c>
      <c r="N66" s="296">
        <f>'Reversion Pagos R4'!P74</f>
        <v>0</v>
      </c>
      <c r="O66" s="295">
        <f>M66+N66</f>
        <v>0</v>
      </c>
      <c r="Q66" s="308"/>
      <c r="S66" s="305">
        <v>1</v>
      </c>
      <c r="T66" s="306" t="s">
        <v>10</v>
      </c>
      <c r="U66" s="309">
        <f>'Reversion Pagos R4'!J74</f>
        <v>0</v>
      </c>
      <c r="V66" s="310">
        <f>'Reversion Pagos R4'!K74</f>
        <v>0</v>
      </c>
      <c r="W66" s="310">
        <f>'Reversion Pagos R4'!L74</f>
        <v>0</v>
      </c>
      <c r="X66" s="310">
        <f>'Reversion Pagos R4'!M74</f>
        <v>0</v>
      </c>
      <c r="Y66" s="311">
        <f>'Reversion Pagos R4'!N74</f>
        <v>0</v>
      </c>
      <c r="Z66" s="312">
        <f>-L66</f>
        <v>0</v>
      </c>
      <c r="AA66" s="322">
        <f>'Reversion Pagos R4'!O74</f>
        <v>0</v>
      </c>
      <c r="AB66" s="296">
        <f>N66</f>
        <v>0</v>
      </c>
      <c r="AC66" s="322">
        <f>+'Reversion Pagos R4'!Q74+'Reversion Pagos R4'!R74</f>
        <v>0</v>
      </c>
      <c r="AD66" s="293">
        <f>-J66+AE66</f>
        <v>0</v>
      </c>
      <c r="AE66" s="293">
        <f>'Reversion Pagos R4'!D75</f>
        <v>0</v>
      </c>
      <c r="AF66" s="315">
        <f>SUM(U66:AD66)</f>
        <v>0</v>
      </c>
      <c r="AG66" s="523">
        <f>(AF66-O66)</f>
        <v>0</v>
      </c>
      <c r="AH66" s="1" t="b">
        <f t="shared" ref="AH66:AH71" si="24">INT(AG66)=0</f>
        <v>1</v>
      </c>
      <c r="AI66" s="308"/>
    </row>
    <row r="67" spans="1:35" s="307" customFormat="1" x14ac:dyDescent="0.25">
      <c r="B67" s="316">
        <v>2</v>
      </c>
      <c r="C67" s="317" t="s">
        <v>11</v>
      </c>
      <c r="D67" s="293">
        <f>'Reversion Pagos R4'!D163</f>
        <v>0</v>
      </c>
      <c r="E67" s="294">
        <f>'Reversion Pagos R4'!E163</f>
        <v>0</v>
      </c>
      <c r="F67" s="294">
        <f>'Reversion Pagos R4'!F163</f>
        <v>0</v>
      </c>
      <c r="G67" s="294">
        <f>'Reversion Pagos R4'!G163</f>
        <v>0</v>
      </c>
      <c r="H67" s="294">
        <f>'Reversion Pagos R4'!H163</f>
        <v>0</v>
      </c>
      <c r="I67" s="294">
        <f>'Reversion Pagos R4'!I163</f>
        <v>0</v>
      </c>
      <c r="J67" s="290">
        <v>0</v>
      </c>
      <c r="K67" s="297">
        <f t="shared" ref="K67:K70" si="25">D67-E67-F67-G67-H67-I67-J67</f>
        <v>0</v>
      </c>
      <c r="L67" s="296">
        <v>0</v>
      </c>
      <c r="M67" s="297">
        <f>K67-L67</f>
        <v>0</v>
      </c>
      <c r="N67" s="296">
        <f>'Reversion Pagos R4'!P163</f>
        <v>0</v>
      </c>
      <c r="O67" s="297">
        <f t="shared" ref="O67:O70" si="26">M67+N67</f>
        <v>0</v>
      </c>
      <c r="Q67" s="308"/>
      <c r="S67" s="316">
        <v>2</v>
      </c>
      <c r="T67" s="317" t="s">
        <v>11</v>
      </c>
      <c r="U67" s="318">
        <f>'Reversion Pagos R4'!J163</f>
        <v>0</v>
      </c>
      <c r="V67" s="319">
        <f>'Reversion Pagos R4'!K163</f>
        <v>0</v>
      </c>
      <c r="W67" s="319">
        <f>'Reversion Pagos R4'!L163</f>
        <v>0</v>
      </c>
      <c r="X67" s="319">
        <f>'Reversion Pagos R4'!M163</f>
        <v>0</v>
      </c>
      <c r="Y67" s="320">
        <f>'Reversion Pagos R4'!N163</f>
        <v>0</v>
      </c>
      <c r="Z67" s="321">
        <f t="shared" ref="Z67:Z70" si="27">-L67</f>
        <v>0</v>
      </c>
      <c r="AA67" s="322">
        <f>'Reversion Pagos R4'!O163</f>
        <v>0</v>
      </c>
      <c r="AB67" s="296">
        <f t="shared" ref="AB67:AB70" si="28">N67</f>
        <v>0</v>
      </c>
      <c r="AC67" s="322">
        <f>+'Reversion Pagos R4'!Q163+'Reversion Pagos R4'!R163</f>
        <v>0</v>
      </c>
      <c r="AD67" s="293">
        <f t="shared" ref="AD67:AD70" si="29">-J67+AE67</f>
        <v>0</v>
      </c>
      <c r="AE67" s="293">
        <f>'Reversion Pagos R4'!D164</f>
        <v>0</v>
      </c>
      <c r="AF67" s="324">
        <f>SUM(U67:AD67)</f>
        <v>0</v>
      </c>
      <c r="AG67" s="524">
        <f>(AF67-O67)</f>
        <v>0</v>
      </c>
      <c r="AH67" s="1" t="b">
        <f t="shared" si="24"/>
        <v>1</v>
      </c>
      <c r="AI67" s="308"/>
    </row>
    <row r="68" spans="1:35" s="307" customFormat="1" x14ac:dyDescent="0.25">
      <c r="B68" s="316">
        <v>3</v>
      </c>
      <c r="C68" s="317" t="s">
        <v>12</v>
      </c>
      <c r="D68" s="293">
        <f>'Reversion Pagos R4'!D199</f>
        <v>0</v>
      </c>
      <c r="E68" s="294">
        <f>'Reversion Pagos R4'!E199</f>
        <v>0</v>
      </c>
      <c r="F68" s="294">
        <f>'Reversion Pagos R4'!F199</f>
        <v>0</v>
      </c>
      <c r="G68" s="294">
        <f>'Reversion Pagos R4'!G199</f>
        <v>0</v>
      </c>
      <c r="H68" s="294">
        <f>'Reversion Pagos R4'!H199</f>
        <v>0</v>
      </c>
      <c r="I68" s="294">
        <f>'Reversion Pagos R4'!I199</f>
        <v>0</v>
      </c>
      <c r="J68" s="290">
        <v>0</v>
      </c>
      <c r="K68" s="297">
        <f t="shared" si="25"/>
        <v>0</v>
      </c>
      <c r="L68" s="296">
        <v>0</v>
      </c>
      <c r="M68" s="297">
        <f>K68-L68</f>
        <v>0</v>
      </c>
      <c r="N68" s="296">
        <f>'Reversion Pagos R4'!P199</f>
        <v>0</v>
      </c>
      <c r="O68" s="297">
        <f t="shared" si="26"/>
        <v>0</v>
      </c>
      <c r="Q68" s="308"/>
      <c r="S68" s="316">
        <v>3</v>
      </c>
      <c r="T68" s="317" t="s">
        <v>12</v>
      </c>
      <c r="U68" s="318">
        <f>'Reversion Pagos R4'!J199</f>
        <v>0</v>
      </c>
      <c r="V68" s="319">
        <f>'Reversion Pagos R4'!K199</f>
        <v>0</v>
      </c>
      <c r="W68" s="319">
        <f>'Reversion Pagos R4'!L199</f>
        <v>0</v>
      </c>
      <c r="X68" s="319">
        <f>'Reversion Pagos R4'!M199</f>
        <v>0</v>
      </c>
      <c r="Y68" s="320">
        <f>'Reversion Pagos R4'!N199</f>
        <v>0</v>
      </c>
      <c r="Z68" s="321">
        <f t="shared" si="27"/>
        <v>0</v>
      </c>
      <c r="AA68" s="322">
        <f>'Reversion Pagos R4'!O199</f>
        <v>0</v>
      </c>
      <c r="AB68" s="296">
        <f t="shared" si="28"/>
        <v>0</v>
      </c>
      <c r="AC68" s="322">
        <f>+'Reversion Pagos R4'!Q199+'Reversion Pagos R4'!R199</f>
        <v>0</v>
      </c>
      <c r="AD68" s="293">
        <f t="shared" si="29"/>
        <v>0</v>
      </c>
      <c r="AE68" s="293">
        <f>'Reversion Pagos R4'!D200</f>
        <v>0</v>
      </c>
      <c r="AF68" s="324">
        <f t="shared" ref="AF68:AF70" si="30">SUM(U68:AD68)</f>
        <v>0</v>
      </c>
      <c r="AG68" s="524">
        <f t="shared" ref="AG68:AG70" si="31">(AF68-O68)</f>
        <v>0</v>
      </c>
      <c r="AH68" s="1" t="b">
        <f t="shared" si="24"/>
        <v>1</v>
      </c>
      <c r="AI68" s="308"/>
    </row>
    <row r="69" spans="1:35" s="307" customFormat="1" x14ac:dyDescent="0.25">
      <c r="B69" s="316">
        <v>4</v>
      </c>
      <c r="C69" s="317" t="s">
        <v>13</v>
      </c>
      <c r="D69" s="293">
        <f>'Reversion Pagos R4'!D313</f>
        <v>-262000</v>
      </c>
      <c r="E69" s="294">
        <f>'Reversion Pagos R4'!E313</f>
        <v>-15030.55</v>
      </c>
      <c r="F69" s="294">
        <f>'Reversion Pagos R4'!F313</f>
        <v>-8273.4699999999993</v>
      </c>
      <c r="G69" s="294">
        <f>'Reversion Pagos R4'!G313</f>
        <v>-4622.8599999999997</v>
      </c>
      <c r="H69" s="294">
        <f>'Reversion Pagos R4'!H313</f>
        <v>-60262.94</v>
      </c>
      <c r="I69" s="294">
        <f>'Reversion Pagos R4'!I313</f>
        <v>-1586.56</v>
      </c>
      <c r="J69" s="290">
        <v>0</v>
      </c>
      <c r="K69" s="297">
        <f t="shared" si="25"/>
        <v>-172223.62000000002</v>
      </c>
      <c r="L69" s="296">
        <v>0</v>
      </c>
      <c r="M69" s="297">
        <f>K69-L69</f>
        <v>-172223.62000000002</v>
      </c>
      <c r="N69" s="296">
        <f>'Reversion Pagos R4'!P313</f>
        <v>0</v>
      </c>
      <c r="O69" s="297">
        <f t="shared" si="26"/>
        <v>-172223.62000000002</v>
      </c>
      <c r="Q69" s="308"/>
      <c r="S69" s="316">
        <v>4</v>
      </c>
      <c r="T69" s="317" t="s">
        <v>13</v>
      </c>
      <c r="U69" s="318">
        <f>'Reversion Pagos R4'!J313</f>
        <v>-13917.35</v>
      </c>
      <c r="V69" s="319">
        <f>'Reversion Pagos R4'!K313</f>
        <v>-18906.78</v>
      </c>
      <c r="W69" s="319">
        <f>'Reversion Pagos R4'!L313</f>
        <v>-95925.8</v>
      </c>
      <c r="X69" s="319">
        <f>'Reversion Pagos R4'!M313</f>
        <v>-38412.57</v>
      </c>
      <c r="Y69" s="320">
        <f>'Reversion Pagos R4'!N313</f>
        <v>-2588.62</v>
      </c>
      <c r="Z69" s="321">
        <f t="shared" si="27"/>
        <v>0</v>
      </c>
      <c r="AA69" s="322">
        <f>'Reversion Pagos R4'!O313</f>
        <v>-1.32</v>
      </c>
      <c r="AB69" s="296">
        <f t="shared" si="28"/>
        <v>0</v>
      </c>
      <c r="AC69" s="322">
        <f>+'Reversion Pagos R4'!Q313+'Reversion Pagos R4'!R313</f>
        <v>0</v>
      </c>
      <c r="AD69" s="293">
        <f t="shared" si="29"/>
        <v>-2471.1799999999998</v>
      </c>
      <c r="AE69" s="293">
        <f>'Reversion Pagos R4'!D314</f>
        <v>-2471.1799999999998</v>
      </c>
      <c r="AF69" s="324">
        <f>SUM(U69:AD69)</f>
        <v>-172223.62</v>
      </c>
      <c r="AG69" s="524">
        <f>(AF69-O69)</f>
        <v>2.9103830456733704E-11</v>
      </c>
      <c r="AH69" s="1" t="b">
        <f t="shared" si="24"/>
        <v>1</v>
      </c>
      <c r="AI69" s="308"/>
    </row>
    <row r="70" spans="1:35" s="307" customFormat="1" ht="12" thickBot="1" x14ac:dyDescent="0.3">
      <c r="B70" s="326">
        <v>5</v>
      </c>
      <c r="C70" s="327" t="s">
        <v>14</v>
      </c>
      <c r="D70" s="298">
        <f>'Reversion Pagos R4'!D348</f>
        <v>0</v>
      </c>
      <c r="E70" s="299">
        <f>'Reversion Pagos R4'!E348</f>
        <v>0</v>
      </c>
      <c r="F70" s="299">
        <f>'Reversion Pagos R4'!F348</f>
        <v>0</v>
      </c>
      <c r="G70" s="299">
        <f>'Reversion Pagos R4'!G348</f>
        <v>0</v>
      </c>
      <c r="H70" s="299">
        <f>'Reversion Pagos R4'!H348</f>
        <v>0</v>
      </c>
      <c r="I70" s="299">
        <f>'Reversion Pagos R4'!I348</f>
        <v>0</v>
      </c>
      <c r="J70" s="291">
        <v>0</v>
      </c>
      <c r="K70" s="297">
        <f t="shared" si="25"/>
        <v>0</v>
      </c>
      <c r="L70" s="296">
        <v>0</v>
      </c>
      <c r="M70" s="300">
        <f>K70-L70</f>
        <v>0</v>
      </c>
      <c r="N70" s="296">
        <f>'Reversion Pagos R4'!P348</f>
        <v>0</v>
      </c>
      <c r="O70" s="300">
        <f t="shared" si="26"/>
        <v>0</v>
      </c>
      <c r="Q70" s="308"/>
      <c r="S70" s="326">
        <v>5</v>
      </c>
      <c r="T70" s="327" t="s">
        <v>14</v>
      </c>
      <c r="U70" s="298">
        <f>'Reversion Pagos R4'!J348</f>
        <v>0</v>
      </c>
      <c r="V70" s="299">
        <f>'Reversion Pagos R4'!K348</f>
        <v>0</v>
      </c>
      <c r="W70" s="299">
        <f>'Reversion Pagos R4'!L348</f>
        <v>0</v>
      </c>
      <c r="X70" s="299">
        <f>'Reversion Pagos R4'!M348</f>
        <v>0</v>
      </c>
      <c r="Y70" s="291">
        <f>'Reversion Pagos R4'!N348</f>
        <v>0</v>
      </c>
      <c r="Z70" s="321">
        <f t="shared" si="27"/>
        <v>0</v>
      </c>
      <c r="AA70" s="322">
        <f>'Reversion Pagos R4'!O348</f>
        <v>0</v>
      </c>
      <c r="AB70" s="296">
        <f t="shared" si="28"/>
        <v>0</v>
      </c>
      <c r="AC70" s="322">
        <f>+'Reversion Pagos R4'!Q348+'Reversion Pagos R4'!R348</f>
        <v>0</v>
      </c>
      <c r="AD70" s="293">
        <f t="shared" si="29"/>
        <v>0</v>
      </c>
      <c r="AE70" s="293">
        <f>'Reversion Pagos R4'!D349</f>
        <v>0</v>
      </c>
      <c r="AF70" s="324">
        <f t="shared" si="30"/>
        <v>0</v>
      </c>
      <c r="AG70" s="525">
        <f t="shared" si="31"/>
        <v>0</v>
      </c>
      <c r="AH70" s="1" t="b">
        <f t="shared" si="24"/>
        <v>1</v>
      </c>
      <c r="AI70" s="308"/>
    </row>
    <row r="71" spans="1:35" s="307" customFormat="1" ht="13.5" thickBot="1" x14ac:dyDescent="0.35">
      <c r="B71" s="329"/>
      <c r="C71" s="330" t="s">
        <v>2</v>
      </c>
      <c r="D71" s="292">
        <f t="shared" ref="D71:O71" si="32">SUM(D66:D70)</f>
        <v>-262000</v>
      </c>
      <c r="E71" s="292">
        <f t="shared" si="32"/>
        <v>-15030.55</v>
      </c>
      <c r="F71" s="292">
        <f t="shared" si="32"/>
        <v>-8273.4699999999993</v>
      </c>
      <c r="G71" s="292">
        <f t="shared" si="32"/>
        <v>-4622.8599999999997</v>
      </c>
      <c r="H71" s="292">
        <f t="shared" si="32"/>
        <v>-60262.94</v>
      </c>
      <c r="I71" s="292">
        <f t="shared" si="32"/>
        <v>-1586.56</v>
      </c>
      <c r="J71" s="292">
        <f t="shared" si="32"/>
        <v>0</v>
      </c>
      <c r="K71" s="302">
        <f t="shared" si="32"/>
        <v>-172223.62000000002</v>
      </c>
      <c r="L71" s="303">
        <f t="shared" si="32"/>
        <v>0</v>
      </c>
      <c r="M71" s="304">
        <f t="shared" si="32"/>
        <v>-172223.62000000002</v>
      </c>
      <c r="N71" s="303">
        <f t="shared" si="32"/>
        <v>0</v>
      </c>
      <c r="O71" s="304">
        <f t="shared" si="32"/>
        <v>-172223.62000000002</v>
      </c>
      <c r="P71" s="331"/>
      <c r="Q71" s="308"/>
      <c r="S71" s="329"/>
      <c r="T71" s="330" t="s">
        <v>2</v>
      </c>
      <c r="U71" s="332">
        <f>SUM(U66:U70)</f>
        <v>-13917.35</v>
      </c>
      <c r="V71" s="332">
        <f t="shared" ref="V71:AG71" si="33">SUM(V66:V70)</f>
        <v>-18906.78</v>
      </c>
      <c r="W71" s="332">
        <f t="shared" si="33"/>
        <v>-95925.8</v>
      </c>
      <c r="X71" s="332">
        <f t="shared" si="33"/>
        <v>-38412.57</v>
      </c>
      <c r="Y71" s="332">
        <f t="shared" si="33"/>
        <v>-2588.62</v>
      </c>
      <c r="Z71" s="292">
        <f t="shared" si="33"/>
        <v>0</v>
      </c>
      <c r="AA71" s="292">
        <f>SUM(AA66:AA70)</f>
        <v>-1.32</v>
      </c>
      <c r="AB71" s="292">
        <f t="shared" si="33"/>
        <v>0</v>
      </c>
      <c r="AC71" s="292">
        <f t="shared" ref="AC71" si="34">SUM(AC66:AC70)</f>
        <v>0</v>
      </c>
      <c r="AD71" s="292">
        <f>SUM(AD66:AD70)</f>
        <v>-2471.1799999999998</v>
      </c>
      <c r="AE71" s="292">
        <f>SUM(AE66:AE70)</f>
        <v>-2471.1799999999998</v>
      </c>
      <c r="AF71" s="333">
        <f t="shared" si="33"/>
        <v>-172223.62</v>
      </c>
      <c r="AG71" s="526">
        <f t="shared" si="33"/>
        <v>2.9103830456733704E-11</v>
      </c>
      <c r="AH71" s="1" t="b">
        <f t="shared" si="24"/>
        <v>1</v>
      </c>
      <c r="AI71" s="308"/>
    </row>
    <row r="72" spans="1:35" ht="12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-169751.12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3">
      <c r="Q77" s="4"/>
      <c r="AI77" s="4"/>
    </row>
    <row r="78" spans="1:35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4" x14ac:dyDescent="0.3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5" x14ac:dyDescent="0.3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4" x14ac:dyDescent="0.3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5" x14ac:dyDescent="0.35">
      <c r="B82" s="8"/>
      <c r="C82" s="590" t="s">
        <v>17</v>
      </c>
      <c r="D82" s="9">
        <f>D6</f>
        <v>46282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" thickBot="1" x14ac:dyDescent="0.3">
      <c r="B83" s="8"/>
      <c r="C83" s="590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3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0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167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7" customFormat="1" x14ac:dyDescent="0.25">
      <c r="B85" s="305">
        <v>1</v>
      </c>
      <c r="C85" s="306" t="s">
        <v>10</v>
      </c>
      <c r="D85" s="293">
        <v>0</v>
      </c>
      <c r="E85" s="294">
        <v>0</v>
      </c>
      <c r="F85" s="294">
        <v>0</v>
      </c>
      <c r="G85" s="294">
        <v>0</v>
      </c>
      <c r="H85" s="294">
        <v>0</v>
      </c>
      <c r="I85" s="294">
        <v>0</v>
      </c>
      <c r="J85" s="290">
        <f>'AJUSTES - SF-T'!J47</f>
        <v>0</v>
      </c>
      <c r="K85" s="295">
        <f>D85-E85-F85-G85-H85-I85-J85</f>
        <v>0</v>
      </c>
      <c r="L85" s="296">
        <v>0</v>
      </c>
      <c r="M85" s="295">
        <f>K85-L85</f>
        <v>0</v>
      </c>
      <c r="N85" s="296">
        <v>0</v>
      </c>
      <c r="O85" s="295">
        <f>M85+N85</f>
        <v>0</v>
      </c>
      <c r="Q85" s="308"/>
      <c r="S85" s="305">
        <v>1</v>
      </c>
      <c r="T85" s="306" t="s">
        <v>10</v>
      </c>
      <c r="U85" s="309">
        <v>0</v>
      </c>
      <c r="V85" s="310">
        <v>0</v>
      </c>
      <c r="W85" s="310">
        <v>0</v>
      </c>
      <c r="X85" s="310">
        <v>0</v>
      </c>
      <c r="Y85" s="311">
        <v>0</v>
      </c>
      <c r="Z85" s="312">
        <f>-L85</f>
        <v>0</v>
      </c>
      <c r="AA85" s="313">
        <v>0</v>
      </c>
      <c r="AB85" s="296">
        <f>N85</f>
        <v>0</v>
      </c>
      <c r="AC85" s="313">
        <v>0</v>
      </c>
      <c r="AD85" s="293">
        <f>-J85+AE85</f>
        <v>0</v>
      </c>
      <c r="AE85" s="293">
        <v>0</v>
      </c>
      <c r="AF85" s="315">
        <f>SUM(U85:AD85)</f>
        <v>0</v>
      </c>
      <c r="AG85" s="523">
        <f>AF85-O85</f>
        <v>0</v>
      </c>
      <c r="AH85" s="1" t="b">
        <f t="shared" ref="AH85:AH90" si="35">INT(AG85)=0</f>
        <v>1</v>
      </c>
      <c r="AI85" s="308"/>
    </row>
    <row r="86" spans="1:35" s="307" customFormat="1" x14ac:dyDescent="0.25">
      <c r="B86" s="316">
        <v>2</v>
      </c>
      <c r="C86" s="317" t="s">
        <v>11</v>
      </c>
      <c r="D86" s="293">
        <f>'AJUSTES - SF-T'!D48</f>
        <v>0</v>
      </c>
      <c r="E86" s="294">
        <f>'AJUSTES - SF-T'!E48</f>
        <v>0</v>
      </c>
      <c r="F86" s="294">
        <f>'AJUSTES - SF-T'!F48</f>
        <v>0</v>
      </c>
      <c r="G86" s="294">
        <f>'AJUSTES - SF-T'!G48</f>
        <v>0</v>
      </c>
      <c r="H86" s="294">
        <f>'AJUSTES - SF-T'!H48</f>
        <v>0</v>
      </c>
      <c r="I86" s="294">
        <f>'AJUSTES - SF-T'!I48</f>
        <v>0</v>
      </c>
      <c r="J86" s="290">
        <f>'AJUSTES - SF-T'!J48</f>
        <v>0</v>
      </c>
      <c r="K86" s="297">
        <f t="shared" ref="K86:K89" si="36">D86-E86-F86-G86-H86-I86-J86</f>
        <v>0</v>
      </c>
      <c r="L86" s="296">
        <v>0</v>
      </c>
      <c r="M86" s="297">
        <f>K86-L86</f>
        <v>0</v>
      </c>
      <c r="N86" s="296">
        <f>'AJUSTES - SF-T'!N48</f>
        <v>0</v>
      </c>
      <c r="O86" s="297">
        <f t="shared" ref="O86:O89" si="37">M86+N86</f>
        <v>0</v>
      </c>
      <c r="Q86" s="308"/>
      <c r="S86" s="316">
        <v>2</v>
      </c>
      <c r="T86" s="317" t="s">
        <v>11</v>
      </c>
      <c r="U86" s="318">
        <f>'AJUSTES - SF-T'!U48</f>
        <v>0</v>
      </c>
      <c r="V86" s="319">
        <f>'AJUSTES - SF-T'!V48</f>
        <v>0</v>
      </c>
      <c r="W86" s="319">
        <f>'AJUSTES - SF-T'!W48</f>
        <v>0</v>
      </c>
      <c r="X86" s="319">
        <f>'AJUSTES - SF-T'!X48</f>
        <v>0</v>
      </c>
      <c r="Y86" s="320">
        <f>'AJUSTES - SF-T'!Y48</f>
        <v>0</v>
      </c>
      <c r="Z86" s="321">
        <f>-L86</f>
        <v>0</v>
      </c>
      <c r="AA86" s="322">
        <f>'AJUSTES - SF-T'!AA48</f>
        <v>0</v>
      </c>
      <c r="AB86" s="296">
        <f>N86</f>
        <v>0</v>
      </c>
      <c r="AC86" s="322">
        <v>0</v>
      </c>
      <c r="AD86" s="293">
        <f t="shared" ref="AD86:AD88" si="38">-J86+AE86</f>
        <v>0</v>
      </c>
      <c r="AE86" s="293">
        <f>'AJUSTES - SF-T'!AD48</f>
        <v>0</v>
      </c>
      <c r="AF86" s="324">
        <f>SUM(U86:AD86)</f>
        <v>0</v>
      </c>
      <c r="AG86" s="524">
        <f>AF86-O86</f>
        <v>0</v>
      </c>
      <c r="AH86" s="1" t="b">
        <f t="shared" si="35"/>
        <v>1</v>
      </c>
      <c r="AI86" s="308"/>
    </row>
    <row r="87" spans="1:35" s="307" customFormat="1" x14ac:dyDescent="0.25">
      <c r="B87" s="316">
        <v>3</v>
      </c>
      <c r="C87" s="317" t="s">
        <v>12</v>
      </c>
      <c r="D87" s="293">
        <v>0</v>
      </c>
      <c r="E87" s="294">
        <v>0</v>
      </c>
      <c r="F87" s="294">
        <v>0</v>
      </c>
      <c r="G87" s="294">
        <v>0</v>
      </c>
      <c r="H87" s="294">
        <v>0</v>
      </c>
      <c r="I87" s="294">
        <v>0</v>
      </c>
      <c r="J87" s="290">
        <v>0</v>
      </c>
      <c r="K87" s="297">
        <f t="shared" si="36"/>
        <v>0</v>
      </c>
      <c r="L87" s="296">
        <v>0</v>
      </c>
      <c r="M87" s="297">
        <f>K87-L87</f>
        <v>0</v>
      </c>
      <c r="N87" s="296">
        <v>0</v>
      </c>
      <c r="O87" s="297">
        <f t="shared" si="37"/>
        <v>0</v>
      </c>
      <c r="Q87" s="308"/>
      <c r="S87" s="316">
        <v>3</v>
      </c>
      <c r="T87" s="317" t="s">
        <v>12</v>
      </c>
      <c r="U87" s="318">
        <v>0</v>
      </c>
      <c r="V87" s="319">
        <v>0</v>
      </c>
      <c r="W87" s="319">
        <v>0</v>
      </c>
      <c r="X87" s="319">
        <v>0</v>
      </c>
      <c r="Y87" s="320">
        <v>0</v>
      </c>
      <c r="Z87" s="321">
        <v>0</v>
      </c>
      <c r="AA87" s="322">
        <v>0</v>
      </c>
      <c r="AB87" s="296">
        <v>0</v>
      </c>
      <c r="AC87" s="322">
        <v>0</v>
      </c>
      <c r="AD87" s="293">
        <f t="shared" si="38"/>
        <v>0</v>
      </c>
      <c r="AE87" s="293">
        <v>0</v>
      </c>
      <c r="AF87" s="324">
        <f t="shared" ref="AF87:AF89" si="39">SUM(U87:AD87)</f>
        <v>0</v>
      </c>
      <c r="AG87" s="524">
        <f>AF87-O87</f>
        <v>0</v>
      </c>
      <c r="AH87" s="1" t="b">
        <f t="shared" si="35"/>
        <v>1</v>
      </c>
      <c r="AI87" s="308"/>
    </row>
    <row r="88" spans="1:35" s="307" customFormat="1" x14ac:dyDescent="0.25">
      <c r="B88" s="316">
        <v>4</v>
      </c>
      <c r="C88" s="317" t="s">
        <v>13</v>
      </c>
      <c r="D88" s="293">
        <f>'AJUSTES - SF-T'!D50</f>
        <v>0</v>
      </c>
      <c r="E88" s="294">
        <f>'AJUSTES - SF-T'!E50</f>
        <v>0</v>
      </c>
      <c r="F88" s="294">
        <f>'AJUSTES - SF-T'!F50</f>
        <v>0</v>
      </c>
      <c r="G88" s="294">
        <f>'AJUSTES - SF-T'!G50</f>
        <v>0</v>
      </c>
      <c r="H88" s="294">
        <f>'AJUSTES - SF-T'!H50</f>
        <v>0</v>
      </c>
      <c r="I88" s="294">
        <f>'AJUSTES - SF-T'!I50</f>
        <v>0</v>
      </c>
      <c r="J88" s="290">
        <f>'AJUSTES - SF-T'!J50</f>
        <v>0</v>
      </c>
      <c r="K88" s="297">
        <f t="shared" si="36"/>
        <v>0</v>
      </c>
      <c r="L88" s="296">
        <v>0</v>
      </c>
      <c r="M88" s="297">
        <f>K88-L88</f>
        <v>0</v>
      </c>
      <c r="N88" s="296">
        <f>'AJUSTES - SF-T'!N50</f>
        <v>0</v>
      </c>
      <c r="O88" s="297">
        <f t="shared" si="37"/>
        <v>0</v>
      </c>
      <c r="Q88" s="308"/>
      <c r="S88" s="316">
        <v>4</v>
      </c>
      <c r="T88" s="317" t="s">
        <v>13</v>
      </c>
      <c r="U88" s="318">
        <f>'AJUSTES - SF-T'!U50</f>
        <v>0</v>
      </c>
      <c r="V88" s="319">
        <f>'AJUSTES - SF-T'!V50</f>
        <v>0</v>
      </c>
      <c r="W88" s="319">
        <f>'AJUSTES - SF-T'!W50</f>
        <v>0</v>
      </c>
      <c r="X88" s="319">
        <f>'AJUSTES - SF-T'!X50</f>
        <v>0</v>
      </c>
      <c r="Y88" s="320">
        <f>'AJUSTES - SF-T'!Y50</f>
        <v>0</v>
      </c>
      <c r="Z88" s="321">
        <f>-L88</f>
        <v>0</v>
      </c>
      <c r="AA88" s="322">
        <f>'AJUSTES - SF-T'!AA50</f>
        <v>0</v>
      </c>
      <c r="AB88" s="296">
        <f>N88</f>
        <v>0</v>
      </c>
      <c r="AC88" s="322">
        <v>0</v>
      </c>
      <c r="AD88" s="293">
        <f t="shared" si="38"/>
        <v>0</v>
      </c>
      <c r="AE88" s="293">
        <f>'AJUSTES - SF-T'!AD50</f>
        <v>0</v>
      </c>
      <c r="AF88" s="324">
        <f t="shared" si="39"/>
        <v>0</v>
      </c>
      <c r="AG88" s="524">
        <f>AF88-O88</f>
        <v>0</v>
      </c>
      <c r="AH88" s="1" t="b">
        <f t="shared" si="35"/>
        <v>1</v>
      </c>
      <c r="AI88" s="308"/>
    </row>
    <row r="89" spans="1:35" s="307" customFormat="1" ht="12" thickBot="1" x14ac:dyDescent="0.3">
      <c r="B89" s="326">
        <v>5</v>
      </c>
      <c r="C89" s="327" t="s">
        <v>14</v>
      </c>
      <c r="D89" s="298">
        <v>0</v>
      </c>
      <c r="E89" s="299">
        <v>0</v>
      </c>
      <c r="F89" s="299">
        <v>0</v>
      </c>
      <c r="G89" s="299">
        <v>0</v>
      </c>
      <c r="H89" s="299">
        <v>0</v>
      </c>
      <c r="I89" s="299">
        <v>0</v>
      </c>
      <c r="J89" s="291">
        <v>0</v>
      </c>
      <c r="K89" s="297">
        <f t="shared" si="36"/>
        <v>0</v>
      </c>
      <c r="L89" s="296">
        <v>0</v>
      </c>
      <c r="M89" s="300">
        <f>K89-L89</f>
        <v>0</v>
      </c>
      <c r="N89" s="301">
        <v>0</v>
      </c>
      <c r="O89" s="300">
        <f t="shared" si="37"/>
        <v>0</v>
      </c>
      <c r="Q89" s="308"/>
      <c r="S89" s="326">
        <v>5</v>
      </c>
      <c r="T89" s="327" t="s">
        <v>14</v>
      </c>
      <c r="U89" s="298">
        <v>0</v>
      </c>
      <c r="V89" s="299">
        <v>0</v>
      </c>
      <c r="W89" s="299">
        <v>0</v>
      </c>
      <c r="X89" s="299">
        <v>0</v>
      </c>
      <c r="Y89" s="291">
        <v>0</v>
      </c>
      <c r="Z89" s="321">
        <v>0</v>
      </c>
      <c r="AA89" s="322">
        <v>0</v>
      </c>
      <c r="AB89" s="296">
        <v>0</v>
      </c>
      <c r="AC89" s="322">
        <v>0</v>
      </c>
      <c r="AD89" s="293">
        <v>0</v>
      </c>
      <c r="AE89" s="293">
        <v>0</v>
      </c>
      <c r="AF89" s="324">
        <f t="shared" si="39"/>
        <v>0</v>
      </c>
      <c r="AG89" s="525">
        <f>AF89-O89</f>
        <v>0</v>
      </c>
      <c r="AH89" s="1" t="b">
        <f t="shared" si="35"/>
        <v>1</v>
      </c>
      <c r="AI89" s="308"/>
    </row>
    <row r="90" spans="1:35" s="307" customFormat="1" ht="13.5" thickBot="1" x14ac:dyDescent="0.35">
      <c r="B90" s="329"/>
      <c r="C90" s="330" t="s">
        <v>2</v>
      </c>
      <c r="D90" s="292">
        <f t="shared" ref="D90:O90" si="40">SUM(D85:D89)</f>
        <v>0</v>
      </c>
      <c r="E90" s="292">
        <f t="shared" si="40"/>
        <v>0</v>
      </c>
      <c r="F90" s="292">
        <f t="shared" si="40"/>
        <v>0</v>
      </c>
      <c r="G90" s="292">
        <f t="shared" si="40"/>
        <v>0</v>
      </c>
      <c r="H90" s="292">
        <f t="shared" si="40"/>
        <v>0</v>
      </c>
      <c r="I90" s="292">
        <f t="shared" si="40"/>
        <v>0</v>
      </c>
      <c r="J90" s="292">
        <f t="shared" si="40"/>
        <v>0</v>
      </c>
      <c r="K90" s="302">
        <f t="shared" si="40"/>
        <v>0</v>
      </c>
      <c r="L90" s="303">
        <f t="shared" si="40"/>
        <v>0</v>
      </c>
      <c r="M90" s="304">
        <f t="shared" si="40"/>
        <v>0</v>
      </c>
      <c r="N90" s="303">
        <f t="shared" si="40"/>
        <v>0</v>
      </c>
      <c r="O90" s="304">
        <f t="shared" si="40"/>
        <v>0</v>
      </c>
      <c r="P90" s="331"/>
      <c r="Q90" s="308"/>
      <c r="S90" s="329"/>
      <c r="T90" s="330" t="s">
        <v>2</v>
      </c>
      <c r="U90" s="332">
        <f>SUM(U85:U89)</f>
        <v>0</v>
      </c>
      <c r="V90" s="332">
        <f t="shared" ref="V90:AG90" si="41">SUM(V85:V89)</f>
        <v>0</v>
      </c>
      <c r="W90" s="332">
        <f t="shared" si="41"/>
        <v>0</v>
      </c>
      <c r="X90" s="332">
        <f t="shared" si="41"/>
        <v>0</v>
      </c>
      <c r="Y90" s="332">
        <f t="shared" si="41"/>
        <v>0</v>
      </c>
      <c r="Z90" s="292">
        <f t="shared" si="41"/>
        <v>0</v>
      </c>
      <c r="AA90" s="292">
        <f t="shared" si="41"/>
        <v>0</v>
      </c>
      <c r="AB90" s="292">
        <f t="shared" si="41"/>
        <v>0</v>
      </c>
      <c r="AC90" s="292">
        <f t="shared" ref="AC90" si="42">SUM(AC85:AC89)</f>
        <v>0</v>
      </c>
      <c r="AD90" s="292">
        <f t="shared" si="41"/>
        <v>0</v>
      </c>
      <c r="AE90" s="292">
        <f t="shared" si="41"/>
        <v>0</v>
      </c>
      <c r="AF90" s="333">
        <f t="shared" si="41"/>
        <v>0</v>
      </c>
      <c r="AG90" s="526">
        <f t="shared" si="41"/>
        <v>0</v>
      </c>
      <c r="AH90" s="1" t="b">
        <f t="shared" si="35"/>
        <v>1</v>
      </c>
      <c r="AI90" s="308"/>
    </row>
    <row r="91" spans="1:35" ht="12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3">
      <c r="Q96" s="4"/>
      <c r="AI96" s="4"/>
    </row>
    <row r="97" spans="2:36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4" x14ac:dyDescent="0.3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5" x14ac:dyDescent="0.3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4" x14ac:dyDescent="0.3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5" x14ac:dyDescent="0.35">
      <c r="B101" s="8"/>
      <c r="C101" s="590" t="s">
        <v>17</v>
      </c>
      <c r="D101" s="9">
        <f>D6</f>
        <v>46282</v>
      </c>
      <c r="F101" s="58" t="s">
        <v>213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214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5">
      <c r="B102" s="8"/>
      <c r="C102" s="590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3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0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7" customFormat="1" x14ac:dyDescent="0.25">
      <c r="B104" s="305">
        <v>1</v>
      </c>
      <c r="C104" s="306" t="s">
        <v>10</v>
      </c>
      <c r="D104" s="293">
        <f t="shared" ref="D104:J108" si="43">D9+D28+D47+D66+D85</f>
        <v>0</v>
      </c>
      <c r="E104" s="294">
        <f t="shared" si="43"/>
        <v>0</v>
      </c>
      <c r="F104" s="294">
        <f t="shared" si="43"/>
        <v>0</v>
      </c>
      <c r="G104" s="294">
        <f t="shared" si="43"/>
        <v>0</v>
      </c>
      <c r="H104" s="294">
        <f t="shared" si="43"/>
        <v>0</v>
      </c>
      <c r="I104" s="294">
        <f t="shared" si="43"/>
        <v>0</v>
      </c>
      <c r="J104" s="290">
        <f t="shared" si="43"/>
        <v>0</v>
      </c>
      <c r="K104" s="295">
        <f>D104-E104-F104-G104-H104-I104-J104</f>
        <v>0</v>
      </c>
      <c r="L104" s="296">
        <f>L9+L28+L47+L66+L85</f>
        <v>0</v>
      </c>
      <c r="M104" s="295">
        <f>K104-L104</f>
        <v>0</v>
      </c>
      <c r="N104" s="296">
        <f>N9+N28+N47+N66+N85</f>
        <v>0</v>
      </c>
      <c r="O104" s="295">
        <f>M104+N104</f>
        <v>0</v>
      </c>
      <c r="Q104" s="308"/>
      <c r="S104" s="305">
        <v>1</v>
      </c>
      <c r="T104" s="306" t="s">
        <v>10</v>
      </c>
      <c r="U104" s="309">
        <f t="shared" ref="U104:AC108" si="44">U9+U28+U47+U66+U85</f>
        <v>0</v>
      </c>
      <c r="V104" s="310">
        <f t="shared" si="44"/>
        <v>0</v>
      </c>
      <c r="W104" s="310">
        <f t="shared" si="44"/>
        <v>0</v>
      </c>
      <c r="X104" s="310">
        <f t="shared" si="44"/>
        <v>0</v>
      </c>
      <c r="Y104" s="311">
        <f t="shared" si="44"/>
        <v>0</v>
      </c>
      <c r="Z104" s="312">
        <f t="shared" si="44"/>
        <v>0</v>
      </c>
      <c r="AA104" s="313">
        <f t="shared" si="44"/>
        <v>0</v>
      </c>
      <c r="AB104" s="296">
        <f t="shared" si="44"/>
        <v>0</v>
      </c>
      <c r="AC104" s="313">
        <f t="shared" si="44"/>
        <v>0</v>
      </c>
      <c r="AD104" s="293">
        <f>-J104+AE104</f>
        <v>0</v>
      </c>
      <c r="AE104" s="293">
        <f>AE9+AE28+AE47+AE66+AE85</f>
        <v>0</v>
      </c>
      <c r="AF104" s="315">
        <f>SUM(U104:AD104)</f>
        <v>0</v>
      </c>
      <c r="AG104" s="523">
        <f>AF104-O104</f>
        <v>0</v>
      </c>
      <c r="AH104" s="1" t="b">
        <f t="shared" ref="AH104:AH109" si="45">INT(AG104)=0</f>
        <v>1</v>
      </c>
      <c r="AI104" s="308"/>
    </row>
    <row r="105" spans="2:36" s="307" customFormat="1" x14ac:dyDescent="0.25">
      <c r="B105" s="316">
        <v>2</v>
      </c>
      <c r="C105" s="317" t="s">
        <v>11</v>
      </c>
      <c r="D105" s="293">
        <f t="shared" si="43"/>
        <v>19468720.030000001</v>
      </c>
      <c r="E105" s="294">
        <f t="shared" si="43"/>
        <v>1631027.85</v>
      </c>
      <c r="F105" s="294">
        <f t="shared" si="43"/>
        <v>968903.84000000008</v>
      </c>
      <c r="G105" s="294">
        <f t="shared" si="43"/>
        <v>317349.34999999998</v>
      </c>
      <c r="H105" s="294">
        <f t="shared" si="43"/>
        <v>8106641</v>
      </c>
      <c r="I105" s="294">
        <f t="shared" si="43"/>
        <v>244114.84</v>
      </c>
      <c r="J105" s="290">
        <f t="shared" si="43"/>
        <v>0</v>
      </c>
      <c r="K105" s="297">
        <f t="shared" ref="K105:K108" si="46">D105-E105-F105-G105-H105-I105-J105</f>
        <v>8200683.1500000004</v>
      </c>
      <c r="L105" s="296">
        <f>L10+L29+L48+L67+L86</f>
        <v>0</v>
      </c>
      <c r="M105" s="297">
        <f>K105-L105</f>
        <v>8200683.1500000004</v>
      </c>
      <c r="N105" s="296">
        <f>N10+N29+N48+N67+N86</f>
        <v>0</v>
      </c>
      <c r="O105" s="297">
        <f t="shared" ref="O105:O108" si="47">M105+N105</f>
        <v>8200683.1500000004</v>
      </c>
      <c r="Q105" s="308"/>
      <c r="S105" s="316">
        <v>2</v>
      </c>
      <c r="T105" s="317" t="s">
        <v>11</v>
      </c>
      <c r="U105" s="318">
        <f t="shared" si="44"/>
        <v>2387808.7599999998</v>
      </c>
      <c r="V105" s="319">
        <f t="shared" si="44"/>
        <v>2117904.38</v>
      </c>
      <c r="W105" s="319">
        <f t="shared" si="44"/>
        <v>8750214.5299999993</v>
      </c>
      <c r="X105" s="319">
        <f t="shared" si="44"/>
        <v>3252300.2</v>
      </c>
      <c r="Y105" s="320">
        <f t="shared" si="44"/>
        <v>283895.7</v>
      </c>
      <c r="Z105" s="321">
        <f t="shared" si="44"/>
        <v>0</v>
      </c>
      <c r="AA105" s="322">
        <f t="shared" si="44"/>
        <v>185.44</v>
      </c>
      <c r="AB105" s="296">
        <f t="shared" si="44"/>
        <v>0</v>
      </c>
      <c r="AC105" s="322">
        <f t="shared" si="44"/>
        <v>1.3499999999999999</v>
      </c>
      <c r="AD105" s="293">
        <f t="shared" ref="AD105:AD107" si="48">-J105+AE105</f>
        <v>-8591627.2100000009</v>
      </c>
      <c r="AE105" s="293">
        <f>AE10+AE29+AE48+AE67+AE86</f>
        <v>-8591627.2100000009</v>
      </c>
      <c r="AF105" s="324">
        <f>SUM(U105:AD105)</f>
        <v>8200683.1499999985</v>
      </c>
      <c r="AG105" s="524">
        <f>AF105-O105</f>
        <v>0</v>
      </c>
      <c r="AH105" s="1" t="b">
        <f t="shared" si="45"/>
        <v>1</v>
      </c>
      <c r="AI105" s="308"/>
    </row>
    <row r="106" spans="2:36" s="307" customFormat="1" x14ac:dyDescent="0.25">
      <c r="B106" s="316">
        <v>3</v>
      </c>
      <c r="C106" s="317" t="s">
        <v>12</v>
      </c>
      <c r="D106" s="293">
        <f t="shared" si="43"/>
        <v>0</v>
      </c>
      <c r="E106" s="294">
        <f t="shared" si="43"/>
        <v>0</v>
      </c>
      <c r="F106" s="294">
        <f t="shared" si="43"/>
        <v>0</v>
      </c>
      <c r="G106" s="294">
        <f t="shared" si="43"/>
        <v>0</v>
      </c>
      <c r="H106" s="294">
        <f t="shared" si="43"/>
        <v>0</v>
      </c>
      <c r="I106" s="294">
        <f t="shared" si="43"/>
        <v>0</v>
      </c>
      <c r="J106" s="290">
        <f t="shared" si="43"/>
        <v>0</v>
      </c>
      <c r="K106" s="297">
        <f t="shared" si="46"/>
        <v>0</v>
      </c>
      <c r="L106" s="296">
        <f>L11+L30+L49+L68+L87</f>
        <v>0</v>
      </c>
      <c r="M106" s="297">
        <f>K106-L106</f>
        <v>0</v>
      </c>
      <c r="N106" s="296">
        <f>N11+N30+N49+N68+N87</f>
        <v>0</v>
      </c>
      <c r="O106" s="297">
        <f t="shared" si="47"/>
        <v>0</v>
      </c>
      <c r="Q106" s="308"/>
      <c r="S106" s="316">
        <v>3</v>
      </c>
      <c r="T106" s="317" t="s">
        <v>12</v>
      </c>
      <c r="U106" s="318">
        <f t="shared" si="44"/>
        <v>0</v>
      </c>
      <c r="V106" s="319">
        <f t="shared" si="44"/>
        <v>0</v>
      </c>
      <c r="W106" s="319">
        <f t="shared" si="44"/>
        <v>0</v>
      </c>
      <c r="X106" s="319">
        <f t="shared" si="44"/>
        <v>0</v>
      </c>
      <c r="Y106" s="320">
        <f t="shared" si="44"/>
        <v>0</v>
      </c>
      <c r="Z106" s="321">
        <f t="shared" si="44"/>
        <v>0</v>
      </c>
      <c r="AA106" s="322">
        <f t="shared" si="44"/>
        <v>0</v>
      </c>
      <c r="AB106" s="296">
        <f t="shared" si="44"/>
        <v>0</v>
      </c>
      <c r="AC106" s="322">
        <f t="shared" si="44"/>
        <v>0</v>
      </c>
      <c r="AD106" s="293">
        <f t="shared" si="48"/>
        <v>0</v>
      </c>
      <c r="AE106" s="293">
        <f>AE11+AE30+AE49+AE68+AE87</f>
        <v>0</v>
      </c>
      <c r="AF106" s="324">
        <f>SUM(U106:AD106)</f>
        <v>0</v>
      </c>
      <c r="AG106" s="524">
        <f>AF106-O106</f>
        <v>0</v>
      </c>
      <c r="AH106" s="1" t="b">
        <f t="shared" si="45"/>
        <v>1</v>
      </c>
      <c r="AI106" s="308"/>
    </row>
    <row r="107" spans="2:36" s="307" customFormat="1" x14ac:dyDescent="0.25">
      <c r="B107" s="316">
        <v>4</v>
      </c>
      <c r="C107" s="317" t="s">
        <v>13</v>
      </c>
      <c r="D107" s="293">
        <f t="shared" si="43"/>
        <v>6945099.8599999994</v>
      </c>
      <c r="E107" s="294">
        <f t="shared" si="43"/>
        <v>390216.71</v>
      </c>
      <c r="F107" s="294">
        <f t="shared" si="43"/>
        <v>222372.34</v>
      </c>
      <c r="G107" s="294">
        <f t="shared" si="43"/>
        <v>93645.569999999992</v>
      </c>
      <c r="H107" s="294">
        <f t="shared" si="43"/>
        <v>1760615.6</v>
      </c>
      <c r="I107" s="294">
        <f t="shared" si="43"/>
        <v>55085.56</v>
      </c>
      <c r="J107" s="290">
        <f t="shared" si="43"/>
        <v>0</v>
      </c>
      <c r="K107" s="297">
        <f t="shared" si="46"/>
        <v>4423164.0799999991</v>
      </c>
      <c r="L107" s="296">
        <f>L12+L31+L50+L69+L88</f>
        <v>0</v>
      </c>
      <c r="M107" s="297">
        <f>K107-L107</f>
        <v>4423164.0799999991</v>
      </c>
      <c r="N107" s="296">
        <f>N12+N31+N50+N69+N88</f>
        <v>0</v>
      </c>
      <c r="O107" s="297">
        <f t="shared" si="47"/>
        <v>4423164.0799999991</v>
      </c>
      <c r="Q107" s="308"/>
      <c r="S107" s="316">
        <v>4</v>
      </c>
      <c r="T107" s="317" t="s">
        <v>13</v>
      </c>
      <c r="U107" s="318">
        <f t="shared" si="44"/>
        <v>515714.53</v>
      </c>
      <c r="V107" s="319">
        <f t="shared" si="44"/>
        <v>511519.27</v>
      </c>
      <c r="W107" s="319">
        <f t="shared" si="44"/>
        <v>2497642.7400000002</v>
      </c>
      <c r="X107" s="319">
        <f t="shared" si="44"/>
        <v>1077053.48</v>
      </c>
      <c r="Y107" s="320">
        <f t="shared" si="44"/>
        <v>78689.97</v>
      </c>
      <c r="Z107" s="321">
        <f t="shared" si="44"/>
        <v>0</v>
      </c>
      <c r="AA107" s="322">
        <f t="shared" si="44"/>
        <v>0.38999999999999946</v>
      </c>
      <c r="AB107" s="296">
        <f t="shared" si="44"/>
        <v>0</v>
      </c>
      <c r="AC107" s="322">
        <f t="shared" si="44"/>
        <v>0</v>
      </c>
      <c r="AD107" s="293">
        <f t="shared" si="48"/>
        <v>-257456.3</v>
      </c>
      <c r="AE107" s="293">
        <f>AE12+AE31+AE50+AE69+AE88</f>
        <v>-257456.3</v>
      </c>
      <c r="AF107" s="324">
        <f>SUM(U107:AD107)</f>
        <v>4423164.0799999991</v>
      </c>
      <c r="AG107" s="524">
        <f>AF107-O107</f>
        <v>0</v>
      </c>
      <c r="AH107" s="1" t="b">
        <f t="shared" si="45"/>
        <v>1</v>
      </c>
      <c r="AI107" s="308"/>
    </row>
    <row r="108" spans="2:36" s="307" customFormat="1" ht="12" thickBot="1" x14ac:dyDescent="0.3">
      <c r="B108" s="326">
        <v>5</v>
      </c>
      <c r="C108" s="327" t="s">
        <v>14</v>
      </c>
      <c r="D108" s="298">
        <f>D13+D32+D51+D70+D89</f>
        <v>0</v>
      </c>
      <c r="E108" s="299">
        <f t="shared" si="43"/>
        <v>0</v>
      </c>
      <c r="F108" s="299">
        <f t="shared" si="43"/>
        <v>0</v>
      </c>
      <c r="G108" s="299">
        <f t="shared" si="43"/>
        <v>0</v>
      </c>
      <c r="H108" s="299">
        <f t="shared" si="43"/>
        <v>0</v>
      </c>
      <c r="I108" s="299">
        <f t="shared" si="43"/>
        <v>0</v>
      </c>
      <c r="J108" s="291">
        <f t="shared" si="43"/>
        <v>0</v>
      </c>
      <c r="K108" s="297">
        <f t="shared" si="46"/>
        <v>0</v>
      </c>
      <c r="L108" s="296">
        <f>L13+L32+L51+L70+L89</f>
        <v>0</v>
      </c>
      <c r="M108" s="300">
        <f>K108-L108</f>
        <v>0</v>
      </c>
      <c r="N108" s="301">
        <f>N13+N32+N51+N70+N89</f>
        <v>0</v>
      </c>
      <c r="O108" s="300">
        <f t="shared" si="47"/>
        <v>0</v>
      </c>
      <c r="Q108" s="308"/>
      <c r="S108" s="326">
        <v>5</v>
      </c>
      <c r="T108" s="327" t="s">
        <v>14</v>
      </c>
      <c r="U108" s="298">
        <f t="shared" si="44"/>
        <v>0</v>
      </c>
      <c r="V108" s="299">
        <f t="shared" si="44"/>
        <v>0</v>
      </c>
      <c r="W108" s="299">
        <f t="shared" si="44"/>
        <v>0</v>
      </c>
      <c r="X108" s="299">
        <f t="shared" si="44"/>
        <v>0</v>
      </c>
      <c r="Y108" s="291">
        <f t="shared" si="44"/>
        <v>0</v>
      </c>
      <c r="Z108" s="321">
        <f t="shared" si="44"/>
        <v>0</v>
      </c>
      <c r="AA108" s="322">
        <f t="shared" si="44"/>
        <v>0</v>
      </c>
      <c r="AB108" s="296">
        <f t="shared" si="44"/>
        <v>0</v>
      </c>
      <c r="AC108" s="322">
        <f t="shared" si="44"/>
        <v>0</v>
      </c>
      <c r="AD108" s="293">
        <f>-J108+AE108</f>
        <v>0</v>
      </c>
      <c r="AE108" s="293">
        <f>AE13+AE32+AE51+AE70+AE89</f>
        <v>0</v>
      </c>
      <c r="AF108" s="324">
        <f>SUM(U108:AD108)</f>
        <v>0</v>
      </c>
      <c r="AG108" s="525">
        <f>AF108-O108</f>
        <v>0</v>
      </c>
      <c r="AH108" s="1" t="b">
        <f t="shared" si="45"/>
        <v>1</v>
      </c>
      <c r="AI108" s="308"/>
    </row>
    <row r="109" spans="2:36" s="307" customFormat="1" ht="13.5" thickBot="1" x14ac:dyDescent="0.35">
      <c r="B109" s="329"/>
      <c r="C109" s="330" t="s">
        <v>2</v>
      </c>
      <c r="D109" s="292">
        <f t="shared" ref="D109:O109" si="49">SUM(D104:D108)</f>
        <v>26413819.890000001</v>
      </c>
      <c r="E109" s="292">
        <f t="shared" si="49"/>
        <v>2021244.56</v>
      </c>
      <c r="F109" s="292">
        <f t="shared" si="49"/>
        <v>1191276.1800000002</v>
      </c>
      <c r="G109" s="292">
        <f t="shared" si="49"/>
        <v>410994.92</v>
      </c>
      <c r="H109" s="292">
        <f t="shared" si="49"/>
        <v>9867256.5999999996</v>
      </c>
      <c r="I109" s="292">
        <f t="shared" si="49"/>
        <v>299200.40000000002</v>
      </c>
      <c r="J109" s="292">
        <f t="shared" si="49"/>
        <v>0</v>
      </c>
      <c r="K109" s="302">
        <f t="shared" si="49"/>
        <v>12623847.23</v>
      </c>
      <c r="L109" s="303">
        <f t="shared" si="49"/>
        <v>0</v>
      </c>
      <c r="M109" s="304">
        <f t="shared" si="49"/>
        <v>12623847.23</v>
      </c>
      <c r="N109" s="303">
        <f t="shared" si="49"/>
        <v>0</v>
      </c>
      <c r="O109" s="304">
        <f t="shared" si="49"/>
        <v>12623847.23</v>
      </c>
      <c r="P109" s="331"/>
      <c r="Q109" s="308"/>
      <c r="S109" s="329"/>
      <c r="T109" s="330" t="s">
        <v>2</v>
      </c>
      <c r="U109" s="332">
        <f>SUM(U104:U108)</f>
        <v>2903523.29</v>
      </c>
      <c r="V109" s="332">
        <f t="shared" ref="V109:AF109" si="50">SUM(V104:V108)</f>
        <v>2629423.65</v>
      </c>
      <c r="W109" s="332">
        <f t="shared" si="50"/>
        <v>11247857.27</v>
      </c>
      <c r="X109" s="332">
        <f t="shared" si="50"/>
        <v>4329353.68</v>
      </c>
      <c r="Y109" s="332">
        <f t="shared" si="50"/>
        <v>362585.67000000004</v>
      </c>
      <c r="Z109" s="292">
        <f t="shared" si="50"/>
        <v>0</v>
      </c>
      <c r="AA109" s="292">
        <f t="shared" si="50"/>
        <v>185.82999999999998</v>
      </c>
      <c r="AB109" s="292">
        <f t="shared" si="50"/>
        <v>0</v>
      </c>
      <c r="AC109" s="292">
        <f t="shared" si="50"/>
        <v>1.3499999999999999</v>
      </c>
      <c r="AD109" s="292">
        <f t="shared" si="50"/>
        <v>-8849083.5100000016</v>
      </c>
      <c r="AE109" s="292">
        <f>SUM(AE104:AE108)</f>
        <v>-8849083.5100000016</v>
      </c>
      <c r="AF109" s="333">
        <f t="shared" si="50"/>
        <v>12623847.229999997</v>
      </c>
      <c r="AG109" s="526">
        <f>SUM(AG104:AG108)</f>
        <v>0</v>
      </c>
      <c r="AH109" s="1" t="b">
        <f t="shared" si="45"/>
        <v>1</v>
      </c>
      <c r="AI109" s="308"/>
    </row>
    <row r="110" spans="2:36" ht="12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21472743.560000002</v>
      </c>
      <c r="AA111" s="1" t="s">
        <v>1</v>
      </c>
      <c r="AB111" s="1" t="s">
        <v>1</v>
      </c>
      <c r="AC111" s="55"/>
      <c r="AD111" s="1" t="s">
        <v>1</v>
      </c>
      <c r="AF111" s="1" t="s">
        <v>1</v>
      </c>
      <c r="AI111" s="4"/>
    </row>
    <row r="112" spans="2:36" ht="12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C112" s="55"/>
      <c r="AI112" s="4"/>
    </row>
    <row r="113" spans="1:35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3">
      <c r="Q115" s="4"/>
    </row>
    <row r="116" spans="1:35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4" x14ac:dyDescent="0.3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5" x14ac:dyDescent="0.3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5">
      <c r="B120" s="8"/>
      <c r="I120" s="2"/>
      <c r="J120" s="2"/>
      <c r="O120" s="10"/>
      <c r="P120" s="2"/>
      <c r="Q120" s="4"/>
    </row>
    <row r="121" spans="1:35" ht="15.5" x14ac:dyDescent="0.3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6.5" thickBot="1" x14ac:dyDescent="0.3">
      <c r="B124" s="11" t="s">
        <v>3</v>
      </c>
      <c r="C124" s="12" t="s">
        <v>9</v>
      </c>
      <c r="D124" s="12" t="s">
        <v>38</v>
      </c>
      <c r="E124" s="73" t="s">
        <v>48</v>
      </c>
      <c r="G124" s="65" t="s">
        <v>47</v>
      </c>
      <c r="H124" s="372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x14ac:dyDescent="0.25">
      <c r="B125" s="108">
        <v>1</v>
      </c>
      <c r="C125" s="109" t="s">
        <v>10</v>
      </c>
      <c r="D125" s="110">
        <f>'ANTICIPOS USUARIOS'!F3</f>
        <v>0</v>
      </c>
      <c r="E125" s="111">
        <v>0</v>
      </c>
      <c r="G125" s="338">
        <f>D47+N47</f>
        <v>0</v>
      </c>
      <c r="H125" s="312">
        <f>D28+N28</f>
        <v>0</v>
      </c>
      <c r="I125" s="311">
        <f>D85+N85</f>
        <v>0</v>
      </c>
      <c r="J125" s="311">
        <f>D66+N66</f>
        <v>0</v>
      </c>
      <c r="K125" s="311">
        <f>'ANTICIPOS USUARIOS'!F12</f>
        <v>0</v>
      </c>
      <c r="L125" s="311">
        <f>-'ANTICIPOS USUARIOS'!F21</f>
        <v>0</v>
      </c>
      <c r="O125" s="44"/>
      <c r="Q125" s="4"/>
    </row>
    <row r="126" spans="1:35" x14ac:dyDescent="0.25">
      <c r="B126" s="16">
        <v>2</v>
      </c>
      <c r="C126" s="17" t="s">
        <v>11</v>
      </c>
      <c r="D126" s="15">
        <f>'ANTICIPOS USUARIOS'!F4</f>
        <v>8181830</v>
      </c>
      <c r="E126" s="74">
        <v>0</v>
      </c>
      <c r="G126" s="341">
        <f>D48+N48</f>
        <v>0</v>
      </c>
      <c r="H126" s="342">
        <f>D29+N29</f>
        <v>16022820.030000001</v>
      </c>
      <c r="I126" s="290">
        <f>D86+N86</f>
        <v>0</v>
      </c>
      <c r="J126" s="290">
        <f t="shared" ref="J126:J129" si="51">D67+N67</f>
        <v>0</v>
      </c>
      <c r="K126" s="290">
        <f>'ANTICIPOS USUARIOS'!F13</f>
        <v>0</v>
      </c>
      <c r="L126" s="290">
        <f>-'ANTICIPOS USUARIOS'!F22</f>
        <v>0</v>
      </c>
      <c r="O126" s="44"/>
      <c r="Q126" s="4"/>
    </row>
    <row r="127" spans="1:35" x14ac:dyDescent="0.25">
      <c r="B127" s="16">
        <v>3</v>
      </c>
      <c r="C127" s="17" t="s">
        <v>12</v>
      </c>
      <c r="D127" s="15">
        <f>'ANTICIPOS USUARIOS'!F5</f>
        <v>0</v>
      </c>
      <c r="E127" s="74">
        <v>0</v>
      </c>
      <c r="G127" s="341">
        <f>D49+N49</f>
        <v>0</v>
      </c>
      <c r="H127" s="342">
        <f>D30+N30</f>
        <v>0</v>
      </c>
      <c r="I127" s="290">
        <f>D87+N87</f>
        <v>0</v>
      </c>
      <c r="J127" s="290">
        <f t="shared" si="51"/>
        <v>0</v>
      </c>
      <c r="K127" s="290">
        <f>'ANTICIPOS USUARIOS'!F14</f>
        <v>0</v>
      </c>
      <c r="L127" s="290">
        <f>-'ANTICIPOS USUARIOS'!F23</f>
        <v>0</v>
      </c>
      <c r="O127" s="44"/>
      <c r="Q127" s="4"/>
    </row>
    <row r="128" spans="1:35" x14ac:dyDescent="0.25">
      <c r="B128" s="16">
        <v>4</v>
      </c>
      <c r="C128" s="17" t="s">
        <v>13</v>
      </c>
      <c r="D128" s="15">
        <f>'ANTICIPOS USUARIOS'!F6</f>
        <v>5225400</v>
      </c>
      <c r="E128" s="74">
        <v>0</v>
      </c>
      <c r="G128" s="341">
        <f>D50+N50</f>
        <v>208970</v>
      </c>
      <c r="H128" s="342">
        <f>D31+N31</f>
        <v>4840819.8599999994</v>
      </c>
      <c r="I128" s="290">
        <f>D88+N88</f>
        <v>0</v>
      </c>
      <c r="J128" s="290">
        <f t="shared" si="51"/>
        <v>-262000</v>
      </c>
      <c r="K128" s="290">
        <f>'ANTICIPOS USUARIOS'!F15</f>
        <v>53030</v>
      </c>
      <c r="L128" s="290">
        <f>-'ANTICIPOS USUARIOS'!F24</f>
        <v>0</v>
      </c>
      <c r="O128" s="44"/>
      <c r="Q128" s="4"/>
    </row>
    <row r="129" spans="1:18" x14ac:dyDescent="0.25">
      <c r="B129" s="133">
        <v>5</v>
      </c>
      <c r="C129" s="138" t="s">
        <v>14</v>
      </c>
      <c r="D129" s="15">
        <f>'ANTICIPOS USUARIOS'!F7</f>
        <v>0</v>
      </c>
      <c r="E129" s="139">
        <v>0</v>
      </c>
      <c r="G129" s="341">
        <f>D51+N51</f>
        <v>0</v>
      </c>
      <c r="H129" s="342">
        <f>D32+N32</f>
        <v>0</v>
      </c>
      <c r="I129" s="290">
        <f>D89+N89</f>
        <v>0</v>
      </c>
      <c r="J129" s="290">
        <f t="shared" si="51"/>
        <v>0</v>
      </c>
      <c r="K129" s="290">
        <f>'ANTICIPOS USUARIOS'!F16</f>
        <v>0</v>
      </c>
      <c r="L129" s="290">
        <f>-'ANTICIPOS USUARIOS'!F25</f>
        <v>0</v>
      </c>
      <c r="O129" s="44"/>
      <c r="Q129" s="4"/>
    </row>
    <row r="130" spans="1:18" ht="12" thickBot="1" x14ac:dyDescent="0.3">
      <c r="B130" s="19" t="s">
        <v>89</v>
      </c>
      <c r="C130" s="20" t="s">
        <v>113</v>
      </c>
      <c r="D130" s="78"/>
      <c r="E130" s="79">
        <f>'Recaudo EAAB Reciprocidad'!D26</f>
        <v>0</v>
      </c>
      <c r="G130" s="348"/>
      <c r="H130" s="349"/>
      <c r="I130" s="291"/>
      <c r="J130" s="291"/>
      <c r="K130" s="291"/>
      <c r="L130" s="291"/>
      <c r="O130" s="44"/>
      <c r="Q130" s="4"/>
    </row>
    <row r="131" spans="1:18" ht="12" thickBot="1" x14ac:dyDescent="0.3">
      <c r="B131" s="95"/>
      <c r="C131" s="106" t="s">
        <v>2</v>
      </c>
      <c r="D131" s="107">
        <f>SUM(D125:D130)</f>
        <v>13407230</v>
      </c>
      <c r="E131" s="107">
        <f>SUM(E125:E130)</f>
        <v>0</v>
      </c>
      <c r="F131" s="45"/>
      <c r="G131" s="352">
        <f t="shared" ref="G131" si="52">SUM(G125:G129)</f>
        <v>208970</v>
      </c>
      <c r="H131" s="352">
        <f>SUM(H125:H130)</f>
        <v>20863639.890000001</v>
      </c>
      <c r="I131" s="352">
        <f>SUM(I125:I130)</f>
        <v>0</v>
      </c>
      <c r="J131" s="352">
        <f>SUM(J125:J130)</f>
        <v>-262000</v>
      </c>
      <c r="K131" s="352">
        <f>SUM(K125:K130)</f>
        <v>53030</v>
      </c>
      <c r="L131" s="352">
        <f>SUM(L125:L130)</f>
        <v>0</v>
      </c>
      <c r="M131" s="45"/>
      <c r="N131" s="45"/>
      <c r="O131" s="46"/>
      <c r="P131" s="2"/>
      <c r="Q131" s="4"/>
    </row>
    <row r="132" spans="1:18" x14ac:dyDescent="0.25">
      <c r="B132" s="2"/>
      <c r="C132" s="2"/>
      <c r="D132" s="24"/>
      <c r="Q132" s="4"/>
    </row>
    <row r="133" spans="1:18" x14ac:dyDescent="0.25">
      <c r="B133" s="2"/>
      <c r="C133" s="2"/>
      <c r="D133" s="24"/>
      <c r="L133" s="1" t="s">
        <v>1</v>
      </c>
      <c r="Q133" s="4"/>
    </row>
    <row r="134" spans="1:18" ht="12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6.5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EAAB Reciprocidad'!D21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v>0</v>
      </c>
      <c r="J142" s="110">
        <f t="shared" ref="J142:K146" si="53">G125</f>
        <v>0</v>
      </c>
      <c r="K142" s="111">
        <f t="shared" si="53"/>
        <v>0</v>
      </c>
      <c r="L142" s="589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x14ac:dyDescent="0.25">
      <c r="B143" s="16">
        <v>2</v>
      </c>
      <c r="C143" s="17" t="s">
        <v>11</v>
      </c>
      <c r="D143" s="18">
        <f>D105+N105+D126+E126</f>
        <v>27650550.030000001</v>
      </c>
      <c r="E143" s="18">
        <f>'Recaudo EAAB Reciprocidad'!D22</f>
        <v>11627730</v>
      </c>
      <c r="F143" s="18">
        <f>D29+N29</f>
        <v>16022820.030000001</v>
      </c>
      <c r="G143" s="18">
        <f>D67+N67</f>
        <v>0</v>
      </c>
      <c r="H143" s="18">
        <f>D86+N86</f>
        <v>0</v>
      </c>
      <c r="I143" s="18">
        <f>('REPORTE RECAUDO x BANCO'!E64)</f>
        <v>0</v>
      </c>
      <c r="J143" s="18">
        <f t="shared" si="53"/>
        <v>0</v>
      </c>
      <c r="K143" s="83">
        <f t="shared" si="53"/>
        <v>16022820.030000001</v>
      </c>
      <c r="L143" s="589">
        <f>D143-E143-F143-G143-J143-H143-I143</f>
        <v>0</v>
      </c>
      <c r="M143" s="1" t="b">
        <f>INT(L143)=0</f>
        <v>1</v>
      </c>
      <c r="O143" s="130"/>
      <c r="P143" s="24"/>
      <c r="Q143" s="35"/>
      <c r="R143" s="24"/>
    </row>
    <row r="144" spans="1:18" x14ac:dyDescent="0.25">
      <c r="B144" s="16">
        <v>3</v>
      </c>
      <c r="C144" s="17" t="s">
        <v>12</v>
      </c>
      <c r="D144" s="18">
        <f>D106+N106+D127+E127</f>
        <v>0</v>
      </c>
      <c r="E144" s="18">
        <f>'Recaudo EAAB Reciprocidad'!D23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v>0</v>
      </c>
      <c r="J144" s="18">
        <f t="shared" si="53"/>
        <v>0</v>
      </c>
      <c r="K144" s="83">
        <f t="shared" si="53"/>
        <v>0</v>
      </c>
      <c r="L144" s="589">
        <f>D144-E144-F144-G144-J144-H144-I144</f>
        <v>0</v>
      </c>
      <c r="M144" s="1" t="b">
        <f t="shared" ref="M144:M147" si="54">INT(L144)=0</f>
        <v>1</v>
      </c>
      <c r="O144" s="55"/>
      <c r="P144" s="24"/>
      <c r="Q144" s="35"/>
      <c r="R144" s="24"/>
    </row>
    <row r="145" spans="1:20" x14ac:dyDescent="0.25">
      <c r="B145" s="16">
        <v>4</v>
      </c>
      <c r="C145" s="17" t="s">
        <v>13</v>
      </c>
      <c r="D145" s="18">
        <f>D107+N107+D128+E128</f>
        <v>12170499.859999999</v>
      </c>
      <c r="E145" s="18">
        <f>'Recaudo EAAB Reciprocidad'!D24</f>
        <v>7382710</v>
      </c>
      <c r="F145" s="18">
        <f>D31+N31</f>
        <v>4840819.8599999994</v>
      </c>
      <c r="G145" s="18">
        <f>D69+N69</f>
        <v>-262000</v>
      </c>
      <c r="H145" s="18">
        <f>D88+N88</f>
        <v>0</v>
      </c>
      <c r="I145" s="18">
        <f>('REPORTE RECAUDO x BANCO'!E69)</f>
        <v>0</v>
      </c>
      <c r="J145" s="18">
        <f t="shared" si="53"/>
        <v>208970</v>
      </c>
      <c r="K145" s="83">
        <f t="shared" si="53"/>
        <v>4840819.8599999994</v>
      </c>
      <c r="L145" s="589">
        <f>D145-E145-F145-G145-J145-H145-I145</f>
        <v>0</v>
      </c>
      <c r="M145" s="1" t="b">
        <f t="shared" si="54"/>
        <v>1</v>
      </c>
      <c r="O145" s="96"/>
      <c r="P145" s="24"/>
      <c r="Q145" s="35"/>
      <c r="R145" s="24"/>
    </row>
    <row r="146" spans="1:20" ht="12" thickBot="1" x14ac:dyDescent="0.3">
      <c r="B146" s="133">
        <v>5</v>
      </c>
      <c r="C146" s="138" t="s">
        <v>14</v>
      </c>
      <c r="D146" s="134">
        <f>D108+N108+D129+E129</f>
        <v>0</v>
      </c>
      <c r="E146" s="18">
        <f>'Recaudo EAAB Reciprocidad'!D25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v>0</v>
      </c>
      <c r="J146" s="134">
        <f t="shared" si="53"/>
        <v>0</v>
      </c>
      <c r="K146" s="136">
        <f t="shared" si="53"/>
        <v>0</v>
      </c>
      <c r="L146" s="589">
        <f>D146-E146-F146-G146-J146-H146-I146</f>
        <v>0</v>
      </c>
      <c r="M146" s="1" t="b">
        <f t="shared" si="54"/>
        <v>1</v>
      </c>
      <c r="O146" s="55"/>
      <c r="P146" s="24"/>
      <c r="Q146" s="35"/>
      <c r="R146" s="24"/>
    </row>
    <row r="147" spans="1:20" ht="12" thickBot="1" x14ac:dyDescent="0.3">
      <c r="B147" s="21"/>
      <c r="C147" s="22" t="s">
        <v>2</v>
      </c>
      <c r="D147" s="47">
        <f>SUM(D142:D146)</f>
        <v>39821049.890000001</v>
      </c>
      <c r="E147" s="47">
        <f>SUM(E142:E146)</f>
        <v>19010440</v>
      </c>
      <c r="F147" s="47">
        <f t="shared" ref="F147:K147" si="55">SUM(F142:F146)</f>
        <v>20863639.890000001</v>
      </c>
      <c r="G147" s="47">
        <f t="shared" si="55"/>
        <v>-262000</v>
      </c>
      <c r="H147" s="47">
        <f t="shared" si="55"/>
        <v>0</v>
      </c>
      <c r="I147" s="47">
        <f t="shared" si="55"/>
        <v>0</v>
      </c>
      <c r="J147" s="47">
        <f t="shared" si="55"/>
        <v>208970</v>
      </c>
      <c r="K147" s="47">
        <f t="shared" si="55"/>
        <v>20863639.890000001</v>
      </c>
      <c r="L147" s="589">
        <f>SUM(L142:L146)</f>
        <v>0</v>
      </c>
      <c r="M147" s="1" t="b">
        <f t="shared" si="54"/>
        <v>1</v>
      </c>
      <c r="P147" s="24"/>
      <c r="Q147" s="35"/>
      <c r="R147" s="24"/>
    </row>
    <row r="148" spans="1:20" x14ac:dyDescent="0.25">
      <c r="B148" s="2"/>
      <c r="H148" s="55"/>
      <c r="L148" s="540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5">
      <c r="N152" s="24"/>
      <c r="O152" s="24"/>
      <c r="Q152" s="24"/>
      <c r="T152" s="24"/>
    </row>
    <row r="153" spans="1:20" x14ac:dyDescent="0.25">
      <c r="N153" s="24"/>
      <c r="O153" s="24"/>
      <c r="Q153" s="24"/>
      <c r="T153" s="24"/>
    </row>
    <row r="154" spans="1:20" x14ac:dyDescent="0.25">
      <c r="N154" s="24"/>
      <c r="O154" s="24"/>
      <c r="Q154" s="24"/>
      <c r="T154" s="24"/>
    </row>
    <row r="155" spans="1:20" x14ac:dyDescent="0.25">
      <c r="N155" s="24"/>
      <c r="O155" s="24"/>
      <c r="Q155" s="24"/>
      <c r="T155" s="24"/>
    </row>
    <row r="156" spans="1:20" x14ac:dyDescent="0.25">
      <c r="N156" s="24"/>
      <c r="O156" s="24"/>
      <c r="Q156" s="24"/>
      <c r="T156" s="24"/>
    </row>
    <row r="157" spans="1:20" x14ac:dyDescent="0.25">
      <c r="N157" s="24"/>
      <c r="O157" s="24"/>
      <c r="Q157" s="24"/>
      <c r="T157" s="24"/>
    </row>
    <row r="158" spans="1:20" x14ac:dyDescent="0.25">
      <c r="N158" s="24"/>
      <c r="O158" s="24"/>
      <c r="Q158" s="24"/>
      <c r="T158" s="24"/>
    </row>
    <row r="159" spans="1:20" x14ac:dyDescent="0.25">
      <c r="N159" s="24"/>
      <c r="O159" s="24"/>
      <c r="Q159" s="24"/>
      <c r="T159" s="24"/>
    </row>
    <row r="160" spans="1:20" x14ac:dyDescent="0.25">
      <c r="N160" s="24"/>
      <c r="O160" s="24"/>
      <c r="Q160" s="24"/>
      <c r="T160" s="24"/>
    </row>
    <row r="161" spans="14:20" x14ac:dyDescent="0.25">
      <c r="N161" s="24"/>
      <c r="O161" s="24"/>
      <c r="Q161" s="24"/>
      <c r="T161" s="24"/>
    </row>
    <row r="162" spans="14:20" x14ac:dyDescent="0.25">
      <c r="N162" s="24"/>
      <c r="O162" s="24"/>
      <c r="Q162" s="24"/>
      <c r="T162" s="24"/>
    </row>
    <row r="163" spans="14:20" x14ac:dyDescent="0.25">
      <c r="N163" s="24"/>
      <c r="O163" s="24"/>
      <c r="Q163" s="24"/>
      <c r="T163" s="24"/>
    </row>
    <row r="164" spans="14:20" x14ac:dyDescent="0.25">
      <c r="N164" s="24"/>
      <c r="O164" s="24"/>
      <c r="Q164" s="24"/>
      <c r="T164" s="24"/>
    </row>
    <row r="165" spans="14:20" x14ac:dyDescent="0.25">
      <c r="Q165" s="24"/>
      <c r="T165" s="24"/>
    </row>
    <row r="166" spans="14:20" x14ac:dyDescent="0.25">
      <c r="Q166" s="24"/>
    </row>
  </sheetData>
  <conditionalFormatting sqref="L142:L147">
    <cfRule type="expression" dxfId="62" priority="24">
      <formula>$L$142&lt;&gt;0</formula>
    </cfRule>
  </conditionalFormatting>
  <conditionalFormatting sqref="M142:M147">
    <cfRule type="cellIs" dxfId="61" priority="5" operator="notEqual">
      <formula>TRUE</formula>
    </cfRule>
  </conditionalFormatting>
  <conditionalFormatting sqref="AH9:AH14">
    <cfRule type="cellIs" dxfId="60" priority="11" operator="notEqual">
      <formula>TRUE</formula>
    </cfRule>
  </conditionalFormatting>
  <conditionalFormatting sqref="AH28:AH33">
    <cfRule type="cellIs" dxfId="59" priority="10" operator="notEqual">
      <formula>TRUE</formula>
    </cfRule>
  </conditionalFormatting>
  <conditionalFormatting sqref="AH47:AH52">
    <cfRule type="cellIs" dxfId="58" priority="4" operator="notEqual">
      <formula>TRUE</formula>
    </cfRule>
  </conditionalFormatting>
  <conditionalFormatting sqref="AH66:AH71">
    <cfRule type="cellIs" dxfId="57" priority="3" operator="notEqual">
      <formula>TRUE</formula>
    </cfRule>
  </conditionalFormatting>
  <conditionalFormatting sqref="AH85:AH90">
    <cfRule type="cellIs" dxfId="56" priority="2" operator="notEqual">
      <formula>TRUE</formula>
    </cfRule>
  </conditionalFormatting>
  <conditionalFormatting sqref="AH104:AH109">
    <cfRule type="cellIs" dxfId="55" priority="1" operator="notEqual">
      <formula>TRUE</formula>
    </cfRule>
  </conditionalFormatting>
  <printOptions horizontalCentered="1" verticalCentered="1"/>
  <pageMargins left="0.55118110236220474" right="0.55118110236220474" top="0.59055118110236227" bottom="0.59055118110236227" header="0" footer="0"/>
  <pageSetup scale="21" orientation="landscape" r:id="rId1"/>
  <headerFooter alignWithMargins="0"/>
  <ignoredErrors>
    <ignoredError sqref="K104:K109 M104:M109" formula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B1:P16"/>
  <sheetViews>
    <sheetView zoomScale="90" zoomScaleNormal="90" workbookViewId="0">
      <selection activeCell="C15" sqref="C15"/>
    </sheetView>
  </sheetViews>
  <sheetFormatPr baseColWidth="10" defaultRowHeight="12.5" x14ac:dyDescent="0.25"/>
  <cols>
    <col min="1" max="1" width="3" customWidth="1"/>
    <col min="2" max="2" width="4.26953125" bestFit="1" customWidth="1"/>
    <col min="3" max="3" width="16.7265625" customWidth="1"/>
    <col min="4" max="4" width="14.26953125" customWidth="1"/>
    <col min="5" max="7" width="17.7265625" customWidth="1"/>
    <col min="8" max="8" width="18.26953125" customWidth="1"/>
    <col min="9" max="9" width="15.7265625" customWidth="1"/>
    <col min="10" max="10" width="16.453125" customWidth="1"/>
    <col min="11" max="11" width="15.7265625" customWidth="1"/>
    <col min="12" max="13" width="18.26953125" customWidth="1"/>
    <col min="14" max="14" width="15.7265625" customWidth="1"/>
    <col min="15" max="15" width="14.26953125" customWidth="1"/>
    <col min="16" max="16" width="14.453125" customWidth="1"/>
  </cols>
  <sheetData>
    <row r="1" spans="2:16" ht="13" thickBot="1" x14ac:dyDescent="0.3"/>
    <row r="2" spans="2:16" ht="35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7" customFormat="1" x14ac:dyDescent="0.25">
      <c r="B3" s="305">
        <v>1</v>
      </c>
      <c r="C3" s="294">
        <f>'Recaudo EAAB Reciprocidad'!D21</f>
        <v>0</v>
      </c>
      <c r="D3" s="294">
        <f>'REMUNERACION Reciprocidad EAAB'!G125</f>
        <v>0</v>
      </c>
      <c r="E3" s="294">
        <f>'REMUNERACION Reciprocidad EAAB'!D28+'REMUNERACION Reciprocidad EAAB'!N28</f>
        <v>0</v>
      </c>
      <c r="F3" s="294">
        <f>'REMUNERACION Reciprocidad EAAB'!I142</f>
        <v>0</v>
      </c>
      <c r="G3" s="294">
        <f>'REMUNERACION Reciprocidad EAAB'!H142</f>
        <v>0</v>
      </c>
      <c r="H3" s="342">
        <f>SUM(C3:G3)</f>
        <v>0</v>
      </c>
      <c r="I3" s="293">
        <f>'REMUNERACION Reciprocidad EAAB'!D104</f>
        <v>0</v>
      </c>
      <c r="J3" s="294">
        <f>'REMUNERACION Reciprocidad EAAB'!N104</f>
        <v>0</v>
      </c>
      <c r="K3" s="294">
        <f>'REMUNERACION Reciprocidad EAAB'!D125</f>
        <v>0</v>
      </c>
      <c r="L3" s="355">
        <f>'REMUNERACION Reciprocidad EAAB'!E125</f>
        <v>0</v>
      </c>
      <c r="M3" s="294">
        <f>-'REMUNERACION Reciprocidad EAAB'!D66-'REMUNERACION Reciprocidad EAAB'!N66</f>
        <v>0</v>
      </c>
      <c r="N3" s="290">
        <f>SUM(I3:M3)</f>
        <v>0</v>
      </c>
      <c r="O3" s="356">
        <f t="shared" ref="O3:O8" si="0">H3-N3</f>
        <v>0</v>
      </c>
      <c r="P3" s="1" t="b">
        <f>INT(O3)=0</f>
        <v>1</v>
      </c>
    </row>
    <row r="4" spans="2:16" s="357" customFormat="1" x14ac:dyDescent="0.25">
      <c r="B4" s="316">
        <v>2</v>
      </c>
      <c r="C4" s="319">
        <f>'Recaudo EAAB Reciprocidad'!D22</f>
        <v>11627730</v>
      </c>
      <c r="D4" s="294">
        <f>'REMUNERACION Reciprocidad EAAB'!G126</f>
        <v>0</v>
      </c>
      <c r="E4" s="294">
        <f>'REMUNERACION Reciprocidad EAAB'!D29+'REMUNERACION Reciprocidad EAAB'!N29</f>
        <v>16022820.030000001</v>
      </c>
      <c r="F4" s="294">
        <f>'REMUNERACION Reciprocidad EAAB'!I143</f>
        <v>0</v>
      </c>
      <c r="G4" s="294">
        <f>'REMUNERACION Reciprocidad EAAB'!H143</f>
        <v>0</v>
      </c>
      <c r="H4" s="342">
        <f t="shared" ref="H4:H8" si="1">SUM(C4:G4)</f>
        <v>27650550.030000001</v>
      </c>
      <c r="I4" s="293">
        <f>'REMUNERACION Reciprocidad EAAB'!D105</f>
        <v>19468720.030000001</v>
      </c>
      <c r="J4" s="294">
        <f>'REMUNERACION Reciprocidad EAAB'!N105</f>
        <v>0</v>
      </c>
      <c r="K4" s="294">
        <f>'REMUNERACION Reciprocidad EAAB'!D126</f>
        <v>8181830</v>
      </c>
      <c r="L4" s="355">
        <f>'REMUNERACION Reciprocidad EAAB'!E126</f>
        <v>0</v>
      </c>
      <c r="M4" s="294">
        <f>-'REMUNERACION Reciprocidad EAAB'!D67-'REMUNERACION Reciprocidad EAAB'!N67</f>
        <v>0</v>
      </c>
      <c r="N4" s="320">
        <f>SUM(I4:M4)</f>
        <v>27650550.030000001</v>
      </c>
      <c r="O4" s="356">
        <f t="shared" si="0"/>
        <v>0</v>
      </c>
      <c r="P4" s="1" t="b">
        <f t="shared" ref="P4:P9" si="2">INT(O4)=0</f>
        <v>1</v>
      </c>
    </row>
    <row r="5" spans="2:16" s="357" customFormat="1" x14ac:dyDescent="0.25">
      <c r="B5" s="316">
        <v>3</v>
      </c>
      <c r="C5" s="319">
        <f>'Recaudo EAAB Reciprocidad'!D23</f>
        <v>0</v>
      </c>
      <c r="D5" s="294">
        <f>'REMUNERACION Reciprocidad EAAB'!G127</f>
        <v>0</v>
      </c>
      <c r="E5" s="294">
        <f>'REMUNERACION Reciprocidad EAAB'!D30+'REMUNERACION Reciprocidad EAAB'!N30</f>
        <v>0</v>
      </c>
      <c r="F5" s="294">
        <f>'REMUNERACION Reciprocidad EAAB'!I144</f>
        <v>0</v>
      </c>
      <c r="G5" s="294">
        <f>'REMUNERACION Reciprocidad EAAB'!H144</f>
        <v>0</v>
      </c>
      <c r="H5" s="342">
        <f t="shared" si="1"/>
        <v>0</v>
      </c>
      <c r="I5" s="293">
        <f>'REMUNERACION Reciprocidad EAAB'!D106</f>
        <v>0</v>
      </c>
      <c r="J5" s="294">
        <f>'REMUNERACION Reciprocidad EAAB'!N106</f>
        <v>0</v>
      </c>
      <c r="K5" s="294">
        <f>'REMUNERACION Reciprocidad EAAB'!D127</f>
        <v>0</v>
      </c>
      <c r="L5" s="355">
        <f>'REMUNERACION Reciprocidad EAAB'!E127</f>
        <v>0</v>
      </c>
      <c r="M5" s="294">
        <f>-'REMUNERACION Reciprocidad EAAB'!D68-'REMUNERACION Reciprocidad EAAB'!N68</f>
        <v>0</v>
      </c>
      <c r="N5" s="320">
        <f>SUM(I5:M5)</f>
        <v>0</v>
      </c>
      <c r="O5" s="356">
        <f>H5-N5</f>
        <v>0</v>
      </c>
      <c r="P5" s="1" t="b">
        <f t="shared" si="2"/>
        <v>1</v>
      </c>
    </row>
    <row r="6" spans="2:16" s="357" customFormat="1" x14ac:dyDescent="0.25">
      <c r="B6" s="316">
        <v>4</v>
      </c>
      <c r="C6" s="319">
        <f>'Recaudo EAAB Reciprocidad'!D24</f>
        <v>7382710</v>
      </c>
      <c r="D6" s="294">
        <f>'REMUNERACION Reciprocidad EAAB'!G128</f>
        <v>208970</v>
      </c>
      <c r="E6" s="294">
        <f>'REMUNERACION Reciprocidad EAAB'!D31+'REMUNERACION Reciprocidad EAAB'!N31</f>
        <v>4840819.8599999994</v>
      </c>
      <c r="F6" s="294">
        <f>'REMUNERACION Reciprocidad EAAB'!I145</f>
        <v>0</v>
      </c>
      <c r="G6" s="294">
        <f>'REMUNERACION Reciprocidad EAAB'!H145</f>
        <v>0</v>
      </c>
      <c r="H6" s="342">
        <f t="shared" si="1"/>
        <v>12432499.859999999</v>
      </c>
      <c r="I6" s="293">
        <f>'REMUNERACION Reciprocidad EAAB'!D107</f>
        <v>6945099.8599999994</v>
      </c>
      <c r="J6" s="294">
        <f>'REMUNERACION Reciprocidad EAAB'!N107</f>
        <v>0</v>
      </c>
      <c r="K6" s="294">
        <f>'REMUNERACION Reciprocidad EAAB'!D128</f>
        <v>5225400</v>
      </c>
      <c r="L6" s="355">
        <f>'REMUNERACION Reciprocidad EAAB'!E128</f>
        <v>0</v>
      </c>
      <c r="M6" s="294">
        <f>-'REMUNERACION Reciprocidad EAAB'!D69-'REMUNERACION Reciprocidad EAAB'!N69</f>
        <v>262000</v>
      </c>
      <c r="N6" s="320">
        <f t="shared" ref="N6:N7" si="3">SUM(I6:M6)</f>
        <v>12432499.859999999</v>
      </c>
      <c r="O6" s="356">
        <f t="shared" si="0"/>
        <v>0</v>
      </c>
      <c r="P6" s="1" t="b">
        <f t="shared" si="2"/>
        <v>1</v>
      </c>
    </row>
    <row r="7" spans="2:16" s="357" customFormat="1" x14ac:dyDescent="0.25">
      <c r="B7" s="316">
        <v>5</v>
      </c>
      <c r="C7" s="319">
        <f>'Recaudo EAAB Reciprocidad'!D25</f>
        <v>0</v>
      </c>
      <c r="D7" s="294">
        <f>'REMUNERACION Reciprocidad EAAB'!G129</f>
        <v>0</v>
      </c>
      <c r="E7" s="294">
        <f>'REMUNERACION Reciprocidad EAAB'!D32+'REMUNERACION Reciprocidad EAAB'!N32</f>
        <v>0</v>
      </c>
      <c r="F7" s="294">
        <f>'REMUNERACION Reciprocidad EAAB'!I146</f>
        <v>0</v>
      </c>
      <c r="G7" s="294">
        <f>'REMUNERACION Reciprocidad EAAB'!H146</f>
        <v>0</v>
      </c>
      <c r="H7" s="342">
        <f t="shared" si="1"/>
        <v>0</v>
      </c>
      <c r="I7" s="293">
        <f>'REMUNERACION Reciprocidad EAAB'!D108</f>
        <v>0</v>
      </c>
      <c r="J7" s="294">
        <f>'REMUNERACION Reciprocidad EAAB'!N108</f>
        <v>0</v>
      </c>
      <c r="K7" s="294">
        <f>'REMUNERACION Reciprocidad EAAB'!D129</f>
        <v>0</v>
      </c>
      <c r="L7" s="355">
        <f>'REMUNERACION Reciprocidad EAAB'!E129</f>
        <v>0</v>
      </c>
      <c r="M7" s="294">
        <f>-'REMUNERACION Reciprocidad EAAB'!D70-'REMUNERACION Reciprocidad EAAB'!N70</f>
        <v>0</v>
      </c>
      <c r="N7" s="320">
        <f t="shared" si="3"/>
        <v>0</v>
      </c>
      <c r="O7" s="356">
        <f>H7-N7</f>
        <v>0</v>
      </c>
      <c r="P7" s="1" t="b">
        <f t="shared" si="2"/>
        <v>1</v>
      </c>
    </row>
    <row r="8" spans="2:16" s="357" customFormat="1" ht="13" thickBot="1" x14ac:dyDescent="0.3">
      <c r="B8" s="343" t="s">
        <v>89</v>
      </c>
      <c r="C8" s="319">
        <f>'Recaudo EAAB Reciprocidad'!D26</f>
        <v>0</v>
      </c>
      <c r="D8" s="358">
        <v>0</v>
      </c>
      <c r="E8" s="358">
        <v>0</v>
      </c>
      <c r="F8" s="358">
        <v>0</v>
      </c>
      <c r="G8" s="358">
        <v>0</v>
      </c>
      <c r="H8" s="342">
        <f t="shared" si="1"/>
        <v>0</v>
      </c>
      <c r="I8" s="359">
        <v>0</v>
      </c>
      <c r="J8" s="345">
        <v>0</v>
      </c>
      <c r="K8" s="345">
        <v>0</v>
      </c>
      <c r="L8" s="355">
        <f>'REMUNERACION Reciprocidad EAAB'!E130</f>
        <v>0</v>
      </c>
      <c r="M8" s="358">
        <v>0</v>
      </c>
      <c r="N8" s="360">
        <f>SUM(I8:L8)-M8</f>
        <v>0</v>
      </c>
      <c r="O8" s="356">
        <f t="shared" si="0"/>
        <v>0</v>
      </c>
      <c r="P8" s="1" t="b">
        <f t="shared" si="2"/>
        <v>1</v>
      </c>
    </row>
    <row r="9" spans="2:16" s="357" customFormat="1" ht="13" thickBot="1" x14ac:dyDescent="0.3">
      <c r="B9" s="329"/>
      <c r="C9" s="292">
        <f>SUM(C3:C8)</f>
        <v>19010440</v>
      </c>
      <c r="D9" s="292">
        <f t="shared" ref="D9:M9" si="4">SUM(D3:D8)</f>
        <v>208970</v>
      </c>
      <c r="E9" s="292">
        <f>SUM(E3:E8)</f>
        <v>20863639.890000001</v>
      </c>
      <c r="F9" s="292">
        <f t="shared" si="4"/>
        <v>0</v>
      </c>
      <c r="G9" s="292">
        <f t="shared" si="4"/>
        <v>0</v>
      </c>
      <c r="H9" s="292">
        <f t="shared" si="4"/>
        <v>40083049.890000001</v>
      </c>
      <c r="I9" s="292">
        <f t="shared" si="4"/>
        <v>26413819.890000001</v>
      </c>
      <c r="J9" s="292">
        <f t="shared" si="4"/>
        <v>0</v>
      </c>
      <c r="K9" s="292">
        <f t="shared" si="4"/>
        <v>13407230</v>
      </c>
      <c r="L9" s="292">
        <f t="shared" si="4"/>
        <v>0</v>
      </c>
      <c r="M9" s="292">
        <f t="shared" si="4"/>
        <v>262000</v>
      </c>
      <c r="N9" s="292">
        <f>SUM(N3:N8)</f>
        <v>40083049.890000001</v>
      </c>
      <c r="O9" s="361">
        <f>SUM(O3:O8)</f>
        <v>0</v>
      </c>
      <c r="P9" s="1" t="b">
        <f t="shared" si="2"/>
        <v>1</v>
      </c>
    </row>
    <row r="11" spans="2:16" ht="13" x14ac:dyDescent="0.3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Recaudo'!D9</f>
        <v>19010440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54" priority="4" operator="notEqual">
      <formula>TRUE</formula>
    </cfRule>
  </conditionalFormatting>
  <conditionalFormatting sqref="P3:P9">
    <cfRule type="cellIs" dxfId="53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  <pageSetUpPr fitToPage="1"/>
  </sheetPr>
  <dimension ref="A1:AI52"/>
  <sheetViews>
    <sheetView topLeftCell="A3" zoomScaleNormal="100" workbookViewId="0"/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7265625" style="1" customWidth="1"/>
    <col min="4" max="4" width="15.26953125" style="1" customWidth="1"/>
    <col min="5" max="5" width="16" style="1" customWidth="1"/>
    <col min="6" max="7" width="14.7265625" style="1" customWidth="1"/>
    <col min="8" max="8" width="16.26953125" style="1" customWidth="1"/>
    <col min="9" max="9" width="20.26953125" style="1" bestFit="1" customWidth="1"/>
    <col min="10" max="10" width="15.54296875" style="1" customWidth="1"/>
    <col min="11" max="11" width="17.54296875" style="1" customWidth="1"/>
    <col min="12" max="12" width="16.54296875" style="1" customWidth="1"/>
    <col min="13" max="13" width="19.7265625" style="1" customWidth="1"/>
    <col min="14" max="14" width="15.26953125" style="1" customWidth="1"/>
    <col min="15" max="15" width="16.7265625" style="1" customWidth="1"/>
    <col min="16" max="16" width="3.7265625" style="1" customWidth="1"/>
    <col min="17" max="17" width="2.7265625" style="1" customWidth="1"/>
    <col min="18" max="18" width="4.54296875" style="1" customWidth="1"/>
    <col min="19" max="19" width="11.26953125" style="1" customWidth="1"/>
    <col min="20" max="20" width="39.453125" style="1" customWidth="1"/>
    <col min="21" max="21" width="19.26953125" style="1" customWidth="1"/>
    <col min="22" max="22" width="17.7265625" style="1" customWidth="1"/>
    <col min="23" max="23" width="16.453125" style="1" customWidth="1"/>
    <col min="24" max="24" width="17.26953125" style="1" customWidth="1"/>
    <col min="25" max="25" width="15.7265625" style="1" customWidth="1"/>
    <col min="26" max="26" width="16" style="1" customWidth="1"/>
    <col min="27" max="27" width="15" style="1" customWidth="1"/>
    <col min="28" max="29" width="16.7265625" style="1" customWidth="1"/>
    <col min="30" max="31" width="15.453125" style="1" customWidth="1"/>
    <col min="32" max="32" width="16.26953125" style="1" customWidth="1"/>
    <col min="33" max="33" width="9.7265625" style="1" customWidth="1"/>
    <col min="34" max="34" width="13.7265625" style="1" customWidth="1"/>
    <col min="35" max="35" width="3.453125" style="1" customWidth="1"/>
    <col min="36" max="16384" width="11.453125" style="1"/>
  </cols>
  <sheetData>
    <row r="1" spans="2:35" ht="12" thickBot="1" x14ac:dyDescent="0.3">
      <c r="Q1" s="4"/>
      <c r="AI1" s="4"/>
    </row>
    <row r="2" spans="2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 Reciprocidad EAAB'!N98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5" x14ac:dyDescent="0.35">
      <c r="B6" s="8"/>
      <c r="C6" s="590" t="s">
        <v>17</v>
      </c>
      <c r="D6" s="9">
        <f>'REMUNERACION Reciprocidad EAAB'!D101</f>
        <v>46282</v>
      </c>
      <c r="F6" s="58" t="str">
        <f>'REMUNERACION Reciprocidad EAAB'!F101</f>
        <v>REPORTE CONSOLIDADO TOTAL DE RECAUDO // RECIPROCIDAD - EAAB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 Reciprocidad EAAB'!U101</f>
        <v>REPORTE DETALLADO SUBBOLSA RBL DISCRIMINADO POR ACTIVIDADES // RECIPROCIDAD - EAAB</v>
      </c>
      <c r="V6" s="59"/>
      <c r="W6" s="60"/>
      <c r="X6" s="59"/>
      <c r="Y6" s="2"/>
      <c r="AF6" s="48"/>
      <c r="AG6" s="2"/>
      <c r="AI6" s="4"/>
    </row>
    <row r="7" spans="2:35" ht="12" thickBot="1" x14ac:dyDescent="0.3">
      <c r="B7" s="8"/>
      <c r="C7" s="590" t="s">
        <v>0</v>
      </c>
      <c r="D7" s="241">
        <f>'REMUNERACION Reciprocidad EAAB'!D102</f>
        <v>0.58333333333333337</v>
      </c>
      <c r="F7" s="2" t="s">
        <v>27</v>
      </c>
      <c r="G7" s="9">
        <f>'REMUNERACION Reciprocidad EAAB'!G102</f>
        <v>46266</v>
      </c>
      <c r="J7" s="2" t="s">
        <v>28</v>
      </c>
      <c r="K7" s="9">
        <f>'REMUNERACION Reciprocidad EAAB'!K102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69.5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5">
      <c r="B9" s="14">
        <v>1</v>
      </c>
      <c r="C9" s="61" t="s">
        <v>10</v>
      </c>
      <c r="D9" s="66">
        <f>'REMUNERACION Reciprocidad EAAB'!D104</f>
        <v>0</v>
      </c>
      <c r="E9" s="66">
        <f>'REMUNERACION Reciprocidad EAAB'!E104</f>
        <v>0</v>
      </c>
      <c r="F9" s="66">
        <f>'REMUNERACION Reciprocidad EAAB'!F104</f>
        <v>0</v>
      </c>
      <c r="G9" s="66">
        <f>'REMUNERACION Reciprocidad EAAB'!G104</f>
        <v>0</v>
      </c>
      <c r="H9" s="66">
        <f>'REMUNERACION Reciprocidad EAAB'!H104</f>
        <v>0</v>
      </c>
      <c r="I9" s="66">
        <f>'REMUNERACION Reciprocidad EAAB'!I104</f>
        <v>0</v>
      </c>
      <c r="J9" s="66">
        <f>'REMUNERACION Reciprocidad EAAB'!J104</f>
        <v>0</v>
      </c>
      <c r="K9" s="30">
        <f>D9-E9-F9-G9-H9-I9-J9</f>
        <v>0</v>
      </c>
      <c r="L9" s="66">
        <f>'REMUNERACION Reciprocidad EAAB'!L104</f>
        <v>0</v>
      </c>
      <c r="M9" s="30">
        <f>K9-L9</f>
        <v>0</v>
      </c>
      <c r="N9" s="66">
        <f>'REMUNERACION Reciprocidad EAAB'!N104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 Reciprocidad EAAB'!U104</f>
        <v>0</v>
      </c>
      <c r="V9" s="66">
        <f>'REMUNERACION Reciprocidad EAAB'!V104</f>
        <v>0</v>
      </c>
      <c r="W9" s="66">
        <f>'REMUNERACION Reciprocidad EAAB'!W104</f>
        <v>0</v>
      </c>
      <c r="X9" s="66">
        <f>'REMUNERACION Reciprocidad EAAB'!X104</f>
        <v>0</v>
      </c>
      <c r="Y9" s="66">
        <f>'REMUNERACION Reciprocidad EAAB'!Y104</f>
        <v>0</v>
      </c>
      <c r="Z9" s="66">
        <f>'REMUNERACION Reciprocidad EAAB'!Z104</f>
        <v>0</v>
      </c>
      <c r="AA9" s="66">
        <f>'REMUNERACION Reciprocidad EAAB'!AA104</f>
        <v>0</v>
      </c>
      <c r="AB9" s="66">
        <f>'REMUNERACION Reciprocidad EAAB'!AB104</f>
        <v>0</v>
      </c>
      <c r="AC9" s="66">
        <f>'REMUNERACION Reciprocidad EAAB'!AC104</f>
        <v>0</v>
      </c>
      <c r="AD9" s="66">
        <f>'REMUNERACION Reciprocidad EAAB'!AD104</f>
        <v>0</v>
      </c>
      <c r="AE9" s="66">
        <f>'REMUNERACION Reciprocidad EAAB'!AE104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x14ac:dyDescent="0.25">
      <c r="B10" s="16">
        <v>2</v>
      </c>
      <c r="C10" s="62" t="s">
        <v>11</v>
      </c>
      <c r="D10" s="66">
        <f>'REMUNERACION Reciprocidad EAAB'!D105</f>
        <v>19468720.030000001</v>
      </c>
      <c r="E10" s="66">
        <f>'REMUNERACION Reciprocidad EAAB'!E105</f>
        <v>1631027.85</v>
      </c>
      <c r="F10" s="66">
        <f>'REMUNERACION Reciprocidad EAAB'!F105</f>
        <v>968903.84000000008</v>
      </c>
      <c r="G10" s="66">
        <f>'REMUNERACION Reciprocidad EAAB'!G105</f>
        <v>317349.34999999998</v>
      </c>
      <c r="H10" s="66">
        <f>'REMUNERACION Reciprocidad EAAB'!H105</f>
        <v>8106641</v>
      </c>
      <c r="I10" s="66">
        <f>'REMUNERACION Reciprocidad EAAB'!I105</f>
        <v>244114.84</v>
      </c>
      <c r="J10" s="66">
        <f>'REMUNERACION Reciprocidad EAAB'!J105</f>
        <v>0</v>
      </c>
      <c r="K10" s="31">
        <f t="shared" ref="K10:K13" si="0">D10-E10-F10-G10-H10-I10-J10</f>
        <v>8200683.1500000004</v>
      </c>
      <c r="L10" s="66">
        <f>'REMUNERACION Reciprocidad EAAB'!L105</f>
        <v>0</v>
      </c>
      <c r="M10" s="31">
        <f>K10-L10</f>
        <v>8200683.1500000004</v>
      </c>
      <c r="N10" s="66">
        <f>'REMUNERACION Reciprocidad EAAB'!N105</f>
        <v>0</v>
      </c>
      <c r="O10" s="31">
        <f t="shared" ref="O10:O13" si="1">M10+N10</f>
        <v>8200683.1500000004</v>
      </c>
      <c r="Q10" s="4"/>
      <c r="S10" s="16">
        <v>2</v>
      </c>
      <c r="T10" s="62" t="s">
        <v>11</v>
      </c>
      <c r="U10" s="66">
        <f>'REMUNERACION Reciprocidad EAAB'!U105</f>
        <v>2387808.7599999998</v>
      </c>
      <c r="V10" s="66">
        <f>'REMUNERACION Reciprocidad EAAB'!V105</f>
        <v>2117904.38</v>
      </c>
      <c r="W10" s="66">
        <f>'REMUNERACION Reciprocidad EAAB'!W105</f>
        <v>8750214.5299999993</v>
      </c>
      <c r="X10" s="66">
        <f>'REMUNERACION Reciprocidad EAAB'!X105</f>
        <v>3252300.2</v>
      </c>
      <c r="Y10" s="66">
        <f>'REMUNERACION Reciprocidad EAAB'!Y105</f>
        <v>283895.7</v>
      </c>
      <c r="Z10" s="66">
        <f>'REMUNERACION Reciprocidad EAAB'!Z105</f>
        <v>0</v>
      </c>
      <c r="AA10" s="66">
        <f>'REMUNERACION Reciprocidad EAAB'!AA105</f>
        <v>185.44</v>
      </c>
      <c r="AB10" s="66">
        <f>'REMUNERACION Reciprocidad EAAB'!AB105</f>
        <v>0</v>
      </c>
      <c r="AC10" s="66">
        <f>'REMUNERACION Reciprocidad EAAB'!AC105</f>
        <v>1.3499999999999999</v>
      </c>
      <c r="AD10" s="66">
        <f>'REMUNERACION Reciprocidad EAAB'!AD105</f>
        <v>-8591627.2100000009</v>
      </c>
      <c r="AE10" s="66">
        <f>'REMUNERACION Reciprocidad EAAB'!AE105</f>
        <v>-8591627.2100000009</v>
      </c>
      <c r="AF10" s="70">
        <f>SUM(U10:AD10)</f>
        <v>8200683.1499999985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5">
      <c r="B11" s="16">
        <v>3</v>
      </c>
      <c r="C11" s="62" t="s">
        <v>12</v>
      </c>
      <c r="D11" s="66">
        <f>'REMUNERACION Reciprocidad EAAB'!D106</f>
        <v>0</v>
      </c>
      <c r="E11" s="66">
        <f>'REMUNERACION Reciprocidad EAAB'!E106</f>
        <v>0</v>
      </c>
      <c r="F11" s="66">
        <f>'REMUNERACION Reciprocidad EAAB'!F106</f>
        <v>0</v>
      </c>
      <c r="G11" s="66">
        <f>'REMUNERACION Reciprocidad EAAB'!G106</f>
        <v>0</v>
      </c>
      <c r="H11" s="66">
        <f>'REMUNERACION Reciprocidad EAAB'!H106</f>
        <v>0</v>
      </c>
      <c r="I11" s="66">
        <f>'REMUNERACION Reciprocidad EAAB'!I106</f>
        <v>0</v>
      </c>
      <c r="J11" s="66">
        <f>'REMUNERACION Reciprocidad EAAB'!J106</f>
        <v>0</v>
      </c>
      <c r="K11" s="31">
        <f t="shared" si="0"/>
        <v>0</v>
      </c>
      <c r="L11" s="66">
        <f>'REMUNERACION Reciprocidad EAAB'!L106</f>
        <v>0</v>
      </c>
      <c r="M11" s="31">
        <f>K11-L11</f>
        <v>0</v>
      </c>
      <c r="N11" s="66">
        <f>'REMUNERACION Reciprocidad EAAB'!N106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 Reciprocidad EAAB'!U106</f>
        <v>0</v>
      </c>
      <c r="V11" s="66">
        <f>'REMUNERACION Reciprocidad EAAB'!V106</f>
        <v>0</v>
      </c>
      <c r="W11" s="66">
        <f>'REMUNERACION Reciprocidad EAAB'!W106</f>
        <v>0</v>
      </c>
      <c r="X11" s="66">
        <f>'REMUNERACION Reciprocidad EAAB'!X106</f>
        <v>0</v>
      </c>
      <c r="Y11" s="66">
        <f>'REMUNERACION Reciprocidad EAAB'!Y106</f>
        <v>0</v>
      </c>
      <c r="Z11" s="66">
        <f>'REMUNERACION Reciprocidad EAAB'!Z106</f>
        <v>0</v>
      </c>
      <c r="AA11" s="66">
        <f>'REMUNERACION Reciprocidad EAAB'!AA106</f>
        <v>0</v>
      </c>
      <c r="AB11" s="66">
        <f>'REMUNERACION Reciprocidad EAAB'!AB106</f>
        <v>0</v>
      </c>
      <c r="AC11" s="66">
        <f>'REMUNERACION Reciprocidad EAAB'!AC106</f>
        <v>0</v>
      </c>
      <c r="AD11" s="66">
        <f>'REMUNERACION Reciprocidad EAAB'!AD106</f>
        <v>0</v>
      </c>
      <c r="AE11" s="66">
        <f>'REMUNERACION Reciprocidad EAAB'!AE106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x14ac:dyDescent="0.25">
      <c r="B12" s="16">
        <v>4</v>
      </c>
      <c r="C12" s="62" t="s">
        <v>13</v>
      </c>
      <c r="D12" s="66">
        <f>'REMUNERACION Reciprocidad EAAB'!D107</f>
        <v>6945099.8599999994</v>
      </c>
      <c r="E12" s="66">
        <f>'REMUNERACION Reciprocidad EAAB'!E107</f>
        <v>390216.71</v>
      </c>
      <c r="F12" s="66">
        <f>'REMUNERACION Reciprocidad EAAB'!F107</f>
        <v>222372.34</v>
      </c>
      <c r="G12" s="66">
        <f>'REMUNERACION Reciprocidad EAAB'!G107</f>
        <v>93645.569999999992</v>
      </c>
      <c r="H12" s="66">
        <f>'REMUNERACION Reciprocidad EAAB'!H107</f>
        <v>1760615.6</v>
      </c>
      <c r="I12" s="66">
        <f>'REMUNERACION Reciprocidad EAAB'!I107</f>
        <v>55085.56</v>
      </c>
      <c r="J12" s="66">
        <f>'REMUNERACION Reciprocidad EAAB'!J107</f>
        <v>0</v>
      </c>
      <c r="K12" s="31">
        <f t="shared" si="0"/>
        <v>4423164.0799999991</v>
      </c>
      <c r="L12" s="66">
        <f>'REMUNERACION Reciprocidad EAAB'!L107</f>
        <v>0</v>
      </c>
      <c r="M12" s="31">
        <f>K12-L12</f>
        <v>4423164.0799999991</v>
      </c>
      <c r="N12" s="66">
        <f>'REMUNERACION Reciprocidad EAAB'!N107</f>
        <v>0</v>
      </c>
      <c r="O12" s="31">
        <f t="shared" si="1"/>
        <v>4423164.0799999991</v>
      </c>
      <c r="Q12" s="4"/>
      <c r="S12" s="16">
        <v>4</v>
      </c>
      <c r="T12" s="62" t="s">
        <v>13</v>
      </c>
      <c r="U12" s="66">
        <f>'REMUNERACION Reciprocidad EAAB'!U107</f>
        <v>515714.53</v>
      </c>
      <c r="V12" s="66">
        <f>'REMUNERACION Reciprocidad EAAB'!V107</f>
        <v>511519.27</v>
      </c>
      <c r="W12" s="66">
        <f>'REMUNERACION Reciprocidad EAAB'!W107</f>
        <v>2497642.7400000002</v>
      </c>
      <c r="X12" s="66">
        <f>'REMUNERACION Reciprocidad EAAB'!X107</f>
        <v>1077053.48</v>
      </c>
      <c r="Y12" s="66">
        <f>'REMUNERACION Reciprocidad EAAB'!Y107</f>
        <v>78689.97</v>
      </c>
      <c r="Z12" s="66">
        <f>'REMUNERACION Reciprocidad EAAB'!Z107</f>
        <v>0</v>
      </c>
      <c r="AA12" s="66">
        <f>'REMUNERACION Reciprocidad EAAB'!AA107</f>
        <v>0.38999999999999946</v>
      </c>
      <c r="AB12" s="66">
        <f>'REMUNERACION Reciprocidad EAAB'!AB107</f>
        <v>0</v>
      </c>
      <c r="AC12" s="66">
        <f>'REMUNERACION Reciprocidad EAAB'!AC107</f>
        <v>0</v>
      </c>
      <c r="AD12" s="66">
        <f>'REMUNERACION Reciprocidad EAAB'!AD107</f>
        <v>-257456.3</v>
      </c>
      <c r="AE12" s="66">
        <f>'REMUNERACION Reciprocidad EAAB'!AE107</f>
        <v>-257456.3</v>
      </c>
      <c r="AF12" s="70">
        <f>SUM(U12:AD12)</f>
        <v>4423164.0799999991</v>
      </c>
      <c r="AG12" s="72">
        <f>AF12-O12</f>
        <v>0</v>
      </c>
      <c r="AH12" s="1" t="b">
        <f t="shared" si="2"/>
        <v>1</v>
      </c>
      <c r="AI12" s="4"/>
    </row>
    <row r="13" spans="2:35" ht="12" thickBot="1" x14ac:dyDescent="0.3">
      <c r="B13" s="19">
        <v>5</v>
      </c>
      <c r="C13" s="63" t="s">
        <v>14</v>
      </c>
      <c r="D13" s="66">
        <f>'REMUNERACION Reciprocidad EAAB'!D108</f>
        <v>0</v>
      </c>
      <c r="E13" s="66">
        <f>'REMUNERACION Reciprocidad EAAB'!E108</f>
        <v>0</v>
      </c>
      <c r="F13" s="66">
        <f>'REMUNERACION Reciprocidad EAAB'!F108</f>
        <v>0</v>
      </c>
      <c r="G13" s="66">
        <f>'REMUNERACION Reciprocidad EAAB'!G108</f>
        <v>0</v>
      </c>
      <c r="H13" s="66">
        <f>'REMUNERACION Reciprocidad EAAB'!H108</f>
        <v>0</v>
      </c>
      <c r="I13" s="66">
        <f>'REMUNERACION Reciprocidad EAAB'!I108</f>
        <v>0</v>
      </c>
      <c r="J13" s="66">
        <f>'REMUNERACION Reciprocidad EAAB'!J108</f>
        <v>0</v>
      </c>
      <c r="K13" s="31">
        <f t="shared" si="0"/>
        <v>0</v>
      </c>
      <c r="L13" s="66">
        <f>'REMUNERACION Reciprocidad EAAB'!L108</f>
        <v>0</v>
      </c>
      <c r="M13" s="40">
        <f>K13-L13</f>
        <v>0</v>
      </c>
      <c r="N13" s="66">
        <f>'REMUNERACION Reciprocidad EAAB'!N108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 Reciprocidad EAAB'!U108</f>
        <v>0</v>
      </c>
      <c r="V13" s="66">
        <f>'REMUNERACION Reciprocidad EAAB'!V108</f>
        <v>0</v>
      </c>
      <c r="W13" s="66">
        <f>'REMUNERACION Reciprocidad EAAB'!W108</f>
        <v>0</v>
      </c>
      <c r="X13" s="66">
        <f>'REMUNERACION Reciprocidad EAAB'!X108</f>
        <v>0</v>
      </c>
      <c r="Y13" s="66">
        <f>'REMUNERACION Reciprocidad EAAB'!Y108</f>
        <v>0</v>
      </c>
      <c r="Z13" s="66">
        <f>'REMUNERACION Reciprocidad EAAB'!Z108</f>
        <v>0</v>
      </c>
      <c r="AA13" s="66">
        <f>'REMUNERACION Reciprocidad EAAB'!AA108</f>
        <v>0</v>
      </c>
      <c r="AB13" s="66">
        <f>'REMUNERACION Reciprocidad EAAB'!AB108</f>
        <v>0</v>
      </c>
      <c r="AC13" s="66">
        <f>'REMUNERACION Reciprocidad EAAB'!AC108</f>
        <v>0</v>
      </c>
      <c r="AD13" s="66">
        <f>'REMUNERACION Reciprocidad EAAB'!AD108</f>
        <v>0</v>
      </c>
      <c r="AE13" s="66">
        <f>'REMUNERACION Reciprocidad EAAB'!AE108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35">
      <c r="B14" s="21"/>
      <c r="C14" s="22" t="s">
        <v>2</v>
      </c>
      <c r="D14" s="43">
        <f t="shared" ref="D14:O14" si="3">SUM(D9:D13)</f>
        <v>26413819.890000001</v>
      </c>
      <c r="E14" s="43">
        <f t="shared" si="3"/>
        <v>2021244.56</v>
      </c>
      <c r="F14" s="43">
        <f t="shared" si="3"/>
        <v>1191276.1800000002</v>
      </c>
      <c r="G14" s="43">
        <f t="shared" si="3"/>
        <v>410994.92</v>
      </c>
      <c r="H14" s="43">
        <f t="shared" si="3"/>
        <v>9867256.5999999996</v>
      </c>
      <c r="I14" s="43">
        <f t="shared" si="3"/>
        <v>299200.40000000002</v>
      </c>
      <c r="J14" s="43">
        <f t="shared" si="3"/>
        <v>0</v>
      </c>
      <c r="K14" s="32">
        <f t="shared" si="3"/>
        <v>12623847.23</v>
      </c>
      <c r="L14" s="23">
        <f t="shared" si="3"/>
        <v>0</v>
      </c>
      <c r="M14" s="76">
        <f t="shared" si="3"/>
        <v>12623847.23</v>
      </c>
      <c r="N14" s="23">
        <f t="shared" si="3"/>
        <v>0</v>
      </c>
      <c r="O14" s="76">
        <f t="shared" si="3"/>
        <v>12623847.23</v>
      </c>
      <c r="P14" s="2"/>
      <c r="Q14" s="4"/>
      <c r="S14" s="21"/>
      <c r="T14" s="22" t="s">
        <v>2</v>
      </c>
      <c r="U14" s="43">
        <f>SUM(U9:U13)</f>
        <v>2903523.29</v>
      </c>
      <c r="V14" s="43">
        <f t="shared" ref="V14:AG14" si="4">SUM(V9:V13)</f>
        <v>2629423.65</v>
      </c>
      <c r="W14" s="43">
        <f t="shared" si="4"/>
        <v>11247857.27</v>
      </c>
      <c r="X14" s="43">
        <f t="shared" si="4"/>
        <v>4329353.68</v>
      </c>
      <c r="Y14" s="43">
        <f t="shared" si="4"/>
        <v>362585.67000000004</v>
      </c>
      <c r="Z14" s="43">
        <f t="shared" si="4"/>
        <v>0</v>
      </c>
      <c r="AA14" s="43">
        <f t="shared" si="4"/>
        <v>185.82999999999998</v>
      </c>
      <c r="AB14" s="43">
        <f t="shared" si="4"/>
        <v>0</v>
      </c>
      <c r="AC14" s="43">
        <f t="shared" si="4"/>
        <v>1.3499999999999999</v>
      </c>
      <c r="AD14" s="43">
        <f t="shared" si="4"/>
        <v>-8849083.5100000016</v>
      </c>
      <c r="AE14" s="43">
        <f>SUM(AE9:AE13)</f>
        <v>-8849083.5100000016</v>
      </c>
      <c r="AF14" s="68">
        <f t="shared" si="4"/>
        <v>12623847.229999997</v>
      </c>
      <c r="AG14" s="43">
        <f t="shared" si="4"/>
        <v>0</v>
      </c>
      <c r="AH14" s="1" t="b">
        <f t="shared" si="2"/>
        <v>1</v>
      </c>
      <c r="AI14" s="4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21472743.560000002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3">
      <c r="Q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4" x14ac:dyDescent="0.3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 Reciprocidad EAAB'!M117</f>
        <v>2026091</v>
      </c>
      <c r="O22" s="10"/>
      <c r="P22" s="2"/>
      <c r="Q22" s="4"/>
    </row>
    <row r="23" spans="1:35" ht="15.5" x14ac:dyDescent="0.3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5">
      <c r="B25" s="8"/>
      <c r="I25" s="2"/>
      <c r="J25" s="2"/>
      <c r="O25" s="10"/>
      <c r="P25" s="2"/>
      <c r="Q25" s="4"/>
    </row>
    <row r="26" spans="1:35" ht="15.5" x14ac:dyDescent="0.3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5">
      <c r="B27" s="8"/>
      <c r="F27" s="2" t="s">
        <v>27</v>
      </c>
      <c r="G27" s="2"/>
      <c r="H27" s="9">
        <f>'REMUNERACION Reciprocidad EAAB'!G122</f>
        <v>46266</v>
      </c>
      <c r="J27" s="2" t="s">
        <v>28</v>
      </c>
      <c r="K27" s="9">
        <f>'REMUNERACION Reciprocidad EAAB'!K122</f>
        <v>46280</v>
      </c>
      <c r="O27" s="10"/>
      <c r="P27" s="2"/>
      <c r="Q27" s="4"/>
    </row>
    <row r="28" spans="1:35" ht="12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6.5" thickBot="1" x14ac:dyDescent="0.3">
      <c r="B29" s="11" t="s">
        <v>3</v>
      </c>
      <c r="C29" s="12" t="s">
        <v>9</v>
      </c>
      <c r="D29" s="12" t="s">
        <v>38</v>
      </c>
      <c r="E29" s="12" t="s">
        <v>48</v>
      </c>
      <c r="G29" s="65" t="s">
        <v>47</v>
      </c>
      <c r="H29" s="372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x14ac:dyDescent="0.25">
      <c r="B30" s="108">
        <v>1</v>
      </c>
      <c r="C30" s="109" t="s">
        <v>10</v>
      </c>
      <c r="D30" s="110">
        <f>'REMUNERACION Reciprocidad EAAB'!D125</f>
        <v>0</v>
      </c>
      <c r="E30" s="111">
        <f>'REMUNERACION Reciprocidad EAAB'!E125</f>
        <v>0</v>
      </c>
      <c r="G30" s="338">
        <f>'REMUNERACION Reciprocidad EAAB'!G125</f>
        <v>0</v>
      </c>
      <c r="H30" s="312">
        <f>'REMUNERACION Reciprocidad EAAB'!H125</f>
        <v>0</v>
      </c>
      <c r="I30" s="311">
        <f>'REMUNERACION Reciprocidad EAAB'!I125</f>
        <v>0</v>
      </c>
      <c r="J30" s="311">
        <f>'REMUNERACION Reciprocidad EAAB'!J125</f>
        <v>0</v>
      </c>
      <c r="K30" s="311">
        <f>'REMUNERACION Reciprocidad EAAB'!K125</f>
        <v>0</v>
      </c>
      <c r="L30" s="311">
        <f>'REMUNERACION Reciprocidad EAAB'!L125</f>
        <v>0</v>
      </c>
      <c r="O30" s="44"/>
      <c r="Q30" s="4"/>
    </row>
    <row r="31" spans="1:35" x14ac:dyDescent="0.25">
      <c r="B31" s="16">
        <v>2</v>
      </c>
      <c r="C31" s="17" t="s">
        <v>11</v>
      </c>
      <c r="D31" s="15">
        <f>'REMUNERACION Reciprocidad EAAB'!D126</f>
        <v>8181830</v>
      </c>
      <c r="E31" s="74">
        <f>'REMUNERACION Reciprocidad EAAB'!E126</f>
        <v>0</v>
      </c>
      <c r="G31" s="341">
        <f>'REMUNERACION Reciprocidad EAAB'!G126</f>
        <v>0</v>
      </c>
      <c r="H31" s="342">
        <f>'REMUNERACION Reciprocidad EAAB'!H126</f>
        <v>16022820.030000001</v>
      </c>
      <c r="I31" s="290">
        <f>'REMUNERACION Reciprocidad EAAB'!I126</f>
        <v>0</v>
      </c>
      <c r="J31" s="290">
        <f>'REMUNERACION Reciprocidad EAAB'!J126</f>
        <v>0</v>
      </c>
      <c r="K31" s="290">
        <f>'REMUNERACION Reciprocidad EAAB'!K126</f>
        <v>0</v>
      </c>
      <c r="L31" s="290">
        <f>'REMUNERACION Reciprocidad EAAB'!L126</f>
        <v>0</v>
      </c>
      <c r="O31" s="44"/>
      <c r="Q31" s="4"/>
    </row>
    <row r="32" spans="1:35" x14ac:dyDescent="0.25">
      <c r="B32" s="16">
        <v>3</v>
      </c>
      <c r="C32" s="17" t="s">
        <v>12</v>
      </c>
      <c r="D32" s="15">
        <f>'REMUNERACION Reciprocidad EAAB'!D127</f>
        <v>0</v>
      </c>
      <c r="E32" s="74">
        <f>'REMUNERACION Reciprocidad EAAB'!E127</f>
        <v>0</v>
      </c>
      <c r="G32" s="341">
        <f>'REMUNERACION Reciprocidad EAAB'!G127</f>
        <v>0</v>
      </c>
      <c r="H32" s="342">
        <f>'REMUNERACION Reciprocidad EAAB'!H127</f>
        <v>0</v>
      </c>
      <c r="I32" s="290">
        <f>'REMUNERACION Reciprocidad EAAB'!I127</f>
        <v>0</v>
      </c>
      <c r="J32" s="290">
        <f>'REMUNERACION Reciprocidad EAAB'!J127</f>
        <v>0</v>
      </c>
      <c r="K32" s="290">
        <f>'REMUNERACION Reciprocidad EAAB'!K127</f>
        <v>0</v>
      </c>
      <c r="L32" s="290">
        <f>'REMUNERACION Reciprocidad EAAB'!L127</f>
        <v>0</v>
      </c>
      <c r="O32" s="44"/>
      <c r="Q32" s="4"/>
    </row>
    <row r="33" spans="1:20" x14ac:dyDescent="0.25">
      <c r="B33" s="16">
        <v>4</v>
      </c>
      <c r="C33" s="17" t="s">
        <v>13</v>
      </c>
      <c r="D33" s="15">
        <f>'REMUNERACION Reciprocidad EAAB'!D128</f>
        <v>5225400</v>
      </c>
      <c r="E33" s="74">
        <f>'REMUNERACION Reciprocidad EAAB'!E128</f>
        <v>0</v>
      </c>
      <c r="G33" s="341">
        <f>'REMUNERACION Reciprocidad EAAB'!G128</f>
        <v>208970</v>
      </c>
      <c r="H33" s="342">
        <f>'REMUNERACION Reciprocidad EAAB'!H128</f>
        <v>4840819.8599999994</v>
      </c>
      <c r="I33" s="290">
        <f>'REMUNERACION Reciprocidad EAAB'!I128</f>
        <v>0</v>
      </c>
      <c r="J33" s="290">
        <f>'REMUNERACION Reciprocidad EAAB'!J128</f>
        <v>-262000</v>
      </c>
      <c r="K33" s="290">
        <f>'REMUNERACION Reciprocidad EAAB'!K128</f>
        <v>53030</v>
      </c>
      <c r="L33" s="290">
        <f>'REMUNERACION Reciprocidad EAAB'!L128</f>
        <v>0</v>
      </c>
      <c r="O33" s="44"/>
      <c r="Q33" s="4"/>
    </row>
    <row r="34" spans="1:20" x14ac:dyDescent="0.25">
      <c r="B34" s="133">
        <v>5</v>
      </c>
      <c r="C34" s="138" t="s">
        <v>14</v>
      </c>
      <c r="D34" s="135">
        <f>'REMUNERACION Reciprocidad EAAB'!D129</f>
        <v>0</v>
      </c>
      <c r="E34" s="139">
        <f>'REMUNERACION Reciprocidad EAAB'!E129</f>
        <v>0</v>
      </c>
      <c r="G34" s="341">
        <f>'REMUNERACION Reciprocidad EAAB'!G129</f>
        <v>0</v>
      </c>
      <c r="H34" s="342">
        <f>'REMUNERACION Reciprocidad EAAB'!H129</f>
        <v>0</v>
      </c>
      <c r="I34" s="290">
        <f>'REMUNERACION Reciprocidad EAAB'!I129</f>
        <v>0</v>
      </c>
      <c r="J34" s="290">
        <f>'REMUNERACION Reciprocidad EAAB'!J129</f>
        <v>0</v>
      </c>
      <c r="K34" s="290">
        <f>'REMUNERACION Reciprocidad EAAB'!K129</f>
        <v>0</v>
      </c>
      <c r="L34" s="290">
        <f>'REMUNERACION Reciprocidad EAAB'!L129</f>
        <v>0</v>
      </c>
      <c r="O34" s="44"/>
      <c r="Q34" s="4"/>
    </row>
    <row r="35" spans="1:20" ht="12" thickBot="1" x14ac:dyDescent="0.3">
      <c r="B35" s="19" t="s">
        <v>89</v>
      </c>
      <c r="C35" s="20" t="s">
        <v>113</v>
      </c>
      <c r="D35" s="78"/>
      <c r="E35" s="79">
        <f>'REMUNERACION Reciprocidad EAAB'!E130</f>
        <v>0</v>
      </c>
      <c r="G35" s="348"/>
      <c r="H35" s="349"/>
      <c r="I35" s="291"/>
      <c r="J35" s="291"/>
      <c r="K35" s="291"/>
      <c r="L35" s="291"/>
      <c r="O35" s="44"/>
      <c r="Q35" s="4"/>
    </row>
    <row r="36" spans="1:20" ht="12" thickBot="1" x14ac:dyDescent="0.3">
      <c r="B36" s="95"/>
      <c r="C36" s="106" t="s">
        <v>2</v>
      </c>
      <c r="D36" s="107">
        <f>SUM(D30:D34)</f>
        <v>13407230</v>
      </c>
      <c r="E36" s="107">
        <f>'REMUNERACION Reciprocidad EAAB'!E131</f>
        <v>0</v>
      </c>
      <c r="F36" s="45"/>
      <c r="G36" s="352">
        <f t="shared" ref="G36:L36" si="5">SUM(G30:G34)</f>
        <v>208970</v>
      </c>
      <c r="H36" s="352">
        <f t="shared" si="5"/>
        <v>20863639.890000001</v>
      </c>
      <c r="I36" s="352">
        <f t="shared" si="5"/>
        <v>0</v>
      </c>
      <c r="J36" s="352">
        <f t="shared" si="5"/>
        <v>-262000</v>
      </c>
      <c r="K36" s="352">
        <f t="shared" si="5"/>
        <v>53030</v>
      </c>
      <c r="L36" s="352">
        <f t="shared" si="5"/>
        <v>0</v>
      </c>
      <c r="M36" s="45"/>
      <c r="N36" s="45"/>
      <c r="O36" s="46"/>
      <c r="P36" s="2"/>
      <c r="Q36" s="4"/>
    </row>
    <row r="37" spans="1:20" x14ac:dyDescent="0.25">
      <c r="B37" s="2"/>
      <c r="C37" s="2"/>
      <c r="D37" s="24"/>
      <c r="Q37" s="4"/>
    </row>
    <row r="38" spans="1:20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5">
      <c r="N42" s="24"/>
      <c r="O42" s="24"/>
      <c r="Q42" s="24"/>
      <c r="T42" s="24"/>
    </row>
    <row r="43" spans="1:20" x14ac:dyDescent="0.25">
      <c r="N43" s="24"/>
      <c r="O43" s="24"/>
      <c r="Q43" s="24"/>
      <c r="T43" s="24"/>
    </row>
    <row r="44" spans="1:20" x14ac:dyDescent="0.25">
      <c r="D44" s="269" t="b">
        <f>D14='REMUNERACION Reciprocidad EAAB'!D109</f>
        <v>1</v>
      </c>
      <c r="E44" s="269" t="b">
        <f>E14='REMUNERACION Reciprocidad EAAB'!E109</f>
        <v>1</v>
      </c>
      <c r="F44" s="269" t="b">
        <f>F14='REMUNERACION Reciprocidad EAAB'!F109</f>
        <v>1</v>
      </c>
      <c r="G44" s="269" t="b">
        <f>G14='REMUNERACION Reciprocidad EAAB'!G109</f>
        <v>1</v>
      </c>
      <c r="H44" s="269" t="b">
        <f>H14='REMUNERACION Reciprocidad EAAB'!H109</f>
        <v>1</v>
      </c>
      <c r="I44" s="269" t="b">
        <f>I14='REMUNERACION Reciprocidad EAAB'!I109</f>
        <v>1</v>
      </c>
      <c r="J44" s="269" t="b">
        <f>J14='REMUNERACION Reciprocidad EAAB'!J109</f>
        <v>1</v>
      </c>
      <c r="K44" s="269" t="b">
        <f>K14='REMUNERACION Reciprocidad EAAB'!K109</f>
        <v>1</v>
      </c>
      <c r="L44" s="269" t="b">
        <f>L14='REMUNERACION Reciprocidad EAAB'!L109</f>
        <v>1</v>
      </c>
      <c r="M44" s="269" t="b">
        <f>M14='REMUNERACION Reciprocidad EAAB'!M109</f>
        <v>1</v>
      </c>
      <c r="N44" s="269" t="b">
        <f>N14='REMUNERACION Reciprocidad EAAB'!N109</f>
        <v>1</v>
      </c>
      <c r="O44" s="269" t="b">
        <f>O14='REMUNERACION Reciprocidad EAAB'!O109</f>
        <v>1</v>
      </c>
      <c r="Q44" s="24"/>
      <c r="T44" s="24"/>
    </row>
    <row r="45" spans="1:20" x14ac:dyDescent="0.25">
      <c r="D45" s="269" t="b">
        <f>D36='REMUNERACION Reciprocidad EAAB'!D131</f>
        <v>1</v>
      </c>
      <c r="E45" s="269" t="b">
        <f>E36='REMUNERACION Reciprocidad EAAB'!E131</f>
        <v>1</v>
      </c>
      <c r="F45" s="269" t="b">
        <f>F36='REMUNERACION Reciprocidad EAAB'!F131</f>
        <v>1</v>
      </c>
      <c r="G45" s="269" t="b">
        <f>G36='REMUNERACION Reciprocidad EAAB'!G131</f>
        <v>1</v>
      </c>
      <c r="H45" s="269" t="b">
        <f>H36='REMUNERACION Reciprocidad EAAB'!H131</f>
        <v>1</v>
      </c>
      <c r="I45" s="269" t="b">
        <f>I36='REMUNERACION Reciprocidad EAAB'!I131</f>
        <v>1</v>
      </c>
      <c r="J45" s="269" t="b">
        <f>J36='REMUNERACION Reciprocidad EAAB'!J131</f>
        <v>1</v>
      </c>
      <c r="K45" s="269" t="b">
        <f>K36='REMUNERACION Reciprocidad EAAB'!K131</f>
        <v>1</v>
      </c>
      <c r="L45" s="269" t="b">
        <f>L36='REMUNERACION Reciprocidad EAAB'!L131</f>
        <v>1</v>
      </c>
      <c r="M45" s="269" t="b">
        <f>M36='REMUNERACION Reciprocidad EAAB'!M131</f>
        <v>1</v>
      </c>
      <c r="N45" s="269" t="b">
        <f>N36='REMUNERACION Reciprocidad EAAB'!N131</f>
        <v>1</v>
      </c>
      <c r="O45" s="269" t="b">
        <f>O36='REMUNERACION Reciprocidad EAAB'!O131</f>
        <v>1</v>
      </c>
      <c r="Q45" s="24"/>
      <c r="T45" s="24"/>
    </row>
    <row r="46" spans="1:20" x14ac:dyDescent="0.25">
      <c r="N46" s="24"/>
      <c r="O46" s="24"/>
      <c r="Q46" s="24"/>
      <c r="T46" s="24"/>
    </row>
    <row r="47" spans="1:20" x14ac:dyDescent="0.25">
      <c r="N47" s="24"/>
      <c r="O47" s="24"/>
      <c r="Q47" s="24"/>
      <c r="T47" s="24"/>
    </row>
    <row r="48" spans="1:20" x14ac:dyDescent="0.25">
      <c r="N48" s="24"/>
      <c r="O48" s="24"/>
      <c r="Q48" s="24"/>
      <c r="T48" s="24"/>
    </row>
    <row r="49" spans="14:20" x14ac:dyDescent="0.25">
      <c r="N49" s="24"/>
      <c r="O49" s="24"/>
      <c r="Q49" s="24"/>
      <c r="T49" s="24"/>
    </row>
    <row r="50" spans="14:20" x14ac:dyDescent="0.25">
      <c r="N50" s="24"/>
      <c r="O50" s="24"/>
      <c r="Q50" s="24"/>
      <c r="T50" s="24"/>
    </row>
    <row r="51" spans="14:20" x14ac:dyDescent="0.25">
      <c r="Q51" s="24"/>
      <c r="T51" s="24"/>
    </row>
    <row r="52" spans="14:20" x14ac:dyDescent="0.25">
      <c r="Q52" s="24"/>
    </row>
  </sheetData>
  <conditionalFormatting sqref="AH9:AH14">
    <cfRule type="cellIs" dxfId="52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pageSetUpPr fitToPage="1"/>
  </sheetPr>
  <dimension ref="A1:AJ156"/>
  <sheetViews>
    <sheetView topLeftCell="A95" zoomScaleNormal="100" workbookViewId="0">
      <selection activeCell="D142" sqref="D142"/>
    </sheetView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7265625" style="1" customWidth="1"/>
    <col min="4" max="4" width="15.26953125" style="1" customWidth="1"/>
    <col min="5" max="5" width="16" style="1" customWidth="1"/>
    <col min="6" max="7" width="14.7265625" style="1" customWidth="1"/>
    <col min="8" max="9" width="16" style="1" customWidth="1"/>
    <col min="10" max="10" width="15.54296875" style="1" customWidth="1"/>
    <col min="11" max="11" width="17.54296875" style="1" customWidth="1"/>
    <col min="12" max="12" width="19.7265625" style="1" bestFit="1" customWidth="1"/>
    <col min="13" max="13" width="21" style="1" bestFit="1" customWidth="1"/>
    <col min="14" max="14" width="15.26953125" style="1" customWidth="1"/>
    <col min="15" max="15" width="16.7265625" style="1" customWidth="1"/>
    <col min="16" max="16" width="3.7265625" style="1" customWidth="1"/>
    <col min="17" max="17" width="2.7265625" style="1" customWidth="1"/>
    <col min="18" max="18" width="4.54296875" style="1" customWidth="1"/>
    <col min="19" max="19" width="11.26953125" style="1" customWidth="1"/>
    <col min="20" max="20" width="37.54296875" style="1" bestFit="1" customWidth="1"/>
    <col min="21" max="21" width="19.26953125" style="1" customWidth="1"/>
    <col min="22" max="22" width="17.7265625" style="1" customWidth="1"/>
    <col min="23" max="23" width="16.453125" style="1" customWidth="1"/>
    <col min="24" max="24" width="17.26953125" style="1" customWidth="1"/>
    <col min="25" max="25" width="15.7265625" style="1" customWidth="1"/>
    <col min="26" max="26" width="16" style="1" customWidth="1"/>
    <col min="27" max="27" width="15" style="1" customWidth="1"/>
    <col min="28" max="29" width="16.7265625" style="1" customWidth="1"/>
    <col min="30" max="31" width="15.453125" style="1" customWidth="1"/>
    <col min="32" max="32" width="16.26953125" style="1" customWidth="1"/>
    <col min="33" max="33" width="18.26953125" style="1" customWidth="1"/>
    <col min="34" max="34" width="13.7265625" style="1" customWidth="1"/>
    <col min="35" max="35" width="3.453125" style="1" customWidth="1"/>
    <col min="36" max="36" width="13.7265625" style="1" bestFit="1" customWidth="1"/>
    <col min="37" max="16384" width="11.453125" style="1"/>
  </cols>
  <sheetData>
    <row r="1" spans="1:35" ht="12" thickBot="1" x14ac:dyDescent="0.3">
      <c r="A1" s="241"/>
      <c r="Q1" s="4"/>
      <c r="AI1" s="4"/>
    </row>
    <row r="2" spans="1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1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5" x14ac:dyDescent="0.35">
      <c r="B6" s="8"/>
      <c r="C6" s="590" t="s">
        <v>17</v>
      </c>
      <c r="D6" s="9">
        <f>'CONSOLIDADO_TOTAL RECAUDO'!D6</f>
        <v>46282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" thickBot="1" x14ac:dyDescent="0.3">
      <c r="B7" s="8"/>
      <c r="C7" s="590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1:35" ht="72" customHeight="1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21" t="s">
        <v>107</v>
      </c>
      <c r="AE8" s="121" t="s">
        <v>223</v>
      </c>
      <c r="AF8" s="39" t="s">
        <v>23</v>
      </c>
      <c r="AG8" s="13"/>
      <c r="AI8" s="4"/>
    </row>
    <row r="9" spans="1:35" s="307" customFormat="1" x14ac:dyDescent="0.25">
      <c r="B9" s="305">
        <v>1</v>
      </c>
      <c r="C9" s="306" t="s">
        <v>10</v>
      </c>
      <c r="D9" s="293">
        <f>'Reporte Componentes R1'!F57</f>
        <v>16894110431.770002</v>
      </c>
      <c r="E9" s="294">
        <f>'Reporte Componentes R1'!G57</f>
        <v>950018796.39999998</v>
      </c>
      <c r="F9" s="294">
        <f>'Reporte Componentes R1'!H57</f>
        <v>530684060.67000002</v>
      </c>
      <c r="G9" s="294">
        <f>'Reporte Componentes R1'!I57</f>
        <v>281227319.89999998</v>
      </c>
      <c r="H9" s="294">
        <f>'Reporte Componentes R1'!J57</f>
        <v>4812231380.5699997</v>
      </c>
      <c r="I9" s="294">
        <f>'Reporte Componentes R1'!K57</f>
        <v>180502027.75999999</v>
      </c>
      <c r="J9" s="294">
        <f>'CONSOLIDADO_TOTAL RECAUDO'!J9</f>
        <v>2589335716.54</v>
      </c>
      <c r="K9" s="295">
        <f>D9-E9-F9-G9-H9-I9-J9</f>
        <v>7550111129.9300032</v>
      </c>
      <c r="L9" s="296">
        <f>'CONSOLIDADO_TOTAL RECAUDO'!L9</f>
        <v>189185987</v>
      </c>
      <c r="M9" s="295">
        <f>K9-L9</f>
        <v>7360925142.9300032</v>
      </c>
      <c r="N9" s="296">
        <f>'Reporte Componentes R1'!L57</f>
        <v>28845491.23</v>
      </c>
      <c r="O9" s="295">
        <f>M9+N9</f>
        <v>7389770634.1600027</v>
      </c>
      <c r="Q9" s="308"/>
      <c r="S9" s="305">
        <v>1</v>
      </c>
      <c r="T9" s="306" t="s">
        <v>10</v>
      </c>
      <c r="U9" s="309">
        <f>'Reporte Componentes R1'!M57</f>
        <v>1584327879.7</v>
      </c>
      <c r="V9" s="310">
        <f>'Reporte Componentes R1'!N57</f>
        <v>1511202107.77</v>
      </c>
      <c r="W9" s="310">
        <f>'Reporte Componentes R1'!O57</f>
        <v>7109955399.7700005</v>
      </c>
      <c r="X9" s="310">
        <f>'Reporte Componentes R1'!P57</f>
        <v>2585589984.3299999</v>
      </c>
      <c r="Y9" s="311">
        <f>'Reporte Componentes R1'!Q57</f>
        <v>294540719.85000002</v>
      </c>
      <c r="Z9" s="312">
        <f>L9*-1</f>
        <v>-189185987</v>
      </c>
      <c r="AA9" s="313">
        <f>'Reporte Componentes R1'!R57+'Reporte Componentes R1'!V57+'Reporte Componentes R1'!U57</f>
        <v>-46192.160000000003</v>
      </c>
      <c r="AB9" s="296">
        <f>N9</f>
        <v>28845491.23</v>
      </c>
      <c r="AC9" s="313">
        <f>'Reporte Componentes R1'!T57+'Reporte Componentes R1'!W57+'Reporte Componentes R1'!X57+'Reporte Componentes R1'!Y57+'Reporte Componentes R1'!Z57+'Reporte Componentes R1'!S57</f>
        <v>37.270000000000003</v>
      </c>
      <c r="AD9" s="293">
        <f>-J9+AE9</f>
        <v>-5535451697.7700005</v>
      </c>
      <c r="AE9" s="293">
        <f>'Reporte Componentes R1'!F58</f>
        <v>-2946115981.23</v>
      </c>
      <c r="AF9" s="315">
        <f>SUM(U9:AD9)</f>
        <v>7389777742.9900017</v>
      </c>
      <c r="AG9" s="313">
        <f>(AF9-O9)</f>
        <v>7108.8299989700317</v>
      </c>
      <c r="AH9" s="1" t="b">
        <f>INT(AG9)=0</f>
        <v>0</v>
      </c>
      <c r="AI9" s="308"/>
    </row>
    <row r="10" spans="1:35" s="307" customFormat="1" x14ac:dyDescent="0.25">
      <c r="B10" s="316">
        <v>2</v>
      </c>
      <c r="C10" s="317" t="s">
        <v>11</v>
      </c>
      <c r="D10" s="293">
        <f>'Reporte Componentes R1'!F191</f>
        <v>12711433921.790001</v>
      </c>
      <c r="E10" s="294">
        <f>'Reporte Componentes R1'!G191</f>
        <v>929029134.42000008</v>
      </c>
      <c r="F10" s="294">
        <f>'Reporte Componentes R1'!H191</f>
        <v>517154998.83999997</v>
      </c>
      <c r="G10" s="294">
        <f>'Reporte Componentes R1'!I191</f>
        <v>273013885.82999998</v>
      </c>
      <c r="H10" s="294">
        <f>'Reporte Componentes R1'!J191</f>
        <v>4306010126.79</v>
      </c>
      <c r="I10" s="294">
        <f>'Reporte Componentes R1'!K191</f>
        <v>147591794.69999999</v>
      </c>
      <c r="J10" s="294">
        <f>'CONSOLIDADO_TOTAL RECAUDO'!J10</f>
        <v>-5093259797.2199993</v>
      </c>
      <c r="K10" s="297">
        <f t="shared" ref="K10:K13" si="0">D10-E10-F10-G10-H10-I10-J10</f>
        <v>11631893778.43</v>
      </c>
      <c r="L10" s="296">
        <f>'CONSOLIDADO_TOTAL RECAUDO'!L10</f>
        <v>266580255</v>
      </c>
      <c r="M10" s="297">
        <f>K10-L10</f>
        <v>11365313523.43</v>
      </c>
      <c r="N10" s="296">
        <f>'Reporte Componentes R1'!L191</f>
        <v>12959141.210000001</v>
      </c>
      <c r="O10" s="297">
        <f t="shared" ref="O10:O12" si="1">M10+N10</f>
        <v>11378272664.639999</v>
      </c>
      <c r="Q10" s="308"/>
      <c r="S10" s="316">
        <v>2</v>
      </c>
      <c r="T10" s="317" t="s">
        <v>11</v>
      </c>
      <c r="U10" s="318">
        <f>'Reporte Componentes R1'!M191</f>
        <v>1293806249.53</v>
      </c>
      <c r="V10" s="319">
        <f>'Reporte Componentes R1'!N191</f>
        <v>1269733184.03</v>
      </c>
      <c r="W10" s="319">
        <f>'Reporte Componentes R1'!O191</f>
        <v>5952913878.7699995</v>
      </c>
      <c r="X10" s="319">
        <f>'Reporte Componentes R1'!P191</f>
        <v>1820733812.24</v>
      </c>
      <c r="Y10" s="320">
        <f>'Reporte Componentes R1'!Q191</f>
        <v>241222198.57000002</v>
      </c>
      <c r="Z10" s="321">
        <f>L10*-1</f>
        <v>-266580255</v>
      </c>
      <c r="AA10" s="322">
        <f>'Reporte Componentes R1'!R191+'Reporte Componentes R1'!V191+'Reporte Componentes R1'!U191</f>
        <v>61759.7</v>
      </c>
      <c r="AB10" s="296">
        <f>N10</f>
        <v>12959141.210000001</v>
      </c>
      <c r="AC10" s="322">
        <f>'Reporte Componentes R1'!T191+'Reporte Componentes R1'!W191+'Reporte Componentes R1'!X191+'Reporte Componentes R1'!Y191+'Reporte Componentes R1'!Z191+'Reporte Componentes R1'!S191</f>
        <v>-34.57</v>
      </c>
      <c r="AD10" s="293">
        <f t="shared" ref="AD10:AD13" si="2">-J10+AE10</f>
        <v>1053422730.1599994</v>
      </c>
      <c r="AE10" s="293">
        <f>'Reporte Componentes R1'!F192</f>
        <v>-4039837067.0599999</v>
      </c>
      <c r="AF10" s="324">
        <f>SUM(U10:AD10)</f>
        <v>11378272664.639999</v>
      </c>
      <c r="AG10" s="325">
        <f>(AF10-O10)</f>
        <v>0</v>
      </c>
      <c r="AH10" s="1" t="b">
        <f t="shared" ref="AH10:AH14" si="3">INT(AG10)=0</f>
        <v>1</v>
      </c>
      <c r="AI10" s="308"/>
    </row>
    <row r="11" spans="1:35" s="307" customFormat="1" x14ac:dyDescent="0.25">
      <c r="B11" s="316">
        <v>3</v>
      </c>
      <c r="C11" s="317" t="s">
        <v>12</v>
      </c>
      <c r="D11" s="293">
        <f>'Reporte Componentes R1'!F335</f>
        <v>10189726607.76</v>
      </c>
      <c r="E11" s="294">
        <f>'Reporte Componentes R1'!G335</f>
        <v>628253759.54999995</v>
      </c>
      <c r="F11" s="294">
        <f>'Reporte Componentes R1'!H335</f>
        <v>351483694.52999997</v>
      </c>
      <c r="G11" s="294">
        <f>'Reporte Componentes R1'!I335</f>
        <v>186109795.21000001</v>
      </c>
      <c r="H11" s="294">
        <f>'Reporte Componentes R1'!J335</f>
        <v>3058153715.6300001</v>
      </c>
      <c r="I11" s="294">
        <f>'Reporte Componentes R1'!K335</f>
        <v>101588366.84999999</v>
      </c>
      <c r="J11" s="294">
        <f>'CONSOLIDADO_TOTAL RECAUDO'!J11</f>
        <v>-1230396998.4399998</v>
      </c>
      <c r="K11" s="297">
        <f t="shared" si="0"/>
        <v>7094534274.4300003</v>
      </c>
      <c r="L11" s="296">
        <f>'CONSOLIDADO_TOTAL RECAUDO'!L11</f>
        <v>154788535</v>
      </c>
      <c r="M11" s="297">
        <f>K11-L11</f>
        <v>6939745739.4300003</v>
      </c>
      <c r="N11" s="296">
        <f>'Reporte Componentes R1'!L335</f>
        <v>13400453.24</v>
      </c>
      <c r="O11" s="297">
        <f t="shared" si="1"/>
        <v>6953146192.6700001</v>
      </c>
      <c r="Q11" s="308"/>
      <c r="S11" s="316">
        <v>3</v>
      </c>
      <c r="T11" s="317" t="s">
        <v>12</v>
      </c>
      <c r="U11" s="318">
        <f>'Reporte Componentes R1'!M335</f>
        <v>891194715.38</v>
      </c>
      <c r="V11" s="319">
        <f>'Reporte Componentes R1'!N335</f>
        <v>869002975.08000004</v>
      </c>
      <c r="W11" s="319">
        <f>'Reporte Componentes R1'!O335</f>
        <v>4090764850.1700001</v>
      </c>
      <c r="X11" s="319">
        <f>'Reporte Componentes R1'!P335</f>
        <v>1487947208.5799999</v>
      </c>
      <c r="Y11" s="320">
        <f>'Reporte Componentes R1'!Q335</f>
        <v>165816869.65000001</v>
      </c>
      <c r="Z11" s="321">
        <f>L11*-1</f>
        <v>-154788535</v>
      </c>
      <c r="AA11" s="322">
        <f>'Reporte Componentes R1'!R335+'Reporte Componentes R1'!V335+'Reporte Componentes R1'!U335</f>
        <v>49301.37</v>
      </c>
      <c r="AB11" s="296">
        <f>N11</f>
        <v>13400453.24</v>
      </c>
      <c r="AC11" s="322">
        <f>'Reporte Componentes R1'!T335+'Reporte Componentes R1'!W335+'Reporte Componentes R1'!X335+'Reporte Componentes R1'!Y335+'Reporte Componentes R1'!Z335+'Reporte Componentes R1'!S335</f>
        <v>1.07</v>
      </c>
      <c r="AD11" s="293">
        <f t="shared" si="2"/>
        <v>-410241646.87000012</v>
      </c>
      <c r="AE11" s="293">
        <f>'Reporte Componentes R1'!F336</f>
        <v>-1640638645.3099999</v>
      </c>
      <c r="AF11" s="324">
        <f t="shared" ref="AF11:AF13" si="4">SUM(U11:AD11)</f>
        <v>6953146192.6699991</v>
      </c>
      <c r="AG11" s="325">
        <f>(AF11-O11)</f>
        <v>-9.5367431640625E-7</v>
      </c>
      <c r="AH11" s="1" t="b">
        <f t="shared" si="3"/>
        <v>0</v>
      </c>
      <c r="AI11" s="308"/>
    </row>
    <row r="12" spans="1:35" s="307" customFormat="1" x14ac:dyDescent="0.25">
      <c r="B12" s="316">
        <v>4</v>
      </c>
      <c r="C12" s="317" t="s">
        <v>13</v>
      </c>
      <c r="D12" s="293">
        <f>'Reporte Componentes R1'!F468</f>
        <v>10987764488.809999</v>
      </c>
      <c r="E12" s="294">
        <f>'Reporte Componentes R1'!G468</f>
        <v>612557857.25</v>
      </c>
      <c r="F12" s="294">
        <f>'Reporte Componentes R1'!H468</f>
        <v>340984400.07999998</v>
      </c>
      <c r="G12" s="294">
        <f>'Reporte Componentes R1'!I468</f>
        <v>180726001.72</v>
      </c>
      <c r="H12" s="294">
        <f>'Reporte Componentes R1'!J468</f>
        <v>2767605714.1100001</v>
      </c>
      <c r="I12" s="294">
        <f>'Reporte Componentes R1'!K468</f>
        <v>95976498.929999992</v>
      </c>
      <c r="J12" s="294">
        <f>'CONSOLIDADO_TOTAL RECAUDO'!J12</f>
        <v>38133905.800000012</v>
      </c>
      <c r="K12" s="297">
        <f t="shared" si="0"/>
        <v>6951780110.9199991</v>
      </c>
      <c r="L12" s="296">
        <f>'CONSOLIDADO_TOTAL RECAUDO'!L12</f>
        <v>120391083</v>
      </c>
      <c r="M12" s="297">
        <f>K12-L12</f>
        <v>6831389027.9199991</v>
      </c>
      <c r="N12" s="296">
        <f>'Reporte Componentes R1'!L468</f>
        <v>19861983.190000001</v>
      </c>
      <c r="O12" s="297">
        <f t="shared" si="1"/>
        <v>6851251011.1099987</v>
      </c>
      <c r="Q12" s="308"/>
      <c r="S12" s="316">
        <v>4</v>
      </c>
      <c r="T12" s="317" t="s">
        <v>13</v>
      </c>
      <c r="U12" s="318">
        <f>'Reporte Componentes R1'!M468</f>
        <v>841283585.59000003</v>
      </c>
      <c r="V12" s="319">
        <f>'Reporte Componentes R1'!N468</f>
        <v>822232449.48000002</v>
      </c>
      <c r="W12" s="319">
        <f>'Reporte Componentes R1'!O468</f>
        <v>4196162453.2199998</v>
      </c>
      <c r="X12" s="319">
        <f>'Reporte Componentes R1'!P468</f>
        <v>1621394965.4099998</v>
      </c>
      <c r="Y12" s="320">
        <f>'Reporte Componentes R1'!Q468</f>
        <v>156889985.03999999</v>
      </c>
      <c r="Z12" s="321">
        <f>L12*-1</f>
        <v>-120391083</v>
      </c>
      <c r="AA12" s="322">
        <f>'Reporte Componentes R1'!R468+'Reporte Componentes R1'!V468+'Reporte Componentes R1'!U468</f>
        <v>-64065.8</v>
      </c>
      <c r="AB12" s="296">
        <f>N12</f>
        <v>19861983.190000001</v>
      </c>
      <c r="AC12" s="322">
        <f>'Reporte Componentes R1'!T468+'Reporte Componentes R1'!W468+'Reporte Componentes R1'!X468+'Reporte Componentes R1'!Y468+'Reporte Componentes R1'!Z468+'Reporte Componentes R1'!S468</f>
        <v>31.950000000000024</v>
      </c>
      <c r="AD12" s="293">
        <f t="shared" si="2"/>
        <v>-686119293.97000003</v>
      </c>
      <c r="AE12" s="293">
        <f>'Reporte Componentes R1'!F469</f>
        <v>-647985388.16999996</v>
      </c>
      <c r="AF12" s="324">
        <f t="shared" si="4"/>
        <v>6851251011.1099987</v>
      </c>
      <c r="AG12" s="325">
        <f>(AF12-O12)</f>
        <v>0</v>
      </c>
      <c r="AH12" s="1" t="b">
        <f t="shared" si="3"/>
        <v>1</v>
      </c>
      <c r="AI12" s="308"/>
    </row>
    <row r="13" spans="1:35" s="307" customFormat="1" ht="12" thickBot="1" x14ac:dyDescent="0.3">
      <c r="B13" s="326">
        <v>5</v>
      </c>
      <c r="C13" s="327" t="s">
        <v>14</v>
      </c>
      <c r="D13" s="298">
        <f>'Reporte Componentes R1'!F562</f>
        <v>8782962300.0100002</v>
      </c>
      <c r="E13" s="299">
        <f>'Reporte Componentes R1'!G562</f>
        <v>474204302.95999998</v>
      </c>
      <c r="F13" s="299">
        <f>'Reporte Componentes R1'!H562</f>
        <v>265133967.25</v>
      </c>
      <c r="G13" s="299">
        <f>'Reporte Componentes R1'!I562</f>
        <v>140434645.56</v>
      </c>
      <c r="H13" s="299">
        <f>'Reporte Componentes R1'!J562</f>
        <v>2041090494.45</v>
      </c>
      <c r="I13" s="299">
        <f>'Reporte Componentes R1'!K562</f>
        <v>73126805.170000002</v>
      </c>
      <c r="J13" s="299">
        <f>'CONSOLIDADO_TOTAL RECAUDO'!J13</f>
        <v>-1224100690.4600003</v>
      </c>
      <c r="K13" s="297">
        <f t="shared" si="0"/>
        <v>7013072775.0799999</v>
      </c>
      <c r="L13" s="296">
        <f>'CONSOLIDADO_TOTAL RECAUDO'!L13</f>
        <v>128990445</v>
      </c>
      <c r="M13" s="300">
        <f>K13-L13</f>
        <v>6884082330.0799999</v>
      </c>
      <c r="N13" s="301">
        <f>'Reporte Componentes R1'!L562</f>
        <v>5862361.9900000002</v>
      </c>
      <c r="O13" s="300">
        <f>M13+N13</f>
        <v>6889944692.0699997</v>
      </c>
      <c r="Q13" s="308"/>
      <c r="S13" s="326">
        <v>5</v>
      </c>
      <c r="T13" s="327" t="s">
        <v>14</v>
      </c>
      <c r="U13" s="298">
        <f>'Reporte Componentes R1'!M562</f>
        <v>641840330.98000002</v>
      </c>
      <c r="V13" s="299">
        <f>'Reporte Componentes R1'!N562</f>
        <v>622946276.96000004</v>
      </c>
      <c r="W13" s="299">
        <f>'Reporte Componentes R1'!O562</f>
        <v>3197299686.1199999</v>
      </c>
      <c r="X13" s="299">
        <f>'Reporte Componentes R1'!P562</f>
        <v>1419950178.04</v>
      </c>
      <c r="Y13" s="291">
        <f>'Reporte Componentes R1'!Q562</f>
        <v>119382561.47999999</v>
      </c>
      <c r="Z13" s="321">
        <f>L13*-1</f>
        <v>-128990445</v>
      </c>
      <c r="AA13" s="322">
        <f>'Reporte Componentes R1'!R562+'Reporte Componentes R1'!V562+'Reporte Componentes R1'!U562</f>
        <v>-12784.43</v>
      </c>
      <c r="AB13" s="296">
        <f>N13</f>
        <v>5862361.9900000002</v>
      </c>
      <c r="AC13" s="322">
        <f>'Reporte Componentes R1'!T562+'Reporte Componentes R1'!W562+'Reporte Componentes R1'!X562+'Reporte Componentes R1'!Y562+'Reporte Componentes R1'!Z562+'Reporte Componentes R1'!S562</f>
        <v>-37.089999999999996</v>
      </c>
      <c r="AD13" s="293">
        <f t="shared" si="2"/>
        <v>1011666563.0200002</v>
      </c>
      <c r="AE13" s="293">
        <f>'Reporte Componentes R1'!F563</f>
        <v>-212434127.44</v>
      </c>
      <c r="AF13" s="324">
        <f t="shared" si="4"/>
        <v>6889944692.0699987</v>
      </c>
      <c r="AG13" s="328">
        <f>(AF13-O13)</f>
        <v>-9.5367431640625E-7</v>
      </c>
      <c r="AH13" s="1" t="b">
        <f t="shared" si="3"/>
        <v>0</v>
      </c>
      <c r="AI13" s="308"/>
    </row>
    <row r="14" spans="1:35" s="307" customFormat="1" ht="13.5" thickBot="1" x14ac:dyDescent="0.35">
      <c r="B14" s="329"/>
      <c r="C14" s="330" t="s">
        <v>2</v>
      </c>
      <c r="D14" s="292">
        <f>SUM(D9:D13)</f>
        <v>59565997750.140007</v>
      </c>
      <c r="E14" s="292">
        <f t="shared" ref="E14:O14" si="5">SUM(E9:E13)</f>
        <v>3594063850.5799999</v>
      </c>
      <c r="F14" s="292">
        <f t="shared" si="5"/>
        <v>2005441121.3699999</v>
      </c>
      <c r="G14" s="292">
        <f t="shared" si="5"/>
        <v>1061511648.22</v>
      </c>
      <c r="H14" s="292">
        <f t="shared" si="5"/>
        <v>16985091431.550003</v>
      </c>
      <c r="I14" s="292">
        <f t="shared" si="5"/>
        <v>598785493.40999997</v>
      </c>
      <c r="J14" s="292">
        <f t="shared" si="5"/>
        <v>-4920287863.7799988</v>
      </c>
      <c r="K14" s="302">
        <f t="shared" si="5"/>
        <v>40241392068.790001</v>
      </c>
      <c r="L14" s="303">
        <f>SUM(L9:L13)</f>
        <v>859936305</v>
      </c>
      <c r="M14" s="304">
        <f t="shared" si="5"/>
        <v>39381455763.790001</v>
      </c>
      <c r="N14" s="303">
        <f t="shared" si="5"/>
        <v>80929430.859999999</v>
      </c>
      <c r="O14" s="304">
        <f t="shared" si="5"/>
        <v>39462385194.650002</v>
      </c>
      <c r="P14" s="331"/>
      <c r="Q14" s="308"/>
      <c r="S14" s="329"/>
      <c r="T14" s="330" t="s">
        <v>2</v>
      </c>
      <c r="U14" s="332">
        <f>SUM(U9:U13)</f>
        <v>5252452761.1800003</v>
      </c>
      <c r="V14" s="332">
        <f t="shared" ref="V14:AF14" si="6">SUM(V9:V13)</f>
        <v>5095116993.3200006</v>
      </c>
      <c r="W14" s="332">
        <f t="shared" si="6"/>
        <v>24547096268.049999</v>
      </c>
      <c r="X14" s="332">
        <f t="shared" si="6"/>
        <v>8935616148.5999985</v>
      </c>
      <c r="Y14" s="332">
        <f t="shared" si="6"/>
        <v>977852334.59000003</v>
      </c>
      <c r="Z14" s="292">
        <f t="shared" si="6"/>
        <v>-859936305</v>
      </c>
      <c r="AA14" s="292">
        <f t="shared" si="6"/>
        <v>-11981.320000000007</v>
      </c>
      <c r="AB14" s="292">
        <f t="shared" si="6"/>
        <v>80929430.859999999</v>
      </c>
      <c r="AC14" s="292">
        <f t="shared" si="6"/>
        <v>-1.369999999999969</v>
      </c>
      <c r="AD14" s="292">
        <f>SUM(AD9:AD13)</f>
        <v>-4566723345.4300003</v>
      </c>
      <c r="AE14" s="292">
        <f>SUM(AE9:AE13)</f>
        <v>-9487011209.210001</v>
      </c>
      <c r="AF14" s="333">
        <f t="shared" si="6"/>
        <v>39462392303.479996</v>
      </c>
      <c r="AG14" s="334">
        <f>SUM(AG9:AG13)</f>
        <v>7108.8299970626831</v>
      </c>
      <c r="AH14" s="1" t="b">
        <f t="shared" si="3"/>
        <v>0</v>
      </c>
      <c r="AI14" s="308"/>
    </row>
    <row r="15" spans="1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44808134505.739998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3">
      <c r="Q20" s="4"/>
      <c r="AI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4" x14ac:dyDescent="0.3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5" x14ac:dyDescent="0.3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4" x14ac:dyDescent="0.3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5" x14ac:dyDescent="0.35">
      <c r="B25" s="8"/>
      <c r="C25" s="590" t="s">
        <v>17</v>
      </c>
      <c r="D25" s="9">
        <f>D6</f>
        <v>46282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" thickBot="1" x14ac:dyDescent="0.3">
      <c r="B26" s="8"/>
      <c r="C26" s="590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3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21" t="s">
        <v>107</v>
      </c>
      <c r="AE27" s="121" t="s">
        <v>223</v>
      </c>
      <c r="AF27" s="39" t="s">
        <v>23</v>
      </c>
      <c r="AG27" s="13"/>
      <c r="AI27" s="4"/>
    </row>
    <row r="28" spans="1:35" s="307" customFormat="1" ht="12" thickBot="1" x14ac:dyDescent="0.3">
      <c r="B28" s="305">
        <v>1</v>
      </c>
      <c r="C28" s="306" t="s">
        <v>10</v>
      </c>
      <c r="D28" s="293">
        <f>'Rem. Anticipos R2'!E48</f>
        <v>30254522.43</v>
      </c>
      <c r="E28" s="294">
        <f>'Rem. Anticipos R2'!F48</f>
        <v>1628680.68</v>
      </c>
      <c r="F28" s="294">
        <f>'Rem. Anticipos R2'!G48</f>
        <v>888879.83</v>
      </c>
      <c r="G28" s="294">
        <f>'Rem. Anticipos R2'!H48</f>
        <v>520121.55</v>
      </c>
      <c r="H28" s="294">
        <f>'Rem. Anticipos R2'!I48</f>
        <v>4494789.55</v>
      </c>
      <c r="I28" s="294">
        <f>'Rem. Anticipos R2'!J48</f>
        <v>206682.07</v>
      </c>
      <c r="J28" s="291">
        <v>0</v>
      </c>
      <c r="K28" s="295">
        <f>D28-E28-F28-G28-H28-I28-J28</f>
        <v>22515368.75</v>
      </c>
      <c r="L28" s="296">
        <v>0</v>
      </c>
      <c r="M28" s="295">
        <f>K28-L28</f>
        <v>22515368.75</v>
      </c>
      <c r="N28" s="296">
        <f>'Rem. Anticipos R2'!K48</f>
        <v>0</v>
      </c>
      <c r="O28" s="295">
        <f>M28+N28</f>
        <v>22515368.75</v>
      </c>
      <c r="Q28" s="308"/>
      <c r="S28" s="305">
        <v>1</v>
      </c>
      <c r="T28" s="306" t="s">
        <v>10</v>
      </c>
      <c r="U28" s="309">
        <f>'Rem. Anticipos R2'!L48</f>
        <v>2286008.7000000002</v>
      </c>
      <c r="V28" s="310">
        <f>'Rem. Anticipos R2'!M48</f>
        <v>2318211.14</v>
      </c>
      <c r="W28" s="310">
        <f>'Rem. Anticipos R2'!N48</f>
        <v>11917028.199999999</v>
      </c>
      <c r="X28" s="310">
        <f>'Rem. Anticipos R2'!O48</f>
        <v>4523338.08</v>
      </c>
      <c r="Y28" s="311">
        <f>'Rem. Anticipos R2'!P48</f>
        <v>331306.05</v>
      </c>
      <c r="Z28" s="312">
        <f>L28*-1</f>
        <v>0</v>
      </c>
      <c r="AA28" s="313">
        <f>'Rem. Anticipos R2'!Q48</f>
        <v>-26.65</v>
      </c>
      <c r="AB28" s="296">
        <f>N28</f>
        <v>0</v>
      </c>
      <c r="AC28" s="313">
        <f>'Rem. Anticipos R2'!R48</f>
        <v>0</v>
      </c>
      <c r="AD28" s="293">
        <f>-J28+AE28</f>
        <v>1139503.23</v>
      </c>
      <c r="AE28" s="293">
        <f>'Rem. Anticipos R2'!E49</f>
        <v>1139503.23</v>
      </c>
      <c r="AF28" s="315">
        <f>SUM(U28:AD28)</f>
        <v>22515368.75</v>
      </c>
      <c r="AG28" s="313">
        <f>(AF28-O28)</f>
        <v>0</v>
      </c>
      <c r="AH28" s="1" t="b">
        <f>INT(AG28)=0</f>
        <v>1</v>
      </c>
      <c r="AI28" s="308"/>
    </row>
    <row r="29" spans="1:35" s="307" customFormat="1" x14ac:dyDescent="0.25">
      <c r="B29" s="316">
        <v>2</v>
      </c>
      <c r="C29" s="317" t="s">
        <v>11</v>
      </c>
      <c r="D29" s="293">
        <f>'Rem. Anticipos R2'!E141</f>
        <v>56389807.619999997</v>
      </c>
      <c r="E29" s="294">
        <f>'Rem. Anticipos R2'!F141</f>
        <v>4330549.46</v>
      </c>
      <c r="F29" s="294">
        <f>'Rem. Anticipos R2'!G141</f>
        <v>2500825.34</v>
      </c>
      <c r="G29" s="294">
        <f>'Rem. Anticipos R2'!H141</f>
        <v>900138.33</v>
      </c>
      <c r="H29" s="294">
        <f>'Rem. Anticipos R2'!I141</f>
        <v>19218828.109999999</v>
      </c>
      <c r="I29" s="294">
        <f>'Rem. Anticipos R2'!J141</f>
        <v>614720.18999999994</v>
      </c>
      <c r="J29" s="290">
        <v>0</v>
      </c>
      <c r="K29" s="297">
        <f t="shared" ref="K29:K31" si="7">D29-E29-F29-G29-H29-I29-J29</f>
        <v>28824746.189999994</v>
      </c>
      <c r="L29" s="296">
        <v>0</v>
      </c>
      <c r="M29" s="297">
        <f>K29-L29</f>
        <v>28824746.189999994</v>
      </c>
      <c r="N29" s="296">
        <f>'Rem. Anticipos R2'!K141</f>
        <v>51372.12</v>
      </c>
      <c r="O29" s="297">
        <f t="shared" ref="O29:O32" si="8">M29+N29</f>
        <v>28876118.309999995</v>
      </c>
      <c r="Q29" s="308"/>
      <c r="S29" s="316">
        <v>2</v>
      </c>
      <c r="T29" s="317" t="s">
        <v>11</v>
      </c>
      <c r="U29" s="318">
        <f>'Rem. Anticipos R2'!L141</f>
        <v>6720576.6200000001</v>
      </c>
      <c r="V29" s="319">
        <f>'Rem. Anticipos R2'!M141</f>
        <v>6169326.2000000002</v>
      </c>
      <c r="W29" s="319">
        <f>'Rem. Anticipos R2'!N141</f>
        <v>26235526.309999999</v>
      </c>
      <c r="X29" s="319">
        <f>'Rem. Anticipos R2'!O141</f>
        <v>8936888.9700000007</v>
      </c>
      <c r="Y29" s="320">
        <f>'Rem. Anticipos R2'!P141</f>
        <v>899091.23</v>
      </c>
      <c r="Z29" s="321">
        <f>L29*-1</f>
        <v>0</v>
      </c>
      <c r="AA29" s="322">
        <f>'Rem. Anticipos R2'!Q141</f>
        <v>271.12</v>
      </c>
      <c r="AB29" s="296">
        <f>N29</f>
        <v>51372.12</v>
      </c>
      <c r="AC29" s="322">
        <f>'Rem. Anticipos R2'!R141</f>
        <v>0</v>
      </c>
      <c r="AD29" s="293">
        <f>-J29+AE29</f>
        <v>-20136934.260000002</v>
      </c>
      <c r="AE29" s="293">
        <f>'Rem. Anticipos R2'!E142</f>
        <v>-20136934.260000002</v>
      </c>
      <c r="AF29" s="324">
        <f>SUM(U29:AD29)</f>
        <v>28876118.309999984</v>
      </c>
      <c r="AG29" s="325">
        <f>(AF29-O29)</f>
        <v>-1.1175870895385742E-8</v>
      </c>
      <c r="AH29" s="1" t="b">
        <f t="shared" ref="AH29:AH33" si="9">INT(AG29)=0</f>
        <v>0</v>
      </c>
      <c r="AI29" s="308"/>
    </row>
    <row r="30" spans="1:35" s="307" customFormat="1" x14ac:dyDescent="0.25">
      <c r="B30" s="316">
        <v>3</v>
      </c>
      <c r="C30" s="317" t="s">
        <v>12</v>
      </c>
      <c r="D30" s="293">
        <f>'Rem. Anticipos R2'!E254</f>
        <v>21828172.699999999</v>
      </c>
      <c r="E30" s="294">
        <f>'Rem. Anticipos R2'!F254</f>
        <v>1359804.3</v>
      </c>
      <c r="F30" s="294">
        <f>'Rem. Anticipos R2'!G254</f>
        <v>759042.94</v>
      </c>
      <c r="G30" s="294">
        <f>'Rem. Anticipos R2'!H254</f>
        <v>333725.65000000002</v>
      </c>
      <c r="H30" s="294">
        <f>'Rem. Anticipos R2'!I254</f>
        <v>5462361.0700000003</v>
      </c>
      <c r="I30" s="294">
        <f>'Rem. Anticipos R2'!J254</f>
        <v>185191.13</v>
      </c>
      <c r="J30" s="290">
        <v>0</v>
      </c>
      <c r="K30" s="297">
        <f t="shared" si="7"/>
        <v>13728047.609999998</v>
      </c>
      <c r="L30" s="296">
        <v>0</v>
      </c>
      <c r="M30" s="297">
        <f>K30-L30</f>
        <v>13728047.609999998</v>
      </c>
      <c r="N30" s="296">
        <f>'Rem. Anticipos R2'!K254</f>
        <v>45286.42</v>
      </c>
      <c r="O30" s="297">
        <f t="shared" si="8"/>
        <v>13773334.029999997</v>
      </c>
      <c r="Q30" s="308"/>
      <c r="S30" s="316">
        <v>3</v>
      </c>
      <c r="T30" s="317" t="s">
        <v>12</v>
      </c>
      <c r="U30" s="318">
        <f>'Rem. Anticipos R2'!L254</f>
        <v>2065156.11</v>
      </c>
      <c r="V30" s="319">
        <f>'Rem. Anticipos R2'!M254</f>
        <v>1589655.8</v>
      </c>
      <c r="W30" s="319">
        <f>'Rem. Anticipos R2'!N254</f>
        <v>7142216.7800000003</v>
      </c>
      <c r="X30" s="319">
        <f>'Rem. Anticipos R2'!O254</f>
        <v>4233936.76</v>
      </c>
      <c r="Y30" s="320">
        <f>'Rem. Anticipos R2'!P254</f>
        <v>268158.90000000002</v>
      </c>
      <c r="Z30" s="321">
        <f>L30*-1</f>
        <v>0</v>
      </c>
      <c r="AA30" s="322">
        <f>'Rem. Anticipos R2'!Q254</f>
        <v>-187</v>
      </c>
      <c r="AB30" s="296">
        <f>N30</f>
        <v>45286.42</v>
      </c>
      <c r="AC30" s="322">
        <f>'Rem. Anticipos R2'!R254</f>
        <v>0</v>
      </c>
      <c r="AD30" s="293">
        <f t="shared" ref="AD30:AD32" si="10">-J30+AE30</f>
        <v>-1570889.74</v>
      </c>
      <c r="AE30" s="293">
        <f>'Rem. Anticipos R2'!E255</f>
        <v>-1570889.74</v>
      </c>
      <c r="AF30" s="324">
        <f>SUM(U30:AD30)</f>
        <v>13773334.030000001</v>
      </c>
      <c r="AG30" s="325">
        <f t="shared" ref="AG30:AG31" si="11">(AF30-O30)</f>
        <v>3.7252902984619141E-9</v>
      </c>
      <c r="AH30" s="1" t="b">
        <f t="shared" si="9"/>
        <v>1</v>
      </c>
      <c r="AI30" s="308"/>
    </row>
    <row r="31" spans="1:35" s="307" customFormat="1" x14ac:dyDescent="0.25">
      <c r="B31" s="316">
        <v>4</v>
      </c>
      <c r="C31" s="317" t="s">
        <v>13</v>
      </c>
      <c r="D31" s="293">
        <f>'Rem. Anticipos R2'!E350</f>
        <v>15536711.57</v>
      </c>
      <c r="E31" s="294">
        <f>'Rem. Anticipos R2'!F350</f>
        <v>905383.61</v>
      </c>
      <c r="F31" s="294">
        <f>'Rem. Anticipos R2'!G350</f>
        <v>513285.78</v>
      </c>
      <c r="G31" s="294">
        <f>'Rem. Anticipos R2'!H350</f>
        <v>242018.01</v>
      </c>
      <c r="H31" s="294">
        <f>'Rem. Anticipos R2'!I350</f>
        <v>3425674.04</v>
      </c>
      <c r="I31" s="294">
        <f>'Rem. Anticipos R2'!J350</f>
        <v>135105.51999999999</v>
      </c>
      <c r="J31" s="290">
        <v>0</v>
      </c>
      <c r="K31" s="297">
        <f t="shared" si="7"/>
        <v>10315244.610000003</v>
      </c>
      <c r="L31" s="296">
        <v>0</v>
      </c>
      <c r="M31" s="297">
        <f>K31-L31</f>
        <v>10315244.610000003</v>
      </c>
      <c r="N31" s="296">
        <f>'Rem. Anticipos R2'!K350</f>
        <v>0</v>
      </c>
      <c r="O31" s="297">
        <f t="shared" si="8"/>
        <v>10315244.610000003</v>
      </c>
      <c r="Q31" s="308"/>
      <c r="S31" s="316">
        <v>4</v>
      </c>
      <c r="T31" s="317" t="s">
        <v>13</v>
      </c>
      <c r="U31" s="318">
        <f>'Rem. Anticipos R2'!L350</f>
        <v>1544350.53</v>
      </c>
      <c r="V31" s="319">
        <f>'Rem. Anticipos R2'!M350</f>
        <v>1111554.8600000001</v>
      </c>
      <c r="W31" s="319">
        <f>'Rem. Anticipos R2'!N350</f>
        <v>4923328.28</v>
      </c>
      <c r="X31" s="319">
        <f>'Rem. Anticipos R2'!O350</f>
        <v>2698732.89</v>
      </c>
      <c r="Y31" s="320">
        <f>'Rem. Anticipos R2'!P350</f>
        <v>206079.53</v>
      </c>
      <c r="Z31" s="321">
        <f>L31*-1</f>
        <v>0</v>
      </c>
      <c r="AA31" s="322">
        <f>'Rem. Anticipos R2'!Q350</f>
        <v>-113.04</v>
      </c>
      <c r="AB31" s="296">
        <f>N31</f>
        <v>0</v>
      </c>
      <c r="AC31" s="322">
        <f>'Rem. Anticipos R2'!R350</f>
        <v>0</v>
      </c>
      <c r="AD31" s="293">
        <f t="shared" si="10"/>
        <v>-168688.44</v>
      </c>
      <c r="AE31" s="293">
        <f>'Rem. Anticipos R2'!E351</f>
        <v>-168688.44</v>
      </c>
      <c r="AF31" s="324">
        <f>SUM(U31:AD31)</f>
        <v>10315244.610000001</v>
      </c>
      <c r="AG31" s="325">
        <f t="shared" si="11"/>
        <v>-1.862645149230957E-9</v>
      </c>
      <c r="AH31" s="1" t="b">
        <f t="shared" si="9"/>
        <v>0</v>
      </c>
      <c r="AI31" s="308"/>
    </row>
    <row r="32" spans="1:35" s="307" customFormat="1" ht="12" thickBot="1" x14ac:dyDescent="0.3">
      <c r="B32" s="326">
        <v>5</v>
      </c>
      <c r="C32" s="327" t="s">
        <v>14</v>
      </c>
      <c r="D32" s="298">
        <f>'Rem. Anticipos R2'!E421</f>
        <v>26488801.359999999</v>
      </c>
      <c r="E32" s="299">
        <f>'Rem. Anticipos R2'!F421</f>
        <v>1497793.49</v>
      </c>
      <c r="F32" s="299">
        <f>'Rem. Anticipos R2'!G421</f>
        <v>854780.46</v>
      </c>
      <c r="G32" s="299">
        <f>'Rem. Anticipos R2'!H421</f>
        <v>425091.72</v>
      </c>
      <c r="H32" s="299">
        <f>'Rem. Anticipos R2'!I421</f>
        <v>6081457.7400000002</v>
      </c>
      <c r="I32" s="299">
        <f>'Rem. Anticipos R2'!J421</f>
        <v>200139.03</v>
      </c>
      <c r="J32" s="291">
        <v>0</v>
      </c>
      <c r="K32" s="297">
        <f>D32-E32-F32-G32-H32-I32-J32</f>
        <v>17429538.920000002</v>
      </c>
      <c r="L32" s="296">
        <v>0</v>
      </c>
      <c r="M32" s="300">
        <f>K32-L32</f>
        <v>17429538.920000002</v>
      </c>
      <c r="N32" s="301">
        <f>'Rem. Anticipos R2'!K421</f>
        <v>0</v>
      </c>
      <c r="O32" s="300">
        <f t="shared" si="8"/>
        <v>17429538.920000002</v>
      </c>
      <c r="Q32" s="308"/>
      <c r="S32" s="326">
        <v>5</v>
      </c>
      <c r="T32" s="327" t="s">
        <v>14</v>
      </c>
      <c r="U32" s="298">
        <f>'Rem. Anticipos R2'!L421</f>
        <v>1896616.54</v>
      </c>
      <c r="V32" s="299">
        <f>'Rem. Anticipos R2'!M421</f>
        <v>1730292.01</v>
      </c>
      <c r="W32" s="299">
        <f>'Rem. Anticipos R2'!N421</f>
        <v>8631513.2699999996</v>
      </c>
      <c r="X32" s="299">
        <f>'Rem. Anticipos R2'!O421</f>
        <v>4715004.8</v>
      </c>
      <c r="Y32" s="291">
        <f>'Rem. Anticipos R2'!P421</f>
        <v>321692.18</v>
      </c>
      <c r="Z32" s="321">
        <f>L32*-1</f>
        <v>0</v>
      </c>
      <c r="AA32" s="322">
        <f>'Rem. Anticipos R2'!Q421</f>
        <v>-202.86</v>
      </c>
      <c r="AB32" s="296">
        <f>N32</f>
        <v>0</v>
      </c>
      <c r="AC32" s="322">
        <f>'Rem. Anticipos R2'!R421</f>
        <v>0</v>
      </c>
      <c r="AD32" s="293">
        <f t="shared" si="10"/>
        <v>134622.98000000001</v>
      </c>
      <c r="AE32" s="293">
        <f>'Rem. Anticipos R2'!E422</f>
        <v>134622.98000000001</v>
      </c>
      <c r="AF32" s="324">
        <f>SUM(U32:AD32)</f>
        <v>17429538.920000002</v>
      </c>
      <c r="AG32" s="328">
        <f>(AF32-O32)</f>
        <v>0</v>
      </c>
      <c r="AH32" s="1" t="b">
        <f t="shared" si="9"/>
        <v>1</v>
      </c>
      <c r="AI32" s="308"/>
    </row>
    <row r="33" spans="1:35" s="307" customFormat="1" ht="13.5" thickBot="1" x14ac:dyDescent="0.35">
      <c r="B33" s="329"/>
      <c r="C33" s="330" t="s">
        <v>2</v>
      </c>
      <c r="D33" s="292">
        <f>SUM(D28:D32)</f>
        <v>150498015.68000001</v>
      </c>
      <c r="E33" s="292">
        <f>SUM(E28:E32)</f>
        <v>9722211.5399999991</v>
      </c>
      <c r="F33" s="292">
        <f t="shared" ref="F33:O33" si="12">SUM(F28:F32)</f>
        <v>5516814.3499999996</v>
      </c>
      <c r="G33" s="292">
        <f t="shared" si="12"/>
        <v>2421095.2599999998</v>
      </c>
      <c r="H33" s="292">
        <f t="shared" si="12"/>
        <v>38683110.509999998</v>
      </c>
      <c r="I33" s="292">
        <f t="shared" si="12"/>
        <v>1341837.94</v>
      </c>
      <c r="J33" s="292">
        <f t="shared" si="12"/>
        <v>0</v>
      </c>
      <c r="K33" s="302">
        <f t="shared" si="12"/>
        <v>92812946.079999998</v>
      </c>
      <c r="L33" s="303">
        <f t="shared" si="12"/>
        <v>0</v>
      </c>
      <c r="M33" s="304">
        <f t="shared" si="12"/>
        <v>92812946.079999998</v>
      </c>
      <c r="N33" s="303">
        <f t="shared" si="12"/>
        <v>96658.540000000008</v>
      </c>
      <c r="O33" s="304">
        <f t="shared" si="12"/>
        <v>92909604.61999999</v>
      </c>
      <c r="P33" s="331"/>
      <c r="Q33" s="308"/>
      <c r="S33" s="329"/>
      <c r="T33" s="330" t="s">
        <v>2</v>
      </c>
      <c r="U33" s="332">
        <f>SUM(U28:U32)</f>
        <v>14512708.5</v>
      </c>
      <c r="V33" s="332">
        <f t="shared" ref="V33:AG33" si="13">SUM(V28:V32)</f>
        <v>12919040.01</v>
      </c>
      <c r="W33" s="332">
        <f t="shared" si="13"/>
        <v>58849612.840000004</v>
      </c>
      <c r="X33" s="332">
        <f t="shared" si="13"/>
        <v>25107901.500000004</v>
      </c>
      <c r="Y33" s="332">
        <f t="shared" si="13"/>
        <v>2026327.8900000001</v>
      </c>
      <c r="Z33" s="292">
        <f t="shared" si="13"/>
        <v>0</v>
      </c>
      <c r="AA33" s="292">
        <f t="shared" si="13"/>
        <v>-258.43</v>
      </c>
      <c r="AB33" s="292">
        <f t="shared" si="13"/>
        <v>96658.540000000008</v>
      </c>
      <c r="AC33" s="292">
        <f t="shared" ref="AC33" si="14">SUM(AC28:AC32)</f>
        <v>0</v>
      </c>
      <c r="AD33" s="292">
        <f>SUM(AD28:AD32)</f>
        <v>-20602386.23</v>
      </c>
      <c r="AE33" s="292">
        <f>SUM(AE28:AE32)</f>
        <v>-20602386.23</v>
      </c>
      <c r="AF33" s="333">
        <f t="shared" si="13"/>
        <v>92909604.61999999</v>
      </c>
      <c r="AG33" s="334">
        <f t="shared" si="13"/>
        <v>-9.3132257461547852E-9</v>
      </c>
      <c r="AH33" s="1" t="b">
        <f t="shared" si="9"/>
        <v>0</v>
      </c>
      <c r="AI33" s="308"/>
    </row>
    <row r="34" spans="1:35" ht="12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113415590.73999999</v>
      </c>
      <c r="AD35" s="1" t="s">
        <v>1</v>
      </c>
      <c r="AF35" s="1" t="s">
        <v>1</v>
      </c>
      <c r="AI35" s="4"/>
    </row>
    <row r="36" spans="1:35" ht="12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3">
      <c r="Q39" s="4"/>
      <c r="AI39" s="4"/>
    </row>
    <row r="40" spans="1:35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4" x14ac:dyDescent="0.3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5" x14ac:dyDescent="0.3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4" x14ac:dyDescent="0.3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5" x14ac:dyDescent="0.35">
      <c r="B44" s="8"/>
      <c r="C44" s="590" t="s">
        <v>17</v>
      </c>
      <c r="D44" s="9">
        <f>D6</f>
        <v>46282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" thickBot="1" x14ac:dyDescent="0.3">
      <c r="B45" s="8"/>
      <c r="C45" s="590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3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21" t="s">
        <v>107</v>
      </c>
      <c r="AE46" s="121" t="s">
        <v>223</v>
      </c>
      <c r="AF46" s="39" t="s">
        <v>23</v>
      </c>
      <c r="AG46" s="13"/>
      <c r="AI46" s="4"/>
    </row>
    <row r="47" spans="1:35" s="307" customFormat="1" ht="12" thickBot="1" x14ac:dyDescent="0.3">
      <c r="B47" s="305">
        <v>1</v>
      </c>
      <c r="C47" s="306" t="s">
        <v>10</v>
      </c>
      <c r="D47" s="293">
        <f>'Reporte Componentes R1'!F59</f>
        <v>0</v>
      </c>
      <c r="E47" s="294">
        <f>'Reporte Componentes R1'!G59</f>
        <v>0</v>
      </c>
      <c r="F47" s="294">
        <f>'Reporte Componentes R1'!H59</f>
        <v>0</v>
      </c>
      <c r="G47" s="294">
        <f>'Reporte Componentes R1'!I59</f>
        <v>0</v>
      </c>
      <c r="H47" s="294">
        <f>'Reporte Componentes R1'!J59</f>
        <v>0</v>
      </c>
      <c r="I47" s="294">
        <f>'Reporte Componentes R1'!K59</f>
        <v>0</v>
      </c>
      <c r="J47" s="291">
        <v>0</v>
      </c>
      <c r="K47" s="295">
        <f>D47-E47-F47-G47-H47-I47-J47</f>
        <v>0</v>
      </c>
      <c r="L47" s="296">
        <v>0</v>
      </c>
      <c r="M47" s="295">
        <f>K47-L47</f>
        <v>0</v>
      </c>
      <c r="N47" s="296">
        <f>'Reporte Componentes R1'!L59</f>
        <v>0</v>
      </c>
      <c r="O47" s="295">
        <f>M47+N47</f>
        <v>0</v>
      </c>
      <c r="Q47" s="308"/>
      <c r="S47" s="305">
        <v>1</v>
      </c>
      <c r="T47" s="306" t="s">
        <v>10</v>
      </c>
      <c r="U47" s="309">
        <f>'Reporte Componentes R1'!M59</f>
        <v>0</v>
      </c>
      <c r="V47" s="310">
        <f>'Reporte Componentes R1'!N59</f>
        <v>0</v>
      </c>
      <c r="W47" s="310">
        <f>'Reporte Componentes R1'!O59</f>
        <v>0</v>
      </c>
      <c r="X47" s="310">
        <f>'Reporte Componentes R1'!P59</f>
        <v>0</v>
      </c>
      <c r="Y47" s="311">
        <f>'Reporte Componentes R1'!Q59</f>
        <v>0</v>
      </c>
      <c r="Z47" s="312">
        <f>-L47</f>
        <v>0</v>
      </c>
      <c r="AA47" s="322">
        <f>'Reporte Componentes R1'!R59+'Reporte Componentes R1'!V59+'Reporte Componentes R1'!U59</f>
        <v>0</v>
      </c>
      <c r="AB47" s="296">
        <f>N47</f>
        <v>0</v>
      </c>
      <c r="AC47" s="313">
        <f>'Reporte Componentes R1'!T59+'Reporte Componentes R1'!W59+'Reporte Componentes R1'!X59+'Reporte Componentes R1'!Y59+'Reporte Componentes R1'!Z59+'Reporte Componentes R1'!S59</f>
        <v>0</v>
      </c>
      <c r="AD47" s="293">
        <f>-J47+AE47</f>
        <v>0</v>
      </c>
      <c r="AE47" s="293">
        <f>'Reporte Componentes R1'!F60</f>
        <v>0</v>
      </c>
      <c r="AF47" s="315">
        <f>SUM(U47:AD47)</f>
        <v>0</v>
      </c>
      <c r="AG47" s="313">
        <f>(AF47-O47)</f>
        <v>0</v>
      </c>
      <c r="AH47" s="1" t="b">
        <f>INT(AG47)=0</f>
        <v>1</v>
      </c>
      <c r="AI47" s="308"/>
    </row>
    <row r="48" spans="1:35" s="307" customFormat="1" x14ac:dyDescent="0.25">
      <c r="B48" s="316">
        <v>2</v>
      </c>
      <c r="C48" s="317" t="s">
        <v>11</v>
      </c>
      <c r="D48" s="293">
        <f>'Reporte Componentes R1'!F193</f>
        <v>0</v>
      </c>
      <c r="E48" s="294">
        <f>'Reporte Componentes R1'!G193</f>
        <v>0</v>
      </c>
      <c r="F48" s="294">
        <f>'Reporte Componentes R1'!H193</f>
        <v>0</v>
      </c>
      <c r="G48" s="294">
        <f>'Reporte Componentes R1'!I193</f>
        <v>0</v>
      </c>
      <c r="H48" s="294">
        <f>'Reporte Componentes R1'!J193</f>
        <v>0</v>
      </c>
      <c r="I48" s="294">
        <f>'Reporte Componentes R1'!K193</f>
        <v>0</v>
      </c>
      <c r="J48" s="290">
        <v>0</v>
      </c>
      <c r="K48" s="297">
        <f t="shared" ref="K48:K51" si="15">D48-E48-F48-G48-H48-I48-J48</f>
        <v>0</v>
      </c>
      <c r="L48" s="296">
        <v>0</v>
      </c>
      <c r="M48" s="297">
        <f>K48-L48</f>
        <v>0</v>
      </c>
      <c r="N48" s="296">
        <f>'Reporte Componentes R1'!L193</f>
        <v>0</v>
      </c>
      <c r="O48" s="297">
        <f t="shared" ref="O48:O51" si="16">M48+N48</f>
        <v>0</v>
      </c>
      <c r="Q48" s="308"/>
      <c r="S48" s="316">
        <v>2</v>
      </c>
      <c r="T48" s="317" t="s">
        <v>11</v>
      </c>
      <c r="U48" s="318">
        <f>'Reporte Componentes R1'!M193</f>
        <v>0</v>
      </c>
      <c r="V48" s="319">
        <f>'Reporte Componentes R1'!N193</f>
        <v>0</v>
      </c>
      <c r="W48" s="319">
        <f>'Reporte Componentes R1'!O193</f>
        <v>0</v>
      </c>
      <c r="X48" s="319">
        <f>'Reporte Componentes R1'!P193</f>
        <v>0</v>
      </c>
      <c r="Y48" s="320">
        <f>'Reporte Componentes R1'!Q193</f>
        <v>0</v>
      </c>
      <c r="Z48" s="321">
        <f>-L48</f>
        <v>0</v>
      </c>
      <c r="AA48" s="322">
        <f>'Reporte Componentes R1'!R193+'Reporte Componentes R1'!V193+'Reporte Componentes R1'!U193</f>
        <v>0</v>
      </c>
      <c r="AB48" s="296">
        <f>N48</f>
        <v>0</v>
      </c>
      <c r="AC48" s="322">
        <f>'Reporte Componentes R1'!T193+'Reporte Componentes R1'!W193+'Reporte Componentes R1'!X193+'Reporte Componentes R1'!Y193+'Reporte Componentes R1'!Z193+'Reporte Componentes R1'!S193</f>
        <v>0</v>
      </c>
      <c r="AD48" s="293">
        <f t="shared" ref="AD48:AD51" si="17">-J48+AE48</f>
        <v>0</v>
      </c>
      <c r="AE48" s="293">
        <f>'Reporte Componentes R1'!F194</f>
        <v>0</v>
      </c>
      <c r="AF48" s="324">
        <f>SUM(U48:AD48)</f>
        <v>0</v>
      </c>
      <c r="AG48" s="325">
        <f>(AF48-O48)</f>
        <v>0</v>
      </c>
      <c r="AH48" s="1" t="b">
        <f t="shared" ref="AH48:AH52" si="18">INT(AG48)=0</f>
        <v>1</v>
      </c>
      <c r="AI48" s="308"/>
    </row>
    <row r="49" spans="1:35" s="307" customFormat="1" x14ac:dyDescent="0.25">
      <c r="B49" s="316">
        <v>3</v>
      </c>
      <c r="C49" s="317" t="s">
        <v>12</v>
      </c>
      <c r="D49" s="293">
        <f>'Reporte Componentes R1'!F337</f>
        <v>135940</v>
      </c>
      <c r="E49" s="294">
        <f>'Reporte Componentes R1'!G337</f>
        <v>7398.44</v>
      </c>
      <c r="F49" s="294">
        <f>'Reporte Componentes R1'!H337</f>
        <v>4166.07</v>
      </c>
      <c r="G49" s="294">
        <f>'Reporte Componentes R1'!I337</f>
        <v>2192.52</v>
      </c>
      <c r="H49" s="294">
        <f>'Reporte Componentes R1'!J337</f>
        <v>42403.82</v>
      </c>
      <c r="I49" s="294">
        <f>'Reporte Componentes R1'!K337</f>
        <v>1128.43</v>
      </c>
      <c r="J49" s="290">
        <v>0</v>
      </c>
      <c r="K49" s="297">
        <f t="shared" si="15"/>
        <v>78650.720000000001</v>
      </c>
      <c r="L49" s="296">
        <v>0</v>
      </c>
      <c r="M49" s="297">
        <f>K49-L49</f>
        <v>78650.720000000001</v>
      </c>
      <c r="N49" s="296">
        <f>'Reporte Componentes R1'!L337</f>
        <v>0</v>
      </c>
      <c r="O49" s="297">
        <f t="shared" si="16"/>
        <v>78650.720000000001</v>
      </c>
      <c r="Q49" s="308"/>
      <c r="S49" s="316">
        <v>3</v>
      </c>
      <c r="T49" s="317" t="s">
        <v>12</v>
      </c>
      <c r="U49" s="318">
        <f>'Reporte Componentes R1'!M337</f>
        <v>9898.65</v>
      </c>
      <c r="V49" s="319">
        <f>'Reporte Componentes R1'!N337</f>
        <v>12836.88</v>
      </c>
      <c r="W49" s="319">
        <f>'Reporte Componentes R1'!O337</f>
        <v>60544.68</v>
      </c>
      <c r="X49" s="319">
        <f>'Reporte Componentes R1'!P337</f>
        <v>17346.64</v>
      </c>
      <c r="Y49" s="320">
        <f>'Reporte Componentes R1'!Q337</f>
        <v>1841.15</v>
      </c>
      <c r="Z49" s="321">
        <f>-L49</f>
        <v>0</v>
      </c>
      <c r="AA49" s="322">
        <f>'Reporte Componentes R1'!R337+'Reporte Componentes R1'!V337+'Reporte Componentes R1'!U337</f>
        <v>-4.96</v>
      </c>
      <c r="AB49" s="296">
        <f>N49</f>
        <v>0</v>
      </c>
      <c r="AC49" s="322">
        <f>'Reporte Componentes R1'!T337+'Reporte Componentes R1'!W337+'Reporte Componentes R1'!X337+'Reporte Componentes R1'!Y337+'Reporte Componentes R1'!Z337+'Reporte Componentes R1'!S337</f>
        <v>0</v>
      </c>
      <c r="AD49" s="293">
        <f t="shared" si="17"/>
        <v>-23812.32</v>
      </c>
      <c r="AE49" s="293">
        <f>'Reporte Componentes R1'!F338</f>
        <v>-23812.32</v>
      </c>
      <c r="AF49" s="324">
        <f t="shared" ref="AF49:AF51" si="19">SUM(U49:AD49)</f>
        <v>78650.719999999972</v>
      </c>
      <c r="AG49" s="325">
        <f t="shared" ref="AG49:AG51" si="20">(AF49-O49)</f>
        <v>-2.9103830456733704E-11</v>
      </c>
      <c r="AH49" s="1" t="b">
        <f t="shared" si="18"/>
        <v>0</v>
      </c>
      <c r="AI49" s="308"/>
    </row>
    <row r="50" spans="1:35" s="307" customFormat="1" x14ac:dyDescent="0.25">
      <c r="B50" s="316">
        <v>4</v>
      </c>
      <c r="C50" s="317" t="s">
        <v>13</v>
      </c>
      <c r="D50" s="293">
        <f>'Reporte Componentes R1'!F470</f>
        <v>8186910</v>
      </c>
      <c r="E50" s="294">
        <f>'Reporte Componentes R1'!G470</f>
        <v>490323.77</v>
      </c>
      <c r="F50" s="294">
        <f>'Reporte Componentes R1'!H470</f>
        <v>277627.11</v>
      </c>
      <c r="G50" s="294">
        <f>'Reporte Componentes R1'!I470</f>
        <v>149666.72</v>
      </c>
      <c r="H50" s="294">
        <f>'Reporte Componentes R1'!J470</f>
        <v>1748538.41</v>
      </c>
      <c r="I50" s="294">
        <f>'Reporte Componentes R1'!K470</f>
        <v>47474.16</v>
      </c>
      <c r="J50" s="290">
        <v>0</v>
      </c>
      <c r="K50" s="297">
        <f t="shared" si="15"/>
        <v>5473279.8300000001</v>
      </c>
      <c r="L50" s="296">
        <v>0</v>
      </c>
      <c r="M50" s="297">
        <f>K50-L50</f>
        <v>5473279.8300000001</v>
      </c>
      <c r="N50" s="296">
        <f>'Reporte Componentes R1'!L470</f>
        <v>0</v>
      </c>
      <c r="O50" s="297">
        <f t="shared" si="16"/>
        <v>5473279.8300000001</v>
      </c>
      <c r="Q50" s="308"/>
      <c r="S50" s="316">
        <v>4</v>
      </c>
      <c r="T50" s="317" t="s">
        <v>13</v>
      </c>
      <c r="U50" s="318">
        <f>'Reporte Componentes R1'!M470</f>
        <v>416441.8</v>
      </c>
      <c r="V50" s="319">
        <f>'Reporte Componentes R1'!N470</f>
        <v>543766.17000000004</v>
      </c>
      <c r="W50" s="319">
        <f>'Reporte Componentes R1'!O470</f>
        <v>2759239.45</v>
      </c>
      <c r="X50" s="319">
        <f>'Reporte Componentes R1'!P470</f>
        <v>1308401.52</v>
      </c>
      <c r="Y50" s="320">
        <f>'Reporte Componentes R1'!Q470</f>
        <v>78671.37</v>
      </c>
      <c r="Z50" s="321">
        <f>-L50</f>
        <v>0</v>
      </c>
      <c r="AA50" s="322">
        <f>'Reporte Componentes R1'!R470+'Reporte Componentes R1'!V470+'Reporte Componentes R1'!U470</f>
        <v>-18.91</v>
      </c>
      <c r="AB50" s="296">
        <f>N50</f>
        <v>0</v>
      </c>
      <c r="AC50" s="322">
        <f>'Reporte Componentes R1'!T470+'Reporte Componentes R1'!W470+'Reporte Componentes R1'!X470+'Reporte Componentes R1'!Y470+'Reporte Componentes R1'!Z470+'Reporte Componentes R1'!S470</f>
        <v>0</v>
      </c>
      <c r="AD50" s="293">
        <f t="shared" si="17"/>
        <v>366778.43</v>
      </c>
      <c r="AE50" s="293">
        <f>'Reporte Componentes R1'!F471</f>
        <v>366778.43</v>
      </c>
      <c r="AF50" s="324">
        <f t="shared" si="19"/>
        <v>5473279.8299999991</v>
      </c>
      <c r="AG50" s="325">
        <f t="shared" si="20"/>
        <v>-9.3132257461547852E-10</v>
      </c>
      <c r="AH50" s="1" t="b">
        <f t="shared" si="18"/>
        <v>0</v>
      </c>
      <c r="AI50" s="308"/>
    </row>
    <row r="51" spans="1:35" s="307" customFormat="1" ht="12" thickBot="1" x14ac:dyDescent="0.3">
      <c r="B51" s="326">
        <v>5</v>
      </c>
      <c r="C51" s="327" t="s">
        <v>14</v>
      </c>
      <c r="D51" s="298">
        <f>'Reporte Componentes R1'!F564</f>
        <v>0</v>
      </c>
      <c r="E51" s="299">
        <f>'Reporte Componentes R1'!G564</f>
        <v>0</v>
      </c>
      <c r="F51" s="299">
        <f>'Reporte Componentes R1'!H564</f>
        <v>0</v>
      </c>
      <c r="G51" s="299">
        <f>'Reporte Componentes R1'!I564</f>
        <v>0</v>
      </c>
      <c r="H51" s="299">
        <f>'Reporte Componentes R1'!J564</f>
        <v>0</v>
      </c>
      <c r="I51" s="299">
        <f>'Reporte Componentes R1'!K564</f>
        <v>0</v>
      </c>
      <c r="J51" s="291">
        <v>0</v>
      </c>
      <c r="K51" s="297">
        <f t="shared" si="15"/>
        <v>0</v>
      </c>
      <c r="L51" s="296">
        <v>0</v>
      </c>
      <c r="M51" s="300">
        <f>K51-L51</f>
        <v>0</v>
      </c>
      <c r="N51" s="301">
        <f>'Reporte Componentes R1'!L564</f>
        <v>0</v>
      </c>
      <c r="O51" s="300">
        <f t="shared" si="16"/>
        <v>0</v>
      </c>
      <c r="Q51" s="308"/>
      <c r="S51" s="326">
        <v>5</v>
      </c>
      <c r="T51" s="327" t="s">
        <v>14</v>
      </c>
      <c r="U51" s="298">
        <f>'Reporte Componentes R1'!M564</f>
        <v>0</v>
      </c>
      <c r="V51" s="299">
        <f>'Reporte Componentes R1'!N564</f>
        <v>0</v>
      </c>
      <c r="W51" s="299">
        <f>'Reporte Componentes R1'!O564</f>
        <v>0</v>
      </c>
      <c r="X51" s="299">
        <f>'Reporte Componentes R1'!P564</f>
        <v>0</v>
      </c>
      <c r="Y51" s="291">
        <f>'Reporte Componentes R1'!Q564</f>
        <v>0</v>
      </c>
      <c r="Z51" s="321">
        <f>-L51</f>
        <v>0</v>
      </c>
      <c r="AA51" s="322">
        <f>'Reporte Componentes R1'!R564+'Reporte Componentes R1'!V564+'Reporte Componentes R1'!U564</f>
        <v>0</v>
      </c>
      <c r="AB51" s="296">
        <f>N51</f>
        <v>0</v>
      </c>
      <c r="AC51" s="322">
        <f>'Reporte Componentes R1'!T564+'Reporte Componentes R1'!W564+'Reporte Componentes R1'!X564+'Reporte Componentes R1'!Y564+'Reporte Componentes R1'!Z564+'Reporte Componentes R1'!S564</f>
        <v>0</v>
      </c>
      <c r="AD51" s="293">
        <f t="shared" si="17"/>
        <v>0</v>
      </c>
      <c r="AE51" s="293">
        <f>'Reporte Componentes R1'!F565</f>
        <v>0</v>
      </c>
      <c r="AF51" s="324">
        <f t="shared" si="19"/>
        <v>0</v>
      </c>
      <c r="AG51" s="328">
        <f t="shared" si="20"/>
        <v>0</v>
      </c>
      <c r="AH51" s="1" t="b">
        <f t="shared" si="18"/>
        <v>1</v>
      </c>
      <c r="AI51" s="308"/>
    </row>
    <row r="52" spans="1:35" s="307" customFormat="1" ht="13.5" thickBot="1" x14ac:dyDescent="0.35">
      <c r="B52" s="329"/>
      <c r="C52" s="330" t="s">
        <v>2</v>
      </c>
      <c r="D52" s="292">
        <f t="shared" ref="D52:O52" si="21">SUM(D47:D51)</f>
        <v>8322850</v>
      </c>
      <c r="E52" s="292">
        <f t="shared" si="21"/>
        <v>497722.21</v>
      </c>
      <c r="F52" s="292">
        <f t="shared" si="21"/>
        <v>281793.18</v>
      </c>
      <c r="G52" s="292">
        <f t="shared" ref="G52" si="22">SUM(G47:G51)</f>
        <v>151859.24</v>
      </c>
      <c r="H52" s="292">
        <f t="shared" si="21"/>
        <v>1790942.23</v>
      </c>
      <c r="I52" s="292">
        <f t="shared" si="21"/>
        <v>48602.590000000004</v>
      </c>
      <c r="J52" s="292">
        <f t="shared" si="21"/>
        <v>0</v>
      </c>
      <c r="K52" s="302">
        <f t="shared" si="21"/>
        <v>5551930.5499999998</v>
      </c>
      <c r="L52" s="303">
        <f t="shared" si="21"/>
        <v>0</v>
      </c>
      <c r="M52" s="304">
        <f t="shared" si="21"/>
        <v>5551930.5499999998</v>
      </c>
      <c r="N52" s="303">
        <f t="shared" si="21"/>
        <v>0</v>
      </c>
      <c r="O52" s="304">
        <f t="shared" si="21"/>
        <v>5551930.5499999998</v>
      </c>
      <c r="P52" s="331"/>
      <c r="Q52" s="308"/>
      <c r="S52" s="329"/>
      <c r="T52" s="330" t="s">
        <v>2</v>
      </c>
      <c r="U52" s="332">
        <f>SUM(U47:U51)</f>
        <v>426340.45</v>
      </c>
      <c r="V52" s="332">
        <f t="shared" ref="V52:AG52" si="23">SUM(V47:V51)</f>
        <v>556603.05000000005</v>
      </c>
      <c r="W52" s="332">
        <f t="shared" si="23"/>
        <v>2819784.1300000004</v>
      </c>
      <c r="X52" s="332">
        <f t="shared" si="23"/>
        <v>1325748.1599999999</v>
      </c>
      <c r="Y52" s="332">
        <f t="shared" si="23"/>
        <v>80512.51999999999</v>
      </c>
      <c r="Z52" s="292">
        <f t="shared" si="23"/>
        <v>0</v>
      </c>
      <c r="AA52" s="292">
        <f t="shared" si="23"/>
        <v>-23.87</v>
      </c>
      <c r="AB52" s="292">
        <f t="shared" si="23"/>
        <v>0</v>
      </c>
      <c r="AC52" s="292">
        <f t="shared" si="23"/>
        <v>0</v>
      </c>
      <c r="AD52" s="292">
        <f>SUM(AD47:AD51)</f>
        <v>342966.11</v>
      </c>
      <c r="AE52" s="292">
        <f>SUM(AE47:AE51)</f>
        <v>342966.11</v>
      </c>
      <c r="AF52" s="333">
        <f t="shared" si="23"/>
        <v>5551930.5499999989</v>
      </c>
      <c r="AG52" s="334">
        <f t="shared" si="23"/>
        <v>-9.6042640507221222E-10</v>
      </c>
      <c r="AH52" s="1" t="b">
        <f t="shared" si="18"/>
        <v>0</v>
      </c>
      <c r="AI52" s="308"/>
    </row>
    <row r="53" spans="1:35" ht="12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5208988.3099999996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3">
      <c r="Q58" s="4"/>
      <c r="AI58" s="4"/>
    </row>
    <row r="59" spans="1:35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4" x14ac:dyDescent="0.3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5" x14ac:dyDescent="0.3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4" x14ac:dyDescent="0.3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5" x14ac:dyDescent="0.35">
      <c r="B63" s="8"/>
      <c r="C63" s="590" t="s">
        <v>17</v>
      </c>
      <c r="D63" s="9">
        <f>D6</f>
        <v>46282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" thickBot="1" x14ac:dyDescent="0.3">
      <c r="B64" s="8"/>
      <c r="C64" s="590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3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21" t="s">
        <v>107</v>
      </c>
      <c r="AE65" s="121" t="s">
        <v>223</v>
      </c>
      <c r="AF65" s="39" t="s">
        <v>23</v>
      </c>
      <c r="AG65" s="13"/>
      <c r="AI65" s="4"/>
    </row>
    <row r="66" spans="1:35" s="307" customFormat="1" x14ac:dyDescent="0.25">
      <c r="B66" s="305">
        <v>1</v>
      </c>
      <c r="C66" s="306" t="s">
        <v>10</v>
      </c>
      <c r="D66" s="293">
        <f>'Reversion Pagos R4'!D77</f>
        <v>-3461197.29</v>
      </c>
      <c r="E66" s="294">
        <f>'Reversion Pagos R4'!E77</f>
        <v>-214701.26</v>
      </c>
      <c r="F66" s="294">
        <f>'Reversion Pagos R4'!F77</f>
        <v>-115148.64</v>
      </c>
      <c r="G66" s="294">
        <f>'Reversion Pagos R4'!G77</f>
        <v>-61716.85</v>
      </c>
      <c r="H66" s="294">
        <f>'Reversion Pagos R4'!H77</f>
        <v>-1168748.75</v>
      </c>
      <c r="I66" s="294">
        <f>'Reversion Pagos R4'!I77</f>
        <v>-45201.7</v>
      </c>
      <c r="J66" s="311">
        <v>0</v>
      </c>
      <c r="K66" s="295">
        <f>D66-E66-F66-G66-H66-I66-J66</f>
        <v>-1855680.09</v>
      </c>
      <c r="L66" s="296">
        <v>0</v>
      </c>
      <c r="M66" s="295">
        <f>K66-L66</f>
        <v>-1855680.09</v>
      </c>
      <c r="N66" s="296">
        <f>'Reversion Pagos R4'!P77</f>
        <v>0</v>
      </c>
      <c r="O66" s="295">
        <f>M66+N66</f>
        <v>-1855680.09</v>
      </c>
      <c r="Q66" s="308"/>
      <c r="S66" s="305">
        <v>1</v>
      </c>
      <c r="T66" s="306" t="s">
        <v>10</v>
      </c>
      <c r="U66" s="309">
        <f>'Reversion Pagos R4'!J77</f>
        <v>-396504.48</v>
      </c>
      <c r="V66" s="310">
        <f>'Reversion Pagos R4'!K77</f>
        <v>-370551.41</v>
      </c>
      <c r="W66" s="310">
        <f>'Reversion Pagos R4'!L77</f>
        <v>-1758666.75</v>
      </c>
      <c r="X66" s="310">
        <f>'Reversion Pagos R4'!M77</f>
        <v>-561484.02</v>
      </c>
      <c r="Y66" s="311">
        <f>'Reversion Pagos R4'!N77</f>
        <v>-73125.36</v>
      </c>
      <c r="Z66" s="312">
        <f>-L66</f>
        <v>0</v>
      </c>
      <c r="AA66" s="313">
        <f>+'Reversion Pagos R4'!O77</f>
        <v>17.75</v>
      </c>
      <c r="AB66" s="296">
        <f>N66</f>
        <v>0</v>
      </c>
      <c r="AC66" s="313">
        <f>+'Reversion Pagos R4'!Q77+'Reversion Pagos R4'!R77</f>
        <v>0</v>
      </c>
      <c r="AD66" s="293">
        <f>-J66+AE66</f>
        <v>1304634.18</v>
      </c>
      <c r="AE66" s="293">
        <f>'Reversion Pagos R4'!D78</f>
        <v>1304634.18</v>
      </c>
      <c r="AF66" s="315">
        <f>SUM(U66:AD66)</f>
        <v>-1855680.0899999996</v>
      </c>
      <c r="AG66" s="313">
        <f>(AF66-O66)</f>
        <v>4.6566128730773926E-10</v>
      </c>
      <c r="AH66" s="1" t="b">
        <f>INT(AG66)=0</f>
        <v>1</v>
      </c>
      <c r="AI66" s="308"/>
    </row>
    <row r="67" spans="1:35" s="307" customFormat="1" x14ac:dyDescent="0.25">
      <c r="B67" s="316">
        <v>2</v>
      </c>
      <c r="C67" s="317" t="s">
        <v>11</v>
      </c>
      <c r="D67" s="293">
        <f>'Reversion Pagos R4'!D166</f>
        <v>-8713102.3699999992</v>
      </c>
      <c r="E67" s="294">
        <f>'Reversion Pagos R4'!E166</f>
        <v>-566211.69999999995</v>
      </c>
      <c r="F67" s="294">
        <f>'Reversion Pagos R4'!F166</f>
        <v>-318239.98</v>
      </c>
      <c r="G67" s="294">
        <f>'Reversion Pagos R4'!G166</f>
        <v>-167439.25</v>
      </c>
      <c r="H67" s="294">
        <f>'Reversion Pagos R4'!H166</f>
        <v>-2642163.0499999998</v>
      </c>
      <c r="I67" s="294">
        <f>'Reversion Pagos R4'!I166</f>
        <v>-90052.6</v>
      </c>
      <c r="J67" s="290">
        <v>0</v>
      </c>
      <c r="K67" s="297">
        <f t="shared" ref="K67:K70" si="24">D67-E67-F67-G67-H67-I67-J67</f>
        <v>-4928995.79</v>
      </c>
      <c r="L67" s="296">
        <v>0</v>
      </c>
      <c r="M67" s="297">
        <f>K67-L67</f>
        <v>-4928995.79</v>
      </c>
      <c r="N67" s="296">
        <f>'Reversion Pagos R4'!P166</f>
        <v>-26500</v>
      </c>
      <c r="O67" s="297">
        <f t="shared" ref="O67:O70" si="25">M67+N67</f>
        <v>-4955495.79</v>
      </c>
      <c r="Q67" s="308"/>
      <c r="S67" s="316">
        <v>2</v>
      </c>
      <c r="T67" s="317" t="s">
        <v>11</v>
      </c>
      <c r="U67" s="318">
        <f>'Reversion Pagos R4'!J166</f>
        <v>-789932.39</v>
      </c>
      <c r="V67" s="319">
        <f>'Reversion Pagos R4'!K166</f>
        <v>-770822.52</v>
      </c>
      <c r="W67" s="319">
        <f>'Reversion Pagos R4'!L166</f>
        <v>-3654042.78</v>
      </c>
      <c r="X67" s="319">
        <f>'Reversion Pagos R4'!M166</f>
        <v>-1114650.32</v>
      </c>
      <c r="Y67" s="320">
        <f>'Reversion Pagos R4'!N166</f>
        <v>-146927.71</v>
      </c>
      <c r="Z67" s="321">
        <f t="shared" ref="Z67:Z70" si="26">-L67</f>
        <v>0</v>
      </c>
      <c r="AA67" s="322">
        <f>'Reversion Pagos R4'!O166</f>
        <v>4.09</v>
      </c>
      <c r="AB67" s="296">
        <f t="shared" ref="AB67:AB70" si="27">N67</f>
        <v>-26500</v>
      </c>
      <c r="AC67" s="322">
        <f>'Reversion Pagos R4'!Q166+'Reversion Pagos R4'!R166</f>
        <v>0</v>
      </c>
      <c r="AD67" s="293">
        <f t="shared" ref="AD67:AD70" si="28">-J67+AE67</f>
        <v>1547375.84</v>
      </c>
      <c r="AE67" s="293">
        <f>'Reversion Pagos R4'!D167</f>
        <v>1547375.84</v>
      </c>
      <c r="AF67" s="324">
        <f>SUM(U67:AD67)</f>
        <v>-4955495.79</v>
      </c>
      <c r="AG67" s="325">
        <f>(AF67-O67)</f>
        <v>0</v>
      </c>
      <c r="AH67" s="1" t="b">
        <f t="shared" ref="AH67:AH71" si="29">INT(AG67)=0</f>
        <v>1</v>
      </c>
      <c r="AI67" s="308"/>
    </row>
    <row r="68" spans="1:35" s="307" customFormat="1" x14ac:dyDescent="0.25">
      <c r="B68" s="316">
        <v>3</v>
      </c>
      <c r="C68" s="317" t="s">
        <v>12</v>
      </c>
      <c r="D68" s="293">
        <f>'Reversion Pagos R4'!D202</f>
        <v>-6091573.8899999997</v>
      </c>
      <c r="E68" s="294">
        <f>'Reversion Pagos R4'!E202</f>
        <v>-329211.14</v>
      </c>
      <c r="F68" s="294">
        <f>'Reversion Pagos R4'!F202</f>
        <v>-185670.3</v>
      </c>
      <c r="G68" s="294">
        <f>'Reversion Pagos R4'!G202</f>
        <v>-97710.73</v>
      </c>
      <c r="H68" s="294">
        <f>'Reversion Pagos R4'!H202</f>
        <v>-2008786.33</v>
      </c>
      <c r="I68" s="294">
        <f>'Reversion Pagos R4'!I202</f>
        <v>-59510.65</v>
      </c>
      <c r="J68" s="290">
        <v>0</v>
      </c>
      <c r="K68" s="297">
        <f t="shared" si="24"/>
        <v>-3410684.7399999998</v>
      </c>
      <c r="L68" s="296">
        <v>0</v>
      </c>
      <c r="M68" s="297">
        <f>K68-L68</f>
        <v>-3410684.7399999998</v>
      </c>
      <c r="N68" s="296">
        <f>'Reversion Pagos R4'!P202</f>
        <v>0</v>
      </c>
      <c r="O68" s="297">
        <f t="shared" si="25"/>
        <v>-3410684.7399999998</v>
      </c>
      <c r="Q68" s="308"/>
      <c r="S68" s="316">
        <v>3</v>
      </c>
      <c r="T68" s="317" t="s">
        <v>12</v>
      </c>
      <c r="U68" s="318">
        <f>'Reversion Pagos R4'!J202</f>
        <v>-518767.2</v>
      </c>
      <c r="V68" s="319">
        <f>'Reversion Pagos R4'!K202</f>
        <v>-504980.22</v>
      </c>
      <c r="W68" s="319">
        <f>'Reversion Pagos R4'!L202</f>
        <v>-2392242.2000000002</v>
      </c>
      <c r="X68" s="319">
        <f>'Reversion Pagos R4'!M202</f>
        <v>-776104.47</v>
      </c>
      <c r="Y68" s="320">
        <f>'Reversion Pagos R4'!N202</f>
        <v>-97096.95</v>
      </c>
      <c r="Z68" s="321">
        <f t="shared" si="26"/>
        <v>0</v>
      </c>
      <c r="AA68" s="322">
        <f>'Reversion Pagos R4'!O202</f>
        <v>-28.18</v>
      </c>
      <c r="AB68" s="296">
        <f t="shared" si="27"/>
        <v>0</v>
      </c>
      <c r="AC68" s="322">
        <f>'Reversion Pagos R4'!Q202+'Reversion Pagos R4'!R202</f>
        <v>0</v>
      </c>
      <c r="AD68" s="293">
        <f t="shared" si="28"/>
        <v>878534.48</v>
      </c>
      <c r="AE68" s="293">
        <f>'Reversion Pagos R4'!D203</f>
        <v>878534.48</v>
      </c>
      <c r="AF68" s="324">
        <f t="shared" ref="AF68:AF70" si="30">SUM(U68:AD68)</f>
        <v>-3410684.7399999998</v>
      </c>
      <c r="AG68" s="325">
        <f t="shared" ref="AG68:AG70" si="31">(AF68-O68)</f>
        <v>0</v>
      </c>
      <c r="AH68" s="1" t="b">
        <f t="shared" si="29"/>
        <v>1</v>
      </c>
      <c r="AI68" s="308"/>
    </row>
    <row r="69" spans="1:35" s="307" customFormat="1" x14ac:dyDescent="0.25">
      <c r="B69" s="316">
        <v>4</v>
      </c>
      <c r="C69" s="317" t="s">
        <v>13</v>
      </c>
      <c r="D69" s="293">
        <f>'Reversion Pagos R4'!D316</f>
        <v>-20245524.780000001</v>
      </c>
      <c r="E69" s="294">
        <f>'Reversion Pagos R4'!E316</f>
        <v>-1196448.3</v>
      </c>
      <c r="F69" s="294">
        <f>'Reversion Pagos R4'!F316</f>
        <v>-664404.36</v>
      </c>
      <c r="G69" s="294">
        <f>'Reversion Pagos R4'!G316</f>
        <v>-360883.75</v>
      </c>
      <c r="H69" s="294">
        <f>'Reversion Pagos R4'!H316</f>
        <v>-4685929.54</v>
      </c>
      <c r="I69" s="294">
        <f>'Reversion Pagos R4'!I316</f>
        <v>-166519.81</v>
      </c>
      <c r="J69" s="290">
        <v>0</v>
      </c>
      <c r="K69" s="297">
        <f t="shared" si="24"/>
        <v>-13171339.020000001</v>
      </c>
      <c r="L69" s="296">
        <v>0</v>
      </c>
      <c r="M69" s="297">
        <f>K69-L69</f>
        <v>-13171339.020000001</v>
      </c>
      <c r="N69" s="296">
        <f>'Reversion Pagos R4'!P316</f>
        <v>0</v>
      </c>
      <c r="O69" s="297">
        <f t="shared" si="25"/>
        <v>-13171339.020000001</v>
      </c>
      <c r="Q69" s="308"/>
      <c r="S69" s="316">
        <v>4</v>
      </c>
      <c r="T69" s="317" t="s">
        <v>13</v>
      </c>
      <c r="U69" s="318">
        <f>'Reversion Pagos R4'!J316</f>
        <v>-1470400.62</v>
      </c>
      <c r="V69" s="319">
        <f>'Reversion Pagos R4'!K316</f>
        <v>-1455377.67</v>
      </c>
      <c r="W69" s="319">
        <f>'Reversion Pagos R4'!L316</f>
        <v>-7399406.1699999999</v>
      </c>
      <c r="X69" s="319">
        <f>'Reversion Pagos R4'!M316</f>
        <v>-3269494.65</v>
      </c>
      <c r="Y69" s="320">
        <f>'Reversion Pagos R4'!N316</f>
        <v>-270007.23</v>
      </c>
      <c r="Z69" s="321">
        <f t="shared" si="26"/>
        <v>0</v>
      </c>
      <c r="AA69" s="322">
        <f>'Reversion Pagos R4'!O316</f>
        <v>66.739999999999995</v>
      </c>
      <c r="AB69" s="296">
        <f t="shared" si="27"/>
        <v>0</v>
      </c>
      <c r="AC69" s="322">
        <f>'Reversion Pagos R4'!Q316+'Reversion Pagos R4'!R316</f>
        <v>0</v>
      </c>
      <c r="AD69" s="293">
        <f t="shared" si="28"/>
        <v>693280.58</v>
      </c>
      <c r="AE69" s="293">
        <f>'Reversion Pagos R4'!D317</f>
        <v>693280.58</v>
      </c>
      <c r="AF69" s="324">
        <f>SUM(U69:AD69)</f>
        <v>-13171339.020000001</v>
      </c>
      <c r="AG69" s="325">
        <f>(AF69-O69)</f>
        <v>0</v>
      </c>
      <c r="AH69" s="1" t="b">
        <f t="shared" si="29"/>
        <v>1</v>
      </c>
      <c r="AI69" s="308"/>
    </row>
    <row r="70" spans="1:35" s="307" customFormat="1" ht="12" thickBot="1" x14ac:dyDescent="0.3">
      <c r="B70" s="326">
        <v>5</v>
      </c>
      <c r="C70" s="327" t="s">
        <v>14</v>
      </c>
      <c r="D70" s="298">
        <f>'Reversion Pagos R4'!D351</f>
        <v>-8771320</v>
      </c>
      <c r="E70" s="299">
        <f>'Reversion Pagos R4'!E351</f>
        <v>-408847.65</v>
      </c>
      <c r="F70" s="299">
        <f>'Reversion Pagos R4'!F351</f>
        <v>-229915.41</v>
      </c>
      <c r="G70" s="299">
        <f>'Reversion Pagos R4'!G351</f>
        <v>-121140.38</v>
      </c>
      <c r="H70" s="299">
        <f>'Reversion Pagos R4'!H351</f>
        <v>-1864549.61</v>
      </c>
      <c r="I70" s="299">
        <f>'Reversion Pagos R4'!I351</f>
        <v>-67473.23</v>
      </c>
      <c r="J70" s="291">
        <v>0</v>
      </c>
      <c r="K70" s="297">
        <f t="shared" si="24"/>
        <v>-6079393.7199999988</v>
      </c>
      <c r="L70" s="296">
        <v>0</v>
      </c>
      <c r="M70" s="300">
        <f>K70-L70</f>
        <v>-6079393.7199999988</v>
      </c>
      <c r="N70" s="296">
        <f>'Reversion Pagos R4'!P351</f>
        <v>0</v>
      </c>
      <c r="O70" s="300">
        <f t="shared" si="25"/>
        <v>-6079393.7199999988</v>
      </c>
      <c r="Q70" s="308"/>
      <c r="S70" s="326">
        <v>5</v>
      </c>
      <c r="T70" s="327" t="s">
        <v>14</v>
      </c>
      <c r="U70" s="298">
        <f>'Reversion Pagos R4'!J351</f>
        <v>-591865.68999999994</v>
      </c>
      <c r="V70" s="299">
        <f>'Reversion Pagos R4'!K351</f>
        <v>-569442.35</v>
      </c>
      <c r="W70" s="299">
        <f>'Reversion Pagos R4'!L351</f>
        <v>-2965163.85</v>
      </c>
      <c r="X70" s="299">
        <f>'Reversion Pagos R4'!M351</f>
        <v>-1234590.28</v>
      </c>
      <c r="Y70" s="291">
        <f>'Reversion Pagos R4'!N351</f>
        <v>-110087.57</v>
      </c>
      <c r="Z70" s="321">
        <f t="shared" si="26"/>
        <v>0</v>
      </c>
      <c r="AA70" s="322">
        <f>'Reversion Pagos R4'!O351</f>
        <v>-44.61</v>
      </c>
      <c r="AB70" s="296">
        <f t="shared" si="27"/>
        <v>0</v>
      </c>
      <c r="AC70" s="322">
        <f>'Reversion Pagos R4'!Q351+'Reversion Pagos R4'!R351</f>
        <v>0</v>
      </c>
      <c r="AD70" s="293">
        <f t="shared" si="28"/>
        <v>-608199.37</v>
      </c>
      <c r="AE70" s="293">
        <f>'Reversion Pagos R4'!D352</f>
        <v>-608199.37</v>
      </c>
      <c r="AF70" s="324">
        <f t="shared" si="30"/>
        <v>-6079393.7200000007</v>
      </c>
      <c r="AG70" s="328">
        <f t="shared" si="31"/>
        <v>-1.862645149230957E-9</v>
      </c>
      <c r="AH70" s="1" t="b">
        <f t="shared" si="29"/>
        <v>0</v>
      </c>
      <c r="AI70" s="308"/>
    </row>
    <row r="71" spans="1:35" s="307" customFormat="1" ht="13.5" thickBot="1" x14ac:dyDescent="0.35">
      <c r="B71" s="329"/>
      <c r="C71" s="330" t="s">
        <v>2</v>
      </c>
      <c r="D71" s="292">
        <f t="shared" ref="D71:O71" si="32">SUM(D66:D70)</f>
        <v>-47282718.329999998</v>
      </c>
      <c r="E71" s="292">
        <f t="shared" si="32"/>
        <v>-2715420.0500000003</v>
      </c>
      <c r="F71" s="292">
        <f t="shared" si="32"/>
        <v>-1513378.6899999997</v>
      </c>
      <c r="G71" s="292">
        <f t="shared" si="32"/>
        <v>-808890.96000000008</v>
      </c>
      <c r="H71" s="292">
        <f t="shared" si="32"/>
        <v>-12370177.279999999</v>
      </c>
      <c r="I71" s="292">
        <f t="shared" si="32"/>
        <v>-428757.99</v>
      </c>
      <c r="J71" s="292">
        <f t="shared" si="32"/>
        <v>0</v>
      </c>
      <c r="K71" s="302">
        <f t="shared" si="32"/>
        <v>-29446093.359999999</v>
      </c>
      <c r="L71" s="303">
        <f t="shared" si="32"/>
        <v>0</v>
      </c>
      <c r="M71" s="304">
        <f t="shared" si="32"/>
        <v>-29446093.359999999</v>
      </c>
      <c r="N71" s="303">
        <f t="shared" si="32"/>
        <v>-26500</v>
      </c>
      <c r="O71" s="304">
        <f t="shared" si="32"/>
        <v>-29472593.359999999</v>
      </c>
      <c r="P71" s="331"/>
      <c r="Q71" s="308"/>
      <c r="S71" s="329"/>
      <c r="T71" s="330" t="s">
        <v>2</v>
      </c>
      <c r="U71" s="332">
        <f>SUM(U66:U70)</f>
        <v>-3767470.3800000004</v>
      </c>
      <c r="V71" s="332">
        <f t="shared" ref="V71:AG71" si="33">SUM(V66:V70)</f>
        <v>-3671174.17</v>
      </c>
      <c r="W71" s="332">
        <f t="shared" si="33"/>
        <v>-18169521.75</v>
      </c>
      <c r="X71" s="332">
        <f t="shared" si="33"/>
        <v>-6956323.7400000002</v>
      </c>
      <c r="Y71" s="332">
        <f t="shared" si="33"/>
        <v>-697244.82000000007</v>
      </c>
      <c r="Z71" s="292">
        <f t="shared" si="33"/>
        <v>0</v>
      </c>
      <c r="AA71" s="292">
        <f>SUM(AA66:AA70)</f>
        <v>15.789999999999992</v>
      </c>
      <c r="AB71" s="292">
        <f t="shared" si="33"/>
        <v>-26500</v>
      </c>
      <c r="AC71" s="292">
        <f t="shared" ref="AC71" si="34">SUM(AC66:AC70)</f>
        <v>0</v>
      </c>
      <c r="AD71" s="292">
        <f>SUM(AD66:AD70)</f>
        <v>3815625.71</v>
      </c>
      <c r="AE71" s="292">
        <f>SUM(AE66:AE70)</f>
        <v>3815625.71</v>
      </c>
      <c r="AF71" s="333">
        <f t="shared" si="33"/>
        <v>-29472593.359999999</v>
      </c>
      <c r="AG71" s="334">
        <f t="shared" si="33"/>
        <v>-1.3969838619232178E-9</v>
      </c>
      <c r="AH71" s="1" t="b">
        <f t="shared" si="29"/>
        <v>0</v>
      </c>
      <c r="AI71" s="308"/>
    </row>
    <row r="72" spans="1:35" ht="12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-33261734.859999999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3">
      <c r="Q77" s="4"/>
      <c r="AI77" s="4"/>
    </row>
    <row r="78" spans="1:35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4" x14ac:dyDescent="0.3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5" x14ac:dyDescent="0.3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4" x14ac:dyDescent="0.3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5" x14ac:dyDescent="0.35">
      <c r="B82" s="8"/>
      <c r="C82" s="590" t="s">
        <v>17</v>
      </c>
      <c r="D82" s="9">
        <f>D6</f>
        <v>46282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" thickBot="1" x14ac:dyDescent="0.3">
      <c r="B83" s="8"/>
      <c r="C83" s="590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3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167</v>
      </c>
      <c r="AD84" s="566" t="s">
        <v>105</v>
      </c>
      <c r="AE84" s="565" t="s">
        <v>104</v>
      </c>
      <c r="AF84" s="39" t="s">
        <v>23</v>
      </c>
      <c r="AG84" s="13"/>
      <c r="AI84" s="4"/>
    </row>
    <row r="85" spans="1:35" s="307" customFormat="1" x14ac:dyDescent="0.25">
      <c r="B85" s="305">
        <v>1</v>
      </c>
      <c r="C85" s="306" t="s">
        <v>10</v>
      </c>
      <c r="D85" s="293">
        <f>'AJUSTES - SF-T'!D47</f>
        <v>0</v>
      </c>
      <c r="E85" s="294">
        <f>'AJUSTES - SF-T'!E47</f>
        <v>0</v>
      </c>
      <c r="F85" s="294">
        <f>'AJUSTES - SF-T'!F47</f>
        <v>0</v>
      </c>
      <c r="G85" s="294">
        <f>'AJUSTES - SF-T'!G47</f>
        <v>0</v>
      </c>
      <c r="H85" s="294">
        <f>'AJUSTES - SF-T'!H47</f>
        <v>0</v>
      </c>
      <c r="I85" s="294">
        <f>'AJUSTES - SF-T'!I47</f>
        <v>0</v>
      </c>
      <c r="J85" s="294">
        <f>'AJUSTES - SF-T'!J47</f>
        <v>0</v>
      </c>
      <c r="K85" s="294">
        <f>D85-E85-F85-G85-H85-I85-J85</f>
        <v>0</v>
      </c>
      <c r="L85" s="296">
        <v>0</v>
      </c>
      <c r="M85" s="323">
        <f>K85-L85</f>
        <v>0</v>
      </c>
      <c r="N85" s="323">
        <f>'AJUSTES - SF-T'!N47</f>
        <v>0</v>
      </c>
      <c r="O85" s="323">
        <f>M85+N85</f>
        <v>0</v>
      </c>
      <c r="Q85" s="308"/>
      <c r="S85" s="305">
        <v>1</v>
      </c>
      <c r="T85" s="306" t="s">
        <v>10</v>
      </c>
      <c r="U85" s="314">
        <f>'AJUSTES - SF-T'!U47</f>
        <v>0</v>
      </c>
      <c r="V85" s="314">
        <f>'AJUSTES - SF-T'!V47</f>
        <v>0</v>
      </c>
      <c r="W85" s="314">
        <f>'AJUSTES - SF-T'!W47</f>
        <v>0</v>
      </c>
      <c r="X85" s="314">
        <f>'AJUSTES - SF-T'!X47</f>
        <v>0</v>
      </c>
      <c r="Y85" s="314">
        <f>'AJUSTES - SF-T'!Y47</f>
        <v>0</v>
      </c>
      <c r="Z85" s="314">
        <f>'AJUSTES - SF-T'!Z47</f>
        <v>0</v>
      </c>
      <c r="AA85" s="313">
        <v>0</v>
      </c>
      <c r="AB85" s="314">
        <f>'AJUSTES - SF-T'!AB47</f>
        <v>0</v>
      </c>
      <c r="AC85" s="563">
        <f>'AJUSTES - SF-T'!AA47</f>
        <v>0</v>
      </c>
      <c r="AD85" s="323">
        <f>'AJUSTES - SF-T'!AC47</f>
        <v>0</v>
      </c>
      <c r="AE85" s="296">
        <f>'AJUSTES - SF-T'!AD47</f>
        <v>0</v>
      </c>
      <c r="AF85" s="365">
        <f>SUM(U85:AD85)</f>
        <v>0</v>
      </c>
      <c r="AG85" s="561">
        <f>AF85-O85</f>
        <v>0</v>
      </c>
      <c r="AH85" s="1" t="b">
        <f>INT(AG85)=0</f>
        <v>1</v>
      </c>
      <c r="AI85" s="308"/>
    </row>
    <row r="86" spans="1:35" s="307" customFormat="1" x14ac:dyDescent="0.25">
      <c r="B86" s="316">
        <v>2</v>
      </c>
      <c r="C86" s="317" t="s">
        <v>11</v>
      </c>
      <c r="D86" s="293">
        <v>0</v>
      </c>
      <c r="E86" s="294">
        <v>0</v>
      </c>
      <c r="F86" s="294">
        <v>0</v>
      </c>
      <c r="G86" s="294">
        <v>0</v>
      </c>
      <c r="H86" s="294">
        <v>0</v>
      </c>
      <c r="I86" s="294">
        <v>0</v>
      </c>
      <c r="J86" s="294">
        <v>0</v>
      </c>
      <c r="K86" s="294">
        <f t="shared" ref="K86:K89" si="35">D86-E86-F86-G86-H86-I86-J86</f>
        <v>0</v>
      </c>
      <c r="L86" s="296">
        <v>0</v>
      </c>
      <c r="M86" s="323">
        <f>K86-L86</f>
        <v>0</v>
      </c>
      <c r="N86" s="323">
        <v>0</v>
      </c>
      <c r="O86" s="323">
        <f t="shared" ref="O86:O89" si="36">M86+N86</f>
        <v>0</v>
      </c>
      <c r="Q86" s="308"/>
      <c r="S86" s="316">
        <v>2</v>
      </c>
      <c r="T86" s="317" t="s">
        <v>11</v>
      </c>
      <c r="U86" s="322">
        <v>0</v>
      </c>
      <c r="V86" s="322">
        <v>0</v>
      </c>
      <c r="W86" s="322">
        <v>0</v>
      </c>
      <c r="X86" s="322">
        <v>0</v>
      </c>
      <c r="Y86" s="322">
        <v>0</v>
      </c>
      <c r="Z86" s="322">
        <f>-L86</f>
        <v>0</v>
      </c>
      <c r="AA86" s="322">
        <v>0</v>
      </c>
      <c r="AB86" s="322">
        <f>N86</f>
        <v>0</v>
      </c>
      <c r="AC86" s="301">
        <v>0</v>
      </c>
      <c r="AD86" s="322">
        <f t="shared" ref="AD86:AD88" si="37">-J86+AE86</f>
        <v>0</v>
      </c>
      <c r="AE86" s="301">
        <v>0</v>
      </c>
      <c r="AF86" s="367">
        <f>SUM(U86:AD86)</f>
        <v>0</v>
      </c>
      <c r="AG86" s="562">
        <f>AF86-O86</f>
        <v>0</v>
      </c>
      <c r="AH86" s="1" t="b">
        <f t="shared" ref="AH86:AH90" si="38">INT(AG86)=0</f>
        <v>1</v>
      </c>
      <c r="AI86" s="308"/>
    </row>
    <row r="87" spans="1:35" s="307" customFormat="1" x14ac:dyDescent="0.25">
      <c r="B87" s="316">
        <v>3</v>
      </c>
      <c r="C87" s="317" t="s">
        <v>12</v>
      </c>
      <c r="D87" s="293">
        <f>'AJUSTES - SF-T'!D49</f>
        <v>0</v>
      </c>
      <c r="E87" s="294">
        <f>'AJUSTES - SF-T'!E49</f>
        <v>0</v>
      </c>
      <c r="F87" s="294">
        <f>'AJUSTES - SF-T'!F49</f>
        <v>0</v>
      </c>
      <c r="G87" s="294">
        <f>'AJUSTES - SF-T'!G49</f>
        <v>0</v>
      </c>
      <c r="H87" s="294">
        <f>'AJUSTES - SF-T'!H49</f>
        <v>0</v>
      </c>
      <c r="I87" s="294">
        <f>'AJUSTES - SF-T'!I49</f>
        <v>0</v>
      </c>
      <c r="J87" s="294">
        <f>'AJUSTES - SF-T'!J49</f>
        <v>0</v>
      </c>
      <c r="K87" s="294">
        <f>D87-E87-F87-G87-H87-I87-J87</f>
        <v>0</v>
      </c>
      <c r="L87" s="296">
        <v>0</v>
      </c>
      <c r="M87" s="323">
        <f>K87-L87</f>
        <v>0</v>
      </c>
      <c r="N87" s="323">
        <f>'AJUSTES - SF-T'!N49</f>
        <v>0</v>
      </c>
      <c r="O87" s="323">
        <f>M87+N87</f>
        <v>0</v>
      </c>
      <c r="Q87" s="308"/>
      <c r="S87" s="316">
        <v>3</v>
      </c>
      <c r="T87" s="317" t="s">
        <v>12</v>
      </c>
      <c r="U87" s="322">
        <f>'AJUSTES - SF-T'!U49</f>
        <v>0</v>
      </c>
      <c r="V87" s="322">
        <f>'AJUSTES - SF-T'!V49</f>
        <v>0</v>
      </c>
      <c r="W87" s="322">
        <f>'AJUSTES - SF-T'!W49</f>
        <v>0</v>
      </c>
      <c r="X87" s="322">
        <f>'AJUSTES - SF-T'!X49</f>
        <v>0</v>
      </c>
      <c r="Y87" s="322">
        <f>'AJUSTES - SF-T'!Y49</f>
        <v>0</v>
      </c>
      <c r="Z87" s="322">
        <f>'AJUSTES - SF-T'!Z49</f>
        <v>0</v>
      </c>
      <c r="AA87" s="322">
        <f>'AJUSTES - SF-T'!AA49</f>
        <v>0</v>
      </c>
      <c r="AB87" s="322">
        <f>'AJUSTES - SF-T'!AB49</f>
        <v>0</v>
      </c>
      <c r="AC87" s="301">
        <v>0</v>
      </c>
      <c r="AD87" s="322">
        <f>'AJUSTES - SF-T'!AC49</f>
        <v>0</v>
      </c>
      <c r="AE87" s="301">
        <f>'AJUSTES - SF-T'!AD49</f>
        <v>0</v>
      </c>
      <c r="AF87" s="367">
        <f>SUM(U87:AD87)</f>
        <v>0</v>
      </c>
      <c r="AG87" s="562">
        <f>AF87-O87</f>
        <v>0</v>
      </c>
      <c r="AH87" s="1" t="b">
        <f t="shared" si="38"/>
        <v>1</v>
      </c>
      <c r="AI87" s="308"/>
    </row>
    <row r="88" spans="1:35" s="307" customFormat="1" x14ac:dyDescent="0.25">
      <c r="B88" s="316">
        <v>4</v>
      </c>
      <c r="C88" s="317" t="s">
        <v>13</v>
      </c>
      <c r="D88" s="293">
        <v>0</v>
      </c>
      <c r="E88" s="294">
        <v>0</v>
      </c>
      <c r="F88" s="294">
        <v>0</v>
      </c>
      <c r="G88" s="294">
        <v>0</v>
      </c>
      <c r="H88" s="294">
        <v>0</v>
      </c>
      <c r="I88" s="294">
        <v>0</v>
      </c>
      <c r="J88" s="294">
        <v>0</v>
      </c>
      <c r="K88" s="294">
        <f t="shared" si="35"/>
        <v>0</v>
      </c>
      <c r="L88" s="296">
        <v>0</v>
      </c>
      <c r="M88" s="323">
        <f>K88-L88</f>
        <v>0</v>
      </c>
      <c r="N88" s="323">
        <v>0</v>
      </c>
      <c r="O88" s="323">
        <f t="shared" si="36"/>
        <v>0</v>
      </c>
      <c r="Q88" s="308"/>
      <c r="S88" s="316">
        <v>4</v>
      </c>
      <c r="T88" s="317" t="s">
        <v>13</v>
      </c>
      <c r="U88" s="322">
        <v>0</v>
      </c>
      <c r="V88" s="322">
        <v>0</v>
      </c>
      <c r="W88" s="322">
        <v>0</v>
      </c>
      <c r="X88" s="322">
        <v>0</v>
      </c>
      <c r="Y88" s="322">
        <v>0</v>
      </c>
      <c r="Z88" s="322">
        <f>-L88</f>
        <v>0</v>
      </c>
      <c r="AA88" s="322">
        <v>0</v>
      </c>
      <c r="AB88" s="322">
        <f>N88</f>
        <v>0</v>
      </c>
      <c r="AC88" s="301">
        <v>0</v>
      </c>
      <c r="AD88" s="322">
        <f t="shared" si="37"/>
        <v>0</v>
      </c>
      <c r="AE88" s="301">
        <v>0</v>
      </c>
      <c r="AF88" s="367">
        <f t="shared" ref="AF88:AF89" si="39">SUM(U88:AD88)</f>
        <v>0</v>
      </c>
      <c r="AG88" s="562">
        <f>AF88-O88</f>
        <v>0</v>
      </c>
      <c r="AH88" s="1" t="b">
        <f t="shared" si="38"/>
        <v>1</v>
      </c>
      <c r="AI88" s="308"/>
    </row>
    <row r="89" spans="1:35" s="307" customFormat="1" ht="12" thickBot="1" x14ac:dyDescent="0.3">
      <c r="B89" s="326">
        <v>5</v>
      </c>
      <c r="C89" s="327" t="s">
        <v>14</v>
      </c>
      <c r="D89" s="298">
        <f>'AJUSTES - SF-T'!D51</f>
        <v>0</v>
      </c>
      <c r="E89" s="299">
        <f>'AJUSTES - SF-T'!E51</f>
        <v>0</v>
      </c>
      <c r="F89" s="299">
        <f>'AJUSTES - SF-T'!F51</f>
        <v>0</v>
      </c>
      <c r="G89" s="299">
        <f>'AJUSTES - SF-T'!G51</f>
        <v>0</v>
      </c>
      <c r="H89" s="299">
        <f>'AJUSTES - SF-T'!H51</f>
        <v>0</v>
      </c>
      <c r="I89" s="299">
        <f>'AJUSTES - SF-T'!I51</f>
        <v>0</v>
      </c>
      <c r="J89" s="299">
        <f>'AJUSTES - SF-T'!J51</f>
        <v>0</v>
      </c>
      <c r="K89" s="299">
        <f t="shared" si="35"/>
        <v>0</v>
      </c>
      <c r="L89" s="296">
        <v>0</v>
      </c>
      <c r="M89" s="348">
        <f>K89-L89</f>
        <v>0</v>
      </c>
      <c r="N89" s="348">
        <f>'AJUSTES - SF-T'!N51</f>
        <v>0</v>
      </c>
      <c r="O89" s="348">
        <f t="shared" si="36"/>
        <v>0</v>
      </c>
      <c r="Q89" s="308"/>
      <c r="S89" s="326">
        <v>5</v>
      </c>
      <c r="T89" s="327" t="s">
        <v>14</v>
      </c>
      <c r="U89" s="348">
        <f>'AJUSTES - SF-T'!U51</f>
        <v>0</v>
      </c>
      <c r="V89" s="348">
        <f>'AJUSTES - SF-T'!V51</f>
        <v>0</v>
      </c>
      <c r="W89" s="348">
        <f>'AJUSTES - SF-T'!W51</f>
        <v>0</v>
      </c>
      <c r="X89" s="348">
        <f>'AJUSTES - SF-T'!X51</f>
        <v>0</v>
      </c>
      <c r="Y89" s="348">
        <f>'AJUSTES - SF-T'!Y51</f>
        <v>0</v>
      </c>
      <c r="Z89" s="348">
        <f>'AJUSTES - SF-T'!Z51</f>
        <v>0</v>
      </c>
      <c r="AA89" s="322">
        <f>'AJUSTES - SF-T'!AA51</f>
        <v>0</v>
      </c>
      <c r="AB89" s="564">
        <f>'AJUSTES - SF-T'!AB51</f>
        <v>0</v>
      </c>
      <c r="AC89" s="600">
        <v>0</v>
      </c>
      <c r="AD89" s="564">
        <f>'AJUSTES - SF-T'!AC51</f>
        <v>0</v>
      </c>
      <c r="AE89" s="296">
        <f>'AJUSTES - SF-T'!AD51</f>
        <v>0</v>
      </c>
      <c r="AF89" s="568">
        <f t="shared" si="39"/>
        <v>0</v>
      </c>
      <c r="AG89" s="567">
        <f>AF89-O89</f>
        <v>0</v>
      </c>
      <c r="AH89" s="1" t="b">
        <f t="shared" si="38"/>
        <v>1</v>
      </c>
      <c r="AI89" s="308"/>
    </row>
    <row r="90" spans="1:35" s="307" customFormat="1" ht="13.5" thickBot="1" x14ac:dyDescent="0.35">
      <c r="B90" s="329"/>
      <c r="C90" s="330" t="s">
        <v>2</v>
      </c>
      <c r="D90" s="292">
        <f t="shared" ref="D90:O90" si="40">SUM(D85:D89)</f>
        <v>0</v>
      </c>
      <c r="E90" s="292">
        <f t="shared" si="40"/>
        <v>0</v>
      </c>
      <c r="F90" s="292">
        <f t="shared" si="40"/>
        <v>0</v>
      </c>
      <c r="G90" s="292">
        <f t="shared" si="40"/>
        <v>0</v>
      </c>
      <c r="H90" s="292">
        <f t="shared" si="40"/>
        <v>0</v>
      </c>
      <c r="I90" s="292">
        <f t="shared" si="40"/>
        <v>0</v>
      </c>
      <c r="J90" s="292">
        <f t="shared" si="40"/>
        <v>0</v>
      </c>
      <c r="K90" s="302">
        <f t="shared" si="40"/>
        <v>0</v>
      </c>
      <c r="L90" s="303">
        <f t="shared" si="40"/>
        <v>0</v>
      </c>
      <c r="M90" s="304">
        <f t="shared" si="40"/>
        <v>0</v>
      </c>
      <c r="N90" s="303">
        <f t="shared" si="40"/>
        <v>0</v>
      </c>
      <c r="O90" s="304">
        <f t="shared" si="40"/>
        <v>0</v>
      </c>
      <c r="P90" s="331"/>
      <c r="Q90" s="308"/>
      <c r="S90" s="329"/>
      <c r="T90" s="559" t="s">
        <v>2</v>
      </c>
      <c r="U90" s="332">
        <f>SUM(U85:U89)</f>
        <v>0</v>
      </c>
      <c r="V90" s="332">
        <f t="shared" ref="V90:AG90" si="41">SUM(V85:V89)</f>
        <v>0</v>
      </c>
      <c r="W90" s="560">
        <f t="shared" si="41"/>
        <v>0</v>
      </c>
      <c r="X90" s="332">
        <f t="shared" si="41"/>
        <v>0</v>
      </c>
      <c r="Y90" s="332">
        <f t="shared" si="41"/>
        <v>0</v>
      </c>
      <c r="Z90" s="292">
        <f t="shared" si="41"/>
        <v>0</v>
      </c>
      <c r="AA90" s="292">
        <f t="shared" si="41"/>
        <v>0</v>
      </c>
      <c r="AB90" s="292">
        <f t="shared" si="41"/>
        <v>0</v>
      </c>
      <c r="AC90" s="292">
        <f t="shared" ref="AC90" si="42">SUM(AC85:AC89)</f>
        <v>0</v>
      </c>
      <c r="AD90" s="292">
        <f t="shared" si="41"/>
        <v>0</v>
      </c>
      <c r="AE90" s="292">
        <f t="shared" si="41"/>
        <v>0</v>
      </c>
      <c r="AF90" s="333">
        <f t="shared" si="41"/>
        <v>0</v>
      </c>
      <c r="AG90" s="334">
        <f t="shared" si="41"/>
        <v>0</v>
      </c>
      <c r="AH90" s="1" t="b">
        <f t="shared" si="38"/>
        <v>1</v>
      </c>
      <c r="AI90" s="308"/>
    </row>
    <row r="91" spans="1:35" ht="12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3">
      <c r="Q96" s="4"/>
      <c r="AI96" s="4"/>
    </row>
    <row r="97" spans="2:36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4" x14ac:dyDescent="0.3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5" x14ac:dyDescent="0.3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4" x14ac:dyDescent="0.3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5" x14ac:dyDescent="0.35">
      <c r="B101" s="8"/>
      <c r="C101" s="590" t="s">
        <v>17</v>
      </c>
      <c r="D101" s="9">
        <f>D6</f>
        <v>46282</v>
      </c>
      <c r="F101" s="58" t="s">
        <v>215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216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5">
      <c r="B102" s="8"/>
      <c r="C102" s="590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3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7" customFormat="1" x14ac:dyDescent="0.25">
      <c r="B104" s="305">
        <v>1</v>
      </c>
      <c r="C104" s="306" t="s">
        <v>10</v>
      </c>
      <c r="D104" s="293">
        <f t="shared" ref="D104:J108" si="43">D9+D28+D47+D66+D85</f>
        <v>16920903756.910002</v>
      </c>
      <c r="E104" s="294">
        <f t="shared" si="43"/>
        <v>951432775.81999993</v>
      </c>
      <c r="F104" s="294">
        <f t="shared" si="43"/>
        <v>531457791.86000001</v>
      </c>
      <c r="G104" s="294">
        <f t="shared" si="43"/>
        <v>281685724.59999996</v>
      </c>
      <c r="H104" s="294">
        <f t="shared" si="43"/>
        <v>4815557421.3699999</v>
      </c>
      <c r="I104" s="294">
        <f t="shared" si="43"/>
        <v>180663508.13</v>
      </c>
      <c r="J104" s="294">
        <f t="shared" si="43"/>
        <v>2589335716.54</v>
      </c>
      <c r="K104" s="295">
        <f>D104-E104-F104-G104-H104-I104-J104</f>
        <v>7570770818.590003</v>
      </c>
      <c r="L104" s="296">
        <f>L9+L28+L47+L66+L85</f>
        <v>189185987</v>
      </c>
      <c r="M104" s="295">
        <f>K104-L104</f>
        <v>7381584831.590003</v>
      </c>
      <c r="N104" s="296">
        <f>N9+N28+N47+N66+N85</f>
        <v>28845491.23</v>
      </c>
      <c r="O104" s="295">
        <f>M104+N104</f>
        <v>7410430322.8200026</v>
      </c>
      <c r="Q104" s="308"/>
      <c r="S104" s="305">
        <v>1</v>
      </c>
      <c r="T104" s="306" t="s">
        <v>10</v>
      </c>
      <c r="U104" s="309">
        <f t="shared" ref="U104:AB108" si="44">U9+U28+U47+U66+U85</f>
        <v>1586217383.9200001</v>
      </c>
      <c r="V104" s="310">
        <f t="shared" si="44"/>
        <v>1513149767.5</v>
      </c>
      <c r="W104" s="310">
        <f t="shared" si="44"/>
        <v>7120113761.2200003</v>
      </c>
      <c r="X104" s="310">
        <f t="shared" si="44"/>
        <v>2589551838.3899999</v>
      </c>
      <c r="Y104" s="311">
        <f t="shared" si="44"/>
        <v>294798900.54000002</v>
      </c>
      <c r="Z104" s="312">
        <f t="shared" si="44"/>
        <v>-189185987</v>
      </c>
      <c r="AA104" s="313">
        <f>AA9+AA28+AA47+AA66+AA85</f>
        <v>-46201.060000000005</v>
      </c>
      <c r="AB104" s="296">
        <f>AB9+AB28+AB47+AB66+AB85</f>
        <v>28845491.23</v>
      </c>
      <c r="AC104" s="313">
        <f>AC9+AC28+AC47+AC66+AC85</f>
        <v>37.270000000000003</v>
      </c>
      <c r="AD104" s="293">
        <f>-J104+AE104</f>
        <v>-5533007560.3600006</v>
      </c>
      <c r="AE104" s="293">
        <f>AE9+AE28+AE47+AE66+AE85</f>
        <v>-2943671843.8200002</v>
      </c>
      <c r="AF104" s="315">
        <f>SUM(U104:AD104)</f>
        <v>7410437431.6499996</v>
      </c>
      <c r="AG104" s="313">
        <f>AF104-O104</f>
        <v>7108.8299970626831</v>
      </c>
      <c r="AH104" s="1" t="b">
        <f>INT(AG104)=0</f>
        <v>0</v>
      </c>
      <c r="AI104" s="308"/>
    </row>
    <row r="105" spans="2:36" s="307" customFormat="1" x14ac:dyDescent="0.25">
      <c r="B105" s="316">
        <v>2</v>
      </c>
      <c r="C105" s="317" t="s">
        <v>11</v>
      </c>
      <c r="D105" s="293">
        <f t="shared" si="43"/>
        <v>12759110627.040001</v>
      </c>
      <c r="E105" s="294">
        <f t="shared" si="43"/>
        <v>932793472.18000007</v>
      </c>
      <c r="F105" s="294">
        <f t="shared" si="43"/>
        <v>519337584.19999993</v>
      </c>
      <c r="G105" s="294">
        <f t="shared" si="43"/>
        <v>273746584.90999997</v>
      </c>
      <c r="H105" s="294">
        <f t="shared" si="43"/>
        <v>4322586791.8499994</v>
      </c>
      <c r="I105" s="294">
        <f t="shared" si="43"/>
        <v>148116462.28999999</v>
      </c>
      <c r="J105" s="294">
        <f t="shared" si="43"/>
        <v>-5093259797.2199993</v>
      </c>
      <c r="K105" s="297">
        <f t="shared" ref="K105:K108" si="45">D105-E105-F105-G105-H105-I105-J105</f>
        <v>11655789528.83</v>
      </c>
      <c r="L105" s="296">
        <f>L10+L29+L48+L67+L86</f>
        <v>266580255</v>
      </c>
      <c r="M105" s="297">
        <f>K105-L105</f>
        <v>11389209273.83</v>
      </c>
      <c r="N105" s="296">
        <f>N10+N29+N48+N67+N86</f>
        <v>12984013.33</v>
      </c>
      <c r="O105" s="297">
        <f t="shared" ref="O105:O108" si="46">M105+N105</f>
        <v>11402193287.16</v>
      </c>
      <c r="Q105" s="308"/>
      <c r="S105" s="316">
        <v>2</v>
      </c>
      <c r="T105" s="317" t="s">
        <v>11</v>
      </c>
      <c r="U105" s="318">
        <f t="shared" si="44"/>
        <v>1299736893.7599998</v>
      </c>
      <c r="V105" s="319">
        <f t="shared" si="44"/>
        <v>1275131687.71</v>
      </c>
      <c r="W105" s="319">
        <f t="shared" si="44"/>
        <v>5975495362.3000002</v>
      </c>
      <c r="X105" s="319">
        <f t="shared" si="44"/>
        <v>1828556050.8900001</v>
      </c>
      <c r="Y105" s="320">
        <f t="shared" si="44"/>
        <v>241974362.09</v>
      </c>
      <c r="Z105" s="321">
        <f t="shared" si="44"/>
        <v>-266580255</v>
      </c>
      <c r="AA105" s="322">
        <f t="shared" si="44"/>
        <v>62034.909999999996</v>
      </c>
      <c r="AB105" s="296">
        <f t="shared" si="44"/>
        <v>12984013.33</v>
      </c>
      <c r="AC105" s="322">
        <f t="shared" ref="AC105" si="47">AC10+AC29+AC48+AC67+AC86</f>
        <v>-34.57</v>
      </c>
      <c r="AD105" s="293">
        <f t="shared" ref="AD105" si="48">-J105+AE105</f>
        <v>1034833171.7399993</v>
      </c>
      <c r="AE105" s="293">
        <f>AE10+AE29+AE48+AE67+AE86</f>
        <v>-4058426625.48</v>
      </c>
      <c r="AF105" s="324">
        <f>SUM(U105:AD105)</f>
        <v>11402193287.16</v>
      </c>
      <c r="AG105" s="325">
        <f>AF105-O105</f>
        <v>0</v>
      </c>
      <c r="AH105" s="1" t="b">
        <f t="shared" ref="AH105:AH109" si="49">INT(AG105)=0</f>
        <v>1</v>
      </c>
      <c r="AI105" s="308"/>
    </row>
    <row r="106" spans="2:36" s="307" customFormat="1" x14ac:dyDescent="0.25">
      <c r="B106" s="316">
        <v>3</v>
      </c>
      <c r="C106" s="317" t="s">
        <v>12</v>
      </c>
      <c r="D106" s="293">
        <f t="shared" si="43"/>
        <v>10205599146.570002</v>
      </c>
      <c r="E106" s="294">
        <f t="shared" si="43"/>
        <v>629291751.14999998</v>
      </c>
      <c r="F106" s="294">
        <f t="shared" si="43"/>
        <v>352061233.23999995</v>
      </c>
      <c r="G106" s="294">
        <f t="shared" si="43"/>
        <v>186348002.65000004</v>
      </c>
      <c r="H106" s="294">
        <f t="shared" si="43"/>
        <v>3061649694.1900005</v>
      </c>
      <c r="I106" s="294">
        <f t="shared" si="43"/>
        <v>101715175.75999999</v>
      </c>
      <c r="J106" s="294">
        <f t="shared" si="43"/>
        <v>-1230396998.4399998</v>
      </c>
      <c r="K106" s="297">
        <f t="shared" si="45"/>
        <v>7104930288.0200014</v>
      </c>
      <c r="L106" s="296">
        <f>L11+L30+L49+L68+L87</f>
        <v>154788535</v>
      </c>
      <c r="M106" s="297">
        <f>K106-L106</f>
        <v>6950141753.0200014</v>
      </c>
      <c r="N106" s="296">
        <f>N11+N30+N49+N68+N87</f>
        <v>13445739.66</v>
      </c>
      <c r="O106" s="297">
        <f t="shared" si="46"/>
        <v>6963587492.6800013</v>
      </c>
      <c r="Q106" s="308"/>
      <c r="S106" s="316">
        <v>3</v>
      </c>
      <c r="T106" s="317" t="s">
        <v>12</v>
      </c>
      <c r="U106" s="318">
        <f t="shared" si="44"/>
        <v>892751002.93999994</v>
      </c>
      <c r="V106" s="319">
        <f t="shared" si="44"/>
        <v>870100487.53999996</v>
      </c>
      <c r="W106" s="319">
        <f t="shared" si="44"/>
        <v>4095575369.4300003</v>
      </c>
      <c r="X106" s="319">
        <f t="shared" si="44"/>
        <v>1491422387.51</v>
      </c>
      <c r="Y106" s="320">
        <f t="shared" si="44"/>
        <v>165989772.75000003</v>
      </c>
      <c r="Z106" s="321">
        <f t="shared" si="44"/>
        <v>-154788535</v>
      </c>
      <c r="AA106" s="322">
        <f t="shared" si="44"/>
        <v>49081.23</v>
      </c>
      <c r="AB106" s="296">
        <f t="shared" si="44"/>
        <v>13445739.66</v>
      </c>
      <c r="AC106" s="322">
        <f t="shared" ref="AC106" si="50">AC11+AC30+AC49+AC68+AC87</f>
        <v>1.07</v>
      </c>
      <c r="AD106" s="293">
        <f>-J106+AE106</f>
        <v>-410957814.45000005</v>
      </c>
      <c r="AE106" s="293">
        <f>AE11+AE30+AE49+AE68+AE87</f>
        <v>-1641354812.8899999</v>
      </c>
      <c r="AF106" s="324">
        <f>SUM(U106:AD106)</f>
        <v>6963587492.6799994</v>
      </c>
      <c r="AG106" s="325">
        <f>AF106-O106</f>
        <v>0</v>
      </c>
      <c r="AH106" s="1" t="b">
        <f t="shared" si="49"/>
        <v>1</v>
      </c>
      <c r="AI106" s="308"/>
    </row>
    <row r="107" spans="2:36" s="307" customFormat="1" x14ac:dyDescent="0.25">
      <c r="B107" s="316">
        <v>4</v>
      </c>
      <c r="C107" s="317" t="s">
        <v>13</v>
      </c>
      <c r="D107" s="293">
        <f t="shared" si="43"/>
        <v>10991242585.599998</v>
      </c>
      <c r="E107" s="294">
        <f t="shared" si="43"/>
        <v>612757116.33000004</v>
      </c>
      <c r="F107" s="294">
        <f t="shared" si="43"/>
        <v>341110908.60999995</v>
      </c>
      <c r="G107" s="294">
        <f t="shared" si="43"/>
        <v>180756802.69999999</v>
      </c>
      <c r="H107" s="294">
        <f t="shared" si="43"/>
        <v>2768093997.02</v>
      </c>
      <c r="I107" s="294">
        <f t="shared" si="43"/>
        <v>95992558.799999982</v>
      </c>
      <c r="J107" s="294">
        <f t="shared" si="43"/>
        <v>38133905.800000012</v>
      </c>
      <c r="K107" s="297">
        <f t="shared" si="45"/>
        <v>6954397296.3399963</v>
      </c>
      <c r="L107" s="296">
        <f>L12+L31+L50+L69+L88</f>
        <v>120391083</v>
      </c>
      <c r="M107" s="297">
        <f>K107-L107</f>
        <v>6834006213.3399963</v>
      </c>
      <c r="N107" s="296">
        <f>N12+N31+N50+N69+N88</f>
        <v>19861983.190000001</v>
      </c>
      <c r="O107" s="297">
        <f>M107+N107</f>
        <v>6853868196.5299959</v>
      </c>
      <c r="Q107" s="308"/>
      <c r="S107" s="316">
        <v>4</v>
      </c>
      <c r="T107" s="317" t="s">
        <v>13</v>
      </c>
      <c r="U107" s="318">
        <f t="shared" si="44"/>
        <v>841773977.29999995</v>
      </c>
      <c r="V107" s="319">
        <f t="shared" si="44"/>
        <v>822432392.84000003</v>
      </c>
      <c r="W107" s="319">
        <f t="shared" si="44"/>
        <v>4196445614.7799997</v>
      </c>
      <c r="X107" s="319">
        <f t="shared" si="44"/>
        <v>1622132605.1699998</v>
      </c>
      <c r="Y107" s="320">
        <f t="shared" si="44"/>
        <v>156904728.71000001</v>
      </c>
      <c r="Z107" s="321">
        <f t="shared" si="44"/>
        <v>-120391083</v>
      </c>
      <c r="AA107" s="322">
        <f t="shared" si="44"/>
        <v>-64131.010000000009</v>
      </c>
      <c r="AB107" s="296">
        <f t="shared" si="44"/>
        <v>19861983.190000001</v>
      </c>
      <c r="AC107" s="322">
        <f t="shared" ref="AC107" si="51">AC12+AC31+AC50+AC69+AC88</f>
        <v>31.950000000000024</v>
      </c>
      <c r="AD107" s="293">
        <f>-J107+AE107</f>
        <v>-685227923.4000001</v>
      </c>
      <c r="AE107" s="293">
        <f>AE12+AE31+AE50+AE69+AE88</f>
        <v>-647094017.60000002</v>
      </c>
      <c r="AF107" s="324">
        <f>SUM(U107:AD107)</f>
        <v>6853868196.5299988</v>
      </c>
      <c r="AG107" s="325">
        <f>AF117-O117</f>
        <v>0</v>
      </c>
      <c r="AH107" s="1" t="b">
        <f t="shared" si="49"/>
        <v>1</v>
      </c>
      <c r="AI107" s="308"/>
    </row>
    <row r="108" spans="2:36" s="307" customFormat="1" ht="12" thickBot="1" x14ac:dyDescent="0.3">
      <c r="B108" s="326">
        <v>5</v>
      </c>
      <c r="C108" s="327" t="s">
        <v>14</v>
      </c>
      <c r="D108" s="298">
        <f>D13+D32+D51+D70+D89</f>
        <v>8800679781.3700008</v>
      </c>
      <c r="E108" s="299">
        <f t="shared" si="43"/>
        <v>475293248.80000001</v>
      </c>
      <c r="F108" s="299">
        <f t="shared" si="43"/>
        <v>265758832.30000001</v>
      </c>
      <c r="G108" s="299">
        <f t="shared" si="43"/>
        <v>140738596.90000001</v>
      </c>
      <c r="H108" s="299">
        <f t="shared" si="43"/>
        <v>2045307402.5800002</v>
      </c>
      <c r="I108" s="299">
        <f t="shared" si="43"/>
        <v>73259470.969999999</v>
      </c>
      <c r="J108" s="299">
        <f t="shared" si="43"/>
        <v>-1224100690.4600003</v>
      </c>
      <c r="K108" s="297">
        <f t="shared" si="45"/>
        <v>7024422920.2800007</v>
      </c>
      <c r="L108" s="296">
        <f>L13+L32+L51+L70+L89</f>
        <v>128990445</v>
      </c>
      <c r="M108" s="300">
        <f>K108-L108</f>
        <v>6895432475.2800007</v>
      </c>
      <c r="N108" s="301">
        <f>N13+N32+N51+N70+N89</f>
        <v>5862361.9900000002</v>
      </c>
      <c r="O108" s="300">
        <f t="shared" si="46"/>
        <v>6901294837.2700005</v>
      </c>
      <c r="Q108" s="308"/>
      <c r="S108" s="326">
        <v>5</v>
      </c>
      <c r="T108" s="327" t="s">
        <v>14</v>
      </c>
      <c r="U108" s="298">
        <f t="shared" si="44"/>
        <v>643145081.82999992</v>
      </c>
      <c r="V108" s="299">
        <f t="shared" si="44"/>
        <v>624107126.62</v>
      </c>
      <c r="W108" s="299">
        <f t="shared" si="44"/>
        <v>3202966035.54</v>
      </c>
      <c r="X108" s="299">
        <f t="shared" si="44"/>
        <v>1423430592.5599999</v>
      </c>
      <c r="Y108" s="291">
        <f t="shared" si="44"/>
        <v>119594166.09</v>
      </c>
      <c r="Z108" s="321">
        <f t="shared" si="44"/>
        <v>-128990445</v>
      </c>
      <c r="AA108" s="322">
        <f t="shared" si="44"/>
        <v>-13031.900000000001</v>
      </c>
      <c r="AB108" s="296">
        <f t="shared" si="44"/>
        <v>5862361.9900000002</v>
      </c>
      <c r="AC108" s="322">
        <f t="shared" ref="AC108" si="52">AC13+AC32+AC51+AC70+AC89</f>
        <v>-37.089999999999996</v>
      </c>
      <c r="AD108" s="293">
        <f>-J108+AE108</f>
        <v>1011192986.6300002</v>
      </c>
      <c r="AE108" s="293">
        <f>AE13+AE32+AE51+AE70+AE89</f>
        <v>-212907703.83000001</v>
      </c>
      <c r="AF108" s="324">
        <f>SUM(U108:AD108)</f>
        <v>6901294837.2699995</v>
      </c>
      <c r="AG108" s="328">
        <f>AF108-O108</f>
        <v>0</v>
      </c>
      <c r="AH108" s="1" t="b">
        <f t="shared" si="49"/>
        <v>1</v>
      </c>
      <c r="AI108" s="308"/>
    </row>
    <row r="109" spans="2:36" s="307" customFormat="1" ht="13.5" thickBot="1" x14ac:dyDescent="0.35">
      <c r="B109" s="329"/>
      <c r="C109" s="330" t="s">
        <v>2</v>
      </c>
      <c r="D109" s="292">
        <f t="shared" ref="D109:O109" si="53">SUM(D104:D108)</f>
        <v>59677535897.490005</v>
      </c>
      <c r="E109" s="292">
        <f t="shared" si="53"/>
        <v>3601568364.2800002</v>
      </c>
      <c r="F109" s="292">
        <f t="shared" si="53"/>
        <v>2009726350.2099998</v>
      </c>
      <c r="G109" s="292">
        <f t="shared" si="53"/>
        <v>1063275711.7600001</v>
      </c>
      <c r="H109" s="292">
        <f t="shared" si="53"/>
        <v>17013195307.01</v>
      </c>
      <c r="I109" s="292">
        <f t="shared" si="53"/>
        <v>599747175.94999993</v>
      </c>
      <c r="J109" s="292">
        <f t="shared" si="53"/>
        <v>-4920287863.7799988</v>
      </c>
      <c r="K109" s="302">
        <f t="shared" si="53"/>
        <v>40310310852.059998</v>
      </c>
      <c r="L109" s="303">
        <f t="shared" si="53"/>
        <v>859936305</v>
      </c>
      <c r="M109" s="304">
        <f t="shared" si="53"/>
        <v>39450374547.059998</v>
      </c>
      <c r="N109" s="303">
        <f t="shared" si="53"/>
        <v>80999589.399999991</v>
      </c>
      <c r="O109" s="304">
        <f t="shared" si="53"/>
        <v>39531374136.459999</v>
      </c>
      <c r="P109" s="331"/>
      <c r="Q109" s="308"/>
      <c r="S109" s="329"/>
      <c r="T109" s="330" t="s">
        <v>2</v>
      </c>
      <c r="U109" s="332">
        <f>SUM(U104:U108)</f>
        <v>5263624339.75</v>
      </c>
      <c r="V109" s="332">
        <f t="shared" ref="V109:AF109" si="54">SUM(V104:V108)</f>
        <v>5104921462.21</v>
      </c>
      <c r="W109" s="332">
        <f t="shared" si="54"/>
        <v>24590596143.27</v>
      </c>
      <c r="X109" s="332">
        <f t="shared" si="54"/>
        <v>8955093474.5200005</v>
      </c>
      <c r="Y109" s="332">
        <f t="shared" si="54"/>
        <v>979261930.18000007</v>
      </c>
      <c r="Z109" s="292">
        <f t="shared" si="54"/>
        <v>-859936305</v>
      </c>
      <c r="AA109" s="292">
        <f t="shared" si="54"/>
        <v>-12247.830000000016</v>
      </c>
      <c r="AB109" s="292">
        <f t="shared" si="54"/>
        <v>80999589.399999991</v>
      </c>
      <c r="AC109" s="292">
        <f t="shared" si="54"/>
        <v>-1.369999999999969</v>
      </c>
      <c r="AD109" s="292">
        <f>SUM(AD104:AD108)</f>
        <v>-4583167139.8400011</v>
      </c>
      <c r="AE109" s="292">
        <f>SUM(AE104:AE108)</f>
        <v>-9503455003.6200008</v>
      </c>
      <c r="AF109" s="333">
        <f t="shared" si="54"/>
        <v>39531381245.289993</v>
      </c>
      <c r="AG109" s="334">
        <f>SUM(AG104:AG108)</f>
        <v>7108.8299970626831</v>
      </c>
      <c r="AH109" s="1" t="b">
        <f t="shared" si="49"/>
        <v>0</v>
      </c>
      <c r="AI109" s="308"/>
    </row>
    <row r="110" spans="2:36" ht="12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44893497349.93</v>
      </c>
      <c r="AD111" s="1" t="s">
        <v>1</v>
      </c>
      <c r="AF111" s="1" t="s">
        <v>1</v>
      </c>
      <c r="AI111" s="4"/>
    </row>
    <row r="112" spans="2:36" ht="12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7"/>
      <c r="AB112" s="307"/>
      <c r="AC112" s="307"/>
      <c r="AI112" s="4"/>
    </row>
    <row r="113" spans="1:35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3">
      <c r="Q115" s="4"/>
    </row>
    <row r="116" spans="1:35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4" x14ac:dyDescent="0.3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5" x14ac:dyDescent="0.3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5">
      <c r="B120" s="8"/>
      <c r="I120" s="2"/>
      <c r="J120" s="2"/>
      <c r="O120" s="10"/>
      <c r="P120" s="2"/>
      <c r="Q120" s="4"/>
    </row>
    <row r="121" spans="1:35" ht="15.5" x14ac:dyDescent="0.3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6.5" thickBot="1" x14ac:dyDescent="0.3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x14ac:dyDescent="0.25">
      <c r="B125" s="108">
        <v>1</v>
      </c>
      <c r="C125" s="109" t="s">
        <v>10</v>
      </c>
      <c r="D125" s="110">
        <f>'ANTICIPOS USUARIOS'!I3</f>
        <v>25429155</v>
      </c>
      <c r="E125" s="111">
        <v>0</v>
      </c>
      <c r="G125" s="338">
        <f>D47+N47</f>
        <v>0</v>
      </c>
      <c r="H125" s="312">
        <f>D28+N28</f>
        <v>30254522.43</v>
      </c>
      <c r="I125" s="311">
        <f>D85+N85</f>
        <v>0</v>
      </c>
      <c r="J125" s="311">
        <f>D66+N66</f>
        <v>-3461197.29</v>
      </c>
      <c r="K125" s="311">
        <f>'ANTICIPOS USUARIOS'!I12</f>
        <v>0</v>
      </c>
      <c r="L125" s="311">
        <f>-'ANTICIPOS USUARIOS'!I21</f>
        <v>1752.71</v>
      </c>
      <c r="O125" s="44"/>
      <c r="Q125" s="4"/>
    </row>
    <row r="126" spans="1:35" x14ac:dyDescent="0.25">
      <c r="B126" s="16">
        <v>2</v>
      </c>
      <c r="C126" s="17" t="s">
        <v>11</v>
      </c>
      <c r="D126" s="15">
        <f>'ANTICIPOS USUARIOS'!I4</f>
        <v>27050219</v>
      </c>
      <c r="E126" s="74">
        <v>0</v>
      </c>
      <c r="G126" s="341">
        <f>D48+N48</f>
        <v>0</v>
      </c>
      <c r="H126" s="342">
        <f>D29+N29</f>
        <v>56441179.739999995</v>
      </c>
      <c r="I126" s="290">
        <f>D86+N86</f>
        <v>0</v>
      </c>
      <c r="J126" s="290">
        <f t="shared" ref="J126:J129" si="55">D67+N67</f>
        <v>-8739602.3699999992</v>
      </c>
      <c r="K126" s="290">
        <f>'ANTICIPOS USUARIOS'!I13</f>
        <v>0</v>
      </c>
      <c r="L126" s="290">
        <f>-'ANTICIPOS USUARIOS'!I22</f>
        <v>310.63</v>
      </c>
      <c r="O126" s="44"/>
      <c r="Q126" s="4"/>
    </row>
    <row r="127" spans="1:35" x14ac:dyDescent="0.25">
      <c r="B127" s="16">
        <v>3</v>
      </c>
      <c r="C127" s="17" t="s">
        <v>12</v>
      </c>
      <c r="D127" s="15">
        <f>'ANTICIPOS USUARIOS'!I5</f>
        <v>6025131</v>
      </c>
      <c r="E127" s="74">
        <v>0</v>
      </c>
      <c r="G127" s="341">
        <f>D49+N49</f>
        <v>135940</v>
      </c>
      <c r="H127" s="342">
        <f>D30+N30</f>
        <v>21873459.120000001</v>
      </c>
      <c r="I127" s="290">
        <f>D87+N87</f>
        <v>0</v>
      </c>
      <c r="J127" s="290">
        <f t="shared" si="55"/>
        <v>-6091573.8899999997</v>
      </c>
      <c r="K127" s="290">
        <f>'ANTICIPOS USUARIOS'!I14</f>
        <v>1090</v>
      </c>
      <c r="L127" s="290">
        <f>-'ANTICIPOS USUARIOS'!I23</f>
        <v>984746.11</v>
      </c>
      <c r="O127" s="44"/>
      <c r="Q127" s="4"/>
    </row>
    <row r="128" spans="1:35" x14ac:dyDescent="0.25">
      <c r="B128" s="16">
        <v>4</v>
      </c>
      <c r="C128" s="17" t="s">
        <v>13</v>
      </c>
      <c r="D128" s="15">
        <f>'ANTICIPOS USUARIOS'!I6</f>
        <v>27660196</v>
      </c>
      <c r="E128" s="74">
        <v>0</v>
      </c>
      <c r="G128" s="341">
        <f>D50+N50</f>
        <v>8186910</v>
      </c>
      <c r="H128" s="342">
        <f>D31+N31</f>
        <v>15536711.57</v>
      </c>
      <c r="I128" s="290">
        <f>D88+N88</f>
        <v>0</v>
      </c>
      <c r="J128" s="290">
        <f t="shared" si="55"/>
        <v>-20245524.780000001</v>
      </c>
      <c r="K128" s="290">
        <f>'ANTICIPOS USUARIOS'!I15</f>
        <v>9321147</v>
      </c>
      <c r="L128" s="290">
        <f>-'ANTICIPOS USUARIOS'!I24</f>
        <v>459462.22</v>
      </c>
      <c r="O128" s="44"/>
      <c r="Q128" s="4"/>
    </row>
    <row r="129" spans="1:18" x14ac:dyDescent="0.25">
      <c r="B129" s="133">
        <v>5</v>
      </c>
      <c r="C129" s="138" t="s">
        <v>14</v>
      </c>
      <c r="D129" s="15">
        <f>'ANTICIPOS USUARIOS'!I7</f>
        <v>9759043</v>
      </c>
      <c r="E129" s="139">
        <v>0</v>
      </c>
      <c r="G129" s="341">
        <f>D51+N51</f>
        <v>0</v>
      </c>
      <c r="H129" s="342">
        <f>D32+N32</f>
        <v>26488801.359999999</v>
      </c>
      <c r="I129" s="290">
        <f>D89+N89</f>
        <v>0</v>
      </c>
      <c r="J129" s="290">
        <f t="shared" si="55"/>
        <v>-8771320</v>
      </c>
      <c r="K129" s="290">
        <f>'ANTICIPOS USUARIOS'!I16</f>
        <v>0</v>
      </c>
      <c r="L129" s="290">
        <f>-'ANTICIPOS USUARIOS'!I25</f>
        <v>67480</v>
      </c>
      <c r="O129" s="44"/>
      <c r="Q129" s="4"/>
    </row>
    <row r="130" spans="1:18" ht="12" thickBot="1" x14ac:dyDescent="0.3">
      <c r="B130" s="19" t="s">
        <v>89</v>
      </c>
      <c r="C130" s="20" t="s">
        <v>113</v>
      </c>
      <c r="D130" s="78"/>
      <c r="E130" s="79">
        <f>'Recaudo ENEL'!D26</f>
        <v>0</v>
      </c>
      <c r="G130" s="348"/>
      <c r="H130" s="349"/>
      <c r="I130" s="291"/>
      <c r="J130" s="291"/>
      <c r="K130" s="291"/>
      <c r="L130" s="291"/>
      <c r="O130" s="44"/>
      <c r="Q130" s="4"/>
    </row>
    <row r="131" spans="1:18" ht="12" thickBot="1" x14ac:dyDescent="0.3">
      <c r="B131" s="95"/>
      <c r="C131" s="106" t="s">
        <v>2</v>
      </c>
      <c r="D131" s="107">
        <f>SUM(D125:D130)</f>
        <v>95923744</v>
      </c>
      <c r="E131" s="107">
        <f>SUM(E125:E130)</f>
        <v>0</v>
      </c>
      <c r="F131" s="45"/>
      <c r="G131" s="352">
        <f t="shared" ref="G131" si="56">SUM(G125:G129)</f>
        <v>8322850</v>
      </c>
      <c r="H131" s="352">
        <f>SUM(H125:H130)</f>
        <v>150594674.21999997</v>
      </c>
      <c r="I131" s="352">
        <f>SUM(I125:I130)</f>
        <v>0</v>
      </c>
      <c r="J131" s="352">
        <f>SUM(J125:J130)</f>
        <v>-47309218.329999998</v>
      </c>
      <c r="K131" s="352">
        <f>SUM(K125:K130)</f>
        <v>9322237</v>
      </c>
      <c r="L131" s="352">
        <f>SUM(L125:L130)</f>
        <v>1513751.67</v>
      </c>
      <c r="M131" s="45"/>
      <c r="N131" s="45"/>
      <c r="O131" s="46"/>
      <c r="P131" s="2"/>
      <c r="Q131" s="4"/>
    </row>
    <row r="132" spans="1:18" x14ac:dyDescent="0.25">
      <c r="B132" s="2"/>
      <c r="C132" s="2"/>
      <c r="D132" s="24"/>
      <c r="Q132" s="4"/>
    </row>
    <row r="133" spans="1:18" x14ac:dyDescent="0.25">
      <c r="B133" s="2"/>
      <c r="C133" s="2"/>
      <c r="D133" s="24"/>
      <c r="L133" s="1" t="s">
        <v>1</v>
      </c>
      <c r="Q133" s="4"/>
    </row>
    <row r="134" spans="1:18" ht="12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6.5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5">
      <c r="B142" s="108">
        <v>1</v>
      </c>
      <c r="C142" s="109" t="s">
        <v>10</v>
      </c>
      <c r="D142" s="110">
        <f>D104+N104+D125+E125</f>
        <v>16975178403.140001</v>
      </c>
      <c r="E142" s="110">
        <f>'Recaudo ENEL'!D21</f>
        <v>16948385078</v>
      </c>
      <c r="F142" s="110">
        <f>D28+N28</f>
        <v>30254522.43</v>
      </c>
      <c r="G142" s="110">
        <f>D66+N66</f>
        <v>-3461197.29</v>
      </c>
      <c r="H142" s="110">
        <f>D85+N85</f>
        <v>0</v>
      </c>
      <c r="I142" s="110">
        <f>('REPORTE RECAUDO x BANCO'!E62)</f>
        <v>0</v>
      </c>
      <c r="J142" s="110">
        <f t="shared" ref="J142:K146" si="57">G125</f>
        <v>0</v>
      </c>
      <c r="K142" s="111">
        <f t="shared" si="57"/>
        <v>30254522.43</v>
      </c>
      <c r="L142" s="527">
        <f>D142-E142-F142-G142-J142-H142-I142</f>
        <v>1.2973323464393616E-6</v>
      </c>
      <c r="M142" s="1" t="b">
        <f>INT(L142)=0</f>
        <v>1</v>
      </c>
      <c r="O142" s="55"/>
      <c r="P142" s="24"/>
      <c r="Q142" s="35"/>
      <c r="R142" s="24"/>
    </row>
    <row r="143" spans="1:18" x14ac:dyDescent="0.25">
      <c r="B143" s="16">
        <v>2</v>
      </c>
      <c r="C143" s="17" t="s">
        <v>11</v>
      </c>
      <c r="D143" s="18">
        <f>D105+N105+D126+E126</f>
        <v>12799144859.370001</v>
      </c>
      <c r="E143" s="18">
        <f>'Recaudo ENEL'!D22</f>
        <v>12751038052</v>
      </c>
      <c r="F143" s="18">
        <f>D29+N29</f>
        <v>56441179.739999995</v>
      </c>
      <c r="G143" s="18">
        <f>D67+N67</f>
        <v>-8739602.3699999992</v>
      </c>
      <c r="H143" s="18">
        <f>D86+N86</f>
        <v>0</v>
      </c>
      <c r="I143" s="18">
        <f>('REPORTE RECAUDO x BANCO'!E65)</f>
        <v>405230</v>
      </c>
      <c r="J143" s="18">
        <f t="shared" si="57"/>
        <v>0</v>
      </c>
      <c r="K143" s="83">
        <f t="shared" si="57"/>
        <v>56441179.739999995</v>
      </c>
      <c r="L143" s="527">
        <f>D143-E143-F143-G143-J143-H143-I143</f>
        <v>8.4377825260162354E-7</v>
      </c>
      <c r="M143" s="1" t="b">
        <f t="shared" ref="M143:M147" si="58">INT(L143)=0</f>
        <v>1</v>
      </c>
      <c r="O143" s="130"/>
      <c r="P143" s="24"/>
      <c r="Q143" s="35"/>
      <c r="R143" s="24"/>
    </row>
    <row r="144" spans="1:18" x14ac:dyDescent="0.25">
      <c r="B144" s="16">
        <v>3</v>
      </c>
      <c r="C144" s="17" t="s">
        <v>12</v>
      </c>
      <c r="D144" s="18">
        <f>D106+N106+D127+E127</f>
        <v>10225070017.230001</v>
      </c>
      <c r="E144" s="18">
        <f>'Recaudo ENEL'!D23</f>
        <v>10208960602</v>
      </c>
      <c r="F144" s="18">
        <f>D30+N30</f>
        <v>21873459.120000001</v>
      </c>
      <c r="G144" s="18">
        <f>D68+N68</f>
        <v>-6091573.8899999997</v>
      </c>
      <c r="H144" s="18">
        <f>D87+N87</f>
        <v>0</v>
      </c>
      <c r="I144" s="18">
        <f>('REPORTE RECAUDO x BANCO'!E67)</f>
        <v>191590</v>
      </c>
      <c r="J144" s="18">
        <f t="shared" si="57"/>
        <v>135940</v>
      </c>
      <c r="K144" s="83">
        <f t="shared" si="57"/>
        <v>21873459.120000001</v>
      </c>
      <c r="L144" s="527">
        <f>D144-E144-F144-G144-J144-H144-I144</f>
        <v>1.4482066035270691E-6</v>
      </c>
      <c r="M144" s="1" t="b">
        <f t="shared" si="58"/>
        <v>1</v>
      </c>
      <c r="O144" s="55"/>
      <c r="P144" s="24"/>
      <c r="Q144" s="35"/>
      <c r="R144" s="24"/>
    </row>
    <row r="145" spans="1:20" x14ac:dyDescent="0.25">
      <c r="B145" s="16">
        <v>4</v>
      </c>
      <c r="C145" s="17" t="s">
        <v>13</v>
      </c>
      <c r="D145" s="18">
        <f>D107+N107+D128+E128</f>
        <v>11038764764.789999</v>
      </c>
      <c r="E145" s="18">
        <f>'Recaudo ENEL'!D24</f>
        <v>11034274078</v>
      </c>
      <c r="F145" s="18">
        <f>D31+N31</f>
        <v>15536711.57</v>
      </c>
      <c r="G145" s="18">
        <f>D69+N69</f>
        <v>-20245524.780000001</v>
      </c>
      <c r="H145" s="18">
        <f>D88+N88</f>
        <v>0</v>
      </c>
      <c r="I145" s="18">
        <f>('REPORTE RECAUDO x BANCO'!E70)</f>
        <v>1012590</v>
      </c>
      <c r="J145" s="18">
        <f t="shared" si="57"/>
        <v>8186910</v>
      </c>
      <c r="K145" s="83">
        <f t="shared" si="57"/>
        <v>15536711.57</v>
      </c>
      <c r="L145" s="527">
        <f>D145-E145-F145-G145-J145-H145-I145</f>
        <v>-9.9092721939086914E-7</v>
      </c>
      <c r="M145" s="1" t="b">
        <f t="shared" si="58"/>
        <v>0</v>
      </c>
      <c r="O145" s="96"/>
      <c r="P145" s="24"/>
      <c r="Q145" s="35"/>
      <c r="R145" s="24"/>
    </row>
    <row r="146" spans="1:20" ht="12" thickBot="1" x14ac:dyDescent="0.3">
      <c r="B146" s="133">
        <v>5</v>
      </c>
      <c r="C146" s="138" t="s">
        <v>14</v>
      </c>
      <c r="D146" s="134">
        <f>D108+N108+D129+E129</f>
        <v>8816301186.3600006</v>
      </c>
      <c r="E146" s="18">
        <f>'Recaudo ENEL'!D25</f>
        <v>8798232055</v>
      </c>
      <c r="F146" s="134">
        <f>D32+N32</f>
        <v>26488801.359999999</v>
      </c>
      <c r="G146" s="134">
        <f>D70+N70</f>
        <v>-8771320</v>
      </c>
      <c r="H146" s="134">
        <f>D89+N89</f>
        <v>0</v>
      </c>
      <c r="I146" s="134">
        <f>('REPORTE RECAUDO x BANCO'!E72)</f>
        <v>351650</v>
      </c>
      <c r="J146" s="134">
        <f t="shared" si="57"/>
        <v>0</v>
      </c>
      <c r="K146" s="136">
        <f t="shared" si="57"/>
        <v>26488801.359999999</v>
      </c>
      <c r="L146" s="527">
        <f>D146-E146-F146-G146-J146-H146-I146</f>
        <v>6.1094760894775391E-7</v>
      </c>
      <c r="M146" s="1" t="b">
        <f t="shared" si="58"/>
        <v>1</v>
      </c>
      <c r="O146" s="55"/>
      <c r="P146" s="24"/>
      <c r="Q146" s="35"/>
      <c r="R146" s="24"/>
    </row>
    <row r="147" spans="1:20" ht="12" thickBot="1" x14ac:dyDescent="0.3">
      <c r="B147" s="21"/>
      <c r="C147" s="22" t="s">
        <v>2</v>
      </c>
      <c r="D147" s="47">
        <f>SUM(D142:D146)</f>
        <v>59854459230.890007</v>
      </c>
      <c r="E147" s="47">
        <f>SUM(E142:E146)</f>
        <v>59740889865</v>
      </c>
      <c r="F147" s="47">
        <f t="shared" ref="F147:K147" si="59">SUM(F142:F146)</f>
        <v>150594674.21999997</v>
      </c>
      <c r="G147" s="47">
        <f t="shared" si="59"/>
        <v>-47309218.329999998</v>
      </c>
      <c r="H147" s="47">
        <f t="shared" si="59"/>
        <v>0</v>
      </c>
      <c r="I147" s="47">
        <f t="shared" si="59"/>
        <v>1961060</v>
      </c>
      <c r="J147" s="47">
        <f t="shared" si="59"/>
        <v>8322850</v>
      </c>
      <c r="K147" s="47">
        <f t="shared" si="59"/>
        <v>150594674.21999997</v>
      </c>
      <c r="L147" s="527">
        <f>SUM(L142:L146)</f>
        <v>3.209337592124939E-6</v>
      </c>
      <c r="M147" s="1" t="b">
        <f t="shared" si="58"/>
        <v>1</v>
      </c>
      <c r="P147" s="24"/>
      <c r="Q147" s="35"/>
      <c r="R147" s="24"/>
    </row>
    <row r="148" spans="1:20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5">
      <c r="N152" s="24"/>
      <c r="O152" s="24"/>
      <c r="Q152" s="24"/>
      <c r="T152" s="24"/>
    </row>
    <row r="153" spans="1:20" x14ac:dyDescent="0.25">
      <c r="E153" s="651"/>
      <c r="N153" s="24"/>
      <c r="O153" s="24"/>
      <c r="Q153" s="24"/>
      <c r="T153" s="24"/>
    </row>
    <row r="154" spans="1:20" x14ac:dyDescent="0.25">
      <c r="N154" s="24"/>
      <c r="O154" s="24"/>
      <c r="Q154" s="24"/>
      <c r="T154" s="24"/>
    </row>
    <row r="155" spans="1:20" x14ac:dyDescent="0.25">
      <c r="Q155" s="24"/>
      <c r="T155" s="24"/>
    </row>
    <row r="156" spans="1:20" x14ac:dyDescent="0.25">
      <c r="Q156" s="24"/>
    </row>
  </sheetData>
  <conditionalFormatting sqref="L142:L147">
    <cfRule type="expression" dxfId="51" priority="18">
      <formula>$L$142&lt;&gt;0</formula>
    </cfRule>
  </conditionalFormatting>
  <conditionalFormatting sqref="M142:M147">
    <cfRule type="cellIs" dxfId="50" priority="1" operator="notEqual">
      <formula>TRUE</formula>
    </cfRule>
  </conditionalFormatting>
  <conditionalFormatting sqref="AH9:AH14">
    <cfRule type="cellIs" dxfId="49" priority="7" operator="notEqual">
      <formula>TRUE</formula>
    </cfRule>
  </conditionalFormatting>
  <conditionalFormatting sqref="AH28:AH33">
    <cfRule type="cellIs" dxfId="48" priority="6" operator="notEqual">
      <formula>TRUE</formula>
    </cfRule>
  </conditionalFormatting>
  <conditionalFormatting sqref="AH47:AH52">
    <cfRule type="cellIs" dxfId="47" priority="5" operator="notEqual">
      <formula>TRUE</formula>
    </cfRule>
  </conditionalFormatting>
  <conditionalFormatting sqref="AH66:AH71">
    <cfRule type="cellIs" dxfId="46" priority="4" operator="notEqual">
      <formula>TRUE</formula>
    </cfRule>
  </conditionalFormatting>
  <conditionalFormatting sqref="AH85:AH90">
    <cfRule type="cellIs" dxfId="45" priority="3" operator="notEqual">
      <formula>TRUE</formula>
    </cfRule>
  </conditionalFormatting>
  <conditionalFormatting sqref="AH104:AH109">
    <cfRule type="cellIs" dxfId="44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AD104:AD105" formula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B1:P16"/>
  <sheetViews>
    <sheetView zoomScale="90" zoomScaleNormal="90" workbookViewId="0">
      <selection activeCell="J8" sqref="J8"/>
    </sheetView>
  </sheetViews>
  <sheetFormatPr baseColWidth="10" defaultRowHeight="12.5" x14ac:dyDescent="0.25"/>
  <cols>
    <col min="1" max="1" width="3" customWidth="1"/>
    <col min="2" max="2" width="4.26953125" bestFit="1" customWidth="1"/>
    <col min="3" max="3" width="16.7265625" customWidth="1"/>
    <col min="4" max="4" width="14.26953125" customWidth="1"/>
    <col min="5" max="7" width="17.7265625" customWidth="1"/>
    <col min="8" max="8" width="18.26953125" customWidth="1"/>
    <col min="9" max="9" width="15.7265625" customWidth="1"/>
    <col min="10" max="10" width="16.453125" customWidth="1"/>
    <col min="11" max="11" width="15.7265625" customWidth="1"/>
    <col min="12" max="13" width="18.26953125" customWidth="1"/>
    <col min="14" max="14" width="15.7265625" customWidth="1"/>
    <col min="15" max="15" width="14.26953125" customWidth="1"/>
    <col min="16" max="16" width="14.453125" customWidth="1"/>
  </cols>
  <sheetData>
    <row r="1" spans="2:16" ht="13" thickBot="1" x14ac:dyDescent="0.3"/>
    <row r="2" spans="2:16" ht="35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7" customFormat="1" x14ac:dyDescent="0.25">
      <c r="B3" s="305">
        <v>1</v>
      </c>
      <c r="C3" s="294">
        <f>'Recaudo ENEL'!D21</f>
        <v>16948385078</v>
      </c>
      <c r="D3" s="294">
        <f>REMUNERACION_ENEL!G125</f>
        <v>0</v>
      </c>
      <c r="E3" s="294">
        <f>REMUNERACION_ENEL!D28+REMUNERACION_ENEL!N28</f>
        <v>30254522.43</v>
      </c>
      <c r="F3" s="294">
        <f>REMUNERACION_ENEL!I142</f>
        <v>0</v>
      </c>
      <c r="G3" s="294">
        <f>REMUNERACION_ENEL!H142</f>
        <v>0</v>
      </c>
      <c r="H3" s="342">
        <f>SUM(C3:G3)</f>
        <v>16978639600.43</v>
      </c>
      <c r="I3" s="293">
        <f>REMUNERACION_ENEL!D104</f>
        <v>16920903756.910002</v>
      </c>
      <c r="J3" s="294">
        <f>REMUNERACION_ENEL!N104</f>
        <v>28845491.23</v>
      </c>
      <c r="K3" s="294">
        <f>REMUNERACION_ENEL!D125</f>
        <v>25429155</v>
      </c>
      <c r="L3" s="355">
        <f>REMUNERACION_ENEL!E125</f>
        <v>0</v>
      </c>
      <c r="M3" s="294">
        <f>-REMUNERACION_ENEL!D66-REMUNERACION_ENEL!N66</f>
        <v>3461197.29</v>
      </c>
      <c r="N3" s="290">
        <f>SUM(I3:M3)</f>
        <v>16978639600.430002</v>
      </c>
      <c r="O3" s="356">
        <f t="shared" ref="O3:O8" si="0">H3-N3</f>
        <v>0</v>
      </c>
      <c r="P3" s="1" t="b">
        <f>INT(O3)=0</f>
        <v>1</v>
      </c>
    </row>
    <row r="4" spans="2:16" s="357" customFormat="1" x14ac:dyDescent="0.25">
      <c r="B4" s="316">
        <v>2</v>
      </c>
      <c r="C4" s="319">
        <f>'Recaudo ENEL'!D22</f>
        <v>12751038052</v>
      </c>
      <c r="D4" s="294">
        <f>REMUNERACION_ENEL!G126</f>
        <v>0</v>
      </c>
      <c r="E4" s="294">
        <f>REMUNERACION_ENEL!D29+REMUNERACION_ENEL!N29</f>
        <v>56441179.739999995</v>
      </c>
      <c r="F4" s="294">
        <f>REMUNERACION_ENEL!I143</f>
        <v>405230</v>
      </c>
      <c r="G4" s="294">
        <f>REMUNERACION_ENEL!H143</f>
        <v>0</v>
      </c>
      <c r="H4" s="342">
        <f t="shared" ref="H4:H8" si="1">SUM(C4:G4)</f>
        <v>12807884461.74</v>
      </c>
      <c r="I4" s="293">
        <f>REMUNERACION_ENEL!D105</f>
        <v>12759110627.040001</v>
      </c>
      <c r="J4" s="294">
        <f>REMUNERACION_ENEL!N105</f>
        <v>12984013.33</v>
      </c>
      <c r="K4" s="294">
        <f>REMUNERACION_ENEL!D126</f>
        <v>27050219</v>
      </c>
      <c r="L4" s="355">
        <f>REMUNERACION_ENEL!E126</f>
        <v>0</v>
      </c>
      <c r="M4" s="294">
        <f>-REMUNERACION_ENEL!D67-REMUNERACION_ENEL!N67</f>
        <v>8739602.3699999992</v>
      </c>
      <c r="N4" s="320">
        <f>SUM(I4:M4)</f>
        <v>12807884461.740002</v>
      </c>
      <c r="O4" s="356">
        <f t="shared" si="0"/>
        <v>0</v>
      </c>
      <c r="P4" s="1" t="b">
        <f t="shared" ref="P4:P9" si="2">INT(O4)=0</f>
        <v>1</v>
      </c>
    </row>
    <row r="5" spans="2:16" s="357" customFormat="1" x14ac:dyDescent="0.25">
      <c r="B5" s="316">
        <v>3</v>
      </c>
      <c r="C5" s="319">
        <f>'Recaudo ENEL'!D23</f>
        <v>10208960602</v>
      </c>
      <c r="D5" s="294">
        <f>REMUNERACION_ENEL!G127</f>
        <v>135940</v>
      </c>
      <c r="E5" s="294">
        <f>REMUNERACION_ENEL!D30+REMUNERACION_ENEL!N30</f>
        <v>21873459.120000001</v>
      </c>
      <c r="F5" s="294">
        <f>REMUNERACION_ENEL!I144</f>
        <v>191590</v>
      </c>
      <c r="G5" s="294">
        <f>REMUNERACION_ENEL!H144</f>
        <v>0</v>
      </c>
      <c r="H5" s="342">
        <f t="shared" si="1"/>
        <v>10231161591.120001</v>
      </c>
      <c r="I5" s="293">
        <f>REMUNERACION_ENEL!D106</f>
        <v>10205599146.570002</v>
      </c>
      <c r="J5" s="294">
        <f>REMUNERACION_ENEL!N106</f>
        <v>13445739.66</v>
      </c>
      <c r="K5" s="294">
        <f>REMUNERACION_ENEL!D127</f>
        <v>6025131</v>
      </c>
      <c r="L5" s="355">
        <f>REMUNERACION_ENEL!E127</f>
        <v>0</v>
      </c>
      <c r="M5" s="294">
        <f>-REMUNERACION_ENEL!D68-REMUNERACION_ENEL!N68</f>
        <v>6091573.8899999997</v>
      </c>
      <c r="N5" s="320">
        <f>SUM(I5:M5)</f>
        <v>10231161591.120001</v>
      </c>
      <c r="O5" s="356">
        <f>H5-N5</f>
        <v>0</v>
      </c>
      <c r="P5" s="1" t="b">
        <f t="shared" si="2"/>
        <v>1</v>
      </c>
    </row>
    <row r="6" spans="2:16" s="357" customFormat="1" x14ac:dyDescent="0.25">
      <c r="B6" s="316">
        <v>4</v>
      </c>
      <c r="C6" s="319">
        <f>'Recaudo ENEL'!D24</f>
        <v>11034274078</v>
      </c>
      <c r="D6" s="294">
        <f>REMUNERACION_ENEL!G128</f>
        <v>8186910</v>
      </c>
      <c r="E6" s="294">
        <f>REMUNERACION_ENEL!D31+REMUNERACION_ENEL!N31</f>
        <v>15536711.57</v>
      </c>
      <c r="F6" s="294">
        <f>REMUNERACION_ENEL!I145</f>
        <v>1012590</v>
      </c>
      <c r="G6" s="294">
        <f>REMUNERACION_ENEL!H145</f>
        <v>0</v>
      </c>
      <c r="H6" s="342">
        <f t="shared" si="1"/>
        <v>11059010289.57</v>
      </c>
      <c r="I6" s="293">
        <f>REMUNERACION_ENEL!D107</f>
        <v>10991242585.599998</v>
      </c>
      <c r="J6" s="294">
        <f>REMUNERACION_ENEL!N107</f>
        <v>19861983.190000001</v>
      </c>
      <c r="K6" s="294">
        <f>REMUNERACION_ENEL!D128</f>
        <v>27660196</v>
      </c>
      <c r="L6" s="355">
        <f>REMUNERACION_ENEL!E128</f>
        <v>0</v>
      </c>
      <c r="M6" s="294">
        <f>-REMUNERACION_ENEL!D69-REMUNERACION_ENEL!N69</f>
        <v>20245524.780000001</v>
      </c>
      <c r="N6" s="320">
        <f t="shared" ref="N6:N7" si="3">SUM(I6:M6)</f>
        <v>11059010289.57</v>
      </c>
      <c r="O6" s="356">
        <f t="shared" si="0"/>
        <v>0</v>
      </c>
      <c r="P6" s="1" t="b">
        <f t="shared" si="2"/>
        <v>1</v>
      </c>
    </row>
    <row r="7" spans="2:16" s="357" customFormat="1" x14ac:dyDescent="0.25">
      <c r="B7" s="316">
        <v>5</v>
      </c>
      <c r="C7" s="319">
        <f>'Recaudo ENEL'!D25</f>
        <v>8798232055</v>
      </c>
      <c r="D7" s="294">
        <f>REMUNERACION_ENEL!G129</f>
        <v>0</v>
      </c>
      <c r="E7" s="294">
        <f>REMUNERACION_ENEL!D32+REMUNERACION_ENEL!N32</f>
        <v>26488801.359999999</v>
      </c>
      <c r="F7" s="294">
        <f>REMUNERACION_ENEL!I146</f>
        <v>351650</v>
      </c>
      <c r="G7" s="294">
        <f>REMUNERACION_ENEL!H146</f>
        <v>0</v>
      </c>
      <c r="H7" s="342">
        <f t="shared" si="1"/>
        <v>8825072506.3600006</v>
      </c>
      <c r="I7" s="293">
        <f>REMUNERACION_ENEL!D108</f>
        <v>8800679781.3700008</v>
      </c>
      <c r="J7" s="294">
        <f>REMUNERACION_ENEL!N108</f>
        <v>5862361.9900000002</v>
      </c>
      <c r="K7" s="294">
        <f>REMUNERACION_ENEL!D129</f>
        <v>9759043</v>
      </c>
      <c r="L7" s="355">
        <f>REMUNERACION_ENEL!E129</f>
        <v>0</v>
      </c>
      <c r="M7" s="294">
        <f>-REMUNERACION_ENEL!D70-REMUNERACION_ENEL!N70</f>
        <v>8771320</v>
      </c>
      <c r="N7" s="320">
        <f t="shared" si="3"/>
        <v>8825072506.3600006</v>
      </c>
      <c r="O7" s="356">
        <f>H7-N7</f>
        <v>0</v>
      </c>
      <c r="P7" s="1" t="b">
        <f t="shared" si="2"/>
        <v>1</v>
      </c>
    </row>
    <row r="8" spans="2:16" s="357" customFormat="1" ht="13" thickBot="1" x14ac:dyDescent="0.3">
      <c r="B8" s="343" t="s">
        <v>89</v>
      </c>
      <c r="C8" s="319">
        <f>'Recaudo ENEL'!D26</f>
        <v>0</v>
      </c>
      <c r="D8" s="358">
        <v>0</v>
      </c>
      <c r="E8" s="358">
        <v>0</v>
      </c>
      <c r="F8" s="358">
        <v>0</v>
      </c>
      <c r="G8" s="358">
        <v>0</v>
      </c>
      <c r="H8" s="342">
        <f t="shared" si="1"/>
        <v>0</v>
      </c>
      <c r="I8" s="359">
        <v>0</v>
      </c>
      <c r="J8" s="345">
        <v>0</v>
      </c>
      <c r="K8" s="345">
        <v>0</v>
      </c>
      <c r="L8" s="355">
        <f>REMUNERACION_ENEL!E130</f>
        <v>0</v>
      </c>
      <c r="M8" s="358">
        <v>0</v>
      </c>
      <c r="N8" s="360">
        <f>SUM(I8:L8)-M8</f>
        <v>0</v>
      </c>
      <c r="O8" s="356">
        <f t="shared" si="0"/>
        <v>0</v>
      </c>
      <c r="P8" s="1" t="b">
        <f t="shared" si="2"/>
        <v>1</v>
      </c>
    </row>
    <row r="9" spans="2:16" s="357" customFormat="1" ht="13" thickBot="1" x14ac:dyDescent="0.3">
      <c r="B9" s="329"/>
      <c r="C9" s="292">
        <f>SUM(C3:C8)</f>
        <v>59740889865</v>
      </c>
      <c r="D9" s="292">
        <f t="shared" ref="D9:M9" si="4">SUM(D3:D8)</f>
        <v>8322850</v>
      </c>
      <c r="E9" s="292">
        <f t="shared" si="4"/>
        <v>150594674.21999997</v>
      </c>
      <c r="F9" s="292">
        <f t="shared" si="4"/>
        <v>1961060</v>
      </c>
      <c r="G9" s="292">
        <f t="shared" si="4"/>
        <v>0</v>
      </c>
      <c r="H9" s="292">
        <f t="shared" si="4"/>
        <v>59901768449.220001</v>
      </c>
      <c r="I9" s="292">
        <f t="shared" si="4"/>
        <v>59677535897.490005</v>
      </c>
      <c r="J9" s="292">
        <f t="shared" si="4"/>
        <v>80999589.399999991</v>
      </c>
      <c r="K9" s="292">
        <f t="shared" si="4"/>
        <v>95923744</v>
      </c>
      <c r="L9" s="292">
        <f t="shared" si="4"/>
        <v>0</v>
      </c>
      <c r="M9" s="292">
        <f t="shared" si="4"/>
        <v>47309218.329999998</v>
      </c>
      <c r="N9" s="292">
        <f>SUM(N3:N8)</f>
        <v>59901768449.220009</v>
      </c>
      <c r="O9" s="361">
        <f>SUM(O3:O8)</f>
        <v>0</v>
      </c>
      <c r="P9" s="1" t="b">
        <f t="shared" si="2"/>
        <v>1</v>
      </c>
    </row>
    <row r="11" spans="2:16" ht="13" x14ac:dyDescent="0.3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Recaudo'!D7</f>
        <v>59740889865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43" priority="4" operator="notEqual">
      <formula>TRUE</formula>
    </cfRule>
  </conditionalFormatting>
  <conditionalFormatting sqref="P3:P9">
    <cfRule type="cellIs" dxfId="42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  <pageSetUpPr fitToPage="1"/>
  </sheetPr>
  <dimension ref="A1:AI52"/>
  <sheetViews>
    <sheetView zoomScaleNormal="100" workbookViewId="0"/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7265625" style="1" customWidth="1"/>
    <col min="4" max="4" width="15.26953125" style="1" customWidth="1"/>
    <col min="5" max="5" width="16" style="1" customWidth="1"/>
    <col min="6" max="7" width="14.7265625" style="1" customWidth="1"/>
    <col min="8" max="8" width="16.26953125" style="1" customWidth="1"/>
    <col min="9" max="9" width="20.26953125" style="1" bestFit="1" customWidth="1"/>
    <col min="10" max="10" width="15.54296875" style="1" customWidth="1"/>
    <col min="11" max="11" width="17.54296875" style="1" customWidth="1"/>
    <col min="12" max="12" width="16.54296875" style="1" customWidth="1"/>
    <col min="13" max="13" width="19.7265625" style="1" customWidth="1"/>
    <col min="14" max="14" width="15.26953125" style="1" customWidth="1"/>
    <col min="15" max="15" width="16.7265625" style="1" customWidth="1"/>
    <col min="16" max="16" width="3.7265625" style="1" customWidth="1"/>
    <col min="17" max="17" width="2.7265625" style="1" customWidth="1"/>
    <col min="18" max="18" width="4.54296875" style="1" customWidth="1"/>
    <col min="19" max="19" width="11.26953125" style="1" customWidth="1"/>
    <col min="20" max="20" width="39.453125" style="1" customWidth="1"/>
    <col min="21" max="21" width="19.26953125" style="1" customWidth="1"/>
    <col min="22" max="22" width="17.7265625" style="1" customWidth="1"/>
    <col min="23" max="23" width="16.453125" style="1" customWidth="1"/>
    <col min="24" max="24" width="17.26953125" style="1" customWidth="1"/>
    <col min="25" max="25" width="15.7265625" style="1" customWidth="1"/>
    <col min="26" max="26" width="16" style="1" customWidth="1"/>
    <col min="27" max="27" width="15" style="1" customWidth="1"/>
    <col min="28" max="29" width="16.7265625" style="1" customWidth="1"/>
    <col min="30" max="31" width="15.453125" style="1" customWidth="1"/>
    <col min="32" max="32" width="16.26953125" style="1" customWidth="1"/>
    <col min="33" max="33" width="18.26953125" style="1" customWidth="1"/>
    <col min="34" max="34" width="13.7265625" style="1" customWidth="1"/>
    <col min="35" max="35" width="3.453125" style="1" customWidth="1"/>
    <col min="36" max="16384" width="11.453125" style="1"/>
  </cols>
  <sheetData>
    <row r="1" spans="2:35" ht="12" thickBot="1" x14ac:dyDescent="0.3">
      <c r="Q1" s="4"/>
      <c r="AI1" s="4"/>
    </row>
    <row r="2" spans="2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REMUNERACION_ENEL!N98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5" x14ac:dyDescent="0.35">
      <c r="B6" s="8"/>
      <c r="C6" s="590" t="s">
        <v>17</v>
      </c>
      <c r="D6" s="9">
        <f>REMUNERACION_ENEL!D101</f>
        <v>46282</v>
      </c>
      <c r="F6" s="58" t="str">
        <f>REMUNERACION_ENEL!F101</f>
        <v>REPORTE CONSOLIDADO TOTAL DE RECAUDO  // ENEL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REMUNERACION_ENEL!U101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" thickBot="1" x14ac:dyDescent="0.3">
      <c r="B7" s="8"/>
      <c r="C7" s="590" t="s">
        <v>0</v>
      </c>
      <c r="D7" s="241">
        <f>REMUNERACION_ENEL!D102</f>
        <v>0.58333333333333337</v>
      </c>
      <c r="F7" s="2" t="s">
        <v>27</v>
      </c>
      <c r="G7" s="9">
        <f>REMUNERACION_ENEL!G102</f>
        <v>46266</v>
      </c>
      <c r="J7" s="2" t="s">
        <v>28</v>
      </c>
      <c r="K7" s="9">
        <f>REMUNERACION_ENEL!K102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69.5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1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5">
      <c r="B9" s="14">
        <v>1</v>
      </c>
      <c r="C9" s="61" t="s">
        <v>10</v>
      </c>
      <c r="D9" s="66">
        <f>REMUNERACION_ENEL!D104</f>
        <v>16920903756.910002</v>
      </c>
      <c r="E9" s="66">
        <f>REMUNERACION_ENEL!E104</f>
        <v>951432775.81999993</v>
      </c>
      <c r="F9" s="66">
        <f>REMUNERACION_ENEL!F104</f>
        <v>531457791.86000001</v>
      </c>
      <c r="G9" s="66">
        <f>REMUNERACION_ENEL!G104</f>
        <v>281685724.59999996</v>
      </c>
      <c r="H9" s="66">
        <f>REMUNERACION_ENEL!H104</f>
        <v>4815557421.3699999</v>
      </c>
      <c r="I9" s="66">
        <f>REMUNERACION_ENEL!I104</f>
        <v>180663508.13</v>
      </c>
      <c r="J9" s="66">
        <f>REMUNERACION_ENEL!J104</f>
        <v>2589335716.54</v>
      </c>
      <c r="K9" s="30">
        <f>D9-E9-F9-G9-H9-I9-J9</f>
        <v>7570770818.590003</v>
      </c>
      <c r="L9" s="66">
        <f>REMUNERACION_ENEL!L104</f>
        <v>189185987</v>
      </c>
      <c r="M9" s="30">
        <f>K9-L9</f>
        <v>7381584831.590003</v>
      </c>
      <c r="N9" s="66">
        <f>REMUNERACION_ENEL!N104</f>
        <v>28845491.23</v>
      </c>
      <c r="O9" s="30">
        <f>M9+N9</f>
        <v>7410430322.8200026</v>
      </c>
      <c r="Q9" s="4"/>
      <c r="S9" s="14">
        <v>1</v>
      </c>
      <c r="T9" s="61" t="s">
        <v>10</v>
      </c>
      <c r="U9" s="66">
        <f>REMUNERACION_ENEL!U104</f>
        <v>1586217383.9200001</v>
      </c>
      <c r="V9" s="66">
        <f>REMUNERACION_ENEL!V104</f>
        <v>1513149767.5</v>
      </c>
      <c r="W9" s="66">
        <f>REMUNERACION_ENEL!W104</f>
        <v>7120113761.2200003</v>
      </c>
      <c r="X9" s="66">
        <f>REMUNERACION_ENEL!X104</f>
        <v>2589551838.3899999</v>
      </c>
      <c r="Y9" s="66">
        <f>REMUNERACION_ENEL!Y104</f>
        <v>294798900.54000002</v>
      </c>
      <c r="Z9" s="66">
        <f>REMUNERACION_ENEL!Z104</f>
        <v>-189185987</v>
      </c>
      <c r="AA9" s="66">
        <f>REMUNERACION_ENEL!AA104</f>
        <v>-46201.060000000005</v>
      </c>
      <c r="AB9" s="66">
        <f>REMUNERACION_ENEL!AB104</f>
        <v>28845491.23</v>
      </c>
      <c r="AC9" s="66">
        <f>REMUNERACION_ENEL!AC104</f>
        <v>37.270000000000003</v>
      </c>
      <c r="AD9" s="66">
        <f>REMUNERACION_ENEL!AD104</f>
        <v>-5533007560.3600006</v>
      </c>
      <c r="AE9" s="66">
        <f>REMUNERACION_ENEL!AE104</f>
        <v>-2943671843.8200002</v>
      </c>
      <c r="AF9" s="69">
        <f>SUM(U9:AD9)</f>
        <v>7410437431.6499996</v>
      </c>
      <c r="AG9" s="71">
        <f>AF9-O9</f>
        <v>7108.8299970626831</v>
      </c>
      <c r="AH9" s="1" t="b">
        <f>INT(AG9)=0</f>
        <v>0</v>
      </c>
      <c r="AI9" s="4"/>
    </row>
    <row r="10" spans="2:35" x14ac:dyDescent="0.25">
      <c r="B10" s="16">
        <v>2</v>
      </c>
      <c r="C10" s="62" t="s">
        <v>11</v>
      </c>
      <c r="D10" s="66">
        <f>REMUNERACION_ENEL!D105</f>
        <v>12759110627.040001</v>
      </c>
      <c r="E10" s="66">
        <f>REMUNERACION_ENEL!E105</f>
        <v>932793472.18000007</v>
      </c>
      <c r="F10" s="66">
        <f>REMUNERACION_ENEL!F105</f>
        <v>519337584.19999993</v>
      </c>
      <c r="G10" s="66">
        <f>REMUNERACION_ENEL!G105</f>
        <v>273746584.90999997</v>
      </c>
      <c r="H10" s="66">
        <f>REMUNERACION_ENEL!H105</f>
        <v>4322586791.8499994</v>
      </c>
      <c r="I10" s="66">
        <f>REMUNERACION_ENEL!I105</f>
        <v>148116462.28999999</v>
      </c>
      <c r="J10" s="66">
        <f>REMUNERACION_ENEL!J105</f>
        <v>-5093259797.2199993</v>
      </c>
      <c r="K10" s="31">
        <f t="shared" ref="K10:K13" si="0">D10-E10-F10-G10-H10-I10-J10</f>
        <v>11655789528.83</v>
      </c>
      <c r="L10" s="66">
        <f>REMUNERACION_ENEL!L105</f>
        <v>266580255</v>
      </c>
      <c r="M10" s="31">
        <f>K10-L10</f>
        <v>11389209273.83</v>
      </c>
      <c r="N10" s="66">
        <f>REMUNERACION_ENEL!N105</f>
        <v>12984013.33</v>
      </c>
      <c r="O10" s="31">
        <f t="shared" ref="O10:O13" si="1">M10+N10</f>
        <v>11402193287.16</v>
      </c>
      <c r="Q10" s="4"/>
      <c r="S10" s="16">
        <v>2</v>
      </c>
      <c r="T10" s="62" t="s">
        <v>11</v>
      </c>
      <c r="U10" s="66">
        <f>REMUNERACION_ENEL!U105</f>
        <v>1299736893.7599998</v>
      </c>
      <c r="V10" s="66">
        <f>REMUNERACION_ENEL!V105</f>
        <v>1275131687.71</v>
      </c>
      <c r="W10" s="66">
        <f>REMUNERACION_ENEL!W105</f>
        <v>5975495362.3000002</v>
      </c>
      <c r="X10" s="66">
        <f>REMUNERACION_ENEL!X105</f>
        <v>1828556050.8900001</v>
      </c>
      <c r="Y10" s="66">
        <f>REMUNERACION_ENEL!Y105</f>
        <v>241974362.09</v>
      </c>
      <c r="Z10" s="66">
        <f>REMUNERACION_ENEL!Z105</f>
        <v>-266580255</v>
      </c>
      <c r="AA10" s="66">
        <f>REMUNERACION_ENEL!AA105</f>
        <v>62034.909999999996</v>
      </c>
      <c r="AB10" s="66">
        <f>REMUNERACION_ENEL!AB105</f>
        <v>12984013.33</v>
      </c>
      <c r="AC10" s="66">
        <f>REMUNERACION_ENEL!AC105</f>
        <v>-34.57</v>
      </c>
      <c r="AD10" s="66">
        <f>REMUNERACION_ENEL!AD105</f>
        <v>1034833171.7399993</v>
      </c>
      <c r="AE10" s="66">
        <f>REMUNERACION_ENEL!AE105</f>
        <v>-4058426625.48</v>
      </c>
      <c r="AF10" s="70">
        <f>SUM(U10:AD10)</f>
        <v>11402193287.16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5">
      <c r="B11" s="16">
        <v>3</v>
      </c>
      <c r="C11" s="62" t="s">
        <v>12</v>
      </c>
      <c r="D11" s="66">
        <f>REMUNERACION_ENEL!D106</f>
        <v>10205599146.570002</v>
      </c>
      <c r="E11" s="66">
        <f>REMUNERACION_ENEL!E106</f>
        <v>629291751.14999998</v>
      </c>
      <c r="F11" s="66">
        <f>REMUNERACION_ENEL!F106</f>
        <v>352061233.23999995</v>
      </c>
      <c r="G11" s="66">
        <f>REMUNERACION_ENEL!G106</f>
        <v>186348002.65000004</v>
      </c>
      <c r="H11" s="66">
        <f>REMUNERACION_ENEL!H106</f>
        <v>3061649694.1900005</v>
      </c>
      <c r="I11" s="66">
        <f>REMUNERACION_ENEL!I106</f>
        <v>101715175.75999999</v>
      </c>
      <c r="J11" s="66">
        <f>REMUNERACION_ENEL!J106</f>
        <v>-1230396998.4399998</v>
      </c>
      <c r="K11" s="31">
        <f t="shared" si="0"/>
        <v>7104930288.0200014</v>
      </c>
      <c r="L11" s="66">
        <f>REMUNERACION_ENEL!L106</f>
        <v>154788535</v>
      </c>
      <c r="M11" s="31">
        <f>K11-L11</f>
        <v>6950141753.0200014</v>
      </c>
      <c r="N11" s="66">
        <f>REMUNERACION_ENEL!N106</f>
        <v>13445739.66</v>
      </c>
      <c r="O11" s="31">
        <f t="shared" si="1"/>
        <v>6963587492.6800013</v>
      </c>
      <c r="Q11" s="4"/>
      <c r="S11" s="16">
        <v>3</v>
      </c>
      <c r="T11" s="62" t="s">
        <v>12</v>
      </c>
      <c r="U11" s="66">
        <f>REMUNERACION_ENEL!U106</f>
        <v>892751002.93999994</v>
      </c>
      <c r="V11" s="66">
        <f>REMUNERACION_ENEL!V106</f>
        <v>870100487.53999996</v>
      </c>
      <c r="W11" s="66">
        <f>REMUNERACION_ENEL!W106</f>
        <v>4095575369.4300003</v>
      </c>
      <c r="X11" s="66">
        <f>REMUNERACION_ENEL!X106</f>
        <v>1491422387.51</v>
      </c>
      <c r="Y11" s="66">
        <f>REMUNERACION_ENEL!Y106</f>
        <v>165989772.75000003</v>
      </c>
      <c r="Z11" s="66">
        <f>REMUNERACION_ENEL!Z106</f>
        <v>-154788535</v>
      </c>
      <c r="AA11" s="66">
        <f>REMUNERACION_ENEL!AA106</f>
        <v>49081.23</v>
      </c>
      <c r="AB11" s="66">
        <f>REMUNERACION_ENEL!AB106</f>
        <v>13445739.66</v>
      </c>
      <c r="AC11" s="66">
        <f>REMUNERACION_ENEL!AC106</f>
        <v>1.07</v>
      </c>
      <c r="AD11" s="66">
        <f>REMUNERACION_ENEL!AD106</f>
        <v>-410957814.45000005</v>
      </c>
      <c r="AE11" s="66">
        <f>REMUNERACION_ENEL!AE106</f>
        <v>-1641354812.8899999</v>
      </c>
      <c r="AF11" s="70">
        <f>SUM(U11:AD11)</f>
        <v>6963587492.6799994</v>
      </c>
      <c r="AG11" s="72">
        <f>AF11-O11</f>
        <v>0</v>
      </c>
      <c r="AH11" s="1" t="b">
        <f t="shared" si="2"/>
        <v>1</v>
      </c>
      <c r="AI11" s="4"/>
    </row>
    <row r="12" spans="2:35" x14ac:dyDescent="0.25">
      <c r="B12" s="16">
        <v>4</v>
      </c>
      <c r="C12" s="62" t="s">
        <v>13</v>
      </c>
      <c r="D12" s="66">
        <f>REMUNERACION_ENEL!D107</f>
        <v>10991242585.599998</v>
      </c>
      <c r="E12" s="66">
        <f>REMUNERACION_ENEL!E107</f>
        <v>612757116.33000004</v>
      </c>
      <c r="F12" s="66">
        <f>REMUNERACION_ENEL!F107</f>
        <v>341110908.60999995</v>
      </c>
      <c r="G12" s="66">
        <f>REMUNERACION_ENEL!G107</f>
        <v>180756802.69999999</v>
      </c>
      <c r="H12" s="66">
        <f>REMUNERACION_ENEL!H107</f>
        <v>2768093997.02</v>
      </c>
      <c r="I12" s="66">
        <f>REMUNERACION_ENEL!I107</f>
        <v>95992558.799999982</v>
      </c>
      <c r="J12" s="66">
        <f>REMUNERACION_ENEL!J107</f>
        <v>38133905.800000012</v>
      </c>
      <c r="K12" s="31">
        <f t="shared" si="0"/>
        <v>6954397296.3399963</v>
      </c>
      <c r="L12" s="66">
        <f>REMUNERACION_ENEL!L107</f>
        <v>120391083</v>
      </c>
      <c r="M12" s="31">
        <f>K12-L12</f>
        <v>6834006213.3399963</v>
      </c>
      <c r="N12" s="66">
        <f>REMUNERACION_ENEL!N107</f>
        <v>19861983.190000001</v>
      </c>
      <c r="O12" s="31">
        <f t="shared" si="1"/>
        <v>6853868196.5299959</v>
      </c>
      <c r="Q12" s="4"/>
      <c r="S12" s="16">
        <v>4</v>
      </c>
      <c r="T12" s="62" t="s">
        <v>13</v>
      </c>
      <c r="U12" s="66">
        <f>REMUNERACION_ENEL!U107</f>
        <v>841773977.29999995</v>
      </c>
      <c r="V12" s="66">
        <f>REMUNERACION_ENEL!V107</f>
        <v>822432392.84000003</v>
      </c>
      <c r="W12" s="66">
        <f>REMUNERACION_ENEL!W107</f>
        <v>4196445614.7799997</v>
      </c>
      <c r="X12" s="66">
        <f>REMUNERACION_ENEL!X107</f>
        <v>1622132605.1699998</v>
      </c>
      <c r="Y12" s="66">
        <f>REMUNERACION_ENEL!Y107</f>
        <v>156904728.71000001</v>
      </c>
      <c r="Z12" s="66">
        <f>REMUNERACION_ENEL!Z107</f>
        <v>-120391083</v>
      </c>
      <c r="AA12" s="66">
        <f>REMUNERACION_ENEL!AA107</f>
        <v>-64131.010000000009</v>
      </c>
      <c r="AB12" s="66">
        <f>REMUNERACION_ENEL!AB107</f>
        <v>19861983.190000001</v>
      </c>
      <c r="AC12" s="66">
        <f>REMUNERACION_ENEL!AC107</f>
        <v>31.950000000000024</v>
      </c>
      <c r="AD12" s="66">
        <f>REMUNERACION_ENEL!AD107</f>
        <v>-685227923.4000001</v>
      </c>
      <c r="AE12" s="66">
        <f>REMUNERACION_ENEL!AE107</f>
        <v>-647094017.60000002</v>
      </c>
      <c r="AF12" s="70">
        <f>SUM(U12:AD12)</f>
        <v>6853868196.5299988</v>
      </c>
      <c r="AG12" s="72">
        <f>AF12-O12</f>
        <v>0</v>
      </c>
      <c r="AH12" s="1" t="b">
        <f t="shared" si="2"/>
        <v>1</v>
      </c>
      <c r="AI12" s="4"/>
    </row>
    <row r="13" spans="2:35" ht="12" thickBot="1" x14ac:dyDescent="0.3">
      <c r="B13" s="19">
        <v>5</v>
      </c>
      <c r="C13" s="63" t="s">
        <v>14</v>
      </c>
      <c r="D13" s="66">
        <f>REMUNERACION_ENEL!D108</f>
        <v>8800679781.3700008</v>
      </c>
      <c r="E13" s="66">
        <f>REMUNERACION_ENEL!E108</f>
        <v>475293248.80000001</v>
      </c>
      <c r="F13" s="66">
        <f>REMUNERACION_ENEL!F108</f>
        <v>265758832.30000001</v>
      </c>
      <c r="G13" s="66">
        <f>REMUNERACION_ENEL!G108</f>
        <v>140738596.90000001</v>
      </c>
      <c r="H13" s="66">
        <f>REMUNERACION_ENEL!H108</f>
        <v>2045307402.5800002</v>
      </c>
      <c r="I13" s="66">
        <f>REMUNERACION_ENEL!I108</f>
        <v>73259470.969999999</v>
      </c>
      <c r="J13" s="66">
        <f>REMUNERACION_ENEL!J108</f>
        <v>-1224100690.4600003</v>
      </c>
      <c r="K13" s="31">
        <f t="shared" si="0"/>
        <v>7024422920.2800007</v>
      </c>
      <c r="L13" s="66">
        <f>REMUNERACION_ENEL!L108</f>
        <v>128990445</v>
      </c>
      <c r="M13" s="40">
        <f>K13-L13</f>
        <v>6895432475.2800007</v>
      </c>
      <c r="N13" s="66">
        <f>REMUNERACION_ENEL!N108</f>
        <v>5862361.9900000002</v>
      </c>
      <c r="O13" s="40">
        <f t="shared" si="1"/>
        <v>6901294837.2700005</v>
      </c>
      <c r="Q13" s="4"/>
      <c r="S13" s="19">
        <v>5</v>
      </c>
      <c r="T13" s="63" t="s">
        <v>14</v>
      </c>
      <c r="U13" s="66">
        <f>REMUNERACION_ENEL!U108</f>
        <v>643145081.82999992</v>
      </c>
      <c r="V13" s="66">
        <f>REMUNERACION_ENEL!V108</f>
        <v>624107126.62</v>
      </c>
      <c r="W13" s="66">
        <f>REMUNERACION_ENEL!W108</f>
        <v>3202966035.54</v>
      </c>
      <c r="X13" s="66">
        <f>REMUNERACION_ENEL!X108</f>
        <v>1423430592.5599999</v>
      </c>
      <c r="Y13" s="66">
        <f>REMUNERACION_ENEL!Y108</f>
        <v>119594166.09</v>
      </c>
      <c r="Z13" s="66">
        <f>REMUNERACION_ENEL!Z108</f>
        <v>-128990445</v>
      </c>
      <c r="AA13" s="66">
        <f>REMUNERACION_ENEL!AA108</f>
        <v>-13031.900000000001</v>
      </c>
      <c r="AB13" s="66">
        <f>REMUNERACION_ENEL!AB108</f>
        <v>5862361.9900000002</v>
      </c>
      <c r="AC13" s="66">
        <f>REMUNERACION_ENEL!AC108</f>
        <v>-37.089999999999996</v>
      </c>
      <c r="AD13" s="66">
        <f>REMUNERACION_ENEL!AD108</f>
        <v>1011192986.6300002</v>
      </c>
      <c r="AE13" s="66">
        <f>REMUNERACION_ENEL!AE108</f>
        <v>-212907703.83000001</v>
      </c>
      <c r="AF13" s="70">
        <f>SUM(U13:AD13)</f>
        <v>6901294837.2699995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35">
      <c r="B14" s="21"/>
      <c r="C14" s="22" t="s">
        <v>2</v>
      </c>
      <c r="D14" s="43">
        <f t="shared" ref="D14:O14" si="3">SUM(D9:D13)</f>
        <v>59677535897.490005</v>
      </c>
      <c r="E14" s="43">
        <f t="shared" si="3"/>
        <v>3601568364.2800002</v>
      </c>
      <c r="F14" s="43">
        <f t="shared" si="3"/>
        <v>2009726350.2099998</v>
      </c>
      <c r="G14" s="43">
        <f t="shared" si="3"/>
        <v>1063275711.7600001</v>
      </c>
      <c r="H14" s="43">
        <f t="shared" si="3"/>
        <v>17013195307.01</v>
      </c>
      <c r="I14" s="43">
        <f t="shared" si="3"/>
        <v>599747175.94999993</v>
      </c>
      <c r="J14" s="43">
        <f t="shared" si="3"/>
        <v>-4920287863.7799988</v>
      </c>
      <c r="K14" s="32">
        <f t="shared" si="3"/>
        <v>40310310852.059998</v>
      </c>
      <c r="L14" s="23">
        <f t="shared" si="3"/>
        <v>859936305</v>
      </c>
      <c r="M14" s="76">
        <f t="shared" si="3"/>
        <v>39450374547.059998</v>
      </c>
      <c r="N14" s="23">
        <f t="shared" si="3"/>
        <v>80999589.399999991</v>
      </c>
      <c r="O14" s="76">
        <f t="shared" si="3"/>
        <v>39531374136.459999</v>
      </c>
      <c r="P14" s="2"/>
      <c r="Q14" s="4"/>
      <c r="S14" s="21"/>
      <c r="T14" s="22" t="s">
        <v>2</v>
      </c>
      <c r="U14" s="43">
        <f>SUM(U9:U13)</f>
        <v>5263624339.75</v>
      </c>
      <c r="V14" s="43">
        <f t="shared" ref="V14:AG14" si="4">SUM(V9:V13)</f>
        <v>5104921462.21</v>
      </c>
      <c r="W14" s="43">
        <f t="shared" si="4"/>
        <v>24590596143.27</v>
      </c>
      <c r="X14" s="43">
        <f t="shared" si="4"/>
        <v>8955093474.5200005</v>
      </c>
      <c r="Y14" s="43">
        <f t="shared" si="4"/>
        <v>979261930.18000007</v>
      </c>
      <c r="Z14" s="43">
        <f t="shared" si="4"/>
        <v>-859936305</v>
      </c>
      <c r="AA14" s="43">
        <f t="shared" si="4"/>
        <v>-12247.830000000016</v>
      </c>
      <c r="AB14" s="43">
        <f t="shared" si="4"/>
        <v>80999589.399999991</v>
      </c>
      <c r="AC14" s="43">
        <f t="shared" si="4"/>
        <v>-1.369999999999969</v>
      </c>
      <c r="AD14" s="43">
        <f t="shared" si="4"/>
        <v>-4583167139.8400011</v>
      </c>
      <c r="AE14" s="43">
        <f>SUM(AE9:AE13)</f>
        <v>-9503455003.6200008</v>
      </c>
      <c r="AF14" s="68">
        <f t="shared" si="4"/>
        <v>39531381245.289993</v>
      </c>
      <c r="AG14" s="43">
        <f t="shared" si="4"/>
        <v>7108.8299970626831</v>
      </c>
      <c r="AH14" s="1" t="b">
        <f t="shared" si="2"/>
        <v>0</v>
      </c>
      <c r="AI14" s="4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44893497349.93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3">
      <c r="Q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4" x14ac:dyDescent="0.3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REMUNERACION_ENEL!M117</f>
        <v>2026091</v>
      </c>
      <c r="O22" s="10"/>
      <c r="P22" s="2"/>
      <c r="Q22" s="4"/>
    </row>
    <row r="23" spans="1:35" ht="15.5" x14ac:dyDescent="0.3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5">
      <c r="B25" s="8"/>
      <c r="I25" s="2"/>
      <c r="J25" s="2"/>
      <c r="O25" s="10"/>
      <c r="P25" s="2"/>
      <c r="Q25" s="4"/>
    </row>
    <row r="26" spans="1:35" ht="15.5" x14ac:dyDescent="0.3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5">
      <c r="B27" s="8"/>
      <c r="F27" s="2" t="s">
        <v>27</v>
      </c>
      <c r="G27" s="2"/>
      <c r="H27" s="9">
        <f>REMUNERACION_ENEL!G122</f>
        <v>46266</v>
      </c>
      <c r="J27" s="2" t="s">
        <v>28</v>
      </c>
      <c r="K27" s="9">
        <f>REMUNERACION_ENEL!K122</f>
        <v>46280</v>
      </c>
      <c r="O27" s="10"/>
      <c r="P27" s="2"/>
      <c r="Q27" s="4"/>
    </row>
    <row r="28" spans="1:35" ht="12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6.5" thickBot="1" x14ac:dyDescent="0.3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x14ac:dyDescent="0.25">
      <c r="B30" s="108">
        <v>1</v>
      </c>
      <c r="C30" s="109" t="s">
        <v>10</v>
      </c>
      <c r="D30" s="110">
        <f>REMUNERACION_ENEL!D125</f>
        <v>25429155</v>
      </c>
      <c r="E30" s="111">
        <f>REMUNERACION_ENEL!E125</f>
        <v>0</v>
      </c>
      <c r="G30" s="338">
        <f>REMUNERACION_ENEL!G125</f>
        <v>0</v>
      </c>
      <c r="H30" s="312">
        <f>REMUNERACION_ENEL!H125</f>
        <v>30254522.43</v>
      </c>
      <c r="I30" s="311">
        <f>REMUNERACION_ENEL!I125</f>
        <v>0</v>
      </c>
      <c r="J30" s="311">
        <f>REMUNERACION_ENEL!J125</f>
        <v>-3461197.29</v>
      </c>
      <c r="K30" s="311">
        <f>REMUNERACION_ENEL!K125</f>
        <v>0</v>
      </c>
      <c r="L30" s="311">
        <f>REMUNERACION_ENEL!L125</f>
        <v>1752.71</v>
      </c>
      <c r="O30" s="44"/>
      <c r="Q30" s="4"/>
    </row>
    <row r="31" spans="1:35" x14ac:dyDescent="0.25">
      <c r="B31" s="16">
        <v>2</v>
      </c>
      <c r="C31" s="17" t="s">
        <v>11</v>
      </c>
      <c r="D31" s="15">
        <f>REMUNERACION_ENEL!D126</f>
        <v>27050219</v>
      </c>
      <c r="E31" s="74">
        <f>REMUNERACION_ENEL!E126</f>
        <v>0</v>
      </c>
      <c r="G31" s="341">
        <f>REMUNERACION_ENEL!G126</f>
        <v>0</v>
      </c>
      <c r="H31" s="342">
        <f>REMUNERACION_ENEL!H126</f>
        <v>56441179.739999995</v>
      </c>
      <c r="I31" s="290">
        <f>REMUNERACION_ENEL!I126</f>
        <v>0</v>
      </c>
      <c r="J31" s="290">
        <f>REMUNERACION_ENEL!J126</f>
        <v>-8739602.3699999992</v>
      </c>
      <c r="K31" s="290">
        <f>REMUNERACION_ENEL!K126</f>
        <v>0</v>
      </c>
      <c r="L31" s="290">
        <f>REMUNERACION_ENEL!L126</f>
        <v>310.63</v>
      </c>
      <c r="O31" s="44"/>
      <c r="Q31" s="4"/>
    </row>
    <row r="32" spans="1:35" x14ac:dyDescent="0.25">
      <c r="B32" s="16">
        <v>3</v>
      </c>
      <c r="C32" s="17" t="s">
        <v>12</v>
      </c>
      <c r="D32" s="15">
        <f>REMUNERACION_ENEL!D127</f>
        <v>6025131</v>
      </c>
      <c r="E32" s="74">
        <f>REMUNERACION_ENEL!E127</f>
        <v>0</v>
      </c>
      <c r="G32" s="341">
        <f>REMUNERACION_ENEL!G127</f>
        <v>135940</v>
      </c>
      <c r="H32" s="342">
        <f>REMUNERACION_ENEL!H127</f>
        <v>21873459.120000001</v>
      </c>
      <c r="I32" s="290">
        <f>REMUNERACION_ENEL!I127</f>
        <v>0</v>
      </c>
      <c r="J32" s="290">
        <f>REMUNERACION_ENEL!J127</f>
        <v>-6091573.8899999997</v>
      </c>
      <c r="K32" s="290">
        <f>REMUNERACION_ENEL!K127</f>
        <v>1090</v>
      </c>
      <c r="L32" s="290">
        <f>REMUNERACION_ENEL!L127</f>
        <v>984746.11</v>
      </c>
      <c r="O32" s="44"/>
      <c r="Q32" s="4"/>
    </row>
    <row r="33" spans="1:20" x14ac:dyDescent="0.25">
      <c r="B33" s="16">
        <v>4</v>
      </c>
      <c r="C33" s="17" t="s">
        <v>13</v>
      </c>
      <c r="D33" s="15">
        <f>REMUNERACION_ENEL!D128</f>
        <v>27660196</v>
      </c>
      <c r="E33" s="74">
        <f>REMUNERACION_ENEL!E128</f>
        <v>0</v>
      </c>
      <c r="G33" s="341">
        <f>REMUNERACION_ENEL!G128</f>
        <v>8186910</v>
      </c>
      <c r="H33" s="342">
        <f>REMUNERACION_ENEL!H128</f>
        <v>15536711.57</v>
      </c>
      <c r="I33" s="290">
        <f>REMUNERACION_ENEL!I128</f>
        <v>0</v>
      </c>
      <c r="J33" s="290">
        <f>REMUNERACION_ENEL!J128</f>
        <v>-20245524.780000001</v>
      </c>
      <c r="K33" s="290">
        <f>REMUNERACION_ENEL!K128</f>
        <v>9321147</v>
      </c>
      <c r="L33" s="290">
        <f>REMUNERACION_ENEL!L128</f>
        <v>459462.22</v>
      </c>
      <c r="O33" s="44"/>
      <c r="Q33" s="4"/>
    </row>
    <row r="34" spans="1:20" x14ac:dyDescent="0.25">
      <c r="B34" s="133">
        <v>5</v>
      </c>
      <c r="C34" s="138" t="s">
        <v>14</v>
      </c>
      <c r="D34" s="135">
        <f>REMUNERACION_ENEL!D129</f>
        <v>9759043</v>
      </c>
      <c r="E34" s="139">
        <f>REMUNERACION_ENEL!E129</f>
        <v>0</v>
      </c>
      <c r="G34" s="341">
        <f>REMUNERACION_ENEL!G129</f>
        <v>0</v>
      </c>
      <c r="H34" s="342">
        <f>REMUNERACION_ENEL!H129</f>
        <v>26488801.359999999</v>
      </c>
      <c r="I34" s="290">
        <f>REMUNERACION_ENEL!I129</f>
        <v>0</v>
      </c>
      <c r="J34" s="290">
        <f>REMUNERACION_ENEL!J129</f>
        <v>-8771320</v>
      </c>
      <c r="K34" s="290">
        <f>REMUNERACION_ENEL!K129</f>
        <v>0</v>
      </c>
      <c r="L34" s="290">
        <f>REMUNERACION_ENEL!L129</f>
        <v>67480</v>
      </c>
      <c r="O34" s="44"/>
      <c r="Q34" s="4"/>
    </row>
    <row r="35" spans="1:20" ht="12" thickBot="1" x14ac:dyDescent="0.3">
      <c r="B35" s="19" t="s">
        <v>89</v>
      </c>
      <c r="C35" s="20" t="s">
        <v>113</v>
      </c>
      <c r="D35" s="78"/>
      <c r="E35" s="79">
        <f>REMUNERACION_ENEL!E130</f>
        <v>0</v>
      </c>
      <c r="G35" s="348"/>
      <c r="H35" s="349"/>
      <c r="I35" s="291"/>
      <c r="J35" s="291"/>
      <c r="K35" s="291"/>
      <c r="L35" s="291"/>
      <c r="O35" s="44"/>
      <c r="Q35" s="4"/>
    </row>
    <row r="36" spans="1:20" ht="12" thickBot="1" x14ac:dyDescent="0.3">
      <c r="B36" s="95"/>
      <c r="C36" s="106" t="s">
        <v>2</v>
      </c>
      <c r="D36" s="107">
        <f t="shared" ref="D36" si="5">SUM(D30:D34)</f>
        <v>95923744</v>
      </c>
      <c r="E36" s="107">
        <f>REMUNERACION_ENEL!E131</f>
        <v>0</v>
      </c>
      <c r="F36" s="45"/>
      <c r="G36" s="352">
        <f t="shared" ref="G36:L36" si="6">SUM(G30:G34)</f>
        <v>8322850</v>
      </c>
      <c r="H36" s="352">
        <f t="shared" si="6"/>
        <v>150594674.21999997</v>
      </c>
      <c r="I36" s="352">
        <f t="shared" si="6"/>
        <v>0</v>
      </c>
      <c r="J36" s="352">
        <f t="shared" si="6"/>
        <v>-47309218.329999998</v>
      </c>
      <c r="K36" s="352">
        <f t="shared" si="6"/>
        <v>9322237</v>
      </c>
      <c r="L36" s="352">
        <f t="shared" si="6"/>
        <v>1513751.67</v>
      </c>
      <c r="M36" s="45"/>
      <c r="N36" s="45"/>
      <c r="O36" s="46"/>
      <c r="P36" s="2"/>
      <c r="Q36" s="4"/>
    </row>
    <row r="37" spans="1:20" x14ac:dyDescent="0.25">
      <c r="B37" s="2"/>
      <c r="C37" s="2"/>
      <c r="D37" s="24"/>
      <c r="Q37" s="4"/>
    </row>
    <row r="38" spans="1:20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5">
      <c r="N42" s="24"/>
      <c r="O42" s="24"/>
      <c r="Q42" s="24"/>
      <c r="T42" s="24"/>
    </row>
    <row r="43" spans="1:20" x14ac:dyDescent="0.25">
      <c r="N43" s="24"/>
      <c r="O43" s="24"/>
      <c r="Q43" s="24"/>
      <c r="T43" s="24"/>
    </row>
    <row r="44" spans="1:20" x14ac:dyDescent="0.25">
      <c r="N44" s="24"/>
      <c r="O44" s="24"/>
      <c r="Q44" s="24"/>
      <c r="T44" s="24"/>
    </row>
    <row r="45" spans="1:20" x14ac:dyDescent="0.25">
      <c r="D45" s="269" t="b">
        <f>D14=REMUNERACION_ENEL!D109</f>
        <v>1</v>
      </c>
      <c r="E45" s="269" t="b">
        <f>E14=REMUNERACION_ENEL!E109</f>
        <v>1</v>
      </c>
      <c r="F45" s="269" t="b">
        <f>F14=REMUNERACION_ENEL!F109</f>
        <v>1</v>
      </c>
      <c r="G45" s="269" t="b">
        <f>G14=REMUNERACION_ENEL!G109</f>
        <v>1</v>
      </c>
      <c r="H45" s="269" t="b">
        <f>H14=REMUNERACION_ENEL!H109</f>
        <v>1</v>
      </c>
      <c r="I45" s="269" t="b">
        <f>I14=REMUNERACION_ENEL!I109</f>
        <v>1</v>
      </c>
      <c r="J45" s="269" t="b">
        <f>J14=REMUNERACION_ENEL!J109</f>
        <v>1</v>
      </c>
      <c r="K45" s="269" t="b">
        <f>K14=REMUNERACION_ENEL!K109</f>
        <v>1</v>
      </c>
      <c r="L45" s="269" t="b">
        <f>L14=REMUNERACION_ENEL!L109</f>
        <v>1</v>
      </c>
      <c r="M45" s="269" t="b">
        <f>M14=REMUNERACION_ENEL!M109</f>
        <v>1</v>
      </c>
      <c r="N45" s="269" t="b">
        <f>N14=REMUNERACION_ENEL!N109</f>
        <v>1</v>
      </c>
      <c r="O45" s="269" t="b">
        <f>O14=REMUNERACION_ENEL!O109</f>
        <v>1</v>
      </c>
      <c r="Q45" s="24"/>
      <c r="T45" s="24"/>
    </row>
    <row r="46" spans="1:20" x14ac:dyDescent="0.25">
      <c r="D46" s="269" t="b">
        <f>D36=REMUNERACION_ENEL!D131</f>
        <v>1</v>
      </c>
      <c r="E46" s="269" t="b">
        <f>E36=REMUNERACION_ENEL!E131</f>
        <v>1</v>
      </c>
      <c r="F46" s="269" t="b">
        <f>F36=REMUNERACION_ENEL!F131</f>
        <v>1</v>
      </c>
      <c r="G46" s="269" t="b">
        <f>G36=REMUNERACION_ENEL!G131</f>
        <v>1</v>
      </c>
      <c r="H46" s="269" t="b">
        <f>H36=REMUNERACION_ENEL!H131</f>
        <v>1</v>
      </c>
      <c r="I46" s="269" t="b">
        <f>I36=REMUNERACION_ENEL!I131</f>
        <v>1</v>
      </c>
      <c r="J46" s="269" t="b">
        <f>J36=REMUNERACION_ENEL!J131</f>
        <v>1</v>
      </c>
      <c r="K46" s="269" t="b">
        <f>K36=REMUNERACION_ENEL!K131</f>
        <v>1</v>
      </c>
      <c r="L46" s="269" t="b">
        <f>L36=REMUNERACION_ENEL!L131</f>
        <v>1</v>
      </c>
      <c r="M46" s="269" t="b">
        <f>M36=REMUNERACION_ENEL!M131</f>
        <v>1</v>
      </c>
      <c r="N46" s="269" t="b">
        <f>N36=REMUNERACION_ENEL!N131</f>
        <v>1</v>
      </c>
      <c r="O46" s="269" t="b">
        <f>O36=REMUNERACION_ENEL!O131</f>
        <v>1</v>
      </c>
      <c r="Q46" s="24"/>
      <c r="T46" s="24"/>
    </row>
    <row r="47" spans="1:20" x14ac:dyDescent="0.25">
      <c r="N47" s="24"/>
      <c r="O47" s="24"/>
      <c r="Q47" s="24"/>
      <c r="T47" s="24"/>
    </row>
    <row r="48" spans="1:20" x14ac:dyDescent="0.25">
      <c r="N48" s="24"/>
      <c r="O48" s="24"/>
      <c r="Q48" s="24"/>
      <c r="T48" s="24"/>
    </row>
    <row r="49" spans="14:20" x14ac:dyDescent="0.25">
      <c r="N49" s="24"/>
      <c r="O49" s="24"/>
      <c r="Q49" s="24"/>
      <c r="T49" s="24"/>
    </row>
    <row r="50" spans="14:20" x14ac:dyDescent="0.25">
      <c r="N50" s="24"/>
      <c r="O50" s="24"/>
      <c r="Q50" s="24"/>
      <c r="T50" s="24"/>
    </row>
    <row r="51" spans="14:20" x14ac:dyDescent="0.25">
      <c r="Q51" s="24"/>
      <c r="T51" s="24"/>
    </row>
    <row r="52" spans="14:20" x14ac:dyDescent="0.25">
      <c r="Q52" s="24"/>
    </row>
  </sheetData>
  <conditionalFormatting sqref="AH9:AH14">
    <cfRule type="cellIs" dxfId="41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6364-1631-4835-94DA-6C268605A859}">
  <sheetPr>
    <tabColor theme="8" tint="0.59999389629810485"/>
    <pageSetUpPr fitToPage="1"/>
  </sheetPr>
  <dimension ref="A1:AJ156"/>
  <sheetViews>
    <sheetView topLeftCell="A95" zoomScaleNormal="100" workbookViewId="0">
      <selection activeCell="A124" sqref="A124"/>
    </sheetView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7265625" style="1" customWidth="1"/>
    <col min="4" max="4" width="15.26953125" style="1" customWidth="1"/>
    <col min="5" max="5" width="16" style="1" customWidth="1"/>
    <col min="6" max="7" width="14.7265625" style="1" customWidth="1"/>
    <col min="8" max="9" width="16" style="1" customWidth="1"/>
    <col min="10" max="10" width="15.54296875" style="1" customWidth="1"/>
    <col min="11" max="11" width="17.54296875" style="1" customWidth="1"/>
    <col min="12" max="12" width="19.7265625" style="1" bestFit="1" customWidth="1"/>
    <col min="13" max="13" width="21" style="1" bestFit="1" customWidth="1"/>
    <col min="14" max="14" width="15.26953125" style="1" customWidth="1"/>
    <col min="15" max="15" width="16.7265625" style="1" customWidth="1"/>
    <col min="16" max="16" width="3.7265625" style="1" customWidth="1"/>
    <col min="17" max="17" width="2.7265625" style="1" customWidth="1"/>
    <col min="18" max="18" width="4.54296875" style="1" customWidth="1"/>
    <col min="19" max="19" width="11.26953125" style="1" customWidth="1"/>
    <col min="20" max="20" width="37.54296875" style="1" bestFit="1" customWidth="1"/>
    <col min="21" max="21" width="19.26953125" style="1" customWidth="1"/>
    <col min="22" max="22" width="17.7265625" style="1" customWidth="1"/>
    <col min="23" max="23" width="16.453125" style="1" customWidth="1"/>
    <col min="24" max="24" width="17.26953125" style="1" customWidth="1"/>
    <col min="25" max="25" width="15.7265625" style="1" customWidth="1"/>
    <col min="26" max="26" width="16" style="1" customWidth="1"/>
    <col min="27" max="27" width="15" style="1" customWidth="1"/>
    <col min="28" max="29" width="16.7265625" style="1" customWidth="1"/>
    <col min="30" max="31" width="15.453125" style="1" customWidth="1"/>
    <col min="32" max="32" width="16.26953125" style="1" customWidth="1"/>
    <col min="33" max="33" width="18.26953125" style="1" customWidth="1"/>
    <col min="34" max="34" width="13.7265625" style="1" customWidth="1"/>
    <col min="35" max="35" width="3.453125" style="1" customWidth="1"/>
    <col min="36" max="36" width="13.7265625" style="1" bestFit="1" customWidth="1"/>
    <col min="37" max="16384" width="11.453125" style="1"/>
  </cols>
  <sheetData>
    <row r="1" spans="1:35" ht="12" thickBot="1" x14ac:dyDescent="0.3">
      <c r="A1" s="241"/>
      <c r="Q1" s="4"/>
      <c r="AI1" s="4"/>
    </row>
    <row r="2" spans="1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1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5" x14ac:dyDescent="0.35">
      <c r="B6" s="8"/>
      <c r="C6" s="590" t="s">
        <v>17</v>
      </c>
      <c r="D6" s="9">
        <f>'CONSOLIDADO_TOTAL RECAUDO'!D6</f>
        <v>46282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" thickBot="1" x14ac:dyDescent="0.3">
      <c r="B7" s="8"/>
      <c r="C7" s="590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1:35" ht="72" customHeight="1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21" t="s">
        <v>107</v>
      </c>
      <c r="AE8" s="121" t="s">
        <v>223</v>
      </c>
      <c r="AF8" s="39" t="s">
        <v>23</v>
      </c>
      <c r="AG8" s="13"/>
      <c r="AI8" s="4"/>
    </row>
    <row r="9" spans="1:35" s="307" customFormat="1" x14ac:dyDescent="0.25">
      <c r="B9" s="305">
        <v>1</v>
      </c>
      <c r="C9" s="306" t="s">
        <v>10</v>
      </c>
      <c r="D9" s="293">
        <f>'Reporte Componentes R1'!F62</f>
        <v>0</v>
      </c>
      <c r="E9" s="293">
        <f>'Reporte Componentes R1'!G62</f>
        <v>0</v>
      </c>
      <c r="F9" s="293">
        <f>'Reporte Componentes R1'!H62</f>
        <v>0</v>
      </c>
      <c r="G9" s="293">
        <f>'Reporte Componentes R1'!I62</f>
        <v>0</v>
      </c>
      <c r="H9" s="293">
        <f>'Reporte Componentes R1'!J62</f>
        <v>0</v>
      </c>
      <c r="I9" s="293">
        <f>'Reporte Componentes R1'!K62</f>
        <v>0</v>
      </c>
      <c r="J9" s="293">
        <v>0</v>
      </c>
      <c r="K9" s="295">
        <f>D9-E9-F9-G9-H9-I9-J9</f>
        <v>0</v>
      </c>
      <c r="L9" s="296">
        <v>0</v>
      </c>
      <c r="M9" s="295">
        <f>K9-L9</f>
        <v>0</v>
      </c>
      <c r="N9" s="296">
        <f>'Reporte Componentes R1'!L62</f>
        <v>0</v>
      </c>
      <c r="O9" s="295">
        <f>M9+N9</f>
        <v>0</v>
      </c>
      <c r="Q9" s="308"/>
      <c r="S9" s="305">
        <v>1</v>
      </c>
      <c r="T9" s="306" t="s">
        <v>10</v>
      </c>
      <c r="U9" s="309">
        <f>'Reporte Componentes R1'!M62</f>
        <v>0</v>
      </c>
      <c r="V9" s="309">
        <f>'Reporte Componentes R1'!N62</f>
        <v>0</v>
      </c>
      <c r="W9" s="309">
        <f>'Reporte Componentes R1'!O62</f>
        <v>0</v>
      </c>
      <c r="X9" s="309">
        <f>'Reporte Componentes R1'!P62</f>
        <v>0</v>
      </c>
      <c r="Y9" s="309">
        <f>'Reporte Componentes R1'!Q62</f>
        <v>0</v>
      </c>
      <c r="Z9" s="321">
        <f>L9*-1</f>
        <v>0</v>
      </c>
      <c r="AA9" s="322">
        <f>'Reporte Componentes R1'!R62+'Reporte Componentes R1'!V162+'Reporte Componentes R1'!U62</f>
        <v>0</v>
      </c>
      <c r="AB9" s="296">
        <f>N9</f>
        <v>0</v>
      </c>
      <c r="AC9" s="322">
        <f>'Reporte Componentes R1'!T62+'Reporte Componentes R1'!W62+'Reporte Componentes R1'!X62+'Reporte Componentes R1'!Y62+'Reporte Componentes R1'!Z62+'Reporte Componentes R1'!S62</f>
        <v>0</v>
      </c>
      <c r="AD9" s="293">
        <f>-J9+AE9</f>
        <v>0</v>
      </c>
      <c r="AE9" s="293">
        <f>'Reporte Componentes R1'!F63</f>
        <v>0</v>
      </c>
      <c r="AF9" s="315">
        <f>SUM(U9:AD9)</f>
        <v>0</v>
      </c>
      <c r="AG9" s="313">
        <f>(AF9-O9)</f>
        <v>0</v>
      </c>
      <c r="AH9" s="1" t="b">
        <f>INT(AG9)=0</f>
        <v>1</v>
      </c>
      <c r="AI9" s="308"/>
    </row>
    <row r="10" spans="1:35" s="307" customFormat="1" x14ac:dyDescent="0.25">
      <c r="B10" s="316">
        <v>2</v>
      </c>
      <c r="C10" s="317" t="s">
        <v>11</v>
      </c>
      <c r="D10" s="293">
        <f>'Reporte Componentes R1'!F196</f>
        <v>0</v>
      </c>
      <c r="E10" s="293">
        <f>'Reporte Componentes R1'!G196</f>
        <v>0</v>
      </c>
      <c r="F10" s="293">
        <f>'Reporte Componentes R1'!H196</f>
        <v>0</v>
      </c>
      <c r="G10" s="293">
        <f>'Reporte Componentes R1'!I196</f>
        <v>0</v>
      </c>
      <c r="H10" s="293">
        <f>'Reporte Componentes R1'!J196</f>
        <v>0</v>
      </c>
      <c r="I10" s="293">
        <f>'Reporte Componentes R1'!K196</f>
        <v>0</v>
      </c>
      <c r="J10" s="293">
        <v>0</v>
      </c>
      <c r="K10" s="297">
        <f t="shared" ref="K10:K13" si="0">D10-E10-F10-G10-H10-I10-J10</f>
        <v>0</v>
      </c>
      <c r="L10" s="296">
        <v>0</v>
      </c>
      <c r="M10" s="297">
        <f>K10-L10</f>
        <v>0</v>
      </c>
      <c r="N10" s="296">
        <f>'Reporte Componentes R1'!L196</f>
        <v>0</v>
      </c>
      <c r="O10" s="297">
        <f t="shared" ref="O10:O12" si="1">M10+N10</f>
        <v>0</v>
      </c>
      <c r="Q10" s="308"/>
      <c r="S10" s="316">
        <v>2</v>
      </c>
      <c r="T10" s="317" t="s">
        <v>11</v>
      </c>
      <c r="U10" s="318">
        <f>'Reporte Componentes R1'!M196</f>
        <v>0</v>
      </c>
      <c r="V10" s="318">
        <f>'Reporte Componentes R1'!N196</f>
        <v>0</v>
      </c>
      <c r="W10" s="318">
        <f>'Reporte Componentes R1'!O196</f>
        <v>0</v>
      </c>
      <c r="X10" s="318">
        <f>'Reporte Componentes R1'!P196</f>
        <v>0</v>
      </c>
      <c r="Y10" s="318">
        <f>'Reporte Componentes R1'!Q196</f>
        <v>0</v>
      </c>
      <c r="Z10" s="321">
        <f>L10*-1</f>
        <v>0</v>
      </c>
      <c r="AA10" s="322">
        <f>'Reporte Componentes R1'!R196+'Reporte Componentes R1'!V196+'Reporte Componentes R1'!U196</f>
        <v>0</v>
      </c>
      <c r="AB10" s="296">
        <f>N10</f>
        <v>0</v>
      </c>
      <c r="AC10" s="322">
        <f>'Reporte Componentes R1'!T196+'Reporte Componentes R1'!W196+'Reporte Componentes R1'!X196+'Reporte Componentes R1'!Y196+'Reporte Componentes R1'!Z196+'Reporte Componentes R1'!S196</f>
        <v>0</v>
      </c>
      <c r="AD10" s="293">
        <f t="shared" ref="AD10:AD13" si="2">-J10+AE10</f>
        <v>0</v>
      </c>
      <c r="AE10" s="293">
        <f>'Reporte Componentes R1'!F197</f>
        <v>0</v>
      </c>
      <c r="AF10" s="324">
        <f>SUM(U10:AD10)</f>
        <v>0</v>
      </c>
      <c r="AG10" s="325">
        <f>(AF10-O10)</f>
        <v>0</v>
      </c>
      <c r="AH10" s="1" t="b">
        <f t="shared" ref="AH10:AH14" si="3">INT(AG10)=0</f>
        <v>1</v>
      </c>
      <c r="AI10" s="308"/>
    </row>
    <row r="11" spans="1:35" s="307" customFormat="1" x14ac:dyDescent="0.25">
      <c r="B11" s="316">
        <v>3</v>
      </c>
      <c r="C11" s="317" t="s">
        <v>12</v>
      </c>
      <c r="D11" s="293">
        <f>'Reporte Componentes R1'!F340</f>
        <v>0</v>
      </c>
      <c r="E11" s="293">
        <f>'Reporte Componentes R1'!G340</f>
        <v>0</v>
      </c>
      <c r="F11" s="293">
        <f>'Reporte Componentes R1'!H340</f>
        <v>0</v>
      </c>
      <c r="G11" s="293">
        <f>'Reporte Componentes R1'!I340</f>
        <v>0</v>
      </c>
      <c r="H11" s="293">
        <f>'Reporte Componentes R1'!J340</f>
        <v>0</v>
      </c>
      <c r="I11" s="293">
        <f>'Reporte Componentes R1'!K340</f>
        <v>0</v>
      </c>
      <c r="J11" s="293">
        <v>0</v>
      </c>
      <c r="K11" s="297">
        <f t="shared" si="0"/>
        <v>0</v>
      </c>
      <c r="L11" s="296">
        <v>0</v>
      </c>
      <c r="M11" s="297">
        <f>K11-L11</f>
        <v>0</v>
      </c>
      <c r="N11" s="296">
        <f>'Reporte Componentes R1'!L340</f>
        <v>0</v>
      </c>
      <c r="O11" s="297">
        <f t="shared" si="1"/>
        <v>0</v>
      </c>
      <c r="Q11" s="308"/>
      <c r="S11" s="316">
        <v>3</v>
      </c>
      <c r="T11" s="317" t="s">
        <v>12</v>
      </c>
      <c r="U11" s="318">
        <f>'Reporte Componentes R1'!M340</f>
        <v>0</v>
      </c>
      <c r="V11" s="318">
        <f>'Reporte Componentes R1'!N340</f>
        <v>0</v>
      </c>
      <c r="W11" s="318">
        <f>'Reporte Componentes R1'!O340</f>
        <v>0</v>
      </c>
      <c r="X11" s="318">
        <f>'Reporte Componentes R1'!P340</f>
        <v>0</v>
      </c>
      <c r="Y11" s="318">
        <f>'Reporte Componentes R1'!Q340</f>
        <v>0</v>
      </c>
      <c r="Z11" s="321">
        <f>L11*-1</f>
        <v>0</v>
      </c>
      <c r="AA11" s="322">
        <f>'Reporte Componentes R1'!R340+'Reporte Componentes R1'!V340+'Reporte Componentes R1'!U340</f>
        <v>0</v>
      </c>
      <c r="AB11" s="296">
        <f>N11</f>
        <v>0</v>
      </c>
      <c r="AC11" s="322">
        <f>'Reporte Componentes R1'!T340+'Reporte Componentes R1'!W340+'Reporte Componentes R1'!X340+'Reporte Componentes R1'!Y340+'Reporte Componentes R1'!Z340+'Reporte Componentes R1'!S340</f>
        <v>0</v>
      </c>
      <c r="AD11" s="293">
        <f t="shared" si="2"/>
        <v>0</v>
      </c>
      <c r="AE11" s="293">
        <f>'Reporte Componentes R1'!F341</f>
        <v>0</v>
      </c>
      <c r="AF11" s="324">
        <f t="shared" ref="AF11:AF13" si="4">SUM(U11:AD11)</f>
        <v>0</v>
      </c>
      <c r="AG11" s="325">
        <f>(AF11-O11)</f>
        <v>0</v>
      </c>
      <c r="AH11" s="1" t="b">
        <f t="shared" si="3"/>
        <v>1</v>
      </c>
      <c r="AI11" s="308"/>
    </row>
    <row r="12" spans="1:35" s="307" customFormat="1" x14ac:dyDescent="0.25">
      <c r="B12" s="316">
        <v>4</v>
      </c>
      <c r="C12" s="317" t="s">
        <v>13</v>
      </c>
      <c r="D12" s="293">
        <f>'Reporte Componentes R1'!F473</f>
        <v>0</v>
      </c>
      <c r="E12" s="293">
        <f>'Reporte Componentes R1'!G473</f>
        <v>0</v>
      </c>
      <c r="F12" s="293">
        <f>'Reporte Componentes R1'!H473</f>
        <v>0</v>
      </c>
      <c r="G12" s="293">
        <f>'Reporte Componentes R1'!I473</f>
        <v>0</v>
      </c>
      <c r="H12" s="293">
        <f>'Reporte Componentes R1'!J473</f>
        <v>0</v>
      </c>
      <c r="I12" s="293">
        <f>'Reporte Componentes R1'!K473</f>
        <v>0</v>
      </c>
      <c r="J12" s="293">
        <v>0</v>
      </c>
      <c r="K12" s="297">
        <f t="shared" si="0"/>
        <v>0</v>
      </c>
      <c r="L12" s="296">
        <v>0</v>
      </c>
      <c r="M12" s="297">
        <f>K12-L12</f>
        <v>0</v>
      </c>
      <c r="N12" s="296">
        <f>'Reporte Componentes R1'!L473</f>
        <v>0</v>
      </c>
      <c r="O12" s="297">
        <f t="shared" si="1"/>
        <v>0</v>
      </c>
      <c r="Q12" s="308"/>
      <c r="S12" s="316">
        <v>4</v>
      </c>
      <c r="T12" s="317" t="s">
        <v>13</v>
      </c>
      <c r="U12" s="318">
        <f>'Reporte Componentes R1'!M473</f>
        <v>0</v>
      </c>
      <c r="V12" s="318">
        <f>'Reporte Componentes R1'!N473</f>
        <v>0</v>
      </c>
      <c r="W12" s="318">
        <f>'Reporte Componentes R1'!O473</f>
        <v>0</v>
      </c>
      <c r="X12" s="318">
        <f>'Reporte Componentes R1'!P473</f>
        <v>0</v>
      </c>
      <c r="Y12" s="318">
        <f>'Reporte Componentes R1'!Q473</f>
        <v>0</v>
      </c>
      <c r="Z12" s="321">
        <f>L12*-1</f>
        <v>0</v>
      </c>
      <c r="AA12" s="322">
        <f>'Reporte Componentes R1'!R473+'Reporte Componentes R1'!V473+'Reporte Componentes R1'!U473</f>
        <v>0</v>
      </c>
      <c r="AB12" s="296">
        <f>N12</f>
        <v>0</v>
      </c>
      <c r="AC12" s="322">
        <f>'Reporte Componentes R1'!T473+'Reporte Componentes R1'!W473+'Reporte Componentes R1'!X473+'Reporte Componentes R1'!Y473+'Reporte Componentes R1'!Z473+'Reporte Componentes R1'!S473</f>
        <v>0</v>
      </c>
      <c r="AD12" s="293">
        <f t="shared" si="2"/>
        <v>0</v>
      </c>
      <c r="AE12" s="293">
        <f>'Reporte Componentes R1'!F474</f>
        <v>0</v>
      </c>
      <c r="AF12" s="324">
        <f t="shared" si="4"/>
        <v>0</v>
      </c>
      <c r="AG12" s="325">
        <f>(AF12-O12)</f>
        <v>0</v>
      </c>
      <c r="AH12" s="1" t="b">
        <f t="shared" si="3"/>
        <v>1</v>
      </c>
      <c r="AI12" s="308"/>
    </row>
    <row r="13" spans="1:35" s="307" customFormat="1" ht="12" thickBot="1" x14ac:dyDescent="0.3">
      <c r="B13" s="326">
        <v>5</v>
      </c>
      <c r="C13" s="327" t="s">
        <v>14</v>
      </c>
      <c r="D13" s="298">
        <f>'Reporte Componentes R1'!F567</f>
        <v>137170902</v>
      </c>
      <c r="E13" s="298">
        <f>'Reporte Componentes R1'!G567</f>
        <v>8742692.4100000001</v>
      </c>
      <c r="F13" s="298">
        <f>'Reporte Componentes R1'!H567</f>
        <v>4875107.3</v>
      </c>
      <c r="G13" s="298">
        <f>'Reporte Componentes R1'!I567</f>
        <v>2601178.42</v>
      </c>
      <c r="H13" s="298">
        <f>'Reporte Componentes R1'!J567</f>
        <v>34828590.310000002</v>
      </c>
      <c r="I13" s="298">
        <f>'Reporte Componentes R1'!K567</f>
        <v>1248070.6599999999</v>
      </c>
      <c r="J13" s="298">
        <v>0</v>
      </c>
      <c r="K13" s="297">
        <f t="shared" si="0"/>
        <v>84875262.900000006</v>
      </c>
      <c r="L13" s="296">
        <v>0</v>
      </c>
      <c r="M13" s="300">
        <f>K13-L13</f>
        <v>84875262.900000006</v>
      </c>
      <c r="N13" s="301">
        <f>'Reporte Componentes R1'!L567</f>
        <v>0</v>
      </c>
      <c r="O13" s="300">
        <f>M13+N13</f>
        <v>84875262.900000006</v>
      </c>
      <c r="Q13" s="308"/>
      <c r="S13" s="326">
        <v>5</v>
      </c>
      <c r="T13" s="327" t="s">
        <v>14</v>
      </c>
      <c r="U13" s="298">
        <f>'Reporte Componentes R1'!M567</f>
        <v>10923976.050000001</v>
      </c>
      <c r="V13" s="298">
        <f>'Reporte Componentes R1'!N567</f>
        <v>10791847.6</v>
      </c>
      <c r="W13" s="298">
        <f>'Reporte Componentes R1'!O567</f>
        <v>55071465.420000002</v>
      </c>
      <c r="X13" s="298">
        <f>'Reporte Componentes R1'!P567</f>
        <v>26210306.420000002</v>
      </c>
      <c r="Y13" s="298">
        <f>'Reporte Componentes R1'!Q567</f>
        <v>2042410.35</v>
      </c>
      <c r="Z13" s="321">
        <f>L13*-1</f>
        <v>0</v>
      </c>
      <c r="AA13" s="322">
        <f>'Reporte Componentes R1'!R567+'Reporte Componentes R1'!V567+'Reporte Componentes R1'!U567</f>
        <v>-1404.48</v>
      </c>
      <c r="AB13" s="296">
        <f>N13</f>
        <v>0</v>
      </c>
      <c r="AC13" s="322">
        <f>'Reporte Componentes R1'!T567+'Reporte Componentes R1'!W567+'Reporte Componentes R1'!X567+'Reporte Componentes R1'!Y567+'Reporte Componentes R1'!Z567+'Reporte Componentes R1'!S567</f>
        <v>0</v>
      </c>
      <c r="AD13" s="293">
        <f t="shared" si="2"/>
        <v>-20163338.460000001</v>
      </c>
      <c r="AE13" s="293">
        <f>'Reporte Componentes R1'!F568</f>
        <v>-20163338.460000001</v>
      </c>
      <c r="AF13" s="324">
        <f t="shared" si="4"/>
        <v>84875262.899999976</v>
      </c>
      <c r="AG13" s="328">
        <f>(AF13-O13)</f>
        <v>-2.9802322387695313E-8</v>
      </c>
      <c r="AH13" s="1" t="b">
        <f t="shared" si="3"/>
        <v>0</v>
      </c>
      <c r="AI13" s="308"/>
    </row>
    <row r="14" spans="1:35" s="307" customFormat="1" ht="13.5" thickBot="1" x14ac:dyDescent="0.35">
      <c r="B14" s="329"/>
      <c r="C14" s="330" t="s">
        <v>2</v>
      </c>
      <c r="D14" s="292">
        <f>SUM(D9:D13)</f>
        <v>137170902</v>
      </c>
      <c r="E14" s="292">
        <f t="shared" ref="E14:O14" si="5">SUM(E9:E13)</f>
        <v>8742692.4100000001</v>
      </c>
      <c r="F14" s="292">
        <f t="shared" si="5"/>
        <v>4875107.3</v>
      </c>
      <c r="G14" s="292">
        <f t="shared" si="5"/>
        <v>2601178.42</v>
      </c>
      <c r="H14" s="292">
        <f t="shared" si="5"/>
        <v>34828590.310000002</v>
      </c>
      <c r="I14" s="292">
        <f t="shared" si="5"/>
        <v>1248070.6599999999</v>
      </c>
      <c r="J14" s="292">
        <f t="shared" si="5"/>
        <v>0</v>
      </c>
      <c r="K14" s="302">
        <f t="shared" si="5"/>
        <v>84875262.900000006</v>
      </c>
      <c r="L14" s="303">
        <f>SUM(L9:L13)</f>
        <v>0</v>
      </c>
      <c r="M14" s="304">
        <f t="shared" si="5"/>
        <v>84875262.900000006</v>
      </c>
      <c r="N14" s="303">
        <f t="shared" si="5"/>
        <v>0</v>
      </c>
      <c r="O14" s="304">
        <f t="shared" si="5"/>
        <v>84875262.900000006</v>
      </c>
      <c r="P14" s="331"/>
      <c r="Q14" s="308"/>
      <c r="S14" s="329"/>
      <c r="T14" s="330" t="s">
        <v>2</v>
      </c>
      <c r="U14" s="332">
        <f>SUM(U9:U13)</f>
        <v>10923976.050000001</v>
      </c>
      <c r="V14" s="332">
        <f t="shared" ref="V14:AF14" si="6">SUM(V9:V13)</f>
        <v>10791847.6</v>
      </c>
      <c r="W14" s="332">
        <f t="shared" si="6"/>
        <v>55071465.420000002</v>
      </c>
      <c r="X14" s="332">
        <f t="shared" si="6"/>
        <v>26210306.420000002</v>
      </c>
      <c r="Y14" s="332">
        <f t="shared" si="6"/>
        <v>2042410.35</v>
      </c>
      <c r="Z14" s="292">
        <f t="shared" si="6"/>
        <v>0</v>
      </c>
      <c r="AA14" s="292">
        <f t="shared" si="6"/>
        <v>-1404.48</v>
      </c>
      <c r="AB14" s="292">
        <f t="shared" si="6"/>
        <v>0</v>
      </c>
      <c r="AC14" s="292">
        <f t="shared" si="6"/>
        <v>0</v>
      </c>
      <c r="AD14" s="292">
        <f>SUM(AD9:AD13)</f>
        <v>-20163338.460000001</v>
      </c>
      <c r="AE14" s="292">
        <f>SUM(AE9:AE13)</f>
        <v>-20163338.460000001</v>
      </c>
      <c r="AF14" s="333">
        <f t="shared" si="6"/>
        <v>84875262.899999976</v>
      </c>
      <c r="AG14" s="334">
        <f>SUM(AG9:AG13)</f>
        <v>-2.9802322387695313E-8</v>
      </c>
      <c r="AH14" s="1" t="b">
        <f t="shared" si="3"/>
        <v>0</v>
      </c>
      <c r="AI14" s="308"/>
    </row>
    <row r="15" spans="1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105040005.83999999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3">
      <c r="Q20" s="4"/>
      <c r="AI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4" x14ac:dyDescent="0.3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5" x14ac:dyDescent="0.3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4" x14ac:dyDescent="0.3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5" x14ac:dyDescent="0.35">
      <c r="B25" s="8"/>
      <c r="C25" s="590" t="s">
        <v>17</v>
      </c>
      <c r="D25" s="9">
        <f>D6</f>
        <v>46282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" thickBot="1" x14ac:dyDescent="0.3">
      <c r="B26" s="8"/>
      <c r="C26" s="590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3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21" t="s">
        <v>107</v>
      </c>
      <c r="AE27" s="121" t="s">
        <v>223</v>
      </c>
      <c r="AF27" s="39" t="s">
        <v>23</v>
      </c>
      <c r="AG27" s="13"/>
      <c r="AI27" s="4"/>
    </row>
    <row r="28" spans="1:35" s="307" customFormat="1" x14ac:dyDescent="0.25">
      <c r="B28" s="305">
        <v>1</v>
      </c>
      <c r="C28" s="306" t="s">
        <v>10</v>
      </c>
      <c r="D28" s="293">
        <f>'Rem. Anticipos R2'!E51</f>
        <v>0</v>
      </c>
      <c r="E28" s="293">
        <f>'Rem. Anticipos R2'!F51</f>
        <v>0</v>
      </c>
      <c r="F28" s="293">
        <f>'Rem. Anticipos R2'!G51</f>
        <v>0</v>
      </c>
      <c r="G28" s="293">
        <f>'Rem. Anticipos R2'!H51</f>
        <v>0</v>
      </c>
      <c r="H28" s="293">
        <f>'Rem. Anticipos R2'!I51</f>
        <v>0</v>
      </c>
      <c r="I28" s="293">
        <f>'Rem. Anticipos R2'!J51</f>
        <v>0</v>
      </c>
      <c r="J28" s="293">
        <v>0</v>
      </c>
      <c r="K28" s="295">
        <f>D28-E28-F28-G28-H28-I28-J28</f>
        <v>0</v>
      </c>
      <c r="L28" s="296">
        <v>0</v>
      </c>
      <c r="M28" s="295">
        <f>K28-L28</f>
        <v>0</v>
      </c>
      <c r="N28" s="296">
        <f>'Rem. Anticipos R2'!K51</f>
        <v>0</v>
      </c>
      <c r="O28" s="295">
        <f>M28+N28</f>
        <v>0</v>
      </c>
      <c r="Q28" s="308"/>
      <c r="S28" s="305">
        <v>1</v>
      </c>
      <c r="T28" s="306" t="s">
        <v>10</v>
      </c>
      <c r="U28" s="309">
        <f>'Rem. Anticipos R2'!L51</f>
        <v>0</v>
      </c>
      <c r="V28" s="309">
        <f>'Rem. Anticipos R2'!M51</f>
        <v>0</v>
      </c>
      <c r="W28" s="309">
        <f>'Rem. Anticipos R2'!N51</f>
        <v>0</v>
      </c>
      <c r="X28" s="309">
        <f>'Rem. Anticipos R2'!O51</f>
        <v>0</v>
      </c>
      <c r="Y28" s="309">
        <f>'Rem. Anticipos R2'!P51</f>
        <v>0</v>
      </c>
      <c r="Z28" s="312">
        <f>L28*-1</f>
        <v>0</v>
      </c>
      <c r="AA28" s="313">
        <f>'Rem. Anticipos R2'!Q51</f>
        <v>0</v>
      </c>
      <c r="AB28" s="296">
        <f>N28</f>
        <v>0</v>
      </c>
      <c r="AC28" s="313">
        <f>'Rem. Anticipos R2'!R51</f>
        <v>0</v>
      </c>
      <c r="AD28" s="293">
        <f>-J28+AE28</f>
        <v>0</v>
      </c>
      <c r="AE28" s="293">
        <f>'Rem. Anticipos R2'!E52</f>
        <v>0</v>
      </c>
      <c r="AF28" s="315">
        <f>SUM(U28:AD28)</f>
        <v>0</v>
      </c>
      <c r="AG28" s="313">
        <f>(AF28-O28)</f>
        <v>0</v>
      </c>
      <c r="AH28" s="1" t="b">
        <f>INT(AG28)=0</f>
        <v>1</v>
      </c>
      <c r="AI28" s="308"/>
    </row>
    <row r="29" spans="1:35" s="307" customFormat="1" x14ac:dyDescent="0.25">
      <c r="B29" s="316">
        <v>2</v>
      </c>
      <c r="C29" s="317" t="s">
        <v>11</v>
      </c>
      <c r="D29" s="293">
        <f>'Rem. Anticipos R2'!E144</f>
        <v>0</v>
      </c>
      <c r="E29" s="294">
        <f>'Rem. Anticipos R2'!F144</f>
        <v>0</v>
      </c>
      <c r="F29" s="294">
        <f>'Rem. Anticipos R2'!G144</f>
        <v>0</v>
      </c>
      <c r="G29" s="294">
        <f>'Rem. Anticipos R2'!H144</f>
        <v>0</v>
      </c>
      <c r="H29" s="294">
        <f>'Rem. Anticipos R2'!I144</f>
        <v>0</v>
      </c>
      <c r="I29" s="294">
        <f>'Rem. Anticipos R2'!J144</f>
        <v>0</v>
      </c>
      <c r="J29" s="290">
        <v>0</v>
      </c>
      <c r="K29" s="297">
        <f t="shared" ref="K29:K31" si="7">D29-E29-F29-G29-H29-I29-J29</f>
        <v>0</v>
      </c>
      <c r="L29" s="296">
        <v>0</v>
      </c>
      <c r="M29" s="297">
        <f>K29-L29</f>
        <v>0</v>
      </c>
      <c r="N29" s="296">
        <f>'Rem. Anticipos R2'!K144</f>
        <v>0</v>
      </c>
      <c r="O29" s="297">
        <f t="shared" ref="O29:O32" si="8">M29+N29</f>
        <v>0</v>
      </c>
      <c r="Q29" s="308"/>
      <c r="S29" s="316">
        <v>2</v>
      </c>
      <c r="T29" s="317" t="s">
        <v>11</v>
      </c>
      <c r="U29" s="318">
        <f>'Rem. Anticipos R2'!L144</f>
        <v>0</v>
      </c>
      <c r="V29" s="319">
        <f>'Rem. Anticipos R2'!M144</f>
        <v>0</v>
      </c>
      <c r="W29" s="319">
        <f>'Rem. Anticipos R2'!N144</f>
        <v>0</v>
      </c>
      <c r="X29" s="319">
        <f>'Rem. Anticipos R2'!O144</f>
        <v>0</v>
      </c>
      <c r="Y29" s="320">
        <f>'Rem. Anticipos R2'!P144</f>
        <v>0</v>
      </c>
      <c r="Z29" s="321">
        <f>L29*-1</f>
        <v>0</v>
      </c>
      <c r="AA29" s="322">
        <f>'Rem. Anticipos R2'!Q144</f>
        <v>0</v>
      </c>
      <c r="AB29" s="296">
        <f>N29</f>
        <v>0</v>
      </c>
      <c r="AC29" s="322">
        <f>'Rem. Anticipos R2'!R144</f>
        <v>0</v>
      </c>
      <c r="AD29" s="293">
        <f>-J29+AE29</f>
        <v>0</v>
      </c>
      <c r="AE29" s="293">
        <f>'Rem. Anticipos R2'!E145</f>
        <v>0</v>
      </c>
      <c r="AF29" s="324">
        <f>SUM(U29:AD29)</f>
        <v>0</v>
      </c>
      <c r="AG29" s="325">
        <f>(AF29-O29)</f>
        <v>0</v>
      </c>
      <c r="AH29" s="1" t="b">
        <f t="shared" ref="AH29:AH33" si="9">INT(AG29)=0</f>
        <v>1</v>
      </c>
      <c r="AI29" s="308"/>
    </row>
    <row r="30" spans="1:35" s="307" customFormat="1" x14ac:dyDescent="0.25">
      <c r="B30" s="316">
        <v>3</v>
      </c>
      <c r="C30" s="317" t="s">
        <v>12</v>
      </c>
      <c r="D30" s="293">
        <f>'Rem. Anticipos R2'!E257</f>
        <v>0</v>
      </c>
      <c r="E30" s="293">
        <f>'Rem. Anticipos R2'!F257</f>
        <v>0</v>
      </c>
      <c r="F30" s="293">
        <f>'Rem. Anticipos R2'!G257</f>
        <v>0</v>
      </c>
      <c r="G30" s="293">
        <f>'Rem. Anticipos R2'!H257</f>
        <v>0</v>
      </c>
      <c r="H30" s="293">
        <f>'Rem. Anticipos R2'!I257</f>
        <v>0</v>
      </c>
      <c r="I30" s="293">
        <f>'Rem. Anticipos R2'!J257</f>
        <v>0</v>
      </c>
      <c r="J30" s="290">
        <v>0</v>
      </c>
      <c r="K30" s="297">
        <f t="shared" si="7"/>
        <v>0</v>
      </c>
      <c r="L30" s="296">
        <v>0</v>
      </c>
      <c r="M30" s="297">
        <f>K30-L30</f>
        <v>0</v>
      </c>
      <c r="N30" s="296">
        <f>'Rem. Anticipos R2'!K257</f>
        <v>0</v>
      </c>
      <c r="O30" s="297">
        <f t="shared" si="8"/>
        <v>0</v>
      </c>
      <c r="Q30" s="308"/>
      <c r="S30" s="316">
        <v>3</v>
      </c>
      <c r="T30" s="317" t="s">
        <v>12</v>
      </c>
      <c r="U30" s="318">
        <f>'Rem. Anticipos R2'!L257</f>
        <v>0</v>
      </c>
      <c r="V30" s="318">
        <f>'Rem. Anticipos R2'!M257</f>
        <v>0</v>
      </c>
      <c r="W30" s="318">
        <f>'Rem. Anticipos R2'!N257</f>
        <v>0</v>
      </c>
      <c r="X30" s="318">
        <f>'Rem. Anticipos R2'!O257</f>
        <v>0</v>
      </c>
      <c r="Y30" s="318">
        <f>'Rem. Anticipos R2'!P257</f>
        <v>0</v>
      </c>
      <c r="Z30" s="321">
        <f>L30*-1</f>
        <v>0</v>
      </c>
      <c r="AA30" s="322">
        <f>'Rem. Anticipos R2'!Q257</f>
        <v>0</v>
      </c>
      <c r="AB30" s="296">
        <f>N30</f>
        <v>0</v>
      </c>
      <c r="AC30" s="322">
        <f>'Rem. Anticipos R2'!R257</f>
        <v>0</v>
      </c>
      <c r="AD30" s="293">
        <f t="shared" ref="AD30:AD32" si="10">-J30+AE30</f>
        <v>0</v>
      </c>
      <c r="AE30" s="293">
        <f>'Rem. Anticipos R2'!E258</f>
        <v>0</v>
      </c>
      <c r="AF30" s="324">
        <f>SUM(U30:AD30)</f>
        <v>0</v>
      </c>
      <c r="AG30" s="325">
        <f t="shared" ref="AG30:AG31" si="11">(AF30-O30)</f>
        <v>0</v>
      </c>
      <c r="AH30" s="1" t="b">
        <f t="shared" si="9"/>
        <v>1</v>
      </c>
      <c r="AI30" s="308"/>
    </row>
    <row r="31" spans="1:35" s="307" customFormat="1" x14ac:dyDescent="0.25">
      <c r="B31" s="316">
        <v>4</v>
      </c>
      <c r="C31" s="317" t="s">
        <v>13</v>
      </c>
      <c r="D31" s="293">
        <f>'Rem. Anticipos R2'!E353</f>
        <v>0</v>
      </c>
      <c r="E31" s="293">
        <f>'Rem. Anticipos R2'!F353</f>
        <v>0</v>
      </c>
      <c r="F31" s="293">
        <f>'Rem. Anticipos R2'!G353</f>
        <v>0</v>
      </c>
      <c r="G31" s="293">
        <f>'Rem. Anticipos R2'!H353</f>
        <v>0</v>
      </c>
      <c r="H31" s="293">
        <f>'Rem. Anticipos R2'!I353</f>
        <v>0</v>
      </c>
      <c r="I31" s="293">
        <f>'Rem. Anticipos R2'!J353</f>
        <v>0</v>
      </c>
      <c r="J31" s="290">
        <v>0</v>
      </c>
      <c r="K31" s="297">
        <f t="shared" si="7"/>
        <v>0</v>
      </c>
      <c r="L31" s="296">
        <v>0</v>
      </c>
      <c r="M31" s="297">
        <f>K31-L31</f>
        <v>0</v>
      </c>
      <c r="N31" s="296">
        <f>'Rem. Anticipos R2'!K353</f>
        <v>0</v>
      </c>
      <c r="O31" s="297">
        <f t="shared" si="8"/>
        <v>0</v>
      </c>
      <c r="Q31" s="308"/>
      <c r="S31" s="316">
        <v>4</v>
      </c>
      <c r="T31" s="317" t="s">
        <v>13</v>
      </c>
      <c r="U31" s="318">
        <f>'Rem. Anticipos R2'!L353</f>
        <v>0</v>
      </c>
      <c r="V31" s="318">
        <f>'Rem. Anticipos R2'!M353</f>
        <v>0</v>
      </c>
      <c r="W31" s="318">
        <f>'Rem. Anticipos R2'!N353</f>
        <v>0</v>
      </c>
      <c r="X31" s="318">
        <f>'Rem. Anticipos R2'!O353</f>
        <v>0</v>
      </c>
      <c r="Y31" s="318">
        <f>'Rem. Anticipos R2'!P353</f>
        <v>0</v>
      </c>
      <c r="Z31" s="321">
        <f>L31*-1</f>
        <v>0</v>
      </c>
      <c r="AA31" s="322">
        <f>'Rem. Anticipos R2'!Q353</f>
        <v>0</v>
      </c>
      <c r="AB31" s="296">
        <f>N31</f>
        <v>0</v>
      </c>
      <c r="AC31" s="322">
        <f>'Rem. Anticipos R2'!R353</f>
        <v>0</v>
      </c>
      <c r="AD31" s="293">
        <f t="shared" si="10"/>
        <v>0</v>
      </c>
      <c r="AE31" s="293">
        <f>'Rem. Anticipos R2'!E354</f>
        <v>0</v>
      </c>
      <c r="AF31" s="324">
        <f>SUM(U31:AD31)</f>
        <v>0</v>
      </c>
      <c r="AG31" s="325">
        <f t="shared" si="11"/>
        <v>0</v>
      </c>
      <c r="AH31" s="1" t="b">
        <f t="shared" si="9"/>
        <v>1</v>
      </c>
      <c r="AI31" s="308"/>
    </row>
    <row r="32" spans="1:35" s="307" customFormat="1" ht="12" thickBot="1" x14ac:dyDescent="0.3">
      <c r="B32" s="326">
        <v>5</v>
      </c>
      <c r="C32" s="327" t="s">
        <v>14</v>
      </c>
      <c r="D32" s="298">
        <f>'Rem. Anticipos R2'!E424</f>
        <v>0</v>
      </c>
      <c r="E32" s="298">
        <f>'Rem. Anticipos R2'!F424</f>
        <v>0</v>
      </c>
      <c r="F32" s="298">
        <f>'Rem. Anticipos R2'!G424</f>
        <v>0</v>
      </c>
      <c r="G32" s="298">
        <f>'Rem. Anticipos R2'!H424</f>
        <v>0</v>
      </c>
      <c r="H32" s="298">
        <f>'Rem. Anticipos R2'!I424</f>
        <v>0</v>
      </c>
      <c r="I32" s="298">
        <f>'Rem. Anticipos R2'!J424</f>
        <v>0</v>
      </c>
      <c r="J32" s="291">
        <v>0</v>
      </c>
      <c r="K32" s="297">
        <f>D32-E32-F32-G32-H32-I32-J32</f>
        <v>0</v>
      </c>
      <c r="L32" s="296">
        <v>0</v>
      </c>
      <c r="M32" s="300">
        <f>K32-L32</f>
        <v>0</v>
      </c>
      <c r="N32" s="301">
        <f>'Rem. Anticipos R2'!K424</f>
        <v>0</v>
      </c>
      <c r="O32" s="300">
        <f t="shared" si="8"/>
        <v>0</v>
      </c>
      <c r="Q32" s="308"/>
      <c r="S32" s="326">
        <v>5</v>
      </c>
      <c r="T32" s="327" t="s">
        <v>14</v>
      </c>
      <c r="U32" s="298">
        <f>'Rem. Anticipos R2'!L424</f>
        <v>0</v>
      </c>
      <c r="V32" s="299">
        <f>'Rem. Anticipos R2'!M424</f>
        <v>0</v>
      </c>
      <c r="W32" s="299">
        <f>'Rem. Anticipos R2'!N424</f>
        <v>0</v>
      </c>
      <c r="X32" s="299">
        <f>'Rem. Anticipos R2'!O424</f>
        <v>0</v>
      </c>
      <c r="Y32" s="291">
        <f>'Rem. Anticipos R2'!P424</f>
        <v>0</v>
      </c>
      <c r="Z32" s="321">
        <f>L32*-1</f>
        <v>0</v>
      </c>
      <c r="AA32" s="322">
        <f>'Rem. Anticipos R2'!Q424</f>
        <v>0</v>
      </c>
      <c r="AB32" s="296">
        <f>N32</f>
        <v>0</v>
      </c>
      <c r="AC32" s="322">
        <f>'Rem. Anticipos R2'!R424</f>
        <v>0</v>
      </c>
      <c r="AD32" s="293">
        <f t="shared" si="10"/>
        <v>0</v>
      </c>
      <c r="AE32" s="293">
        <f>'Rem. Anticipos R2'!E425</f>
        <v>0</v>
      </c>
      <c r="AF32" s="324">
        <f>SUM(U32:AD32)</f>
        <v>0</v>
      </c>
      <c r="AG32" s="328">
        <f>(AF32-O32)</f>
        <v>0</v>
      </c>
      <c r="AH32" s="1" t="b">
        <f t="shared" si="9"/>
        <v>1</v>
      </c>
      <c r="AI32" s="308"/>
    </row>
    <row r="33" spans="1:35" s="307" customFormat="1" ht="13.5" thickBot="1" x14ac:dyDescent="0.35">
      <c r="B33" s="329"/>
      <c r="C33" s="330" t="s">
        <v>2</v>
      </c>
      <c r="D33" s="292">
        <f>SUM(D28:D32)</f>
        <v>0</v>
      </c>
      <c r="E33" s="292">
        <f>SUM(E28:E32)</f>
        <v>0</v>
      </c>
      <c r="F33" s="292">
        <f t="shared" ref="F33:O33" si="12">SUM(F28:F32)</f>
        <v>0</v>
      </c>
      <c r="G33" s="292">
        <f t="shared" si="12"/>
        <v>0</v>
      </c>
      <c r="H33" s="292">
        <f t="shared" si="12"/>
        <v>0</v>
      </c>
      <c r="I33" s="292">
        <f t="shared" si="12"/>
        <v>0</v>
      </c>
      <c r="J33" s="292">
        <f t="shared" si="12"/>
        <v>0</v>
      </c>
      <c r="K33" s="302">
        <f t="shared" si="12"/>
        <v>0</v>
      </c>
      <c r="L33" s="303">
        <f t="shared" si="12"/>
        <v>0</v>
      </c>
      <c r="M33" s="304">
        <f t="shared" si="12"/>
        <v>0</v>
      </c>
      <c r="N33" s="303">
        <f t="shared" si="12"/>
        <v>0</v>
      </c>
      <c r="O33" s="304">
        <f t="shared" si="12"/>
        <v>0</v>
      </c>
      <c r="P33" s="331"/>
      <c r="Q33" s="308"/>
      <c r="S33" s="329"/>
      <c r="T33" s="330" t="s">
        <v>2</v>
      </c>
      <c r="U33" s="332">
        <f>SUM(U28:U32)</f>
        <v>0</v>
      </c>
      <c r="V33" s="332">
        <f t="shared" ref="V33:AG33" si="13">SUM(V28:V32)</f>
        <v>0</v>
      </c>
      <c r="W33" s="332">
        <f t="shared" si="13"/>
        <v>0</v>
      </c>
      <c r="X33" s="332">
        <f t="shared" si="13"/>
        <v>0</v>
      </c>
      <c r="Y33" s="332">
        <f t="shared" si="13"/>
        <v>0</v>
      </c>
      <c r="Z33" s="292">
        <f t="shared" si="13"/>
        <v>0</v>
      </c>
      <c r="AA33" s="292">
        <f t="shared" si="13"/>
        <v>0</v>
      </c>
      <c r="AB33" s="292">
        <f t="shared" si="13"/>
        <v>0</v>
      </c>
      <c r="AC33" s="292">
        <f t="shared" si="13"/>
        <v>0</v>
      </c>
      <c r="AD33" s="292">
        <f>SUM(AD28:AD32)</f>
        <v>0</v>
      </c>
      <c r="AE33" s="292">
        <f>SUM(AE28:AE32)</f>
        <v>0</v>
      </c>
      <c r="AF33" s="333">
        <f t="shared" si="13"/>
        <v>0</v>
      </c>
      <c r="AG33" s="334">
        <f t="shared" si="13"/>
        <v>0</v>
      </c>
      <c r="AH33" s="1" t="b">
        <f t="shared" si="9"/>
        <v>1</v>
      </c>
      <c r="AI33" s="308"/>
    </row>
    <row r="34" spans="1:35" ht="12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D35" s="1" t="s">
        <v>1</v>
      </c>
      <c r="AF35" s="1" t="s">
        <v>1</v>
      </c>
      <c r="AI35" s="4"/>
    </row>
    <row r="36" spans="1:35" ht="12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3">
      <c r="Q39" s="4"/>
      <c r="AI39" s="4"/>
    </row>
    <row r="40" spans="1:35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4" x14ac:dyDescent="0.3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5" x14ac:dyDescent="0.3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4" x14ac:dyDescent="0.3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5" x14ac:dyDescent="0.35">
      <c r="B44" s="8"/>
      <c r="C44" s="590" t="s">
        <v>17</v>
      </c>
      <c r="D44" s="9">
        <f>D6</f>
        <v>46282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" thickBot="1" x14ac:dyDescent="0.3">
      <c r="B45" s="8"/>
      <c r="C45" s="590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3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21" t="s">
        <v>107</v>
      </c>
      <c r="AE46" s="121" t="s">
        <v>223</v>
      </c>
      <c r="AF46" s="39" t="s">
        <v>23</v>
      </c>
      <c r="AG46" s="13"/>
      <c r="AI46" s="4"/>
    </row>
    <row r="47" spans="1:35" s="307" customFormat="1" x14ac:dyDescent="0.25">
      <c r="B47" s="305">
        <v>1</v>
      </c>
      <c r="C47" s="306" t="s">
        <v>10</v>
      </c>
      <c r="D47" s="293">
        <f>'Reporte Componentes R1'!F64</f>
        <v>0</v>
      </c>
      <c r="E47" s="293">
        <f>'Reporte Componentes R1'!G64</f>
        <v>0</v>
      </c>
      <c r="F47" s="293">
        <f>'Reporte Componentes R1'!H64</f>
        <v>0</v>
      </c>
      <c r="G47" s="293">
        <f>'Reporte Componentes R1'!I64</f>
        <v>0</v>
      </c>
      <c r="H47" s="293">
        <f>'Reporte Componentes R1'!J64</f>
        <v>0</v>
      </c>
      <c r="I47" s="293">
        <f>'Reporte Componentes R1'!K64</f>
        <v>0</v>
      </c>
      <c r="J47" s="293">
        <v>0</v>
      </c>
      <c r="K47" s="295">
        <f>D47-E47-F47-G47-H47-I47-J47</f>
        <v>0</v>
      </c>
      <c r="L47" s="296">
        <v>0</v>
      </c>
      <c r="M47" s="295">
        <f>K47-L47</f>
        <v>0</v>
      </c>
      <c r="N47" s="296">
        <f>'Reporte Componentes R1'!L64</f>
        <v>0</v>
      </c>
      <c r="O47" s="295">
        <f>M47+N47</f>
        <v>0</v>
      </c>
      <c r="Q47" s="308"/>
      <c r="S47" s="305">
        <v>1</v>
      </c>
      <c r="T47" s="306" t="s">
        <v>10</v>
      </c>
      <c r="U47" s="309">
        <f>'Reporte Componentes R1'!M64</f>
        <v>0</v>
      </c>
      <c r="V47" s="309">
        <f>'Reporte Componentes R1'!N64</f>
        <v>0</v>
      </c>
      <c r="W47" s="309">
        <f>'Reporte Componentes R1'!O64</f>
        <v>0</v>
      </c>
      <c r="X47" s="309">
        <f>'Reporte Componentes R1'!P64</f>
        <v>0</v>
      </c>
      <c r="Y47" s="309">
        <f>'Reporte Componentes R1'!Q64</f>
        <v>0</v>
      </c>
      <c r="Z47" s="312">
        <f>-L47</f>
        <v>0</v>
      </c>
      <c r="AA47" s="322">
        <f>'Reporte Componentes R1'!R64+'Reporte Componentes R1'!V64+'Reporte Componentes R1'!U64</f>
        <v>0</v>
      </c>
      <c r="AB47" s="296">
        <f>N47</f>
        <v>0</v>
      </c>
      <c r="AC47" s="313">
        <f>'Reporte Componentes R1'!T64+'Reporte Componentes R1'!W64+'Reporte Componentes R1'!X64+'Reporte Componentes R1'!Y64+'Reporte Componentes R1'!Z64+'Reporte Componentes R1'!S64</f>
        <v>0</v>
      </c>
      <c r="AD47" s="293">
        <f>-J47+AE47</f>
        <v>0</v>
      </c>
      <c r="AE47" s="293">
        <f>'Reporte Componentes R1'!F65</f>
        <v>0</v>
      </c>
      <c r="AF47" s="315">
        <f>SUM(U47:AD47)</f>
        <v>0</v>
      </c>
      <c r="AG47" s="313">
        <f>(AF47-O47)</f>
        <v>0</v>
      </c>
      <c r="AH47" s="1" t="b">
        <f>INT(AG47)=0</f>
        <v>1</v>
      </c>
      <c r="AI47" s="308"/>
    </row>
    <row r="48" spans="1:35" s="307" customFormat="1" x14ac:dyDescent="0.25">
      <c r="B48" s="316">
        <v>2</v>
      </c>
      <c r="C48" s="317" t="s">
        <v>11</v>
      </c>
      <c r="D48" s="293">
        <f>'Reporte Componentes R1'!F198</f>
        <v>0</v>
      </c>
      <c r="E48" s="293">
        <f>'Reporte Componentes R1'!G198</f>
        <v>0</v>
      </c>
      <c r="F48" s="293">
        <f>'Reporte Componentes R1'!H198</f>
        <v>0</v>
      </c>
      <c r="G48" s="293">
        <f>'Reporte Componentes R1'!I198</f>
        <v>0</v>
      </c>
      <c r="H48" s="293">
        <f>'Reporte Componentes R1'!J198</f>
        <v>0</v>
      </c>
      <c r="I48" s="293">
        <f>'Reporte Componentes R1'!K198</f>
        <v>0</v>
      </c>
      <c r="J48" s="290">
        <v>0</v>
      </c>
      <c r="K48" s="297">
        <f t="shared" ref="K48:K51" si="14">D48-E48-F48-G48-H48-I48-J48</f>
        <v>0</v>
      </c>
      <c r="L48" s="296">
        <v>0</v>
      </c>
      <c r="M48" s="297">
        <f>K48-L48</f>
        <v>0</v>
      </c>
      <c r="N48" s="296">
        <f>'Reporte Componentes R1'!L198</f>
        <v>0</v>
      </c>
      <c r="O48" s="297">
        <f t="shared" ref="O48:O51" si="15">M48+N48</f>
        <v>0</v>
      </c>
      <c r="Q48" s="308"/>
      <c r="S48" s="316">
        <v>2</v>
      </c>
      <c r="T48" s="317" t="s">
        <v>11</v>
      </c>
      <c r="U48" s="318">
        <f>'Reporte Componentes R1'!M198</f>
        <v>0</v>
      </c>
      <c r="V48" s="318">
        <f>'Reporte Componentes R1'!N198</f>
        <v>0</v>
      </c>
      <c r="W48" s="318">
        <f>'Reporte Componentes R1'!O198</f>
        <v>0</v>
      </c>
      <c r="X48" s="318">
        <f>'Reporte Componentes R1'!P198</f>
        <v>0</v>
      </c>
      <c r="Y48" s="318">
        <f>'Reporte Componentes R1'!Q198</f>
        <v>0</v>
      </c>
      <c r="Z48" s="321">
        <f>-L48</f>
        <v>0</v>
      </c>
      <c r="AA48" s="322">
        <f>'Reporte Componentes R1'!R198+'Reporte Componentes R1'!V198+'Reporte Componentes R1'!U198</f>
        <v>0</v>
      </c>
      <c r="AB48" s="296">
        <f>N48</f>
        <v>0</v>
      </c>
      <c r="AC48" s="322">
        <f>'Reporte Componentes R1'!T198+'Reporte Componentes R1'!W198+'Reporte Componentes R1'!X198+'Reporte Componentes R1'!Y198+'Reporte Componentes R1'!Z198+'Reporte Componentes R1'!S198</f>
        <v>0</v>
      </c>
      <c r="AD48" s="293">
        <f t="shared" ref="AD48:AD51" si="16">-J48+AE48</f>
        <v>0</v>
      </c>
      <c r="AE48" s="293">
        <f>'Reporte Componentes R1'!F199</f>
        <v>0</v>
      </c>
      <c r="AF48" s="324">
        <f>SUM(U48:AD48)</f>
        <v>0</v>
      </c>
      <c r="AG48" s="325">
        <f>(AF48-O48)</f>
        <v>0</v>
      </c>
      <c r="AH48" s="1" t="b">
        <f t="shared" ref="AH48:AH52" si="17">INT(AG48)=0</f>
        <v>1</v>
      </c>
      <c r="AI48" s="308"/>
    </row>
    <row r="49" spans="1:35" s="307" customFormat="1" x14ac:dyDescent="0.25">
      <c r="B49" s="316">
        <v>3</v>
      </c>
      <c r="C49" s="317" t="s">
        <v>12</v>
      </c>
      <c r="D49" s="293">
        <f>'Reporte Componentes R1'!F342</f>
        <v>0</v>
      </c>
      <c r="E49" s="293">
        <f>'Reporte Componentes R1'!G342</f>
        <v>0</v>
      </c>
      <c r="F49" s="293">
        <f>'Reporte Componentes R1'!H342</f>
        <v>0</v>
      </c>
      <c r="G49" s="293">
        <f>'Reporte Componentes R1'!I342</f>
        <v>0</v>
      </c>
      <c r="H49" s="293">
        <f>'Reporte Componentes R1'!J342</f>
        <v>0</v>
      </c>
      <c r="I49" s="293">
        <f>'Reporte Componentes R1'!K342</f>
        <v>0</v>
      </c>
      <c r="J49" s="293">
        <v>0</v>
      </c>
      <c r="K49" s="297">
        <f t="shared" si="14"/>
        <v>0</v>
      </c>
      <c r="L49" s="296">
        <v>0</v>
      </c>
      <c r="M49" s="297">
        <f>K49-L49</f>
        <v>0</v>
      </c>
      <c r="N49" s="296">
        <f>'Reporte Componentes R1'!L342</f>
        <v>0</v>
      </c>
      <c r="O49" s="297">
        <f t="shared" si="15"/>
        <v>0</v>
      </c>
      <c r="Q49" s="308"/>
      <c r="S49" s="316">
        <v>3</v>
      </c>
      <c r="T49" s="317" t="s">
        <v>12</v>
      </c>
      <c r="U49" s="318">
        <f>'Reporte Componentes R1'!M342</f>
        <v>0</v>
      </c>
      <c r="V49" s="318">
        <f>'Reporte Componentes R1'!N342</f>
        <v>0</v>
      </c>
      <c r="W49" s="318">
        <f>'Reporte Componentes R1'!O342</f>
        <v>0</v>
      </c>
      <c r="X49" s="318">
        <f>'Reporte Componentes R1'!P342</f>
        <v>0</v>
      </c>
      <c r="Y49" s="318">
        <f>'Reporte Componentes R1'!Q342</f>
        <v>0</v>
      </c>
      <c r="Z49" s="321">
        <f>-L49</f>
        <v>0</v>
      </c>
      <c r="AA49" s="322">
        <f>'Reporte Componentes R1'!R342+'Reporte Componentes R1'!V342+'Reporte Componentes R1'!U342</f>
        <v>0</v>
      </c>
      <c r="AB49" s="296">
        <f>N49</f>
        <v>0</v>
      </c>
      <c r="AC49" s="322">
        <f>'Reporte Componentes R1'!T342+'Reporte Componentes R1'!W342+'Reporte Componentes R1'!X342+'Reporte Componentes R1'!Y342+'Reporte Componentes R1'!Z342+'Reporte Componentes R1'!S342</f>
        <v>0</v>
      </c>
      <c r="AD49" s="293">
        <f t="shared" si="16"/>
        <v>0</v>
      </c>
      <c r="AE49" s="293">
        <f>'Reporte Componentes R1'!F343</f>
        <v>0</v>
      </c>
      <c r="AF49" s="324">
        <f t="shared" ref="AF49:AF51" si="18">SUM(U49:AD49)</f>
        <v>0</v>
      </c>
      <c r="AG49" s="325">
        <f t="shared" ref="AG49:AG51" si="19">(AF49-O49)</f>
        <v>0</v>
      </c>
      <c r="AH49" s="1" t="b">
        <f t="shared" si="17"/>
        <v>1</v>
      </c>
      <c r="AI49" s="308"/>
    </row>
    <row r="50" spans="1:35" s="307" customFormat="1" x14ac:dyDescent="0.25">
      <c r="B50" s="316">
        <v>4</v>
      </c>
      <c r="C50" s="317" t="s">
        <v>13</v>
      </c>
      <c r="D50" s="293">
        <f>'Reporte Componentes R1'!F475</f>
        <v>0</v>
      </c>
      <c r="E50" s="293">
        <f>'Reporte Componentes R1'!G475</f>
        <v>0</v>
      </c>
      <c r="F50" s="293">
        <f>'Reporte Componentes R1'!H475</f>
        <v>0</v>
      </c>
      <c r="G50" s="293">
        <f>'Reporte Componentes R1'!I475</f>
        <v>0</v>
      </c>
      <c r="H50" s="293">
        <f>'Reporte Componentes R1'!J475</f>
        <v>0</v>
      </c>
      <c r="I50" s="293">
        <f>'Reporte Componentes R1'!K475</f>
        <v>0</v>
      </c>
      <c r="J50" s="290">
        <v>0</v>
      </c>
      <c r="K50" s="297">
        <f t="shared" si="14"/>
        <v>0</v>
      </c>
      <c r="L50" s="296">
        <v>0</v>
      </c>
      <c r="M50" s="297">
        <f>K50-L50</f>
        <v>0</v>
      </c>
      <c r="N50" s="296">
        <f>'Reporte Componentes R1'!L475</f>
        <v>0</v>
      </c>
      <c r="O50" s="297">
        <f t="shared" si="15"/>
        <v>0</v>
      </c>
      <c r="Q50" s="308"/>
      <c r="S50" s="316">
        <v>4</v>
      </c>
      <c r="T50" s="317" t="s">
        <v>13</v>
      </c>
      <c r="U50" s="318">
        <f>'Reporte Componentes R1'!M475</f>
        <v>0</v>
      </c>
      <c r="V50" s="318">
        <f>'Reporte Componentes R1'!N475</f>
        <v>0</v>
      </c>
      <c r="W50" s="318">
        <f>'Reporte Componentes R1'!O475</f>
        <v>0</v>
      </c>
      <c r="X50" s="318">
        <f>'Reporte Componentes R1'!P475</f>
        <v>0</v>
      </c>
      <c r="Y50" s="318">
        <f>'Reporte Componentes R1'!Q475</f>
        <v>0</v>
      </c>
      <c r="Z50" s="321">
        <f>-L50</f>
        <v>0</v>
      </c>
      <c r="AA50" s="322">
        <f>'Reporte Componentes R1'!R475+'Reporte Componentes R1'!V475+'Reporte Componentes R1'!U475</f>
        <v>0</v>
      </c>
      <c r="AB50" s="296">
        <f>N50</f>
        <v>0</v>
      </c>
      <c r="AC50" s="322">
        <f>'Reporte Componentes R1'!T475+'Reporte Componentes R1'!W475+'Reporte Componentes R1'!X475+'Reporte Componentes R1'!Y475+'Reporte Componentes R1'!Z475+'Reporte Componentes R1'!S475</f>
        <v>0</v>
      </c>
      <c r="AD50" s="293">
        <f t="shared" si="16"/>
        <v>0</v>
      </c>
      <c r="AE50" s="293">
        <f>'Reporte Componentes R1'!F476</f>
        <v>0</v>
      </c>
      <c r="AF50" s="324">
        <f t="shared" si="18"/>
        <v>0</v>
      </c>
      <c r="AG50" s="325">
        <f t="shared" si="19"/>
        <v>0</v>
      </c>
      <c r="AH50" s="1" t="b">
        <f t="shared" si="17"/>
        <v>1</v>
      </c>
      <c r="AI50" s="308"/>
    </row>
    <row r="51" spans="1:35" s="307" customFormat="1" ht="12" thickBot="1" x14ac:dyDescent="0.3">
      <c r="B51" s="326">
        <v>5</v>
      </c>
      <c r="C51" s="327" t="s">
        <v>14</v>
      </c>
      <c r="D51" s="298">
        <f>'Reporte Componentes R1'!F569</f>
        <v>0</v>
      </c>
      <c r="E51" s="298">
        <f>'Reporte Componentes R1'!G569</f>
        <v>0</v>
      </c>
      <c r="F51" s="298">
        <f>'Reporte Componentes R1'!H569</f>
        <v>0</v>
      </c>
      <c r="G51" s="298">
        <f>'Reporte Componentes R1'!I569</f>
        <v>0</v>
      </c>
      <c r="H51" s="298">
        <f>'Reporte Componentes R1'!J569</f>
        <v>0</v>
      </c>
      <c r="I51" s="298">
        <f>'Reporte Componentes R1'!K569</f>
        <v>0</v>
      </c>
      <c r="J51" s="291">
        <v>0</v>
      </c>
      <c r="K51" s="297">
        <f t="shared" si="14"/>
        <v>0</v>
      </c>
      <c r="L51" s="296">
        <v>0</v>
      </c>
      <c r="M51" s="300">
        <f>K51-L51</f>
        <v>0</v>
      </c>
      <c r="N51" s="301">
        <f>'Reporte Componentes R1'!L569</f>
        <v>0</v>
      </c>
      <c r="O51" s="300">
        <f t="shared" si="15"/>
        <v>0</v>
      </c>
      <c r="Q51" s="308"/>
      <c r="S51" s="326">
        <v>5</v>
      </c>
      <c r="T51" s="327" t="s">
        <v>14</v>
      </c>
      <c r="U51" s="298">
        <f>'Reporte Componentes R1'!M569</f>
        <v>0</v>
      </c>
      <c r="V51" s="298">
        <f>'Reporte Componentes R1'!N569</f>
        <v>0</v>
      </c>
      <c r="W51" s="298">
        <f>'Reporte Componentes R1'!O569</f>
        <v>0</v>
      </c>
      <c r="X51" s="298">
        <f>'Reporte Componentes R1'!P569</f>
        <v>0</v>
      </c>
      <c r="Y51" s="291">
        <f>'Reporte Componentes R1'!Q569</f>
        <v>0</v>
      </c>
      <c r="Z51" s="321">
        <f>-L51</f>
        <v>0</v>
      </c>
      <c r="AA51" s="322">
        <f>'Reporte Componentes R1'!R569+'Reporte Componentes R1'!V569+'Reporte Componentes R1'!U569</f>
        <v>0</v>
      </c>
      <c r="AB51" s="296">
        <f>N51</f>
        <v>0</v>
      </c>
      <c r="AC51" s="322">
        <f>'Reporte Componentes R1'!T569+'Reporte Componentes R1'!W569+'Reporte Componentes R1'!X569+'Reporte Componentes R1'!Y569+'Reporte Componentes R1'!Z569+'Reporte Componentes R1'!S569</f>
        <v>0</v>
      </c>
      <c r="AD51" s="293">
        <f t="shared" si="16"/>
        <v>0</v>
      </c>
      <c r="AE51" s="293">
        <f>'Reporte Componentes R1'!F570</f>
        <v>0</v>
      </c>
      <c r="AF51" s="324">
        <f t="shared" si="18"/>
        <v>0</v>
      </c>
      <c r="AG51" s="328">
        <f t="shared" si="19"/>
        <v>0</v>
      </c>
      <c r="AH51" s="1" t="b">
        <f t="shared" si="17"/>
        <v>1</v>
      </c>
      <c r="AI51" s="308"/>
    </row>
    <row r="52" spans="1:35" s="307" customFormat="1" ht="13.5" thickBot="1" x14ac:dyDescent="0.35">
      <c r="B52" s="329"/>
      <c r="C52" s="330" t="s">
        <v>2</v>
      </c>
      <c r="D52" s="292">
        <f t="shared" ref="D52:O52" si="20">SUM(D47:D51)</f>
        <v>0</v>
      </c>
      <c r="E52" s="292">
        <f t="shared" si="20"/>
        <v>0</v>
      </c>
      <c r="F52" s="292">
        <f t="shared" si="20"/>
        <v>0</v>
      </c>
      <c r="G52" s="292">
        <f t="shared" ref="G52" si="21">SUM(G47:G51)</f>
        <v>0</v>
      </c>
      <c r="H52" s="292">
        <f t="shared" si="20"/>
        <v>0</v>
      </c>
      <c r="I52" s="292">
        <f t="shared" si="20"/>
        <v>0</v>
      </c>
      <c r="J52" s="292">
        <f t="shared" si="20"/>
        <v>0</v>
      </c>
      <c r="K52" s="302">
        <f t="shared" si="20"/>
        <v>0</v>
      </c>
      <c r="L52" s="303">
        <f t="shared" si="20"/>
        <v>0</v>
      </c>
      <c r="M52" s="304">
        <f t="shared" si="20"/>
        <v>0</v>
      </c>
      <c r="N52" s="303">
        <f t="shared" si="20"/>
        <v>0</v>
      </c>
      <c r="O52" s="304">
        <f t="shared" si="20"/>
        <v>0</v>
      </c>
      <c r="P52" s="331"/>
      <c r="Q52" s="308"/>
      <c r="S52" s="329"/>
      <c r="T52" s="330" t="s">
        <v>2</v>
      </c>
      <c r="U52" s="332">
        <f>SUM(U47:U51)</f>
        <v>0</v>
      </c>
      <c r="V52" s="332">
        <f t="shared" ref="V52:AG52" si="22">SUM(V47:V51)</f>
        <v>0</v>
      </c>
      <c r="W52" s="332">
        <f t="shared" si="22"/>
        <v>0</v>
      </c>
      <c r="X52" s="332">
        <f t="shared" si="22"/>
        <v>0</v>
      </c>
      <c r="Y52" s="332">
        <f t="shared" si="22"/>
        <v>0</v>
      </c>
      <c r="Z52" s="292">
        <f t="shared" si="22"/>
        <v>0</v>
      </c>
      <c r="AA52" s="292">
        <f t="shared" si="22"/>
        <v>0</v>
      </c>
      <c r="AB52" s="292">
        <f t="shared" si="22"/>
        <v>0</v>
      </c>
      <c r="AC52" s="292">
        <f t="shared" si="22"/>
        <v>0</v>
      </c>
      <c r="AD52" s="292">
        <f>SUM(AD47:AD51)</f>
        <v>0</v>
      </c>
      <c r="AE52" s="292">
        <f>SUM(AE47:AE51)</f>
        <v>0</v>
      </c>
      <c r="AF52" s="333">
        <f t="shared" si="22"/>
        <v>0</v>
      </c>
      <c r="AG52" s="334">
        <f t="shared" si="22"/>
        <v>0</v>
      </c>
      <c r="AH52" s="1" t="b">
        <f t="shared" si="17"/>
        <v>1</v>
      </c>
      <c r="AI52" s="308"/>
    </row>
    <row r="53" spans="1:35" ht="12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3">
      <c r="Q58" s="4"/>
      <c r="AI58" s="4"/>
    </row>
    <row r="59" spans="1:35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4" x14ac:dyDescent="0.3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5" x14ac:dyDescent="0.3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4" x14ac:dyDescent="0.3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5" x14ac:dyDescent="0.35">
      <c r="B63" s="8"/>
      <c r="C63" s="590" t="s">
        <v>17</v>
      </c>
      <c r="D63" s="9">
        <f>D6</f>
        <v>46282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" thickBot="1" x14ac:dyDescent="0.3">
      <c r="B64" s="8"/>
      <c r="C64" s="590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3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21" t="s">
        <v>107</v>
      </c>
      <c r="AE65" s="121" t="s">
        <v>223</v>
      </c>
      <c r="AF65" s="39" t="s">
        <v>23</v>
      </c>
      <c r="AG65" s="13"/>
      <c r="AI65" s="4"/>
    </row>
    <row r="66" spans="1:35" s="307" customFormat="1" x14ac:dyDescent="0.25">
      <c r="B66" s="305">
        <v>1</v>
      </c>
      <c r="C66" s="306" t="s">
        <v>10</v>
      </c>
      <c r="D66" s="293">
        <f>'Reversion Pagos R4'!D80</f>
        <v>0</v>
      </c>
      <c r="E66" s="293">
        <f>'Reversion Pagos R4'!E80</f>
        <v>0</v>
      </c>
      <c r="F66" s="293">
        <f>'Reversion Pagos R4'!F80</f>
        <v>0</v>
      </c>
      <c r="G66" s="293">
        <f>'Reversion Pagos R4'!G80</f>
        <v>0</v>
      </c>
      <c r="H66" s="293">
        <f>'Reversion Pagos R4'!H80</f>
        <v>0</v>
      </c>
      <c r="I66" s="293">
        <f>'Reversion Pagos R4'!I80</f>
        <v>0</v>
      </c>
      <c r="J66" s="311">
        <v>0</v>
      </c>
      <c r="K66" s="295">
        <f>D66-E66-F66-G66-H66-I66-J66</f>
        <v>0</v>
      </c>
      <c r="L66" s="296">
        <v>0</v>
      </c>
      <c r="M66" s="295">
        <f>K66-L66</f>
        <v>0</v>
      </c>
      <c r="N66" s="296">
        <f>'Reversion Pagos R4'!P80</f>
        <v>0</v>
      </c>
      <c r="O66" s="295">
        <f>M66+N66</f>
        <v>0</v>
      </c>
      <c r="Q66" s="308"/>
      <c r="S66" s="305">
        <v>1</v>
      </c>
      <c r="T66" s="306" t="s">
        <v>10</v>
      </c>
      <c r="U66" s="309">
        <f>'Reversion Pagos R4'!J80</f>
        <v>0</v>
      </c>
      <c r="V66" s="309">
        <f>'Reversion Pagos R4'!K80</f>
        <v>0</v>
      </c>
      <c r="W66" s="309">
        <f>'Reversion Pagos R4'!L80</f>
        <v>0</v>
      </c>
      <c r="X66" s="309">
        <f>'Reversion Pagos R4'!M80</f>
        <v>0</v>
      </c>
      <c r="Y66" s="309">
        <f>'Reversion Pagos R4'!N80</f>
        <v>0</v>
      </c>
      <c r="Z66" s="312">
        <f>-L66</f>
        <v>0</v>
      </c>
      <c r="AA66" s="313">
        <f>+'Reversion Pagos R4'!O80</f>
        <v>0</v>
      </c>
      <c r="AB66" s="296">
        <f>N66</f>
        <v>0</v>
      </c>
      <c r="AC66" s="313">
        <f>+'Reversion Pagos R4'!Q80+'Reversion Pagos R4'!R80</f>
        <v>0</v>
      </c>
      <c r="AD66" s="293">
        <f>-J66+AE66</f>
        <v>0</v>
      </c>
      <c r="AE66" s="293">
        <f>'Reversion Pagos R4'!D81</f>
        <v>0</v>
      </c>
      <c r="AF66" s="315">
        <f>SUM(U66:AD66)</f>
        <v>0</v>
      </c>
      <c r="AG66" s="313">
        <f>(AF66-O66)</f>
        <v>0</v>
      </c>
      <c r="AH66" s="1" t="b">
        <f>INT(AG66)=0</f>
        <v>1</v>
      </c>
      <c r="AI66" s="308"/>
    </row>
    <row r="67" spans="1:35" s="307" customFormat="1" x14ac:dyDescent="0.25">
      <c r="B67" s="316">
        <v>2</v>
      </c>
      <c r="C67" s="317" t="s">
        <v>11</v>
      </c>
      <c r="D67" s="293">
        <f>'Reversion Pagos R4'!D169</f>
        <v>0</v>
      </c>
      <c r="E67" s="293">
        <f>'Reversion Pagos R4'!E169</f>
        <v>0</v>
      </c>
      <c r="F67" s="293">
        <f>'Reversion Pagos R4'!F169</f>
        <v>0</v>
      </c>
      <c r="G67" s="293">
        <f>'Reversion Pagos R4'!G169</f>
        <v>0</v>
      </c>
      <c r="H67" s="293">
        <f>'Reversion Pagos R4'!H169</f>
        <v>0</v>
      </c>
      <c r="I67" s="293">
        <f>'Reversion Pagos R4'!I169</f>
        <v>0</v>
      </c>
      <c r="J67" s="290">
        <v>0</v>
      </c>
      <c r="K67" s="297">
        <f t="shared" ref="K67:K70" si="23">D67-E67-F67-G67-H67-I67-J67</f>
        <v>0</v>
      </c>
      <c r="L67" s="296">
        <v>0</v>
      </c>
      <c r="M67" s="297">
        <f>K67-L67</f>
        <v>0</v>
      </c>
      <c r="N67" s="296">
        <f>'Reversion Pagos R4'!P169</f>
        <v>0</v>
      </c>
      <c r="O67" s="297">
        <f t="shared" ref="O67:O70" si="24">M67+N67</f>
        <v>0</v>
      </c>
      <c r="Q67" s="308"/>
      <c r="S67" s="316">
        <v>2</v>
      </c>
      <c r="T67" s="317" t="s">
        <v>11</v>
      </c>
      <c r="U67" s="318">
        <f>'Reversion Pagos R4'!J169</f>
        <v>0</v>
      </c>
      <c r="V67" s="318">
        <f>'Reversion Pagos R4'!K169</f>
        <v>0</v>
      </c>
      <c r="W67" s="318">
        <f>'Reversion Pagos R4'!L169</f>
        <v>0</v>
      </c>
      <c r="X67" s="318">
        <f>'Reversion Pagos R4'!M169</f>
        <v>0</v>
      </c>
      <c r="Y67" s="318">
        <f>'Reversion Pagos R4'!N169</f>
        <v>0</v>
      </c>
      <c r="Z67" s="321">
        <f t="shared" ref="Z67:Z70" si="25">-L67</f>
        <v>0</v>
      </c>
      <c r="AA67" s="322">
        <f>'Reversion Pagos R4'!O169</f>
        <v>0</v>
      </c>
      <c r="AB67" s="296">
        <f t="shared" ref="AB67:AB70" si="26">N67</f>
        <v>0</v>
      </c>
      <c r="AC67" s="322">
        <f>'Reversion Pagos R4'!Q169+'Reversion Pagos R4'!R169</f>
        <v>0</v>
      </c>
      <c r="AD67" s="293">
        <f t="shared" ref="AD67:AD70" si="27">-J67+AE67</f>
        <v>0</v>
      </c>
      <c r="AE67" s="293">
        <f>'Reversion Pagos R4'!D170</f>
        <v>0</v>
      </c>
      <c r="AF67" s="324">
        <f>SUM(U67:AD67)</f>
        <v>0</v>
      </c>
      <c r="AG67" s="325">
        <f>(AF67-O67)</f>
        <v>0</v>
      </c>
      <c r="AH67" s="1" t="b">
        <f t="shared" ref="AH67:AH71" si="28">INT(AG67)=0</f>
        <v>1</v>
      </c>
      <c r="AI67" s="308"/>
    </row>
    <row r="68" spans="1:35" s="307" customFormat="1" x14ac:dyDescent="0.25">
      <c r="B68" s="316">
        <v>3</v>
      </c>
      <c r="C68" s="317" t="s">
        <v>12</v>
      </c>
      <c r="D68" s="293">
        <f>'Reversion Pagos R4'!D205</f>
        <v>0</v>
      </c>
      <c r="E68" s="293">
        <f>'Reversion Pagos R4'!E205</f>
        <v>0</v>
      </c>
      <c r="F68" s="293">
        <f>'Reversion Pagos R4'!F205</f>
        <v>0</v>
      </c>
      <c r="G68" s="293">
        <f>'Reversion Pagos R4'!G205</f>
        <v>0</v>
      </c>
      <c r="H68" s="293">
        <f>'Reversion Pagos R4'!H205</f>
        <v>0</v>
      </c>
      <c r="I68" s="293">
        <f>'Reversion Pagos R4'!I205</f>
        <v>0</v>
      </c>
      <c r="J68" s="290">
        <v>0</v>
      </c>
      <c r="K68" s="297">
        <f t="shared" si="23"/>
        <v>0</v>
      </c>
      <c r="L68" s="296">
        <v>0</v>
      </c>
      <c r="M68" s="297">
        <f>K68-L68</f>
        <v>0</v>
      </c>
      <c r="N68" s="296">
        <f>'Reversion Pagos R4'!P205</f>
        <v>0</v>
      </c>
      <c r="O68" s="297">
        <f t="shared" si="24"/>
        <v>0</v>
      </c>
      <c r="Q68" s="308"/>
      <c r="S68" s="316">
        <v>3</v>
      </c>
      <c r="T68" s="317" t="s">
        <v>12</v>
      </c>
      <c r="U68" s="318">
        <f>'Reversion Pagos R4'!J205</f>
        <v>0</v>
      </c>
      <c r="V68" s="318">
        <f>'Reversion Pagos R4'!K205</f>
        <v>0</v>
      </c>
      <c r="W68" s="318">
        <f>'Reversion Pagos R4'!L205</f>
        <v>0</v>
      </c>
      <c r="X68" s="318">
        <f>'Reversion Pagos R4'!M205</f>
        <v>0</v>
      </c>
      <c r="Y68" s="318">
        <f>'Reversion Pagos R4'!N205</f>
        <v>0</v>
      </c>
      <c r="Z68" s="321">
        <f t="shared" si="25"/>
        <v>0</v>
      </c>
      <c r="AA68" s="322">
        <f>'Reversion Pagos R4'!O205</f>
        <v>0</v>
      </c>
      <c r="AB68" s="296">
        <f t="shared" si="26"/>
        <v>0</v>
      </c>
      <c r="AC68" s="322">
        <f>'Reversion Pagos R4'!Q205+'Reversion Pagos R4'!R205</f>
        <v>0</v>
      </c>
      <c r="AD68" s="293">
        <f t="shared" si="27"/>
        <v>0</v>
      </c>
      <c r="AE68" s="293">
        <f>'Reversion Pagos R4'!D206</f>
        <v>0</v>
      </c>
      <c r="AF68" s="324">
        <f t="shared" ref="AF68:AF70" si="29">SUM(U68:AD68)</f>
        <v>0</v>
      </c>
      <c r="AG68" s="325">
        <f t="shared" ref="AG68:AG70" si="30">(AF68-O68)</f>
        <v>0</v>
      </c>
      <c r="AH68" s="1" t="b">
        <f t="shared" si="28"/>
        <v>1</v>
      </c>
      <c r="AI68" s="308"/>
    </row>
    <row r="69" spans="1:35" s="307" customFormat="1" x14ac:dyDescent="0.25">
      <c r="B69" s="316">
        <v>4</v>
      </c>
      <c r="C69" s="317" t="s">
        <v>13</v>
      </c>
      <c r="D69" s="293">
        <f>'Reversion Pagos R4'!D319</f>
        <v>0</v>
      </c>
      <c r="E69" s="293">
        <f>'Reversion Pagos R4'!E319</f>
        <v>0</v>
      </c>
      <c r="F69" s="293">
        <f>'Reversion Pagos R4'!F319</f>
        <v>0</v>
      </c>
      <c r="G69" s="293">
        <f>'Reversion Pagos R4'!G319</f>
        <v>0</v>
      </c>
      <c r="H69" s="293">
        <f>'Reversion Pagos R4'!H319</f>
        <v>0</v>
      </c>
      <c r="I69" s="293">
        <f>'Reversion Pagos R4'!I319</f>
        <v>0</v>
      </c>
      <c r="J69" s="290">
        <v>0</v>
      </c>
      <c r="K69" s="297">
        <f t="shared" si="23"/>
        <v>0</v>
      </c>
      <c r="L69" s="296">
        <v>0</v>
      </c>
      <c r="M69" s="297">
        <f>K69-L69</f>
        <v>0</v>
      </c>
      <c r="N69" s="296">
        <f>'Reversion Pagos R4'!P319</f>
        <v>0</v>
      </c>
      <c r="O69" s="297">
        <f t="shared" si="24"/>
        <v>0</v>
      </c>
      <c r="Q69" s="308"/>
      <c r="S69" s="316">
        <v>4</v>
      </c>
      <c r="T69" s="317" t="s">
        <v>13</v>
      </c>
      <c r="U69" s="318">
        <f>'Reversion Pagos R4'!J319</f>
        <v>0</v>
      </c>
      <c r="V69" s="318">
        <f>'Reversion Pagos R4'!K319</f>
        <v>0</v>
      </c>
      <c r="W69" s="318">
        <f>'Reversion Pagos R4'!L319</f>
        <v>0</v>
      </c>
      <c r="X69" s="318">
        <f>'Reversion Pagos R4'!M319</f>
        <v>0</v>
      </c>
      <c r="Y69" s="318">
        <f>'Reversion Pagos R4'!N319</f>
        <v>0</v>
      </c>
      <c r="Z69" s="321">
        <f t="shared" si="25"/>
        <v>0</v>
      </c>
      <c r="AA69" s="322">
        <f>'Reversion Pagos R4'!O319</f>
        <v>0</v>
      </c>
      <c r="AB69" s="296">
        <f t="shared" si="26"/>
        <v>0</v>
      </c>
      <c r="AC69" s="322">
        <f>'Reversion Pagos R4'!Q319+'Reversion Pagos R4'!R319</f>
        <v>0</v>
      </c>
      <c r="AD69" s="293">
        <f t="shared" si="27"/>
        <v>0</v>
      </c>
      <c r="AE69" s="293">
        <f>'Reversion Pagos R4'!D320</f>
        <v>0</v>
      </c>
      <c r="AF69" s="324">
        <f>SUM(U69:AD69)</f>
        <v>0</v>
      </c>
      <c r="AG69" s="325">
        <f>(AF69-O69)</f>
        <v>0</v>
      </c>
      <c r="AH69" s="1" t="b">
        <f t="shared" si="28"/>
        <v>1</v>
      </c>
      <c r="AI69" s="308"/>
    </row>
    <row r="70" spans="1:35" s="307" customFormat="1" ht="12" thickBot="1" x14ac:dyDescent="0.3">
      <c r="B70" s="326">
        <v>5</v>
      </c>
      <c r="C70" s="327" t="s">
        <v>14</v>
      </c>
      <c r="D70" s="298">
        <f>'Reversion Pagos R4'!D354</f>
        <v>0</v>
      </c>
      <c r="E70" s="298">
        <f>'Reversion Pagos R4'!E354</f>
        <v>0</v>
      </c>
      <c r="F70" s="298">
        <f>'Reversion Pagos R4'!F354</f>
        <v>0</v>
      </c>
      <c r="G70" s="298">
        <f>'Reversion Pagos R4'!G354</f>
        <v>0</v>
      </c>
      <c r="H70" s="298">
        <f>'Reversion Pagos R4'!H354</f>
        <v>0</v>
      </c>
      <c r="I70" s="298">
        <f>'Reversion Pagos R4'!I354</f>
        <v>0</v>
      </c>
      <c r="J70" s="291">
        <v>0</v>
      </c>
      <c r="K70" s="297">
        <f t="shared" si="23"/>
        <v>0</v>
      </c>
      <c r="L70" s="296">
        <v>0</v>
      </c>
      <c r="M70" s="300">
        <f>K70-L70</f>
        <v>0</v>
      </c>
      <c r="N70" s="296">
        <f>'Reversion Pagos R4'!P354</f>
        <v>0</v>
      </c>
      <c r="O70" s="300">
        <f t="shared" si="24"/>
        <v>0</v>
      </c>
      <c r="Q70" s="308"/>
      <c r="S70" s="326">
        <v>5</v>
      </c>
      <c r="T70" s="327" t="s">
        <v>14</v>
      </c>
      <c r="U70" s="298">
        <f>'Reversion Pagos R4'!J354</f>
        <v>0</v>
      </c>
      <c r="V70" s="298">
        <f>'Reversion Pagos R4'!K354</f>
        <v>0</v>
      </c>
      <c r="W70" s="298">
        <f>'Reversion Pagos R4'!L354</f>
        <v>0</v>
      </c>
      <c r="X70" s="298">
        <f>'Reversion Pagos R4'!M354</f>
        <v>0</v>
      </c>
      <c r="Y70" s="298">
        <f>'Reversion Pagos R4'!N354</f>
        <v>0</v>
      </c>
      <c r="Z70" s="321">
        <f t="shared" si="25"/>
        <v>0</v>
      </c>
      <c r="AA70" s="322">
        <f>'Reversion Pagos R4'!O354</f>
        <v>0</v>
      </c>
      <c r="AB70" s="296">
        <f t="shared" si="26"/>
        <v>0</v>
      </c>
      <c r="AC70" s="322">
        <f>'Reversion Pagos R4'!Q354+'Reversion Pagos R4'!R354</f>
        <v>0</v>
      </c>
      <c r="AD70" s="293">
        <f t="shared" si="27"/>
        <v>0</v>
      </c>
      <c r="AE70" s="293">
        <f>'Reversion Pagos R4'!D355</f>
        <v>0</v>
      </c>
      <c r="AF70" s="324">
        <f t="shared" si="29"/>
        <v>0</v>
      </c>
      <c r="AG70" s="328">
        <f t="shared" si="30"/>
        <v>0</v>
      </c>
      <c r="AH70" s="1" t="b">
        <f t="shared" si="28"/>
        <v>1</v>
      </c>
      <c r="AI70" s="308"/>
    </row>
    <row r="71" spans="1:35" s="307" customFormat="1" ht="13.5" thickBot="1" x14ac:dyDescent="0.35">
      <c r="B71" s="329"/>
      <c r="C71" s="330" t="s">
        <v>2</v>
      </c>
      <c r="D71" s="292">
        <f t="shared" ref="D71:O71" si="31">SUM(D66:D70)</f>
        <v>0</v>
      </c>
      <c r="E71" s="292">
        <f t="shared" si="31"/>
        <v>0</v>
      </c>
      <c r="F71" s="292">
        <f t="shared" si="31"/>
        <v>0</v>
      </c>
      <c r="G71" s="292">
        <f t="shared" si="31"/>
        <v>0</v>
      </c>
      <c r="H71" s="292">
        <f t="shared" si="31"/>
        <v>0</v>
      </c>
      <c r="I71" s="292">
        <f t="shared" si="31"/>
        <v>0</v>
      </c>
      <c r="J71" s="292">
        <f t="shared" si="31"/>
        <v>0</v>
      </c>
      <c r="K71" s="302">
        <f t="shared" si="31"/>
        <v>0</v>
      </c>
      <c r="L71" s="303">
        <f t="shared" si="31"/>
        <v>0</v>
      </c>
      <c r="M71" s="304">
        <f t="shared" si="31"/>
        <v>0</v>
      </c>
      <c r="N71" s="303">
        <f t="shared" si="31"/>
        <v>0</v>
      </c>
      <c r="O71" s="304">
        <f t="shared" si="31"/>
        <v>0</v>
      </c>
      <c r="P71" s="331"/>
      <c r="Q71" s="308"/>
      <c r="S71" s="329"/>
      <c r="T71" s="330" t="s">
        <v>2</v>
      </c>
      <c r="U71" s="332">
        <f>SUM(U66:U70)</f>
        <v>0</v>
      </c>
      <c r="V71" s="332">
        <f t="shared" ref="V71:AG71" si="32">SUM(V66:V70)</f>
        <v>0</v>
      </c>
      <c r="W71" s="332">
        <f t="shared" si="32"/>
        <v>0</v>
      </c>
      <c r="X71" s="332">
        <f t="shared" si="32"/>
        <v>0</v>
      </c>
      <c r="Y71" s="332">
        <f t="shared" si="32"/>
        <v>0</v>
      </c>
      <c r="Z71" s="292">
        <f t="shared" si="32"/>
        <v>0</v>
      </c>
      <c r="AA71" s="292">
        <f>SUM(AA66:AA70)</f>
        <v>0</v>
      </c>
      <c r="AB71" s="292">
        <f t="shared" si="32"/>
        <v>0</v>
      </c>
      <c r="AC71" s="292">
        <f t="shared" si="32"/>
        <v>0</v>
      </c>
      <c r="AD71" s="292">
        <f>SUM(AD66:AD70)</f>
        <v>0</v>
      </c>
      <c r="AE71" s="292">
        <f>SUM(AE66:AE70)</f>
        <v>0</v>
      </c>
      <c r="AF71" s="333">
        <f t="shared" si="32"/>
        <v>0</v>
      </c>
      <c r="AG71" s="334">
        <f t="shared" si="32"/>
        <v>0</v>
      </c>
      <c r="AH71" s="1" t="b">
        <f t="shared" si="28"/>
        <v>1</v>
      </c>
      <c r="AI71" s="308"/>
    </row>
    <row r="72" spans="1:35" ht="12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3">
      <c r="Q77" s="4"/>
      <c r="AI77" s="4"/>
    </row>
    <row r="78" spans="1:35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4" x14ac:dyDescent="0.3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5" x14ac:dyDescent="0.3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4" x14ac:dyDescent="0.3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5" x14ac:dyDescent="0.35">
      <c r="B82" s="8"/>
      <c r="C82" s="590" t="s">
        <v>17</v>
      </c>
      <c r="D82" s="9">
        <f>D6</f>
        <v>46282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" thickBot="1" x14ac:dyDescent="0.3">
      <c r="B83" s="8"/>
      <c r="C83" s="590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3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167</v>
      </c>
      <c r="AD84" s="566" t="s">
        <v>105</v>
      </c>
      <c r="AE84" s="565" t="s">
        <v>104</v>
      </c>
      <c r="AF84" s="39" t="s">
        <v>23</v>
      </c>
      <c r="AG84" s="13"/>
      <c r="AI84" s="4"/>
    </row>
    <row r="85" spans="1:35" s="307" customFormat="1" x14ac:dyDescent="0.25">
      <c r="B85" s="305">
        <v>1</v>
      </c>
      <c r="C85" s="306" t="s">
        <v>10</v>
      </c>
      <c r="D85" s="293">
        <f>'AJUSTES - SF-T'!D47</f>
        <v>0</v>
      </c>
      <c r="E85" s="294">
        <f>'AJUSTES - SF-T'!E47</f>
        <v>0</v>
      </c>
      <c r="F85" s="294">
        <f>'AJUSTES - SF-T'!F47</f>
        <v>0</v>
      </c>
      <c r="G85" s="294">
        <f>'AJUSTES - SF-T'!G47</f>
        <v>0</v>
      </c>
      <c r="H85" s="294">
        <f>'AJUSTES - SF-T'!H47</f>
        <v>0</v>
      </c>
      <c r="I85" s="294">
        <f>'AJUSTES - SF-T'!I47</f>
        <v>0</v>
      </c>
      <c r="J85" s="294">
        <f>'AJUSTES - SF-T'!J47</f>
        <v>0</v>
      </c>
      <c r="K85" s="294">
        <f>D85-E85-F85-G85-H85-I85-J85</f>
        <v>0</v>
      </c>
      <c r="L85" s="296">
        <v>0</v>
      </c>
      <c r="M85" s="323">
        <f>K85-L85</f>
        <v>0</v>
      </c>
      <c r="N85" s="323">
        <f>'AJUSTES - SF-T'!N47</f>
        <v>0</v>
      </c>
      <c r="O85" s="323">
        <f>M85+N85</f>
        <v>0</v>
      </c>
      <c r="Q85" s="308"/>
      <c r="S85" s="305">
        <v>1</v>
      </c>
      <c r="T85" s="306" t="s">
        <v>10</v>
      </c>
      <c r="U85" s="314">
        <f>'AJUSTES - SF-T'!U47</f>
        <v>0</v>
      </c>
      <c r="V85" s="314">
        <f>'AJUSTES - SF-T'!V47</f>
        <v>0</v>
      </c>
      <c r="W85" s="314">
        <f>'AJUSTES - SF-T'!W47</f>
        <v>0</v>
      </c>
      <c r="X85" s="314">
        <f>'AJUSTES - SF-T'!X47</f>
        <v>0</v>
      </c>
      <c r="Y85" s="314">
        <f>'AJUSTES - SF-T'!Y47</f>
        <v>0</v>
      </c>
      <c r="Z85" s="314">
        <f>'AJUSTES - SF-T'!Z47</f>
        <v>0</v>
      </c>
      <c r="AA85" s="313">
        <v>0</v>
      </c>
      <c r="AB85" s="314">
        <f>'AJUSTES - SF-T'!AB47</f>
        <v>0</v>
      </c>
      <c r="AC85" s="563">
        <f>'AJUSTES - SF-T'!AA47</f>
        <v>0</v>
      </c>
      <c r="AD85" s="323">
        <f>'AJUSTES - SF-T'!AC47</f>
        <v>0</v>
      </c>
      <c r="AE85" s="296">
        <f>'AJUSTES - SF-T'!AD47</f>
        <v>0</v>
      </c>
      <c r="AF85" s="365">
        <f>SUM(U85:AD85)</f>
        <v>0</v>
      </c>
      <c r="AG85" s="561">
        <f>AF85-O85</f>
        <v>0</v>
      </c>
      <c r="AH85" s="1" t="b">
        <f>INT(AG85)=0</f>
        <v>1</v>
      </c>
      <c r="AI85" s="308"/>
    </row>
    <row r="86" spans="1:35" s="307" customFormat="1" x14ac:dyDescent="0.25">
      <c r="B86" s="316">
        <v>2</v>
      </c>
      <c r="C86" s="317" t="s">
        <v>11</v>
      </c>
      <c r="D86" s="293">
        <v>0</v>
      </c>
      <c r="E86" s="294">
        <v>0</v>
      </c>
      <c r="F86" s="294">
        <v>0</v>
      </c>
      <c r="G86" s="294">
        <v>0</v>
      </c>
      <c r="H86" s="294">
        <v>0</v>
      </c>
      <c r="I86" s="294">
        <v>0</v>
      </c>
      <c r="J86" s="294">
        <v>0</v>
      </c>
      <c r="K86" s="294">
        <f t="shared" ref="K86:K89" si="33">D86-E86-F86-G86-H86-I86-J86</f>
        <v>0</v>
      </c>
      <c r="L86" s="296">
        <v>0</v>
      </c>
      <c r="M86" s="323">
        <f>K86-L86</f>
        <v>0</v>
      </c>
      <c r="N86" s="323">
        <v>0</v>
      </c>
      <c r="O86" s="323">
        <f t="shared" ref="O86:O89" si="34">M86+N86</f>
        <v>0</v>
      </c>
      <c r="Q86" s="308"/>
      <c r="S86" s="316">
        <v>2</v>
      </c>
      <c r="T86" s="317" t="s">
        <v>11</v>
      </c>
      <c r="U86" s="322">
        <v>0</v>
      </c>
      <c r="V86" s="322">
        <v>0</v>
      </c>
      <c r="W86" s="322">
        <v>0</v>
      </c>
      <c r="X86" s="322">
        <v>0</v>
      </c>
      <c r="Y86" s="322">
        <v>0</v>
      </c>
      <c r="Z86" s="322">
        <f>-L86</f>
        <v>0</v>
      </c>
      <c r="AA86" s="322">
        <v>0</v>
      </c>
      <c r="AB86" s="322">
        <f>N86</f>
        <v>0</v>
      </c>
      <c r="AC86" s="301">
        <v>0</v>
      </c>
      <c r="AD86" s="322">
        <f t="shared" ref="AD86:AD88" si="35">-J86+AE86</f>
        <v>0</v>
      </c>
      <c r="AE86" s="301">
        <v>0</v>
      </c>
      <c r="AF86" s="367">
        <f>SUM(U86:AD86)</f>
        <v>0</v>
      </c>
      <c r="AG86" s="562">
        <f>AF86-O86</f>
        <v>0</v>
      </c>
      <c r="AH86" s="1" t="b">
        <f t="shared" ref="AH86:AH90" si="36">INT(AG86)=0</f>
        <v>1</v>
      </c>
      <c r="AI86" s="308"/>
    </row>
    <row r="87" spans="1:35" s="307" customFormat="1" x14ac:dyDescent="0.25">
      <c r="B87" s="316">
        <v>3</v>
      </c>
      <c r="C87" s="317" t="s">
        <v>12</v>
      </c>
      <c r="D87" s="293">
        <f>'AJUSTES - SF-T'!D49</f>
        <v>0</v>
      </c>
      <c r="E87" s="294">
        <f>'AJUSTES - SF-T'!E49</f>
        <v>0</v>
      </c>
      <c r="F87" s="294">
        <f>'AJUSTES - SF-T'!F49</f>
        <v>0</v>
      </c>
      <c r="G87" s="294">
        <f>'AJUSTES - SF-T'!G49</f>
        <v>0</v>
      </c>
      <c r="H87" s="294">
        <f>'AJUSTES - SF-T'!H49</f>
        <v>0</v>
      </c>
      <c r="I87" s="294">
        <f>'AJUSTES - SF-T'!I49</f>
        <v>0</v>
      </c>
      <c r="J87" s="294">
        <f>'AJUSTES - SF-T'!J49</f>
        <v>0</v>
      </c>
      <c r="K87" s="294">
        <f>D87-E87-F87-G87-H87-I87-J87</f>
        <v>0</v>
      </c>
      <c r="L87" s="296">
        <v>0</v>
      </c>
      <c r="M87" s="323">
        <f>K87-L87</f>
        <v>0</v>
      </c>
      <c r="N87" s="323">
        <f>'AJUSTES - SF-T'!N49</f>
        <v>0</v>
      </c>
      <c r="O87" s="323">
        <f>M87+N87</f>
        <v>0</v>
      </c>
      <c r="Q87" s="308"/>
      <c r="S87" s="316">
        <v>3</v>
      </c>
      <c r="T87" s="317" t="s">
        <v>12</v>
      </c>
      <c r="U87" s="322">
        <f>'AJUSTES - SF-T'!U49</f>
        <v>0</v>
      </c>
      <c r="V87" s="322">
        <f>'AJUSTES - SF-T'!V49</f>
        <v>0</v>
      </c>
      <c r="W87" s="322">
        <f>'AJUSTES - SF-T'!W49</f>
        <v>0</v>
      </c>
      <c r="X87" s="322">
        <f>'AJUSTES - SF-T'!X49</f>
        <v>0</v>
      </c>
      <c r="Y87" s="322">
        <f>'AJUSTES - SF-T'!Y49</f>
        <v>0</v>
      </c>
      <c r="Z87" s="322">
        <f>'AJUSTES - SF-T'!Z49</f>
        <v>0</v>
      </c>
      <c r="AA87" s="322">
        <f>'AJUSTES - SF-T'!AA49</f>
        <v>0</v>
      </c>
      <c r="AB87" s="322">
        <f>'AJUSTES - SF-T'!AB49</f>
        <v>0</v>
      </c>
      <c r="AC87" s="301">
        <v>0</v>
      </c>
      <c r="AD87" s="322">
        <f>'AJUSTES - SF-T'!AC49</f>
        <v>0</v>
      </c>
      <c r="AE87" s="301">
        <f>'AJUSTES - SF-T'!AD49</f>
        <v>0</v>
      </c>
      <c r="AF87" s="367">
        <f>SUM(U87:AD87)</f>
        <v>0</v>
      </c>
      <c r="AG87" s="562">
        <f>AF87-O87</f>
        <v>0</v>
      </c>
      <c r="AH87" s="1" t="b">
        <f t="shared" si="36"/>
        <v>1</v>
      </c>
      <c r="AI87" s="308"/>
    </row>
    <row r="88" spans="1:35" s="307" customFormat="1" x14ac:dyDescent="0.25">
      <c r="B88" s="316">
        <v>4</v>
      </c>
      <c r="C88" s="317" t="s">
        <v>13</v>
      </c>
      <c r="D88" s="293">
        <v>0</v>
      </c>
      <c r="E88" s="294">
        <v>0</v>
      </c>
      <c r="F88" s="294">
        <v>0</v>
      </c>
      <c r="G88" s="294">
        <v>0</v>
      </c>
      <c r="H88" s="294">
        <v>0</v>
      </c>
      <c r="I88" s="294">
        <v>0</v>
      </c>
      <c r="J88" s="294">
        <v>0</v>
      </c>
      <c r="K88" s="294">
        <f t="shared" si="33"/>
        <v>0</v>
      </c>
      <c r="L88" s="296">
        <v>0</v>
      </c>
      <c r="M88" s="323">
        <f>K88-L88</f>
        <v>0</v>
      </c>
      <c r="N88" s="323">
        <v>0</v>
      </c>
      <c r="O88" s="323">
        <f t="shared" si="34"/>
        <v>0</v>
      </c>
      <c r="Q88" s="308"/>
      <c r="S88" s="316">
        <v>4</v>
      </c>
      <c r="T88" s="317" t="s">
        <v>13</v>
      </c>
      <c r="U88" s="322">
        <v>0</v>
      </c>
      <c r="V88" s="322">
        <v>0</v>
      </c>
      <c r="W88" s="322">
        <v>0</v>
      </c>
      <c r="X88" s="322">
        <v>0</v>
      </c>
      <c r="Y88" s="322">
        <v>0</v>
      </c>
      <c r="Z88" s="322">
        <f>-L88</f>
        <v>0</v>
      </c>
      <c r="AA88" s="322">
        <v>0</v>
      </c>
      <c r="AB88" s="322">
        <f>N88</f>
        <v>0</v>
      </c>
      <c r="AC88" s="301">
        <v>0</v>
      </c>
      <c r="AD88" s="322">
        <f t="shared" si="35"/>
        <v>0</v>
      </c>
      <c r="AE88" s="301">
        <v>0</v>
      </c>
      <c r="AF88" s="367">
        <f t="shared" ref="AF88:AF89" si="37">SUM(U88:AD88)</f>
        <v>0</v>
      </c>
      <c r="AG88" s="562">
        <f>AF88-O88</f>
        <v>0</v>
      </c>
      <c r="AH88" s="1" t="b">
        <f t="shared" si="36"/>
        <v>1</v>
      </c>
      <c r="AI88" s="308"/>
    </row>
    <row r="89" spans="1:35" s="307" customFormat="1" ht="12" thickBot="1" x14ac:dyDescent="0.3">
      <c r="B89" s="326">
        <v>5</v>
      </c>
      <c r="C89" s="327" t="s">
        <v>14</v>
      </c>
      <c r="D89" s="298">
        <f>'AJUSTES - SF-T'!D51</f>
        <v>0</v>
      </c>
      <c r="E89" s="299">
        <f>'AJUSTES - SF-T'!E51</f>
        <v>0</v>
      </c>
      <c r="F89" s="299">
        <f>'AJUSTES - SF-T'!F51</f>
        <v>0</v>
      </c>
      <c r="G89" s="299">
        <f>'AJUSTES - SF-T'!G51</f>
        <v>0</v>
      </c>
      <c r="H89" s="299">
        <f>'AJUSTES - SF-T'!H51</f>
        <v>0</v>
      </c>
      <c r="I89" s="299">
        <f>'AJUSTES - SF-T'!I51</f>
        <v>0</v>
      </c>
      <c r="J89" s="299">
        <f>'AJUSTES - SF-T'!J51</f>
        <v>0</v>
      </c>
      <c r="K89" s="299">
        <f t="shared" si="33"/>
        <v>0</v>
      </c>
      <c r="L89" s="296">
        <v>0</v>
      </c>
      <c r="M89" s="348">
        <f>K89-L89</f>
        <v>0</v>
      </c>
      <c r="N89" s="348">
        <f>'AJUSTES - SF-T'!N51</f>
        <v>0</v>
      </c>
      <c r="O89" s="348">
        <f t="shared" si="34"/>
        <v>0</v>
      </c>
      <c r="Q89" s="308"/>
      <c r="S89" s="326">
        <v>5</v>
      </c>
      <c r="T89" s="327" t="s">
        <v>14</v>
      </c>
      <c r="U89" s="348">
        <f>'AJUSTES - SF-T'!U51</f>
        <v>0</v>
      </c>
      <c r="V89" s="348">
        <f>'AJUSTES - SF-T'!V51</f>
        <v>0</v>
      </c>
      <c r="W89" s="348">
        <f>'AJUSTES - SF-T'!W51</f>
        <v>0</v>
      </c>
      <c r="X89" s="348">
        <f>'AJUSTES - SF-T'!X51</f>
        <v>0</v>
      </c>
      <c r="Y89" s="348">
        <f>'AJUSTES - SF-T'!Y51</f>
        <v>0</v>
      </c>
      <c r="Z89" s="348">
        <f>'AJUSTES - SF-T'!Z51</f>
        <v>0</v>
      </c>
      <c r="AA89" s="322">
        <f>'AJUSTES - SF-T'!AA51</f>
        <v>0</v>
      </c>
      <c r="AB89" s="564">
        <f>'AJUSTES - SF-T'!AB51</f>
        <v>0</v>
      </c>
      <c r="AC89" s="600">
        <v>0</v>
      </c>
      <c r="AD89" s="564">
        <f>'AJUSTES - SF-T'!AC51</f>
        <v>0</v>
      </c>
      <c r="AE89" s="296">
        <f>'AJUSTES - SF-T'!AD51</f>
        <v>0</v>
      </c>
      <c r="AF89" s="568">
        <f t="shared" si="37"/>
        <v>0</v>
      </c>
      <c r="AG89" s="567">
        <f>AF89-O89</f>
        <v>0</v>
      </c>
      <c r="AH89" s="1" t="b">
        <f t="shared" si="36"/>
        <v>1</v>
      </c>
      <c r="AI89" s="308"/>
    </row>
    <row r="90" spans="1:35" s="307" customFormat="1" ht="13.5" thickBot="1" x14ac:dyDescent="0.35">
      <c r="B90" s="329"/>
      <c r="C90" s="330" t="s">
        <v>2</v>
      </c>
      <c r="D90" s="292">
        <f t="shared" ref="D90:O90" si="38">SUM(D85:D89)</f>
        <v>0</v>
      </c>
      <c r="E90" s="292">
        <f t="shared" si="38"/>
        <v>0</v>
      </c>
      <c r="F90" s="292">
        <f t="shared" si="38"/>
        <v>0</v>
      </c>
      <c r="G90" s="292">
        <f t="shared" si="38"/>
        <v>0</v>
      </c>
      <c r="H90" s="292">
        <f t="shared" si="38"/>
        <v>0</v>
      </c>
      <c r="I90" s="292">
        <f t="shared" si="38"/>
        <v>0</v>
      </c>
      <c r="J90" s="292">
        <f t="shared" si="38"/>
        <v>0</v>
      </c>
      <c r="K90" s="302">
        <f t="shared" si="38"/>
        <v>0</v>
      </c>
      <c r="L90" s="303">
        <f t="shared" si="38"/>
        <v>0</v>
      </c>
      <c r="M90" s="304">
        <f t="shared" si="38"/>
        <v>0</v>
      </c>
      <c r="N90" s="303">
        <f t="shared" si="38"/>
        <v>0</v>
      </c>
      <c r="O90" s="304">
        <f t="shared" si="38"/>
        <v>0</v>
      </c>
      <c r="P90" s="331"/>
      <c r="Q90" s="308"/>
      <c r="S90" s="329"/>
      <c r="T90" s="559" t="s">
        <v>2</v>
      </c>
      <c r="U90" s="332">
        <f>SUM(U85:U89)</f>
        <v>0</v>
      </c>
      <c r="V90" s="332">
        <f t="shared" ref="V90:AG90" si="39">SUM(V85:V89)</f>
        <v>0</v>
      </c>
      <c r="W90" s="560">
        <f t="shared" si="39"/>
        <v>0</v>
      </c>
      <c r="X90" s="332">
        <f t="shared" si="39"/>
        <v>0</v>
      </c>
      <c r="Y90" s="332">
        <f t="shared" si="39"/>
        <v>0</v>
      </c>
      <c r="Z90" s="292">
        <f t="shared" si="39"/>
        <v>0</v>
      </c>
      <c r="AA90" s="292">
        <f t="shared" si="39"/>
        <v>0</v>
      </c>
      <c r="AB90" s="292">
        <f t="shared" si="39"/>
        <v>0</v>
      </c>
      <c r="AC90" s="292">
        <f t="shared" si="39"/>
        <v>0</v>
      </c>
      <c r="AD90" s="292">
        <f t="shared" si="39"/>
        <v>0</v>
      </c>
      <c r="AE90" s="292">
        <f t="shared" si="39"/>
        <v>0</v>
      </c>
      <c r="AF90" s="333">
        <f t="shared" si="39"/>
        <v>0</v>
      </c>
      <c r="AG90" s="334">
        <f t="shared" si="39"/>
        <v>0</v>
      </c>
      <c r="AH90" s="1" t="b">
        <f t="shared" si="36"/>
        <v>1</v>
      </c>
      <c r="AI90" s="308"/>
    </row>
    <row r="91" spans="1:35" ht="12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3">
      <c r="Q96" s="4"/>
      <c r="AI96" s="4"/>
    </row>
    <row r="97" spans="2:36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4" x14ac:dyDescent="0.3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5" x14ac:dyDescent="0.3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4" x14ac:dyDescent="0.3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5" x14ac:dyDescent="0.35">
      <c r="B101" s="8"/>
      <c r="C101" s="590" t="s">
        <v>17</v>
      </c>
      <c r="D101" s="9">
        <f>D6</f>
        <v>46282</v>
      </c>
      <c r="F101" s="58" t="s">
        <v>326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216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5">
      <c r="B102" s="8"/>
      <c r="C102" s="590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3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7" customFormat="1" x14ac:dyDescent="0.25">
      <c r="B104" s="305">
        <v>1</v>
      </c>
      <c r="C104" s="306" t="s">
        <v>10</v>
      </c>
      <c r="D104" s="293">
        <f t="shared" ref="D104:J108" si="40">D9+D28+D47+D66+D85</f>
        <v>0</v>
      </c>
      <c r="E104" s="294">
        <f t="shared" si="40"/>
        <v>0</v>
      </c>
      <c r="F104" s="294">
        <f t="shared" si="40"/>
        <v>0</v>
      </c>
      <c r="G104" s="294">
        <f t="shared" si="40"/>
        <v>0</v>
      </c>
      <c r="H104" s="294">
        <f t="shared" si="40"/>
        <v>0</v>
      </c>
      <c r="I104" s="294">
        <f t="shared" si="40"/>
        <v>0</v>
      </c>
      <c r="J104" s="294">
        <f t="shared" si="40"/>
        <v>0</v>
      </c>
      <c r="K104" s="295">
        <f>D104-E104-F104-G104-H104-I104-J104</f>
        <v>0</v>
      </c>
      <c r="L104" s="296">
        <f>L9+L28+L47+L66+L85</f>
        <v>0</v>
      </c>
      <c r="M104" s="295">
        <f>K104-L104</f>
        <v>0</v>
      </c>
      <c r="N104" s="296">
        <f>N9+N28+N47+N66+N85</f>
        <v>0</v>
      </c>
      <c r="O104" s="295">
        <f>M104+N104</f>
        <v>0</v>
      </c>
      <c r="Q104" s="308"/>
      <c r="S104" s="305">
        <v>1</v>
      </c>
      <c r="T104" s="306" t="s">
        <v>10</v>
      </c>
      <c r="U104" s="309">
        <f t="shared" ref="U104:AC108" si="41">U9+U28+U47+U66+U85</f>
        <v>0</v>
      </c>
      <c r="V104" s="310">
        <f t="shared" si="41"/>
        <v>0</v>
      </c>
      <c r="W104" s="310">
        <f t="shared" si="41"/>
        <v>0</v>
      </c>
      <c r="X104" s="310">
        <f t="shared" si="41"/>
        <v>0</v>
      </c>
      <c r="Y104" s="311">
        <f t="shared" si="41"/>
        <v>0</v>
      </c>
      <c r="Z104" s="312">
        <f t="shared" si="41"/>
        <v>0</v>
      </c>
      <c r="AA104" s="313">
        <f>AA9+AA28+AA47+AA66+AA85</f>
        <v>0</v>
      </c>
      <c r="AB104" s="296">
        <f>AB9+AB28+AB47+AB66+AB85</f>
        <v>0</v>
      </c>
      <c r="AC104" s="313">
        <f>AC9+AC28+AC47+AC66+AC85</f>
        <v>0</v>
      </c>
      <c r="AD104" s="293">
        <f>-J104+AE104</f>
        <v>0</v>
      </c>
      <c r="AE104" s="293">
        <f>AE9+AE28+AE47+AE66+AE85</f>
        <v>0</v>
      </c>
      <c r="AF104" s="315">
        <f>SUM(U104:AD104)</f>
        <v>0</v>
      </c>
      <c r="AG104" s="313">
        <f>AF104-O104</f>
        <v>0</v>
      </c>
      <c r="AH104" s="1" t="b">
        <f>INT(AG104)=0</f>
        <v>1</v>
      </c>
      <c r="AI104" s="308"/>
    </row>
    <row r="105" spans="2:36" s="307" customFormat="1" ht="12" thickBot="1" x14ac:dyDescent="0.3">
      <c r="B105" s="316">
        <v>2</v>
      </c>
      <c r="C105" s="317" t="s">
        <v>11</v>
      </c>
      <c r="D105" s="293">
        <f t="shared" si="40"/>
        <v>0</v>
      </c>
      <c r="E105" s="294">
        <f t="shared" si="40"/>
        <v>0</v>
      </c>
      <c r="F105" s="294">
        <f t="shared" si="40"/>
        <v>0</v>
      </c>
      <c r="G105" s="294">
        <f t="shared" si="40"/>
        <v>0</v>
      </c>
      <c r="H105" s="294">
        <f t="shared" si="40"/>
        <v>0</v>
      </c>
      <c r="I105" s="294">
        <f t="shared" si="40"/>
        <v>0</v>
      </c>
      <c r="J105" s="294">
        <f t="shared" si="40"/>
        <v>0</v>
      </c>
      <c r="K105" s="297">
        <f t="shared" ref="K105:K108" si="42">D105-E105-F105-G105-H105-I105-J105</f>
        <v>0</v>
      </c>
      <c r="L105" s="296">
        <f>L10+L29+L48+L67+L86</f>
        <v>0</v>
      </c>
      <c r="M105" s="297">
        <f>K105-L105</f>
        <v>0</v>
      </c>
      <c r="N105" s="296">
        <f>N10+N29+N48+N67+N86</f>
        <v>0</v>
      </c>
      <c r="O105" s="297">
        <f t="shared" ref="O105:O108" si="43">M105+N105</f>
        <v>0</v>
      </c>
      <c r="Q105" s="308"/>
      <c r="S105" s="316">
        <v>2</v>
      </c>
      <c r="T105" s="317" t="s">
        <v>11</v>
      </c>
      <c r="U105" s="318">
        <f t="shared" si="41"/>
        <v>0</v>
      </c>
      <c r="V105" s="319">
        <f t="shared" si="41"/>
        <v>0</v>
      </c>
      <c r="W105" s="319">
        <f t="shared" si="41"/>
        <v>0</v>
      </c>
      <c r="X105" s="319">
        <f t="shared" si="41"/>
        <v>0</v>
      </c>
      <c r="Y105" s="320">
        <f t="shared" si="41"/>
        <v>0</v>
      </c>
      <c r="Z105" s="321">
        <f t="shared" si="41"/>
        <v>0</v>
      </c>
      <c r="AA105" s="322">
        <f t="shared" si="41"/>
        <v>0</v>
      </c>
      <c r="AB105" s="296">
        <f t="shared" si="41"/>
        <v>0</v>
      </c>
      <c r="AC105" s="322">
        <f t="shared" si="41"/>
        <v>0</v>
      </c>
      <c r="AD105" s="293">
        <f t="shared" ref="AD105:AD106" si="44">-J105+AE105</f>
        <v>0</v>
      </c>
      <c r="AE105" s="293">
        <f>AE10+AE29+AE48+AE67+AE86</f>
        <v>0</v>
      </c>
      <c r="AF105" s="324">
        <f>SUM(U105:AD105)</f>
        <v>0</v>
      </c>
      <c r="AG105" s="325">
        <f>AF105-O105</f>
        <v>0</v>
      </c>
      <c r="AH105" s="1" t="b">
        <f t="shared" ref="AH105:AH109" si="45">INT(AG105)=0</f>
        <v>1</v>
      </c>
      <c r="AI105" s="308"/>
    </row>
    <row r="106" spans="2:36" s="307" customFormat="1" x14ac:dyDescent="0.25">
      <c r="B106" s="316">
        <v>3</v>
      </c>
      <c r="C106" s="317" t="s">
        <v>12</v>
      </c>
      <c r="D106" s="293">
        <f t="shared" si="40"/>
        <v>0</v>
      </c>
      <c r="E106" s="294">
        <f t="shared" si="40"/>
        <v>0</v>
      </c>
      <c r="F106" s="294">
        <f t="shared" si="40"/>
        <v>0</v>
      </c>
      <c r="G106" s="294">
        <f t="shared" si="40"/>
        <v>0</v>
      </c>
      <c r="H106" s="294">
        <f t="shared" si="40"/>
        <v>0</v>
      </c>
      <c r="I106" s="294">
        <f t="shared" si="40"/>
        <v>0</v>
      </c>
      <c r="J106" s="294">
        <f t="shared" si="40"/>
        <v>0</v>
      </c>
      <c r="K106" s="297">
        <f t="shared" si="42"/>
        <v>0</v>
      </c>
      <c r="L106" s="296">
        <f>L11+L30+L49+L68+L87</f>
        <v>0</v>
      </c>
      <c r="M106" s="297">
        <f>K106-L106</f>
        <v>0</v>
      </c>
      <c r="N106" s="296">
        <f>N11+N30+N49+N68+N87</f>
        <v>0</v>
      </c>
      <c r="O106" s="297">
        <f t="shared" si="43"/>
        <v>0</v>
      </c>
      <c r="Q106" s="308"/>
      <c r="S106" s="316">
        <v>3</v>
      </c>
      <c r="T106" s="317" t="s">
        <v>12</v>
      </c>
      <c r="U106" s="318">
        <f t="shared" si="41"/>
        <v>0</v>
      </c>
      <c r="V106" s="319">
        <f t="shared" si="41"/>
        <v>0</v>
      </c>
      <c r="W106" s="319">
        <f t="shared" si="41"/>
        <v>0</v>
      </c>
      <c r="X106" s="319">
        <f t="shared" si="41"/>
        <v>0</v>
      </c>
      <c r="Y106" s="320">
        <f t="shared" si="41"/>
        <v>0</v>
      </c>
      <c r="Z106" s="321">
        <f t="shared" si="41"/>
        <v>0</v>
      </c>
      <c r="AA106" s="322">
        <f t="shared" si="41"/>
        <v>0</v>
      </c>
      <c r="AB106" s="296">
        <f t="shared" si="41"/>
        <v>0</v>
      </c>
      <c r="AC106" s="313">
        <f>AC11+AC30+AC49+AC68+AC87</f>
        <v>0</v>
      </c>
      <c r="AD106" s="293">
        <f t="shared" si="44"/>
        <v>0</v>
      </c>
      <c r="AE106" s="293">
        <f>AE11+AE30+AE49+AE68+AE87</f>
        <v>0</v>
      </c>
      <c r="AF106" s="324">
        <f>SUM(U106:AD106)</f>
        <v>0</v>
      </c>
      <c r="AG106" s="325">
        <f>AF106-O106</f>
        <v>0</v>
      </c>
      <c r="AH106" s="1" t="b">
        <f t="shared" si="45"/>
        <v>1</v>
      </c>
      <c r="AI106" s="308"/>
    </row>
    <row r="107" spans="2:36" s="307" customFormat="1" x14ac:dyDescent="0.25">
      <c r="B107" s="316">
        <v>4</v>
      </c>
      <c r="C107" s="317" t="s">
        <v>13</v>
      </c>
      <c r="D107" s="293">
        <f t="shared" si="40"/>
        <v>0</v>
      </c>
      <c r="E107" s="294">
        <f t="shared" si="40"/>
        <v>0</v>
      </c>
      <c r="F107" s="294">
        <f t="shared" si="40"/>
        <v>0</v>
      </c>
      <c r="G107" s="294">
        <f t="shared" si="40"/>
        <v>0</v>
      </c>
      <c r="H107" s="294">
        <f t="shared" si="40"/>
        <v>0</v>
      </c>
      <c r="I107" s="294">
        <f t="shared" si="40"/>
        <v>0</v>
      </c>
      <c r="J107" s="294">
        <f t="shared" si="40"/>
        <v>0</v>
      </c>
      <c r="K107" s="297">
        <f t="shared" si="42"/>
        <v>0</v>
      </c>
      <c r="L107" s="296">
        <f>L12+L31+L50+L69+L88</f>
        <v>0</v>
      </c>
      <c r="M107" s="297">
        <f>K107-L107</f>
        <v>0</v>
      </c>
      <c r="N107" s="296">
        <f>N12+N31+N50+N69+N88</f>
        <v>0</v>
      </c>
      <c r="O107" s="297">
        <f>M107+N107</f>
        <v>0</v>
      </c>
      <c r="Q107" s="308"/>
      <c r="S107" s="316">
        <v>4</v>
      </c>
      <c r="T107" s="317" t="s">
        <v>13</v>
      </c>
      <c r="U107" s="318">
        <f t="shared" si="41"/>
        <v>0</v>
      </c>
      <c r="V107" s="319">
        <f t="shared" si="41"/>
        <v>0</v>
      </c>
      <c r="W107" s="319">
        <f t="shared" si="41"/>
        <v>0</v>
      </c>
      <c r="X107" s="319">
        <f t="shared" si="41"/>
        <v>0</v>
      </c>
      <c r="Y107" s="320">
        <f t="shared" si="41"/>
        <v>0</v>
      </c>
      <c r="Z107" s="321">
        <f t="shared" si="41"/>
        <v>0</v>
      </c>
      <c r="AA107" s="322">
        <f t="shared" si="41"/>
        <v>0</v>
      </c>
      <c r="AB107" s="296">
        <f t="shared" si="41"/>
        <v>0</v>
      </c>
      <c r="AC107" s="322">
        <f t="shared" si="41"/>
        <v>0</v>
      </c>
      <c r="AD107" s="293">
        <f>-J117+AE117</f>
        <v>0</v>
      </c>
      <c r="AE107" s="293">
        <f>AE12+AE31+AE50+AE69+AE88</f>
        <v>0</v>
      </c>
      <c r="AF107" s="324">
        <f>SUM(U117:AD117)</f>
        <v>0</v>
      </c>
      <c r="AG107" s="325">
        <f>AF117-O117</f>
        <v>0</v>
      </c>
      <c r="AH107" s="1" t="b">
        <f t="shared" si="45"/>
        <v>1</v>
      </c>
      <c r="AI107" s="308"/>
    </row>
    <row r="108" spans="2:36" s="307" customFormat="1" ht="12" thickBot="1" x14ac:dyDescent="0.3">
      <c r="B108" s="326">
        <v>5</v>
      </c>
      <c r="C108" s="327" t="s">
        <v>14</v>
      </c>
      <c r="D108" s="298">
        <f>D13+D32+D51+D70+D89</f>
        <v>137170902</v>
      </c>
      <c r="E108" s="299">
        <f t="shared" si="40"/>
        <v>8742692.4100000001</v>
      </c>
      <c r="F108" s="299">
        <f t="shared" si="40"/>
        <v>4875107.3</v>
      </c>
      <c r="G108" s="299">
        <f t="shared" si="40"/>
        <v>2601178.42</v>
      </c>
      <c r="H108" s="299">
        <f t="shared" si="40"/>
        <v>34828590.310000002</v>
      </c>
      <c r="I108" s="299">
        <f t="shared" si="40"/>
        <v>1248070.6599999999</v>
      </c>
      <c r="J108" s="299">
        <f t="shared" si="40"/>
        <v>0</v>
      </c>
      <c r="K108" s="297">
        <f t="shared" si="42"/>
        <v>84875262.900000006</v>
      </c>
      <c r="L108" s="296">
        <f>L13+L32+L51+L70+L89</f>
        <v>0</v>
      </c>
      <c r="M108" s="300">
        <f>K108-L108</f>
        <v>84875262.900000006</v>
      </c>
      <c r="N108" s="301">
        <f>N13+N32+N51+N70+N89</f>
        <v>0</v>
      </c>
      <c r="O108" s="300">
        <f t="shared" si="43"/>
        <v>84875262.900000006</v>
      </c>
      <c r="Q108" s="308"/>
      <c r="S108" s="326">
        <v>5</v>
      </c>
      <c r="T108" s="327" t="s">
        <v>14</v>
      </c>
      <c r="U108" s="298">
        <f t="shared" si="41"/>
        <v>10923976.050000001</v>
      </c>
      <c r="V108" s="299">
        <f t="shared" si="41"/>
        <v>10791847.6</v>
      </c>
      <c r="W108" s="299">
        <f t="shared" si="41"/>
        <v>55071465.420000002</v>
      </c>
      <c r="X108" s="299">
        <f t="shared" si="41"/>
        <v>26210306.420000002</v>
      </c>
      <c r="Y108" s="291">
        <f t="shared" si="41"/>
        <v>2042410.35</v>
      </c>
      <c r="Z108" s="321">
        <f t="shared" si="41"/>
        <v>0</v>
      </c>
      <c r="AA108" s="322">
        <f t="shared" si="41"/>
        <v>-1404.48</v>
      </c>
      <c r="AB108" s="296">
        <f t="shared" si="41"/>
        <v>0</v>
      </c>
      <c r="AC108" s="322">
        <f t="shared" si="41"/>
        <v>0</v>
      </c>
      <c r="AD108" s="293">
        <f>-J108+AE108</f>
        <v>-20163338.460000001</v>
      </c>
      <c r="AE108" s="293">
        <f>AE13+AE32+AE51+AE70+AE89</f>
        <v>-20163338.460000001</v>
      </c>
      <c r="AF108" s="324">
        <f>SUM(U108:AD108)</f>
        <v>84875262.899999976</v>
      </c>
      <c r="AG108" s="328">
        <f>AF108-O108</f>
        <v>0</v>
      </c>
      <c r="AH108" s="1" t="b">
        <f t="shared" si="45"/>
        <v>1</v>
      </c>
      <c r="AI108" s="308"/>
    </row>
    <row r="109" spans="2:36" s="307" customFormat="1" ht="13.5" thickBot="1" x14ac:dyDescent="0.35">
      <c r="B109" s="329"/>
      <c r="C109" s="330" t="s">
        <v>2</v>
      </c>
      <c r="D109" s="292">
        <f t="shared" ref="D109:O109" si="46">SUM(D104:D108)</f>
        <v>137170902</v>
      </c>
      <c r="E109" s="292">
        <f t="shared" si="46"/>
        <v>8742692.4100000001</v>
      </c>
      <c r="F109" s="292">
        <f t="shared" si="46"/>
        <v>4875107.3</v>
      </c>
      <c r="G109" s="292">
        <f t="shared" si="46"/>
        <v>2601178.42</v>
      </c>
      <c r="H109" s="292">
        <f t="shared" si="46"/>
        <v>34828590.310000002</v>
      </c>
      <c r="I109" s="292">
        <f t="shared" si="46"/>
        <v>1248070.6599999999</v>
      </c>
      <c r="J109" s="292">
        <f t="shared" si="46"/>
        <v>0</v>
      </c>
      <c r="K109" s="302">
        <f t="shared" si="46"/>
        <v>84875262.900000006</v>
      </c>
      <c r="L109" s="303">
        <f t="shared" si="46"/>
        <v>0</v>
      </c>
      <c r="M109" s="304">
        <f t="shared" si="46"/>
        <v>84875262.900000006</v>
      </c>
      <c r="N109" s="303">
        <f t="shared" si="46"/>
        <v>0</v>
      </c>
      <c r="O109" s="304">
        <f t="shared" si="46"/>
        <v>84875262.900000006</v>
      </c>
      <c r="P109" s="331"/>
      <c r="Q109" s="308"/>
      <c r="S109" s="329"/>
      <c r="T109" s="330" t="s">
        <v>2</v>
      </c>
      <c r="U109" s="332">
        <f>SUM(U104:U108)</f>
        <v>10923976.050000001</v>
      </c>
      <c r="V109" s="332">
        <f t="shared" ref="V109:AF109" si="47">SUM(V104:V108)</f>
        <v>10791847.6</v>
      </c>
      <c r="W109" s="332">
        <f t="shared" si="47"/>
        <v>55071465.420000002</v>
      </c>
      <c r="X109" s="332">
        <f t="shared" si="47"/>
        <v>26210306.420000002</v>
      </c>
      <c r="Y109" s="332">
        <f t="shared" si="47"/>
        <v>2042410.35</v>
      </c>
      <c r="Z109" s="292">
        <f t="shared" si="47"/>
        <v>0</v>
      </c>
      <c r="AA109" s="292">
        <f t="shared" si="47"/>
        <v>-1404.48</v>
      </c>
      <c r="AB109" s="292">
        <f t="shared" si="47"/>
        <v>0</v>
      </c>
      <c r="AC109" s="292">
        <f t="shared" si="47"/>
        <v>0</v>
      </c>
      <c r="AD109" s="292">
        <f t="shared" si="47"/>
        <v>-20163338.460000001</v>
      </c>
      <c r="AE109" s="292">
        <f>SUM(AE104:AE108)</f>
        <v>-20163338.460000001</v>
      </c>
      <c r="AF109" s="333">
        <f t="shared" si="47"/>
        <v>84875262.899999976</v>
      </c>
      <c r="AG109" s="334">
        <f>SUM(AG104:AG108)</f>
        <v>0</v>
      </c>
      <c r="AH109" s="1" t="b">
        <f t="shared" si="45"/>
        <v>1</v>
      </c>
      <c r="AI109" s="308"/>
    </row>
    <row r="110" spans="2:36" ht="12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105040005.83999999</v>
      </c>
      <c r="AD111" s="1" t="s">
        <v>1</v>
      </c>
      <c r="AF111" s="1" t="s">
        <v>1</v>
      </c>
      <c r="AI111" s="4"/>
    </row>
    <row r="112" spans="2:36" ht="12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7"/>
      <c r="AB112" s="307"/>
      <c r="AC112" s="307"/>
      <c r="AI112" s="4"/>
    </row>
    <row r="113" spans="1:35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3">
      <c r="Q115" s="4"/>
    </row>
    <row r="116" spans="1:35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4" x14ac:dyDescent="0.3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5" x14ac:dyDescent="0.3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5">
      <c r="B120" s="8"/>
      <c r="I120" s="2"/>
      <c r="J120" s="2"/>
      <c r="O120" s="10"/>
      <c r="P120" s="2"/>
      <c r="Q120" s="4"/>
    </row>
    <row r="121" spans="1:35" ht="15.5" x14ac:dyDescent="0.3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6.5" thickBot="1" x14ac:dyDescent="0.3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x14ac:dyDescent="0.25">
      <c r="B125" s="108">
        <v>1</v>
      </c>
      <c r="C125" s="109" t="s">
        <v>10</v>
      </c>
      <c r="D125" s="110">
        <f>'ANTICIPOS USUARIOS'!L3</f>
        <v>0</v>
      </c>
      <c r="E125" s="111">
        <v>0</v>
      </c>
      <c r="G125" s="338">
        <f>D47+N47</f>
        <v>0</v>
      </c>
      <c r="H125" s="312">
        <f>D28+N28</f>
        <v>0</v>
      </c>
      <c r="I125" s="311">
        <f>D85+N85</f>
        <v>0</v>
      </c>
      <c r="J125" s="311">
        <f>D66+N66</f>
        <v>0</v>
      </c>
      <c r="K125" s="311">
        <f>'ANTICIPOS USUARIOS'!L12</f>
        <v>0</v>
      </c>
      <c r="L125" s="311">
        <f>-'ANTICIPOS USUARIOS'!L21</f>
        <v>0</v>
      </c>
      <c r="O125" s="44"/>
      <c r="Q125" s="4"/>
    </row>
    <row r="126" spans="1:35" x14ac:dyDescent="0.25">
      <c r="B126" s="16">
        <v>2</v>
      </c>
      <c r="C126" s="17" t="s">
        <v>11</v>
      </c>
      <c r="D126" s="15">
        <f>'ANTICIPOS USUARIOS'!L4</f>
        <v>0</v>
      </c>
      <c r="E126" s="74">
        <v>0</v>
      </c>
      <c r="G126" s="341">
        <f>D48+N48</f>
        <v>0</v>
      </c>
      <c r="H126" s="342">
        <f>D29+N29</f>
        <v>0</v>
      </c>
      <c r="I126" s="290">
        <f>D86+N86</f>
        <v>0</v>
      </c>
      <c r="J126" s="290">
        <f t="shared" ref="J126:J129" si="48">D67+N67</f>
        <v>0</v>
      </c>
      <c r="K126" s="290">
        <f>'ANTICIPOS USUARIOS'!L13</f>
        <v>0</v>
      </c>
      <c r="L126" s="290">
        <f>-'ANTICIPOS USUARIOS'!L22</f>
        <v>0</v>
      </c>
      <c r="O126" s="44"/>
      <c r="Q126" s="4"/>
    </row>
    <row r="127" spans="1:35" x14ac:dyDescent="0.25">
      <c r="B127" s="16">
        <v>3</v>
      </c>
      <c r="C127" s="17" t="s">
        <v>12</v>
      </c>
      <c r="D127" s="15">
        <f>'ANTICIPOS USUARIOS'!L5</f>
        <v>0</v>
      </c>
      <c r="E127" s="74">
        <v>0</v>
      </c>
      <c r="G127" s="341">
        <f>D49+N49</f>
        <v>0</v>
      </c>
      <c r="H127" s="342">
        <f>D30+N30</f>
        <v>0</v>
      </c>
      <c r="I127" s="290">
        <f>D87+N87</f>
        <v>0</v>
      </c>
      <c r="J127" s="290">
        <f t="shared" si="48"/>
        <v>0</v>
      </c>
      <c r="K127" s="290">
        <f>'ANTICIPOS USUARIOS'!L14</f>
        <v>0</v>
      </c>
      <c r="L127" s="290">
        <f>-'ANTICIPOS USUARIOS'!L23</f>
        <v>0</v>
      </c>
      <c r="O127" s="44"/>
      <c r="Q127" s="4"/>
    </row>
    <row r="128" spans="1:35" x14ac:dyDescent="0.25">
      <c r="B128" s="16">
        <v>4</v>
      </c>
      <c r="C128" s="17" t="s">
        <v>13</v>
      </c>
      <c r="D128" s="15">
        <f>'ANTICIPOS USUARIOS'!L6</f>
        <v>0</v>
      </c>
      <c r="E128" s="74">
        <v>0</v>
      </c>
      <c r="G128" s="341">
        <f>D50+N50</f>
        <v>0</v>
      </c>
      <c r="H128" s="342">
        <f>D31+N31</f>
        <v>0</v>
      </c>
      <c r="I128" s="290">
        <f>D88+N88</f>
        <v>0</v>
      </c>
      <c r="J128" s="290">
        <f t="shared" si="48"/>
        <v>0</v>
      </c>
      <c r="K128" s="290">
        <f>'ANTICIPOS USUARIOS'!L15</f>
        <v>0</v>
      </c>
      <c r="L128" s="290">
        <f>-'ANTICIPOS USUARIOS'!L24</f>
        <v>0</v>
      </c>
      <c r="O128" s="44"/>
      <c r="Q128" s="4"/>
    </row>
    <row r="129" spans="1:18" x14ac:dyDescent="0.25">
      <c r="B129" s="133">
        <v>5</v>
      </c>
      <c r="C129" s="138" t="s">
        <v>14</v>
      </c>
      <c r="D129" s="15">
        <f>'ANTICIPOS USUARIOS'!L7</f>
        <v>1379910</v>
      </c>
      <c r="E129" s="139">
        <v>0</v>
      </c>
      <c r="G129" s="341">
        <f>D51+N51</f>
        <v>0</v>
      </c>
      <c r="H129" s="342">
        <f>D32+N32</f>
        <v>0</v>
      </c>
      <c r="I129" s="290">
        <f>D89+N89</f>
        <v>0</v>
      </c>
      <c r="J129" s="290">
        <f t="shared" si="48"/>
        <v>0</v>
      </c>
      <c r="K129" s="290">
        <f>'ANTICIPOS USUARIOS'!L16</f>
        <v>0</v>
      </c>
      <c r="L129" s="290">
        <f>-'ANTICIPOS USUARIOS'!L25</f>
        <v>0</v>
      </c>
      <c r="O129" s="44"/>
      <c r="Q129" s="4"/>
    </row>
    <row r="130" spans="1:18" ht="12" thickBot="1" x14ac:dyDescent="0.3">
      <c r="B130" s="19" t="s">
        <v>89</v>
      </c>
      <c r="C130" s="20" t="s">
        <v>113</v>
      </c>
      <c r="D130" s="78"/>
      <c r="E130" s="79">
        <f>'Recaudo ENEL'!D26</f>
        <v>0</v>
      </c>
      <c r="G130" s="348"/>
      <c r="H130" s="349"/>
      <c r="I130" s="291"/>
      <c r="J130" s="291"/>
      <c r="K130" s="291"/>
      <c r="L130" s="291"/>
      <c r="O130" s="44"/>
      <c r="Q130" s="4"/>
    </row>
    <row r="131" spans="1:18" ht="12" thickBot="1" x14ac:dyDescent="0.3">
      <c r="B131" s="95"/>
      <c r="C131" s="106" t="s">
        <v>2</v>
      </c>
      <c r="D131" s="107">
        <f>SUM(D125:D130)</f>
        <v>1379910</v>
      </c>
      <c r="E131" s="107">
        <f>SUM(E125:E130)</f>
        <v>0</v>
      </c>
      <c r="F131" s="45"/>
      <c r="G131" s="352">
        <f t="shared" ref="G131" si="49">SUM(G125:G129)</f>
        <v>0</v>
      </c>
      <c r="H131" s="352">
        <f>SUM(H125:H130)</f>
        <v>0</v>
      </c>
      <c r="I131" s="352">
        <f>SUM(I125:I130)</f>
        <v>0</v>
      </c>
      <c r="J131" s="352">
        <f>SUM(J125:J130)</f>
        <v>0</v>
      </c>
      <c r="K131" s="352">
        <f>SUM(K125:K130)</f>
        <v>0</v>
      </c>
      <c r="L131" s="352">
        <f>SUM(L125:L130)</f>
        <v>0</v>
      </c>
      <c r="M131" s="45"/>
      <c r="N131" s="45"/>
      <c r="O131" s="46"/>
      <c r="P131" s="2"/>
      <c r="Q131" s="4"/>
    </row>
    <row r="132" spans="1:18" x14ac:dyDescent="0.25">
      <c r="B132" s="2"/>
      <c r="C132" s="2"/>
      <c r="D132" s="24"/>
      <c r="Q132" s="4"/>
    </row>
    <row r="133" spans="1:18" x14ac:dyDescent="0.25">
      <c r="B133" s="2"/>
      <c r="C133" s="2"/>
      <c r="D133" s="24"/>
      <c r="L133" s="1" t="s">
        <v>1</v>
      </c>
      <c r="Q133" s="4"/>
    </row>
    <row r="134" spans="1:18" ht="12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6.5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ENERBIT'!D21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BANCO'!E63)</f>
        <v>0</v>
      </c>
      <c r="J142" s="110">
        <f t="shared" ref="J142:K146" si="50">G125</f>
        <v>0</v>
      </c>
      <c r="K142" s="111">
        <f t="shared" si="50"/>
        <v>0</v>
      </c>
      <c r="L142" s="527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x14ac:dyDescent="0.25">
      <c r="B143" s="16">
        <v>2</v>
      </c>
      <c r="C143" s="17" t="s">
        <v>11</v>
      </c>
      <c r="D143" s="18">
        <f>D105+N105+D126+E126</f>
        <v>0</v>
      </c>
      <c r="E143" s="18">
        <f>'Recaudo ENERBIT'!D22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BANCO'!E66)</f>
        <v>0</v>
      </c>
      <c r="J143" s="18">
        <f t="shared" si="50"/>
        <v>0</v>
      </c>
      <c r="K143" s="83">
        <f t="shared" si="50"/>
        <v>0</v>
      </c>
      <c r="L143" s="527">
        <f>D143-E143-F143-G143-J143-H143-I143</f>
        <v>0</v>
      </c>
      <c r="M143" s="1" t="b">
        <f t="shared" ref="M143:M147" si="51">INT(L143)=0</f>
        <v>1</v>
      </c>
      <c r="O143" s="130"/>
      <c r="P143" s="24"/>
      <c r="Q143" s="35"/>
      <c r="R143" s="24"/>
    </row>
    <row r="144" spans="1:18" x14ac:dyDescent="0.25">
      <c r="B144" s="16">
        <v>3</v>
      </c>
      <c r="C144" s="17" t="s">
        <v>12</v>
      </c>
      <c r="D144" s="18">
        <f>D106+N106+D127+E127</f>
        <v>0</v>
      </c>
      <c r="E144" s="18">
        <f>'Recaudo ENERBIT'!D23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BANCO'!E68)</f>
        <v>0</v>
      </c>
      <c r="J144" s="18">
        <f t="shared" si="50"/>
        <v>0</v>
      </c>
      <c r="K144" s="83">
        <f t="shared" si="50"/>
        <v>0</v>
      </c>
      <c r="L144" s="527">
        <f>D144-E144-F144-G144-J144-H144-I144</f>
        <v>0</v>
      </c>
      <c r="M144" s="1" t="b">
        <f t="shared" si="51"/>
        <v>1</v>
      </c>
      <c r="O144" s="55"/>
      <c r="P144" s="24"/>
      <c r="Q144" s="35"/>
      <c r="R144" s="24"/>
    </row>
    <row r="145" spans="1:20" x14ac:dyDescent="0.25">
      <c r="B145" s="16">
        <v>4</v>
      </c>
      <c r="C145" s="17" t="s">
        <v>13</v>
      </c>
      <c r="D145" s="18">
        <f>D117+N117+D128+E128</f>
        <v>0</v>
      </c>
      <c r="E145" s="18">
        <f>'Recaudo ENERBIT'!D24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BANCO'!E71)</f>
        <v>0</v>
      </c>
      <c r="J145" s="18">
        <f t="shared" si="50"/>
        <v>0</v>
      </c>
      <c r="K145" s="83">
        <f t="shared" si="50"/>
        <v>0</v>
      </c>
      <c r="L145" s="527">
        <f>D145-E145-F145-G145-J145-H145-I145</f>
        <v>0</v>
      </c>
      <c r="M145" s="1" t="b">
        <f t="shared" si="51"/>
        <v>1</v>
      </c>
      <c r="O145" s="96"/>
      <c r="P145" s="24"/>
      <c r="Q145" s="35"/>
      <c r="R145" s="24"/>
    </row>
    <row r="146" spans="1:20" ht="12" thickBot="1" x14ac:dyDescent="0.3">
      <c r="B146" s="133">
        <v>5</v>
      </c>
      <c r="C146" s="138" t="s">
        <v>14</v>
      </c>
      <c r="D146" s="134">
        <f>D108+N108+D129+E129</f>
        <v>138550812</v>
      </c>
      <c r="E146" s="18">
        <f>'Recaudo ENERBIT'!D25</f>
        <v>138550812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f>('REPORTE RECAUDO x BANCO'!E73)</f>
        <v>0</v>
      </c>
      <c r="J146" s="134">
        <f t="shared" si="50"/>
        <v>0</v>
      </c>
      <c r="K146" s="136">
        <f t="shared" si="50"/>
        <v>0</v>
      </c>
      <c r="L146" s="527">
        <f>D146-E146-F146-G146-J146-H146-I146</f>
        <v>0</v>
      </c>
      <c r="M146" s="1" t="b">
        <f t="shared" si="51"/>
        <v>1</v>
      </c>
      <c r="O146" s="55"/>
      <c r="P146" s="24"/>
      <c r="Q146" s="35"/>
      <c r="R146" s="24"/>
    </row>
    <row r="147" spans="1:20" ht="12" thickBot="1" x14ac:dyDescent="0.3">
      <c r="B147" s="21"/>
      <c r="C147" s="22" t="s">
        <v>2</v>
      </c>
      <c r="D147" s="47">
        <f>SUM(D142:D146)</f>
        <v>138550812</v>
      </c>
      <c r="E147" s="47">
        <f>SUM(E142:E146)</f>
        <v>138550812</v>
      </c>
      <c r="F147" s="47">
        <f t="shared" ref="F147:K147" si="52">SUM(F142:F146)</f>
        <v>0</v>
      </c>
      <c r="G147" s="47">
        <f t="shared" si="52"/>
        <v>0</v>
      </c>
      <c r="H147" s="47">
        <f t="shared" si="52"/>
        <v>0</v>
      </c>
      <c r="I147" s="47">
        <f t="shared" si="52"/>
        <v>0</v>
      </c>
      <c r="J147" s="47">
        <f t="shared" si="52"/>
        <v>0</v>
      </c>
      <c r="K147" s="47">
        <f t="shared" si="52"/>
        <v>0</v>
      </c>
      <c r="L147" s="527">
        <f>SUM(L142:L146)</f>
        <v>0</v>
      </c>
      <c r="M147" s="1" t="b">
        <f t="shared" si="51"/>
        <v>1</v>
      </c>
      <c r="P147" s="24"/>
      <c r="Q147" s="35"/>
      <c r="R147" s="24"/>
    </row>
    <row r="148" spans="1:20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5">
      <c r="N152" s="24"/>
      <c r="O152" s="24"/>
      <c r="Q152" s="24"/>
      <c r="T152" s="24"/>
    </row>
    <row r="153" spans="1:20" x14ac:dyDescent="0.25">
      <c r="E153" s="651"/>
      <c r="N153" s="24"/>
      <c r="O153" s="24"/>
      <c r="Q153" s="24"/>
      <c r="T153" s="24"/>
    </row>
    <row r="154" spans="1:20" x14ac:dyDescent="0.25">
      <c r="N154" s="24"/>
      <c r="O154" s="24"/>
      <c r="Q154" s="24"/>
      <c r="T154" s="24"/>
    </row>
    <row r="155" spans="1:20" x14ac:dyDescent="0.25">
      <c r="Q155" s="24"/>
      <c r="T155" s="24"/>
    </row>
    <row r="156" spans="1:20" x14ac:dyDescent="0.25">
      <c r="Q156" s="24"/>
    </row>
  </sheetData>
  <conditionalFormatting sqref="L142:L147">
    <cfRule type="expression" dxfId="40" priority="8">
      <formula>$L$142&lt;&gt;0</formula>
    </cfRule>
  </conditionalFormatting>
  <conditionalFormatting sqref="M142:M147">
    <cfRule type="cellIs" dxfId="39" priority="1" operator="notEqual">
      <formula>TRUE</formula>
    </cfRule>
  </conditionalFormatting>
  <conditionalFormatting sqref="AH9:AH14">
    <cfRule type="cellIs" dxfId="38" priority="7" operator="notEqual">
      <formula>TRUE</formula>
    </cfRule>
  </conditionalFormatting>
  <conditionalFormatting sqref="AH28:AH33">
    <cfRule type="cellIs" dxfId="37" priority="6" operator="notEqual">
      <formula>TRUE</formula>
    </cfRule>
  </conditionalFormatting>
  <conditionalFormatting sqref="AH47:AH52">
    <cfRule type="cellIs" dxfId="36" priority="5" operator="notEqual">
      <formula>TRUE</formula>
    </cfRule>
  </conditionalFormatting>
  <conditionalFormatting sqref="AH66:AH71">
    <cfRule type="cellIs" dxfId="35" priority="4" operator="notEqual">
      <formula>TRUE</formula>
    </cfRule>
  </conditionalFormatting>
  <conditionalFormatting sqref="AH85:AH90">
    <cfRule type="cellIs" dxfId="34" priority="3" operator="notEqual">
      <formula>TRUE</formula>
    </cfRule>
  </conditionalFormatting>
  <conditionalFormatting sqref="AH104:AH109">
    <cfRule type="cellIs" dxfId="33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A0E2-369B-404A-A9AB-28C96A710C7E}">
  <sheetPr>
    <tabColor theme="8" tint="0.59999389629810485"/>
  </sheetPr>
  <dimension ref="B1:P16"/>
  <sheetViews>
    <sheetView zoomScale="90" zoomScaleNormal="90" workbookViewId="0">
      <selection activeCell="B2" sqref="B2"/>
    </sheetView>
  </sheetViews>
  <sheetFormatPr baseColWidth="10" defaultRowHeight="12.5" x14ac:dyDescent="0.25"/>
  <cols>
    <col min="1" max="1" width="3" customWidth="1"/>
    <col min="2" max="2" width="4.26953125" bestFit="1" customWidth="1"/>
    <col min="3" max="3" width="16.7265625" customWidth="1"/>
    <col min="4" max="4" width="14.26953125" customWidth="1"/>
    <col min="5" max="7" width="17.7265625" customWidth="1"/>
    <col min="8" max="8" width="18.26953125" customWidth="1"/>
    <col min="9" max="9" width="15.7265625" customWidth="1"/>
    <col min="10" max="10" width="16.453125" customWidth="1"/>
    <col min="11" max="11" width="15.7265625" customWidth="1"/>
    <col min="12" max="13" width="18.26953125" customWidth="1"/>
    <col min="14" max="14" width="15.7265625" customWidth="1"/>
    <col min="15" max="15" width="14.26953125" customWidth="1"/>
    <col min="16" max="16" width="14.453125" customWidth="1"/>
  </cols>
  <sheetData>
    <row r="1" spans="2:16" ht="13" thickBot="1" x14ac:dyDescent="0.3"/>
    <row r="2" spans="2:16" ht="35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7" customFormat="1" x14ac:dyDescent="0.25">
      <c r="B3" s="305">
        <v>1</v>
      </c>
      <c r="C3" s="294">
        <f>'Recaudo ENERBIT'!D21</f>
        <v>0</v>
      </c>
      <c r="D3" s="294">
        <f>REMUNERACION_ENERBIT!G125</f>
        <v>0</v>
      </c>
      <c r="E3" s="294">
        <f>REMUNERACION_ENERBIT!D28+REMUNERACION_ENERBIT!N28</f>
        <v>0</v>
      </c>
      <c r="F3" s="294">
        <f>REMUNERACION_ENERBIT!I142</f>
        <v>0</v>
      </c>
      <c r="G3" s="294">
        <f>REMUNERACION_ENERBIT!H142</f>
        <v>0</v>
      </c>
      <c r="H3" s="342">
        <f>SUM(C3:G3)</f>
        <v>0</v>
      </c>
      <c r="I3" s="293">
        <f>REMUNERACION_ENERBIT!D104</f>
        <v>0</v>
      </c>
      <c r="J3" s="294">
        <f>REMUNERACION_ENERBIT!N104</f>
        <v>0</v>
      </c>
      <c r="K3" s="294">
        <f>REMUNERACION_ENERBIT!D125</f>
        <v>0</v>
      </c>
      <c r="L3" s="355">
        <f>REMUNERACION_ENERBIT!E125</f>
        <v>0</v>
      </c>
      <c r="M3" s="294">
        <f>-REMUNERACION_ENERBIT!D66-REMUNERACION_ENERBIT!N66</f>
        <v>0</v>
      </c>
      <c r="N3" s="290">
        <f>SUM(I3:M3)</f>
        <v>0</v>
      </c>
      <c r="O3" s="356">
        <f t="shared" ref="O3:O8" si="0">H3-N3</f>
        <v>0</v>
      </c>
      <c r="P3" s="1" t="b">
        <f>INT(O3)=0</f>
        <v>1</v>
      </c>
    </row>
    <row r="4" spans="2:16" s="357" customFormat="1" x14ac:dyDescent="0.25">
      <c r="B4" s="316">
        <v>2</v>
      </c>
      <c r="C4" s="319">
        <f>'Recaudo ENERBIT'!D22</f>
        <v>0</v>
      </c>
      <c r="D4" s="294">
        <f>REMUNERACION_ENERBIT!G126</f>
        <v>0</v>
      </c>
      <c r="E4" s="294">
        <f>REMUNERACION_ENERBIT!D29+REMUNERACION_ENERBIT!N29</f>
        <v>0</v>
      </c>
      <c r="F4" s="294">
        <f>REMUNERACION_ENERBIT!I143</f>
        <v>0</v>
      </c>
      <c r="G4" s="294">
        <f>REMUNERACION_ENERBIT!H143</f>
        <v>0</v>
      </c>
      <c r="H4" s="342">
        <f t="shared" ref="H4:H7" si="1">SUM(C4:G4)</f>
        <v>0</v>
      </c>
      <c r="I4" s="293">
        <f>REMUNERACION_ENERBIT!D105</f>
        <v>0</v>
      </c>
      <c r="J4" s="294">
        <f>REMUNERACION_ENERBIT!N105</f>
        <v>0</v>
      </c>
      <c r="K4" s="294">
        <f>REMUNERACION_ENERBIT!D126</f>
        <v>0</v>
      </c>
      <c r="L4" s="355">
        <f>REMUNERACION_ENERBIT!E126</f>
        <v>0</v>
      </c>
      <c r="M4" s="294">
        <f>-REMUNERACION_ENERBIT!D67-REMUNERACION_ENERBIT!N67</f>
        <v>0</v>
      </c>
      <c r="N4" s="320">
        <f>SUM(I4:M4)</f>
        <v>0</v>
      </c>
      <c r="O4" s="356">
        <f t="shared" si="0"/>
        <v>0</v>
      </c>
      <c r="P4" s="1" t="b">
        <f t="shared" ref="P4:P9" si="2">INT(O4)=0</f>
        <v>1</v>
      </c>
    </row>
    <row r="5" spans="2:16" s="357" customFormat="1" x14ac:dyDescent="0.25">
      <c r="B5" s="316">
        <v>3</v>
      </c>
      <c r="C5" s="319">
        <f>'Recaudo ENERBIT'!D23</f>
        <v>0</v>
      </c>
      <c r="D5" s="294">
        <f>REMUNERACION_ENERBIT!G127</f>
        <v>0</v>
      </c>
      <c r="E5" s="294">
        <f>REMUNERACION_ENERBIT!D30+REMUNERACION_ENERBIT!N30</f>
        <v>0</v>
      </c>
      <c r="F5" s="294">
        <f>REMUNERACION_ENERBIT!I144</f>
        <v>0</v>
      </c>
      <c r="G5" s="294">
        <f>REMUNERACION_ENERBIT!H144</f>
        <v>0</v>
      </c>
      <c r="H5" s="342">
        <f t="shared" si="1"/>
        <v>0</v>
      </c>
      <c r="I5" s="293">
        <f>REMUNERACION_ENERBIT!D106</f>
        <v>0</v>
      </c>
      <c r="J5" s="294">
        <f>REMUNERACION_ENERBIT!N106</f>
        <v>0</v>
      </c>
      <c r="K5" s="294">
        <f>REMUNERACION_ENERBIT!D127</f>
        <v>0</v>
      </c>
      <c r="L5" s="355">
        <f>REMUNERACION_ENERBIT!E127</f>
        <v>0</v>
      </c>
      <c r="M5" s="294">
        <f>-REMUNERACION_ENERBIT!D68-REMUNERACION_ENERBIT!N68</f>
        <v>0</v>
      </c>
      <c r="N5" s="320">
        <f>SUM(I5:M5)</f>
        <v>0</v>
      </c>
      <c r="O5" s="356">
        <f>H5-N5</f>
        <v>0</v>
      </c>
      <c r="P5" s="1" t="b">
        <f t="shared" si="2"/>
        <v>1</v>
      </c>
    </row>
    <row r="6" spans="2:16" s="357" customFormat="1" x14ac:dyDescent="0.25">
      <c r="B6" s="316">
        <v>4</v>
      </c>
      <c r="C6" s="319">
        <f>'Recaudo ENERBIT'!D24</f>
        <v>0</v>
      </c>
      <c r="D6" s="294">
        <f>REMUNERACION_ENERBIT!G128</f>
        <v>0</v>
      </c>
      <c r="E6" s="294">
        <f>REMUNERACION_ENERBIT!D31+REMUNERACION_ENERBIT!N31</f>
        <v>0</v>
      </c>
      <c r="F6" s="294">
        <f>REMUNERACION_ENERBIT!I145</f>
        <v>0</v>
      </c>
      <c r="G6" s="294">
        <f>REMUNERACION_ENERBIT!H145</f>
        <v>0</v>
      </c>
      <c r="H6" s="342">
        <f t="shared" si="1"/>
        <v>0</v>
      </c>
      <c r="I6" s="293">
        <f>REMUNERACION_ENERBIT!D107</f>
        <v>0</v>
      </c>
      <c r="J6" s="294">
        <f>REMUNERACION_ENERBIT!N107</f>
        <v>0</v>
      </c>
      <c r="K6" s="294">
        <f>REMUNERACION_ENERBIT!D128</f>
        <v>0</v>
      </c>
      <c r="L6" s="355">
        <f>REMUNERACION_ENERBIT!E128</f>
        <v>0</v>
      </c>
      <c r="M6" s="294">
        <f>-REMUNERACION_ENERBIT!D69-REMUNERACION_ENERBIT!N69</f>
        <v>0</v>
      </c>
      <c r="N6" s="320">
        <f t="shared" ref="N6:N7" si="3">SUM(I6:M6)</f>
        <v>0</v>
      </c>
      <c r="O6" s="356">
        <f t="shared" si="0"/>
        <v>0</v>
      </c>
      <c r="P6" s="1" t="b">
        <f t="shared" si="2"/>
        <v>1</v>
      </c>
    </row>
    <row r="7" spans="2:16" s="357" customFormat="1" x14ac:dyDescent="0.25">
      <c r="B7" s="316">
        <v>5</v>
      </c>
      <c r="C7" s="319">
        <f>'Recaudo ENERBIT'!D25</f>
        <v>138550812</v>
      </c>
      <c r="D7" s="294">
        <f>REMUNERACION_ENERBIT!G129</f>
        <v>0</v>
      </c>
      <c r="E7" s="294">
        <f>REMUNERACION_ENERBIT!D32+REMUNERACION_ENERBIT!N32</f>
        <v>0</v>
      </c>
      <c r="F7" s="294">
        <f>REMUNERACION_ENERBIT!I146</f>
        <v>0</v>
      </c>
      <c r="G7" s="294">
        <f>REMUNERACION_ENERBIT!H146</f>
        <v>0</v>
      </c>
      <c r="H7" s="342">
        <f t="shared" si="1"/>
        <v>138550812</v>
      </c>
      <c r="I7" s="293">
        <f>REMUNERACION_ENERBIT!D108</f>
        <v>137170902</v>
      </c>
      <c r="J7" s="294">
        <f>REMUNERACION_ENERBIT!N108</f>
        <v>0</v>
      </c>
      <c r="K7" s="294">
        <f>REMUNERACION_ENERBIT!D129</f>
        <v>1379910</v>
      </c>
      <c r="L7" s="355">
        <f>REMUNERACION_ENERBIT!E129</f>
        <v>0</v>
      </c>
      <c r="M7" s="294">
        <f>-REMUNERACION_ENERBIT!D70-REMUNERACION_ENERBIT!N70</f>
        <v>0</v>
      </c>
      <c r="N7" s="320">
        <f t="shared" si="3"/>
        <v>138550812</v>
      </c>
      <c r="O7" s="356">
        <f>H7-N7</f>
        <v>0</v>
      </c>
      <c r="P7" s="1" t="b">
        <f t="shared" si="2"/>
        <v>1</v>
      </c>
    </row>
    <row r="8" spans="2:16" s="357" customFormat="1" ht="13" thickBot="1" x14ac:dyDescent="0.3">
      <c r="B8" s="343" t="s">
        <v>89</v>
      </c>
      <c r="C8" s="319">
        <f>'Recaudo ENERBIT'!D26</f>
        <v>0</v>
      </c>
      <c r="D8" s="358">
        <f>REMUNERACION_ENERBIT!G130</f>
        <v>0</v>
      </c>
      <c r="E8" s="358">
        <f>REMUNERACION_ENERBIT!D33+REMUNERACION_ENERBIT!N33</f>
        <v>0</v>
      </c>
      <c r="F8" s="358">
        <f>REMUNERACION_ENERBIT!I147</f>
        <v>0</v>
      </c>
      <c r="G8" s="358">
        <f>REMUNERACION_ENERBIT!H147</f>
        <v>0</v>
      </c>
      <c r="H8" s="342">
        <f>SUM(C8:G8)</f>
        <v>0</v>
      </c>
      <c r="I8" s="359">
        <v>0</v>
      </c>
      <c r="J8" s="345">
        <v>0</v>
      </c>
      <c r="K8" s="345">
        <f>REMUNERACION_ENERBIT!D130</f>
        <v>0</v>
      </c>
      <c r="L8" s="355">
        <f>REMUNERACION_ENERBIT!E130</f>
        <v>0</v>
      </c>
      <c r="M8" s="358">
        <f>-REMUNERACION_ENERBIT!D71-REMUNERACION_ENERBIT!N71</f>
        <v>0</v>
      </c>
      <c r="N8" s="360">
        <f>SUM(I8:L8)-M8</f>
        <v>0</v>
      </c>
      <c r="O8" s="356">
        <f t="shared" si="0"/>
        <v>0</v>
      </c>
      <c r="P8" s="1" t="b">
        <f t="shared" si="2"/>
        <v>1</v>
      </c>
    </row>
    <row r="9" spans="2:16" s="357" customFormat="1" ht="13" thickBot="1" x14ac:dyDescent="0.3">
      <c r="B9" s="329"/>
      <c r="C9" s="292">
        <f>SUM(C3:C8)</f>
        <v>138550812</v>
      </c>
      <c r="D9" s="292">
        <f t="shared" ref="D9:M9" si="4">SUM(D3:D8)</f>
        <v>0</v>
      </c>
      <c r="E9" s="292">
        <f t="shared" si="4"/>
        <v>0</v>
      </c>
      <c r="F9" s="292">
        <f t="shared" si="4"/>
        <v>0</v>
      </c>
      <c r="G9" s="292">
        <f t="shared" si="4"/>
        <v>0</v>
      </c>
      <c r="H9" s="292">
        <f t="shared" si="4"/>
        <v>138550812</v>
      </c>
      <c r="I9" s="292">
        <f t="shared" si="4"/>
        <v>137170902</v>
      </c>
      <c r="J9" s="292">
        <f t="shared" si="4"/>
        <v>0</v>
      </c>
      <c r="K9" s="292">
        <f t="shared" si="4"/>
        <v>1379910</v>
      </c>
      <c r="L9" s="292">
        <f t="shared" si="4"/>
        <v>0</v>
      </c>
      <c r="M9" s="292">
        <f t="shared" si="4"/>
        <v>0</v>
      </c>
      <c r="N9" s="292">
        <f>SUM(N3:N8)</f>
        <v>138550812</v>
      </c>
      <c r="O9" s="361">
        <f>SUM(O3:O8)</f>
        <v>0</v>
      </c>
      <c r="P9" s="1" t="b">
        <f t="shared" si="2"/>
        <v>1</v>
      </c>
    </row>
    <row r="11" spans="2:16" ht="13" x14ac:dyDescent="0.3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Recaudo'!D8</f>
        <v>138550812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32" priority="2" operator="notEqual">
      <formula>TRUE</formula>
    </cfRule>
  </conditionalFormatting>
  <conditionalFormatting sqref="P3:P9">
    <cfRule type="cellIs" dxfId="31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A5BB-8B3C-4DEF-8A18-5CD5E9E134B7}">
  <sheetPr>
    <tabColor theme="8" tint="0.59999389629810485"/>
    <pageSetUpPr fitToPage="1"/>
  </sheetPr>
  <dimension ref="A1:AI52"/>
  <sheetViews>
    <sheetView zoomScaleNormal="100" workbookViewId="0">
      <selection activeCell="A19" sqref="A19"/>
    </sheetView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7265625" style="1" customWidth="1"/>
    <col min="4" max="4" width="15.26953125" style="1" customWidth="1"/>
    <col min="5" max="5" width="16" style="1" customWidth="1"/>
    <col min="6" max="7" width="14.7265625" style="1" customWidth="1"/>
    <col min="8" max="8" width="16.26953125" style="1" customWidth="1"/>
    <col min="9" max="9" width="20.26953125" style="1" bestFit="1" customWidth="1"/>
    <col min="10" max="10" width="15.54296875" style="1" customWidth="1"/>
    <col min="11" max="11" width="17.54296875" style="1" customWidth="1"/>
    <col min="12" max="12" width="16.54296875" style="1" customWidth="1"/>
    <col min="13" max="13" width="19.7265625" style="1" customWidth="1"/>
    <col min="14" max="14" width="15.26953125" style="1" customWidth="1"/>
    <col min="15" max="15" width="16.7265625" style="1" customWidth="1"/>
    <col min="16" max="16" width="3.7265625" style="1" customWidth="1"/>
    <col min="17" max="17" width="2.7265625" style="1" customWidth="1"/>
    <col min="18" max="18" width="4.54296875" style="1" customWidth="1"/>
    <col min="19" max="19" width="11.26953125" style="1" customWidth="1"/>
    <col min="20" max="20" width="39.453125" style="1" customWidth="1"/>
    <col min="21" max="21" width="19.26953125" style="1" customWidth="1"/>
    <col min="22" max="22" width="17.7265625" style="1" customWidth="1"/>
    <col min="23" max="23" width="16.453125" style="1" customWidth="1"/>
    <col min="24" max="24" width="17.26953125" style="1" customWidth="1"/>
    <col min="25" max="25" width="15.7265625" style="1" customWidth="1"/>
    <col min="26" max="26" width="16" style="1" customWidth="1"/>
    <col min="27" max="27" width="15" style="1" customWidth="1"/>
    <col min="28" max="29" width="16.7265625" style="1" customWidth="1"/>
    <col min="30" max="31" width="15.453125" style="1" customWidth="1"/>
    <col min="32" max="32" width="16.26953125" style="1" customWidth="1"/>
    <col min="33" max="33" width="18.26953125" style="1" customWidth="1"/>
    <col min="34" max="34" width="13.7265625" style="1" customWidth="1"/>
    <col min="35" max="35" width="3.453125" style="1" customWidth="1"/>
    <col min="36" max="16384" width="11.453125" style="1"/>
  </cols>
  <sheetData>
    <row r="1" spans="2:35" ht="12" thickBot="1" x14ac:dyDescent="0.3">
      <c r="Q1" s="4"/>
      <c r="AI1" s="4"/>
    </row>
    <row r="2" spans="2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REMUNERACION_ENERBIT!N98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5" x14ac:dyDescent="0.35">
      <c r="B6" s="8"/>
      <c r="C6" s="590" t="s">
        <v>17</v>
      </c>
      <c r="D6" s="9">
        <f>REMUNERACION_ENERBIT!D101</f>
        <v>46282</v>
      </c>
      <c r="F6" s="58" t="str">
        <f>REMUNERACION_ENERBIT!F101</f>
        <v>REPORTE CONSOLIDADO TOTAL DE RECAUDO  // ENERBIT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REMUNERACION_ENERBIT!U101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" thickBot="1" x14ac:dyDescent="0.3">
      <c r="B7" s="8"/>
      <c r="C7" s="590" t="s">
        <v>0</v>
      </c>
      <c r="D7" s="241">
        <f>REMUNERACION_ENERBIT!D102</f>
        <v>0.58333333333333337</v>
      </c>
      <c r="F7" s="2" t="s">
        <v>27</v>
      </c>
      <c r="G7" s="9">
        <f>REMUNERACION_ENERBIT!G102</f>
        <v>46266</v>
      </c>
      <c r="J7" s="2" t="s">
        <v>28</v>
      </c>
      <c r="K7" s="9">
        <f>REMUNERACION_ENERBIT!K102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69.5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1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5">
      <c r="B9" s="14">
        <v>1</v>
      </c>
      <c r="C9" s="61" t="s">
        <v>10</v>
      </c>
      <c r="D9" s="66">
        <f>REMUNERACION_ENERBIT!D104</f>
        <v>0</v>
      </c>
      <c r="E9" s="66">
        <f>REMUNERACION_ENERBIT!E104</f>
        <v>0</v>
      </c>
      <c r="F9" s="66">
        <f>REMUNERACION_ENERBIT!F104</f>
        <v>0</v>
      </c>
      <c r="G9" s="66">
        <f>REMUNERACION_ENERBIT!G104</f>
        <v>0</v>
      </c>
      <c r="H9" s="66">
        <f>REMUNERACION_ENERBIT!H104</f>
        <v>0</v>
      </c>
      <c r="I9" s="66">
        <f>REMUNERACION_ENERBIT!I104</f>
        <v>0</v>
      </c>
      <c r="J9" s="66">
        <f>REMUNERACION_ENERBIT!J104</f>
        <v>0</v>
      </c>
      <c r="K9" s="30">
        <f>D9-E9-F9-G9-H9-I9-J9</f>
        <v>0</v>
      </c>
      <c r="L9" s="66">
        <f>REMUNERACION_ENERBIT!L104</f>
        <v>0</v>
      </c>
      <c r="M9" s="30">
        <f>K9-L9</f>
        <v>0</v>
      </c>
      <c r="N9" s="66">
        <f>REMUNERACION_ENERBIT!N104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REMUNERACION_ENERBIT!U104</f>
        <v>0</v>
      </c>
      <c r="V9" s="66">
        <f>REMUNERACION_ENERBIT!V104</f>
        <v>0</v>
      </c>
      <c r="W9" s="66">
        <f>REMUNERACION_ENERBIT!W104</f>
        <v>0</v>
      </c>
      <c r="X9" s="66">
        <f>REMUNERACION_ENERBIT!X104</f>
        <v>0</v>
      </c>
      <c r="Y9" s="66">
        <f>REMUNERACION_ENERBIT!Y104</f>
        <v>0</v>
      </c>
      <c r="Z9" s="66">
        <f>REMUNERACION_ENERBIT!Z104</f>
        <v>0</v>
      </c>
      <c r="AA9" s="66">
        <f>REMUNERACION_ENERBIT!AA104</f>
        <v>0</v>
      </c>
      <c r="AB9" s="66">
        <f>REMUNERACION_ENERBIT!AB104</f>
        <v>0</v>
      </c>
      <c r="AC9" s="66">
        <f>REMUNERACION_ENERBIT!AC104</f>
        <v>0</v>
      </c>
      <c r="AD9" s="66">
        <f>REMUNERACION_ENERBIT!AD104</f>
        <v>0</v>
      </c>
      <c r="AE9" s="66">
        <f>REMUNERACION_ENERBIT!AE104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x14ac:dyDescent="0.25">
      <c r="B10" s="16">
        <v>2</v>
      </c>
      <c r="C10" s="62" t="s">
        <v>11</v>
      </c>
      <c r="D10" s="66">
        <f>REMUNERACION_ENERBIT!D105</f>
        <v>0</v>
      </c>
      <c r="E10" s="66">
        <f>REMUNERACION_ENERBIT!E105</f>
        <v>0</v>
      </c>
      <c r="F10" s="66">
        <f>REMUNERACION_ENERBIT!F105</f>
        <v>0</v>
      </c>
      <c r="G10" s="66">
        <f>REMUNERACION_ENERBIT!G105</f>
        <v>0</v>
      </c>
      <c r="H10" s="66">
        <f>REMUNERACION_ENERBIT!H105</f>
        <v>0</v>
      </c>
      <c r="I10" s="66">
        <f>REMUNERACION_ENERBIT!I105</f>
        <v>0</v>
      </c>
      <c r="J10" s="66">
        <f>REMUNERACION_ENERBIT!J105</f>
        <v>0</v>
      </c>
      <c r="K10" s="31">
        <f t="shared" ref="K10:K13" si="0">D10-E10-F10-G10-H10-I10-J10</f>
        <v>0</v>
      </c>
      <c r="L10" s="66">
        <f>REMUNERACION_ENERBIT!L105</f>
        <v>0</v>
      </c>
      <c r="M10" s="31">
        <f>K10-L10</f>
        <v>0</v>
      </c>
      <c r="N10" s="66">
        <f>REMUNERACION_ENERBIT!N105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REMUNERACION_ENERBIT!U105</f>
        <v>0</v>
      </c>
      <c r="V10" s="66">
        <f>REMUNERACION_ENERBIT!V105</f>
        <v>0</v>
      </c>
      <c r="W10" s="66">
        <f>REMUNERACION_ENERBIT!W105</f>
        <v>0</v>
      </c>
      <c r="X10" s="66">
        <f>REMUNERACION_ENERBIT!X105</f>
        <v>0</v>
      </c>
      <c r="Y10" s="66">
        <f>REMUNERACION_ENERBIT!Y105</f>
        <v>0</v>
      </c>
      <c r="Z10" s="66">
        <f>REMUNERACION_ENERBIT!Z105</f>
        <v>0</v>
      </c>
      <c r="AA10" s="66">
        <f>REMUNERACION_ENERBIT!AA105</f>
        <v>0</v>
      </c>
      <c r="AB10" s="66">
        <f>REMUNERACION_ENERBIT!AB105</f>
        <v>0</v>
      </c>
      <c r="AC10" s="66">
        <f>REMUNERACION_ENERBIT!AC105</f>
        <v>0</v>
      </c>
      <c r="AD10" s="66">
        <f>REMUNERACION_ENERBIT!AD105</f>
        <v>0</v>
      </c>
      <c r="AE10" s="66">
        <f>REMUNERACION_ENERBIT!AE105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5">
      <c r="B11" s="16">
        <v>3</v>
      </c>
      <c r="C11" s="62" t="s">
        <v>12</v>
      </c>
      <c r="D11" s="723">
        <f>REMUNERACION_ENERBIT!D106</f>
        <v>0</v>
      </c>
      <c r="E11" s="723">
        <f>REMUNERACION_ENERBIT!E106</f>
        <v>0</v>
      </c>
      <c r="F11" s="723">
        <f>REMUNERACION_ENERBIT!F106</f>
        <v>0</v>
      </c>
      <c r="G11" s="723">
        <f>REMUNERACION_ENERBIT!G106</f>
        <v>0</v>
      </c>
      <c r="H11" s="723">
        <f>REMUNERACION_ENERBIT!H106</f>
        <v>0</v>
      </c>
      <c r="I11" s="723">
        <f>REMUNERACION_ENERBIT!I106</f>
        <v>0</v>
      </c>
      <c r="J11" s="723">
        <f>REMUNERACION_ENERBIT!J106</f>
        <v>0</v>
      </c>
      <c r="K11" s="724">
        <f t="shared" si="0"/>
        <v>0</v>
      </c>
      <c r="L11" s="723">
        <f>REMUNERACION_ENERBIT!L106</f>
        <v>0</v>
      </c>
      <c r="M11" s="724">
        <f>K11-L11</f>
        <v>0</v>
      </c>
      <c r="N11" s="723">
        <f>REMUNERACION_ENERBIT!N106</f>
        <v>0</v>
      </c>
      <c r="O11" s="724">
        <f t="shared" si="1"/>
        <v>0</v>
      </c>
      <c r="Q11" s="4"/>
      <c r="S11" s="16">
        <v>3</v>
      </c>
      <c r="T11" s="62" t="s">
        <v>12</v>
      </c>
      <c r="U11" s="723">
        <f>REMUNERACION_ENERBIT!U106</f>
        <v>0</v>
      </c>
      <c r="V11" s="723">
        <f>REMUNERACION_ENERBIT!V106</f>
        <v>0</v>
      </c>
      <c r="W11" s="723">
        <f>REMUNERACION_ENERBIT!W106</f>
        <v>0</v>
      </c>
      <c r="X11" s="723">
        <f>REMUNERACION_ENERBIT!X106</f>
        <v>0</v>
      </c>
      <c r="Y11" s="723">
        <f>REMUNERACION_ENERBIT!Y106</f>
        <v>0</v>
      </c>
      <c r="Z11" s="723">
        <f>REMUNERACION_ENERBIT!Z106</f>
        <v>0</v>
      </c>
      <c r="AA11" s="723">
        <f>REMUNERACION_ENERBIT!AA106</f>
        <v>0</v>
      </c>
      <c r="AB11" s="723">
        <f>REMUNERACION_ENERBIT!AB106</f>
        <v>0</v>
      </c>
      <c r="AC11" s="723">
        <f>REMUNERACION_ENERBIT!AC106</f>
        <v>0</v>
      </c>
      <c r="AD11" s="723">
        <f>REMUNERACION_ENERBIT!AD106</f>
        <v>0</v>
      </c>
      <c r="AE11" s="723">
        <f>REMUNERACION_ENERBIT!AE106</f>
        <v>0</v>
      </c>
      <c r="AF11" s="722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x14ac:dyDescent="0.25">
      <c r="B12" s="16">
        <v>4</v>
      </c>
      <c r="C12" s="62" t="s">
        <v>13</v>
      </c>
      <c r="D12" s="66">
        <f>REMUNERACION_ENERBIT!D107</f>
        <v>0</v>
      </c>
      <c r="E12" s="66">
        <f>REMUNERACION_ENERBIT!E107</f>
        <v>0</v>
      </c>
      <c r="F12" s="66">
        <f>REMUNERACION_ENERBIT!F107</f>
        <v>0</v>
      </c>
      <c r="G12" s="66">
        <f>REMUNERACION_ENERBIT!G107</f>
        <v>0</v>
      </c>
      <c r="H12" s="66">
        <f>REMUNERACION_ENERBIT!H107</f>
        <v>0</v>
      </c>
      <c r="I12" s="66">
        <f>REMUNERACION_ENERBIT!I107</f>
        <v>0</v>
      </c>
      <c r="J12" s="66">
        <f>REMUNERACION_ENERBIT!J107</f>
        <v>0</v>
      </c>
      <c r="K12" s="31">
        <f t="shared" si="0"/>
        <v>0</v>
      </c>
      <c r="L12" s="66">
        <f>REMUNERACION_ENERBIT!L107</f>
        <v>0</v>
      </c>
      <c r="M12" s="31">
        <f>K12-L12</f>
        <v>0</v>
      </c>
      <c r="N12" s="66">
        <f>REMUNERACION_ENERBIT!N107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REMUNERACION_ENERBIT!U107</f>
        <v>0</v>
      </c>
      <c r="V12" s="66">
        <f>REMUNERACION_ENERBIT!V107</f>
        <v>0</v>
      </c>
      <c r="W12" s="66">
        <f>REMUNERACION_ENERBIT!W107</f>
        <v>0</v>
      </c>
      <c r="X12" s="66">
        <f>REMUNERACION_ENERBIT!X107</f>
        <v>0</v>
      </c>
      <c r="Y12" s="66">
        <f>REMUNERACION_ENERBIT!Y107</f>
        <v>0</v>
      </c>
      <c r="Z12" s="66">
        <f>REMUNERACION_ENERBIT!Z107</f>
        <v>0</v>
      </c>
      <c r="AA12" s="66">
        <f>REMUNERACION_ENERBIT!AA107</f>
        <v>0</v>
      </c>
      <c r="AB12" s="66">
        <f>REMUNERACION_ENERBIT!AB107</f>
        <v>0</v>
      </c>
      <c r="AC12" s="66">
        <f>REMUNERACION_ENERBIT!AC107</f>
        <v>0</v>
      </c>
      <c r="AD12" s="66">
        <f>REMUNERACION_ENERBIT!AD107</f>
        <v>0</v>
      </c>
      <c r="AE12" s="66">
        <f>REMUNERACION_ENERBIT!AE107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" thickBot="1" x14ac:dyDescent="0.3">
      <c r="B13" s="19">
        <v>5</v>
      </c>
      <c r="C13" s="63" t="s">
        <v>14</v>
      </c>
      <c r="D13" s="66">
        <f>REMUNERACION_ENERBIT!D108</f>
        <v>137170902</v>
      </c>
      <c r="E13" s="66">
        <f>REMUNERACION_ENERBIT!E108</f>
        <v>8742692.4100000001</v>
      </c>
      <c r="F13" s="66">
        <f>REMUNERACION_ENERBIT!F108</f>
        <v>4875107.3</v>
      </c>
      <c r="G13" s="66">
        <f>REMUNERACION_ENERBIT!G108</f>
        <v>2601178.42</v>
      </c>
      <c r="H13" s="66">
        <f>REMUNERACION_ENERBIT!H108</f>
        <v>34828590.310000002</v>
      </c>
      <c r="I13" s="66">
        <f>REMUNERACION_ENERBIT!I108</f>
        <v>1248070.6599999999</v>
      </c>
      <c r="J13" s="66">
        <f>REMUNERACION_ENERBIT!J108</f>
        <v>0</v>
      </c>
      <c r="K13" s="31">
        <f t="shared" si="0"/>
        <v>84875262.900000006</v>
      </c>
      <c r="L13" s="66">
        <f>REMUNERACION_ENERBIT!L108</f>
        <v>0</v>
      </c>
      <c r="M13" s="40">
        <f>K13-L13</f>
        <v>84875262.900000006</v>
      </c>
      <c r="N13" s="66">
        <f>REMUNERACION_ENERBIT!N108</f>
        <v>0</v>
      </c>
      <c r="O13" s="40">
        <f t="shared" si="1"/>
        <v>84875262.900000006</v>
      </c>
      <c r="Q13" s="4"/>
      <c r="S13" s="19">
        <v>5</v>
      </c>
      <c r="T13" s="63" t="s">
        <v>14</v>
      </c>
      <c r="U13" s="66">
        <f>REMUNERACION_ENERBIT!U108</f>
        <v>10923976.050000001</v>
      </c>
      <c r="V13" s="66">
        <f>REMUNERACION_ENERBIT!V108</f>
        <v>10791847.6</v>
      </c>
      <c r="W13" s="66">
        <f>REMUNERACION_ENERBIT!W108</f>
        <v>55071465.420000002</v>
      </c>
      <c r="X13" s="66">
        <f>REMUNERACION_ENERBIT!X108</f>
        <v>26210306.420000002</v>
      </c>
      <c r="Y13" s="66">
        <f>REMUNERACION_ENERBIT!Y108</f>
        <v>2042410.35</v>
      </c>
      <c r="Z13" s="66">
        <f>REMUNERACION_ENERBIT!Z108</f>
        <v>0</v>
      </c>
      <c r="AA13" s="66">
        <f>REMUNERACION_ENERBIT!AA108</f>
        <v>-1404.48</v>
      </c>
      <c r="AB13" s="66">
        <f>REMUNERACION_ENERBIT!AB108</f>
        <v>0</v>
      </c>
      <c r="AC13" s="66">
        <f>REMUNERACION_ENERBIT!AC108</f>
        <v>0</v>
      </c>
      <c r="AD13" s="66">
        <f>REMUNERACION_ENERBIT!AD108</f>
        <v>-20163338.460000001</v>
      </c>
      <c r="AE13" s="66">
        <f>REMUNERACION_ENERBIT!AE108</f>
        <v>-20163338.460000001</v>
      </c>
      <c r="AF13" s="70">
        <f>SUM(U13:AD13)</f>
        <v>84875262.899999976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35">
      <c r="B14" s="21"/>
      <c r="C14" s="22" t="s">
        <v>2</v>
      </c>
      <c r="D14" s="43">
        <f t="shared" ref="D14:O14" si="3">SUM(D9:D13)</f>
        <v>137170902</v>
      </c>
      <c r="E14" s="43">
        <f t="shared" si="3"/>
        <v>8742692.4100000001</v>
      </c>
      <c r="F14" s="43">
        <f t="shared" si="3"/>
        <v>4875107.3</v>
      </c>
      <c r="G14" s="43">
        <f t="shared" si="3"/>
        <v>2601178.42</v>
      </c>
      <c r="H14" s="43">
        <f t="shared" si="3"/>
        <v>34828590.310000002</v>
      </c>
      <c r="I14" s="43">
        <f t="shared" si="3"/>
        <v>1248070.6599999999</v>
      </c>
      <c r="J14" s="43">
        <f t="shared" si="3"/>
        <v>0</v>
      </c>
      <c r="K14" s="32">
        <f t="shared" si="3"/>
        <v>84875262.900000006</v>
      </c>
      <c r="L14" s="23">
        <f t="shared" si="3"/>
        <v>0</v>
      </c>
      <c r="M14" s="76">
        <f t="shared" si="3"/>
        <v>84875262.900000006</v>
      </c>
      <c r="N14" s="23">
        <f t="shared" si="3"/>
        <v>0</v>
      </c>
      <c r="O14" s="76">
        <f t="shared" si="3"/>
        <v>84875262.900000006</v>
      </c>
      <c r="P14" s="2"/>
      <c r="Q14" s="4"/>
      <c r="S14" s="21"/>
      <c r="T14" s="22" t="s">
        <v>2</v>
      </c>
      <c r="U14" s="43">
        <f>SUM(U9:U13)</f>
        <v>10923976.050000001</v>
      </c>
      <c r="V14" s="43">
        <f t="shared" ref="V14:AG14" si="4">SUM(V9:V13)</f>
        <v>10791847.6</v>
      </c>
      <c r="W14" s="43">
        <f t="shared" si="4"/>
        <v>55071465.420000002</v>
      </c>
      <c r="X14" s="43">
        <f t="shared" si="4"/>
        <v>26210306.420000002</v>
      </c>
      <c r="Y14" s="43">
        <f t="shared" si="4"/>
        <v>2042410.35</v>
      </c>
      <c r="Z14" s="43">
        <f t="shared" si="4"/>
        <v>0</v>
      </c>
      <c r="AA14" s="43">
        <f t="shared" si="4"/>
        <v>-1404.48</v>
      </c>
      <c r="AB14" s="43">
        <f t="shared" si="4"/>
        <v>0</v>
      </c>
      <c r="AC14" s="43">
        <f t="shared" si="4"/>
        <v>0</v>
      </c>
      <c r="AD14" s="43">
        <f t="shared" si="4"/>
        <v>-20163338.460000001</v>
      </c>
      <c r="AE14" s="43">
        <f>SUM(AE9:AE13)</f>
        <v>-20163338.460000001</v>
      </c>
      <c r="AF14" s="68">
        <f t="shared" si="4"/>
        <v>84875262.899999976</v>
      </c>
      <c r="AG14" s="43">
        <f t="shared" si="4"/>
        <v>0</v>
      </c>
      <c r="AH14" s="1" t="b">
        <f t="shared" si="2"/>
        <v>1</v>
      </c>
      <c r="AI14" s="4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105040005.83999999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3">
      <c r="Q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4" x14ac:dyDescent="0.3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REMUNERACION_ENERBIT!M117</f>
        <v>2026091</v>
      </c>
      <c r="O22" s="10"/>
      <c r="P22" s="2"/>
      <c r="Q22" s="4"/>
    </row>
    <row r="23" spans="1:35" ht="15.5" x14ac:dyDescent="0.3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5">
      <c r="B25" s="8"/>
      <c r="I25" s="2"/>
      <c r="J25" s="2"/>
      <c r="O25" s="10"/>
      <c r="P25" s="2"/>
      <c r="Q25" s="4"/>
    </row>
    <row r="26" spans="1:35" ht="15.5" x14ac:dyDescent="0.3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5">
      <c r="B27" s="8"/>
      <c r="F27" s="2" t="s">
        <v>27</v>
      </c>
      <c r="G27" s="2"/>
      <c r="H27" s="9">
        <f>REMUNERACION_ENERBIT!G122</f>
        <v>46266</v>
      </c>
      <c r="J27" s="2" t="s">
        <v>28</v>
      </c>
      <c r="K27" s="9">
        <f>REMUNERACION_ENERBIT!K122</f>
        <v>46280</v>
      </c>
      <c r="O27" s="10"/>
      <c r="P27" s="2"/>
      <c r="Q27" s="4"/>
    </row>
    <row r="28" spans="1:35" ht="12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6.5" thickBot="1" x14ac:dyDescent="0.3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x14ac:dyDescent="0.25">
      <c r="B30" s="108">
        <v>1</v>
      </c>
      <c r="C30" s="109" t="s">
        <v>10</v>
      </c>
      <c r="D30" s="110">
        <f>REMUNERACION_ENERBIT!D125</f>
        <v>0</v>
      </c>
      <c r="E30" s="111">
        <f>REMUNERACION_ENERBIT!E125</f>
        <v>0</v>
      </c>
      <c r="G30" s="338">
        <f>REMUNERACION_ENERBIT!G125</f>
        <v>0</v>
      </c>
      <c r="H30" s="312">
        <f>REMUNERACION_ENERBIT!H125</f>
        <v>0</v>
      </c>
      <c r="I30" s="311">
        <f>REMUNERACION_ENERBIT!I125</f>
        <v>0</v>
      </c>
      <c r="J30" s="311">
        <f>REMUNERACION_ENERBIT!J125</f>
        <v>0</v>
      </c>
      <c r="K30" s="311">
        <f>REMUNERACION_ENERBIT!K125</f>
        <v>0</v>
      </c>
      <c r="L30" s="311">
        <f>REMUNERACION_ENERBIT!L125</f>
        <v>0</v>
      </c>
      <c r="O30" s="44"/>
      <c r="Q30" s="4"/>
    </row>
    <row r="31" spans="1:35" x14ac:dyDescent="0.25">
      <c r="B31" s="16">
        <v>2</v>
      </c>
      <c r="C31" s="17" t="s">
        <v>11</v>
      </c>
      <c r="D31" s="15">
        <f>REMUNERACION_ENERBIT!D126</f>
        <v>0</v>
      </c>
      <c r="E31" s="74">
        <f>REMUNERACION_ENERBIT!E126</f>
        <v>0</v>
      </c>
      <c r="G31" s="341">
        <f>REMUNERACION_ENERBIT!G126</f>
        <v>0</v>
      </c>
      <c r="H31" s="342">
        <f>REMUNERACION_ENERBIT!H126</f>
        <v>0</v>
      </c>
      <c r="I31" s="290">
        <f>REMUNERACION_ENERBIT!I126</f>
        <v>0</v>
      </c>
      <c r="J31" s="290">
        <f>REMUNERACION_ENERBIT!J126</f>
        <v>0</v>
      </c>
      <c r="K31" s="290">
        <f>REMUNERACION_ENERBIT!K126</f>
        <v>0</v>
      </c>
      <c r="L31" s="290">
        <f>REMUNERACION_ENERBIT!L126</f>
        <v>0</v>
      </c>
      <c r="O31" s="44"/>
      <c r="Q31" s="4"/>
    </row>
    <row r="32" spans="1:35" x14ac:dyDescent="0.25">
      <c r="B32" s="16">
        <v>3</v>
      </c>
      <c r="C32" s="17" t="s">
        <v>12</v>
      </c>
      <c r="D32" s="15">
        <f>REMUNERACION_ENERBIT!D127</f>
        <v>0</v>
      </c>
      <c r="E32" s="74">
        <f>REMUNERACION_ENERBIT!E127</f>
        <v>0</v>
      </c>
      <c r="G32" s="341">
        <f>REMUNERACION_ENERBIT!G127</f>
        <v>0</v>
      </c>
      <c r="H32" s="342">
        <f>REMUNERACION_ENERBIT!H127</f>
        <v>0</v>
      </c>
      <c r="I32" s="290">
        <f>REMUNERACION_ENERBIT!I127</f>
        <v>0</v>
      </c>
      <c r="J32" s="290">
        <f>REMUNERACION_ENERBIT!J127</f>
        <v>0</v>
      </c>
      <c r="K32" s="290">
        <f>REMUNERACION_ENERBIT!K127</f>
        <v>0</v>
      </c>
      <c r="L32" s="290">
        <f>REMUNERACION_ENERBIT!L127</f>
        <v>0</v>
      </c>
      <c r="O32" s="44"/>
      <c r="Q32" s="4"/>
    </row>
    <row r="33" spans="1:20" x14ac:dyDescent="0.25">
      <c r="B33" s="16">
        <v>4</v>
      </c>
      <c r="C33" s="17" t="s">
        <v>13</v>
      </c>
      <c r="D33" s="15">
        <f>REMUNERACION_ENERBIT!D128</f>
        <v>0</v>
      </c>
      <c r="E33" s="74">
        <f>REMUNERACION_ENERBIT!E128</f>
        <v>0</v>
      </c>
      <c r="G33" s="341">
        <f>REMUNERACION_ENERBIT!G128</f>
        <v>0</v>
      </c>
      <c r="H33" s="342">
        <f>REMUNERACION_ENERBIT!H128</f>
        <v>0</v>
      </c>
      <c r="I33" s="290">
        <f>REMUNERACION_ENERBIT!I128</f>
        <v>0</v>
      </c>
      <c r="J33" s="290">
        <f>REMUNERACION_ENERBIT!J128</f>
        <v>0</v>
      </c>
      <c r="K33" s="290">
        <f>REMUNERACION_ENERBIT!K128</f>
        <v>0</v>
      </c>
      <c r="L33" s="290">
        <f>REMUNERACION_ENERBIT!L128</f>
        <v>0</v>
      </c>
      <c r="O33" s="44"/>
      <c r="Q33" s="4"/>
    </row>
    <row r="34" spans="1:20" x14ac:dyDescent="0.25">
      <c r="B34" s="133">
        <v>5</v>
      </c>
      <c r="C34" s="138" t="s">
        <v>14</v>
      </c>
      <c r="D34" s="135">
        <f>REMUNERACION_ENERBIT!D129</f>
        <v>1379910</v>
      </c>
      <c r="E34" s="139">
        <f>REMUNERACION_ENERBIT!E129</f>
        <v>0</v>
      </c>
      <c r="G34" s="341">
        <f>REMUNERACION_ENERBIT!G129</f>
        <v>0</v>
      </c>
      <c r="H34" s="342">
        <f>REMUNERACION_ENERBIT!H129</f>
        <v>0</v>
      </c>
      <c r="I34" s="290">
        <f>REMUNERACION_ENERBIT!I129</f>
        <v>0</v>
      </c>
      <c r="J34" s="290">
        <f>REMUNERACION_ENERBIT!J129</f>
        <v>0</v>
      </c>
      <c r="K34" s="290">
        <f>REMUNERACION_ENERBIT!K129</f>
        <v>0</v>
      </c>
      <c r="L34" s="290">
        <f>REMUNERACION_ENERBIT!L129</f>
        <v>0</v>
      </c>
      <c r="O34" s="44"/>
      <c r="Q34" s="4"/>
    </row>
    <row r="35" spans="1:20" ht="12" thickBot="1" x14ac:dyDescent="0.3">
      <c r="B35" s="19" t="s">
        <v>89</v>
      </c>
      <c r="C35" s="20" t="s">
        <v>113</v>
      </c>
      <c r="D35" s="78"/>
      <c r="E35" s="79">
        <f>REMUNERACION_ENERBIT!E130</f>
        <v>0</v>
      </c>
      <c r="G35" s="348"/>
      <c r="H35" s="349"/>
      <c r="I35" s="291"/>
      <c r="J35" s="291"/>
      <c r="K35" s="291"/>
      <c r="L35" s="291"/>
      <c r="O35" s="44"/>
      <c r="Q35" s="4"/>
    </row>
    <row r="36" spans="1:20" ht="12" thickBot="1" x14ac:dyDescent="0.3">
      <c r="B36" s="95"/>
      <c r="C36" s="106" t="s">
        <v>2</v>
      </c>
      <c r="D36" s="107">
        <f t="shared" ref="D36" si="5">SUM(D30:D34)</f>
        <v>1379910</v>
      </c>
      <c r="E36" s="107">
        <f>REMUNERACION_ENERBIT!E131</f>
        <v>0</v>
      </c>
      <c r="F36" s="45"/>
      <c r="G36" s="352">
        <f t="shared" ref="G36:L36" si="6">SUM(G30:G34)</f>
        <v>0</v>
      </c>
      <c r="H36" s="352">
        <f t="shared" si="6"/>
        <v>0</v>
      </c>
      <c r="I36" s="352">
        <f t="shared" si="6"/>
        <v>0</v>
      </c>
      <c r="J36" s="352">
        <f t="shared" si="6"/>
        <v>0</v>
      </c>
      <c r="K36" s="352">
        <f t="shared" si="6"/>
        <v>0</v>
      </c>
      <c r="L36" s="352">
        <f t="shared" si="6"/>
        <v>0</v>
      </c>
      <c r="M36" s="45"/>
      <c r="N36" s="45"/>
      <c r="O36" s="46"/>
      <c r="P36" s="2"/>
      <c r="Q36" s="4"/>
    </row>
    <row r="37" spans="1:20" x14ac:dyDescent="0.25">
      <c r="B37" s="2"/>
      <c r="C37" s="2"/>
      <c r="D37" s="24"/>
      <c r="Q37" s="4"/>
    </row>
    <row r="38" spans="1:20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5">
      <c r="N42" s="24"/>
      <c r="O42" s="24"/>
      <c r="Q42" s="24"/>
      <c r="T42" s="24"/>
    </row>
    <row r="43" spans="1:20" x14ac:dyDescent="0.25">
      <c r="N43" s="24"/>
      <c r="O43" s="24"/>
      <c r="Q43" s="24"/>
      <c r="T43" s="24"/>
    </row>
    <row r="44" spans="1:20" x14ac:dyDescent="0.25">
      <c r="N44" s="24"/>
      <c r="O44" s="24"/>
      <c r="Q44" s="24"/>
      <c r="T44" s="24"/>
    </row>
    <row r="45" spans="1:20" x14ac:dyDescent="0.25">
      <c r="D45" s="269" t="b">
        <f>D14=REMUNERACION_ENERBIT!D109</f>
        <v>1</v>
      </c>
      <c r="E45" s="269" t="b">
        <f>E14=REMUNERACION_ENERBIT!E109</f>
        <v>1</v>
      </c>
      <c r="F45" s="269" t="b">
        <f>F14=REMUNERACION_ENERBIT!F109</f>
        <v>1</v>
      </c>
      <c r="G45" s="269" t="b">
        <f>G14=REMUNERACION_ENERBIT!G109</f>
        <v>1</v>
      </c>
      <c r="H45" s="269" t="b">
        <f>H14=REMUNERACION_ENERBIT!H109</f>
        <v>1</v>
      </c>
      <c r="I45" s="269" t="b">
        <f>I14=REMUNERACION_ENERBIT!I109</f>
        <v>1</v>
      </c>
      <c r="J45" s="269" t="b">
        <f>J14=REMUNERACION_ENERBIT!J109</f>
        <v>1</v>
      </c>
      <c r="K45" s="269" t="b">
        <f>K14=REMUNERACION_ENERBIT!K109</f>
        <v>1</v>
      </c>
      <c r="L45" s="269" t="b">
        <f>L14=REMUNERACION_ENERBIT!L109</f>
        <v>1</v>
      </c>
      <c r="M45" s="269" t="b">
        <f>M14=REMUNERACION_ENERBIT!M109</f>
        <v>1</v>
      </c>
      <c r="N45" s="269" t="b">
        <f>N14=REMUNERACION_ENERBIT!N109</f>
        <v>1</v>
      </c>
      <c r="O45" s="269" t="b">
        <f>O14=REMUNERACION_ENERBIT!O109</f>
        <v>1</v>
      </c>
      <c r="Q45" s="24"/>
      <c r="T45" s="24"/>
    </row>
    <row r="46" spans="1:20" x14ac:dyDescent="0.25">
      <c r="D46" s="269" t="b">
        <f>D36=REMUNERACION_ENERBIT!D131</f>
        <v>1</v>
      </c>
      <c r="E46" s="269" t="b">
        <f>E36=REMUNERACION_ENERBIT!E131</f>
        <v>1</v>
      </c>
      <c r="F46" s="269" t="b">
        <f>F36=REMUNERACION_ENERBIT!F131</f>
        <v>1</v>
      </c>
      <c r="G46" s="269" t="b">
        <f>G36=REMUNERACION_ENERBIT!G131</f>
        <v>1</v>
      </c>
      <c r="H46" s="269" t="b">
        <f>H36=REMUNERACION_ENERBIT!H131</f>
        <v>1</v>
      </c>
      <c r="I46" s="269" t="b">
        <f>I36=REMUNERACION_ENERBIT!I131</f>
        <v>1</v>
      </c>
      <c r="J46" s="269" t="b">
        <f>J36=REMUNERACION_ENERBIT!J131</f>
        <v>1</v>
      </c>
      <c r="K46" s="269" t="b">
        <f>K36=REMUNERACION_ENERBIT!K131</f>
        <v>1</v>
      </c>
      <c r="L46" s="269" t="b">
        <f>L36=REMUNERACION_ENERBIT!L131</f>
        <v>1</v>
      </c>
      <c r="M46" s="269" t="b">
        <f>M36=REMUNERACION_ENERBIT!M131</f>
        <v>1</v>
      </c>
      <c r="N46" s="269" t="b">
        <f>N36=REMUNERACION_ENERBIT!N131</f>
        <v>1</v>
      </c>
      <c r="O46" s="269" t="b">
        <f>O36=REMUNERACION_ENERBIT!O131</f>
        <v>1</v>
      </c>
      <c r="Q46" s="24"/>
      <c r="T46" s="24"/>
    </row>
    <row r="47" spans="1:20" x14ac:dyDescent="0.25">
      <c r="N47" s="24"/>
      <c r="O47" s="24"/>
      <c r="Q47" s="24"/>
      <c r="T47" s="24"/>
    </row>
    <row r="48" spans="1:20" x14ac:dyDescent="0.25">
      <c r="N48" s="24"/>
      <c r="O48" s="24"/>
      <c r="Q48" s="24"/>
      <c r="T48" s="24"/>
    </row>
    <row r="49" spans="14:20" x14ac:dyDescent="0.25">
      <c r="N49" s="24"/>
      <c r="O49" s="24"/>
      <c r="Q49" s="24"/>
      <c r="T49" s="24"/>
    </row>
    <row r="50" spans="14:20" x14ac:dyDescent="0.25">
      <c r="N50" s="24"/>
      <c r="O50" s="24"/>
      <c r="Q50" s="24"/>
      <c r="T50" s="24"/>
    </row>
    <row r="51" spans="14:20" x14ac:dyDescent="0.25">
      <c r="Q51" s="24"/>
      <c r="T51" s="24"/>
    </row>
    <row r="52" spans="14:20" x14ac:dyDescent="0.25">
      <c r="Q52" s="24"/>
    </row>
  </sheetData>
  <conditionalFormatting sqref="AH9:AH14">
    <cfRule type="cellIs" dxfId="30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  <pageSetUpPr fitToPage="1"/>
  </sheetPr>
  <dimension ref="A1:AJ165"/>
  <sheetViews>
    <sheetView topLeftCell="A95" zoomScaleNormal="100" workbookViewId="0">
      <selection activeCell="A95" sqref="A95"/>
    </sheetView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7265625" style="1" customWidth="1"/>
    <col min="4" max="4" width="15.26953125" style="1" customWidth="1"/>
    <col min="5" max="5" width="16" style="1" customWidth="1"/>
    <col min="6" max="7" width="14.7265625" style="1" customWidth="1"/>
    <col min="8" max="9" width="16" style="1" customWidth="1"/>
    <col min="10" max="10" width="15.54296875" style="1" customWidth="1"/>
    <col min="11" max="11" width="17.54296875" style="1" customWidth="1"/>
    <col min="12" max="12" width="20" style="1" bestFit="1" customWidth="1"/>
    <col min="13" max="13" width="21" style="1" bestFit="1" customWidth="1"/>
    <col min="14" max="14" width="15.26953125" style="1" customWidth="1"/>
    <col min="15" max="15" width="16.7265625" style="1" customWidth="1"/>
    <col min="16" max="16" width="3.7265625" style="1" customWidth="1"/>
    <col min="17" max="17" width="2.7265625" style="1" customWidth="1"/>
    <col min="18" max="18" width="4.54296875" style="1" customWidth="1"/>
    <col min="19" max="19" width="11.26953125" style="1" customWidth="1"/>
    <col min="20" max="20" width="37.54296875" style="1" bestFit="1" customWidth="1"/>
    <col min="21" max="21" width="19.26953125" style="1" customWidth="1"/>
    <col min="22" max="22" width="17.7265625" style="1" customWidth="1"/>
    <col min="23" max="23" width="16.453125" style="1" customWidth="1"/>
    <col min="24" max="24" width="17.26953125" style="1" customWidth="1"/>
    <col min="25" max="25" width="15.7265625" style="1" customWidth="1"/>
    <col min="26" max="26" width="16" style="1" customWidth="1"/>
    <col min="27" max="27" width="15" style="1" customWidth="1"/>
    <col min="28" max="29" width="16.7265625" style="1" customWidth="1"/>
    <col min="30" max="31" width="15.453125" style="1" customWidth="1"/>
    <col min="32" max="32" width="16.26953125" style="1" customWidth="1"/>
    <col min="33" max="33" width="18.26953125" style="1" customWidth="1"/>
    <col min="34" max="34" width="13.7265625" style="1" customWidth="1"/>
    <col min="35" max="35" width="3.453125" style="1" customWidth="1"/>
    <col min="36" max="36" width="13.7265625" style="1" bestFit="1" customWidth="1"/>
    <col min="37" max="16384" width="11.453125" style="1"/>
  </cols>
  <sheetData>
    <row r="1" spans="2:35" ht="12" thickBot="1" x14ac:dyDescent="0.3">
      <c r="Q1" s="4"/>
      <c r="AI1" s="4"/>
    </row>
    <row r="2" spans="2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5" x14ac:dyDescent="0.35">
      <c r="B6" s="8"/>
      <c r="C6" s="590" t="s">
        <v>17</v>
      </c>
      <c r="D6" s="9">
        <f>'CONSOLIDADO_TOTAL RECAUDO'!D6</f>
        <v>46282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" thickBot="1" x14ac:dyDescent="0.3">
      <c r="B7" s="8"/>
      <c r="C7" s="590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" customHeight="1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21" t="s">
        <v>107</v>
      </c>
      <c r="AE8" s="121" t="s">
        <v>223</v>
      </c>
      <c r="AF8" s="39" t="s">
        <v>23</v>
      </c>
      <c r="AG8" s="13"/>
      <c r="AI8" s="4"/>
    </row>
    <row r="9" spans="2:35" s="307" customFormat="1" x14ac:dyDescent="0.25">
      <c r="B9" s="305">
        <v>1</v>
      </c>
      <c r="C9" s="306" t="s">
        <v>10</v>
      </c>
      <c r="D9" s="293">
        <f>'Reporte Componentes R1'!F67</f>
        <v>524796984.15999997</v>
      </c>
      <c r="E9" s="294">
        <f>'Reporte Componentes R1'!G67</f>
        <v>51063467.640000001</v>
      </c>
      <c r="F9" s="294">
        <f>'Reporte Componentes R1'!H67</f>
        <v>27940051.439999998</v>
      </c>
      <c r="G9" s="294">
        <f>'Reporte Componentes R1'!I67</f>
        <v>14591540.52</v>
      </c>
      <c r="H9" s="294">
        <f>'Reporte Componentes R1'!J67</f>
        <v>42749905.840000004</v>
      </c>
      <c r="I9" s="294">
        <f>'Reporte Componentes R1'!K67</f>
        <v>1521388.77</v>
      </c>
      <c r="J9" s="290">
        <v>0</v>
      </c>
      <c r="K9" s="295">
        <f>D9-E9-F9-G9-H9-I9-J9</f>
        <v>386930629.95000005</v>
      </c>
      <c r="L9" s="296">
        <v>0</v>
      </c>
      <c r="M9" s="295">
        <f>K9-L9</f>
        <v>386930629.95000005</v>
      </c>
      <c r="N9" s="296">
        <f>'Reporte Componentes R1'!L67</f>
        <v>1790178.35</v>
      </c>
      <c r="O9" s="295">
        <f>M9+N9</f>
        <v>388720808.30000007</v>
      </c>
      <c r="Q9" s="308"/>
      <c r="S9" s="305">
        <v>1</v>
      </c>
      <c r="T9" s="306" t="s">
        <v>10</v>
      </c>
      <c r="U9" s="309">
        <f>'Reporte Componentes R1'!M67</f>
        <v>13354583.93</v>
      </c>
      <c r="V9" s="310">
        <f>'Reporte Componentes R1'!N67</f>
        <v>15350694.129999999</v>
      </c>
      <c r="W9" s="310">
        <f>'Reporte Componentes R1'!O67</f>
        <v>70922141.169999987</v>
      </c>
      <c r="X9" s="310">
        <f>'Reporte Componentes R1'!P67</f>
        <v>139756884.54999998</v>
      </c>
      <c r="Y9" s="311">
        <f>'Reporte Componentes R1'!Q67</f>
        <v>2483383.6800000002</v>
      </c>
      <c r="Z9" s="312">
        <f>L9*-1</f>
        <v>0</v>
      </c>
      <c r="AA9" s="313">
        <f>'Reporte Componentes R1'!R67+'Reporte Componentes R1'!V67+'Reporte Componentes R1'!U67</f>
        <v>-681.1</v>
      </c>
      <c r="AB9" s="296">
        <f>N9</f>
        <v>1790178.35</v>
      </c>
      <c r="AC9" s="313">
        <f>'Reporte Componentes R1'!T67+'Reporte Componentes R1'!W67+'Reporte Componentes R1'!X67+'Reporte Componentes R1'!Y67+'Reporte Componentes R1'!Z67+'Reporte Componentes R1'!S67</f>
        <v>355.46999999999997</v>
      </c>
      <c r="AD9" s="293">
        <f>-J9+AE9</f>
        <v>145056159.28999999</v>
      </c>
      <c r="AE9" s="293">
        <f>'Reporte Componentes R1'!F68</f>
        <v>145056159.28999999</v>
      </c>
      <c r="AF9" s="315">
        <f>SUM(U9:AD9)</f>
        <v>388713699.46999997</v>
      </c>
      <c r="AG9" s="313">
        <f>(AF9-O9)</f>
        <v>-7108.83000010252</v>
      </c>
      <c r="AH9" s="1" t="b">
        <f>INT(AG9)=0</f>
        <v>0</v>
      </c>
      <c r="AI9" s="308"/>
    </row>
    <row r="10" spans="2:35" s="307" customFormat="1" x14ac:dyDescent="0.25">
      <c r="B10" s="316">
        <v>2</v>
      </c>
      <c r="C10" s="317" t="s">
        <v>11</v>
      </c>
      <c r="D10" s="293">
        <f>'Reporte Componentes R1'!F201</f>
        <v>1339528937.8599999</v>
      </c>
      <c r="E10" s="294">
        <f>'Reporte Componentes R1'!G201</f>
        <v>158905925.31</v>
      </c>
      <c r="F10" s="294">
        <f>'Reporte Componentes R1'!H201</f>
        <v>85766861.510000005</v>
      </c>
      <c r="G10" s="294">
        <f>'Reporte Componentes R1'!I201</f>
        <v>45917109.620000005</v>
      </c>
      <c r="H10" s="294">
        <f>'Reporte Componentes R1'!J201</f>
        <v>150612820.47</v>
      </c>
      <c r="I10" s="294">
        <f>'Reporte Componentes R1'!K201</f>
        <v>3958102.39</v>
      </c>
      <c r="J10" s="290">
        <v>0</v>
      </c>
      <c r="K10" s="297">
        <f t="shared" ref="K10:K13" si="0">D10-E10-F10-G10-H10-I10-J10</f>
        <v>894368118.55999994</v>
      </c>
      <c r="L10" s="296">
        <v>0</v>
      </c>
      <c r="M10" s="297">
        <f>K10-L10</f>
        <v>894368118.55999994</v>
      </c>
      <c r="N10" s="296">
        <f>'Reporte Componentes R1'!L201</f>
        <v>30632060.390000001</v>
      </c>
      <c r="O10" s="297">
        <f t="shared" ref="O10:O12" si="1">M10+N10</f>
        <v>925000178.94999993</v>
      </c>
      <c r="Q10" s="308"/>
      <c r="S10" s="316">
        <v>2</v>
      </c>
      <c r="T10" s="317" t="s">
        <v>11</v>
      </c>
      <c r="U10" s="318">
        <f>'Reporte Componentes R1'!M201</f>
        <v>34702359.989999995</v>
      </c>
      <c r="V10" s="319">
        <f>'Reporte Componentes R1'!N201</f>
        <v>47117898.240000002</v>
      </c>
      <c r="W10" s="319">
        <f>'Reporte Componentes R1'!O201</f>
        <v>223803503.67000002</v>
      </c>
      <c r="X10" s="319">
        <f>'Reporte Componentes R1'!P201</f>
        <v>316828766.98000002</v>
      </c>
      <c r="Y10" s="320">
        <f>'Reporte Componentes R1'!Q201</f>
        <v>6503668.2600000007</v>
      </c>
      <c r="Z10" s="321">
        <f>L10*-1</f>
        <v>0</v>
      </c>
      <c r="AA10" s="322">
        <f>'Reporte Componentes R1'!R201+'Reporte Componentes R1'!V201+'Reporte Componentes R1'!U201</f>
        <v>-866.04</v>
      </c>
      <c r="AB10" s="296">
        <f>N10</f>
        <v>30632060.390000001</v>
      </c>
      <c r="AC10" s="322">
        <f>'Reporte Componentes R1'!T201+'Reporte Componentes R1'!W201+'Reporte Componentes R1'!X201+'Reporte Componentes R1'!Y201+'Reporte Componentes R1'!Z201+'Reporte Componentes R1'!S201</f>
        <v>-56774.32</v>
      </c>
      <c r="AD10" s="293">
        <f t="shared" ref="AD10:AD13" si="2">-J10+AE10</f>
        <v>265469561.78</v>
      </c>
      <c r="AE10" s="293">
        <f>'Reporte Componentes R1'!F202</f>
        <v>265469561.78</v>
      </c>
      <c r="AF10" s="324">
        <f>SUM(U10:AD10)</f>
        <v>925000178.94999993</v>
      </c>
      <c r="AG10" s="325">
        <f>(AF10-O10)</f>
        <v>0</v>
      </c>
      <c r="AH10" s="1" t="b">
        <f t="shared" ref="AH10:AH14" si="3">INT(AG10)=0</f>
        <v>1</v>
      </c>
      <c r="AI10" s="308"/>
    </row>
    <row r="11" spans="2:35" s="307" customFormat="1" x14ac:dyDescent="0.25">
      <c r="B11" s="316">
        <v>3</v>
      </c>
      <c r="C11" s="317" t="s">
        <v>12</v>
      </c>
      <c r="D11" s="293">
        <f>'Reporte Componentes R1'!F345</f>
        <v>683985068.17999995</v>
      </c>
      <c r="E11" s="294">
        <f>'Reporte Componentes R1'!G345</f>
        <v>81226338.620000005</v>
      </c>
      <c r="F11" s="294">
        <f>'Reporte Componentes R1'!H345</f>
        <v>45313986.990000002</v>
      </c>
      <c r="G11" s="294">
        <f>'Reporte Componentes R1'!I345</f>
        <v>23962560.170000002</v>
      </c>
      <c r="H11" s="294">
        <f>'Reporte Componentes R1'!J345</f>
        <v>27884825.619999997</v>
      </c>
      <c r="I11" s="294">
        <f>'Reporte Componentes R1'!K345</f>
        <v>865442.97</v>
      </c>
      <c r="J11" s="290">
        <v>0</v>
      </c>
      <c r="K11" s="297">
        <f t="shared" si="0"/>
        <v>504731913.80999988</v>
      </c>
      <c r="L11" s="296">
        <v>0</v>
      </c>
      <c r="M11" s="297">
        <f>K11-L11</f>
        <v>504731913.80999988</v>
      </c>
      <c r="N11" s="296">
        <f>'Reporte Componentes R1'!L345</f>
        <v>12116788.82</v>
      </c>
      <c r="O11" s="297">
        <f t="shared" si="1"/>
        <v>516848702.62999988</v>
      </c>
      <c r="Q11" s="308"/>
      <c r="S11" s="316">
        <v>3</v>
      </c>
      <c r="T11" s="317" t="s">
        <v>12</v>
      </c>
      <c r="U11" s="318">
        <f>'Reporte Componentes R1'!M345</f>
        <v>7565917.7000000002</v>
      </c>
      <c r="V11" s="319">
        <f>'Reporte Componentes R1'!N345</f>
        <v>10066828.120000001</v>
      </c>
      <c r="W11" s="319">
        <f>'Reporte Componentes R1'!O345</f>
        <v>47063488.43</v>
      </c>
      <c r="X11" s="319">
        <f>'Reporte Componentes R1'!P345</f>
        <v>191997318.60999998</v>
      </c>
      <c r="Y11" s="320">
        <f>'Reporte Componentes R1'!Q345</f>
        <v>1414549.93</v>
      </c>
      <c r="Z11" s="321">
        <f>L11*-1</f>
        <v>0</v>
      </c>
      <c r="AA11" s="322">
        <f>'Reporte Componentes R1'!R345+'Reporte Componentes R1'!V345+'Reporte Componentes R1'!U345</f>
        <v>-2423.3700000000003</v>
      </c>
      <c r="AB11" s="296">
        <f>N11</f>
        <v>12116788.82</v>
      </c>
      <c r="AC11" s="322">
        <f>'Reporte Componentes R1'!T345+'Reporte Componentes R1'!W345+'Reporte Componentes R1'!X345+'Reporte Componentes R1'!Y345+'Reporte Componentes R1'!Z345+'Reporte Componentes R1'!S345</f>
        <v>4.4000000000000004</v>
      </c>
      <c r="AD11" s="293">
        <f t="shared" si="2"/>
        <v>246626229.99000001</v>
      </c>
      <c r="AE11" s="293">
        <f>'Reporte Componentes R1'!F346</f>
        <v>246626229.99000001</v>
      </c>
      <c r="AF11" s="324">
        <f t="shared" ref="AF11:AF13" si="4">SUM(U11:AD11)</f>
        <v>516848702.63</v>
      </c>
      <c r="AG11" s="325">
        <f>(AF11-O11)</f>
        <v>1.1920928955078125E-7</v>
      </c>
      <c r="AH11" s="1" t="b">
        <f t="shared" si="3"/>
        <v>1</v>
      </c>
      <c r="AI11" s="308"/>
    </row>
    <row r="12" spans="2:35" s="307" customFormat="1" x14ac:dyDescent="0.25">
      <c r="B12" s="316">
        <v>4</v>
      </c>
      <c r="C12" s="317" t="s">
        <v>13</v>
      </c>
      <c r="D12" s="293">
        <f>'Reporte Componentes R1'!F478</f>
        <v>509091543.48999995</v>
      </c>
      <c r="E12" s="294">
        <f>'Reporte Componentes R1'!G478</f>
        <v>38331488.210000001</v>
      </c>
      <c r="F12" s="294">
        <f>'Reporte Componentes R1'!H478</f>
        <v>20622191.780000001</v>
      </c>
      <c r="G12" s="294">
        <f>'Reporte Componentes R1'!I478</f>
        <v>10552991.34</v>
      </c>
      <c r="H12" s="294">
        <f>'Reporte Componentes R1'!J478</f>
        <v>80301986.560000002</v>
      </c>
      <c r="I12" s="294">
        <f>'Reporte Componentes R1'!K478</f>
        <v>2375554.27</v>
      </c>
      <c r="J12" s="290">
        <v>0</v>
      </c>
      <c r="K12" s="297">
        <f t="shared" si="0"/>
        <v>356907331.33000004</v>
      </c>
      <c r="L12" s="296">
        <v>0</v>
      </c>
      <c r="M12" s="297">
        <f>K12-L12</f>
        <v>356907331.33000004</v>
      </c>
      <c r="N12" s="296">
        <f>'Reporte Componentes R1'!L478</f>
        <v>3323424.79</v>
      </c>
      <c r="O12" s="297">
        <f t="shared" si="1"/>
        <v>360230756.12000006</v>
      </c>
      <c r="Q12" s="308"/>
      <c r="S12" s="316">
        <v>4</v>
      </c>
      <c r="T12" s="317" t="s">
        <v>13</v>
      </c>
      <c r="U12" s="318">
        <f>'Reporte Componentes R1'!M478</f>
        <v>21079507.060000002</v>
      </c>
      <c r="V12" s="319">
        <f>'Reporte Componentes R1'!N478</f>
        <v>27872771.620000001</v>
      </c>
      <c r="W12" s="319">
        <f>'Reporte Componentes R1'!O478</f>
        <v>137626708.59999999</v>
      </c>
      <c r="X12" s="319">
        <f>'Reporte Componentes R1'!P478</f>
        <v>101532373.75</v>
      </c>
      <c r="Y12" s="320">
        <f>'Reporte Componentes R1'!Q478</f>
        <v>3885868.17</v>
      </c>
      <c r="Z12" s="321">
        <f>L12*-1</f>
        <v>0</v>
      </c>
      <c r="AA12" s="322">
        <f>'Reporte Componentes R1'!R478+'Reporte Componentes R1'!V478+'Reporte Componentes R1'!U478</f>
        <v>-202.85</v>
      </c>
      <c r="AB12" s="296">
        <f>N12</f>
        <v>3323424.79</v>
      </c>
      <c r="AC12" s="322">
        <f>'Reporte Componentes R1'!T478+'Reporte Componentes R1'!W478+'Reporte Componentes R1'!X478+'Reporte Componentes R1'!Y478+'Reporte Componentes R1'!Z478+'Reporte Componentes R1'!S478</f>
        <v>149.12</v>
      </c>
      <c r="AD12" s="293">
        <f t="shared" si="2"/>
        <v>64910155.859999999</v>
      </c>
      <c r="AE12" s="293">
        <f>'Reporte Componentes R1'!F479</f>
        <v>64910155.859999999</v>
      </c>
      <c r="AF12" s="324">
        <f t="shared" si="4"/>
        <v>360230756.12</v>
      </c>
      <c r="AG12" s="325">
        <f>(AF12-O12)</f>
        <v>-5.9604644775390625E-8</v>
      </c>
      <c r="AH12" s="1" t="b">
        <f t="shared" si="3"/>
        <v>0</v>
      </c>
      <c r="AI12" s="308"/>
    </row>
    <row r="13" spans="2:35" s="307" customFormat="1" ht="12" thickBot="1" x14ac:dyDescent="0.3">
      <c r="B13" s="326">
        <v>5</v>
      </c>
      <c r="C13" s="327" t="s">
        <v>14</v>
      </c>
      <c r="D13" s="298">
        <f>'Reporte Componentes R1'!F572</f>
        <v>208541075.61000001</v>
      </c>
      <c r="E13" s="299">
        <f>'Reporte Componentes R1'!G572</f>
        <v>17046860.98</v>
      </c>
      <c r="F13" s="299">
        <f>'Reporte Componentes R1'!H572</f>
        <v>9286192.3200000003</v>
      </c>
      <c r="G13" s="299">
        <f>'Reporte Componentes R1'!I572</f>
        <v>4892903.51</v>
      </c>
      <c r="H13" s="299">
        <f>'Reporte Componentes R1'!J572</f>
        <v>19648490.920000002</v>
      </c>
      <c r="I13" s="299">
        <f>'Reporte Componentes R1'!K572</f>
        <v>876438.22</v>
      </c>
      <c r="J13" s="291">
        <v>0</v>
      </c>
      <c r="K13" s="297">
        <f t="shared" si="0"/>
        <v>156790189.66000006</v>
      </c>
      <c r="L13" s="296">
        <v>0</v>
      </c>
      <c r="M13" s="300">
        <f>K13-L13</f>
        <v>156790189.66000006</v>
      </c>
      <c r="N13" s="301">
        <f>'Reporte Componentes R1'!L572</f>
        <v>26713576.390000001</v>
      </c>
      <c r="O13" s="300">
        <f>M13+N13</f>
        <v>183503766.05000007</v>
      </c>
      <c r="Q13" s="308"/>
      <c r="S13" s="326">
        <v>5</v>
      </c>
      <c r="T13" s="327" t="s">
        <v>14</v>
      </c>
      <c r="U13" s="298">
        <f>'Reporte Componentes R1'!M572</f>
        <v>7687831.7000000002</v>
      </c>
      <c r="V13" s="299">
        <f>'Reporte Componentes R1'!N572</f>
        <v>8922313.040000001</v>
      </c>
      <c r="W13" s="299">
        <f>'Reporte Componentes R1'!O572</f>
        <v>45914747.609999999</v>
      </c>
      <c r="X13" s="299">
        <f>'Reporte Componentes R1'!P572</f>
        <v>50854306</v>
      </c>
      <c r="Y13" s="291">
        <f>'Reporte Componentes R1'!Q572</f>
        <v>1448510.54</v>
      </c>
      <c r="Z13" s="321">
        <f>L13*-1</f>
        <v>0</v>
      </c>
      <c r="AA13" s="322">
        <f>'Reporte Componentes R1'!R572+'Reporte Componentes R1'!V572+'Reporte Componentes R1'!U572</f>
        <v>-2096.98</v>
      </c>
      <c r="AB13" s="296">
        <f>N13</f>
        <v>26713576.390000001</v>
      </c>
      <c r="AC13" s="322">
        <f>'Reporte Componentes R1'!T572+'Reporte Componentes R1'!W572+'Reporte Componentes R1'!X572+'Reporte Componentes R1'!Y572+'Reporte Componentes R1'!Z572+'Reporte Componentes R1'!S572</f>
        <v>-68.589999999999989</v>
      </c>
      <c r="AD13" s="293">
        <f t="shared" si="2"/>
        <v>41964646.340000004</v>
      </c>
      <c r="AE13" s="293">
        <f>'Reporte Componentes R1'!F573</f>
        <v>41964646.340000004</v>
      </c>
      <c r="AF13" s="324">
        <f t="shared" si="4"/>
        <v>183503766.05000001</v>
      </c>
      <c r="AG13" s="328">
        <f>(AF13-O13)</f>
        <v>-5.9604644775390625E-8</v>
      </c>
      <c r="AH13" s="1" t="b">
        <f t="shared" si="3"/>
        <v>0</v>
      </c>
      <c r="AI13" s="308"/>
    </row>
    <row r="14" spans="2:35" s="307" customFormat="1" ht="13.5" thickBot="1" x14ac:dyDescent="0.35">
      <c r="B14" s="329"/>
      <c r="C14" s="330" t="s">
        <v>2</v>
      </c>
      <c r="D14" s="292">
        <f>SUM(D9:D13)</f>
        <v>3265943609.2999997</v>
      </c>
      <c r="E14" s="292">
        <f t="shared" ref="E14:O14" si="5">SUM(E9:E13)</f>
        <v>346574080.75999999</v>
      </c>
      <c r="F14" s="292">
        <f t="shared" si="5"/>
        <v>188929284.03999999</v>
      </c>
      <c r="G14" s="292">
        <f t="shared" si="5"/>
        <v>99917105.160000011</v>
      </c>
      <c r="H14" s="292">
        <f t="shared" si="5"/>
        <v>321198029.41000003</v>
      </c>
      <c r="I14" s="292">
        <f t="shared" si="5"/>
        <v>9596926.620000001</v>
      </c>
      <c r="J14" s="292">
        <f t="shared" si="5"/>
        <v>0</v>
      </c>
      <c r="K14" s="302">
        <f t="shared" si="5"/>
        <v>2299728183.3099999</v>
      </c>
      <c r="L14" s="303">
        <f>SUM(L9:L13)</f>
        <v>0</v>
      </c>
      <c r="M14" s="304">
        <f t="shared" si="5"/>
        <v>2299728183.3099999</v>
      </c>
      <c r="N14" s="303">
        <f t="shared" si="5"/>
        <v>74576028.74000001</v>
      </c>
      <c r="O14" s="304">
        <f t="shared" si="5"/>
        <v>2374304212.0500002</v>
      </c>
      <c r="P14" s="331"/>
      <c r="Q14" s="308"/>
      <c r="S14" s="329"/>
      <c r="T14" s="330" t="s">
        <v>2</v>
      </c>
      <c r="U14" s="332">
        <f>SUM(U9:U13)</f>
        <v>84390200.38000001</v>
      </c>
      <c r="V14" s="332">
        <f t="shared" ref="V14:AF14" si="6">SUM(V9:V13)</f>
        <v>109330505.15000002</v>
      </c>
      <c r="W14" s="332">
        <f t="shared" si="6"/>
        <v>525330589.48000002</v>
      </c>
      <c r="X14" s="332">
        <f t="shared" si="6"/>
        <v>800969649.88999999</v>
      </c>
      <c r="Y14" s="332">
        <f t="shared" si="6"/>
        <v>15735980.580000002</v>
      </c>
      <c r="Z14" s="292">
        <f t="shared" si="6"/>
        <v>0</v>
      </c>
      <c r="AA14" s="292">
        <f t="shared" si="6"/>
        <v>-6270.34</v>
      </c>
      <c r="AB14" s="292">
        <f t="shared" si="6"/>
        <v>74576028.74000001</v>
      </c>
      <c r="AC14" s="292">
        <f t="shared" si="6"/>
        <v>-56333.919999999991</v>
      </c>
      <c r="AD14" s="292">
        <f>SUM(AD9:AD13)</f>
        <v>764026753.25999999</v>
      </c>
      <c r="AE14" s="292">
        <f>SUM(AE9:AE13)</f>
        <v>764026753.25999999</v>
      </c>
      <c r="AF14" s="333">
        <f t="shared" si="6"/>
        <v>2374297103.2199998</v>
      </c>
      <c r="AG14" s="334">
        <f>SUM(AG9:AG13)</f>
        <v>-7108.83000010252</v>
      </c>
      <c r="AH14" s="1" t="b">
        <f t="shared" si="3"/>
        <v>0</v>
      </c>
      <c r="AI14" s="308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1535756925.48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3">
      <c r="Q20" s="4"/>
      <c r="AI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4" x14ac:dyDescent="0.3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5" x14ac:dyDescent="0.3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4" x14ac:dyDescent="0.3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5" x14ac:dyDescent="0.35">
      <c r="B25" s="8"/>
      <c r="C25" s="590" t="s">
        <v>17</v>
      </c>
      <c r="D25" s="9">
        <f>D6</f>
        <v>46282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" thickBot="1" x14ac:dyDescent="0.3">
      <c r="B26" s="8"/>
      <c r="C26" s="590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3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21" t="s">
        <v>107</v>
      </c>
      <c r="AE27" s="121" t="s">
        <v>223</v>
      </c>
      <c r="AF27" s="39" t="s">
        <v>23</v>
      </c>
      <c r="AG27" s="13"/>
      <c r="AI27" s="4"/>
    </row>
    <row r="28" spans="1:35" s="307" customFormat="1" x14ac:dyDescent="0.25">
      <c r="B28" s="305">
        <v>1</v>
      </c>
      <c r="C28" s="306" t="s">
        <v>10</v>
      </c>
      <c r="D28" s="293">
        <f>'Rem. Anticipos R2'!E54</f>
        <v>4590431.71</v>
      </c>
      <c r="E28" s="294">
        <f>'Rem. Anticipos R2'!F54</f>
        <v>236530.63</v>
      </c>
      <c r="F28" s="294">
        <f>'Rem. Anticipos R2'!G54</f>
        <v>116607.49</v>
      </c>
      <c r="G28" s="294">
        <f>'Rem. Anticipos R2'!H54</f>
        <v>63690.6</v>
      </c>
      <c r="H28" s="294">
        <f>'Rem. Anticipos R2'!I54</f>
        <v>525603.02</v>
      </c>
      <c r="I28" s="294">
        <f>'Rem. Anticipos R2'!J54</f>
        <v>23693.01</v>
      </c>
      <c r="J28" s="290">
        <v>0</v>
      </c>
      <c r="K28" s="295">
        <f>D28-E28-F28-G28-H28-I28-J28</f>
        <v>3624306.96</v>
      </c>
      <c r="L28" s="296">
        <v>0</v>
      </c>
      <c r="M28" s="295">
        <f>K28-L28</f>
        <v>3624306.96</v>
      </c>
      <c r="N28" s="296">
        <f>'Rem. Anticipos R2'!K54</f>
        <v>0</v>
      </c>
      <c r="O28" s="295">
        <f>M28+N28</f>
        <v>3624306.96</v>
      </c>
      <c r="Q28" s="308"/>
      <c r="S28" s="305">
        <v>1</v>
      </c>
      <c r="T28" s="306" t="s">
        <v>10</v>
      </c>
      <c r="U28" s="309">
        <f>'Rem. Anticipos R2'!L54</f>
        <v>221171.38</v>
      </c>
      <c r="V28" s="310">
        <f>'Rem. Anticipos R2'!M54</f>
        <v>208173.61</v>
      </c>
      <c r="W28" s="310">
        <f>'Rem. Anticipos R2'!N54</f>
        <v>1034423.9</v>
      </c>
      <c r="X28" s="310">
        <f>'Rem. Anticipos R2'!O54</f>
        <v>986717.93</v>
      </c>
      <c r="Y28" s="310">
        <f>'Rem. Anticipos R2'!P54</f>
        <v>38656.58</v>
      </c>
      <c r="Z28" s="312">
        <f>L28*-1</f>
        <v>0</v>
      </c>
      <c r="AA28" s="313">
        <f>'Rem. Anticipos R2'!Q54</f>
        <v>4.68</v>
      </c>
      <c r="AB28" s="296">
        <f>N28</f>
        <v>0</v>
      </c>
      <c r="AC28" s="313">
        <f>'Rem. Anticipos R2'!R54</f>
        <v>0</v>
      </c>
      <c r="AD28" s="293">
        <f>-J28+AE28</f>
        <v>1135158.8799999999</v>
      </c>
      <c r="AE28" s="293">
        <f>'Rem. Anticipos R2'!E55</f>
        <v>1135158.8799999999</v>
      </c>
      <c r="AF28" s="315">
        <f>SUM(U28:AD28)</f>
        <v>3624306.9600000004</v>
      </c>
      <c r="AG28" s="313">
        <f>(AF28-O28)</f>
        <v>4.6566128730773926E-10</v>
      </c>
      <c r="AH28" s="1" t="b">
        <f>INT(AG28)=0</f>
        <v>1</v>
      </c>
      <c r="AI28" s="308"/>
    </row>
    <row r="29" spans="1:35" s="307" customFormat="1" x14ac:dyDescent="0.25">
      <c r="B29" s="316">
        <v>2</v>
      </c>
      <c r="C29" s="317" t="s">
        <v>11</v>
      </c>
      <c r="D29" s="293">
        <f>'Rem. Anticipos R2'!E147</f>
        <v>29249470.460000001</v>
      </c>
      <c r="E29" s="294">
        <f>'Rem. Anticipos R2'!F147</f>
        <v>2911479.45</v>
      </c>
      <c r="F29" s="294">
        <f>'Rem. Anticipos R2'!G147</f>
        <v>1615161.04</v>
      </c>
      <c r="G29" s="294">
        <f>'Rem. Anticipos R2'!H147</f>
        <v>765043.56</v>
      </c>
      <c r="H29" s="294">
        <f>'Rem. Anticipos R2'!I147</f>
        <v>4850630.1500000004</v>
      </c>
      <c r="I29" s="294">
        <f>'Rem. Anticipos R2'!J147</f>
        <v>180890.41</v>
      </c>
      <c r="J29" s="290">
        <v>0</v>
      </c>
      <c r="K29" s="297">
        <f t="shared" ref="K29:K31" si="7">D29-E29-F29-G29-H29-I29-J29</f>
        <v>18926265.850000005</v>
      </c>
      <c r="L29" s="296">
        <v>0</v>
      </c>
      <c r="M29" s="297">
        <f>K29-L29</f>
        <v>18926265.850000005</v>
      </c>
      <c r="N29" s="296">
        <f>'Rem. Anticipos R2'!K147</f>
        <v>0</v>
      </c>
      <c r="O29" s="297">
        <f t="shared" ref="O29:O32" si="8">M29+N29</f>
        <v>18926265.850000005</v>
      </c>
      <c r="Q29" s="308"/>
      <c r="S29" s="316">
        <v>2</v>
      </c>
      <c r="T29" s="317" t="s">
        <v>11</v>
      </c>
      <c r="U29" s="318">
        <f>'Rem. Anticipos R2'!L147</f>
        <v>1848812.26</v>
      </c>
      <c r="V29" s="319">
        <f>'Rem. Anticipos R2'!M147</f>
        <v>1678791.51</v>
      </c>
      <c r="W29" s="319">
        <f>'Rem. Anticipos R2'!N147</f>
        <v>6874256.4400000004</v>
      </c>
      <c r="X29" s="319">
        <f>'Rem. Anticipos R2'!O147</f>
        <v>5870237.5</v>
      </c>
      <c r="Y29" s="320">
        <f>'Rem. Anticipos R2'!P147</f>
        <v>255677.25</v>
      </c>
      <c r="Z29" s="321">
        <f>L29*-1</f>
        <v>0</v>
      </c>
      <c r="AA29" s="322">
        <f>'Rem. Anticipos R2'!Q147</f>
        <v>69.11</v>
      </c>
      <c r="AB29" s="296">
        <f>N29</f>
        <v>0</v>
      </c>
      <c r="AC29" s="322">
        <f>'Rem. Anticipos R2'!R147</f>
        <v>0</v>
      </c>
      <c r="AD29" s="293">
        <f>-J29+AE29</f>
        <v>2398421.7799999998</v>
      </c>
      <c r="AE29" s="293">
        <f>'Rem. Anticipos R2'!E148</f>
        <v>2398421.7799999998</v>
      </c>
      <c r="AF29" s="324">
        <f>SUM(U29:AD29)</f>
        <v>18926265.850000001</v>
      </c>
      <c r="AG29" s="325">
        <f>(AF29-O29)</f>
        <v>-3.7252902984619141E-9</v>
      </c>
      <c r="AH29" s="1" t="b">
        <f t="shared" ref="AH29:AH33" si="9">INT(AG29)=0</f>
        <v>0</v>
      </c>
      <c r="AI29" s="308"/>
    </row>
    <row r="30" spans="1:35" s="307" customFormat="1" x14ac:dyDescent="0.25">
      <c r="B30" s="316">
        <v>3</v>
      </c>
      <c r="C30" s="317" t="s">
        <v>12</v>
      </c>
      <c r="D30" s="293">
        <f>'Rem. Anticipos R2'!E260</f>
        <v>1755754.73</v>
      </c>
      <c r="E30" s="294">
        <f>'Rem. Anticipos R2'!F260</f>
        <v>188133.7</v>
      </c>
      <c r="F30" s="294">
        <f>'Rem. Anticipos R2'!G260</f>
        <v>102353.57</v>
      </c>
      <c r="G30" s="294">
        <f>'Rem. Anticipos R2'!H260</f>
        <v>55414.91</v>
      </c>
      <c r="H30" s="294">
        <f>'Rem. Anticipos R2'!I260</f>
        <v>251387.25</v>
      </c>
      <c r="I30" s="294">
        <f>'Rem. Anticipos R2'!J260</f>
        <v>10446.82</v>
      </c>
      <c r="J30" s="290">
        <v>0</v>
      </c>
      <c r="K30" s="297">
        <f t="shared" si="7"/>
        <v>1148018.48</v>
      </c>
      <c r="L30" s="296">
        <v>0</v>
      </c>
      <c r="M30" s="297">
        <f>K30-L30</f>
        <v>1148018.48</v>
      </c>
      <c r="N30" s="296">
        <f>'Rem. Anticipos R2'!K260</f>
        <v>0</v>
      </c>
      <c r="O30" s="297">
        <f t="shared" si="8"/>
        <v>1148018.48</v>
      </c>
      <c r="Q30" s="308"/>
      <c r="S30" s="316">
        <v>3</v>
      </c>
      <c r="T30" s="317" t="s">
        <v>12</v>
      </c>
      <c r="U30" s="318">
        <f>'Rem. Anticipos R2'!L260</f>
        <v>87572.89</v>
      </c>
      <c r="V30" s="319">
        <f>'Rem. Anticipos R2'!M260</f>
        <v>84620.28</v>
      </c>
      <c r="W30" s="319">
        <f>'Rem. Anticipos R2'!N260</f>
        <v>378183.69</v>
      </c>
      <c r="X30" s="319">
        <f>'Rem. Anticipos R2'!O260</f>
        <v>441892.86</v>
      </c>
      <c r="Y30" s="320">
        <f>'Rem. Anticipos R2'!P260</f>
        <v>17044.82</v>
      </c>
      <c r="Z30" s="321">
        <f>L30*-1</f>
        <v>0</v>
      </c>
      <c r="AA30" s="322">
        <f>'Rem. Anticipos R2'!Q260</f>
        <v>-0.1</v>
      </c>
      <c r="AB30" s="296">
        <f>N30</f>
        <v>0</v>
      </c>
      <c r="AC30" s="322">
        <f>'Rem. Anticipos R2'!R260</f>
        <v>0</v>
      </c>
      <c r="AD30" s="293">
        <f t="shared" ref="AD30:AD32" si="10">-J30+AE30</f>
        <v>138704.04</v>
      </c>
      <c r="AE30" s="293">
        <f>'Rem. Anticipos R2'!E261</f>
        <v>138704.04</v>
      </c>
      <c r="AF30" s="324">
        <f>SUM(U30:AD30)</f>
        <v>1148018.48</v>
      </c>
      <c r="AG30" s="325">
        <f t="shared" ref="AG30:AG31" si="11">(AF30-O30)</f>
        <v>0</v>
      </c>
      <c r="AH30" s="1" t="b">
        <f t="shared" si="9"/>
        <v>1</v>
      </c>
      <c r="AI30" s="308"/>
    </row>
    <row r="31" spans="1:35" s="307" customFormat="1" x14ac:dyDescent="0.25">
      <c r="B31" s="316">
        <v>4</v>
      </c>
      <c r="C31" s="317" t="s">
        <v>13</v>
      </c>
      <c r="D31" s="293">
        <f>'Rem. Anticipos R2'!E356</f>
        <v>3170678.8099999996</v>
      </c>
      <c r="E31" s="294">
        <f>'Rem. Anticipos R2'!F356</f>
        <v>284879.18</v>
      </c>
      <c r="F31" s="294">
        <f>'Rem. Anticipos R2'!G356</f>
        <v>160664.16</v>
      </c>
      <c r="G31" s="294">
        <f>'Rem. Anticipos R2'!H356</f>
        <v>34028.36</v>
      </c>
      <c r="H31" s="294">
        <f>'Rem. Anticipos R2'!I356</f>
        <v>666537.5</v>
      </c>
      <c r="I31" s="294">
        <f>'Rem. Anticipos R2'!J356</f>
        <v>23778.02</v>
      </c>
      <c r="J31" s="290">
        <v>0</v>
      </c>
      <c r="K31" s="297">
        <f t="shared" si="7"/>
        <v>2000791.5899999994</v>
      </c>
      <c r="L31" s="296">
        <v>0</v>
      </c>
      <c r="M31" s="297">
        <f>K31-L31</f>
        <v>2000791.5899999994</v>
      </c>
      <c r="N31" s="296">
        <f>'Rem. Anticipos R2'!K356</f>
        <v>0</v>
      </c>
      <c r="O31" s="297">
        <f t="shared" si="8"/>
        <v>2000791.5899999994</v>
      </c>
      <c r="Q31" s="308"/>
      <c r="S31" s="316">
        <v>4</v>
      </c>
      <c r="T31" s="317" t="s">
        <v>13</v>
      </c>
      <c r="U31" s="318">
        <f>'Rem. Anticipos R2'!L356</f>
        <v>242514.19</v>
      </c>
      <c r="V31" s="319">
        <f>'Rem. Anticipos R2'!M356</f>
        <v>207728.05</v>
      </c>
      <c r="W31" s="319">
        <f>'Rem. Anticipos R2'!N356</f>
        <v>801310.5</v>
      </c>
      <c r="X31" s="319">
        <f>'Rem. Anticipos R2'!O356</f>
        <v>756666.12</v>
      </c>
      <c r="Y31" s="320">
        <f>'Rem. Anticipos R2'!P356</f>
        <v>29509.49</v>
      </c>
      <c r="Z31" s="321">
        <f>L31*-1</f>
        <v>0</v>
      </c>
      <c r="AA31" s="322">
        <f>'Rem. Anticipos R2'!Q356</f>
        <v>-5.0199999999999996</v>
      </c>
      <c r="AB31" s="296">
        <f>N31</f>
        <v>0</v>
      </c>
      <c r="AC31" s="322">
        <f>'Rem. Anticipos R2'!R356</f>
        <v>0</v>
      </c>
      <c r="AD31" s="293">
        <f t="shared" si="10"/>
        <v>-36931.74</v>
      </c>
      <c r="AE31" s="293">
        <f>'Rem. Anticipos R2'!E357</f>
        <v>-36931.74</v>
      </c>
      <c r="AF31" s="324">
        <f>SUM(U31:AD31)</f>
        <v>2000791.5899999999</v>
      </c>
      <c r="AG31" s="325">
        <f t="shared" si="11"/>
        <v>4.6566128730773926E-10</v>
      </c>
      <c r="AH31" s="1" t="b">
        <f t="shared" si="9"/>
        <v>1</v>
      </c>
      <c r="AI31" s="308"/>
    </row>
    <row r="32" spans="1:35" s="307" customFormat="1" ht="12" thickBot="1" x14ac:dyDescent="0.3">
      <c r="B32" s="326">
        <v>5</v>
      </c>
      <c r="C32" s="327" t="s">
        <v>14</v>
      </c>
      <c r="D32" s="298">
        <f>'Rem. Anticipos R2'!E427</f>
        <v>1031259.35</v>
      </c>
      <c r="E32" s="299">
        <f>'Rem. Anticipos R2'!F427</f>
        <v>75156.97</v>
      </c>
      <c r="F32" s="299">
        <f>'Rem. Anticipos R2'!G427</f>
        <v>38334.47</v>
      </c>
      <c r="G32" s="299">
        <f>'Rem. Anticipos R2'!H427</f>
        <v>14606.62</v>
      </c>
      <c r="H32" s="299">
        <f>'Rem. Anticipos R2'!I427</f>
        <v>339908.97</v>
      </c>
      <c r="I32" s="299">
        <f>'Rem. Anticipos R2'!J427</f>
        <v>8273.0300000000007</v>
      </c>
      <c r="J32" s="291">
        <v>0</v>
      </c>
      <c r="K32" s="297">
        <f>D32-E32-F32-G32-H32-I32-J32</f>
        <v>554979.29</v>
      </c>
      <c r="L32" s="296">
        <v>0</v>
      </c>
      <c r="M32" s="300">
        <f>K32-L32</f>
        <v>554979.29</v>
      </c>
      <c r="N32" s="301">
        <f>'Rem. Anticipos R2'!K427</f>
        <v>0</v>
      </c>
      <c r="O32" s="300">
        <f t="shared" si="8"/>
        <v>554979.29</v>
      </c>
      <c r="Q32" s="308"/>
      <c r="S32" s="326">
        <v>5</v>
      </c>
      <c r="T32" s="327" t="s">
        <v>14</v>
      </c>
      <c r="U32" s="298">
        <f>'Rem. Anticipos R2'!L427</f>
        <v>91061.01</v>
      </c>
      <c r="V32" s="299">
        <f>'Rem. Anticipos R2'!M427</f>
        <v>72971.399999999994</v>
      </c>
      <c r="W32" s="299">
        <f>'Rem. Anticipos R2'!N427</f>
        <v>354607.24</v>
      </c>
      <c r="X32" s="299">
        <f>'Rem. Anticipos R2'!O427</f>
        <v>232365.24</v>
      </c>
      <c r="Y32" s="291">
        <f>'Rem. Anticipos R2'!P427</f>
        <v>13498.06</v>
      </c>
      <c r="Z32" s="321">
        <f>L32*-1</f>
        <v>0</v>
      </c>
      <c r="AA32" s="322">
        <f>'Rem. Anticipos R2'!Q427</f>
        <v>-41.28</v>
      </c>
      <c r="AB32" s="296">
        <f>N32</f>
        <v>0</v>
      </c>
      <c r="AC32" s="322">
        <f>'Rem. Anticipos R2'!R427</f>
        <v>0</v>
      </c>
      <c r="AD32" s="293">
        <f t="shared" si="10"/>
        <v>-209482.38</v>
      </c>
      <c r="AE32" s="293">
        <f>'Rem. Anticipos R2'!E428</f>
        <v>-209482.38</v>
      </c>
      <c r="AF32" s="324">
        <f>SUM(U32:AD32)</f>
        <v>554979.28999999992</v>
      </c>
      <c r="AG32" s="328">
        <f>(AF32-O32)</f>
        <v>-1.1641532182693481E-10</v>
      </c>
      <c r="AH32" s="1" t="b">
        <f t="shared" si="9"/>
        <v>0</v>
      </c>
      <c r="AI32" s="308"/>
    </row>
    <row r="33" spans="1:35" s="307" customFormat="1" ht="13.5" thickBot="1" x14ac:dyDescent="0.35">
      <c r="B33" s="329"/>
      <c r="C33" s="330" t="s">
        <v>2</v>
      </c>
      <c r="D33" s="292">
        <f>SUM(D28:D32)</f>
        <v>39797595.060000002</v>
      </c>
      <c r="E33" s="292">
        <f>SUM(E28:E32)</f>
        <v>3696179.9300000006</v>
      </c>
      <c r="F33" s="292">
        <f t="shared" ref="F33:O33" si="12">SUM(F28:F32)</f>
        <v>2033120.73</v>
      </c>
      <c r="G33" s="292">
        <f t="shared" si="12"/>
        <v>932784.05</v>
      </c>
      <c r="H33" s="292">
        <f t="shared" si="12"/>
        <v>6634066.8899999997</v>
      </c>
      <c r="I33" s="292">
        <f t="shared" si="12"/>
        <v>247081.29</v>
      </c>
      <c r="J33" s="292">
        <f t="shared" si="12"/>
        <v>0</v>
      </c>
      <c r="K33" s="302">
        <f t="shared" si="12"/>
        <v>26254362.170000006</v>
      </c>
      <c r="L33" s="303">
        <f t="shared" si="12"/>
        <v>0</v>
      </c>
      <c r="M33" s="304">
        <f t="shared" si="12"/>
        <v>26254362.170000006</v>
      </c>
      <c r="N33" s="303">
        <f t="shared" si="12"/>
        <v>0</v>
      </c>
      <c r="O33" s="304">
        <f t="shared" si="12"/>
        <v>26254362.170000006</v>
      </c>
      <c r="P33" s="331"/>
      <c r="Q33" s="308"/>
      <c r="S33" s="329"/>
      <c r="T33" s="330" t="s">
        <v>2</v>
      </c>
      <c r="U33" s="332">
        <f>SUM(U28:U32)</f>
        <v>2491131.73</v>
      </c>
      <c r="V33" s="332">
        <f t="shared" ref="V33:AG33" si="13">SUM(V28:V32)</f>
        <v>2252284.85</v>
      </c>
      <c r="W33" s="332">
        <f t="shared" si="13"/>
        <v>9442781.7700000014</v>
      </c>
      <c r="X33" s="332">
        <f t="shared" si="13"/>
        <v>8287879.6500000004</v>
      </c>
      <c r="Y33" s="332">
        <f t="shared" si="13"/>
        <v>354386.2</v>
      </c>
      <c r="Z33" s="292">
        <f t="shared" si="13"/>
        <v>0</v>
      </c>
      <c r="AA33" s="292">
        <f t="shared" si="13"/>
        <v>27.39</v>
      </c>
      <c r="AB33" s="292">
        <f t="shared" si="13"/>
        <v>0</v>
      </c>
      <c r="AC33" s="292">
        <f t="shared" si="13"/>
        <v>0</v>
      </c>
      <c r="AD33" s="292">
        <f>SUM(AD28:AD32)</f>
        <v>3425870.5799999996</v>
      </c>
      <c r="AE33" s="292">
        <f>SUM(AE28:AE32)</f>
        <v>3425870.5799999996</v>
      </c>
      <c r="AF33" s="333">
        <f t="shared" si="13"/>
        <v>26254362.170000002</v>
      </c>
      <c r="AG33" s="334">
        <f t="shared" si="13"/>
        <v>-2.9103830456733704E-9</v>
      </c>
      <c r="AH33" s="1" t="b">
        <f t="shared" si="9"/>
        <v>0</v>
      </c>
      <c r="AI33" s="308"/>
    </row>
    <row r="34" spans="1:35" ht="12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22828464.199999999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3">
      <c r="Q39" s="4"/>
      <c r="AI39" s="4"/>
    </row>
    <row r="40" spans="1:35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4" x14ac:dyDescent="0.3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5" x14ac:dyDescent="0.3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4" x14ac:dyDescent="0.3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5" x14ac:dyDescent="0.35">
      <c r="B44" s="8"/>
      <c r="C44" s="590" t="s">
        <v>17</v>
      </c>
      <c r="D44" s="9">
        <f>D6</f>
        <v>46282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" thickBot="1" x14ac:dyDescent="0.3">
      <c r="B45" s="8"/>
      <c r="C45" s="590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3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21" t="s">
        <v>107</v>
      </c>
      <c r="AE46" s="121" t="s">
        <v>223</v>
      </c>
      <c r="AF46" s="39" t="s">
        <v>23</v>
      </c>
      <c r="AG46" s="13"/>
      <c r="AI46" s="4"/>
    </row>
    <row r="47" spans="1:35" s="307" customFormat="1" x14ac:dyDescent="0.25">
      <c r="B47" s="305">
        <v>1</v>
      </c>
      <c r="C47" s="306" t="s">
        <v>10</v>
      </c>
      <c r="D47" s="293">
        <f>'Reporte Componentes R1'!F69</f>
        <v>42680</v>
      </c>
      <c r="E47" s="294">
        <f>'Reporte Componentes R1'!G69</f>
        <v>2083.94</v>
      </c>
      <c r="F47" s="294">
        <f>'Reporte Componentes R1'!H69</f>
        <v>1161.1600000000001</v>
      </c>
      <c r="G47" s="294">
        <f>'Reporte Componentes R1'!I69</f>
        <v>617.55999999999995</v>
      </c>
      <c r="H47" s="294">
        <f>'Reporte Componentes R1'!J69</f>
        <v>10417.41</v>
      </c>
      <c r="I47" s="294">
        <f>'Reporte Componentes R1'!K69</f>
        <v>383.09</v>
      </c>
      <c r="J47" s="290">
        <v>0</v>
      </c>
      <c r="K47" s="295">
        <f>D47-E47-F47-G47-H47-I47-J47</f>
        <v>28016.839999999997</v>
      </c>
      <c r="L47" s="296">
        <v>0</v>
      </c>
      <c r="M47" s="295">
        <f>K47-L47</f>
        <v>28016.839999999997</v>
      </c>
      <c r="N47" s="296">
        <f>'Reporte Componentes R1'!L69</f>
        <v>0</v>
      </c>
      <c r="O47" s="295">
        <f>M47+N47</f>
        <v>28016.839999999997</v>
      </c>
      <c r="Q47" s="308"/>
      <c r="S47" s="305">
        <v>1</v>
      </c>
      <c r="T47" s="306" t="s">
        <v>10</v>
      </c>
      <c r="U47" s="309">
        <f>'Reporte Componentes R1'!M69</f>
        <v>3360.38</v>
      </c>
      <c r="V47" s="310">
        <f>'Reporte Componentes R1'!N69</f>
        <v>3220.93</v>
      </c>
      <c r="W47" s="310">
        <f>'Reporte Componentes R1'!O69</f>
        <v>15119.8</v>
      </c>
      <c r="X47" s="310">
        <f>'Reporte Componentes R1'!P69</f>
        <v>5691.76</v>
      </c>
      <c r="Y47" s="311">
        <f>'Reporte Componentes R1'!Q69</f>
        <v>625.03</v>
      </c>
      <c r="Z47" s="312">
        <f>-L47</f>
        <v>0</v>
      </c>
      <c r="AA47" s="313">
        <f>'Reporte Componentes R1'!R69+'Reporte Componentes R1'!V69+'Reporte Componentes R1'!U69</f>
        <v>-1.06</v>
      </c>
      <c r="AB47" s="296">
        <f>N47</f>
        <v>0</v>
      </c>
      <c r="AC47" s="313">
        <f>'Reporte Componentes R1'!T69+'Reporte Componentes R1'!S69+'Reporte Componentes R1'!W69+'Reporte Componentes R1'!X69+'Reporte Componentes R1'!Y69+'Reporte Componentes R1'!Z69</f>
        <v>0</v>
      </c>
      <c r="AD47" s="293">
        <f>-J47+AE47</f>
        <v>0</v>
      </c>
      <c r="AE47" s="293">
        <f>'Reporte Componentes R1'!F70</f>
        <v>0</v>
      </c>
      <c r="AF47" s="315">
        <f>SUM(U47:AD47)</f>
        <v>28016.84</v>
      </c>
      <c r="AG47" s="313">
        <f>(AF47-O47)</f>
        <v>3.637978807091713E-12</v>
      </c>
      <c r="AH47" s="1" t="b">
        <f>INT(AG47)=0</f>
        <v>1</v>
      </c>
      <c r="AI47" s="308"/>
    </row>
    <row r="48" spans="1:35" s="307" customFormat="1" x14ac:dyDescent="0.25">
      <c r="B48" s="316">
        <v>2</v>
      </c>
      <c r="C48" s="317" t="s">
        <v>11</v>
      </c>
      <c r="D48" s="293">
        <f>'Reporte Componentes R1'!F203</f>
        <v>0</v>
      </c>
      <c r="E48" s="294">
        <f>'Reporte Componentes R1'!G203</f>
        <v>0</v>
      </c>
      <c r="F48" s="294">
        <f>'Reporte Componentes R1'!H203</f>
        <v>0</v>
      </c>
      <c r="G48" s="294">
        <f>'Reporte Componentes R1'!I203</f>
        <v>0</v>
      </c>
      <c r="H48" s="294">
        <f>'Reporte Componentes R1'!J203</f>
        <v>0</v>
      </c>
      <c r="I48" s="294">
        <f>'Reporte Componentes R1'!K203</f>
        <v>0</v>
      </c>
      <c r="J48" s="290">
        <v>0</v>
      </c>
      <c r="K48" s="297">
        <f t="shared" ref="K48:K51" si="14">D48-E48-F48-G48-H48-I48-J48</f>
        <v>0</v>
      </c>
      <c r="L48" s="296">
        <v>0</v>
      </c>
      <c r="M48" s="297">
        <f>K48-L48</f>
        <v>0</v>
      </c>
      <c r="N48" s="296">
        <f>'Reporte Componentes R1'!L203</f>
        <v>0</v>
      </c>
      <c r="O48" s="297">
        <f t="shared" ref="O48:O51" si="15">M48+N48</f>
        <v>0</v>
      </c>
      <c r="Q48" s="308"/>
      <c r="S48" s="316">
        <v>2</v>
      </c>
      <c r="T48" s="317" t="s">
        <v>11</v>
      </c>
      <c r="U48" s="318">
        <f>'Reporte Componentes R1'!M203</f>
        <v>0</v>
      </c>
      <c r="V48" s="319">
        <f>'Reporte Componentes R1'!N203</f>
        <v>0</v>
      </c>
      <c r="W48" s="319">
        <f>'Reporte Componentes R1'!O203</f>
        <v>0</v>
      </c>
      <c r="X48" s="319">
        <f>'Reporte Componentes R1'!P203</f>
        <v>0</v>
      </c>
      <c r="Y48" s="320">
        <f>'Reporte Componentes R1'!Q203</f>
        <v>0</v>
      </c>
      <c r="Z48" s="321">
        <f>-L48</f>
        <v>0</v>
      </c>
      <c r="AA48" s="322">
        <f>'Reporte Componentes R1'!R203+'Reporte Componentes R1'!V203+'Reporte Componentes R1'!U203</f>
        <v>0</v>
      </c>
      <c r="AB48" s="296">
        <f>N48</f>
        <v>0</v>
      </c>
      <c r="AC48" s="322">
        <f>'Reporte Componentes R1'!T203+'Reporte Componentes R1'!S203+'Reporte Componentes R1'!W203+'Reporte Componentes R1'!X203+'Reporte Componentes R1'!Y203+'Reporte Componentes R1'!Z203</f>
        <v>0</v>
      </c>
      <c r="AD48" s="293">
        <f t="shared" ref="AD48:AD51" si="16">-J48+AE48</f>
        <v>0</v>
      </c>
      <c r="AE48" s="293">
        <f>'Reporte Componentes R1'!F204</f>
        <v>0</v>
      </c>
      <c r="AF48" s="324">
        <f>SUM(U48:AD48)</f>
        <v>0</v>
      </c>
      <c r="AG48" s="325">
        <f>(AF48-O48)</f>
        <v>0</v>
      </c>
      <c r="AH48" s="1" t="b">
        <f t="shared" ref="AH48:AH52" si="17">INT(AG48)=0</f>
        <v>1</v>
      </c>
      <c r="AI48" s="308"/>
    </row>
    <row r="49" spans="1:35" s="307" customFormat="1" x14ac:dyDescent="0.25">
      <c r="B49" s="316">
        <v>3</v>
      </c>
      <c r="C49" s="317" t="s">
        <v>12</v>
      </c>
      <c r="D49" s="293">
        <f>'Reporte Componentes R1'!F347</f>
        <v>33180</v>
      </c>
      <c r="E49" s="294">
        <f>'Reporte Componentes R1'!G347</f>
        <v>1783.98</v>
      </c>
      <c r="F49" s="294">
        <f>'Reporte Componentes R1'!H347</f>
        <v>996.57</v>
      </c>
      <c r="G49" s="294">
        <f>'Reporte Componentes R1'!I347</f>
        <v>528.67999999999995</v>
      </c>
      <c r="H49" s="294">
        <f>'Reporte Componentes R1'!J347</f>
        <v>10486.75</v>
      </c>
      <c r="I49" s="294">
        <f>'Reporte Componentes R1'!K347</f>
        <v>248.64</v>
      </c>
      <c r="J49" s="290">
        <v>0</v>
      </c>
      <c r="K49" s="297">
        <f t="shared" si="14"/>
        <v>19135.38</v>
      </c>
      <c r="L49" s="296">
        <v>0</v>
      </c>
      <c r="M49" s="297">
        <f>K49-L49</f>
        <v>19135.38</v>
      </c>
      <c r="N49" s="296">
        <f>'Reporte Componentes R1'!L347</f>
        <v>0</v>
      </c>
      <c r="O49" s="297">
        <f t="shared" si="15"/>
        <v>19135.38</v>
      </c>
      <c r="Q49" s="308"/>
      <c r="S49" s="316">
        <v>3</v>
      </c>
      <c r="T49" s="317" t="s">
        <v>12</v>
      </c>
      <c r="U49" s="318">
        <f>'Reporte Componentes R1'!M347</f>
        <v>2181.0500000000002</v>
      </c>
      <c r="V49" s="319">
        <f>'Reporte Componentes R1'!N347</f>
        <v>3186.59</v>
      </c>
      <c r="W49" s="319">
        <f>'Reporte Componentes R1'!O347</f>
        <v>14980.78</v>
      </c>
      <c r="X49" s="319">
        <f>'Reporte Componentes R1'!P347</f>
        <v>4229.96</v>
      </c>
      <c r="Y49" s="320">
        <f>'Reporte Componentes R1'!Q347</f>
        <v>405.68</v>
      </c>
      <c r="Z49" s="321">
        <f>-L49</f>
        <v>0</v>
      </c>
      <c r="AA49" s="322">
        <f>'Reporte Componentes R1'!R347+'Reporte Componentes R1'!V347+'Reporte Componentes R1'!U347</f>
        <v>7.0000000000000007E-2</v>
      </c>
      <c r="AB49" s="296">
        <f>N49</f>
        <v>0</v>
      </c>
      <c r="AC49" s="322">
        <f>'Reporte Componentes R1'!T347+'Reporte Componentes R1'!S347+'Reporte Componentes R1'!W347+'Reporte Componentes R1'!X347+'Reporte Componentes R1'!Y347+'Reporte Componentes R1'!Z347</f>
        <v>0</v>
      </c>
      <c r="AD49" s="293">
        <f t="shared" si="16"/>
        <v>-5848.75</v>
      </c>
      <c r="AE49" s="293">
        <f>'Reporte Componentes R1'!F348</f>
        <v>-5848.75</v>
      </c>
      <c r="AF49" s="324">
        <f t="shared" ref="AF49:AF51" si="18">SUM(U49:AD49)</f>
        <v>19135.38</v>
      </c>
      <c r="AG49" s="325">
        <f t="shared" ref="AG49:AG51" si="19">(AF49-O49)</f>
        <v>0</v>
      </c>
      <c r="AH49" s="1" t="b">
        <f t="shared" si="17"/>
        <v>1</v>
      </c>
      <c r="AI49" s="308"/>
    </row>
    <row r="50" spans="1:35" s="307" customFormat="1" x14ac:dyDescent="0.25">
      <c r="B50" s="316">
        <v>4</v>
      </c>
      <c r="C50" s="317" t="s">
        <v>13</v>
      </c>
      <c r="D50" s="293">
        <f>'Reporte Componentes R1'!F480</f>
        <v>239834</v>
      </c>
      <c r="E50" s="294">
        <f>'Reporte Componentes R1'!G480</f>
        <v>12849.36</v>
      </c>
      <c r="F50" s="294">
        <f>'Reporte Componentes R1'!H480</f>
        <v>7246.67</v>
      </c>
      <c r="G50" s="294">
        <f>'Reporte Componentes R1'!I480</f>
        <v>3834.21</v>
      </c>
      <c r="H50" s="294">
        <f>'Reporte Componentes R1'!J480</f>
        <v>63336.62</v>
      </c>
      <c r="I50" s="294">
        <f>'Reporte Componentes R1'!K480</f>
        <v>2249.2800000000002</v>
      </c>
      <c r="J50" s="290">
        <v>0</v>
      </c>
      <c r="K50" s="297">
        <f t="shared" si="14"/>
        <v>150317.86000000002</v>
      </c>
      <c r="L50" s="296">
        <v>0</v>
      </c>
      <c r="M50" s="297">
        <f>K50-L50</f>
        <v>150317.86000000002</v>
      </c>
      <c r="N50" s="296">
        <f>'Reporte Componentes R1'!L480</f>
        <v>0</v>
      </c>
      <c r="O50" s="297">
        <f t="shared" si="15"/>
        <v>150317.86000000002</v>
      </c>
      <c r="Q50" s="308"/>
      <c r="S50" s="316">
        <v>4</v>
      </c>
      <c r="T50" s="317" t="s">
        <v>13</v>
      </c>
      <c r="U50" s="318">
        <f>'Reporte Componentes R1'!M480</f>
        <v>19730.689999999999</v>
      </c>
      <c r="V50" s="319">
        <f>'Reporte Componentes R1'!N480</f>
        <v>19515.990000000002</v>
      </c>
      <c r="W50" s="319">
        <f>'Reporte Componentes R1'!O480</f>
        <v>98900.08</v>
      </c>
      <c r="X50" s="319">
        <f>'Reporte Componentes R1'!P480</f>
        <v>34210.76</v>
      </c>
      <c r="Y50" s="320">
        <f>'Reporte Componentes R1'!Q480</f>
        <v>3669.91</v>
      </c>
      <c r="Z50" s="321">
        <f>-L50</f>
        <v>0</v>
      </c>
      <c r="AA50" s="322">
        <f>'Reporte Componentes R1'!R480+'Reporte Componentes R1'!V480+'Reporte Componentes R1'!U480</f>
        <v>5.44</v>
      </c>
      <c r="AB50" s="296">
        <f>N50</f>
        <v>0</v>
      </c>
      <c r="AC50" s="322">
        <f>'Reporte Componentes R1'!T480+'Reporte Componentes R1'!S480+'Reporte Componentes R1'!W480+'Reporte Componentes R1'!X480+'Reporte Componentes R1'!Y480+'Reporte Componentes R1'!Z480</f>
        <v>0</v>
      </c>
      <c r="AD50" s="293">
        <f t="shared" si="16"/>
        <v>-25715.01</v>
      </c>
      <c r="AE50" s="293">
        <f>'Reporte Componentes R1'!F481</f>
        <v>-25715.01</v>
      </c>
      <c r="AF50" s="324">
        <f t="shared" si="18"/>
        <v>150317.86000000002</v>
      </c>
      <c r="AG50" s="325">
        <f t="shared" si="19"/>
        <v>0</v>
      </c>
      <c r="AH50" s="1" t="b">
        <f t="shared" si="17"/>
        <v>1</v>
      </c>
      <c r="AI50" s="308"/>
    </row>
    <row r="51" spans="1:35" s="307" customFormat="1" ht="12" thickBot="1" x14ac:dyDescent="0.3">
      <c r="B51" s="326">
        <v>5</v>
      </c>
      <c r="C51" s="327" t="s">
        <v>14</v>
      </c>
      <c r="D51" s="298">
        <f>'Reporte Componentes R1'!F574</f>
        <v>61140</v>
      </c>
      <c r="E51" s="299">
        <f>'Reporte Componentes R1'!G574</f>
        <v>2566.4299999999998</v>
      </c>
      <c r="F51" s="299">
        <f>'Reporte Componentes R1'!H574</f>
        <v>1430.01</v>
      </c>
      <c r="G51" s="299">
        <f>'Reporte Componentes R1'!I574</f>
        <v>760.56</v>
      </c>
      <c r="H51" s="299">
        <f>'Reporte Componentes R1'!J574</f>
        <v>11744.12</v>
      </c>
      <c r="I51" s="299">
        <f>'Reporte Componentes R1'!K574</f>
        <v>584.9</v>
      </c>
      <c r="J51" s="291">
        <v>0</v>
      </c>
      <c r="K51" s="297">
        <f t="shared" si="14"/>
        <v>44053.979999999996</v>
      </c>
      <c r="L51" s="296">
        <v>0</v>
      </c>
      <c r="M51" s="300">
        <f>K51-L51</f>
        <v>44053.979999999996</v>
      </c>
      <c r="N51" s="301">
        <f>'Reporte Componentes R1'!L574</f>
        <v>0</v>
      </c>
      <c r="O51" s="300">
        <f t="shared" si="15"/>
        <v>44053.979999999996</v>
      </c>
      <c r="Q51" s="308"/>
      <c r="S51" s="326">
        <v>5</v>
      </c>
      <c r="T51" s="327" t="s">
        <v>14</v>
      </c>
      <c r="U51" s="298">
        <f>'Reporte Componentes R1'!M574</f>
        <v>5130.67</v>
      </c>
      <c r="V51" s="299">
        <f>'Reporte Componentes R1'!N574</f>
        <v>5018.8999999999996</v>
      </c>
      <c r="W51" s="299">
        <f>'Reporte Componentes R1'!O574</f>
        <v>25484.97</v>
      </c>
      <c r="X51" s="299">
        <f>'Reporte Componentes R1'!P574</f>
        <v>7649.02</v>
      </c>
      <c r="Y51" s="291">
        <f>'Reporte Componentes R1'!Q574</f>
        <v>954.31</v>
      </c>
      <c r="Z51" s="321">
        <f>-L51</f>
        <v>0</v>
      </c>
      <c r="AA51" s="322">
        <f>'Reporte Componentes R1'!R574+'Reporte Componentes R1'!V574+'Reporte Componentes R1'!U574</f>
        <v>-4.74</v>
      </c>
      <c r="AB51" s="296">
        <f>N51</f>
        <v>0</v>
      </c>
      <c r="AC51" s="322">
        <f>'Reporte Componentes R1'!T574+'Reporte Componentes R1'!S574+'Reporte Componentes R1'!W574+'Reporte Componentes R1'!X574+'Reporte Componentes R1'!Y574+'Reporte Componentes R1'!Z574</f>
        <v>0</v>
      </c>
      <c r="AD51" s="293">
        <f t="shared" si="16"/>
        <v>-179.15</v>
      </c>
      <c r="AE51" s="293">
        <f>'Reporte Componentes R1'!F575</f>
        <v>-179.15</v>
      </c>
      <c r="AF51" s="324">
        <f t="shared" si="18"/>
        <v>44053.979999999996</v>
      </c>
      <c r="AG51" s="328">
        <f t="shared" si="19"/>
        <v>0</v>
      </c>
      <c r="AH51" s="1" t="b">
        <f t="shared" si="17"/>
        <v>1</v>
      </c>
      <c r="AI51" s="308"/>
    </row>
    <row r="52" spans="1:35" s="307" customFormat="1" ht="13.5" thickBot="1" x14ac:dyDescent="0.35">
      <c r="B52" s="329"/>
      <c r="C52" s="330" t="s">
        <v>2</v>
      </c>
      <c r="D52" s="292">
        <f t="shared" ref="D52:O52" si="20">SUM(D47:D51)</f>
        <v>376834</v>
      </c>
      <c r="E52" s="292">
        <f t="shared" si="20"/>
        <v>19283.71</v>
      </c>
      <c r="F52" s="292">
        <f t="shared" si="20"/>
        <v>10834.41</v>
      </c>
      <c r="G52" s="292">
        <f t="shared" ref="G52" si="21">SUM(G47:G51)</f>
        <v>5741.01</v>
      </c>
      <c r="H52" s="292">
        <f t="shared" si="20"/>
        <v>95984.9</v>
      </c>
      <c r="I52" s="292">
        <f t="shared" si="20"/>
        <v>3465.9100000000003</v>
      </c>
      <c r="J52" s="292">
        <f t="shared" si="20"/>
        <v>0</v>
      </c>
      <c r="K52" s="302">
        <f t="shared" si="20"/>
        <v>241524.06</v>
      </c>
      <c r="L52" s="303">
        <f t="shared" si="20"/>
        <v>0</v>
      </c>
      <c r="M52" s="304">
        <f t="shared" si="20"/>
        <v>241524.06</v>
      </c>
      <c r="N52" s="303">
        <f t="shared" si="20"/>
        <v>0</v>
      </c>
      <c r="O52" s="304">
        <f t="shared" si="20"/>
        <v>241524.06</v>
      </c>
      <c r="P52" s="331"/>
      <c r="Q52" s="308"/>
      <c r="S52" s="329"/>
      <c r="T52" s="330" t="s">
        <v>2</v>
      </c>
      <c r="U52" s="332">
        <f>SUM(U47:U51)</f>
        <v>30402.79</v>
      </c>
      <c r="V52" s="332">
        <f t="shared" ref="V52:AG52" si="22">SUM(V47:V51)</f>
        <v>30942.410000000003</v>
      </c>
      <c r="W52" s="332">
        <f t="shared" si="22"/>
        <v>154485.63</v>
      </c>
      <c r="X52" s="332">
        <f t="shared" si="22"/>
        <v>51781.5</v>
      </c>
      <c r="Y52" s="332">
        <f t="shared" si="22"/>
        <v>5654.93</v>
      </c>
      <c r="Z52" s="292">
        <f t="shared" si="22"/>
        <v>0</v>
      </c>
      <c r="AA52" s="292">
        <f t="shared" si="22"/>
        <v>-0.29000000000000004</v>
      </c>
      <c r="AB52" s="292">
        <f t="shared" si="22"/>
        <v>0</v>
      </c>
      <c r="AC52" s="292">
        <f t="shared" ref="AC52" si="23">SUM(AC47:AC51)</f>
        <v>0</v>
      </c>
      <c r="AD52" s="292">
        <f>SUM(AD47:AD51)</f>
        <v>-31742.91</v>
      </c>
      <c r="AE52" s="292">
        <f>SUM(AE47:AE51)</f>
        <v>-31742.91</v>
      </c>
      <c r="AF52" s="333">
        <f t="shared" si="22"/>
        <v>241524.06</v>
      </c>
      <c r="AG52" s="334">
        <f t="shared" si="22"/>
        <v>3.637978807091713E-12</v>
      </c>
      <c r="AH52" s="1" t="b">
        <f t="shared" si="17"/>
        <v>1</v>
      </c>
      <c r="AI52" s="308"/>
    </row>
    <row r="53" spans="1:35" ht="12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273267.26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3">
      <c r="Q58" s="4"/>
      <c r="AI58" s="4"/>
    </row>
    <row r="59" spans="1:35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4" x14ac:dyDescent="0.3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5" x14ac:dyDescent="0.3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4" x14ac:dyDescent="0.3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5" x14ac:dyDescent="0.35">
      <c r="B63" s="8"/>
      <c r="C63" s="590" t="s">
        <v>17</v>
      </c>
      <c r="D63" s="9">
        <f>D6</f>
        <v>46282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" thickBot="1" x14ac:dyDescent="0.3">
      <c r="B64" s="8"/>
      <c r="C64" s="590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3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21" t="s">
        <v>107</v>
      </c>
      <c r="AE65" s="121" t="s">
        <v>223</v>
      </c>
      <c r="AF65" s="39" t="s">
        <v>23</v>
      </c>
      <c r="AG65" s="13"/>
      <c r="AI65" s="4"/>
    </row>
    <row r="66" spans="1:35" s="307" customFormat="1" x14ac:dyDescent="0.25">
      <c r="B66" s="305">
        <v>1</v>
      </c>
      <c r="C66" s="306" t="s">
        <v>10</v>
      </c>
      <c r="D66" s="293">
        <f>'Reversion Pagos R4'!D83</f>
        <v>-83310</v>
      </c>
      <c r="E66" s="294">
        <f>'Reversion Pagos R4'!E83</f>
        <v>-4330.66</v>
      </c>
      <c r="F66" s="294">
        <f>'Reversion Pagos R4'!F83</f>
        <v>-2446.12</v>
      </c>
      <c r="G66" s="294">
        <f>'Reversion Pagos R4'!G83</f>
        <v>-1287.9000000000001</v>
      </c>
      <c r="H66" s="294">
        <f>'Reversion Pagos R4'!H83</f>
        <v>-21438.639999999999</v>
      </c>
      <c r="I66" s="294">
        <f>'Reversion Pagos R4'!I83</f>
        <v>-496.97</v>
      </c>
      <c r="J66" s="290">
        <v>0</v>
      </c>
      <c r="K66" s="295">
        <f>D66-E66-F66-G66-H66-I66-J66</f>
        <v>-53309.710000000006</v>
      </c>
      <c r="L66" s="296">
        <v>0</v>
      </c>
      <c r="M66" s="295">
        <f>K66-L66</f>
        <v>-53309.710000000006</v>
      </c>
      <c r="N66" s="296">
        <f>'Reversion Pagos R4'!P83</f>
        <v>0</v>
      </c>
      <c r="O66" s="295">
        <f>M66+N66</f>
        <v>-53309.710000000006</v>
      </c>
      <c r="Q66" s="308"/>
      <c r="S66" s="305">
        <v>1</v>
      </c>
      <c r="T66" s="306" t="s">
        <v>10</v>
      </c>
      <c r="U66" s="309">
        <f>'Reversion Pagos R4'!J83</f>
        <v>-4359.4799999999996</v>
      </c>
      <c r="V66" s="310">
        <f>'Reversion Pagos R4'!K83</f>
        <v>-6455.29</v>
      </c>
      <c r="W66" s="310">
        <f>'Reversion Pagos R4'!L83</f>
        <v>-29807.25</v>
      </c>
      <c r="X66" s="310">
        <f>'Reversion Pagos R4'!M83</f>
        <v>-11869.76</v>
      </c>
      <c r="Y66" s="310">
        <f>'Reversion Pagos R4'!N83</f>
        <v>-810.84</v>
      </c>
      <c r="Z66" s="312">
        <f>-L66</f>
        <v>0</v>
      </c>
      <c r="AA66" s="322">
        <f>'Reversion Pagos R4'!O83</f>
        <v>-7.09</v>
      </c>
      <c r="AB66" s="296">
        <f>N66</f>
        <v>0</v>
      </c>
      <c r="AC66" s="322">
        <f>+'Reversion Pagos R4'!Q83+'Reversion Pagos R4'!R83</f>
        <v>0</v>
      </c>
      <c r="AD66" s="293">
        <f>-J66+AE66</f>
        <v>0</v>
      </c>
      <c r="AE66" s="293">
        <f>'Reversion Pagos R4'!D84</f>
        <v>0</v>
      </c>
      <c r="AF66" s="315">
        <f>SUM(U66:AD66)</f>
        <v>-53309.71</v>
      </c>
      <c r="AG66" s="313">
        <f>(AF66-O66)</f>
        <v>7.2759576141834259E-12</v>
      </c>
      <c r="AH66" s="1" t="b">
        <f>INT(AG66)=0</f>
        <v>1</v>
      </c>
      <c r="AI66" s="308"/>
    </row>
    <row r="67" spans="1:35" s="307" customFormat="1" x14ac:dyDescent="0.25">
      <c r="B67" s="316">
        <v>2</v>
      </c>
      <c r="C67" s="317" t="s">
        <v>11</v>
      </c>
      <c r="D67" s="293">
        <f>'Reversion Pagos R4'!D172</f>
        <v>0</v>
      </c>
      <c r="E67" s="294">
        <f>'Reversion Pagos R4'!E172</f>
        <v>0</v>
      </c>
      <c r="F67" s="294">
        <f>'Reversion Pagos R4'!F172</f>
        <v>0</v>
      </c>
      <c r="G67" s="294">
        <f>'Reversion Pagos R4'!G172</f>
        <v>0</v>
      </c>
      <c r="H67" s="294">
        <f>'Reversion Pagos R4'!H172</f>
        <v>0</v>
      </c>
      <c r="I67" s="294">
        <f>'Reversion Pagos R4'!I172</f>
        <v>0</v>
      </c>
      <c r="J67" s="290">
        <v>0</v>
      </c>
      <c r="K67" s="297">
        <f t="shared" ref="K67:K70" si="24">D67-E67-F67-G67-H67-I67-J67</f>
        <v>0</v>
      </c>
      <c r="L67" s="296">
        <v>0</v>
      </c>
      <c r="M67" s="297">
        <f>K67-L67</f>
        <v>0</v>
      </c>
      <c r="N67" s="296">
        <f>'Reversion Pagos R4'!P172</f>
        <v>0</v>
      </c>
      <c r="O67" s="297">
        <f t="shared" ref="O67:O70" si="25">M67+N67</f>
        <v>0</v>
      </c>
      <c r="Q67" s="308"/>
      <c r="S67" s="316">
        <v>2</v>
      </c>
      <c r="T67" s="317" t="s">
        <v>11</v>
      </c>
      <c r="U67" s="318">
        <f>'Reversion Pagos R4'!J172</f>
        <v>0</v>
      </c>
      <c r="V67" s="319">
        <f>'Reversion Pagos R4'!K172</f>
        <v>0</v>
      </c>
      <c r="W67" s="319">
        <f>'Reversion Pagos R4'!L172</f>
        <v>0</v>
      </c>
      <c r="X67" s="319">
        <f>'Reversion Pagos R4'!M172</f>
        <v>0</v>
      </c>
      <c r="Y67" s="320">
        <f>'Reversion Pagos R4'!N172</f>
        <v>0</v>
      </c>
      <c r="Z67" s="321">
        <f t="shared" ref="Z67:Z70" si="26">-L67</f>
        <v>0</v>
      </c>
      <c r="AA67" s="322">
        <f>'Reversion Pagos R4'!O172</f>
        <v>0</v>
      </c>
      <c r="AB67" s="296">
        <f t="shared" ref="AB67:AB70" si="27">N67</f>
        <v>0</v>
      </c>
      <c r="AC67" s="322">
        <f>+'Reversion Pagos R4'!Q172+'Reversion Pagos R4'!R172</f>
        <v>0</v>
      </c>
      <c r="AD67" s="293">
        <f t="shared" ref="AD67:AD70" si="28">-J67+AE67</f>
        <v>0</v>
      </c>
      <c r="AE67" s="293">
        <f>'Reversion Pagos R4'!D173</f>
        <v>0</v>
      </c>
      <c r="AF67" s="324">
        <f>SUM(U67:AD67)</f>
        <v>0</v>
      </c>
      <c r="AG67" s="325">
        <f>(AF67-O67)</f>
        <v>0</v>
      </c>
      <c r="AH67" s="1" t="b">
        <f t="shared" ref="AH67:AH71" si="29">INT(AG67)=0</f>
        <v>1</v>
      </c>
      <c r="AI67" s="308"/>
    </row>
    <row r="68" spans="1:35" s="307" customFormat="1" x14ac:dyDescent="0.25">
      <c r="B68" s="316">
        <v>3</v>
      </c>
      <c r="C68" s="317" t="s">
        <v>12</v>
      </c>
      <c r="D68" s="293">
        <f>'Reversion Pagos R4'!D208</f>
        <v>-34410</v>
      </c>
      <c r="E68" s="294">
        <f>'Reversion Pagos R4'!E208</f>
        <v>-1930.6</v>
      </c>
      <c r="F68" s="294">
        <f>'Reversion Pagos R4'!F208</f>
        <v>-1090.02</v>
      </c>
      <c r="G68" s="294">
        <f>'Reversion Pagos R4'!G208</f>
        <v>-572.11</v>
      </c>
      <c r="H68" s="294">
        <f>'Reversion Pagos R4'!H208</f>
        <v>-10651</v>
      </c>
      <c r="I68" s="294">
        <f>'Reversion Pagos R4'!I208</f>
        <v>-255.08</v>
      </c>
      <c r="J68" s="290">
        <v>0</v>
      </c>
      <c r="K68" s="297">
        <f t="shared" si="24"/>
        <v>-19911.189999999999</v>
      </c>
      <c r="L68" s="296">
        <v>0</v>
      </c>
      <c r="M68" s="297">
        <f>K68-L68</f>
        <v>-19911.189999999999</v>
      </c>
      <c r="N68" s="296">
        <f>'Reversion Pagos R4'!P208</f>
        <v>0</v>
      </c>
      <c r="O68" s="297">
        <f t="shared" si="25"/>
        <v>-19911.189999999999</v>
      </c>
      <c r="Q68" s="308"/>
      <c r="S68" s="316">
        <v>3</v>
      </c>
      <c r="T68" s="317" t="s">
        <v>12</v>
      </c>
      <c r="U68" s="318">
        <f>'Reversion Pagos R4'!J208</f>
        <v>-2237.5300000000002</v>
      </c>
      <c r="V68" s="319">
        <f>'Reversion Pagos R4'!K208</f>
        <v>-3286.56</v>
      </c>
      <c r="W68" s="319">
        <f>'Reversion Pagos R4'!L208</f>
        <v>-15556.53</v>
      </c>
      <c r="X68" s="319">
        <f>'Reversion Pagos R4'!M208</f>
        <v>-4485.76</v>
      </c>
      <c r="Y68" s="320">
        <f>'Reversion Pagos R4'!N208</f>
        <v>-416.18</v>
      </c>
      <c r="Z68" s="321">
        <f t="shared" si="26"/>
        <v>0</v>
      </c>
      <c r="AA68" s="322">
        <f>'Reversion Pagos R4'!O208</f>
        <v>-0.83</v>
      </c>
      <c r="AB68" s="296">
        <f t="shared" si="27"/>
        <v>0</v>
      </c>
      <c r="AC68" s="322">
        <f>+'Reversion Pagos R4'!Q208+'Reversion Pagos R4'!R208</f>
        <v>0</v>
      </c>
      <c r="AD68" s="293">
        <f t="shared" si="28"/>
        <v>6072.2</v>
      </c>
      <c r="AE68" s="293">
        <f>'Reversion Pagos R4'!D209</f>
        <v>6072.2</v>
      </c>
      <c r="AF68" s="324">
        <f t="shared" ref="AF68:AF70" si="30">SUM(U68:AD68)</f>
        <v>-19911.190000000006</v>
      </c>
      <c r="AG68" s="325">
        <f t="shared" ref="AG68:AG70" si="31">(AF68-O68)</f>
        <v>-7.2759576141834259E-12</v>
      </c>
      <c r="AH68" s="1" t="b">
        <f t="shared" si="29"/>
        <v>0</v>
      </c>
      <c r="AI68" s="308"/>
    </row>
    <row r="69" spans="1:35" s="307" customFormat="1" x14ac:dyDescent="0.25">
      <c r="B69" s="316">
        <v>4</v>
      </c>
      <c r="C69" s="317" t="s">
        <v>13</v>
      </c>
      <c r="D69" s="293">
        <f>'Reversion Pagos R4'!D322</f>
        <v>-1742535</v>
      </c>
      <c r="E69" s="294">
        <f>'Reversion Pagos R4'!E322</f>
        <v>-156195.82</v>
      </c>
      <c r="F69" s="294">
        <f>'Reversion Pagos R4'!F322</f>
        <v>-46492.57</v>
      </c>
      <c r="G69" s="294">
        <f>'Reversion Pagos R4'!G322</f>
        <v>-16807.330000000002</v>
      </c>
      <c r="H69" s="294">
        <f>'Reversion Pagos R4'!H322</f>
        <v>-366979.1</v>
      </c>
      <c r="I69" s="294">
        <f>'Reversion Pagos R4'!I322</f>
        <v>-15381.83</v>
      </c>
      <c r="J69" s="290">
        <v>0</v>
      </c>
      <c r="K69" s="297">
        <f t="shared" si="24"/>
        <v>-1140678.3499999996</v>
      </c>
      <c r="L69" s="296">
        <v>0</v>
      </c>
      <c r="M69" s="297">
        <f>K69-L69</f>
        <v>-1140678.3499999996</v>
      </c>
      <c r="N69" s="296">
        <f>'Reversion Pagos R4'!P322</f>
        <v>0</v>
      </c>
      <c r="O69" s="297">
        <f t="shared" si="25"/>
        <v>-1140678.3499999996</v>
      </c>
      <c r="Q69" s="308"/>
      <c r="S69" s="316">
        <v>4</v>
      </c>
      <c r="T69" s="317" t="s">
        <v>13</v>
      </c>
      <c r="U69" s="318">
        <f>'Reversion Pagos R4'!J322</f>
        <v>-134928.44</v>
      </c>
      <c r="V69" s="319">
        <f>'Reversion Pagos R4'!K322</f>
        <v>-128688.98</v>
      </c>
      <c r="W69" s="319">
        <f>'Reversion Pagos R4'!L322</f>
        <v>-539270.97</v>
      </c>
      <c r="X69" s="319">
        <f>'Reversion Pagos R4'!M322</f>
        <v>-520590.59</v>
      </c>
      <c r="Y69" s="320">
        <f>'Reversion Pagos R4'!N322</f>
        <v>-24235.87</v>
      </c>
      <c r="Z69" s="321">
        <f t="shared" si="26"/>
        <v>0</v>
      </c>
      <c r="AA69" s="322">
        <f>'Reversion Pagos R4'!O322</f>
        <v>22.51</v>
      </c>
      <c r="AB69" s="296">
        <f t="shared" si="27"/>
        <v>0</v>
      </c>
      <c r="AC69" s="322">
        <f>+'Reversion Pagos R4'!Q322+'Reversion Pagos R4'!R322</f>
        <v>0</v>
      </c>
      <c r="AD69" s="293">
        <f t="shared" si="28"/>
        <v>207013.99</v>
      </c>
      <c r="AE69" s="293">
        <f>'Reversion Pagos R4'!D323</f>
        <v>207013.99</v>
      </c>
      <c r="AF69" s="324">
        <f>SUM(U69:AD69)</f>
        <v>-1140678.3500000001</v>
      </c>
      <c r="AG69" s="325">
        <f>(AF69-O69)</f>
        <v>-4.6566128730773926E-10</v>
      </c>
      <c r="AH69" s="1" t="b">
        <f t="shared" si="29"/>
        <v>0</v>
      </c>
      <c r="AI69" s="308"/>
    </row>
    <row r="70" spans="1:35" s="307" customFormat="1" ht="12" thickBot="1" x14ac:dyDescent="0.3">
      <c r="B70" s="326">
        <v>5</v>
      </c>
      <c r="C70" s="327" t="s">
        <v>14</v>
      </c>
      <c r="D70" s="298">
        <f>'Reversion Pagos R4'!D357</f>
        <v>-304780</v>
      </c>
      <c r="E70" s="299">
        <f>'Reversion Pagos R4'!E357</f>
        <v>-18716.810000000001</v>
      </c>
      <c r="F70" s="299">
        <f>'Reversion Pagos R4'!F357</f>
        <v>-9165.5300000000007</v>
      </c>
      <c r="G70" s="299">
        <f>'Reversion Pagos R4'!G357</f>
        <v>-5137.58</v>
      </c>
      <c r="H70" s="299">
        <f>'Reversion Pagos R4'!H357</f>
        <v>-68957.17</v>
      </c>
      <c r="I70" s="299">
        <f>'Reversion Pagos R4'!I357</f>
        <v>-2080.7399999999998</v>
      </c>
      <c r="J70" s="291">
        <v>0</v>
      </c>
      <c r="K70" s="297">
        <f t="shared" si="24"/>
        <v>-200722.16999999998</v>
      </c>
      <c r="L70" s="296">
        <v>0</v>
      </c>
      <c r="M70" s="300">
        <f>K70-L70</f>
        <v>-200722.16999999998</v>
      </c>
      <c r="N70" s="296">
        <f>'Reversion Pagos R4'!P357</f>
        <v>0</v>
      </c>
      <c r="O70" s="300">
        <f t="shared" si="25"/>
        <v>-200722.16999999998</v>
      </c>
      <c r="Q70" s="308"/>
      <c r="S70" s="326">
        <v>5</v>
      </c>
      <c r="T70" s="327" t="s">
        <v>14</v>
      </c>
      <c r="U70" s="298">
        <f>'Reversion Pagos R4'!J357</f>
        <v>-18251.55</v>
      </c>
      <c r="V70" s="299">
        <f>'Reversion Pagos R4'!K357</f>
        <v>-23075.91</v>
      </c>
      <c r="W70" s="299">
        <f>'Reversion Pagos R4'!L357</f>
        <v>-115395.33</v>
      </c>
      <c r="X70" s="299">
        <f>'Reversion Pagos R4'!M357</f>
        <v>-55875.63</v>
      </c>
      <c r="Y70" s="291">
        <f>'Reversion Pagos R4'!N357</f>
        <v>-3394.81</v>
      </c>
      <c r="Z70" s="321">
        <f t="shared" si="26"/>
        <v>0</v>
      </c>
      <c r="AA70" s="322">
        <f>'Reversion Pagos R4'!O357</f>
        <v>-3.39</v>
      </c>
      <c r="AB70" s="296">
        <f t="shared" si="27"/>
        <v>0</v>
      </c>
      <c r="AC70" s="322">
        <f>+'Reversion Pagos R4'!Q357+'Reversion Pagos R4'!R357</f>
        <v>0</v>
      </c>
      <c r="AD70" s="293">
        <f t="shared" si="28"/>
        <v>15274.45</v>
      </c>
      <c r="AE70" s="293">
        <f>'Reversion Pagos R4'!D358</f>
        <v>15274.45</v>
      </c>
      <c r="AF70" s="324">
        <f t="shared" si="30"/>
        <v>-200722.17</v>
      </c>
      <c r="AG70" s="328">
        <f t="shared" si="31"/>
        <v>-2.9103830456733704E-11</v>
      </c>
      <c r="AH70" s="1" t="b">
        <f t="shared" si="29"/>
        <v>0</v>
      </c>
      <c r="AI70" s="308"/>
    </row>
    <row r="71" spans="1:35" s="307" customFormat="1" ht="13.5" thickBot="1" x14ac:dyDescent="0.35">
      <c r="B71" s="329"/>
      <c r="C71" s="330" t="s">
        <v>2</v>
      </c>
      <c r="D71" s="292">
        <f t="shared" ref="D71:O71" si="32">SUM(D66:D70)</f>
        <v>-2165035</v>
      </c>
      <c r="E71" s="292">
        <f t="shared" si="32"/>
        <v>-181173.89</v>
      </c>
      <c r="F71" s="292">
        <f t="shared" si="32"/>
        <v>-59194.239999999998</v>
      </c>
      <c r="G71" s="292">
        <f t="shared" si="32"/>
        <v>-23804.920000000006</v>
      </c>
      <c r="H71" s="292">
        <f t="shared" si="32"/>
        <v>-468025.91</v>
      </c>
      <c r="I71" s="292">
        <f t="shared" si="32"/>
        <v>-18214.62</v>
      </c>
      <c r="J71" s="292">
        <f t="shared" si="32"/>
        <v>0</v>
      </c>
      <c r="K71" s="302">
        <f t="shared" si="32"/>
        <v>-1414621.4199999995</v>
      </c>
      <c r="L71" s="303">
        <f t="shared" si="32"/>
        <v>0</v>
      </c>
      <c r="M71" s="304">
        <f t="shared" si="32"/>
        <v>-1414621.4199999995</v>
      </c>
      <c r="N71" s="303">
        <f t="shared" si="32"/>
        <v>0</v>
      </c>
      <c r="O71" s="304">
        <f t="shared" si="32"/>
        <v>-1414621.4199999995</v>
      </c>
      <c r="P71" s="331"/>
      <c r="Q71" s="308"/>
      <c r="S71" s="329"/>
      <c r="T71" s="330" t="s">
        <v>2</v>
      </c>
      <c r="U71" s="332">
        <f>SUM(U66:U70)</f>
        <v>-159777</v>
      </c>
      <c r="V71" s="332">
        <f t="shared" ref="V71:AG71" si="33">SUM(V66:V70)</f>
        <v>-161506.74</v>
      </c>
      <c r="W71" s="332">
        <f t="shared" si="33"/>
        <v>-700030.08</v>
      </c>
      <c r="X71" s="332">
        <f t="shared" si="33"/>
        <v>-592821.74</v>
      </c>
      <c r="Y71" s="332">
        <f t="shared" si="33"/>
        <v>-28857.7</v>
      </c>
      <c r="Z71" s="292">
        <f t="shared" si="33"/>
        <v>0</v>
      </c>
      <c r="AA71" s="292">
        <f>SUM(AA66:AA70)</f>
        <v>11.200000000000001</v>
      </c>
      <c r="AB71" s="292">
        <f t="shared" si="33"/>
        <v>0</v>
      </c>
      <c r="AC71" s="292">
        <f t="shared" si="33"/>
        <v>0</v>
      </c>
      <c r="AD71" s="292">
        <f>SUM(AD66:AD70)</f>
        <v>228360.64</v>
      </c>
      <c r="AE71" s="292">
        <f>SUM(AE66:AE70)</f>
        <v>228360.64</v>
      </c>
      <c r="AF71" s="333">
        <f t="shared" si="33"/>
        <v>-1414621.42</v>
      </c>
      <c r="AG71" s="334">
        <f t="shared" si="33"/>
        <v>-4.9476511776447296E-10</v>
      </c>
      <c r="AH71" s="1" t="b">
        <f t="shared" si="29"/>
        <v>0</v>
      </c>
      <c r="AI71" s="308"/>
    </row>
    <row r="72" spans="1:35" ht="12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-1642993.26</v>
      </c>
      <c r="AF73" s="1" t="s">
        <v>1</v>
      </c>
      <c r="AI73" s="4"/>
    </row>
    <row r="74" spans="1:35" ht="12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3">
      <c r="Q77" s="4"/>
      <c r="AI77" s="4"/>
    </row>
    <row r="78" spans="1:35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4" x14ac:dyDescent="0.3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5" x14ac:dyDescent="0.3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4" x14ac:dyDescent="0.3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5" x14ac:dyDescent="0.35">
      <c r="B82" s="8"/>
      <c r="C82" s="590" t="s">
        <v>17</v>
      </c>
      <c r="D82" s="9">
        <f>D6</f>
        <v>46282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" thickBot="1" x14ac:dyDescent="0.3">
      <c r="B83" s="8"/>
      <c r="C83" s="590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3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167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7" customFormat="1" x14ac:dyDescent="0.25">
      <c r="B85" s="305">
        <v>1</v>
      </c>
      <c r="C85" s="306" t="s">
        <v>10</v>
      </c>
      <c r="D85" s="293">
        <v>0</v>
      </c>
      <c r="E85" s="294">
        <v>0</v>
      </c>
      <c r="F85" s="294">
        <v>0</v>
      </c>
      <c r="G85" s="294">
        <v>0</v>
      </c>
      <c r="H85" s="294">
        <v>0</v>
      </c>
      <c r="I85" s="294">
        <v>0</v>
      </c>
      <c r="J85" s="290">
        <v>0</v>
      </c>
      <c r="K85" s="295">
        <f>D85-E85-F85-G85-H85-I85-J85</f>
        <v>0</v>
      </c>
      <c r="L85" s="296">
        <v>0</v>
      </c>
      <c r="M85" s="295">
        <f>K85-L85</f>
        <v>0</v>
      </c>
      <c r="N85" s="296">
        <v>0</v>
      </c>
      <c r="O85" s="295">
        <f>M85+N85</f>
        <v>0</v>
      </c>
      <c r="Q85" s="308"/>
      <c r="S85" s="305">
        <v>1</v>
      </c>
      <c r="T85" s="306" t="s">
        <v>10</v>
      </c>
      <c r="U85" s="309">
        <v>0</v>
      </c>
      <c r="V85" s="310">
        <v>0</v>
      </c>
      <c r="W85" s="310">
        <v>0</v>
      </c>
      <c r="X85" s="310">
        <v>0</v>
      </c>
      <c r="Y85" s="311">
        <v>0</v>
      </c>
      <c r="Z85" s="312">
        <v>0</v>
      </c>
      <c r="AA85" s="312">
        <v>0</v>
      </c>
      <c r="AB85" s="312">
        <v>0</v>
      </c>
      <c r="AC85" s="313">
        <v>0</v>
      </c>
      <c r="AD85" s="312">
        <v>0</v>
      </c>
      <c r="AE85" s="312">
        <v>0</v>
      </c>
      <c r="AF85" s="315">
        <f>SUM(U85:AD85)</f>
        <v>0</v>
      </c>
      <c r="AG85" s="313">
        <f>AF85-O85</f>
        <v>0</v>
      </c>
      <c r="AH85" s="1" t="b">
        <f>INT(AG85)=0</f>
        <v>1</v>
      </c>
      <c r="AI85" s="308"/>
    </row>
    <row r="86" spans="1:35" s="307" customFormat="1" x14ac:dyDescent="0.25">
      <c r="B86" s="316">
        <v>2</v>
      </c>
      <c r="C86" s="317" t="s">
        <v>11</v>
      </c>
      <c r="D86" s="293">
        <v>0</v>
      </c>
      <c r="E86" s="294">
        <v>0</v>
      </c>
      <c r="F86" s="294">
        <v>0</v>
      </c>
      <c r="G86" s="294">
        <v>0</v>
      </c>
      <c r="H86" s="294">
        <v>0</v>
      </c>
      <c r="I86" s="294">
        <v>0</v>
      </c>
      <c r="J86" s="290">
        <v>0</v>
      </c>
      <c r="K86" s="297">
        <f t="shared" ref="K86:K89" si="34">D86-E86-F86-G86-H86-I86-J86</f>
        <v>0</v>
      </c>
      <c r="L86" s="296">
        <v>0</v>
      </c>
      <c r="M86" s="297">
        <f>K86-L86</f>
        <v>0</v>
      </c>
      <c r="N86" s="296">
        <v>0</v>
      </c>
      <c r="O86" s="297">
        <f t="shared" ref="O86:O89" si="35">M86+N86</f>
        <v>0</v>
      </c>
      <c r="Q86" s="308"/>
      <c r="S86" s="316">
        <v>2</v>
      </c>
      <c r="T86" s="317" t="s">
        <v>11</v>
      </c>
      <c r="U86" s="318">
        <v>0</v>
      </c>
      <c r="V86" s="319">
        <v>0</v>
      </c>
      <c r="W86" s="319">
        <v>0</v>
      </c>
      <c r="X86" s="319">
        <v>0</v>
      </c>
      <c r="Y86" s="320">
        <v>0</v>
      </c>
      <c r="Z86" s="321">
        <v>0</v>
      </c>
      <c r="AA86" s="321">
        <v>0</v>
      </c>
      <c r="AB86" s="321">
        <v>0</v>
      </c>
      <c r="AC86" s="322">
        <v>0</v>
      </c>
      <c r="AD86" s="321">
        <v>0</v>
      </c>
      <c r="AE86" s="321">
        <v>0</v>
      </c>
      <c r="AF86" s="324">
        <f>SUM(U86:AD86)</f>
        <v>0</v>
      </c>
      <c r="AG86" s="325">
        <f>AF86-O86</f>
        <v>0</v>
      </c>
      <c r="AH86" s="1" t="b">
        <f t="shared" ref="AH86:AH90" si="36">INT(AG86)=0</f>
        <v>1</v>
      </c>
      <c r="AI86" s="308"/>
    </row>
    <row r="87" spans="1:35" s="307" customFormat="1" x14ac:dyDescent="0.25">
      <c r="B87" s="316">
        <v>3</v>
      </c>
      <c r="C87" s="317" t="s">
        <v>12</v>
      </c>
      <c r="D87" s="293">
        <v>0</v>
      </c>
      <c r="E87" s="294">
        <v>0</v>
      </c>
      <c r="F87" s="294">
        <v>0</v>
      </c>
      <c r="G87" s="294">
        <v>0</v>
      </c>
      <c r="H87" s="294">
        <v>0</v>
      </c>
      <c r="I87" s="294">
        <v>0</v>
      </c>
      <c r="J87" s="290">
        <v>0</v>
      </c>
      <c r="K87" s="297">
        <f t="shared" si="34"/>
        <v>0</v>
      </c>
      <c r="L87" s="296">
        <v>0</v>
      </c>
      <c r="M87" s="297">
        <f>K87-L87</f>
        <v>0</v>
      </c>
      <c r="N87" s="296">
        <v>0</v>
      </c>
      <c r="O87" s="297">
        <f t="shared" si="35"/>
        <v>0</v>
      </c>
      <c r="Q87" s="308"/>
      <c r="S87" s="316">
        <v>3</v>
      </c>
      <c r="T87" s="317" t="s">
        <v>12</v>
      </c>
      <c r="U87" s="318">
        <v>0</v>
      </c>
      <c r="V87" s="319">
        <v>0</v>
      </c>
      <c r="W87" s="319">
        <v>0</v>
      </c>
      <c r="X87" s="319">
        <v>0</v>
      </c>
      <c r="Y87" s="320">
        <v>0</v>
      </c>
      <c r="Z87" s="321">
        <v>0</v>
      </c>
      <c r="AA87" s="321">
        <v>0</v>
      </c>
      <c r="AB87" s="321">
        <v>0</v>
      </c>
      <c r="AC87" s="322">
        <v>0</v>
      </c>
      <c r="AD87" s="321">
        <v>0</v>
      </c>
      <c r="AE87" s="321">
        <v>0</v>
      </c>
      <c r="AF87" s="324">
        <f t="shared" ref="AF87:AF89" si="37">SUM(U87:AD87)</f>
        <v>0</v>
      </c>
      <c r="AG87" s="325">
        <f>AF87-O87</f>
        <v>0</v>
      </c>
      <c r="AH87" s="1" t="b">
        <f t="shared" si="36"/>
        <v>1</v>
      </c>
      <c r="AI87" s="308"/>
    </row>
    <row r="88" spans="1:35" s="307" customFormat="1" x14ac:dyDescent="0.25">
      <c r="B88" s="316">
        <v>4</v>
      </c>
      <c r="C88" s="317" t="s">
        <v>13</v>
      </c>
      <c r="D88" s="293">
        <v>0</v>
      </c>
      <c r="E88" s="294">
        <v>0</v>
      </c>
      <c r="F88" s="294">
        <v>0</v>
      </c>
      <c r="G88" s="294">
        <v>0</v>
      </c>
      <c r="H88" s="294">
        <v>0</v>
      </c>
      <c r="I88" s="294">
        <v>0</v>
      </c>
      <c r="J88" s="290">
        <v>0</v>
      </c>
      <c r="K88" s="297">
        <f t="shared" si="34"/>
        <v>0</v>
      </c>
      <c r="L88" s="296">
        <v>0</v>
      </c>
      <c r="M88" s="297">
        <f>K88-L88</f>
        <v>0</v>
      </c>
      <c r="N88" s="296">
        <v>0</v>
      </c>
      <c r="O88" s="297">
        <f t="shared" si="35"/>
        <v>0</v>
      </c>
      <c r="Q88" s="308"/>
      <c r="S88" s="316">
        <v>4</v>
      </c>
      <c r="T88" s="317" t="s">
        <v>13</v>
      </c>
      <c r="U88" s="318">
        <v>0</v>
      </c>
      <c r="V88" s="319">
        <v>0</v>
      </c>
      <c r="W88" s="319">
        <v>0</v>
      </c>
      <c r="X88" s="319">
        <v>0</v>
      </c>
      <c r="Y88" s="320">
        <v>0</v>
      </c>
      <c r="Z88" s="321">
        <v>0</v>
      </c>
      <c r="AA88" s="321">
        <v>0</v>
      </c>
      <c r="AB88" s="321">
        <v>0</v>
      </c>
      <c r="AC88" s="322">
        <v>0</v>
      </c>
      <c r="AD88" s="321">
        <v>0</v>
      </c>
      <c r="AE88" s="321">
        <v>0</v>
      </c>
      <c r="AF88" s="324">
        <f t="shared" si="37"/>
        <v>0</v>
      </c>
      <c r="AG88" s="325">
        <f>AF88-O88</f>
        <v>0</v>
      </c>
      <c r="AH88" s="1" t="b">
        <f t="shared" si="36"/>
        <v>1</v>
      </c>
      <c r="AI88" s="308"/>
    </row>
    <row r="89" spans="1:35" s="307" customFormat="1" ht="12" thickBot="1" x14ac:dyDescent="0.3">
      <c r="B89" s="326">
        <v>5</v>
      </c>
      <c r="C89" s="327" t="s">
        <v>14</v>
      </c>
      <c r="D89" s="298">
        <v>0</v>
      </c>
      <c r="E89" s="299">
        <v>0</v>
      </c>
      <c r="F89" s="299">
        <v>0</v>
      </c>
      <c r="G89" s="299">
        <v>0</v>
      </c>
      <c r="H89" s="299">
        <v>0</v>
      </c>
      <c r="I89" s="299">
        <v>0</v>
      </c>
      <c r="J89" s="291">
        <v>0</v>
      </c>
      <c r="K89" s="297">
        <f t="shared" si="34"/>
        <v>0</v>
      </c>
      <c r="L89" s="296">
        <v>0</v>
      </c>
      <c r="M89" s="300">
        <f>K89-L89</f>
        <v>0</v>
      </c>
      <c r="N89" s="301">
        <v>0</v>
      </c>
      <c r="O89" s="300">
        <f t="shared" si="35"/>
        <v>0</v>
      </c>
      <c r="Q89" s="308"/>
      <c r="S89" s="326">
        <v>5</v>
      </c>
      <c r="T89" s="327" t="s">
        <v>14</v>
      </c>
      <c r="U89" s="298">
        <v>0</v>
      </c>
      <c r="V89" s="299">
        <v>0</v>
      </c>
      <c r="W89" s="299">
        <v>0</v>
      </c>
      <c r="X89" s="299">
        <v>0</v>
      </c>
      <c r="Y89" s="291">
        <v>0</v>
      </c>
      <c r="Z89" s="321">
        <v>0</v>
      </c>
      <c r="AA89" s="321">
        <v>0</v>
      </c>
      <c r="AB89" s="321">
        <v>0</v>
      </c>
      <c r="AC89" s="322">
        <v>0</v>
      </c>
      <c r="AD89" s="321">
        <v>0</v>
      </c>
      <c r="AE89" s="321">
        <v>0</v>
      </c>
      <c r="AF89" s="324">
        <f t="shared" si="37"/>
        <v>0</v>
      </c>
      <c r="AG89" s="328">
        <f>AF89-O89</f>
        <v>0</v>
      </c>
      <c r="AH89" s="1" t="b">
        <f t="shared" si="36"/>
        <v>1</v>
      </c>
      <c r="AI89" s="308"/>
    </row>
    <row r="90" spans="1:35" s="307" customFormat="1" ht="13.5" thickBot="1" x14ac:dyDescent="0.35">
      <c r="B90" s="329"/>
      <c r="C90" s="330" t="s">
        <v>2</v>
      </c>
      <c r="D90" s="292">
        <f t="shared" ref="D90:O90" si="38">SUM(D85:D89)</f>
        <v>0</v>
      </c>
      <c r="E90" s="292">
        <f t="shared" si="38"/>
        <v>0</v>
      </c>
      <c r="F90" s="292">
        <f t="shared" si="38"/>
        <v>0</v>
      </c>
      <c r="G90" s="292">
        <f t="shared" si="38"/>
        <v>0</v>
      </c>
      <c r="H90" s="292">
        <f t="shared" si="38"/>
        <v>0</v>
      </c>
      <c r="I90" s="292">
        <f t="shared" si="38"/>
        <v>0</v>
      </c>
      <c r="J90" s="292">
        <f t="shared" si="38"/>
        <v>0</v>
      </c>
      <c r="K90" s="302">
        <f t="shared" si="38"/>
        <v>0</v>
      </c>
      <c r="L90" s="303">
        <f t="shared" si="38"/>
        <v>0</v>
      </c>
      <c r="M90" s="304">
        <f t="shared" si="38"/>
        <v>0</v>
      </c>
      <c r="N90" s="303">
        <f t="shared" si="38"/>
        <v>0</v>
      </c>
      <c r="O90" s="304">
        <f t="shared" si="38"/>
        <v>0</v>
      </c>
      <c r="P90" s="331"/>
      <c r="Q90" s="308"/>
      <c r="S90" s="329"/>
      <c r="T90" s="330" t="s">
        <v>2</v>
      </c>
      <c r="U90" s="332">
        <f>SUM(U85:U89)</f>
        <v>0</v>
      </c>
      <c r="V90" s="332">
        <f t="shared" ref="V90:AG90" si="39">SUM(V85:V89)</f>
        <v>0</v>
      </c>
      <c r="W90" s="332">
        <f t="shared" si="39"/>
        <v>0</v>
      </c>
      <c r="X90" s="332">
        <f t="shared" si="39"/>
        <v>0</v>
      </c>
      <c r="Y90" s="332">
        <f t="shared" si="39"/>
        <v>0</v>
      </c>
      <c r="Z90" s="292">
        <f t="shared" si="39"/>
        <v>0</v>
      </c>
      <c r="AA90" s="292">
        <f t="shared" si="39"/>
        <v>0</v>
      </c>
      <c r="AB90" s="292">
        <f t="shared" si="39"/>
        <v>0</v>
      </c>
      <c r="AC90" s="292">
        <f t="shared" si="39"/>
        <v>0</v>
      </c>
      <c r="AD90" s="292">
        <f t="shared" si="39"/>
        <v>0</v>
      </c>
      <c r="AE90" s="292">
        <f t="shared" si="39"/>
        <v>0</v>
      </c>
      <c r="AF90" s="333">
        <f t="shared" si="39"/>
        <v>0</v>
      </c>
      <c r="AG90" s="334">
        <f t="shared" si="39"/>
        <v>0</v>
      </c>
      <c r="AH90" s="1" t="b">
        <f t="shared" si="36"/>
        <v>1</v>
      </c>
      <c r="AI90" s="308"/>
    </row>
    <row r="91" spans="1:35" ht="12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3">
      <c r="Q96" s="4"/>
      <c r="AI96" s="4"/>
    </row>
    <row r="97" spans="2:36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4" x14ac:dyDescent="0.3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5" x14ac:dyDescent="0.3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4" x14ac:dyDescent="0.3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5" x14ac:dyDescent="0.35">
      <c r="B101" s="8"/>
      <c r="C101" s="590" t="s">
        <v>17</v>
      </c>
      <c r="D101" s="9">
        <f>D6</f>
        <v>46282</v>
      </c>
      <c r="F101" s="58" t="s">
        <v>218</v>
      </c>
      <c r="G101" s="58"/>
      <c r="H101" s="59"/>
      <c r="I101" s="60"/>
      <c r="J101" s="59"/>
      <c r="K101" s="60"/>
      <c r="L101" s="47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5">
      <c r="B102" s="8"/>
      <c r="C102" s="590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3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7" customFormat="1" x14ac:dyDescent="0.25">
      <c r="B104" s="305">
        <v>1</v>
      </c>
      <c r="C104" s="306" t="s">
        <v>10</v>
      </c>
      <c r="D104" s="293">
        <f t="shared" ref="D104:J108" si="40">D9+D28+D47+D66+D85</f>
        <v>529346785.86999995</v>
      </c>
      <c r="E104" s="294">
        <f t="shared" si="40"/>
        <v>51297751.550000004</v>
      </c>
      <c r="F104" s="294">
        <f t="shared" si="40"/>
        <v>28055373.969999995</v>
      </c>
      <c r="G104" s="294">
        <f t="shared" si="40"/>
        <v>14654560.779999999</v>
      </c>
      <c r="H104" s="294">
        <f t="shared" si="40"/>
        <v>43264487.630000003</v>
      </c>
      <c r="I104" s="294">
        <f t="shared" si="40"/>
        <v>1544967.9000000001</v>
      </c>
      <c r="J104" s="290">
        <f t="shared" si="40"/>
        <v>0</v>
      </c>
      <c r="K104" s="295">
        <f>D104-E104-F104-G104-H104-I104-J104</f>
        <v>390529644.04000002</v>
      </c>
      <c r="L104" s="296">
        <f>L9+L28+L47+L66+L85</f>
        <v>0</v>
      </c>
      <c r="M104" s="295">
        <f>K104-L104</f>
        <v>390529644.04000002</v>
      </c>
      <c r="N104" s="296">
        <f>N9+N28+N47+N66+N85</f>
        <v>1790178.35</v>
      </c>
      <c r="O104" s="295">
        <f>M104+N104</f>
        <v>392319822.39000005</v>
      </c>
      <c r="Q104" s="308"/>
      <c r="S104" s="305">
        <v>1</v>
      </c>
      <c r="T104" s="306" t="s">
        <v>10</v>
      </c>
      <c r="U104" s="309">
        <f t="shared" ref="U104:AB108" si="41">U9+U28+U47+U66+U85</f>
        <v>13574756.210000001</v>
      </c>
      <c r="V104" s="310">
        <f t="shared" si="41"/>
        <v>15555633.379999999</v>
      </c>
      <c r="W104" s="310">
        <f t="shared" si="41"/>
        <v>71941877.61999999</v>
      </c>
      <c r="X104" s="310">
        <f t="shared" si="41"/>
        <v>140737424.47999999</v>
      </c>
      <c r="Y104" s="311">
        <f t="shared" si="41"/>
        <v>2521854.4500000002</v>
      </c>
      <c r="Z104" s="312">
        <f t="shared" si="41"/>
        <v>0</v>
      </c>
      <c r="AA104" s="313">
        <f t="shared" si="41"/>
        <v>-684.57</v>
      </c>
      <c r="AB104" s="296">
        <f t="shared" si="41"/>
        <v>1790178.35</v>
      </c>
      <c r="AC104" s="314">
        <f t="shared" ref="AC104" si="42">AC9+AC28+AC47+AC66+AC85</f>
        <v>355.46999999999997</v>
      </c>
      <c r="AD104" s="293">
        <f>-J104+AE104</f>
        <v>146191318.16999999</v>
      </c>
      <c r="AE104" s="293">
        <f>AE9+AE28+AE47+AE66+AE85</f>
        <v>146191318.16999999</v>
      </c>
      <c r="AF104" s="315">
        <f>SUM(U104:AD104)</f>
        <v>392312713.55999994</v>
      </c>
      <c r="AG104" s="313">
        <f>AF104-O104</f>
        <v>-7108.83000010252</v>
      </c>
      <c r="AH104" s="1" t="b">
        <f>INT(AG104)=0</f>
        <v>0</v>
      </c>
      <c r="AI104" s="308"/>
    </row>
    <row r="105" spans="2:36" s="307" customFormat="1" x14ac:dyDescent="0.25">
      <c r="B105" s="316">
        <v>2</v>
      </c>
      <c r="C105" s="317" t="s">
        <v>11</v>
      </c>
      <c r="D105" s="293">
        <f t="shared" si="40"/>
        <v>1368778408.3199999</v>
      </c>
      <c r="E105" s="294">
        <f t="shared" si="40"/>
        <v>161817404.75999999</v>
      </c>
      <c r="F105" s="294">
        <f t="shared" si="40"/>
        <v>87382022.550000012</v>
      </c>
      <c r="G105" s="294">
        <f t="shared" si="40"/>
        <v>46682153.180000007</v>
      </c>
      <c r="H105" s="294">
        <f t="shared" si="40"/>
        <v>155463450.62</v>
      </c>
      <c r="I105" s="294">
        <f t="shared" si="40"/>
        <v>4138992.8000000003</v>
      </c>
      <c r="J105" s="290">
        <f t="shared" si="40"/>
        <v>0</v>
      </c>
      <c r="K105" s="297">
        <f t="shared" ref="K105:K108" si="43">D105-E105-F105-G105-H105-I105-J105</f>
        <v>913294384.40999997</v>
      </c>
      <c r="L105" s="296">
        <f>L10+L29+L48+L67+L86</f>
        <v>0</v>
      </c>
      <c r="M105" s="297">
        <f>K105-L105</f>
        <v>913294384.40999997</v>
      </c>
      <c r="N105" s="296">
        <f>N10+N29+N48+N67+N86</f>
        <v>30632060.390000001</v>
      </c>
      <c r="O105" s="297">
        <f t="shared" ref="O105:O108" si="44">M105+N105</f>
        <v>943926444.79999995</v>
      </c>
      <c r="Q105" s="308"/>
      <c r="S105" s="316">
        <v>2</v>
      </c>
      <c r="T105" s="317" t="s">
        <v>11</v>
      </c>
      <c r="U105" s="318">
        <f t="shared" si="41"/>
        <v>36551172.249999993</v>
      </c>
      <c r="V105" s="319">
        <f t="shared" si="41"/>
        <v>48796689.75</v>
      </c>
      <c r="W105" s="319">
        <f t="shared" si="41"/>
        <v>230677760.11000001</v>
      </c>
      <c r="X105" s="319">
        <f t="shared" si="41"/>
        <v>322699004.48000002</v>
      </c>
      <c r="Y105" s="320">
        <f t="shared" si="41"/>
        <v>6759345.5100000007</v>
      </c>
      <c r="Z105" s="321">
        <f t="shared" si="41"/>
        <v>0</v>
      </c>
      <c r="AA105" s="322">
        <f t="shared" si="41"/>
        <v>-796.93</v>
      </c>
      <c r="AB105" s="296">
        <f t="shared" si="41"/>
        <v>30632060.390000001</v>
      </c>
      <c r="AC105" s="323">
        <f t="shared" ref="AC105" si="45">AC10+AC29+AC48+AC67+AC86</f>
        <v>-56774.32</v>
      </c>
      <c r="AD105" s="293">
        <f t="shared" ref="AD105:AD107" si="46">-J105+AE105</f>
        <v>267867983.56</v>
      </c>
      <c r="AE105" s="293">
        <f>AE10+AE29+AE48+AE67+AE86</f>
        <v>267867983.56</v>
      </c>
      <c r="AF105" s="324">
        <f>SUM(U105:AD105)</f>
        <v>943926444.79999995</v>
      </c>
      <c r="AG105" s="325">
        <f>AF105-O105</f>
        <v>0</v>
      </c>
      <c r="AH105" s="1" t="b">
        <f t="shared" ref="AH105:AH109" si="47">INT(AG105)=0</f>
        <v>1</v>
      </c>
      <c r="AI105" s="308"/>
    </row>
    <row r="106" spans="2:36" s="307" customFormat="1" x14ac:dyDescent="0.25">
      <c r="B106" s="316">
        <v>3</v>
      </c>
      <c r="C106" s="317" t="s">
        <v>12</v>
      </c>
      <c r="D106" s="293">
        <f t="shared" si="40"/>
        <v>685739592.90999997</v>
      </c>
      <c r="E106" s="294">
        <f t="shared" si="40"/>
        <v>81414325.700000018</v>
      </c>
      <c r="F106" s="294">
        <f t="shared" si="40"/>
        <v>45416247.109999999</v>
      </c>
      <c r="G106" s="294">
        <f t="shared" si="40"/>
        <v>24017931.650000002</v>
      </c>
      <c r="H106" s="294">
        <f t="shared" si="40"/>
        <v>28136048.619999997</v>
      </c>
      <c r="I106" s="294">
        <f t="shared" si="40"/>
        <v>875883.35</v>
      </c>
      <c r="J106" s="290">
        <f t="shared" si="40"/>
        <v>0</v>
      </c>
      <c r="K106" s="297">
        <f t="shared" si="43"/>
        <v>505879156.4799999</v>
      </c>
      <c r="L106" s="296">
        <f>L11+L30+L49+L68+L87</f>
        <v>0</v>
      </c>
      <c r="M106" s="297">
        <f>K106-L106</f>
        <v>505879156.4799999</v>
      </c>
      <c r="N106" s="296">
        <f>N11+N30+N49+N68+N87</f>
        <v>12116788.82</v>
      </c>
      <c r="O106" s="297">
        <f t="shared" si="44"/>
        <v>517995945.29999989</v>
      </c>
      <c r="Q106" s="308"/>
      <c r="S106" s="316">
        <v>3</v>
      </c>
      <c r="T106" s="317" t="s">
        <v>12</v>
      </c>
      <c r="U106" s="318">
        <f t="shared" si="41"/>
        <v>7653434.1099999994</v>
      </c>
      <c r="V106" s="319">
        <f t="shared" si="41"/>
        <v>10151348.43</v>
      </c>
      <c r="W106" s="319">
        <f t="shared" si="41"/>
        <v>47441096.369999997</v>
      </c>
      <c r="X106" s="319">
        <f t="shared" si="41"/>
        <v>192438955.67000002</v>
      </c>
      <c r="Y106" s="320">
        <f t="shared" si="41"/>
        <v>1431584.25</v>
      </c>
      <c r="Z106" s="321">
        <f t="shared" si="41"/>
        <v>0</v>
      </c>
      <c r="AA106" s="322">
        <f t="shared" si="41"/>
        <v>-2424.23</v>
      </c>
      <c r="AB106" s="296">
        <f t="shared" si="41"/>
        <v>12116788.82</v>
      </c>
      <c r="AC106" s="323">
        <f t="shared" ref="AC106" si="48">AC11+AC30+AC49+AC68+AC87</f>
        <v>4.4000000000000004</v>
      </c>
      <c r="AD106" s="293">
        <f t="shared" si="46"/>
        <v>246765157.47999999</v>
      </c>
      <c r="AE106" s="293">
        <f>AE11+AE30+AE49+AE68+AE87</f>
        <v>246765157.47999999</v>
      </c>
      <c r="AF106" s="324">
        <f>SUM(U106:AD106)</f>
        <v>517995945.29999995</v>
      </c>
      <c r="AG106" s="325">
        <f>AF106-O106</f>
        <v>0</v>
      </c>
      <c r="AH106" s="1" t="b">
        <f t="shared" si="47"/>
        <v>1</v>
      </c>
      <c r="AI106" s="308"/>
    </row>
    <row r="107" spans="2:36" s="307" customFormat="1" x14ac:dyDescent="0.25">
      <c r="B107" s="316">
        <v>4</v>
      </c>
      <c r="C107" s="317" t="s">
        <v>13</v>
      </c>
      <c r="D107" s="293">
        <f t="shared" si="40"/>
        <v>510759521.29999995</v>
      </c>
      <c r="E107" s="294">
        <f t="shared" si="40"/>
        <v>38473020.93</v>
      </c>
      <c r="F107" s="294">
        <f t="shared" si="40"/>
        <v>20743610.040000003</v>
      </c>
      <c r="G107" s="294">
        <f t="shared" si="40"/>
        <v>10574046.58</v>
      </c>
      <c r="H107" s="294">
        <f t="shared" si="40"/>
        <v>80664881.580000013</v>
      </c>
      <c r="I107" s="294">
        <f t="shared" si="40"/>
        <v>2386199.7399999998</v>
      </c>
      <c r="J107" s="290">
        <f t="shared" si="40"/>
        <v>0</v>
      </c>
      <c r="K107" s="297">
        <f t="shared" si="43"/>
        <v>357917762.42999995</v>
      </c>
      <c r="L107" s="296">
        <f>L12+L31+L50+L69+L88</f>
        <v>0</v>
      </c>
      <c r="M107" s="297">
        <f>K107-L107</f>
        <v>357917762.42999995</v>
      </c>
      <c r="N107" s="296">
        <f>N12+N31+N50+N69+N88</f>
        <v>3323424.79</v>
      </c>
      <c r="O107" s="297">
        <f t="shared" si="44"/>
        <v>361241187.21999997</v>
      </c>
      <c r="Q107" s="308"/>
      <c r="S107" s="316">
        <v>4</v>
      </c>
      <c r="T107" s="317" t="s">
        <v>13</v>
      </c>
      <c r="U107" s="318">
        <f t="shared" si="41"/>
        <v>21206823.500000004</v>
      </c>
      <c r="V107" s="319">
        <f t="shared" si="41"/>
        <v>27971326.68</v>
      </c>
      <c r="W107" s="319">
        <f t="shared" si="41"/>
        <v>137987648.21000001</v>
      </c>
      <c r="X107" s="319">
        <f t="shared" si="41"/>
        <v>101802660.04000001</v>
      </c>
      <c r="Y107" s="320">
        <f t="shared" si="41"/>
        <v>3894811.7</v>
      </c>
      <c r="Z107" s="321">
        <f t="shared" si="41"/>
        <v>0</v>
      </c>
      <c r="AA107" s="322">
        <f t="shared" si="41"/>
        <v>-179.92000000000002</v>
      </c>
      <c r="AB107" s="296">
        <f t="shared" si="41"/>
        <v>3323424.79</v>
      </c>
      <c r="AC107" s="323">
        <f t="shared" ref="AC107" si="49">AC12+AC31+AC50+AC69+AC88</f>
        <v>149.12</v>
      </c>
      <c r="AD107" s="293">
        <f t="shared" si="46"/>
        <v>65054523.100000001</v>
      </c>
      <c r="AE107" s="293">
        <f>AE12+AE31+AE50+AE69+AE88</f>
        <v>65054523.100000001</v>
      </c>
      <c r="AF107" s="324">
        <f>SUM(U107:AD107)</f>
        <v>361241187.22000003</v>
      </c>
      <c r="AG107" s="325">
        <f>AF107-O107</f>
        <v>0</v>
      </c>
      <c r="AH107" s="1" t="b">
        <f t="shared" si="47"/>
        <v>1</v>
      </c>
      <c r="AI107" s="308"/>
    </row>
    <row r="108" spans="2:36" s="307" customFormat="1" ht="12" thickBot="1" x14ac:dyDescent="0.3">
      <c r="B108" s="326">
        <v>5</v>
      </c>
      <c r="C108" s="327" t="s">
        <v>14</v>
      </c>
      <c r="D108" s="298">
        <f>D13+D32+D51+D70+D89</f>
        <v>209328694.96000001</v>
      </c>
      <c r="E108" s="299">
        <f t="shared" si="40"/>
        <v>17105867.57</v>
      </c>
      <c r="F108" s="299">
        <f t="shared" si="40"/>
        <v>9316791.2700000014</v>
      </c>
      <c r="G108" s="299">
        <f t="shared" si="40"/>
        <v>4903133.1099999994</v>
      </c>
      <c r="H108" s="299">
        <f t="shared" si="40"/>
        <v>19931186.84</v>
      </c>
      <c r="I108" s="299">
        <f t="shared" si="40"/>
        <v>883215.41</v>
      </c>
      <c r="J108" s="291">
        <f t="shared" si="40"/>
        <v>0</v>
      </c>
      <c r="K108" s="297">
        <f t="shared" si="43"/>
        <v>157188500.75999999</v>
      </c>
      <c r="L108" s="296">
        <f>L13+L32+L51+L70+L89</f>
        <v>0</v>
      </c>
      <c r="M108" s="300">
        <f>K108-L108</f>
        <v>157188500.75999999</v>
      </c>
      <c r="N108" s="301">
        <f>N13+N32+N51+N70+N89</f>
        <v>26713576.390000001</v>
      </c>
      <c r="O108" s="300">
        <f t="shared" si="44"/>
        <v>183902077.14999998</v>
      </c>
      <c r="Q108" s="308"/>
      <c r="S108" s="326">
        <v>5</v>
      </c>
      <c r="T108" s="327" t="s">
        <v>14</v>
      </c>
      <c r="U108" s="298">
        <f t="shared" si="41"/>
        <v>7765771.8300000001</v>
      </c>
      <c r="V108" s="299">
        <f t="shared" si="41"/>
        <v>8977227.4300000016</v>
      </c>
      <c r="W108" s="299">
        <f t="shared" si="41"/>
        <v>46179444.490000002</v>
      </c>
      <c r="X108" s="299">
        <f t="shared" si="41"/>
        <v>51038444.630000003</v>
      </c>
      <c r="Y108" s="291">
        <f t="shared" si="41"/>
        <v>1459568.1</v>
      </c>
      <c r="Z108" s="321">
        <f t="shared" si="41"/>
        <v>0</v>
      </c>
      <c r="AA108" s="322">
        <f t="shared" si="41"/>
        <v>-2146.39</v>
      </c>
      <c r="AB108" s="296">
        <f t="shared" si="41"/>
        <v>26713576.390000001</v>
      </c>
      <c r="AC108" s="323">
        <f t="shared" ref="AC108" si="50">AC13+AC32+AC51+AC70+AC89</f>
        <v>-68.589999999999989</v>
      </c>
      <c r="AD108" s="293">
        <f>-J108+AE108</f>
        <v>41770259.260000005</v>
      </c>
      <c r="AE108" s="293">
        <f>AE13+AE32+AE51+AE70+AE89</f>
        <v>41770259.260000005</v>
      </c>
      <c r="AF108" s="324">
        <f>SUM(U108:AD108)</f>
        <v>183902077.14999998</v>
      </c>
      <c r="AG108" s="328">
        <f>AF108-O108</f>
        <v>0</v>
      </c>
      <c r="AH108" s="1" t="b">
        <f t="shared" si="47"/>
        <v>1</v>
      </c>
      <c r="AI108" s="308"/>
    </row>
    <row r="109" spans="2:36" s="307" customFormat="1" ht="13.5" thickBot="1" x14ac:dyDescent="0.35">
      <c r="B109" s="329"/>
      <c r="C109" s="330" t="s">
        <v>2</v>
      </c>
      <c r="D109" s="292">
        <f t="shared" ref="D109:O109" si="51">SUM(D104:D108)</f>
        <v>3303953003.3599997</v>
      </c>
      <c r="E109" s="292">
        <f t="shared" si="51"/>
        <v>350108370.50999999</v>
      </c>
      <c r="F109" s="292">
        <f t="shared" si="51"/>
        <v>190914044.94</v>
      </c>
      <c r="G109" s="292">
        <f t="shared" si="51"/>
        <v>100831825.30000001</v>
      </c>
      <c r="H109" s="292">
        <f t="shared" si="51"/>
        <v>327460055.29000002</v>
      </c>
      <c r="I109" s="292">
        <f t="shared" si="51"/>
        <v>9829259.1999999993</v>
      </c>
      <c r="J109" s="292">
        <f t="shared" si="51"/>
        <v>0</v>
      </c>
      <c r="K109" s="302">
        <f t="shared" si="51"/>
        <v>2324809448.1199999</v>
      </c>
      <c r="L109" s="303">
        <f t="shared" si="51"/>
        <v>0</v>
      </c>
      <c r="M109" s="304">
        <f t="shared" si="51"/>
        <v>2324809448.1199999</v>
      </c>
      <c r="N109" s="303">
        <f t="shared" si="51"/>
        <v>74576028.74000001</v>
      </c>
      <c r="O109" s="304">
        <f t="shared" si="51"/>
        <v>2399385476.8600001</v>
      </c>
      <c r="P109" s="331"/>
      <c r="Q109" s="308"/>
      <c r="S109" s="329"/>
      <c r="T109" s="330" t="s">
        <v>2</v>
      </c>
      <c r="U109" s="332">
        <f>SUM(U104:U108)</f>
        <v>86751957.899999991</v>
      </c>
      <c r="V109" s="332">
        <f t="shared" ref="V109:AF109" si="52">SUM(V104:V108)</f>
        <v>111452225.67000002</v>
      </c>
      <c r="W109" s="332">
        <f t="shared" si="52"/>
        <v>534227826.80000007</v>
      </c>
      <c r="X109" s="332">
        <f t="shared" si="52"/>
        <v>808716489.30000007</v>
      </c>
      <c r="Y109" s="332">
        <f t="shared" si="52"/>
        <v>16067164.01</v>
      </c>
      <c r="Z109" s="292">
        <f t="shared" si="52"/>
        <v>0</v>
      </c>
      <c r="AA109" s="292">
        <f t="shared" si="52"/>
        <v>-6232.04</v>
      </c>
      <c r="AB109" s="472">
        <f t="shared" si="52"/>
        <v>74576028.74000001</v>
      </c>
      <c r="AC109" s="292">
        <f t="shared" ref="AC109" si="53">SUM(AC104:AC108)</f>
        <v>-56333.919999999991</v>
      </c>
      <c r="AD109" s="292">
        <f t="shared" si="52"/>
        <v>767649241.57000005</v>
      </c>
      <c r="AE109" s="292">
        <f>SUM(AE104:AE108)</f>
        <v>767649241.57000005</v>
      </c>
      <c r="AF109" s="333">
        <f t="shared" si="52"/>
        <v>2399378368.0300002</v>
      </c>
      <c r="AG109" s="334">
        <f>SUM(AG104:AG108)</f>
        <v>-7108.83000010252</v>
      </c>
      <c r="AH109" s="1" t="b">
        <f t="shared" si="47"/>
        <v>0</v>
      </c>
      <c r="AI109" s="308"/>
    </row>
    <row r="110" spans="2:36" ht="12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1557215663.6800001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3">
      <c r="Q115" s="4"/>
    </row>
    <row r="116" spans="1:35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4" x14ac:dyDescent="0.3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5" x14ac:dyDescent="0.3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5">
      <c r="B120" s="8"/>
      <c r="I120" s="2"/>
      <c r="J120" s="2"/>
      <c r="O120" s="10"/>
      <c r="P120" s="2"/>
      <c r="Q120" s="4"/>
    </row>
    <row r="121" spans="1:35" ht="15.5" x14ac:dyDescent="0.3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6.5" thickBot="1" x14ac:dyDescent="0.3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s="307" customFormat="1" x14ac:dyDescent="0.25">
      <c r="B125" s="336">
        <v>1</v>
      </c>
      <c r="C125" s="337" t="s">
        <v>10</v>
      </c>
      <c r="D125" s="310">
        <f>'ANTICIPOS USUARIOS'!O3</f>
        <v>7990275.4900000002</v>
      </c>
      <c r="E125" s="311">
        <v>0</v>
      </c>
      <c r="G125" s="338">
        <f>D47+N47</f>
        <v>42680</v>
      </c>
      <c r="H125" s="312">
        <f>D28+N28</f>
        <v>4590431.71</v>
      </c>
      <c r="I125" s="311">
        <f>D85+N85</f>
        <v>0</v>
      </c>
      <c r="J125" s="311">
        <f>D66+N66</f>
        <v>-83310</v>
      </c>
      <c r="K125" s="311">
        <f>'ANTICIPOS USUARIOS'!O12</f>
        <v>40630</v>
      </c>
      <c r="L125" s="311">
        <f>-'ANTICIPOS USUARIOS'!O21</f>
        <v>0</v>
      </c>
      <c r="O125" s="339"/>
      <c r="Q125" s="308"/>
    </row>
    <row r="126" spans="1:35" s="307" customFormat="1" x14ac:dyDescent="0.25">
      <c r="B126" s="316">
        <v>2</v>
      </c>
      <c r="C126" s="340" t="s">
        <v>11</v>
      </c>
      <c r="D126" s="294">
        <f>'ANTICIPOS USUARIOS'!O4</f>
        <v>52788864.75</v>
      </c>
      <c r="E126" s="290">
        <v>0</v>
      </c>
      <c r="G126" s="341">
        <f>D48+N48</f>
        <v>0</v>
      </c>
      <c r="H126" s="342">
        <f>D29+N29</f>
        <v>29249470.460000001</v>
      </c>
      <c r="I126" s="290">
        <f>D86+N86</f>
        <v>0</v>
      </c>
      <c r="J126" s="290">
        <f t="shared" ref="J126:J129" si="54">D67+N67</f>
        <v>0</v>
      </c>
      <c r="K126" s="290">
        <f>'ANTICIPOS USUARIOS'!O13</f>
        <v>0</v>
      </c>
      <c r="L126" s="290">
        <f>-'ANTICIPOS USUARIOS'!O22</f>
        <v>0</v>
      </c>
      <c r="O126" s="339"/>
      <c r="Q126" s="308"/>
    </row>
    <row r="127" spans="1:35" s="307" customFormat="1" x14ac:dyDescent="0.25">
      <c r="B127" s="316">
        <v>3</v>
      </c>
      <c r="C127" s="340" t="s">
        <v>12</v>
      </c>
      <c r="D127" s="294">
        <f>'ANTICIPOS USUARIOS'!O5</f>
        <v>2921040</v>
      </c>
      <c r="E127" s="290">
        <v>0</v>
      </c>
      <c r="G127" s="341">
        <f>D49+N49</f>
        <v>33180</v>
      </c>
      <c r="H127" s="342">
        <f>D30+N30</f>
        <v>1755754.73</v>
      </c>
      <c r="I127" s="290">
        <f>D87+N87</f>
        <v>0</v>
      </c>
      <c r="J127" s="290">
        <f t="shared" si="54"/>
        <v>-34410</v>
      </c>
      <c r="K127" s="290">
        <f>'ANTICIPOS USUARIOS'!O14</f>
        <v>1230</v>
      </c>
      <c r="L127" s="290">
        <f>-'ANTICIPOS USUARIOS'!O23</f>
        <v>0</v>
      </c>
      <c r="O127" s="339"/>
      <c r="Q127" s="308"/>
    </row>
    <row r="128" spans="1:35" s="307" customFormat="1" x14ac:dyDescent="0.25">
      <c r="B128" s="316">
        <v>4</v>
      </c>
      <c r="C128" s="340" t="s">
        <v>13</v>
      </c>
      <c r="D128" s="294">
        <f>'ANTICIPOS USUARIOS'!O6</f>
        <v>8186683.7199999997</v>
      </c>
      <c r="E128" s="290">
        <v>0</v>
      </c>
      <c r="G128" s="341">
        <f>D50+N50</f>
        <v>239834</v>
      </c>
      <c r="H128" s="342">
        <f>D31+N31</f>
        <v>3170678.8099999996</v>
      </c>
      <c r="I128" s="290">
        <f>D88+N88</f>
        <v>0</v>
      </c>
      <c r="J128" s="290">
        <f t="shared" si="54"/>
        <v>-1742535</v>
      </c>
      <c r="K128" s="290">
        <f>'ANTICIPOS USUARIOS'!O15</f>
        <v>1438701</v>
      </c>
      <c r="L128" s="290">
        <f>-'ANTICIPOS USUARIOS'!O24</f>
        <v>0</v>
      </c>
      <c r="O128" s="339"/>
      <c r="Q128" s="308"/>
    </row>
    <row r="129" spans="1:18" s="307" customFormat="1" x14ac:dyDescent="0.25">
      <c r="B129" s="343">
        <v>5</v>
      </c>
      <c r="C129" s="344" t="s">
        <v>14</v>
      </c>
      <c r="D129" s="294">
        <f>'ANTICIPOS USUARIOS'!O7</f>
        <v>3307034</v>
      </c>
      <c r="E129" s="346">
        <v>0</v>
      </c>
      <c r="G129" s="341">
        <f>D51+N51</f>
        <v>61140</v>
      </c>
      <c r="H129" s="342">
        <f>D32+N32</f>
        <v>1031259.35</v>
      </c>
      <c r="I129" s="290">
        <f>D89+N89</f>
        <v>0</v>
      </c>
      <c r="J129" s="290">
        <f t="shared" si="54"/>
        <v>-304780</v>
      </c>
      <c r="K129" s="290">
        <f>'ANTICIPOS USUARIOS'!O16</f>
        <v>309980</v>
      </c>
      <c r="L129" s="290">
        <f>-'ANTICIPOS USUARIOS'!O25</f>
        <v>66340</v>
      </c>
      <c r="O129" s="339"/>
      <c r="Q129" s="308"/>
    </row>
    <row r="130" spans="1:18" s="307" customFormat="1" ht="12" thickBot="1" x14ac:dyDescent="0.3">
      <c r="B130" s="326" t="s">
        <v>89</v>
      </c>
      <c r="C130" s="347" t="s">
        <v>113</v>
      </c>
      <c r="D130" s="299"/>
      <c r="E130" s="291">
        <f>'Recaudo Directa Occidente'!D26</f>
        <v>0</v>
      </c>
      <c r="G130" s="348"/>
      <c r="H130" s="349"/>
      <c r="I130" s="291"/>
      <c r="J130" s="291"/>
      <c r="K130" s="291"/>
      <c r="L130" s="291"/>
      <c r="O130" s="339"/>
      <c r="Q130" s="308"/>
    </row>
    <row r="131" spans="1:18" s="307" customFormat="1" ht="12" thickBot="1" x14ac:dyDescent="0.3">
      <c r="B131" s="350"/>
      <c r="C131" s="351" t="s">
        <v>2</v>
      </c>
      <c r="D131" s="352">
        <f>SUM(D125:D130)</f>
        <v>75193897.960000008</v>
      </c>
      <c r="E131" s="352">
        <f>SUM(E125:E130)</f>
        <v>0</v>
      </c>
      <c r="F131" s="353"/>
      <c r="G131" s="352">
        <f t="shared" ref="G131" si="55">SUM(G125:G129)</f>
        <v>376834</v>
      </c>
      <c r="H131" s="352">
        <f>SUM(H125:H130)</f>
        <v>39797595.060000002</v>
      </c>
      <c r="I131" s="352">
        <f>SUM(I125:I130)</f>
        <v>0</v>
      </c>
      <c r="J131" s="352">
        <f>SUM(J125:J130)</f>
        <v>-2165035</v>
      </c>
      <c r="K131" s="352">
        <f>SUM(K125:K130)</f>
        <v>1790541</v>
      </c>
      <c r="L131" s="352">
        <f>SUM(L125:L130)</f>
        <v>66340</v>
      </c>
      <c r="M131" s="353"/>
      <c r="N131" s="353"/>
      <c r="O131" s="354"/>
      <c r="P131" s="331"/>
      <c r="Q131" s="308"/>
    </row>
    <row r="132" spans="1:18" x14ac:dyDescent="0.25">
      <c r="B132" s="2"/>
      <c r="C132" s="2"/>
      <c r="D132" s="24"/>
      <c r="Q132" s="4"/>
    </row>
    <row r="133" spans="1:18" x14ac:dyDescent="0.25">
      <c r="B133" s="2"/>
      <c r="C133" s="2"/>
      <c r="D133" s="24"/>
      <c r="L133" s="1" t="s">
        <v>1</v>
      </c>
      <c r="Q133" s="4"/>
    </row>
    <row r="134" spans="1:18" ht="12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6.5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5">
      <c r="B142" s="108">
        <v>1</v>
      </c>
      <c r="C142" s="109" t="s">
        <v>10</v>
      </c>
      <c r="D142" s="110">
        <f>D104+N104+D125+E125</f>
        <v>539127239.70999992</v>
      </c>
      <c r="E142" s="110">
        <f>'Recaudo Directa Occidente'!D21</f>
        <v>534577438</v>
      </c>
      <c r="F142" s="110">
        <f>D28+N28</f>
        <v>4590431.71</v>
      </c>
      <c r="G142" s="110">
        <f>D66+N66</f>
        <v>-83310</v>
      </c>
      <c r="H142" s="110">
        <f>D85+N85</f>
        <v>0</v>
      </c>
      <c r="I142" s="110">
        <f>('REPORTE RECAUDO x BANCO'!E75)</f>
        <v>0</v>
      </c>
      <c r="J142" s="110">
        <f t="shared" ref="J142:K146" si="56">G125</f>
        <v>42680</v>
      </c>
      <c r="K142" s="111">
        <f t="shared" si="56"/>
        <v>4590431.71</v>
      </c>
      <c r="L142" s="527">
        <f>D142-E142-F142-G142-J142-H142-I142</f>
        <v>-8.1025063991546631E-8</v>
      </c>
      <c r="M142" s="1" t="b">
        <f>INT(L142)=0</f>
        <v>0</v>
      </c>
      <c r="O142" s="55"/>
      <c r="P142" s="24"/>
      <c r="Q142" s="35"/>
      <c r="R142" s="24"/>
    </row>
    <row r="143" spans="1:18" x14ac:dyDescent="0.25">
      <c r="B143" s="16">
        <v>2</v>
      </c>
      <c r="C143" s="17" t="s">
        <v>11</v>
      </c>
      <c r="D143" s="18">
        <f>D105+N105+D126+E126</f>
        <v>1452199333.46</v>
      </c>
      <c r="E143" s="18">
        <f>'Recaudo Directa Occidente'!D22</f>
        <v>1422949863</v>
      </c>
      <c r="F143" s="18">
        <f>D29+N29</f>
        <v>29249470.460000001</v>
      </c>
      <c r="G143" s="18">
        <f>D67+N67</f>
        <v>0</v>
      </c>
      <c r="H143" s="18">
        <f>D86+N86</f>
        <v>0</v>
      </c>
      <c r="I143" s="18">
        <f>('REPORTE RECAUDO x BANCO'!E76)</f>
        <v>0</v>
      </c>
      <c r="J143" s="18">
        <f t="shared" si="56"/>
        <v>0</v>
      </c>
      <c r="K143" s="83">
        <f t="shared" si="56"/>
        <v>29249470.460000001</v>
      </c>
      <c r="L143" s="527">
        <f>D143-E143-F143-G143-J143-H143-I143</f>
        <v>3.7252902984619141E-8</v>
      </c>
      <c r="M143" s="1" t="b">
        <f t="shared" ref="M143:M147" si="57">INT(L143)=0</f>
        <v>1</v>
      </c>
      <c r="O143" s="130"/>
      <c r="P143" s="24"/>
      <c r="Q143" s="35"/>
      <c r="R143" s="24"/>
    </row>
    <row r="144" spans="1:18" x14ac:dyDescent="0.25">
      <c r="B144" s="16">
        <v>3</v>
      </c>
      <c r="C144" s="17" t="s">
        <v>12</v>
      </c>
      <c r="D144" s="18">
        <f>D106+N106+D127+E127</f>
        <v>700777421.73000002</v>
      </c>
      <c r="E144" s="18">
        <f>'Recaudo Directa Occidente'!D23</f>
        <v>699022897</v>
      </c>
      <c r="F144" s="18">
        <f>D30+N30</f>
        <v>1755754.73</v>
      </c>
      <c r="G144" s="18">
        <f>D68+N68</f>
        <v>-34410</v>
      </c>
      <c r="H144" s="18">
        <f>D87+N87</f>
        <v>0</v>
      </c>
      <c r="I144" s="18">
        <f>('REPORTE RECAUDO x BANCO'!E77)</f>
        <v>0</v>
      </c>
      <c r="J144" s="18">
        <f t="shared" si="56"/>
        <v>33180</v>
      </c>
      <c r="K144" s="83">
        <f t="shared" si="56"/>
        <v>1755754.73</v>
      </c>
      <c r="L144" s="527">
        <f>D144-E144-F144-G144-J144-H144-I144</f>
        <v>1.909211277961731E-8</v>
      </c>
      <c r="M144" s="1" t="b">
        <f t="shared" si="57"/>
        <v>1</v>
      </c>
      <c r="O144" s="55"/>
      <c r="P144" s="24"/>
      <c r="Q144" s="35"/>
      <c r="R144" s="24"/>
    </row>
    <row r="145" spans="1:20" x14ac:dyDescent="0.25">
      <c r="B145" s="16">
        <v>4</v>
      </c>
      <c r="C145" s="17" t="s">
        <v>13</v>
      </c>
      <c r="D145" s="18">
        <f>D107+N107+D128+E128</f>
        <v>522269629.81</v>
      </c>
      <c r="E145" s="18">
        <f>'Recaudo Directa Occidente'!D24</f>
        <v>520601652</v>
      </c>
      <c r="F145" s="18">
        <f>D31+N31</f>
        <v>3170678.8099999996</v>
      </c>
      <c r="G145" s="18">
        <f>D69+N69</f>
        <v>-1742535</v>
      </c>
      <c r="H145" s="18">
        <f>D88+N88</f>
        <v>0</v>
      </c>
      <c r="I145" s="18">
        <f>('REPORTE RECAUDO x BANCO'!E78)</f>
        <v>0</v>
      </c>
      <c r="J145" s="18">
        <f t="shared" si="56"/>
        <v>239834</v>
      </c>
      <c r="K145" s="83">
        <f t="shared" si="56"/>
        <v>3170678.8099999996</v>
      </c>
      <c r="L145" s="527">
        <f>D145-E145-F145-G145-J145-H145-I145</f>
        <v>2.7939677238464355E-9</v>
      </c>
      <c r="M145" s="1" t="b">
        <f t="shared" si="57"/>
        <v>1</v>
      </c>
      <c r="O145" s="96"/>
      <c r="P145" s="24"/>
      <c r="Q145" s="35"/>
      <c r="R145" s="24"/>
    </row>
    <row r="146" spans="1:20" ht="12" thickBot="1" x14ac:dyDescent="0.3">
      <c r="B146" s="133">
        <v>5</v>
      </c>
      <c r="C146" s="138" t="s">
        <v>14</v>
      </c>
      <c r="D146" s="134">
        <f>D108+N108+D129+E129</f>
        <v>239349305.35000002</v>
      </c>
      <c r="E146" s="18">
        <f>'Recaudo Directa Occidente'!D25</f>
        <v>238561686</v>
      </c>
      <c r="F146" s="134">
        <f>D32+N32</f>
        <v>1031259.35</v>
      </c>
      <c r="G146" s="134">
        <f>D70+N70</f>
        <v>-304780</v>
      </c>
      <c r="H146" s="134">
        <f>D89+N89</f>
        <v>0</v>
      </c>
      <c r="I146" s="134">
        <f>('REPORTE RECAUDO x BANCO'!E79)</f>
        <v>0</v>
      </c>
      <c r="J146" s="134">
        <f t="shared" si="56"/>
        <v>61140</v>
      </c>
      <c r="K146" s="136">
        <f t="shared" si="56"/>
        <v>1031259.35</v>
      </c>
      <c r="L146" s="527">
        <f>D146-E146-F146-G146-J146-H146-I146</f>
        <v>2.3865140974521637E-8</v>
      </c>
      <c r="M146" s="1" t="b">
        <f t="shared" si="57"/>
        <v>1</v>
      </c>
      <c r="O146" s="55"/>
      <c r="P146" s="24"/>
      <c r="Q146" s="35"/>
      <c r="R146" s="24"/>
    </row>
    <row r="147" spans="1:20" ht="12" thickBot="1" x14ac:dyDescent="0.3">
      <c r="B147" s="21"/>
      <c r="C147" s="22" t="s">
        <v>2</v>
      </c>
      <c r="D147" s="47">
        <f>SUM(D142:D146)</f>
        <v>3453722930.0599999</v>
      </c>
      <c r="E147" s="47">
        <f>SUM(E142:E146)</f>
        <v>3415713536</v>
      </c>
      <c r="F147" s="47">
        <f t="shared" ref="F147:K147" si="58">SUM(F142:F146)</f>
        <v>39797595.060000002</v>
      </c>
      <c r="G147" s="47">
        <f t="shared" si="58"/>
        <v>-2165035</v>
      </c>
      <c r="H147" s="47">
        <f t="shared" si="58"/>
        <v>0</v>
      </c>
      <c r="I147" s="47">
        <f t="shared" si="58"/>
        <v>0</v>
      </c>
      <c r="J147" s="47">
        <f t="shared" si="58"/>
        <v>376834</v>
      </c>
      <c r="K147" s="47">
        <f t="shared" si="58"/>
        <v>39797595.060000002</v>
      </c>
      <c r="L147" s="527">
        <f>SUM(L142:L146)</f>
        <v>1.9790604710578918E-9</v>
      </c>
      <c r="M147" s="1" t="b">
        <f t="shared" si="57"/>
        <v>1</v>
      </c>
      <c r="P147" s="24"/>
      <c r="Q147" s="35"/>
      <c r="R147" s="24"/>
    </row>
    <row r="148" spans="1:20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5">
      <c r="N152" s="24"/>
      <c r="O152" s="24"/>
      <c r="Q152" s="24"/>
      <c r="T152" s="24"/>
    </row>
    <row r="153" spans="1:20" x14ac:dyDescent="0.25">
      <c r="N153" s="24"/>
      <c r="O153" s="24"/>
      <c r="Q153" s="24"/>
      <c r="T153" s="24"/>
    </row>
    <row r="154" spans="1:20" x14ac:dyDescent="0.25">
      <c r="E154" s="307"/>
      <c r="N154" s="24"/>
      <c r="O154" s="24"/>
      <c r="Q154" s="24"/>
      <c r="T154" s="24"/>
    </row>
    <row r="155" spans="1:20" x14ac:dyDescent="0.25">
      <c r="E155" s="307"/>
      <c r="N155" s="24"/>
      <c r="O155" s="24"/>
      <c r="Q155" s="24"/>
      <c r="T155" s="24"/>
    </row>
    <row r="156" spans="1:20" x14ac:dyDescent="0.25">
      <c r="E156" s="307"/>
      <c r="N156" s="24"/>
      <c r="O156" s="24"/>
      <c r="Q156" s="24"/>
      <c r="T156" s="24"/>
    </row>
    <row r="157" spans="1:20" x14ac:dyDescent="0.25">
      <c r="E157" s="55"/>
      <c r="N157" s="24"/>
      <c r="O157" s="24"/>
      <c r="Q157" s="24"/>
      <c r="T157" s="24"/>
    </row>
    <row r="158" spans="1:20" x14ac:dyDescent="0.25">
      <c r="N158" s="24"/>
      <c r="O158" s="24"/>
      <c r="Q158" s="24"/>
      <c r="T158" s="24"/>
    </row>
    <row r="159" spans="1:20" x14ac:dyDescent="0.25">
      <c r="N159" s="24"/>
      <c r="O159" s="24"/>
      <c r="Q159" s="24"/>
      <c r="T159" s="24"/>
    </row>
    <row r="160" spans="1:20" x14ac:dyDescent="0.25">
      <c r="N160" s="24"/>
      <c r="O160" s="24"/>
      <c r="Q160" s="24"/>
      <c r="T160" s="24"/>
    </row>
    <row r="161" spans="14:20" x14ac:dyDescent="0.25">
      <c r="N161" s="24"/>
      <c r="O161" s="24"/>
      <c r="Q161" s="24"/>
      <c r="T161" s="24"/>
    </row>
    <row r="162" spans="14:20" x14ac:dyDescent="0.25">
      <c r="N162" s="24"/>
      <c r="O162" s="24"/>
      <c r="Q162" s="24"/>
      <c r="T162" s="24"/>
    </row>
    <row r="163" spans="14:20" x14ac:dyDescent="0.25">
      <c r="N163" s="24"/>
      <c r="O163" s="24"/>
      <c r="Q163" s="24"/>
      <c r="T163" s="24"/>
    </row>
    <row r="164" spans="14:20" x14ac:dyDescent="0.25">
      <c r="Q164" s="24"/>
      <c r="T164" s="24"/>
    </row>
    <row r="165" spans="14:20" x14ac:dyDescent="0.25">
      <c r="Q165" s="24"/>
    </row>
  </sheetData>
  <conditionalFormatting sqref="L142:L147">
    <cfRule type="expression" dxfId="29" priority="20">
      <formula>$L$142&lt;&gt;0</formula>
    </cfRule>
  </conditionalFormatting>
  <conditionalFormatting sqref="M142:M147">
    <cfRule type="cellIs" dxfId="28" priority="7" operator="notEqual">
      <formula>TRUE</formula>
    </cfRule>
  </conditionalFormatting>
  <conditionalFormatting sqref="AH9:AH14">
    <cfRule type="cellIs" dxfId="27" priority="1" operator="notEqual">
      <formula>TRUE</formula>
    </cfRule>
  </conditionalFormatting>
  <conditionalFormatting sqref="AH28:AH33">
    <cfRule type="cellIs" dxfId="26" priority="2" operator="notEqual">
      <formula>TRUE</formula>
    </cfRule>
  </conditionalFormatting>
  <conditionalFormatting sqref="AH47:AH52">
    <cfRule type="cellIs" dxfId="25" priority="3" operator="notEqual">
      <formula>TRUE</formula>
    </cfRule>
  </conditionalFormatting>
  <conditionalFormatting sqref="AH66:AH71">
    <cfRule type="cellIs" dxfId="24" priority="4" operator="notEqual">
      <formula>TRUE</formula>
    </cfRule>
  </conditionalFormatting>
  <conditionalFormatting sqref="AH85:AH90">
    <cfRule type="cellIs" dxfId="23" priority="5" operator="notEqual">
      <formula>TRUE</formula>
    </cfRule>
  </conditionalFormatting>
  <conditionalFormatting sqref="AH104:AH109">
    <cfRule type="cellIs" dxfId="22" priority="6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K104:K109 M104:M109" formula="1"/>
  </ignoredError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B1:P16"/>
  <sheetViews>
    <sheetView zoomScale="90" zoomScaleNormal="90" workbookViewId="0">
      <selection activeCell="E9" sqref="E9"/>
    </sheetView>
  </sheetViews>
  <sheetFormatPr baseColWidth="10" defaultRowHeight="12.5" x14ac:dyDescent="0.25"/>
  <cols>
    <col min="1" max="1" width="3" customWidth="1"/>
    <col min="2" max="2" width="4.26953125" bestFit="1" customWidth="1"/>
    <col min="3" max="3" width="16.7265625" customWidth="1"/>
    <col min="4" max="4" width="14.26953125" customWidth="1"/>
    <col min="5" max="7" width="17.7265625" customWidth="1"/>
    <col min="8" max="8" width="18.26953125" customWidth="1"/>
    <col min="9" max="9" width="15.7265625" customWidth="1"/>
    <col min="10" max="10" width="16.453125" customWidth="1"/>
    <col min="11" max="11" width="15.7265625" customWidth="1"/>
    <col min="12" max="13" width="18.26953125" customWidth="1"/>
    <col min="14" max="14" width="15.7265625" customWidth="1"/>
    <col min="15" max="15" width="14.26953125" customWidth="1"/>
    <col min="16" max="16" width="14.453125" customWidth="1"/>
  </cols>
  <sheetData>
    <row r="1" spans="2:16" ht="13" thickBot="1" x14ac:dyDescent="0.3"/>
    <row r="2" spans="2:16" ht="35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7" customFormat="1" x14ac:dyDescent="0.25">
      <c r="B3" s="305">
        <v>1</v>
      </c>
      <c r="C3" s="294">
        <f>'Recaudo Directa Occidente'!D21</f>
        <v>534577438</v>
      </c>
      <c r="D3" s="294">
        <f>'REMUNERACION_OCCIDENTE_ Directa'!G125</f>
        <v>42680</v>
      </c>
      <c r="E3" s="294">
        <f>'REMUNERACION_OCCIDENTE_ Directa'!D28+'REMUNERACION_OCCIDENTE_ Directa'!N28</f>
        <v>4590431.71</v>
      </c>
      <c r="F3" s="294">
        <f>'REMUNERACION_OCCIDENTE_ Directa'!I142</f>
        <v>0</v>
      </c>
      <c r="G3" s="294">
        <f>'REMUNERACION_OCCIDENTE_ Directa'!H142</f>
        <v>0</v>
      </c>
      <c r="H3" s="342">
        <f>SUM(C3:G3)</f>
        <v>539210549.71000004</v>
      </c>
      <c r="I3" s="293">
        <f>'REMUNERACION_OCCIDENTE_ Directa'!D104</f>
        <v>529346785.86999995</v>
      </c>
      <c r="J3" s="294">
        <f>'REMUNERACION_OCCIDENTE_ Directa'!N104</f>
        <v>1790178.35</v>
      </c>
      <c r="K3" s="294">
        <f>'REMUNERACION_OCCIDENTE_ Directa'!D125</f>
        <v>7990275.4900000002</v>
      </c>
      <c r="L3" s="355">
        <f>'REMUNERACION_OCCIDENTE_ Directa'!E125</f>
        <v>0</v>
      </c>
      <c r="M3" s="294">
        <f>-'REMUNERACION_OCCIDENTE_ Directa'!D66-'REMUNERACION_OCCIDENTE_ Directa'!N66</f>
        <v>83310</v>
      </c>
      <c r="N3" s="290">
        <f>SUM(I3:M3)</f>
        <v>539210549.70999992</v>
      </c>
      <c r="O3" s="356">
        <f t="shared" ref="O3:O8" si="0">H3-N3</f>
        <v>0</v>
      </c>
      <c r="P3" s="1" t="b">
        <f>INT(O3)=0</f>
        <v>1</v>
      </c>
    </row>
    <row r="4" spans="2:16" s="357" customFormat="1" x14ac:dyDescent="0.25">
      <c r="B4" s="316">
        <v>2</v>
      </c>
      <c r="C4" s="319">
        <f>'Recaudo Directa Occidente'!D22</f>
        <v>1422949863</v>
      </c>
      <c r="D4" s="294">
        <f>'REMUNERACION_OCCIDENTE_ Directa'!G126</f>
        <v>0</v>
      </c>
      <c r="E4" s="294">
        <f>'REMUNERACION_OCCIDENTE_ Directa'!D29+'REMUNERACION_OCCIDENTE_ Directa'!N29</f>
        <v>29249470.460000001</v>
      </c>
      <c r="F4" s="294">
        <f>'REMUNERACION_OCCIDENTE_ Directa'!I143</f>
        <v>0</v>
      </c>
      <c r="G4" s="294">
        <f>'REMUNERACION_OCCIDENTE_ Directa'!H143</f>
        <v>0</v>
      </c>
      <c r="H4" s="342">
        <f t="shared" ref="H4:H8" si="1">SUM(C4:G4)</f>
        <v>1452199333.46</v>
      </c>
      <c r="I4" s="293">
        <f>'REMUNERACION_OCCIDENTE_ Directa'!D105</f>
        <v>1368778408.3199999</v>
      </c>
      <c r="J4" s="294">
        <f>'REMUNERACION_OCCIDENTE_ Directa'!N105</f>
        <v>30632060.390000001</v>
      </c>
      <c r="K4" s="294">
        <f>'REMUNERACION_OCCIDENTE_ Directa'!D126</f>
        <v>52788864.75</v>
      </c>
      <c r="L4" s="355">
        <f>'REMUNERACION_OCCIDENTE_ Directa'!E126</f>
        <v>0</v>
      </c>
      <c r="M4" s="294">
        <f>-'REMUNERACION_OCCIDENTE_ Directa'!D67-'REMUNERACION_OCCIDENTE_ Directa'!N67</f>
        <v>0</v>
      </c>
      <c r="N4" s="320">
        <f>SUM(I4:M4)</f>
        <v>1452199333.46</v>
      </c>
      <c r="O4" s="356">
        <f t="shared" si="0"/>
        <v>0</v>
      </c>
      <c r="P4" s="1" t="b">
        <f t="shared" ref="P4:P9" si="2">INT(O4)=0</f>
        <v>1</v>
      </c>
    </row>
    <row r="5" spans="2:16" s="357" customFormat="1" x14ac:dyDescent="0.25">
      <c r="B5" s="316">
        <v>3</v>
      </c>
      <c r="C5" s="319">
        <f>'Recaudo Directa Occidente'!D23</f>
        <v>699022897</v>
      </c>
      <c r="D5" s="294">
        <f>'REMUNERACION_OCCIDENTE_ Directa'!G127</f>
        <v>33180</v>
      </c>
      <c r="E5" s="294">
        <f>'REMUNERACION_OCCIDENTE_ Directa'!D30+'REMUNERACION_OCCIDENTE_ Directa'!N30</f>
        <v>1755754.73</v>
      </c>
      <c r="F5" s="294">
        <f>'REMUNERACION_OCCIDENTE_ Directa'!I144</f>
        <v>0</v>
      </c>
      <c r="G5" s="294">
        <f>'REMUNERACION_OCCIDENTE_ Directa'!H144</f>
        <v>0</v>
      </c>
      <c r="H5" s="342">
        <f t="shared" si="1"/>
        <v>700811831.73000002</v>
      </c>
      <c r="I5" s="293">
        <f>'REMUNERACION_OCCIDENTE_ Directa'!D106</f>
        <v>685739592.90999997</v>
      </c>
      <c r="J5" s="294">
        <f>'REMUNERACION_OCCIDENTE_ Directa'!N106</f>
        <v>12116788.82</v>
      </c>
      <c r="K5" s="294">
        <f>'REMUNERACION_OCCIDENTE_ Directa'!D127</f>
        <v>2921040</v>
      </c>
      <c r="L5" s="355">
        <f>'REMUNERACION_OCCIDENTE_ Directa'!E127</f>
        <v>0</v>
      </c>
      <c r="M5" s="294">
        <f>-'REMUNERACION_OCCIDENTE_ Directa'!D68-'REMUNERACION_OCCIDENTE_ Directa'!N68</f>
        <v>34410</v>
      </c>
      <c r="N5" s="320">
        <f>SUM(I5:M5)</f>
        <v>700811831.73000002</v>
      </c>
      <c r="O5" s="356">
        <f>H5-N5</f>
        <v>0</v>
      </c>
      <c r="P5" s="1" t="b">
        <f t="shared" si="2"/>
        <v>1</v>
      </c>
    </row>
    <row r="6" spans="2:16" s="357" customFormat="1" x14ac:dyDescent="0.25">
      <c r="B6" s="316">
        <v>4</v>
      </c>
      <c r="C6" s="319">
        <f>'Recaudo Directa Occidente'!D24</f>
        <v>520601652</v>
      </c>
      <c r="D6" s="294">
        <f>'REMUNERACION_OCCIDENTE_ Directa'!G128</f>
        <v>239834</v>
      </c>
      <c r="E6" s="294">
        <f>'REMUNERACION_OCCIDENTE_ Directa'!D31+'REMUNERACION_OCCIDENTE_ Directa'!N31</f>
        <v>3170678.8099999996</v>
      </c>
      <c r="F6" s="294">
        <f>'REMUNERACION_OCCIDENTE_ Directa'!I145</f>
        <v>0</v>
      </c>
      <c r="G6" s="294">
        <f>'REMUNERACION_OCCIDENTE_ Directa'!H145</f>
        <v>0</v>
      </c>
      <c r="H6" s="342">
        <f t="shared" si="1"/>
        <v>524012164.81</v>
      </c>
      <c r="I6" s="293">
        <f>'REMUNERACION_OCCIDENTE_ Directa'!D107</f>
        <v>510759521.29999995</v>
      </c>
      <c r="J6" s="294">
        <f>'REMUNERACION_OCCIDENTE_ Directa'!N107</f>
        <v>3323424.79</v>
      </c>
      <c r="K6" s="294">
        <f>'REMUNERACION_OCCIDENTE_ Directa'!D128</f>
        <v>8186683.7199999997</v>
      </c>
      <c r="L6" s="355">
        <f>'REMUNERACION_OCCIDENTE_ Directa'!E128</f>
        <v>0</v>
      </c>
      <c r="M6" s="294">
        <f>-'REMUNERACION_OCCIDENTE_ Directa'!D69-'REMUNERACION_OCCIDENTE_ Directa'!N69</f>
        <v>1742535</v>
      </c>
      <c r="N6" s="320">
        <f t="shared" ref="N6:N7" si="3">SUM(I6:M6)</f>
        <v>524012164.81</v>
      </c>
      <c r="O6" s="356">
        <f t="shared" si="0"/>
        <v>0</v>
      </c>
      <c r="P6" s="1" t="b">
        <f t="shared" si="2"/>
        <v>1</v>
      </c>
    </row>
    <row r="7" spans="2:16" s="357" customFormat="1" x14ac:dyDescent="0.25">
      <c r="B7" s="316">
        <v>5</v>
      </c>
      <c r="C7" s="319">
        <f>'Recaudo Directa Occidente'!D25</f>
        <v>238561686</v>
      </c>
      <c r="D7" s="294">
        <f>'REMUNERACION_OCCIDENTE_ Directa'!G129</f>
        <v>61140</v>
      </c>
      <c r="E7" s="294">
        <f>'REMUNERACION_OCCIDENTE_ Directa'!D32+'REMUNERACION_OCCIDENTE_ Directa'!N32</f>
        <v>1031259.35</v>
      </c>
      <c r="F7" s="294">
        <f>'REMUNERACION_OCCIDENTE_ Directa'!I146</f>
        <v>0</v>
      </c>
      <c r="G7" s="294">
        <f>'REMUNERACION_OCCIDENTE_ Directa'!H146</f>
        <v>0</v>
      </c>
      <c r="H7" s="342">
        <f t="shared" si="1"/>
        <v>239654085.34999999</v>
      </c>
      <c r="I7" s="293">
        <f>'REMUNERACION_OCCIDENTE_ Directa'!D108</f>
        <v>209328694.96000001</v>
      </c>
      <c r="J7" s="294">
        <f>'REMUNERACION_OCCIDENTE_ Directa'!N108</f>
        <v>26713576.390000001</v>
      </c>
      <c r="K7" s="294">
        <f>'REMUNERACION_OCCIDENTE_ Directa'!D129</f>
        <v>3307034</v>
      </c>
      <c r="L7" s="355">
        <f>'REMUNERACION_OCCIDENTE_ Directa'!E129</f>
        <v>0</v>
      </c>
      <c r="M7" s="294">
        <f>-'REMUNERACION_OCCIDENTE_ Directa'!D70-'REMUNERACION_OCCIDENTE_ Directa'!N70</f>
        <v>304780</v>
      </c>
      <c r="N7" s="320">
        <f t="shared" si="3"/>
        <v>239654085.35000002</v>
      </c>
      <c r="O7" s="356">
        <f>H7-N7</f>
        <v>0</v>
      </c>
      <c r="P7" s="1" t="b">
        <f t="shared" si="2"/>
        <v>1</v>
      </c>
    </row>
    <row r="8" spans="2:16" s="357" customFormat="1" ht="13" thickBot="1" x14ac:dyDescent="0.3">
      <c r="B8" s="343" t="s">
        <v>89</v>
      </c>
      <c r="C8" s="319">
        <f>'Recaudo Directa Occidente'!D26</f>
        <v>0</v>
      </c>
      <c r="D8" s="358">
        <v>0</v>
      </c>
      <c r="E8" s="358">
        <v>0</v>
      </c>
      <c r="F8" s="294"/>
      <c r="G8" s="358">
        <v>0</v>
      </c>
      <c r="H8" s="342">
        <f t="shared" si="1"/>
        <v>0</v>
      </c>
      <c r="I8" s="359">
        <v>0</v>
      </c>
      <c r="J8" s="345">
        <v>0</v>
      </c>
      <c r="K8" s="345">
        <v>0</v>
      </c>
      <c r="L8" s="355">
        <f>'REMUNERACION_OCCIDENTE_ Directa'!E130</f>
        <v>0</v>
      </c>
      <c r="M8" s="358">
        <v>0</v>
      </c>
      <c r="N8" s="360">
        <f>SUM(I8:L8)-M8</f>
        <v>0</v>
      </c>
      <c r="O8" s="356">
        <f t="shared" si="0"/>
        <v>0</v>
      </c>
      <c r="P8" s="1" t="b">
        <f t="shared" si="2"/>
        <v>1</v>
      </c>
    </row>
    <row r="9" spans="2:16" s="357" customFormat="1" ht="13" thickBot="1" x14ac:dyDescent="0.3">
      <c r="B9" s="329"/>
      <c r="C9" s="292">
        <f>SUM(C3:C8)</f>
        <v>3415713536</v>
      </c>
      <c r="D9" s="292">
        <f t="shared" ref="D9:M9" si="4">SUM(D3:D8)</f>
        <v>376834</v>
      </c>
      <c r="E9" s="292">
        <f>SUM(E3:E8)</f>
        <v>39797595.060000002</v>
      </c>
      <c r="F9" s="292">
        <f t="shared" si="4"/>
        <v>0</v>
      </c>
      <c r="G9" s="292">
        <f t="shared" si="4"/>
        <v>0</v>
      </c>
      <c r="H9" s="292">
        <f t="shared" si="4"/>
        <v>3455887965.0599999</v>
      </c>
      <c r="I9" s="292">
        <f t="shared" si="4"/>
        <v>3303953003.3599997</v>
      </c>
      <c r="J9" s="292">
        <f t="shared" si="4"/>
        <v>74576028.74000001</v>
      </c>
      <c r="K9" s="292">
        <f t="shared" si="4"/>
        <v>75193897.960000008</v>
      </c>
      <c r="L9" s="292">
        <f t="shared" si="4"/>
        <v>0</v>
      </c>
      <c r="M9" s="292">
        <f t="shared" si="4"/>
        <v>2165035</v>
      </c>
      <c r="N9" s="292">
        <f>SUM(N3:N8)</f>
        <v>3455887965.0599999</v>
      </c>
      <c r="O9" s="361">
        <f>SUM(O3:O8)</f>
        <v>0</v>
      </c>
      <c r="P9" s="1" t="b">
        <f t="shared" si="2"/>
        <v>1</v>
      </c>
    </row>
    <row r="11" spans="2:16" ht="13" x14ac:dyDescent="0.3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Recaudo'!E10</f>
        <v>3415713536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21" priority="4" operator="notEqual">
      <formula>TRUE</formula>
    </cfRule>
  </conditionalFormatting>
  <conditionalFormatting sqref="P3:P9">
    <cfRule type="cellIs" dxfId="20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  <pageSetUpPr fitToPage="1"/>
  </sheetPr>
  <dimension ref="A1:AI52"/>
  <sheetViews>
    <sheetView topLeftCell="A6" zoomScaleNormal="100" workbookViewId="0"/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7265625" style="1" customWidth="1"/>
    <col min="4" max="4" width="15.26953125" style="1" customWidth="1"/>
    <col min="5" max="5" width="16" style="1" customWidth="1"/>
    <col min="6" max="7" width="14.7265625" style="1" customWidth="1"/>
    <col min="8" max="8" width="16.26953125" style="1" customWidth="1"/>
    <col min="9" max="9" width="20.26953125" style="1" bestFit="1" customWidth="1"/>
    <col min="10" max="10" width="15.54296875" style="1" customWidth="1"/>
    <col min="11" max="11" width="17.54296875" style="1" customWidth="1"/>
    <col min="12" max="12" width="16.54296875" style="1" customWidth="1"/>
    <col min="13" max="13" width="19.7265625" style="1" customWidth="1"/>
    <col min="14" max="14" width="15.26953125" style="1" customWidth="1"/>
    <col min="15" max="15" width="16.7265625" style="1" customWidth="1"/>
    <col min="16" max="16" width="3.7265625" style="1" customWidth="1"/>
    <col min="17" max="17" width="2.7265625" style="1" customWidth="1"/>
    <col min="18" max="18" width="4.54296875" style="1" customWidth="1"/>
    <col min="19" max="19" width="11.26953125" style="1" customWidth="1"/>
    <col min="20" max="20" width="39.453125" style="1" customWidth="1"/>
    <col min="21" max="21" width="19.26953125" style="1" customWidth="1"/>
    <col min="22" max="22" width="17.7265625" style="1" customWidth="1"/>
    <col min="23" max="23" width="16.453125" style="1" customWidth="1"/>
    <col min="24" max="24" width="17.26953125" style="1" customWidth="1"/>
    <col min="25" max="25" width="15.7265625" style="1" customWidth="1"/>
    <col min="26" max="26" width="16" style="1" customWidth="1"/>
    <col min="27" max="27" width="15" style="1" customWidth="1"/>
    <col min="28" max="29" width="16.7265625" style="1" customWidth="1"/>
    <col min="30" max="31" width="15.453125" style="1" customWidth="1"/>
    <col min="32" max="32" width="16.26953125" style="1" customWidth="1"/>
    <col min="33" max="33" width="18.26953125" style="1" customWidth="1"/>
    <col min="34" max="34" width="13.7265625" style="1" customWidth="1"/>
    <col min="35" max="35" width="3.453125" style="1" customWidth="1"/>
    <col min="36" max="16384" width="11.453125" style="1"/>
  </cols>
  <sheetData>
    <row r="1" spans="2:35" ht="12" thickBot="1" x14ac:dyDescent="0.3">
      <c r="Q1" s="4"/>
      <c r="AI1" s="4"/>
    </row>
    <row r="2" spans="2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'REMUNERACION_OCCIDENTE_ Directa'!N98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5" x14ac:dyDescent="0.35">
      <c r="B6" s="8"/>
      <c r="C6" s="590" t="s">
        <v>17</v>
      </c>
      <c r="D6" s="9">
        <f>'REMUNERACION_OCCIDENTE_ Directa'!D101</f>
        <v>46282</v>
      </c>
      <c r="F6" s="58" t="str">
        <f>'REMUNERACION_OCCIDENTE_ Directa'!F101</f>
        <v>REPORTE CONSOLIDADO TOTAL DE RECAUDO // OCCIDENTE - Recaudo Facturación Directa</v>
      </c>
      <c r="G6" s="58"/>
      <c r="H6" s="59"/>
      <c r="I6" s="60"/>
      <c r="J6" s="59"/>
      <c r="K6" s="60"/>
      <c r="L6" s="60"/>
      <c r="O6" s="10"/>
      <c r="P6" s="2"/>
      <c r="Q6" s="4"/>
      <c r="S6" s="8"/>
      <c r="T6" s="41" t="s">
        <v>1</v>
      </c>
      <c r="U6" s="58" t="str">
        <f>'REMUNERACION_OCCIDENTE_ Directa'!U101</f>
        <v>REPORTE DETALLADO SUBBOLSA RBL DISCRIMINADO POR ACTIVIDADES // OCCIDENTE - Recaudo Facturación Directa</v>
      </c>
      <c r="V6" s="59"/>
      <c r="W6" s="60"/>
      <c r="X6" s="59"/>
      <c r="Y6" s="2"/>
      <c r="AF6" s="48"/>
      <c r="AG6" s="2"/>
      <c r="AI6" s="4"/>
    </row>
    <row r="7" spans="2:35" ht="12" thickBot="1" x14ac:dyDescent="0.3">
      <c r="B7" s="8"/>
      <c r="C7" s="590" t="s">
        <v>0</v>
      </c>
      <c r="D7" s="289">
        <f>'REMUNERACION_OCCIDENTE_ Directa'!D102</f>
        <v>0.58333333333333337</v>
      </c>
      <c r="F7" s="2" t="s">
        <v>27</v>
      </c>
      <c r="G7" s="9">
        <f>'REMUNERACION_OCCIDENTE_ Directa'!G102</f>
        <v>46266</v>
      </c>
      <c r="J7" s="2" t="s">
        <v>28</v>
      </c>
      <c r="K7" s="9">
        <f>'REMUNERACION_OCCIDENTE_ Directa'!K102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69.5" thickBot="1" x14ac:dyDescent="0.3">
      <c r="B8" s="11" t="s">
        <v>3</v>
      </c>
      <c r="C8" s="27" t="s">
        <v>9</v>
      </c>
      <c r="D8" s="11" t="s">
        <v>163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5">
      <c r="B9" s="14">
        <v>1</v>
      </c>
      <c r="C9" s="61" t="s">
        <v>10</v>
      </c>
      <c r="D9" s="66">
        <f>'REMUNERACION_OCCIDENTE_ Directa'!D104</f>
        <v>529346785.86999995</v>
      </c>
      <c r="E9" s="66">
        <f>'REMUNERACION_OCCIDENTE_ Directa'!E104</f>
        <v>51297751.550000004</v>
      </c>
      <c r="F9" s="66">
        <f>'REMUNERACION_OCCIDENTE_ Directa'!F104</f>
        <v>28055373.969999995</v>
      </c>
      <c r="G9" s="66">
        <f>'REMUNERACION_OCCIDENTE_ Directa'!G104</f>
        <v>14654560.779999999</v>
      </c>
      <c r="H9" s="66">
        <f>'REMUNERACION_OCCIDENTE_ Directa'!H104</f>
        <v>43264487.630000003</v>
      </c>
      <c r="I9" s="66">
        <f>'REMUNERACION_OCCIDENTE_ Directa'!I104</f>
        <v>1544967.9000000001</v>
      </c>
      <c r="J9" s="66">
        <f>'REMUNERACION_OCCIDENTE_ Directa'!J104</f>
        <v>0</v>
      </c>
      <c r="K9" s="30">
        <f>D9-E9-F9-G9-H9-I9-J9</f>
        <v>390529644.04000002</v>
      </c>
      <c r="L9" s="66">
        <f>'REMUNERACION_OCCIDENTE_ Directa'!L104</f>
        <v>0</v>
      </c>
      <c r="M9" s="30">
        <f>K9-L9</f>
        <v>390529644.04000002</v>
      </c>
      <c r="N9" s="66">
        <f>'REMUNERACION_OCCIDENTE_ Directa'!N104</f>
        <v>1790178.35</v>
      </c>
      <c r="O9" s="30">
        <f>M9+N9</f>
        <v>392319822.39000005</v>
      </c>
      <c r="Q9" s="4"/>
      <c r="S9" s="14">
        <v>1</v>
      </c>
      <c r="T9" s="61" t="s">
        <v>10</v>
      </c>
      <c r="U9" s="66">
        <f>'REMUNERACION_OCCIDENTE_ Directa'!U104</f>
        <v>13574756.210000001</v>
      </c>
      <c r="V9" s="66">
        <f>'REMUNERACION_OCCIDENTE_ Directa'!V104</f>
        <v>15555633.379999999</v>
      </c>
      <c r="W9" s="66">
        <f>'REMUNERACION_OCCIDENTE_ Directa'!W104</f>
        <v>71941877.61999999</v>
      </c>
      <c r="X9" s="66">
        <f>'REMUNERACION_OCCIDENTE_ Directa'!X104</f>
        <v>140737424.47999999</v>
      </c>
      <c r="Y9" s="66">
        <f>'REMUNERACION_OCCIDENTE_ Directa'!Y104</f>
        <v>2521854.4500000002</v>
      </c>
      <c r="Z9" s="66">
        <f>'REMUNERACION_OCCIDENTE_ Directa'!Z104</f>
        <v>0</v>
      </c>
      <c r="AA9" s="66">
        <f>'REMUNERACION_OCCIDENTE_ Directa'!AA104</f>
        <v>-684.57</v>
      </c>
      <c r="AB9" s="66">
        <f>'REMUNERACION_OCCIDENTE_ Directa'!AB104</f>
        <v>1790178.35</v>
      </c>
      <c r="AC9" s="66">
        <f>'REMUNERACION_OCCIDENTE_ Directa'!AC104</f>
        <v>355.46999999999997</v>
      </c>
      <c r="AD9" s="66">
        <f>'REMUNERACION_OCCIDENTE_ Directa'!AD104</f>
        <v>146191318.16999999</v>
      </c>
      <c r="AE9" s="66">
        <f>'REMUNERACION_OCCIDENTE_ Directa'!AE104</f>
        <v>146191318.16999999</v>
      </c>
      <c r="AF9" s="69">
        <f>SUM(U9:AD9)</f>
        <v>392312713.55999994</v>
      </c>
      <c r="AG9" s="71">
        <f>AF9-O9</f>
        <v>-7108.83000010252</v>
      </c>
      <c r="AH9" s="1" t="b">
        <f>INT(AG9)=0</f>
        <v>0</v>
      </c>
      <c r="AI9" s="4"/>
    </row>
    <row r="10" spans="2:35" x14ac:dyDescent="0.25">
      <c r="B10" s="16">
        <v>2</v>
      </c>
      <c r="C10" s="62" t="s">
        <v>11</v>
      </c>
      <c r="D10" s="66">
        <f>'REMUNERACION_OCCIDENTE_ Directa'!D105</f>
        <v>1368778408.3199999</v>
      </c>
      <c r="E10" s="66">
        <f>'REMUNERACION_OCCIDENTE_ Directa'!E105</f>
        <v>161817404.75999999</v>
      </c>
      <c r="F10" s="66">
        <f>'REMUNERACION_OCCIDENTE_ Directa'!F105</f>
        <v>87382022.550000012</v>
      </c>
      <c r="G10" s="66">
        <f>'REMUNERACION_OCCIDENTE_ Directa'!G105</f>
        <v>46682153.180000007</v>
      </c>
      <c r="H10" s="66">
        <f>'REMUNERACION_OCCIDENTE_ Directa'!H105</f>
        <v>155463450.62</v>
      </c>
      <c r="I10" s="66">
        <f>'REMUNERACION_OCCIDENTE_ Directa'!I105</f>
        <v>4138992.8000000003</v>
      </c>
      <c r="J10" s="66">
        <f>'REMUNERACION_OCCIDENTE_ Directa'!J105</f>
        <v>0</v>
      </c>
      <c r="K10" s="31">
        <f t="shared" ref="K10:K13" si="0">D10-E10-F10-G10-H10-I10-J10</f>
        <v>913294384.40999997</v>
      </c>
      <c r="L10" s="66">
        <f>'REMUNERACION_OCCIDENTE_ Directa'!L105</f>
        <v>0</v>
      </c>
      <c r="M10" s="31">
        <f>K10-L10</f>
        <v>913294384.40999997</v>
      </c>
      <c r="N10" s="66">
        <f>'REMUNERACION_OCCIDENTE_ Directa'!N105</f>
        <v>30632060.390000001</v>
      </c>
      <c r="O10" s="31">
        <f t="shared" ref="O10:O13" si="1">M10+N10</f>
        <v>943926444.79999995</v>
      </c>
      <c r="Q10" s="4"/>
      <c r="S10" s="16">
        <v>2</v>
      </c>
      <c r="T10" s="62" t="s">
        <v>11</v>
      </c>
      <c r="U10" s="66">
        <f>'REMUNERACION_OCCIDENTE_ Directa'!U105</f>
        <v>36551172.249999993</v>
      </c>
      <c r="V10" s="66">
        <f>'REMUNERACION_OCCIDENTE_ Directa'!V105</f>
        <v>48796689.75</v>
      </c>
      <c r="W10" s="66">
        <f>'REMUNERACION_OCCIDENTE_ Directa'!W105</f>
        <v>230677760.11000001</v>
      </c>
      <c r="X10" s="66">
        <f>'REMUNERACION_OCCIDENTE_ Directa'!X105</f>
        <v>322699004.48000002</v>
      </c>
      <c r="Y10" s="66">
        <f>'REMUNERACION_OCCIDENTE_ Directa'!Y105</f>
        <v>6759345.5100000007</v>
      </c>
      <c r="Z10" s="66">
        <f>'REMUNERACION_OCCIDENTE_ Directa'!Z105</f>
        <v>0</v>
      </c>
      <c r="AA10" s="66">
        <f>'REMUNERACION_OCCIDENTE_ Directa'!AA105</f>
        <v>-796.93</v>
      </c>
      <c r="AB10" s="66">
        <f>'REMUNERACION_OCCIDENTE_ Directa'!AB105</f>
        <v>30632060.390000001</v>
      </c>
      <c r="AC10" s="66">
        <f>'REMUNERACION_OCCIDENTE_ Directa'!AC105</f>
        <v>-56774.32</v>
      </c>
      <c r="AD10" s="66">
        <f>'REMUNERACION_OCCIDENTE_ Directa'!AD105</f>
        <v>267867983.56</v>
      </c>
      <c r="AE10" s="66">
        <f>'REMUNERACION_OCCIDENTE_ Directa'!AE105</f>
        <v>267867983.56</v>
      </c>
      <c r="AF10" s="70">
        <f>SUM(U10:AD10)</f>
        <v>943926444.79999995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5">
      <c r="B11" s="16">
        <v>3</v>
      </c>
      <c r="C11" s="62" t="s">
        <v>12</v>
      </c>
      <c r="D11" s="66">
        <f>'REMUNERACION_OCCIDENTE_ Directa'!D106</f>
        <v>685739592.90999997</v>
      </c>
      <c r="E11" s="66">
        <f>'REMUNERACION_OCCIDENTE_ Directa'!E106</f>
        <v>81414325.700000018</v>
      </c>
      <c r="F11" s="66">
        <f>'REMUNERACION_OCCIDENTE_ Directa'!F106</f>
        <v>45416247.109999999</v>
      </c>
      <c r="G11" s="66">
        <f>'REMUNERACION_OCCIDENTE_ Directa'!G106</f>
        <v>24017931.650000002</v>
      </c>
      <c r="H11" s="66">
        <f>'REMUNERACION_OCCIDENTE_ Directa'!H106</f>
        <v>28136048.619999997</v>
      </c>
      <c r="I11" s="66">
        <f>'REMUNERACION_OCCIDENTE_ Directa'!I106</f>
        <v>875883.35</v>
      </c>
      <c r="J11" s="66">
        <f>'REMUNERACION_OCCIDENTE_ Directa'!J106</f>
        <v>0</v>
      </c>
      <c r="K11" s="31">
        <f t="shared" si="0"/>
        <v>505879156.4799999</v>
      </c>
      <c r="L11" s="66">
        <f>'REMUNERACION_OCCIDENTE_ Directa'!L106</f>
        <v>0</v>
      </c>
      <c r="M11" s="31">
        <f>K11-L11</f>
        <v>505879156.4799999</v>
      </c>
      <c r="N11" s="66">
        <f>'REMUNERACION_OCCIDENTE_ Directa'!N106</f>
        <v>12116788.82</v>
      </c>
      <c r="O11" s="31">
        <f t="shared" si="1"/>
        <v>517995945.29999989</v>
      </c>
      <c r="Q11" s="4"/>
      <c r="S11" s="16">
        <v>3</v>
      </c>
      <c r="T11" s="62" t="s">
        <v>12</v>
      </c>
      <c r="U11" s="66">
        <f>'REMUNERACION_OCCIDENTE_ Directa'!U106</f>
        <v>7653434.1099999994</v>
      </c>
      <c r="V11" s="66">
        <f>'REMUNERACION_OCCIDENTE_ Directa'!V106</f>
        <v>10151348.43</v>
      </c>
      <c r="W11" s="66">
        <f>'REMUNERACION_OCCIDENTE_ Directa'!W106</f>
        <v>47441096.369999997</v>
      </c>
      <c r="X11" s="66">
        <f>'REMUNERACION_OCCIDENTE_ Directa'!X106</f>
        <v>192438955.67000002</v>
      </c>
      <c r="Y11" s="66">
        <f>'REMUNERACION_OCCIDENTE_ Directa'!Y106</f>
        <v>1431584.25</v>
      </c>
      <c r="Z11" s="66">
        <f>'REMUNERACION_OCCIDENTE_ Directa'!Z106</f>
        <v>0</v>
      </c>
      <c r="AA11" s="66">
        <f>'REMUNERACION_OCCIDENTE_ Directa'!AA106</f>
        <v>-2424.23</v>
      </c>
      <c r="AB11" s="66">
        <f>'REMUNERACION_OCCIDENTE_ Directa'!AB106</f>
        <v>12116788.82</v>
      </c>
      <c r="AC11" s="66">
        <f>'REMUNERACION_OCCIDENTE_ Directa'!AC106</f>
        <v>4.4000000000000004</v>
      </c>
      <c r="AD11" s="66">
        <f>'REMUNERACION_OCCIDENTE_ Directa'!AD106</f>
        <v>246765157.47999999</v>
      </c>
      <c r="AE11" s="66">
        <f>'REMUNERACION_OCCIDENTE_ Directa'!AE106</f>
        <v>246765157.47999999</v>
      </c>
      <c r="AF11" s="70">
        <f>SUM(U11:AD11)</f>
        <v>517995945.29999995</v>
      </c>
      <c r="AG11" s="72">
        <f>AF11-O11</f>
        <v>0</v>
      </c>
      <c r="AH11" s="1" t="b">
        <f t="shared" si="2"/>
        <v>1</v>
      </c>
      <c r="AI11" s="4"/>
    </row>
    <row r="12" spans="2:35" x14ac:dyDescent="0.25">
      <c r="B12" s="16">
        <v>4</v>
      </c>
      <c r="C12" s="62" t="s">
        <v>13</v>
      </c>
      <c r="D12" s="66">
        <f>'REMUNERACION_OCCIDENTE_ Directa'!D107</f>
        <v>510759521.29999995</v>
      </c>
      <c r="E12" s="66">
        <f>'REMUNERACION_OCCIDENTE_ Directa'!E107</f>
        <v>38473020.93</v>
      </c>
      <c r="F12" s="66">
        <f>'REMUNERACION_OCCIDENTE_ Directa'!F107</f>
        <v>20743610.040000003</v>
      </c>
      <c r="G12" s="66">
        <f>'REMUNERACION_OCCIDENTE_ Directa'!G107</f>
        <v>10574046.58</v>
      </c>
      <c r="H12" s="66">
        <f>'REMUNERACION_OCCIDENTE_ Directa'!H107</f>
        <v>80664881.580000013</v>
      </c>
      <c r="I12" s="66">
        <f>'REMUNERACION_OCCIDENTE_ Directa'!I107</f>
        <v>2386199.7399999998</v>
      </c>
      <c r="J12" s="66">
        <f>'REMUNERACION_OCCIDENTE_ Directa'!J107</f>
        <v>0</v>
      </c>
      <c r="K12" s="31">
        <f t="shared" si="0"/>
        <v>357917762.42999995</v>
      </c>
      <c r="L12" s="66">
        <f>'REMUNERACION_OCCIDENTE_ Directa'!L107</f>
        <v>0</v>
      </c>
      <c r="M12" s="31">
        <f>K12-L12</f>
        <v>357917762.42999995</v>
      </c>
      <c r="N12" s="66">
        <f>'REMUNERACION_OCCIDENTE_ Directa'!N107</f>
        <v>3323424.79</v>
      </c>
      <c r="O12" s="31">
        <f t="shared" si="1"/>
        <v>361241187.21999997</v>
      </c>
      <c r="Q12" s="4"/>
      <c r="S12" s="16">
        <v>4</v>
      </c>
      <c r="T12" s="62" t="s">
        <v>13</v>
      </c>
      <c r="U12" s="66">
        <f>'REMUNERACION_OCCIDENTE_ Directa'!U107</f>
        <v>21206823.500000004</v>
      </c>
      <c r="V12" s="66">
        <f>'REMUNERACION_OCCIDENTE_ Directa'!V107</f>
        <v>27971326.68</v>
      </c>
      <c r="W12" s="66">
        <f>'REMUNERACION_OCCIDENTE_ Directa'!W107</f>
        <v>137987648.21000001</v>
      </c>
      <c r="X12" s="66">
        <f>'REMUNERACION_OCCIDENTE_ Directa'!X107</f>
        <v>101802660.04000001</v>
      </c>
      <c r="Y12" s="66">
        <f>'REMUNERACION_OCCIDENTE_ Directa'!Y107</f>
        <v>3894811.7</v>
      </c>
      <c r="Z12" s="66">
        <f>'REMUNERACION_OCCIDENTE_ Directa'!Z107</f>
        <v>0</v>
      </c>
      <c r="AA12" s="66">
        <f>'REMUNERACION_OCCIDENTE_ Directa'!AA107</f>
        <v>-179.92000000000002</v>
      </c>
      <c r="AB12" s="66">
        <f>'REMUNERACION_OCCIDENTE_ Directa'!AB107</f>
        <v>3323424.79</v>
      </c>
      <c r="AC12" s="66">
        <f>'REMUNERACION_OCCIDENTE_ Directa'!AC107</f>
        <v>149.12</v>
      </c>
      <c r="AD12" s="66">
        <f>'REMUNERACION_OCCIDENTE_ Directa'!AD107</f>
        <v>65054523.100000001</v>
      </c>
      <c r="AE12" s="66">
        <f>'REMUNERACION_OCCIDENTE_ Directa'!AE107</f>
        <v>65054523.100000001</v>
      </c>
      <c r="AF12" s="70">
        <f>SUM(U12:AD12)</f>
        <v>361241187.22000003</v>
      </c>
      <c r="AG12" s="72">
        <f>AF12-O12</f>
        <v>0</v>
      </c>
      <c r="AH12" s="1" t="b">
        <f t="shared" si="2"/>
        <v>1</v>
      </c>
      <c r="AI12" s="4"/>
    </row>
    <row r="13" spans="2:35" ht="12" thickBot="1" x14ac:dyDescent="0.3">
      <c r="B13" s="19">
        <v>5</v>
      </c>
      <c r="C13" s="63" t="s">
        <v>14</v>
      </c>
      <c r="D13" s="66">
        <f>'REMUNERACION_OCCIDENTE_ Directa'!D108</f>
        <v>209328694.96000001</v>
      </c>
      <c r="E13" s="66">
        <f>'REMUNERACION_OCCIDENTE_ Directa'!E108</f>
        <v>17105867.57</v>
      </c>
      <c r="F13" s="66">
        <f>'REMUNERACION_OCCIDENTE_ Directa'!F108</f>
        <v>9316791.2700000014</v>
      </c>
      <c r="G13" s="66">
        <f>'REMUNERACION_OCCIDENTE_ Directa'!G108</f>
        <v>4903133.1099999994</v>
      </c>
      <c r="H13" s="66">
        <f>'REMUNERACION_OCCIDENTE_ Directa'!H108</f>
        <v>19931186.84</v>
      </c>
      <c r="I13" s="66">
        <f>'REMUNERACION_OCCIDENTE_ Directa'!I108</f>
        <v>883215.41</v>
      </c>
      <c r="J13" s="66">
        <f>'REMUNERACION_OCCIDENTE_ Directa'!J108</f>
        <v>0</v>
      </c>
      <c r="K13" s="31">
        <f t="shared" si="0"/>
        <v>157188500.75999999</v>
      </c>
      <c r="L13" s="66">
        <f>'REMUNERACION_OCCIDENTE_ Directa'!L108</f>
        <v>0</v>
      </c>
      <c r="M13" s="40">
        <f>K13-L13</f>
        <v>157188500.75999999</v>
      </c>
      <c r="N13" s="66">
        <f>'REMUNERACION_OCCIDENTE_ Directa'!N108</f>
        <v>26713576.390000001</v>
      </c>
      <c r="O13" s="40">
        <f t="shared" si="1"/>
        <v>183902077.14999998</v>
      </c>
      <c r="Q13" s="4"/>
      <c r="S13" s="19">
        <v>5</v>
      </c>
      <c r="T13" s="63" t="s">
        <v>14</v>
      </c>
      <c r="U13" s="66">
        <f>'REMUNERACION_OCCIDENTE_ Directa'!U108</f>
        <v>7765771.8300000001</v>
      </c>
      <c r="V13" s="66">
        <f>'REMUNERACION_OCCIDENTE_ Directa'!V108</f>
        <v>8977227.4300000016</v>
      </c>
      <c r="W13" s="66">
        <f>'REMUNERACION_OCCIDENTE_ Directa'!W108</f>
        <v>46179444.490000002</v>
      </c>
      <c r="X13" s="66">
        <f>'REMUNERACION_OCCIDENTE_ Directa'!X108</f>
        <v>51038444.630000003</v>
      </c>
      <c r="Y13" s="66">
        <f>'REMUNERACION_OCCIDENTE_ Directa'!Y108</f>
        <v>1459568.1</v>
      </c>
      <c r="Z13" s="66">
        <f>'REMUNERACION_OCCIDENTE_ Directa'!Z108</f>
        <v>0</v>
      </c>
      <c r="AA13" s="66">
        <f>'REMUNERACION_OCCIDENTE_ Directa'!AA108</f>
        <v>-2146.39</v>
      </c>
      <c r="AB13" s="66">
        <f>'REMUNERACION_OCCIDENTE_ Directa'!AB108</f>
        <v>26713576.390000001</v>
      </c>
      <c r="AC13" s="66">
        <f>'REMUNERACION_OCCIDENTE_ Directa'!AC108</f>
        <v>-68.589999999999989</v>
      </c>
      <c r="AD13" s="66">
        <f>'REMUNERACION_OCCIDENTE_ Directa'!AD108</f>
        <v>41770259.260000005</v>
      </c>
      <c r="AE13" s="66">
        <f>'REMUNERACION_OCCIDENTE_ Directa'!AE108</f>
        <v>41770259.260000005</v>
      </c>
      <c r="AF13" s="70">
        <f>SUM(U13:AD13)</f>
        <v>183902077.14999998</v>
      </c>
      <c r="AG13" s="371">
        <f>AF13-O13</f>
        <v>0</v>
      </c>
      <c r="AH13" s="1" t="b">
        <f t="shared" si="2"/>
        <v>1</v>
      </c>
      <c r="AI13" s="4"/>
    </row>
    <row r="14" spans="2:35" ht="13.5" thickBot="1" x14ac:dyDescent="0.35">
      <c r="B14" s="21"/>
      <c r="C14" s="22" t="s">
        <v>119</v>
      </c>
      <c r="D14" s="43">
        <f t="shared" ref="D14:O14" si="3">SUM(D9:D13)</f>
        <v>3303953003.3599997</v>
      </c>
      <c r="E14" s="43">
        <f t="shared" si="3"/>
        <v>350108370.50999999</v>
      </c>
      <c r="F14" s="43">
        <f t="shared" si="3"/>
        <v>190914044.94</v>
      </c>
      <c r="G14" s="43">
        <f t="shared" si="3"/>
        <v>100831825.30000001</v>
      </c>
      <c r="H14" s="43">
        <f t="shared" si="3"/>
        <v>327460055.29000002</v>
      </c>
      <c r="I14" s="43">
        <f t="shared" si="3"/>
        <v>9829259.1999999993</v>
      </c>
      <c r="J14" s="43">
        <f t="shared" si="3"/>
        <v>0</v>
      </c>
      <c r="K14" s="32">
        <f t="shared" si="3"/>
        <v>2324809448.1199999</v>
      </c>
      <c r="L14" s="23">
        <f t="shared" si="3"/>
        <v>0</v>
      </c>
      <c r="M14" s="76">
        <f t="shared" si="3"/>
        <v>2324809448.1199999</v>
      </c>
      <c r="N14" s="23">
        <f t="shared" si="3"/>
        <v>74576028.74000001</v>
      </c>
      <c r="O14" s="76">
        <f t="shared" si="3"/>
        <v>2399385476.8600001</v>
      </c>
      <c r="P14" s="2"/>
      <c r="Q14" s="4"/>
      <c r="S14" s="21"/>
      <c r="T14" s="22" t="s">
        <v>119</v>
      </c>
      <c r="U14" s="43">
        <f>SUM(U9:U13)</f>
        <v>86751957.899999991</v>
      </c>
      <c r="V14" s="43">
        <f t="shared" ref="V14:AG14" si="4">SUM(V9:V13)</f>
        <v>111452225.67000002</v>
      </c>
      <c r="W14" s="43">
        <f t="shared" si="4"/>
        <v>534227826.80000007</v>
      </c>
      <c r="X14" s="43">
        <f t="shared" si="4"/>
        <v>808716489.30000007</v>
      </c>
      <c r="Y14" s="43">
        <f t="shared" si="4"/>
        <v>16067164.01</v>
      </c>
      <c r="Z14" s="43">
        <f t="shared" si="4"/>
        <v>0</v>
      </c>
      <c r="AA14" s="43">
        <f t="shared" si="4"/>
        <v>-6232.04</v>
      </c>
      <c r="AB14" s="43">
        <f t="shared" si="4"/>
        <v>74576028.74000001</v>
      </c>
      <c r="AC14" s="43">
        <f t="shared" si="4"/>
        <v>-56333.919999999991</v>
      </c>
      <c r="AD14" s="43">
        <f t="shared" si="4"/>
        <v>767649241.57000005</v>
      </c>
      <c r="AE14" s="43">
        <f>SUM(AE9:AE13)</f>
        <v>767649241.57000005</v>
      </c>
      <c r="AF14" s="68">
        <f t="shared" si="4"/>
        <v>2399378368.0300002</v>
      </c>
      <c r="AG14" s="43">
        <f t="shared" si="4"/>
        <v>-7108.83000010252</v>
      </c>
      <c r="AH14" s="1" t="b">
        <f t="shared" si="2"/>
        <v>0</v>
      </c>
      <c r="AI14" s="4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1557215663.6800001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3">
      <c r="Q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4" x14ac:dyDescent="0.3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'REMUNERACION_OCCIDENTE_ Directa'!M117</f>
        <v>2026091</v>
      </c>
      <c r="O22" s="10"/>
      <c r="P22" s="2"/>
      <c r="Q22" s="4"/>
    </row>
    <row r="23" spans="1:35" ht="15.5" x14ac:dyDescent="0.3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5">
      <c r="B25" s="8"/>
      <c r="I25" s="2"/>
      <c r="J25" s="2"/>
      <c r="O25" s="10"/>
      <c r="P25" s="2"/>
      <c r="Q25" s="4"/>
    </row>
    <row r="26" spans="1:35" ht="15.5" x14ac:dyDescent="0.3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5">
      <c r="B27" s="8"/>
      <c r="F27" s="2" t="s">
        <v>27</v>
      </c>
      <c r="G27" s="2"/>
      <c r="H27" s="9">
        <f>'REMUNERACION_OCCIDENTE_ Directa'!G122</f>
        <v>46266</v>
      </c>
      <c r="J27" s="2" t="s">
        <v>28</v>
      </c>
      <c r="K27" s="9">
        <f>'REMUNERACION_OCCIDENTE_ Directa'!K122</f>
        <v>46280</v>
      </c>
      <c r="O27" s="10"/>
      <c r="P27" s="2"/>
      <c r="Q27" s="4"/>
    </row>
    <row r="28" spans="1:35" ht="12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6.5" thickBot="1" x14ac:dyDescent="0.3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x14ac:dyDescent="0.25">
      <c r="B30" s="108">
        <v>1</v>
      </c>
      <c r="C30" s="109" t="s">
        <v>10</v>
      </c>
      <c r="D30" s="110">
        <f>'REMUNERACION_OCCIDENTE_ Directa'!D125</f>
        <v>7990275.4900000002</v>
      </c>
      <c r="E30" s="111">
        <f>'REMUNERACION_OCCIDENTE_ Directa'!E125</f>
        <v>0</v>
      </c>
      <c r="G30" s="338">
        <f>'REMUNERACION_OCCIDENTE_ Directa'!G125</f>
        <v>42680</v>
      </c>
      <c r="H30" s="312">
        <f>'REMUNERACION_OCCIDENTE_ Directa'!H125</f>
        <v>4590431.71</v>
      </c>
      <c r="I30" s="311">
        <f>'REMUNERACION_OCCIDENTE_ Directa'!I125</f>
        <v>0</v>
      </c>
      <c r="J30" s="311">
        <f>'REMUNERACION_OCCIDENTE_ Directa'!J125</f>
        <v>-83310</v>
      </c>
      <c r="K30" s="311">
        <f>'REMUNERACION_OCCIDENTE_ Directa'!K125</f>
        <v>40630</v>
      </c>
      <c r="L30" s="311">
        <f>'REMUNERACION_OCCIDENTE_ Directa'!L125</f>
        <v>0</v>
      </c>
      <c r="O30" s="44"/>
      <c r="Q30" s="4"/>
    </row>
    <row r="31" spans="1:35" x14ac:dyDescent="0.25">
      <c r="B31" s="16">
        <v>2</v>
      </c>
      <c r="C31" s="17" t="s">
        <v>11</v>
      </c>
      <c r="D31" s="15">
        <f>'REMUNERACION_OCCIDENTE_ Directa'!D126</f>
        <v>52788864.75</v>
      </c>
      <c r="E31" s="74">
        <f>'REMUNERACION_OCCIDENTE_ Directa'!E126</f>
        <v>0</v>
      </c>
      <c r="G31" s="341">
        <f>'REMUNERACION_OCCIDENTE_ Directa'!G126</f>
        <v>0</v>
      </c>
      <c r="H31" s="342">
        <f>'REMUNERACION_OCCIDENTE_ Directa'!H126</f>
        <v>29249470.460000001</v>
      </c>
      <c r="I31" s="290">
        <f>'REMUNERACION_OCCIDENTE_ Directa'!I126</f>
        <v>0</v>
      </c>
      <c r="J31" s="290">
        <f>'REMUNERACION_OCCIDENTE_ Directa'!J126</f>
        <v>0</v>
      </c>
      <c r="K31" s="290">
        <f>'REMUNERACION_OCCIDENTE_ Directa'!K126</f>
        <v>0</v>
      </c>
      <c r="L31" s="290">
        <f>'REMUNERACION_OCCIDENTE_ Directa'!L126</f>
        <v>0</v>
      </c>
      <c r="O31" s="44"/>
      <c r="Q31" s="4"/>
    </row>
    <row r="32" spans="1:35" x14ac:dyDescent="0.25">
      <c r="B32" s="16">
        <v>3</v>
      </c>
      <c r="C32" s="17" t="s">
        <v>12</v>
      </c>
      <c r="D32" s="15">
        <f>'REMUNERACION_OCCIDENTE_ Directa'!D127</f>
        <v>2921040</v>
      </c>
      <c r="E32" s="74">
        <f>'REMUNERACION_OCCIDENTE_ Directa'!E127</f>
        <v>0</v>
      </c>
      <c r="G32" s="341">
        <f>'REMUNERACION_OCCIDENTE_ Directa'!G127</f>
        <v>33180</v>
      </c>
      <c r="H32" s="342">
        <f>'REMUNERACION_OCCIDENTE_ Directa'!H127</f>
        <v>1755754.73</v>
      </c>
      <c r="I32" s="290">
        <f>'REMUNERACION_OCCIDENTE_ Directa'!I127</f>
        <v>0</v>
      </c>
      <c r="J32" s="290">
        <f>'REMUNERACION_OCCIDENTE_ Directa'!J127</f>
        <v>-34410</v>
      </c>
      <c r="K32" s="290">
        <f>'REMUNERACION_OCCIDENTE_ Directa'!K127</f>
        <v>1230</v>
      </c>
      <c r="L32" s="290">
        <f>'REMUNERACION_OCCIDENTE_ Directa'!L127</f>
        <v>0</v>
      </c>
      <c r="O32" s="44"/>
      <c r="Q32" s="4"/>
    </row>
    <row r="33" spans="1:20" x14ac:dyDescent="0.25">
      <c r="B33" s="16">
        <v>4</v>
      </c>
      <c r="C33" s="17" t="s">
        <v>13</v>
      </c>
      <c r="D33" s="15">
        <f>'REMUNERACION_OCCIDENTE_ Directa'!D128</f>
        <v>8186683.7199999997</v>
      </c>
      <c r="E33" s="74">
        <f>'REMUNERACION_OCCIDENTE_ Directa'!E128</f>
        <v>0</v>
      </c>
      <c r="G33" s="341">
        <f>'REMUNERACION_OCCIDENTE_ Directa'!G128</f>
        <v>239834</v>
      </c>
      <c r="H33" s="342">
        <f>'REMUNERACION_OCCIDENTE_ Directa'!H128</f>
        <v>3170678.8099999996</v>
      </c>
      <c r="I33" s="290">
        <f>'REMUNERACION_OCCIDENTE_ Directa'!I128</f>
        <v>0</v>
      </c>
      <c r="J33" s="290">
        <f>'REMUNERACION_OCCIDENTE_ Directa'!J128</f>
        <v>-1742535</v>
      </c>
      <c r="K33" s="290">
        <f>'REMUNERACION_OCCIDENTE_ Directa'!K128</f>
        <v>1438701</v>
      </c>
      <c r="L33" s="290">
        <f>'REMUNERACION_OCCIDENTE_ Directa'!L128</f>
        <v>0</v>
      </c>
      <c r="O33" s="44"/>
      <c r="Q33" s="4"/>
    </row>
    <row r="34" spans="1:20" x14ac:dyDescent="0.25">
      <c r="B34" s="133">
        <v>5</v>
      </c>
      <c r="C34" s="138" t="s">
        <v>14</v>
      </c>
      <c r="D34" s="135">
        <f>'REMUNERACION_OCCIDENTE_ Directa'!D129</f>
        <v>3307034</v>
      </c>
      <c r="E34" s="139">
        <f>'REMUNERACION_OCCIDENTE_ Directa'!E129</f>
        <v>0</v>
      </c>
      <c r="G34" s="341">
        <f>'REMUNERACION_OCCIDENTE_ Directa'!G129</f>
        <v>61140</v>
      </c>
      <c r="H34" s="342">
        <f>'REMUNERACION_OCCIDENTE_ Directa'!H129</f>
        <v>1031259.35</v>
      </c>
      <c r="I34" s="290">
        <f>'REMUNERACION_OCCIDENTE_ Directa'!I129</f>
        <v>0</v>
      </c>
      <c r="J34" s="290">
        <f>'REMUNERACION_OCCIDENTE_ Directa'!J129</f>
        <v>-304780</v>
      </c>
      <c r="K34" s="290">
        <f>'REMUNERACION_OCCIDENTE_ Directa'!K129</f>
        <v>309980</v>
      </c>
      <c r="L34" s="290">
        <f>'REMUNERACION_OCCIDENTE_ Directa'!L129</f>
        <v>66340</v>
      </c>
      <c r="O34" s="44"/>
      <c r="Q34" s="4"/>
    </row>
    <row r="35" spans="1:20" ht="12" thickBot="1" x14ac:dyDescent="0.3">
      <c r="B35" s="19" t="s">
        <v>89</v>
      </c>
      <c r="C35" s="20" t="s">
        <v>113</v>
      </c>
      <c r="D35" s="78"/>
      <c r="E35" s="79">
        <f>'REMUNERACION_OCCIDENTE_ Directa'!E130</f>
        <v>0</v>
      </c>
      <c r="G35" s="348"/>
      <c r="H35" s="349"/>
      <c r="I35" s="291"/>
      <c r="J35" s="291"/>
      <c r="K35" s="291"/>
      <c r="L35" s="291"/>
      <c r="O35" s="44"/>
      <c r="Q35" s="4"/>
    </row>
    <row r="36" spans="1:20" ht="12" thickBot="1" x14ac:dyDescent="0.3">
      <c r="B36" s="95"/>
      <c r="C36" s="106" t="s">
        <v>119</v>
      </c>
      <c r="D36" s="107">
        <f t="shared" ref="D36" si="5">SUM(D30:D34)</f>
        <v>75193897.960000008</v>
      </c>
      <c r="E36" s="107">
        <f>'REMUNERACION_OCCIDENTE_ Directa'!E131</f>
        <v>0</v>
      </c>
      <c r="F36" s="45"/>
      <c r="G36" s="352">
        <f t="shared" ref="G36:L36" si="6">SUM(G30:G34)</f>
        <v>376834</v>
      </c>
      <c r="H36" s="352">
        <f t="shared" si="6"/>
        <v>39797595.060000002</v>
      </c>
      <c r="I36" s="352">
        <f t="shared" si="6"/>
        <v>0</v>
      </c>
      <c r="J36" s="352">
        <f t="shared" si="6"/>
        <v>-2165035</v>
      </c>
      <c r="K36" s="352">
        <f t="shared" si="6"/>
        <v>1790541</v>
      </c>
      <c r="L36" s="352">
        <f t="shared" si="6"/>
        <v>66340</v>
      </c>
      <c r="M36" s="45"/>
      <c r="N36" s="45"/>
      <c r="O36" s="46"/>
      <c r="P36" s="2"/>
      <c r="Q36" s="4"/>
    </row>
    <row r="37" spans="1:20" x14ac:dyDescent="0.25">
      <c r="B37" s="2"/>
      <c r="C37" s="2"/>
      <c r="D37" s="24"/>
      <c r="Q37" s="4"/>
    </row>
    <row r="38" spans="1:20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5">
      <c r="N42" s="24"/>
      <c r="O42" s="24"/>
      <c r="Q42" s="24"/>
      <c r="T42" s="24"/>
    </row>
    <row r="43" spans="1:20" x14ac:dyDescent="0.25">
      <c r="N43" s="24"/>
      <c r="O43" s="24"/>
      <c r="Q43" s="24"/>
      <c r="T43" s="24"/>
    </row>
    <row r="44" spans="1:20" x14ac:dyDescent="0.25">
      <c r="D44" s="269" t="b">
        <f>D14='REMUNERACION_OCCIDENTE_ Directa'!D109</f>
        <v>1</v>
      </c>
      <c r="E44" s="269" t="b">
        <f>E14='REMUNERACION_OCCIDENTE_ Directa'!E109</f>
        <v>1</v>
      </c>
      <c r="F44" s="269" t="b">
        <f>F14='REMUNERACION_OCCIDENTE_ Directa'!F109</f>
        <v>1</v>
      </c>
      <c r="G44" s="269" t="b">
        <f>G14='REMUNERACION_OCCIDENTE_ Directa'!G109</f>
        <v>1</v>
      </c>
      <c r="H44" s="269" t="b">
        <f>H14='REMUNERACION_OCCIDENTE_ Directa'!H109</f>
        <v>1</v>
      </c>
      <c r="I44" s="269" t="b">
        <f>I14='REMUNERACION_OCCIDENTE_ Directa'!I109</f>
        <v>1</v>
      </c>
      <c r="J44" s="269" t="b">
        <f>J14='REMUNERACION_OCCIDENTE_ Directa'!J109</f>
        <v>1</v>
      </c>
      <c r="K44" s="269" t="b">
        <f>K14='REMUNERACION_OCCIDENTE_ Directa'!K109</f>
        <v>1</v>
      </c>
      <c r="L44" s="269" t="b">
        <f>L14='REMUNERACION_OCCIDENTE_ Directa'!L109</f>
        <v>1</v>
      </c>
      <c r="M44" s="269" t="b">
        <f>M14='REMUNERACION_OCCIDENTE_ Directa'!M109</f>
        <v>1</v>
      </c>
      <c r="N44" s="269" t="b">
        <f>N14='REMUNERACION_OCCIDENTE_ Directa'!N109</f>
        <v>1</v>
      </c>
      <c r="O44" s="269" t="b">
        <f>O14='REMUNERACION_OCCIDENTE_ Directa'!O109</f>
        <v>1</v>
      </c>
      <c r="Q44" s="24"/>
      <c r="T44" s="24"/>
    </row>
    <row r="45" spans="1:20" x14ac:dyDescent="0.25">
      <c r="D45" s="269" t="b">
        <f>D36='REMUNERACION_OCCIDENTE_ Directa'!D131</f>
        <v>1</v>
      </c>
      <c r="E45" s="269" t="b">
        <f>E36='REMUNERACION_OCCIDENTE_ Directa'!E131</f>
        <v>1</v>
      </c>
      <c r="F45" s="269" t="b">
        <f>F36='REMUNERACION_OCCIDENTE_ Directa'!F131</f>
        <v>1</v>
      </c>
      <c r="G45" s="269" t="b">
        <f>G36='REMUNERACION_OCCIDENTE_ Directa'!G131</f>
        <v>1</v>
      </c>
      <c r="H45" s="269" t="b">
        <f>H36='REMUNERACION_OCCIDENTE_ Directa'!H131</f>
        <v>1</v>
      </c>
      <c r="I45" s="269" t="b">
        <f>I36='REMUNERACION_OCCIDENTE_ Directa'!I131</f>
        <v>1</v>
      </c>
      <c r="J45" s="269" t="b">
        <f>J36='REMUNERACION_OCCIDENTE_ Directa'!J131</f>
        <v>1</v>
      </c>
      <c r="K45" s="269" t="b">
        <f>K36='REMUNERACION_OCCIDENTE_ Directa'!K131</f>
        <v>1</v>
      </c>
      <c r="L45" s="269" t="b">
        <f>L36='REMUNERACION_OCCIDENTE_ Directa'!L131</f>
        <v>1</v>
      </c>
      <c r="M45" s="269" t="b">
        <f>M36='REMUNERACION_OCCIDENTE_ Directa'!M131</f>
        <v>1</v>
      </c>
      <c r="N45" s="269" t="b">
        <f>N36='REMUNERACION_OCCIDENTE_ Directa'!N131</f>
        <v>1</v>
      </c>
      <c r="O45" s="269" t="b">
        <f>O36='REMUNERACION_OCCIDENTE_ Directa'!O131</f>
        <v>1</v>
      </c>
      <c r="Q45" s="24"/>
      <c r="T45" s="24"/>
    </row>
    <row r="46" spans="1:20" x14ac:dyDescent="0.25">
      <c r="N46" s="24"/>
      <c r="O46" s="24"/>
      <c r="Q46" s="24"/>
      <c r="T46" s="24"/>
    </row>
    <row r="47" spans="1:20" x14ac:dyDescent="0.25">
      <c r="N47" s="24"/>
      <c r="O47" s="24"/>
      <c r="Q47" s="24"/>
      <c r="T47" s="24"/>
    </row>
    <row r="48" spans="1:20" x14ac:dyDescent="0.25">
      <c r="N48" s="24"/>
      <c r="O48" s="24"/>
      <c r="Q48" s="24"/>
      <c r="T48" s="24"/>
    </row>
    <row r="49" spans="14:20" x14ac:dyDescent="0.25">
      <c r="N49" s="24"/>
      <c r="O49" s="24"/>
      <c r="Q49" s="24"/>
      <c r="T49" s="24"/>
    </row>
    <row r="50" spans="14:20" x14ac:dyDescent="0.25">
      <c r="N50" s="24"/>
      <c r="O50" s="24"/>
      <c r="Q50" s="24"/>
      <c r="T50" s="24"/>
    </row>
    <row r="51" spans="14:20" x14ac:dyDescent="0.25">
      <c r="Q51" s="24"/>
      <c r="T51" s="24"/>
    </row>
    <row r="52" spans="14:20" x14ac:dyDescent="0.25">
      <c r="Q52" s="24"/>
    </row>
  </sheetData>
  <conditionalFormatting sqref="AH9:AH14">
    <cfRule type="cellIs" dxfId="19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  <pageSetUpPr fitToPage="1"/>
  </sheetPr>
  <dimension ref="A1:AJ167"/>
  <sheetViews>
    <sheetView topLeftCell="A96" zoomScaleNormal="100" workbookViewId="0"/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7265625" style="1" customWidth="1"/>
    <col min="4" max="4" width="15.26953125" style="1" customWidth="1"/>
    <col min="5" max="5" width="16" style="1" customWidth="1"/>
    <col min="6" max="7" width="14.7265625" style="1" customWidth="1"/>
    <col min="8" max="9" width="16" style="1" customWidth="1"/>
    <col min="10" max="10" width="15.54296875" style="1" customWidth="1"/>
    <col min="11" max="11" width="17.54296875" style="1" customWidth="1"/>
    <col min="12" max="12" width="20" style="1" bestFit="1" customWidth="1"/>
    <col min="13" max="13" width="21" style="1" bestFit="1" customWidth="1"/>
    <col min="14" max="14" width="15.26953125" style="1" customWidth="1"/>
    <col min="15" max="15" width="16.7265625" style="1" customWidth="1"/>
    <col min="16" max="16" width="3.7265625" style="1" customWidth="1"/>
    <col min="17" max="17" width="2.7265625" style="1" customWidth="1"/>
    <col min="18" max="18" width="4.54296875" style="1" customWidth="1"/>
    <col min="19" max="19" width="11.26953125" style="1" customWidth="1"/>
    <col min="20" max="20" width="37.54296875" style="1" bestFit="1" customWidth="1"/>
    <col min="21" max="21" width="19.26953125" style="1" customWidth="1"/>
    <col min="22" max="22" width="17.7265625" style="1" customWidth="1"/>
    <col min="23" max="23" width="16.453125" style="1" customWidth="1"/>
    <col min="24" max="24" width="17.26953125" style="1" customWidth="1"/>
    <col min="25" max="25" width="15.7265625" style="1" customWidth="1"/>
    <col min="26" max="26" width="16" style="1" customWidth="1"/>
    <col min="27" max="27" width="15" style="1" customWidth="1"/>
    <col min="28" max="29" width="16.7265625" style="1" customWidth="1"/>
    <col min="30" max="31" width="15.453125" style="1" customWidth="1"/>
    <col min="32" max="32" width="16.26953125" style="1" customWidth="1"/>
    <col min="33" max="33" width="18.26953125" style="1" customWidth="1"/>
    <col min="34" max="34" width="13.7265625" style="1" customWidth="1"/>
    <col min="35" max="35" width="3.453125" style="1" customWidth="1"/>
    <col min="36" max="36" width="13.7265625" style="1" bestFit="1" customWidth="1"/>
    <col min="37" max="16384" width="11.453125" style="1"/>
  </cols>
  <sheetData>
    <row r="1" spans="2:35" ht="12" thickBot="1" x14ac:dyDescent="0.3">
      <c r="Q1" s="4"/>
      <c r="AI1" s="4"/>
    </row>
    <row r="2" spans="2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5" x14ac:dyDescent="0.35">
      <c r="B6" s="8"/>
      <c r="C6" s="590" t="s">
        <v>17</v>
      </c>
      <c r="D6" s="9">
        <f>'CONSOLIDADO_TOTAL RECAUDO'!D6</f>
        <v>46282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" thickBot="1" x14ac:dyDescent="0.3">
      <c r="B7" s="8"/>
      <c r="C7" s="590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" customHeight="1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21" t="s">
        <v>107</v>
      </c>
      <c r="AE8" s="121" t="s">
        <v>106</v>
      </c>
      <c r="AF8" s="39" t="s">
        <v>23</v>
      </c>
      <c r="AG8" s="13"/>
      <c r="AI8" s="4"/>
    </row>
    <row r="9" spans="2:35" s="307" customFormat="1" x14ac:dyDescent="0.25">
      <c r="B9" s="305">
        <v>1</v>
      </c>
      <c r="C9" s="306" t="s">
        <v>10</v>
      </c>
      <c r="D9" s="293">
        <f>'Reporte Componentes R1'!F72</f>
        <v>0</v>
      </c>
      <c r="E9" s="294">
        <f>'Reporte Componentes R1'!G72</f>
        <v>0</v>
      </c>
      <c r="F9" s="294">
        <f>'Reporte Componentes R1'!H72</f>
        <v>0</v>
      </c>
      <c r="G9" s="294">
        <f>'Reporte Componentes R1'!I72</f>
        <v>0</v>
      </c>
      <c r="H9" s="294">
        <f>'Reporte Componentes R1'!J72</f>
        <v>0</v>
      </c>
      <c r="I9" s="294">
        <f>'Reporte Componentes R1'!K72</f>
        <v>0</v>
      </c>
      <c r="J9" s="290">
        <v>0</v>
      </c>
      <c r="K9" s="295">
        <f>D9-E9-F9-G9-H9-I9-J9</f>
        <v>0</v>
      </c>
      <c r="L9" s="296">
        <v>0</v>
      </c>
      <c r="M9" s="295">
        <f>K9-L9</f>
        <v>0</v>
      </c>
      <c r="N9" s="296">
        <f>'Reporte Componentes R1'!L72</f>
        <v>0</v>
      </c>
      <c r="O9" s="295">
        <f>M9+N9</f>
        <v>0</v>
      </c>
      <c r="Q9" s="308"/>
      <c r="S9" s="305">
        <v>1</v>
      </c>
      <c r="T9" s="306" t="s">
        <v>10</v>
      </c>
      <c r="U9" s="309">
        <f>'Reporte Componentes R1'!M72</f>
        <v>0</v>
      </c>
      <c r="V9" s="310">
        <f>'Reporte Componentes R1'!N72</f>
        <v>0</v>
      </c>
      <c r="W9" s="310">
        <f>'Reporte Componentes R1'!O72</f>
        <v>0</v>
      </c>
      <c r="X9" s="310">
        <f>'Reporte Componentes R1'!P72</f>
        <v>0</v>
      </c>
      <c r="Y9" s="311">
        <f>'Reporte Componentes R1'!Q72</f>
        <v>0</v>
      </c>
      <c r="Z9" s="312">
        <f>L9*-1</f>
        <v>0</v>
      </c>
      <c r="AA9" s="313">
        <f>'Reporte Componentes R1'!R72+'Reporte Componentes R1'!S72</f>
        <v>0</v>
      </c>
      <c r="AB9" s="296">
        <f>N9</f>
        <v>0</v>
      </c>
      <c r="AC9" s="313">
        <f>'Reporte Componentes R1'!Z72</f>
        <v>0</v>
      </c>
      <c r="AD9" s="293">
        <f>-J9+AE9</f>
        <v>0</v>
      </c>
      <c r="AE9" s="293">
        <f>'Reporte Componentes R1'!F73</f>
        <v>0</v>
      </c>
      <c r="AF9" s="315">
        <f>SUM(U9:AD9)</f>
        <v>0</v>
      </c>
      <c r="AG9" s="313">
        <f>(AF9-O9)</f>
        <v>0</v>
      </c>
      <c r="AH9" s="307" t="b">
        <f>INT(AG9)=0</f>
        <v>1</v>
      </c>
      <c r="AI9" s="308"/>
    </row>
    <row r="10" spans="2:35" s="307" customFormat="1" x14ac:dyDescent="0.25">
      <c r="B10" s="316">
        <v>2</v>
      </c>
      <c r="C10" s="317" t="s">
        <v>11</v>
      </c>
      <c r="D10" s="293">
        <f>'Reporte Componentes R1'!F206</f>
        <v>0</v>
      </c>
      <c r="E10" s="294">
        <f>'Reporte Componentes R1'!G206</f>
        <v>0</v>
      </c>
      <c r="F10" s="294">
        <f>'Reporte Componentes R1'!H206</f>
        <v>0</v>
      </c>
      <c r="G10" s="294">
        <f>'Reporte Componentes R1'!I206</f>
        <v>0</v>
      </c>
      <c r="H10" s="294">
        <f>'Reporte Componentes R1'!J206</f>
        <v>0</v>
      </c>
      <c r="I10" s="294">
        <f>'Reporte Componentes R1'!K206</f>
        <v>0</v>
      </c>
      <c r="J10" s="290">
        <v>0</v>
      </c>
      <c r="K10" s="297">
        <f t="shared" ref="K10:K13" si="0">D10-E10-F10-G10-H10-I10-J10</f>
        <v>0</v>
      </c>
      <c r="L10" s="296">
        <v>0</v>
      </c>
      <c r="M10" s="297">
        <f>K10-L10</f>
        <v>0</v>
      </c>
      <c r="N10" s="296">
        <f>'Reporte Componentes R1'!L206</f>
        <v>0</v>
      </c>
      <c r="O10" s="297">
        <f t="shared" ref="O10:O12" si="1">M10+N10</f>
        <v>0</v>
      </c>
      <c r="Q10" s="308"/>
      <c r="S10" s="316">
        <v>2</v>
      </c>
      <c r="T10" s="317" t="s">
        <v>11</v>
      </c>
      <c r="U10" s="318">
        <f>'Reporte Componentes R1'!M206</f>
        <v>0</v>
      </c>
      <c r="V10" s="319">
        <f>'Reporte Componentes R1'!N206</f>
        <v>0</v>
      </c>
      <c r="W10" s="319">
        <f>'Reporte Componentes R1'!O206</f>
        <v>0</v>
      </c>
      <c r="X10" s="319">
        <f>'Reporte Componentes R1'!P206</f>
        <v>0</v>
      </c>
      <c r="Y10" s="320">
        <f>'Reporte Componentes R1'!Q206</f>
        <v>0</v>
      </c>
      <c r="Z10" s="321">
        <f>L10*-1</f>
        <v>0</v>
      </c>
      <c r="AA10" s="322">
        <f>'Reporte Componentes R1'!R206+'Reporte Componentes R1'!S206+'Reporte Componentes R1'!T206</f>
        <v>0</v>
      </c>
      <c r="AB10" s="296">
        <f>N10</f>
        <v>0</v>
      </c>
      <c r="AC10" s="322">
        <f>'Reporte Componentes R1'!Z206</f>
        <v>0</v>
      </c>
      <c r="AD10" s="293">
        <f t="shared" ref="AD10:AD13" si="2">-J10+AE10</f>
        <v>0</v>
      </c>
      <c r="AE10" s="293">
        <f>'Reporte Componentes R1'!F207</f>
        <v>0</v>
      </c>
      <c r="AF10" s="324">
        <f>SUM(U10:AD10)</f>
        <v>0</v>
      </c>
      <c r="AG10" s="325">
        <f>(AF10-O10)</f>
        <v>0</v>
      </c>
      <c r="AH10" s="307" t="b">
        <f t="shared" ref="AH10:AH13" si="3">INT(AG10)=0</f>
        <v>1</v>
      </c>
      <c r="AI10" s="308"/>
    </row>
    <row r="11" spans="2:35" s="307" customFormat="1" x14ac:dyDescent="0.25">
      <c r="B11" s="316">
        <v>3</v>
      </c>
      <c r="C11" s="317" t="s">
        <v>12</v>
      </c>
      <c r="D11" s="293">
        <f>'Reporte Componentes R1'!F350</f>
        <v>0</v>
      </c>
      <c r="E11" s="294">
        <f>'Reporte Componentes R1'!G350</f>
        <v>0</v>
      </c>
      <c r="F11" s="294">
        <f>'Reporte Componentes R1'!H350</f>
        <v>0</v>
      </c>
      <c r="G11" s="294">
        <f>'Reporte Componentes R1'!I350</f>
        <v>0</v>
      </c>
      <c r="H11" s="294">
        <f>'Reporte Componentes R1'!J350</f>
        <v>0</v>
      </c>
      <c r="I11" s="294">
        <f>'Reporte Componentes R1'!K350</f>
        <v>0</v>
      </c>
      <c r="J11" s="290">
        <v>0</v>
      </c>
      <c r="K11" s="297">
        <f t="shared" si="0"/>
        <v>0</v>
      </c>
      <c r="L11" s="296">
        <v>0</v>
      </c>
      <c r="M11" s="297">
        <f>K11-L11</f>
        <v>0</v>
      </c>
      <c r="N11" s="296">
        <f>'Reporte Componentes R1'!L350</f>
        <v>0</v>
      </c>
      <c r="O11" s="297">
        <f t="shared" si="1"/>
        <v>0</v>
      </c>
      <c r="Q11" s="308"/>
      <c r="S11" s="316">
        <v>3</v>
      </c>
      <c r="T11" s="317" t="s">
        <v>12</v>
      </c>
      <c r="U11" s="318">
        <f>'Reporte Componentes R1'!M350</f>
        <v>0</v>
      </c>
      <c r="V11" s="319">
        <f>'Reporte Componentes R1'!N350</f>
        <v>0</v>
      </c>
      <c r="W11" s="319">
        <f>'Reporte Componentes R1'!O350</f>
        <v>0</v>
      </c>
      <c r="X11" s="319">
        <f>'Reporte Componentes R1'!P350</f>
        <v>0</v>
      </c>
      <c r="Y11" s="320">
        <f>'Reporte Componentes R1'!Q350</f>
        <v>0</v>
      </c>
      <c r="Z11" s="321">
        <f>L11*-1</f>
        <v>0</v>
      </c>
      <c r="AA11" s="322">
        <f>'Reporte Componentes R1'!R350+'Reporte Componentes R1'!S350+'Reporte Componentes R1'!T350</f>
        <v>0</v>
      </c>
      <c r="AB11" s="296">
        <f>N11</f>
        <v>0</v>
      </c>
      <c r="AC11" s="322">
        <f>'Reporte Componentes R1'!X350</f>
        <v>0</v>
      </c>
      <c r="AD11" s="293">
        <f t="shared" si="2"/>
        <v>0</v>
      </c>
      <c r="AE11" s="293">
        <f>'Reporte Componentes R1'!F351</f>
        <v>0</v>
      </c>
      <c r="AF11" s="324">
        <f t="shared" ref="AF11:AF13" si="4">SUM(U11:AD11)</f>
        <v>0</v>
      </c>
      <c r="AG11" s="325">
        <f>(AF11-O11)</f>
        <v>0</v>
      </c>
      <c r="AH11" s="307" t="b">
        <f t="shared" si="3"/>
        <v>1</v>
      </c>
      <c r="AI11" s="308"/>
    </row>
    <row r="12" spans="2:35" s="307" customFormat="1" x14ac:dyDescent="0.25">
      <c r="B12" s="316">
        <v>4</v>
      </c>
      <c r="C12" s="317" t="s">
        <v>13</v>
      </c>
      <c r="D12" s="293">
        <f>'Reporte Componentes R1'!F483</f>
        <v>0</v>
      </c>
      <c r="E12" s="294">
        <f>'Reporte Componentes R1'!G483</f>
        <v>0</v>
      </c>
      <c r="F12" s="294">
        <f>'Reporte Componentes R1'!H483</f>
        <v>0</v>
      </c>
      <c r="G12" s="294">
        <f>'Reporte Componentes R1'!I483</f>
        <v>0</v>
      </c>
      <c r="H12" s="294">
        <f>'Reporte Componentes R1'!J483</f>
        <v>0</v>
      </c>
      <c r="I12" s="294">
        <f>'Reporte Componentes R1'!K483</f>
        <v>0</v>
      </c>
      <c r="J12" s="290">
        <v>0</v>
      </c>
      <c r="K12" s="297">
        <f t="shared" si="0"/>
        <v>0</v>
      </c>
      <c r="L12" s="296">
        <v>0</v>
      </c>
      <c r="M12" s="297">
        <f>K12-L12</f>
        <v>0</v>
      </c>
      <c r="N12" s="296">
        <f>'Reporte Componentes R1'!L483</f>
        <v>0</v>
      </c>
      <c r="O12" s="297">
        <f t="shared" si="1"/>
        <v>0</v>
      </c>
      <c r="Q12" s="308"/>
      <c r="S12" s="316">
        <v>4</v>
      </c>
      <c r="T12" s="317" t="s">
        <v>13</v>
      </c>
      <c r="U12" s="318">
        <f>'Reporte Componentes R1'!M483</f>
        <v>0</v>
      </c>
      <c r="V12" s="319">
        <f>'Reporte Componentes R1'!N483</f>
        <v>0</v>
      </c>
      <c r="W12" s="319">
        <f>'Reporte Componentes R1'!O483</f>
        <v>0</v>
      </c>
      <c r="X12" s="319">
        <f>'Reporte Componentes R1'!P483</f>
        <v>0</v>
      </c>
      <c r="Y12" s="320">
        <f>'Reporte Componentes R1'!Q483</f>
        <v>0</v>
      </c>
      <c r="Z12" s="321">
        <f>L12*-1</f>
        <v>0</v>
      </c>
      <c r="AA12" s="322">
        <f>'Reporte Componentes R1'!R483+'Reporte Componentes R1'!S483</f>
        <v>0</v>
      </c>
      <c r="AB12" s="296">
        <f>N12</f>
        <v>0</v>
      </c>
      <c r="AC12" s="322">
        <f>'Reporte Componentes R1'!X483</f>
        <v>0</v>
      </c>
      <c r="AD12" s="293">
        <f t="shared" si="2"/>
        <v>0</v>
      </c>
      <c r="AE12" s="293">
        <f>'Reporte Componentes R1'!F484</f>
        <v>0</v>
      </c>
      <c r="AF12" s="324">
        <f t="shared" si="4"/>
        <v>0</v>
      </c>
      <c r="AG12" s="325">
        <f>(AF12-O12)</f>
        <v>0</v>
      </c>
      <c r="AH12" s="307" t="b">
        <f t="shared" si="3"/>
        <v>1</v>
      </c>
      <c r="AI12" s="308"/>
    </row>
    <row r="13" spans="2:35" s="307" customFormat="1" ht="12" thickBot="1" x14ac:dyDescent="0.3">
      <c r="B13" s="326">
        <v>5</v>
      </c>
      <c r="C13" s="327" t="s">
        <v>14</v>
      </c>
      <c r="D13" s="298">
        <f>'Reporte Componentes R1'!F577</f>
        <v>0</v>
      </c>
      <c r="E13" s="299">
        <f>'Reporte Componentes R1'!G577</f>
        <v>0</v>
      </c>
      <c r="F13" s="299">
        <f>'Reporte Componentes R1'!H577</f>
        <v>0</v>
      </c>
      <c r="G13" s="299">
        <f>'Reporte Componentes R1'!I577</f>
        <v>0</v>
      </c>
      <c r="H13" s="299">
        <f>'Reporte Componentes R1'!J577</f>
        <v>0</v>
      </c>
      <c r="I13" s="299">
        <f>'Reporte Componentes R1'!K577</f>
        <v>0</v>
      </c>
      <c r="J13" s="291">
        <v>0</v>
      </c>
      <c r="K13" s="297">
        <f t="shared" si="0"/>
        <v>0</v>
      </c>
      <c r="L13" s="296">
        <v>0</v>
      </c>
      <c r="M13" s="300">
        <f>K13-L13</f>
        <v>0</v>
      </c>
      <c r="N13" s="301">
        <f>'Reporte Componentes R1'!L577</f>
        <v>0</v>
      </c>
      <c r="O13" s="300">
        <f>M13+N13</f>
        <v>0</v>
      </c>
      <c r="Q13" s="308"/>
      <c r="S13" s="326">
        <v>5</v>
      </c>
      <c r="T13" s="327" t="s">
        <v>14</v>
      </c>
      <c r="U13" s="298">
        <f>'Reporte Componentes R1'!M577</f>
        <v>0</v>
      </c>
      <c r="V13" s="299">
        <f>'Reporte Componentes R1'!N577</f>
        <v>0</v>
      </c>
      <c r="W13" s="299">
        <f>'Reporte Componentes R1'!O577</f>
        <v>0</v>
      </c>
      <c r="X13" s="299">
        <f>'Reporte Componentes R1'!P577</f>
        <v>0</v>
      </c>
      <c r="Y13" s="291">
        <f>'Reporte Componentes R1'!Q577</f>
        <v>0</v>
      </c>
      <c r="Z13" s="321">
        <f>L13*-1</f>
        <v>0</v>
      </c>
      <c r="AA13" s="322">
        <f>'Reporte Componentes R1'!R577+'Reporte Componentes R1'!S577+'Reporte Componentes R1'!T577</f>
        <v>0</v>
      </c>
      <c r="AB13" s="296">
        <f>N13</f>
        <v>0</v>
      </c>
      <c r="AC13" s="322">
        <f>'Reporte Componentes R1'!X577</f>
        <v>0</v>
      </c>
      <c r="AD13" s="293">
        <f t="shared" si="2"/>
        <v>0</v>
      </c>
      <c r="AE13" s="293">
        <f>'Reporte Componentes R1'!F578</f>
        <v>0</v>
      </c>
      <c r="AF13" s="324">
        <f t="shared" si="4"/>
        <v>0</v>
      </c>
      <c r="AG13" s="328">
        <f>(AF13-O13)</f>
        <v>0</v>
      </c>
      <c r="AH13" s="307" t="b">
        <f t="shared" si="3"/>
        <v>1</v>
      </c>
      <c r="AI13" s="308"/>
    </row>
    <row r="14" spans="2:35" s="307" customFormat="1" ht="13.5" thickBot="1" x14ac:dyDescent="0.35">
      <c r="B14" s="329"/>
      <c r="C14" s="330" t="s">
        <v>2</v>
      </c>
      <c r="D14" s="292">
        <f>SUM(D9:D13)</f>
        <v>0</v>
      </c>
      <c r="E14" s="292">
        <f t="shared" ref="E14:O14" si="5">SUM(E9:E13)</f>
        <v>0</v>
      </c>
      <c r="F14" s="292">
        <f t="shared" si="5"/>
        <v>0</v>
      </c>
      <c r="G14" s="292">
        <f t="shared" si="5"/>
        <v>0</v>
      </c>
      <c r="H14" s="292">
        <f t="shared" si="5"/>
        <v>0</v>
      </c>
      <c r="I14" s="292">
        <f t="shared" si="5"/>
        <v>0</v>
      </c>
      <c r="J14" s="292">
        <f t="shared" si="5"/>
        <v>0</v>
      </c>
      <c r="K14" s="302">
        <f t="shared" si="5"/>
        <v>0</v>
      </c>
      <c r="L14" s="303">
        <f>SUM(L9:L13)</f>
        <v>0</v>
      </c>
      <c r="M14" s="304">
        <f t="shared" si="5"/>
        <v>0</v>
      </c>
      <c r="N14" s="303">
        <f t="shared" si="5"/>
        <v>0</v>
      </c>
      <c r="O14" s="304">
        <f t="shared" si="5"/>
        <v>0</v>
      </c>
      <c r="P14" s="331"/>
      <c r="Q14" s="308"/>
      <c r="S14" s="329"/>
      <c r="T14" s="330" t="s">
        <v>2</v>
      </c>
      <c r="U14" s="332">
        <f>SUM(U9:U13)</f>
        <v>0</v>
      </c>
      <c r="V14" s="332">
        <f t="shared" ref="V14:AF14" si="6">SUM(V9:V13)</f>
        <v>0</v>
      </c>
      <c r="W14" s="332">
        <f t="shared" si="6"/>
        <v>0</v>
      </c>
      <c r="X14" s="332">
        <f t="shared" si="6"/>
        <v>0</v>
      </c>
      <c r="Y14" s="332">
        <f t="shared" si="6"/>
        <v>0</v>
      </c>
      <c r="Z14" s="292">
        <f t="shared" si="6"/>
        <v>0</v>
      </c>
      <c r="AA14" s="292">
        <f t="shared" si="6"/>
        <v>0</v>
      </c>
      <c r="AB14" s="292">
        <f t="shared" si="6"/>
        <v>0</v>
      </c>
      <c r="AC14" s="292">
        <f t="shared" si="6"/>
        <v>0</v>
      </c>
      <c r="AD14" s="292">
        <f>SUM(AD9:AD13)</f>
        <v>0</v>
      </c>
      <c r="AE14" s="292">
        <f>SUM(AE9:AE13)</f>
        <v>0</v>
      </c>
      <c r="AF14" s="333">
        <f t="shared" si="6"/>
        <v>0</v>
      </c>
      <c r="AG14" s="334">
        <f>SUM(AG9:AG13)</f>
        <v>0</v>
      </c>
      <c r="AH14" s="307" t="b">
        <f>INT(AG14)=0</f>
        <v>1</v>
      </c>
      <c r="AI14" s="308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3">
      <c r="Q20" s="4"/>
      <c r="AI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4" x14ac:dyDescent="0.3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5" x14ac:dyDescent="0.3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4" x14ac:dyDescent="0.3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5" x14ac:dyDescent="0.35">
      <c r="B25" s="8"/>
      <c r="C25" s="590" t="s">
        <v>17</v>
      </c>
      <c r="D25" s="9">
        <f>D6</f>
        <v>46282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" thickBot="1" x14ac:dyDescent="0.3">
      <c r="B26" s="8"/>
      <c r="C26" s="590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3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21" t="s">
        <v>107</v>
      </c>
      <c r="AE27" s="121" t="s">
        <v>106</v>
      </c>
      <c r="AF27" s="39" t="s">
        <v>23</v>
      </c>
      <c r="AG27" s="13"/>
      <c r="AI27" s="4"/>
    </row>
    <row r="28" spans="1:35" s="307" customFormat="1" x14ac:dyDescent="0.25">
      <c r="B28" s="305">
        <v>1</v>
      </c>
      <c r="C28" s="306" t="s">
        <v>10</v>
      </c>
      <c r="D28" s="293">
        <f>'Rem. Anticipos R2'!E57</f>
        <v>0</v>
      </c>
      <c r="E28" s="294">
        <f>'Rem. Anticipos R2'!F57</f>
        <v>0</v>
      </c>
      <c r="F28" s="294">
        <f>'Rem. Anticipos R2'!G57</f>
        <v>0</v>
      </c>
      <c r="G28" s="294">
        <f>'Rem. Anticipos R2'!H57</f>
        <v>0</v>
      </c>
      <c r="H28" s="294">
        <f>'Rem. Anticipos R2'!I57</f>
        <v>0</v>
      </c>
      <c r="I28" s="294">
        <f>'Rem. Anticipos R2'!J57</f>
        <v>0</v>
      </c>
      <c r="J28" s="290">
        <v>0</v>
      </c>
      <c r="K28" s="295">
        <f>D28-E28-F28-G28-H28-I28-J28</f>
        <v>0</v>
      </c>
      <c r="L28" s="296">
        <v>0</v>
      </c>
      <c r="M28" s="295">
        <f>K28-L28</f>
        <v>0</v>
      </c>
      <c r="N28" s="296">
        <f>'Rem. Anticipos R2'!K57</f>
        <v>0</v>
      </c>
      <c r="O28" s="295">
        <f>M28+N28</f>
        <v>0</v>
      </c>
      <c r="Q28" s="308"/>
      <c r="S28" s="305">
        <v>1</v>
      </c>
      <c r="T28" s="306" t="s">
        <v>10</v>
      </c>
      <c r="U28" s="309">
        <f>'Rem. Anticipos R2'!L57</f>
        <v>0</v>
      </c>
      <c r="V28" s="310">
        <f>'Rem. Anticipos R2'!M57</f>
        <v>0</v>
      </c>
      <c r="W28" s="310">
        <f>'Rem. Anticipos R2'!N57</f>
        <v>0</v>
      </c>
      <c r="X28" s="310">
        <f>'Rem. Anticipos R2'!O57</f>
        <v>0</v>
      </c>
      <c r="Y28" s="310">
        <f>'Rem. Anticipos R2'!P57</f>
        <v>0</v>
      </c>
      <c r="Z28" s="312">
        <f>L28*-1</f>
        <v>0</v>
      </c>
      <c r="AA28" s="313">
        <f>'Rem. Anticipos R2'!Q57</f>
        <v>0</v>
      </c>
      <c r="AB28" s="296">
        <f>N28</f>
        <v>0</v>
      </c>
      <c r="AC28" s="313">
        <v>0</v>
      </c>
      <c r="AD28" s="293">
        <f>-J28+AE28</f>
        <v>0</v>
      </c>
      <c r="AE28" s="293">
        <f>'Rem. Anticipos R2'!E58</f>
        <v>0</v>
      </c>
      <c r="AF28" s="315">
        <f>SUM(U28:AD28)</f>
        <v>0</v>
      </c>
      <c r="AG28" s="313">
        <f>(AF28-O28)</f>
        <v>0</v>
      </c>
      <c r="AH28" s="307" t="b">
        <f>INT(AG28)=0</f>
        <v>1</v>
      </c>
      <c r="AI28" s="308"/>
    </row>
    <row r="29" spans="1:35" s="307" customFormat="1" x14ac:dyDescent="0.25">
      <c r="B29" s="316">
        <v>2</v>
      </c>
      <c r="C29" s="317" t="s">
        <v>11</v>
      </c>
      <c r="D29" s="293">
        <f>'Rem. Anticipos R2'!E150</f>
        <v>0</v>
      </c>
      <c r="E29" s="294">
        <f>'Rem. Anticipos R2'!F150</f>
        <v>0</v>
      </c>
      <c r="F29" s="294">
        <f>'Rem. Anticipos R2'!G150</f>
        <v>0</v>
      </c>
      <c r="G29" s="294">
        <f>'Rem. Anticipos R2'!H150</f>
        <v>0</v>
      </c>
      <c r="H29" s="294">
        <f>'Rem. Anticipos R2'!I150</f>
        <v>0</v>
      </c>
      <c r="I29" s="294">
        <f>'Rem. Anticipos R2'!J150</f>
        <v>0</v>
      </c>
      <c r="J29" s="290">
        <v>0</v>
      </c>
      <c r="K29" s="297">
        <f t="shared" ref="K29:K31" si="7">D29-E29-F29-G29-H29-I29-J29</f>
        <v>0</v>
      </c>
      <c r="L29" s="296">
        <v>0</v>
      </c>
      <c r="M29" s="297">
        <f>K29-L29</f>
        <v>0</v>
      </c>
      <c r="N29" s="296">
        <f>'Rem. Anticipos R2'!K150</f>
        <v>0</v>
      </c>
      <c r="O29" s="297">
        <f t="shared" ref="O29:O32" si="8">M29+N29</f>
        <v>0</v>
      </c>
      <c r="Q29" s="308"/>
      <c r="S29" s="316">
        <v>2</v>
      </c>
      <c r="T29" s="317" t="s">
        <v>11</v>
      </c>
      <c r="U29" s="318">
        <f>'Rem. Anticipos R2'!L150</f>
        <v>0</v>
      </c>
      <c r="V29" s="319">
        <f>'Rem. Anticipos R2'!M150</f>
        <v>0</v>
      </c>
      <c r="W29" s="319">
        <f>'Rem. Anticipos R2'!N150</f>
        <v>0</v>
      </c>
      <c r="X29" s="319">
        <f>'Rem. Anticipos R2'!O150</f>
        <v>0</v>
      </c>
      <c r="Y29" s="320">
        <f>'Rem. Anticipos R2'!P150</f>
        <v>0</v>
      </c>
      <c r="Z29" s="321">
        <f>L29*-1</f>
        <v>0</v>
      </c>
      <c r="AA29" s="322">
        <f>'Rem. Anticipos R2'!Q150</f>
        <v>0</v>
      </c>
      <c r="AB29" s="296">
        <f>N29</f>
        <v>0</v>
      </c>
      <c r="AC29" s="322">
        <v>0</v>
      </c>
      <c r="AD29" s="293">
        <f>-J29+AE29</f>
        <v>0</v>
      </c>
      <c r="AE29" s="293">
        <f>'Rem. Anticipos R2'!E151</f>
        <v>0</v>
      </c>
      <c r="AF29" s="324">
        <f>SUM(U29:AD29)</f>
        <v>0</v>
      </c>
      <c r="AG29" s="325">
        <f>(AF29-O29)</f>
        <v>0</v>
      </c>
      <c r="AH29" s="307" t="b">
        <f t="shared" ref="AH29:AH32" si="9">INT(AG29)=0</f>
        <v>1</v>
      </c>
      <c r="AI29" s="308"/>
    </row>
    <row r="30" spans="1:35" s="307" customFormat="1" x14ac:dyDescent="0.25">
      <c r="B30" s="316">
        <v>3</v>
      </c>
      <c r="C30" s="317" t="s">
        <v>12</v>
      </c>
      <c r="D30" s="293">
        <f>'Rem. Anticipos R2'!E263</f>
        <v>0</v>
      </c>
      <c r="E30" s="294">
        <f>'Rem. Anticipos R2'!F263</f>
        <v>0</v>
      </c>
      <c r="F30" s="294">
        <f>'Rem. Anticipos R2'!G263</f>
        <v>0</v>
      </c>
      <c r="G30" s="294">
        <f>'Rem. Anticipos R2'!H263</f>
        <v>0</v>
      </c>
      <c r="H30" s="294">
        <f>'Rem. Anticipos R2'!I263</f>
        <v>0</v>
      </c>
      <c r="I30" s="294">
        <f>'Rem. Anticipos R2'!J263</f>
        <v>0</v>
      </c>
      <c r="J30" s="290">
        <v>0</v>
      </c>
      <c r="K30" s="297">
        <f t="shared" si="7"/>
        <v>0</v>
      </c>
      <c r="L30" s="296">
        <v>0</v>
      </c>
      <c r="M30" s="297">
        <f>K30-L30</f>
        <v>0</v>
      </c>
      <c r="N30" s="296">
        <f>'Rem. Anticipos R2'!K263</f>
        <v>0</v>
      </c>
      <c r="O30" s="297">
        <f t="shared" si="8"/>
        <v>0</v>
      </c>
      <c r="Q30" s="308"/>
      <c r="S30" s="316">
        <v>3</v>
      </c>
      <c r="T30" s="317" t="s">
        <v>12</v>
      </c>
      <c r="U30" s="318">
        <f>'Rem. Anticipos R2'!L263</f>
        <v>0</v>
      </c>
      <c r="V30" s="319">
        <f>'Rem. Anticipos R2'!M263</f>
        <v>0</v>
      </c>
      <c r="W30" s="319">
        <f>'Rem. Anticipos R2'!N263</f>
        <v>0</v>
      </c>
      <c r="X30" s="319">
        <f>'Rem. Anticipos R2'!O263</f>
        <v>0</v>
      </c>
      <c r="Y30" s="320">
        <f>'Rem. Anticipos R2'!P263</f>
        <v>0</v>
      </c>
      <c r="Z30" s="321">
        <f>L30*-1</f>
        <v>0</v>
      </c>
      <c r="AA30" s="322">
        <f>'Rem. Anticipos R2'!Q263</f>
        <v>0</v>
      </c>
      <c r="AB30" s="296">
        <f>N30</f>
        <v>0</v>
      </c>
      <c r="AC30" s="322">
        <v>0</v>
      </c>
      <c r="AD30" s="293">
        <f t="shared" ref="AD30:AD32" si="10">-J30+AE30</f>
        <v>0</v>
      </c>
      <c r="AE30" s="293">
        <f>'Rem. Anticipos R2'!E264</f>
        <v>0</v>
      </c>
      <c r="AF30" s="324">
        <f>SUM(U30:AD30)</f>
        <v>0</v>
      </c>
      <c r="AG30" s="325">
        <f>(AF30-O30)</f>
        <v>0</v>
      </c>
      <c r="AH30" s="307" t="b">
        <f t="shared" si="9"/>
        <v>1</v>
      </c>
      <c r="AI30" s="308"/>
    </row>
    <row r="31" spans="1:35" s="307" customFormat="1" x14ac:dyDescent="0.25">
      <c r="B31" s="316">
        <v>4</v>
      </c>
      <c r="C31" s="317" t="s">
        <v>13</v>
      </c>
      <c r="D31" s="293">
        <f>'Rem. Anticipos R2'!E359</f>
        <v>0</v>
      </c>
      <c r="E31" s="294">
        <f>'Rem. Anticipos R2'!F359</f>
        <v>0</v>
      </c>
      <c r="F31" s="294">
        <f>'Rem. Anticipos R2'!G359</f>
        <v>0</v>
      </c>
      <c r="G31" s="294">
        <f>'Rem. Anticipos R2'!H359</f>
        <v>0</v>
      </c>
      <c r="H31" s="294">
        <f>'Rem. Anticipos R2'!I359</f>
        <v>0</v>
      </c>
      <c r="I31" s="294">
        <f>'Rem. Anticipos R2'!J359</f>
        <v>0</v>
      </c>
      <c r="J31" s="290">
        <v>0</v>
      </c>
      <c r="K31" s="297">
        <f t="shared" si="7"/>
        <v>0</v>
      </c>
      <c r="L31" s="296">
        <v>0</v>
      </c>
      <c r="M31" s="297">
        <f>K31-L31</f>
        <v>0</v>
      </c>
      <c r="N31" s="296">
        <f>'Rem. Anticipos R2'!K359</f>
        <v>0</v>
      </c>
      <c r="O31" s="297">
        <f t="shared" si="8"/>
        <v>0</v>
      </c>
      <c r="Q31" s="308"/>
      <c r="S31" s="316">
        <v>4</v>
      </c>
      <c r="T31" s="317" t="s">
        <v>13</v>
      </c>
      <c r="U31" s="318">
        <f>'Rem. Anticipos R2'!L359</f>
        <v>0</v>
      </c>
      <c r="V31" s="319">
        <f>'Rem. Anticipos R2'!M359</f>
        <v>0</v>
      </c>
      <c r="W31" s="319">
        <f>'Rem. Anticipos R2'!N359</f>
        <v>0</v>
      </c>
      <c r="X31" s="319">
        <f>'Rem. Anticipos R2'!O359</f>
        <v>0</v>
      </c>
      <c r="Y31" s="320">
        <f>'Rem. Anticipos R2'!P359</f>
        <v>0</v>
      </c>
      <c r="Z31" s="321">
        <f>L31*-1</f>
        <v>0</v>
      </c>
      <c r="AA31" s="322">
        <f>'Rem. Anticipos R2'!Q359</f>
        <v>0</v>
      </c>
      <c r="AB31" s="296">
        <f>N31</f>
        <v>0</v>
      </c>
      <c r="AC31" s="322">
        <v>0</v>
      </c>
      <c r="AD31" s="293">
        <f t="shared" si="10"/>
        <v>0</v>
      </c>
      <c r="AE31" s="293">
        <f>'Rem. Anticipos R2'!E360</f>
        <v>0</v>
      </c>
      <c r="AF31" s="324">
        <f>SUM(U31:AD31)</f>
        <v>0</v>
      </c>
      <c r="AG31" s="325">
        <f t="shared" ref="AG31" si="11">(AF31-O31)</f>
        <v>0</v>
      </c>
      <c r="AH31" s="307" t="b">
        <f t="shared" si="9"/>
        <v>1</v>
      </c>
      <c r="AI31" s="308"/>
    </row>
    <row r="32" spans="1:35" s="307" customFormat="1" ht="12" thickBot="1" x14ac:dyDescent="0.3">
      <c r="B32" s="326">
        <v>5</v>
      </c>
      <c r="C32" s="327" t="s">
        <v>14</v>
      </c>
      <c r="D32" s="298">
        <f>'Rem. Anticipos R2'!E430</f>
        <v>0</v>
      </c>
      <c r="E32" s="299">
        <f>'Rem. Anticipos R2'!F430</f>
        <v>0</v>
      </c>
      <c r="F32" s="299">
        <f>'Rem. Anticipos R2'!G430</f>
        <v>0</v>
      </c>
      <c r="G32" s="299">
        <f>'Rem. Anticipos R2'!H430</f>
        <v>0</v>
      </c>
      <c r="H32" s="299">
        <f>'Rem. Anticipos R2'!I430</f>
        <v>0</v>
      </c>
      <c r="I32" s="299">
        <f>'Rem. Anticipos R2'!J430</f>
        <v>0</v>
      </c>
      <c r="J32" s="291">
        <v>0</v>
      </c>
      <c r="K32" s="297">
        <f>D32-E32-F32-G32-H32-I32-J32</f>
        <v>0</v>
      </c>
      <c r="L32" s="296">
        <v>0</v>
      </c>
      <c r="M32" s="300">
        <f>K32-L32</f>
        <v>0</v>
      </c>
      <c r="N32" s="301">
        <f>'Rem. Anticipos R2'!K430</f>
        <v>0</v>
      </c>
      <c r="O32" s="300">
        <f t="shared" si="8"/>
        <v>0</v>
      </c>
      <c r="Q32" s="308"/>
      <c r="S32" s="326">
        <v>5</v>
      </c>
      <c r="T32" s="327" t="s">
        <v>14</v>
      </c>
      <c r="U32" s="298">
        <f>'Rem. Anticipos R2'!L430</f>
        <v>0</v>
      </c>
      <c r="V32" s="299">
        <f>'Rem. Anticipos R2'!M430</f>
        <v>0</v>
      </c>
      <c r="W32" s="299">
        <f>'Rem. Anticipos R2'!N430</f>
        <v>0</v>
      </c>
      <c r="X32" s="299">
        <f>'Rem. Anticipos R2'!O430</f>
        <v>0</v>
      </c>
      <c r="Y32" s="291">
        <f>'Rem. Anticipos R2'!P430</f>
        <v>0</v>
      </c>
      <c r="Z32" s="321">
        <f>L32*-1</f>
        <v>0</v>
      </c>
      <c r="AA32" s="322">
        <f>'Rem. Anticipos R2'!Q430</f>
        <v>0</v>
      </c>
      <c r="AB32" s="296">
        <f>N32</f>
        <v>0</v>
      </c>
      <c r="AC32" s="322">
        <v>0</v>
      </c>
      <c r="AD32" s="293">
        <f t="shared" si="10"/>
        <v>0</v>
      </c>
      <c r="AE32" s="293">
        <f>'Rem. Anticipos R2'!E431</f>
        <v>0</v>
      </c>
      <c r="AF32" s="324">
        <f>SUM(U32:AD32)</f>
        <v>0</v>
      </c>
      <c r="AG32" s="328">
        <f>(AF32-O32)</f>
        <v>0</v>
      </c>
      <c r="AH32" s="307" t="b">
        <f t="shared" si="9"/>
        <v>1</v>
      </c>
      <c r="AI32" s="308"/>
    </row>
    <row r="33" spans="1:35" s="307" customFormat="1" ht="13.5" thickBot="1" x14ac:dyDescent="0.35">
      <c r="B33" s="329"/>
      <c r="C33" s="330" t="s">
        <v>2</v>
      </c>
      <c r="D33" s="292">
        <f>SUM(D28:D32)</f>
        <v>0</v>
      </c>
      <c r="E33" s="292">
        <f>SUM(E28:E32)</f>
        <v>0</v>
      </c>
      <c r="F33" s="292">
        <f t="shared" ref="F33:O33" si="12">SUM(F28:F32)</f>
        <v>0</v>
      </c>
      <c r="G33" s="292">
        <f t="shared" si="12"/>
        <v>0</v>
      </c>
      <c r="H33" s="292">
        <f t="shared" si="12"/>
        <v>0</v>
      </c>
      <c r="I33" s="292">
        <f t="shared" si="12"/>
        <v>0</v>
      </c>
      <c r="J33" s="292">
        <f t="shared" si="12"/>
        <v>0</v>
      </c>
      <c r="K33" s="302">
        <f t="shared" si="12"/>
        <v>0</v>
      </c>
      <c r="L33" s="303">
        <f t="shared" si="12"/>
        <v>0</v>
      </c>
      <c r="M33" s="304">
        <f t="shared" si="12"/>
        <v>0</v>
      </c>
      <c r="N33" s="303">
        <f t="shared" si="12"/>
        <v>0</v>
      </c>
      <c r="O33" s="304">
        <f t="shared" si="12"/>
        <v>0</v>
      </c>
      <c r="P33" s="331"/>
      <c r="Q33" s="308"/>
      <c r="S33" s="329"/>
      <c r="T33" s="330" t="s">
        <v>2</v>
      </c>
      <c r="U33" s="332">
        <f>SUM(U28:U32)</f>
        <v>0</v>
      </c>
      <c r="V33" s="332">
        <f t="shared" ref="V33:AG33" si="13">SUM(V28:V32)</f>
        <v>0</v>
      </c>
      <c r="W33" s="332">
        <f t="shared" si="13"/>
        <v>0</v>
      </c>
      <c r="X33" s="332">
        <f t="shared" si="13"/>
        <v>0</v>
      </c>
      <c r="Y33" s="332">
        <f t="shared" si="13"/>
        <v>0</v>
      </c>
      <c r="Z33" s="292">
        <f t="shared" si="13"/>
        <v>0</v>
      </c>
      <c r="AA33" s="292">
        <f t="shared" si="13"/>
        <v>0</v>
      </c>
      <c r="AB33" s="292">
        <f t="shared" si="13"/>
        <v>0</v>
      </c>
      <c r="AC33" s="292">
        <f t="shared" si="13"/>
        <v>0</v>
      </c>
      <c r="AD33" s="292">
        <f>SUM(AD28:AD32)</f>
        <v>0</v>
      </c>
      <c r="AE33" s="292">
        <f>SUM(AE28:AE32)</f>
        <v>0</v>
      </c>
      <c r="AF33" s="333">
        <f t="shared" si="13"/>
        <v>0</v>
      </c>
      <c r="AG33" s="334">
        <f t="shared" si="13"/>
        <v>0</v>
      </c>
      <c r="AH33" s="307" t="b">
        <f>INT(AG33)=0</f>
        <v>1</v>
      </c>
      <c r="AI33" s="308"/>
    </row>
    <row r="34" spans="1:35" ht="12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3">
      <c r="Q39" s="4"/>
      <c r="AI39" s="4"/>
    </row>
    <row r="40" spans="1:35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4" x14ac:dyDescent="0.3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5" x14ac:dyDescent="0.3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4" x14ac:dyDescent="0.3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5" x14ac:dyDescent="0.35">
      <c r="B44" s="8"/>
      <c r="C44" s="590" t="s">
        <v>17</v>
      </c>
      <c r="D44" s="9">
        <f>D6</f>
        <v>46282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" thickBot="1" x14ac:dyDescent="0.3">
      <c r="B45" s="8"/>
      <c r="C45" s="590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3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21" t="s">
        <v>107</v>
      </c>
      <c r="AE46" s="121" t="s">
        <v>106</v>
      </c>
      <c r="AF46" s="39" t="s">
        <v>23</v>
      </c>
      <c r="AG46" s="13"/>
      <c r="AI46" s="4"/>
    </row>
    <row r="47" spans="1:35" s="307" customFormat="1" x14ac:dyDescent="0.25">
      <c r="B47" s="305">
        <v>1</v>
      </c>
      <c r="C47" s="306" t="s">
        <v>10</v>
      </c>
      <c r="D47" s="293">
        <f>'Reporte Componentes R1'!F74</f>
        <v>0</v>
      </c>
      <c r="E47" s="294">
        <f>'Reporte Componentes R1'!G74</f>
        <v>0</v>
      </c>
      <c r="F47" s="294">
        <f>'Reporte Componentes R1'!H74</f>
        <v>0</v>
      </c>
      <c r="G47" s="294">
        <f>'Reporte Componentes R1'!I74</f>
        <v>0</v>
      </c>
      <c r="H47" s="294">
        <f>'Reporte Componentes R1'!J74</f>
        <v>0</v>
      </c>
      <c r="I47" s="294">
        <f>'Reporte Componentes R1'!K74</f>
        <v>0</v>
      </c>
      <c r="J47" s="290">
        <v>0</v>
      </c>
      <c r="K47" s="295">
        <f>D47-E47-F47-G47-H47-I47-J47</f>
        <v>0</v>
      </c>
      <c r="L47" s="296">
        <v>0</v>
      </c>
      <c r="M47" s="295">
        <f>K47-L47</f>
        <v>0</v>
      </c>
      <c r="N47" s="296">
        <f>'Reporte Componentes R1'!L74</f>
        <v>0</v>
      </c>
      <c r="O47" s="295">
        <f>M47+N47</f>
        <v>0</v>
      </c>
      <c r="Q47" s="308"/>
      <c r="S47" s="305">
        <v>1</v>
      </c>
      <c r="T47" s="306" t="s">
        <v>10</v>
      </c>
      <c r="U47" s="309">
        <f>'Reporte Componentes R1'!M74</f>
        <v>0</v>
      </c>
      <c r="V47" s="310">
        <f>'Reporte Componentes R1'!N74</f>
        <v>0</v>
      </c>
      <c r="W47" s="310">
        <f>'Reporte Componentes R1'!O74</f>
        <v>0</v>
      </c>
      <c r="X47" s="310">
        <f>'Reporte Componentes R1'!P74</f>
        <v>0</v>
      </c>
      <c r="Y47" s="311">
        <f>'Reporte Componentes R1'!Q74</f>
        <v>0</v>
      </c>
      <c r="Z47" s="312">
        <f>-L47</f>
        <v>0</v>
      </c>
      <c r="AA47" s="313">
        <f>'Reporte Componentes R1'!R74+'Reporte Componentes R1'!S74</f>
        <v>0</v>
      </c>
      <c r="AB47" s="296">
        <f>N47</f>
        <v>0</v>
      </c>
      <c r="AC47" s="313">
        <v>0</v>
      </c>
      <c r="AD47" s="293">
        <f>-J47+AE47</f>
        <v>0</v>
      </c>
      <c r="AE47" s="293">
        <f>'Reporte Componentes R1'!F75</f>
        <v>0</v>
      </c>
      <c r="AF47" s="315">
        <f>SUM(U47:AD47)</f>
        <v>0</v>
      </c>
      <c r="AG47" s="313">
        <f>(AF47-O47)</f>
        <v>0</v>
      </c>
      <c r="AH47" s="307" t="b">
        <f>INT(AG47)=0</f>
        <v>1</v>
      </c>
      <c r="AI47" s="308"/>
    </row>
    <row r="48" spans="1:35" s="307" customFormat="1" x14ac:dyDescent="0.25">
      <c r="B48" s="316">
        <v>2</v>
      </c>
      <c r="C48" s="317" t="s">
        <v>11</v>
      </c>
      <c r="D48" s="293">
        <f>'Reporte Componentes R1'!F208</f>
        <v>0</v>
      </c>
      <c r="E48" s="294">
        <f>'Reporte Componentes R1'!G208</f>
        <v>0</v>
      </c>
      <c r="F48" s="294">
        <f>'Reporte Componentes R1'!H208</f>
        <v>0</v>
      </c>
      <c r="G48" s="294">
        <f>'Reporte Componentes R1'!I208</f>
        <v>0</v>
      </c>
      <c r="H48" s="294">
        <f>'Reporte Componentes R1'!J208</f>
        <v>0</v>
      </c>
      <c r="I48" s="294">
        <f>'Reporte Componentes R1'!K208</f>
        <v>0</v>
      </c>
      <c r="J48" s="290">
        <v>0</v>
      </c>
      <c r="K48" s="297">
        <f t="shared" ref="K48:K51" si="14">D48-E48-F48-G48-H48-I48-J48</f>
        <v>0</v>
      </c>
      <c r="L48" s="296">
        <v>0</v>
      </c>
      <c r="M48" s="297">
        <f>K48-L48</f>
        <v>0</v>
      </c>
      <c r="N48" s="296">
        <f>'Reporte Componentes R1'!L208</f>
        <v>0</v>
      </c>
      <c r="O48" s="297">
        <f t="shared" ref="O48:O51" si="15">M48+N48</f>
        <v>0</v>
      </c>
      <c r="Q48" s="308"/>
      <c r="S48" s="316">
        <v>2</v>
      </c>
      <c r="T48" s="317" t="s">
        <v>11</v>
      </c>
      <c r="U48" s="318">
        <f>'Reporte Componentes R1'!M208</f>
        <v>0</v>
      </c>
      <c r="V48" s="319">
        <f>'Reporte Componentes R1'!N208</f>
        <v>0</v>
      </c>
      <c r="W48" s="319">
        <f>'Reporte Componentes R1'!O208</f>
        <v>0</v>
      </c>
      <c r="X48" s="319">
        <f>'Reporte Componentes R1'!P208</f>
        <v>0</v>
      </c>
      <c r="Y48" s="320">
        <f>'Reporte Componentes R1'!Q208</f>
        <v>0</v>
      </c>
      <c r="Z48" s="321">
        <f>-L48</f>
        <v>0</v>
      </c>
      <c r="AA48" s="322">
        <f>'Reporte Componentes R1'!R208+'Reporte Componentes R1'!S208+'Reporte Componentes R1'!T208</f>
        <v>0</v>
      </c>
      <c r="AB48" s="296">
        <f>N48</f>
        <v>0</v>
      </c>
      <c r="AC48" s="322">
        <v>0</v>
      </c>
      <c r="AD48" s="293">
        <f t="shared" ref="AD48:AD51" si="16">-J48+AE48</f>
        <v>0</v>
      </c>
      <c r="AE48" s="293">
        <f>'Reporte Componentes R1'!F209</f>
        <v>0</v>
      </c>
      <c r="AF48" s="324">
        <f>SUM(U48:AD48)</f>
        <v>0</v>
      </c>
      <c r="AG48" s="325">
        <f>(AF48-O48)</f>
        <v>0</v>
      </c>
      <c r="AH48" s="307" t="b">
        <f t="shared" ref="AH48:AH51" si="17">INT(AG48)=0</f>
        <v>1</v>
      </c>
      <c r="AI48" s="308"/>
    </row>
    <row r="49" spans="1:35" s="307" customFormat="1" x14ac:dyDescent="0.25">
      <c r="B49" s="316">
        <v>3</v>
      </c>
      <c r="C49" s="317" t="s">
        <v>12</v>
      </c>
      <c r="D49" s="293">
        <f>'Reporte Componentes R1'!F352</f>
        <v>0</v>
      </c>
      <c r="E49" s="294">
        <f>'Reporte Componentes R1'!G352</f>
        <v>0</v>
      </c>
      <c r="F49" s="294">
        <f>'Reporte Componentes R1'!H352</f>
        <v>0</v>
      </c>
      <c r="G49" s="294">
        <f>'Reporte Componentes R1'!I352</f>
        <v>0</v>
      </c>
      <c r="H49" s="294">
        <f>'Reporte Componentes R1'!J352</f>
        <v>0</v>
      </c>
      <c r="I49" s="294">
        <f>'Reporte Componentes R1'!K352</f>
        <v>0</v>
      </c>
      <c r="J49" s="290">
        <v>0</v>
      </c>
      <c r="K49" s="297">
        <f t="shared" si="14"/>
        <v>0</v>
      </c>
      <c r="L49" s="296">
        <v>0</v>
      </c>
      <c r="M49" s="297">
        <f>K49-L49</f>
        <v>0</v>
      </c>
      <c r="N49" s="296">
        <f>'Reporte Componentes R1'!L352</f>
        <v>0</v>
      </c>
      <c r="O49" s="297">
        <f t="shared" si="15"/>
        <v>0</v>
      </c>
      <c r="Q49" s="308"/>
      <c r="S49" s="316">
        <v>3</v>
      </c>
      <c r="T49" s="317" t="s">
        <v>12</v>
      </c>
      <c r="U49" s="318">
        <f>'Reporte Componentes R1'!M352</f>
        <v>0</v>
      </c>
      <c r="V49" s="319">
        <f>'Reporte Componentes R1'!N352</f>
        <v>0</v>
      </c>
      <c r="W49" s="319">
        <f>'Reporte Componentes R1'!O352</f>
        <v>0</v>
      </c>
      <c r="X49" s="319">
        <f>'Reporte Componentes R1'!P352</f>
        <v>0</v>
      </c>
      <c r="Y49" s="320">
        <f>'Reporte Componentes R1'!Q352</f>
        <v>0</v>
      </c>
      <c r="Z49" s="321">
        <f>-L49</f>
        <v>0</v>
      </c>
      <c r="AA49" s="322">
        <f>'Reporte Componentes R1'!R352+'Reporte Componentes R1'!S352+'Reporte Componentes R1'!T352</f>
        <v>0</v>
      </c>
      <c r="AB49" s="296">
        <f>N49</f>
        <v>0</v>
      </c>
      <c r="AC49" s="322">
        <v>0</v>
      </c>
      <c r="AD49" s="293">
        <f t="shared" si="16"/>
        <v>0</v>
      </c>
      <c r="AE49" s="293">
        <f>'Reporte Componentes R1'!F353</f>
        <v>0</v>
      </c>
      <c r="AF49" s="324">
        <f t="shared" ref="AF49:AF51" si="18">SUM(U49:AD49)</f>
        <v>0</v>
      </c>
      <c r="AG49" s="325">
        <f t="shared" ref="AG49:AG51" si="19">(AF49-O49)</f>
        <v>0</v>
      </c>
      <c r="AH49" s="307" t="b">
        <f t="shared" si="17"/>
        <v>1</v>
      </c>
      <c r="AI49" s="308"/>
    </row>
    <row r="50" spans="1:35" s="307" customFormat="1" x14ac:dyDescent="0.25">
      <c r="B50" s="316">
        <v>4</v>
      </c>
      <c r="C50" s="317" t="s">
        <v>13</v>
      </c>
      <c r="D50" s="293">
        <f>'Reporte Componentes R1'!F485</f>
        <v>0</v>
      </c>
      <c r="E50" s="294">
        <f>'Reporte Componentes R1'!G485</f>
        <v>0</v>
      </c>
      <c r="F50" s="294">
        <f>'Reporte Componentes R1'!H485</f>
        <v>0</v>
      </c>
      <c r="G50" s="294">
        <f>'Reporte Componentes R1'!I485</f>
        <v>0</v>
      </c>
      <c r="H50" s="294">
        <f>'Reporte Componentes R1'!J485</f>
        <v>0</v>
      </c>
      <c r="I50" s="294">
        <f>'Reporte Componentes R1'!K485</f>
        <v>0</v>
      </c>
      <c r="J50" s="290">
        <v>0</v>
      </c>
      <c r="K50" s="297">
        <f t="shared" si="14"/>
        <v>0</v>
      </c>
      <c r="L50" s="296">
        <v>0</v>
      </c>
      <c r="M50" s="297">
        <f>K50-L50</f>
        <v>0</v>
      </c>
      <c r="N50" s="296">
        <f>'Reporte Componentes R1'!L485</f>
        <v>0</v>
      </c>
      <c r="O50" s="297">
        <f t="shared" si="15"/>
        <v>0</v>
      </c>
      <c r="Q50" s="308"/>
      <c r="S50" s="316">
        <v>4</v>
      </c>
      <c r="T50" s="317" t="s">
        <v>13</v>
      </c>
      <c r="U50" s="318">
        <f>'Reporte Componentes R1'!M485</f>
        <v>0</v>
      </c>
      <c r="V50" s="319">
        <f>'Reporte Componentes R1'!N485</f>
        <v>0</v>
      </c>
      <c r="W50" s="319">
        <f>'Reporte Componentes R1'!O485</f>
        <v>0</v>
      </c>
      <c r="X50" s="319">
        <f>'Reporte Componentes R1'!P485</f>
        <v>0</v>
      </c>
      <c r="Y50" s="320">
        <f>'Reporte Componentes R1'!Q485</f>
        <v>0</v>
      </c>
      <c r="Z50" s="321">
        <f>-L50</f>
        <v>0</v>
      </c>
      <c r="AA50" s="322">
        <f>'Reporte Componentes R1'!R485+'Reporte Componentes R1'!S485</f>
        <v>0</v>
      </c>
      <c r="AB50" s="296">
        <f>N50</f>
        <v>0</v>
      </c>
      <c r="AC50" s="322">
        <v>0</v>
      </c>
      <c r="AD50" s="293">
        <f t="shared" si="16"/>
        <v>0</v>
      </c>
      <c r="AE50" s="293">
        <f>'Reporte Componentes R1'!F486</f>
        <v>0</v>
      </c>
      <c r="AF50" s="324">
        <f t="shared" si="18"/>
        <v>0</v>
      </c>
      <c r="AG50" s="325">
        <f t="shared" si="19"/>
        <v>0</v>
      </c>
      <c r="AH50" s="307" t="b">
        <f t="shared" si="17"/>
        <v>1</v>
      </c>
      <c r="AI50" s="308"/>
    </row>
    <row r="51" spans="1:35" s="307" customFormat="1" ht="12" thickBot="1" x14ac:dyDescent="0.3">
      <c r="B51" s="326">
        <v>5</v>
      </c>
      <c r="C51" s="327" t="s">
        <v>14</v>
      </c>
      <c r="D51" s="298">
        <f>'Reporte Componentes R1'!F579</f>
        <v>0</v>
      </c>
      <c r="E51" s="299">
        <f>'Reporte Componentes R1'!G579</f>
        <v>0</v>
      </c>
      <c r="F51" s="299">
        <f>'Reporte Componentes R1'!H579</f>
        <v>0</v>
      </c>
      <c r="G51" s="299">
        <f>'Reporte Componentes R1'!I579</f>
        <v>0</v>
      </c>
      <c r="H51" s="299">
        <f>'Reporte Componentes R1'!J579</f>
        <v>0</v>
      </c>
      <c r="I51" s="299">
        <f>'Reporte Componentes R1'!K579</f>
        <v>0</v>
      </c>
      <c r="J51" s="291">
        <v>0</v>
      </c>
      <c r="K51" s="297">
        <f t="shared" si="14"/>
        <v>0</v>
      </c>
      <c r="L51" s="296">
        <v>0</v>
      </c>
      <c r="M51" s="300">
        <f>K51-L51</f>
        <v>0</v>
      </c>
      <c r="N51" s="301">
        <f>'Reporte Componentes R1'!L579</f>
        <v>0</v>
      </c>
      <c r="O51" s="300">
        <f t="shared" si="15"/>
        <v>0</v>
      </c>
      <c r="Q51" s="308"/>
      <c r="S51" s="326">
        <v>5</v>
      </c>
      <c r="T51" s="327" t="s">
        <v>14</v>
      </c>
      <c r="U51" s="298">
        <f>'Reporte Componentes R1'!M579</f>
        <v>0</v>
      </c>
      <c r="V51" s="299">
        <f>'Reporte Componentes R1'!N579</f>
        <v>0</v>
      </c>
      <c r="W51" s="299">
        <f>'Reporte Componentes R1'!O579</f>
        <v>0</v>
      </c>
      <c r="X51" s="299">
        <f>'Reporte Componentes R1'!P579</f>
        <v>0</v>
      </c>
      <c r="Y51" s="291">
        <f>'Reporte Componentes R1'!Q579</f>
        <v>0</v>
      </c>
      <c r="Z51" s="321">
        <f>-L51</f>
        <v>0</v>
      </c>
      <c r="AA51" s="322">
        <f>'Reporte Componentes R1'!R579+'Reporte Componentes R1'!S579+'Reporte Componentes R1'!T579</f>
        <v>0</v>
      </c>
      <c r="AB51" s="296">
        <f>N51</f>
        <v>0</v>
      </c>
      <c r="AC51" s="322">
        <v>0</v>
      </c>
      <c r="AD51" s="293">
        <f t="shared" si="16"/>
        <v>0</v>
      </c>
      <c r="AE51" s="293">
        <f>'Reporte Componentes R1'!F580</f>
        <v>0</v>
      </c>
      <c r="AF51" s="324">
        <f t="shared" si="18"/>
        <v>0</v>
      </c>
      <c r="AG51" s="328">
        <f t="shared" si="19"/>
        <v>0</v>
      </c>
      <c r="AH51" s="307" t="b">
        <f t="shared" si="17"/>
        <v>1</v>
      </c>
      <c r="AI51" s="308"/>
    </row>
    <row r="52" spans="1:35" s="307" customFormat="1" ht="13.5" thickBot="1" x14ac:dyDescent="0.35">
      <c r="B52" s="329"/>
      <c r="C52" s="330" t="s">
        <v>2</v>
      </c>
      <c r="D52" s="292">
        <f t="shared" ref="D52:O52" si="20">SUM(D47:D51)</f>
        <v>0</v>
      </c>
      <c r="E52" s="292">
        <f t="shared" si="20"/>
        <v>0</v>
      </c>
      <c r="F52" s="292">
        <f t="shared" si="20"/>
        <v>0</v>
      </c>
      <c r="G52" s="292">
        <f t="shared" ref="G52" si="21">SUM(G47:G51)</f>
        <v>0</v>
      </c>
      <c r="H52" s="292">
        <f t="shared" si="20"/>
        <v>0</v>
      </c>
      <c r="I52" s="292">
        <f t="shared" si="20"/>
        <v>0</v>
      </c>
      <c r="J52" s="292">
        <f t="shared" si="20"/>
        <v>0</v>
      </c>
      <c r="K52" s="302">
        <f t="shared" si="20"/>
        <v>0</v>
      </c>
      <c r="L52" s="303">
        <f t="shared" si="20"/>
        <v>0</v>
      </c>
      <c r="M52" s="304">
        <f t="shared" si="20"/>
        <v>0</v>
      </c>
      <c r="N52" s="303">
        <f t="shared" si="20"/>
        <v>0</v>
      </c>
      <c r="O52" s="304">
        <f t="shared" si="20"/>
        <v>0</v>
      </c>
      <c r="P52" s="331"/>
      <c r="Q52" s="308"/>
      <c r="S52" s="329"/>
      <c r="T52" s="330" t="s">
        <v>2</v>
      </c>
      <c r="U52" s="332">
        <f>SUM(U47:U51)</f>
        <v>0</v>
      </c>
      <c r="V52" s="332">
        <f t="shared" ref="V52:AG52" si="22">SUM(V47:V51)</f>
        <v>0</v>
      </c>
      <c r="W52" s="332">
        <f t="shared" si="22"/>
        <v>0</v>
      </c>
      <c r="X52" s="332">
        <f t="shared" si="22"/>
        <v>0</v>
      </c>
      <c r="Y52" s="332">
        <f t="shared" si="22"/>
        <v>0</v>
      </c>
      <c r="Z52" s="292">
        <f t="shared" si="22"/>
        <v>0</v>
      </c>
      <c r="AA52" s="292">
        <f t="shared" si="22"/>
        <v>0</v>
      </c>
      <c r="AB52" s="292">
        <f t="shared" si="22"/>
        <v>0</v>
      </c>
      <c r="AC52" s="292">
        <f t="shared" ref="AC52" si="23">SUM(AC47:AC51)</f>
        <v>0</v>
      </c>
      <c r="AD52" s="292">
        <f>SUM(AD47:AD51)</f>
        <v>0</v>
      </c>
      <c r="AE52" s="292">
        <f>SUM(AE47:AE51)</f>
        <v>0</v>
      </c>
      <c r="AF52" s="333">
        <f t="shared" si="22"/>
        <v>0</v>
      </c>
      <c r="AG52" s="334">
        <f t="shared" si="22"/>
        <v>0</v>
      </c>
      <c r="AH52" s="307" t="b">
        <f>INT(AG52)=0</f>
        <v>1</v>
      </c>
      <c r="AI52" s="308"/>
    </row>
    <row r="53" spans="1:35" ht="12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3">
      <c r="Q58" s="4"/>
      <c r="AI58" s="4"/>
    </row>
    <row r="59" spans="1:35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4" x14ac:dyDescent="0.3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5" x14ac:dyDescent="0.3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4" x14ac:dyDescent="0.3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5" x14ac:dyDescent="0.35">
      <c r="B63" s="8"/>
      <c r="C63" s="590" t="s">
        <v>17</v>
      </c>
      <c r="D63" s="9">
        <f>D6</f>
        <v>46282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" thickBot="1" x14ac:dyDescent="0.3">
      <c r="B64" s="8"/>
      <c r="C64" s="590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3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21" t="s">
        <v>107</v>
      </c>
      <c r="AE65" s="121" t="s">
        <v>106</v>
      </c>
      <c r="AF65" s="39" t="s">
        <v>23</v>
      </c>
      <c r="AG65" s="13"/>
      <c r="AI65" s="4"/>
    </row>
    <row r="66" spans="1:35" s="307" customFormat="1" x14ac:dyDescent="0.25">
      <c r="B66" s="305">
        <v>1</v>
      </c>
      <c r="C66" s="306" t="s">
        <v>10</v>
      </c>
      <c r="D66" s="293">
        <f>'Reversion Pagos R4'!D86</f>
        <v>0</v>
      </c>
      <c r="E66" s="294">
        <f>'Reversion Pagos R4'!E86</f>
        <v>0</v>
      </c>
      <c r="F66" s="294">
        <f>'Reversion Pagos R4'!F86</f>
        <v>0</v>
      </c>
      <c r="G66" s="294">
        <f>'Reversion Pagos R4'!G86</f>
        <v>0</v>
      </c>
      <c r="H66" s="294">
        <f>'Reversion Pagos R4'!H86</f>
        <v>0</v>
      </c>
      <c r="I66" s="294">
        <f>'Reversion Pagos R4'!I86</f>
        <v>0</v>
      </c>
      <c r="J66" s="290">
        <v>0</v>
      </c>
      <c r="K66" s="295">
        <f>D66-E66-F66-G66-H66-I66-J66</f>
        <v>0</v>
      </c>
      <c r="L66" s="296">
        <v>0</v>
      </c>
      <c r="M66" s="295">
        <f>K66-L66</f>
        <v>0</v>
      </c>
      <c r="N66" s="296">
        <f>'Reversion Pagos R4'!P86</f>
        <v>0</v>
      </c>
      <c r="O66" s="295">
        <f>M66+N66</f>
        <v>0</v>
      </c>
      <c r="Q66" s="308"/>
      <c r="S66" s="305">
        <v>1</v>
      </c>
      <c r="T66" s="306" t="s">
        <v>10</v>
      </c>
      <c r="U66" s="309">
        <f>'Reversion Pagos R4'!J86</f>
        <v>0</v>
      </c>
      <c r="V66" s="310">
        <f>'Reversion Pagos R4'!K86</f>
        <v>0</v>
      </c>
      <c r="W66" s="310">
        <f>'Reversion Pagos R4'!L86</f>
        <v>0</v>
      </c>
      <c r="X66" s="310">
        <f>'Reversion Pagos R4'!M86</f>
        <v>0</v>
      </c>
      <c r="Y66" s="310">
        <f>'Reversion Pagos R4'!N86</f>
        <v>0</v>
      </c>
      <c r="Z66" s="312">
        <f>-L66</f>
        <v>0</v>
      </c>
      <c r="AA66" s="313">
        <f>'Reversion Pagos R4'!O86+'Reversion Pagos R4'!Q86</f>
        <v>0</v>
      </c>
      <c r="AB66" s="296">
        <f>N66</f>
        <v>0</v>
      </c>
      <c r="AC66" s="313">
        <v>0</v>
      </c>
      <c r="AD66" s="293">
        <f>-J66+AE66</f>
        <v>0</v>
      </c>
      <c r="AE66" s="293">
        <f>'Reversion Pagos R4'!D87</f>
        <v>0</v>
      </c>
      <c r="AF66" s="315">
        <f>SUM(U66:AD66)</f>
        <v>0</v>
      </c>
      <c r="AG66" s="313">
        <f>(AF66-O66)</f>
        <v>0</v>
      </c>
      <c r="AH66" s="307" t="b">
        <f>INT(AG66)=0</f>
        <v>1</v>
      </c>
      <c r="AI66" s="308"/>
    </row>
    <row r="67" spans="1:35" s="307" customFormat="1" x14ac:dyDescent="0.25">
      <c r="B67" s="316">
        <v>2</v>
      </c>
      <c r="C67" s="317" t="s">
        <v>11</v>
      </c>
      <c r="D67" s="293">
        <f>'Reversion Pagos R4'!D175</f>
        <v>0</v>
      </c>
      <c r="E67" s="294">
        <f>'Reversion Pagos R4'!E175</f>
        <v>0</v>
      </c>
      <c r="F67" s="294">
        <f>'Reversion Pagos R4'!F175</f>
        <v>0</v>
      </c>
      <c r="G67" s="294">
        <f>'Reversion Pagos R4'!G175</f>
        <v>0</v>
      </c>
      <c r="H67" s="294">
        <f>'Reversion Pagos R4'!H175</f>
        <v>0</v>
      </c>
      <c r="I67" s="294">
        <f>'Reversion Pagos R4'!I175</f>
        <v>0</v>
      </c>
      <c r="J67" s="290">
        <v>0</v>
      </c>
      <c r="K67" s="297">
        <f t="shared" ref="K67:K70" si="24">D67-E67-F67-G67-H67-I67-J67</f>
        <v>0</v>
      </c>
      <c r="L67" s="296">
        <v>0</v>
      </c>
      <c r="M67" s="297">
        <f>K67-L67</f>
        <v>0</v>
      </c>
      <c r="N67" s="296">
        <f>'Reversion Pagos R4'!P175</f>
        <v>0</v>
      </c>
      <c r="O67" s="297">
        <f t="shared" ref="O67:O70" si="25">M67+N67</f>
        <v>0</v>
      </c>
      <c r="Q67" s="308"/>
      <c r="S67" s="316">
        <v>2</v>
      </c>
      <c r="T67" s="317" t="s">
        <v>11</v>
      </c>
      <c r="U67" s="318">
        <f>'Reversion Pagos R4'!J175</f>
        <v>0</v>
      </c>
      <c r="V67" s="319">
        <f>'Reversion Pagos R4'!K175</f>
        <v>0</v>
      </c>
      <c r="W67" s="319">
        <f>'Reversion Pagos R4'!L175</f>
        <v>0</v>
      </c>
      <c r="X67" s="319">
        <f>'Reversion Pagos R4'!M175</f>
        <v>0</v>
      </c>
      <c r="Y67" s="320">
        <f>'Reversion Pagos R4'!N175</f>
        <v>0</v>
      </c>
      <c r="Z67" s="321">
        <f t="shared" ref="Z67:Z70" si="26">-L67</f>
        <v>0</v>
      </c>
      <c r="AA67" s="322">
        <f>'Reversion Pagos R4'!O175</f>
        <v>0</v>
      </c>
      <c r="AB67" s="296">
        <f t="shared" ref="AB67:AB70" si="27">N67</f>
        <v>0</v>
      </c>
      <c r="AC67" s="322">
        <v>0</v>
      </c>
      <c r="AD67" s="293">
        <f t="shared" ref="AD67:AD70" si="28">-J67+AE67</f>
        <v>0</v>
      </c>
      <c r="AE67" s="293">
        <f>'Reversion Pagos R4'!D176</f>
        <v>0</v>
      </c>
      <c r="AF67" s="324">
        <f>SUM(U67:AD67)</f>
        <v>0</v>
      </c>
      <c r="AG67" s="325">
        <f>(AF67-O67)</f>
        <v>0</v>
      </c>
      <c r="AH67" s="307" t="b">
        <f t="shared" ref="AH67:AH70" si="29">INT(AG67)=0</f>
        <v>1</v>
      </c>
      <c r="AI67" s="308"/>
    </row>
    <row r="68" spans="1:35" s="307" customFormat="1" x14ac:dyDescent="0.25">
      <c r="B68" s="316">
        <v>3</v>
      </c>
      <c r="C68" s="317" t="s">
        <v>12</v>
      </c>
      <c r="D68" s="293">
        <f>'Reversion Pagos R4'!D211</f>
        <v>0</v>
      </c>
      <c r="E68" s="294">
        <f>'Reversion Pagos R4'!E211</f>
        <v>0</v>
      </c>
      <c r="F68" s="294">
        <f>'Reversion Pagos R4'!F211</f>
        <v>0</v>
      </c>
      <c r="G68" s="294">
        <f>'Reversion Pagos R4'!G211</f>
        <v>0</v>
      </c>
      <c r="H68" s="294">
        <f>'Reversion Pagos R4'!H211</f>
        <v>0</v>
      </c>
      <c r="I68" s="294">
        <f>'Reversion Pagos R4'!I211</f>
        <v>0</v>
      </c>
      <c r="J68" s="290">
        <v>0</v>
      </c>
      <c r="K68" s="297">
        <f t="shared" si="24"/>
        <v>0</v>
      </c>
      <c r="L68" s="296">
        <v>0</v>
      </c>
      <c r="M68" s="297">
        <f>K68-L68</f>
        <v>0</v>
      </c>
      <c r="N68" s="296">
        <f>'Reversion Pagos R4'!P211</f>
        <v>0</v>
      </c>
      <c r="O68" s="297">
        <f t="shared" si="25"/>
        <v>0</v>
      </c>
      <c r="Q68" s="308"/>
      <c r="S68" s="316">
        <v>3</v>
      </c>
      <c r="T68" s="317" t="s">
        <v>12</v>
      </c>
      <c r="U68" s="318">
        <f>'Reversion Pagos R4'!J211</f>
        <v>0</v>
      </c>
      <c r="V68" s="319">
        <f>'Reversion Pagos R4'!K211</f>
        <v>0</v>
      </c>
      <c r="W68" s="319">
        <f>'Reversion Pagos R4'!L211</f>
        <v>0</v>
      </c>
      <c r="X68" s="319">
        <f>'Reversion Pagos R4'!M211</f>
        <v>0</v>
      </c>
      <c r="Y68" s="320">
        <f>'Reversion Pagos R4'!N211</f>
        <v>0</v>
      </c>
      <c r="Z68" s="321">
        <f t="shared" si="26"/>
        <v>0</v>
      </c>
      <c r="AA68" s="322">
        <f>'Reversion Pagos R4'!O211</f>
        <v>0</v>
      </c>
      <c r="AB68" s="296">
        <f t="shared" si="27"/>
        <v>0</v>
      </c>
      <c r="AC68" s="322">
        <v>0</v>
      </c>
      <c r="AD68" s="293">
        <f t="shared" si="28"/>
        <v>0</v>
      </c>
      <c r="AE68" s="293">
        <f>'Reversion Pagos R4'!D212</f>
        <v>0</v>
      </c>
      <c r="AF68" s="324">
        <f t="shared" ref="AF68:AF70" si="30">SUM(U68:AD68)</f>
        <v>0</v>
      </c>
      <c r="AG68" s="325">
        <f t="shared" ref="AG68:AG70" si="31">(AF68-O68)</f>
        <v>0</v>
      </c>
      <c r="AH68" s="307" t="b">
        <f t="shared" si="29"/>
        <v>1</v>
      </c>
      <c r="AI68" s="308"/>
    </row>
    <row r="69" spans="1:35" s="307" customFormat="1" x14ac:dyDescent="0.25">
      <c r="B69" s="316">
        <v>4</v>
      </c>
      <c r="C69" s="317" t="s">
        <v>13</v>
      </c>
      <c r="D69" s="293">
        <f>'Reversion Pagos R4'!D325</f>
        <v>0</v>
      </c>
      <c r="E69" s="294">
        <f>'Reversion Pagos R4'!E325</f>
        <v>0</v>
      </c>
      <c r="F69" s="294">
        <f>'Reversion Pagos R4'!F325</f>
        <v>0</v>
      </c>
      <c r="G69" s="294">
        <f>'Reversion Pagos R4'!G325</f>
        <v>0</v>
      </c>
      <c r="H69" s="294">
        <f>'Reversion Pagos R4'!H325</f>
        <v>0</v>
      </c>
      <c r="I69" s="294">
        <f>'Reversion Pagos R4'!I325</f>
        <v>0</v>
      </c>
      <c r="J69" s="290">
        <v>0</v>
      </c>
      <c r="K69" s="297">
        <f t="shared" si="24"/>
        <v>0</v>
      </c>
      <c r="L69" s="296">
        <v>0</v>
      </c>
      <c r="M69" s="297">
        <f>K69-L69</f>
        <v>0</v>
      </c>
      <c r="N69" s="296">
        <f>'Reversion Pagos R4'!P325</f>
        <v>0</v>
      </c>
      <c r="O69" s="297">
        <f t="shared" si="25"/>
        <v>0</v>
      </c>
      <c r="Q69" s="308"/>
      <c r="S69" s="316">
        <v>4</v>
      </c>
      <c r="T69" s="317" t="s">
        <v>13</v>
      </c>
      <c r="U69" s="318">
        <f>'Reversion Pagos R4'!J325</f>
        <v>0</v>
      </c>
      <c r="V69" s="319">
        <f>'Reversion Pagos R4'!K325</f>
        <v>0</v>
      </c>
      <c r="W69" s="319">
        <f>'Reversion Pagos R4'!L325</f>
        <v>0</v>
      </c>
      <c r="X69" s="319">
        <f>'Reversion Pagos R4'!M325</f>
        <v>0</v>
      </c>
      <c r="Y69" s="320">
        <f>'Reversion Pagos R4'!N325</f>
        <v>0</v>
      </c>
      <c r="Z69" s="321">
        <f t="shared" si="26"/>
        <v>0</v>
      </c>
      <c r="AA69" s="322">
        <f>'Reversion Pagos R4'!O325</f>
        <v>0</v>
      </c>
      <c r="AB69" s="296">
        <f t="shared" si="27"/>
        <v>0</v>
      </c>
      <c r="AC69" s="322">
        <v>0</v>
      </c>
      <c r="AD69" s="293">
        <f t="shared" si="28"/>
        <v>0</v>
      </c>
      <c r="AE69" s="293">
        <f>'Reversion Pagos R4'!D326</f>
        <v>0</v>
      </c>
      <c r="AF69" s="324">
        <f>SUM(U69:AD69)</f>
        <v>0</v>
      </c>
      <c r="AG69" s="325">
        <f>(AF69-O69)</f>
        <v>0</v>
      </c>
      <c r="AH69" s="307" t="b">
        <f t="shared" si="29"/>
        <v>1</v>
      </c>
      <c r="AI69" s="308"/>
    </row>
    <row r="70" spans="1:35" s="307" customFormat="1" ht="12" thickBot="1" x14ac:dyDescent="0.3">
      <c r="B70" s="326">
        <v>5</v>
      </c>
      <c r="C70" s="327" t="s">
        <v>14</v>
      </c>
      <c r="D70" s="298">
        <f>'Reversion Pagos R4'!D360</f>
        <v>0</v>
      </c>
      <c r="E70" s="299">
        <f>'Reversion Pagos R4'!E360</f>
        <v>0</v>
      </c>
      <c r="F70" s="299">
        <f>'Reversion Pagos R4'!F360</f>
        <v>0</v>
      </c>
      <c r="G70" s="299">
        <f>'Reversion Pagos R4'!G360</f>
        <v>0</v>
      </c>
      <c r="H70" s="299">
        <f>'Reversion Pagos R4'!H360</f>
        <v>0</v>
      </c>
      <c r="I70" s="299">
        <f>'Reversion Pagos R4'!I360</f>
        <v>0</v>
      </c>
      <c r="J70" s="291">
        <v>0</v>
      </c>
      <c r="K70" s="297">
        <f t="shared" si="24"/>
        <v>0</v>
      </c>
      <c r="L70" s="296">
        <v>0</v>
      </c>
      <c r="M70" s="300">
        <f>K70-L70</f>
        <v>0</v>
      </c>
      <c r="N70" s="296">
        <f>'Reversion Pagos R4'!P360</f>
        <v>0</v>
      </c>
      <c r="O70" s="300">
        <f t="shared" si="25"/>
        <v>0</v>
      </c>
      <c r="Q70" s="308"/>
      <c r="S70" s="326">
        <v>5</v>
      </c>
      <c r="T70" s="327" t="s">
        <v>14</v>
      </c>
      <c r="U70" s="298">
        <f>'Reversion Pagos R4'!J360</f>
        <v>0</v>
      </c>
      <c r="V70" s="299">
        <f>'Reversion Pagos R4'!K360</f>
        <v>0</v>
      </c>
      <c r="W70" s="299">
        <f>'Reversion Pagos R4'!L360</f>
        <v>0</v>
      </c>
      <c r="X70" s="299">
        <f>'Reversion Pagos R4'!M360</f>
        <v>0</v>
      </c>
      <c r="Y70" s="291">
        <f>'Reversion Pagos R4'!N360</f>
        <v>0</v>
      </c>
      <c r="Z70" s="321">
        <f t="shared" si="26"/>
        <v>0</v>
      </c>
      <c r="AA70" s="322">
        <f>'Reversion Pagos R4'!O360</f>
        <v>0</v>
      </c>
      <c r="AB70" s="296">
        <f t="shared" si="27"/>
        <v>0</v>
      </c>
      <c r="AC70" s="322">
        <v>0</v>
      </c>
      <c r="AD70" s="293">
        <f t="shared" si="28"/>
        <v>0</v>
      </c>
      <c r="AE70" s="293">
        <f>'Reversion Pagos R4'!D361</f>
        <v>0</v>
      </c>
      <c r="AF70" s="324">
        <f t="shared" si="30"/>
        <v>0</v>
      </c>
      <c r="AG70" s="328">
        <f t="shared" si="31"/>
        <v>0</v>
      </c>
      <c r="AH70" s="307" t="b">
        <f t="shared" si="29"/>
        <v>1</v>
      </c>
      <c r="AI70" s="308"/>
    </row>
    <row r="71" spans="1:35" s="307" customFormat="1" ht="13.5" thickBot="1" x14ac:dyDescent="0.35">
      <c r="B71" s="329"/>
      <c r="C71" s="330" t="s">
        <v>2</v>
      </c>
      <c r="D71" s="292">
        <f t="shared" ref="D71:O71" si="32">SUM(D66:D70)</f>
        <v>0</v>
      </c>
      <c r="E71" s="292">
        <f t="shared" si="32"/>
        <v>0</v>
      </c>
      <c r="F71" s="292">
        <f t="shared" si="32"/>
        <v>0</v>
      </c>
      <c r="G71" s="292">
        <f t="shared" si="32"/>
        <v>0</v>
      </c>
      <c r="H71" s="292">
        <f t="shared" si="32"/>
        <v>0</v>
      </c>
      <c r="I71" s="292">
        <f t="shared" si="32"/>
        <v>0</v>
      </c>
      <c r="J71" s="292">
        <f t="shared" si="32"/>
        <v>0</v>
      </c>
      <c r="K71" s="302">
        <f t="shared" si="32"/>
        <v>0</v>
      </c>
      <c r="L71" s="303">
        <f t="shared" si="32"/>
        <v>0</v>
      </c>
      <c r="M71" s="304">
        <f t="shared" si="32"/>
        <v>0</v>
      </c>
      <c r="N71" s="303">
        <f t="shared" si="32"/>
        <v>0</v>
      </c>
      <c r="O71" s="304">
        <f t="shared" si="32"/>
        <v>0</v>
      </c>
      <c r="P71" s="331"/>
      <c r="Q71" s="308"/>
      <c r="S71" s="329"/>
      <c r="T71" s="330" t="s">
        <v>2</v>
      </c>
      <c r="U71" s="332">
        <f>SUM(U66:U70)</f>
        <v>0</v>
      </c>
      <c r="V71" s="332">
        <f t="shared" ref="V71:AG71" si="33">SUM(V66:V70)</f>
        <v>0</v>
      </c>
      <c r="W71" s="332">
        <f t="shared" si="33"/>
        <v>0</v>
      </c>
      <c r="X71" s="332">
        <f t="shared" si="33"/>
        <v>0</v>
      </c>
      <c r="Y71" s="332">
        <f t="shared" si="33"/>
        <v>0</v>
      </c>
      <c r="Z71" s="292">
        <f t="shared" si="33"/>
        <v>0</v>
      </c>
      <c r="AA71" s="292">
        <f>SUM(AA66:AA70)</f>
        <v>0</v>
      </c>
      <c r="AB71" s="292">
        <f t="shared" si="33"/>
        <v>0</v>
      </c>
      <c r="AC71" s="292">
        <f t="shared" si="33"/>
        <v>0</v>
      </c>
      <c r="AD71" s="292">
        <f>SUM(AD66:AD70)</f>
        <v>0</v>
      </c>
      <c r="AE71" s="292">
        <f>SUM(AE66:AE70)</f>
        <v>0</v>
      </c>
      <c r="AF71" s="333">
        <f t="shared" si="33"/>
        <v>0</v>
      </c>
      <c r="AG71" s="334">
        <f t="shared" si="33"/>
        <v>0</v>
      </c>
      <c r="AH71" s="307" t="b">
        <f>INT(AG71)=0</f>
        <v>1</v>
      </c>
      <c r="AI71" s="308"/>
    </row>
    <row r="72" spans="1:35" ht="12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3">
      <c r="Q77" s="4"/>
      <c r="AI77" s="4"/>
    </row>
    <row r="78" spans="1:35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4" x14ac:dyDescent="0.3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5" x14ac:dyDescent="0.3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4" x14ac:dyDescent="0.3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5" x14ac:dyDescent="0.35">
      <c r="B82" s="8"/>
      <c r="C82" s="590" t="s">
        <v>17</v>
      </c>
      <c r="D82" s="9">
        <f>D6</f>
        <v>46282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" thickBot="1" x14ac:dyDescent="0.3">
      <c r="B83" s="8"/>
      <c r="C83" s="590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3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167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7" customFormat="1" x14ac:dyDescent="0.25">
      <c r="B85" s="305">
        <v>1</v>
      </c>
      <c r="C85" s="306" t="s">
        <v>10</v>
      </c>
      <c r="D85" s="293">
        <v>0</v>
      </c>
      <c r="E85" s="294">
        <v>0</v>
      </c>
      <c r="F85" s="294">
        <v>0</v>
      </c>
      <c r="G85" s="294">
        <v>0</v>
      </c>
      <c r="H85" s="294">
        <v>0</v>
      </c>
      <c r="I85" s="294">
        <v>0</v>
      </c>
      <c r="J85" s="290">
        <v>0</v>
      </c>
      <c r="K85" s="295">
        <f>D85-E85-F85-G85-H85-I85-J85</f>
        <v>0</v>
      </c>
      <c r="L85" s="296">
        <v>0</v>
      </c>
      <c r="M85" s="295">
        <f>K85-L85</f>
        <v>0</v>
      </c>
      <c r="N85" s="296">
        <v>0</v>
      </c>
      <c r="O85" s="295">
        <f>M85+N85</f>
        <v>0</v>
      </c>
      <c r="Q85" s="308"/>
      <c r="S85" s="305">
        <v>1</v>
      </c>
      <c r="T85" s="306" t="s">
        <v>10</v>
      </c>
      <c r="U85" s="309">
        <v>0</v>
      </c>
      <c r="V85" s="310">
        <v>0</v>
      </c>
      <c r="W85" s="310">
        <v>0</v>
      </c>
      <c r="X85" s="310">
        <v>0</v>
      </c>
      <c r="Y85" s="311">
        <v>0</v>
      </c>
      <c r="Z85" s="312">
        <f>-L85</f>
        <v>0</v>
      </c>
      <c r="AA85" s="313">
        <v>0</v>
      </c>
      <c r="AB85" s="296">
        <f>N85</f>
        <v>0</v>
      </c>
      <c r="AC85" s="313">
        <v>0</v>
      </c>
      <c r="AD85" s="293">
        <f>-J85+AE85</f>
        <v>0</v>
      </c>
      <c r="AE85" s="293">
        <v>0</v>
      </c>
      <c r="AF85" s="315">
        <f>SUM(U85:AD85)</f>
        <v>0</v>
      </c>
      <c r="AG85" s="313">
        <f>AF85-O85</f>
        <v>0</v>
      </c>
      <c r="AH85" s="307" t="b">
        <f>INT(AG85)=0</f>
        <v>1</v>
      </c>
      <c r="AI85" s="308"/>
    </row>
    <row r="86" spans="1:35" s="307" customFormat="1" x14ac:dyDescent="0.25">
      <c r="B86" s="316">
        <v>2</v>
      </c>
      <c r="C86" s="317" t="s">
        <v>11</v>
      </c>
      <c r="D86" s="293">
        <v>0</v>
      </c>
      <c r="E86" s="294">
        <v>0</v>
      </c>
      <c r="F86" s="294">
        <v>0</v>
      </c>
      <c r="G86" s="294">
        <v>0</v>
      </c>
      <c r="H86" s="294">
        <v>0</v>
      </c>
      <c r="I86" s="294">
        <v>0</v>
      </c>
      <c r="J86" s="290">
        <v>0</v>
      </c>
      <c r="K86" s="297">
        <f t="shared" ref="K86:K89" si="34">D86-E86-F86-G86-H86-I86-J86</f>
        <v>0</v>
      </c>
      <c r="L86" s="296">
        <v>0</v>
      </c>
      <c r="M86" s="297">
        <f>K86-L86</f>
        <v>0</v>
      </c>
      <c r="N86" s="296">
        <v>0</v>
      </c>
      <c r="O86" s="297">
        <f t="shared" ref="O86:O89" si="35">M86+N86</f>
        <v>0</v>
      </c>
      <c r="Q86" s="308"/>
      <c r="S86" s="316">
        <v>2</v>
      </c>
      <c r="T86" s="317" t="s">
        <v>11</v>
      </c>
      <c r="U86" s="318">
        <v>0</v>
      </c>
      <c r="V86" s="319">
        <v>0</v>
      </c>
      <c r="W86" s="319">
        <v>0</v>
      </c>
      <c r="X86" s="319">
        <v>0</v>
      </c>
      <c r="Y86" s="320">
        <v>0</v>
      </c>
      <c r="Z86" s="321">
        <f>-L86</f>
        <v>0</v>
      </c>
      <c r="AA86" s="322">
        <v>0</v>
      </c>
      <c r="AB86" s="296">
        <f>N86</f>
        <v>0</v>
      </c>
      <c r="AC86" s="322">
        <v>0</v>
      </c>
      <c r="AD86" s="293">
        <f t="shared" ref="AD86:AD89" si="36">-J86+AE86</f>
        <v>0</v>
      </c>
      <c r="AE86" s="293">
        <v>0</v>
      </c>
      <c r="AF86" s="324">
        <f>SUM(U86:AD86)</f>
        <v>0</v>
      </c>
      <c r="AG86" s="325">
        <f>AF86-O86</f>
        <v>0</v>
      </c>
      <c r="AH86" s="307" t="b">
        <f t="shared" ref="AH86:AH89" si="37">INT(AG86)=0</f>
        <v>1</v>
      </c>
      <c r="AI86" s="308"/>
    </row>
    <row r="87" spans="1:35" s="307" customFormat="1" x14ac:dyDescent="0.25">
      <c r="B87" s="316">
        <v>3</v>
      </c>
      <c r="C87" s="317" t="s">
        <v>12</v>
      </c>
      <c r="D87" s="293">
        <v>0</v>
      </c>
      <c r="E87" s="294">
        <v>0</v>
      </c>
      <c r="F87" s="294">
        <v>0</v>
      </c>
      <c r="G87" s="294">
        <v>0</v>
      </c>
      <c r="H87" s="294">
        <v>0</v>
      </c>
      <c r="I87" s="294">
        <v>0</v>
      </c>
      <c r="J87" s="290">
        <v>0</v>
      </c>
      <c r="K87" s="297">
        <f t="shared" si="34"/>
        <v>0</v>
      </c>
      <c r="L87" s="296">
        <v>0</v>
      </c>
      <c r="M87" s="297">
        <f>K87-L87</f>
        <v>0</v>
      </c>
      <c r="N87" s="296">
        <v>0</v>
      </c>
      <c r="O87" s="297">
        <f t="shared" si="35"/>
        <v>0</v>
      </c>
      <c r="Q87" s="308"/>
      <c r="S87" s="316">
        <v>3</v>
      </c>
      <c r="T87" s="317" t="s">
        <v>12</v>
      </c>
      <c r="U87" s="318">
        <v>0</v>
      </c>
      <c r="V87" s="319">
        <v>0</v>
      </c>
      <c r="W87" s="319">
        <v>0</v>
      </c>
      <c r="X87" s="319">
        <v>0</v>
      </c>
      <c r="Y87" s="320">
        <v>0</v>
      </c>
      <c r="Z87" s="321">
        <f>-L87</f>
        <v>0</v>
      </c>
      <c r="AA87" s="322">
        <v>0</v>
      </c>
      <c r="AB87" s="296">
        <f>N87</f>
        <v>0</v>
      </c>
      <c r="AC87" s="322">
        <v>0</v>
      </c>
      <c r="AD87" s="293">
        <f t="shared" si="36"/>
        <v>0</v>
      </c>
      <c r="AE87" s="293">
        <v>0</v>
      </c>
      <c r="AF87" s="324">
        <f t="shared" ref="AF87:AF89" si="38">SUM(U87:AD87)</f>
        <v>0</v>
      </c>
      <c r="AG87" s="325">
        <f>AF87-O87</f>
        <v>0</v>
      </c>
      <c r="AH87" s="307" t="b">
        <f t="shared" si="37"/>
        <v>1</v>
      </c>
      <c r="AI87" s="308"/>
    </row>
    <row r="88" spans="1:35" s="307" customFormat="1" x14ac:dyDescent="0.25">
      <c r="B88" s="316">
        <v>4</v>
      </c>
      <c r="C88" s="317" t="s">
        <v>13</v>
      </c>
      <c r="D88" s="293">
        <v>0</v>
      </c>
      <c r="E88" s="294">
        <v>0</v>
      </c>
      <c r="F88" s="294">
        <v>0</v>
      </c>
      <c r="G88" s="294">
        <v>0</v>
      </c>
      <c r="H88" s="294">
        <v>0</v>
      </c>
      <c r="I88" s="294">
        <v>0</v>
      </c>
      <c r="J88" s="290">
        <v>0</v>
      </c>
      <c r="K88" s="297">
        <f t="shared" si="34"/>
        <v>0</v>
      </c>
      <c r="L88" s="296">
        <v>0</v>
      </c>
      <c r="M88" s="297">
        <f>K88-L88</f>
        <v>0</v>
      </c>
      <c r="N88" s="296">
        <v>0</v>
      </c>
      <c r="O88" s="297">
        <f t="shared" si="35"/>
        <v>0</v>
      </c>
      <c r="Q88" s="308"/>
      <c r="S88" s="316">
        <v>4</v>
      </c>
      <c r="T88" s="317" t="s">
        <v>13</v>
      </c>
      <c r="U88" s="318">
        <v>0</v>
      </c>
      <c r="V88" s="319">
        <v>0</v>
      </c>
      <c r="W88" s="319">
        <v>0</v>
      </c>
      <c r="X88" s="319">
        <v>0</v>
      </c>
      <c r="Y88" s="320">
        <v>0</v>
      </c>
      <c r="Z88" s="321">
        <f>-L88</f>
        <v>0</v>
      </c>
      <c r="AA88" s="322">
        <v>0</v>
      </c>
      <c r="AB88" s="296">
        <f>N88</f>
        <v>0</v>
      </c>
      <c r="AC88" s="322">
        <v>0</v>
      </c>
      <c r="AD88" s="293">
        <f t="shared" si="36"/>
        <v>0</v>
      </c>
      <c r="AE88" s="293">
        <v>0</v>
      </c>
      <c r="AF88" s="324">
        <f t="shared" si="38"/>
        <v>0</v>
      </c>
      <c r="AG88" s="325">
        <f>AF88-O88</f>
        <v>0</v>
      </c>
      <c r="AH88" s="307" t="b">
        <f t="shared" si="37"/>
        <v>1</v>
      </c>
      <c r="AI88" s="308"/>
    </row>
    <row r="89" spans="1:35" s="307" customFormat="1" ht="12" thickBot="1" x14ac:dyDescent="0.3">
      <c r="B89" s="326">
        <v>5</v>
      </c>
      <c r="C89" s="327" t="s">
        <v>14</v>
      </c>
      <c r="D89" s="298">
        <v>0</v>
      </c>
      <c r="E89" s="299">
        <v>0</v>
      </c>
      <c r="F89" s="299">
        <v>0</v>
      </c>
      <c r="G89" s="299">
        <v>0</v>
      </c>
      <c r="H89" s="299">
        <v>0</v>
      </c>
      <c r="I89" s="299">
        <v>0</v>
      </c>
      <c r="J89" s="291">
        <v>0</v>
      </c>
      <c r="K89" s="297">
        <f t="shared" si="34"/>
        <v>0</v>
      </c>
      <c r="L89" s="296">
        <v>0</v>
      </c>
      <c r="M89" s="300">
        <f>K89-L89</f>
        <v>0</v>
      </c>
      <c r="N89" s="301">
        <v>0</v>
      </c>
      <c r="O89" s="300">
        <f t="shared" si="35"/>
        <v>0</v>
      </c>
      <c r="Q89" s="308"/>
      <c r="S89" s="326">
        <v>5</v>
      </c>
      <c r="T89" s="327" t="s">
        <v>14</v>
      </c>
      <c r="U89" s="298">
        <v>0</v>
      </c>
      <c r="V89" s="299">
        <v>0</v>
      </c>
      <c r="W89" s="299">
        <v>0</v>
      </c>
      <c r="X89" s="299">
        <v>0</v>
      </c>
      <c r="Y89" s="291">
        <v>0</v>
      </c>
      <c r="Z89" s="321">
        <f>-L89</f>
        <v>0</v>
      </c>
      <c r="AA89" s="322">
        <v>0</v>
      </c>
      <c r="AB89" s="296">
        <f>N89</f>
        <v>0</v>
      </c>
      <c r="AC89" s="322">
        <v>0</v>
      </c>
      <c r="AD89" s="293">
        <f t="shared" si="36"/>
        <v>0</v>
      </c>
      <c r="AE89" s="293">
        <v>0</v>
      </c>
      <c r="AF89" s="324">
        <f t="shared" si="38"/>
        <v>0</v>
      </c>
      <c r="AG89" s="328">
        <f>AF89-O89</f>
        <v>0</v>
      </c>
      <c r="AH89" s="307" t="b">
        <f t="shared" si="37"/>
        <v>1</v>
      </c>
      <c r="AI89" s="308"/>
    </row>
    <row r="90" spans="1:35" s="307" customFormat="1" ht="13.5" thickBot="1" x14ac:dyDescent="0.35">
      <c r="B90" s="329"/>
      <c r="C90" s="330" t="s">
        <v>2</v>
      </c>
      <c r="D90" s="292">
        <f t="shared" ref="D90:O90" si="39">SUM(D85:D89)</f>
        <v>0</v>
      </c>
      <c r="E90" s="292">
        <f t="shared" si="39"/>
        <v>0</v>
      </c>
      <c r="F90" s="292">
        <f t="shared" si="39"/>
        <v>0</v>
      </c>
      <c r="G90" s="292">
        <f t="shared" si="39"/>
        <v>0</v>
      </c>
      <c r="H90" s="292">
        <f t="shared" si="39"/>
        <v>0</v>
      </c>
      <c r="I90" s="292">
        <f t="shared" si="39"/>
        <v>0</v>
      </c>
      <c r="J90" s="292">
        <f t="shared" si="39"/>
        <v>0</v>
      </c>
      <c r="K90" s="302">
        <f t="shared" si="39"/>
        <v>0</v>
      </c>
      <c r="L90" s="303">
        <f t="shared" si="39"/>
        <v>0</v>
      </c>
      <c r="M90" s="304">
        <f t="shared" si="39"/>
        <v>0</v>
      </c>
      <c r="N90" s="303">
        <f t="shared" si="39"/>
        <v>0</v>
      </c>
      <c r="O90" s="304">
        <f t="shared" si="39"/>
        <v>0</v>
      </c>
      <c r="P90" s="331"/>
      <c r="Q90" s="308"/>
      <c r="S90" s="329"/>
      <c r="T90" s="330" t="s">
        <v>2</v>
      </c>
      <c r="U90" s="332">
        <f>SUM(U85:U89)</f>
        <v>0</v>
      </c>
      <c r="V90" s="332">
        <f t="shared" ref="V90:AG90" si="40">SUM(V85:V89)</f>
        <v>0</v>
      </c>
      <c r="W90" s="332">
        <f t="shared" si="40"/>
        <v>0</v>
      </c>
      <c r="X90" s="332">
        <f t="shared" si="40"/>
        <v>0</v>
      </c>
      <c r="Y90" s="332">
        <f t="shared" si="40"/>
        <v>0</v>
      </c>
      <c r="Z90" s="292">
        <f t="shared" si="40"/>
        <v>0</v>
      </c>
      <c r="AA90" s="292">
        <f t="shared" si="40"/>
        <v>0</v>
      </c>
      <c r="AB90" s="292">
        <f t="shared" si="40"/>
        <v>0</v>
      </c>
      <c r="AC90" s="292">
        <f t="shared" si="40"/>
        <v>0</v>
      </c>
      <c r="AD90" s="292">
        <f t="shared" si="40"/>
        <v>0</v>
      </c>
      <c r="AE90" s="292">
        <f t="shared" si="40"/>
        <v>0</v>
      </c>
      <c r="AF90" s="333">
        <f t="shared" si="40"/>
        <v>0</v>
      </c>
      <c r="AG90" s="334">
        <f t="shared" si="40"/>
        <v>0</v>
      </c>
      <c r="AH90" s="307" t="b">
        <f>INT(AG90)=0</f>
        <v>1</v>
      </c>
      <c r="AI90" s="308"/>
    </row>
    <row r="91" spans="1:35" ht="12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3">
      <c r="Q96" s="4"/>
      <c r="AI96" s="4"/>
    </row>
    <row r="97" spans="2:36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4" x14ac:dyDescent="0.3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5" x14ac:dyDescent="0.3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4" x14ac:dyDescent="0.3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5" x14ac:dyDescent="0.35">
      <c r="B101" s="8"/>
      <c r="C101" s="590" t="s">
        <v>17</v>
      </c>
      <c r="D101" s="9">
        <f>D6</f>
        <v>46282</v>
      </c>
      <c r="F101" s="58" t="s">
        <v>219</v>
      </c>
      <c r="G101" s="58"/>
      <c r="H101" s="59"/>
      <c r="I101" s="60"/>
      <c r="J101" s="59"/>
      <c r="K101" s="60"/>
      <c r="L101" s="91"/>
      <c r="O101" s="10"/>
      <c r="P101" s="2"/>
      <c r="Q101" s="4"/>
      <c r="S101" s="8"/>
      <c r="T101" s="41" t="s">
        <v>1</v>
      </c>
      <c r="U101" s="58" t="s">
        <v>220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5">
      <c r="B102" s="8"/>
      <c r="C102" s="590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3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7" customFormat="1" x14ac:dyDescent="0.25">
      <c r="B104" s="305">
        <v>1</v>
      </c>
      <c r="C104" s="306" t="s">
        <v>10</v>
      </c>
      <c r="D104" s="293">
        <f t="shared" ref="D104:J108" si="41">D9+D28+D47+D66+D85</f>
        <v>0</v>
      </c>
      <c r="E104" s="294">
        <f t="shared" si="41"/>
        <v>0</v>
      </c>
      <c r="F104" s="294">
        <f t="shared" si="41"/>
        <v>0</v>
      </c>
      <c r="G104" s="294">
        <f t="shared" si="41"/>
        <v>0</v>
      </c>
      <c r="H104" s="294">
        <f t="shared" si="41"/>
        <v>0</v>
      </c>
      <c r="I104" s="294">
        <f t="shared" si="41"/>
        <v>0</v>
      </c>
      <c r="J104" s="290">
        <f t="shared" si="41"/>
        <v>0</v>
      </c>
      <c r="K104" s="295">
        <f>D104-E104-F104-G104-H104-I104-J104</f>
        <v>0</v>
      </c>
      <c r="L104" s="296">
        <f>L9+L28+L47+L66+L85</f>
        <v>0</v>
      </c>
      <c r="M104" s="295">
        <f>K104-L104</f>
        <v>0</v>
      </c>
      <c r="N104" s="296">
        <f>N9+N28+N47+N66+N85</f>
        <v>0</v>
      </c>
      <c r="O104" s="295">
        <f>M104+N104</f>
        <v>0</v>
      </c>
      <c r="Q104" s="308"/>
      <c r="S104" s="305">
        <v>1</v>
      </c>
      <c r="T104" s="306" t="s">
        <v>10</v>
      </c>
      <c r="U104" s="309">
        <f t="shared" ref="U104:AB108" si="42">U9+U28+U47+U66+U85</f>
        <v>0</v>
      </c>
      <c r="V104" s="310">
        <f t="shared" si="42"/>
        <v>0</v>
      </c>
      <c r="W104" s="310">
        <f t="shared" si="42"/>
        <v>0</v>
      </c>
      <c r="X104" s="310">
        <f t="shared" si="42"/>
        <v>0</v>
      </c>
      <c r="Y104" s="311">
        <f t="shared" si="42"/>
        <v>0</v>
      </c>
      <c r="Z104" s="312">
        <f t="shared" si="42"/>
        <v>0</v>
      </c>
      <c r="AA104" s="313">
        <f t="shared" si="42"/>
        <v>0</v>
      </c>
      <c r="AB104" s="296">
        <f t="shared" si="42"/>
        <v>0</v>
      </c>
      <c r="AC104" s="313">
        <f t="shared" ref="AC104" si="43">AC9+AC28+AC47+AC66+AC85</f>
        <v>0</v>
      </c>
      <c r="AD104" s="293">
        <f>-J104+AE104</f>
        <v>0</v>
      </c>
      <c r="AE104" s="293">
        <f>AE9+AE28+AE47+AE66+AE85</f>
        <v>0</v>
      </c>
      <c r="AF104" s="315">
        <f>SUM(U104:AD104)</f>
        <v>0</v>
      </c>
      <c r="AG104" s="313">
        <f>AF104-O104</f>
        <v>0</v>
      </c>
      <c r="AH104" s="1" t="b">
        <f t="shared" ref="AH104:AH109" si="44">INT(ABS(AG104))=0</f>
        <v>1</v>
      </c>
      <c r="AI104" s="308"/>
    </row>
    <row r="105" spans="2:36" s="307" customFormat="1" x14ac:dyDescent="0.25">
      <c r="B105" s="316">
        <v>2</v>
      </c>
      <c r="C105" s="317" t="s">
        <v>11</v>
      </c>
      <c r="D105" s="293">
        <f t="shared" si="41"/>
        <v>0</v>
      </c>
      <c r="E105" s="294">
        <f t="shared" si="41"/>
        <v>0</v>
      </c>
      <c r="F105" s="294">
        <f t="shared" si="41"/>
        <v>0</v>
      </c>
      <c r="G105" s="294">
        <f t="shared" si="41"/>
        <v>0</v>
      </c>
      <c r="H105" s="294">
        <f t="shared" si="41"/>
        <v>0</v>
      </c>
      <c r="I105" s="294">
        <f t="shared" si="41"/>
        <v>0</v>
      </c>
      <c r="J105" s="290">
        <f t="shared" si="41"/>
        <v>0</v>
      </c>
      <c r="K105" s="297">
        <f t="shared" ref="K105:K108" si="45">D105-E105-F105-G105-H105-I105-J105</f>
        <v>0</v>
      </c>
      <c r="L105" s="296">
        <f>L10+L29+L48+L67+L86</f>
        <v>0</v>
      </c>
      <c r="M105" s="297">
        <f>K105-L105</f>
        <v>0</v>
      </c>
      <c r="N105" s="296">
        <f>N10+N29+N48+N67+N86</f>
        <v>0</v>
      </c>
      <c r="O105" s="297">
        <f t="shared" ref="O105:O108" si="46">M105+N105</f>
        <v>0</v>
      </c>
      <c r="Q105" s="308"/>
      <c r="S105" s="316">
        <v>2</v>
      </c>
      <c r="T105" s="317" t="s">
        <v>11</v>
      </c>
      <c r="U105" s="318">
        <f t="shared" si="42"/>
        <v>0</v>
      </c>
      <c r="V105" s="319">
        <f t="shared" si="42"/>
        <v>0</v>
      </c>
      <c r="W105" s="319">
        <f t="shared" si="42"/>
        <v>0</v>
      </c>
      <c r="X105" s="319">
        <f t="shared" si="42"/>
        <v>0</v>
      </c>
      <c r="Y105" s="320">
        <f t="shared" si="42"/>
        <v>0</v>
      </c>
      <c r="Z105" s="321">
        <f t="shared" si="42"/>
        <v>0</v>
      </c>
      <c r="AA105" s="322">
        <f t="shared" si="42"/>
        <v>0</v>
      </c>
      <c r="AB105" s="296">
        <f t="shared" si="42"/>
        <v>0</v>
      </c>
      <c r="AC105" s="322">
        <f t="shared" ref="AC105" si="47">AC10+AC29+AC48+AC67+AC86</f>
        <v>0</v>
      </c>
      <c r="AD105" s="293">
        <f t="shared" ref="AD105:AD107" si="48">-J105+AE105</f>
        <v>0</v>
      </c>
      <c r="AE105" s="293">
        <f>AE10+AE29+AE48+AE67+AE86</f>
        <v>0</v>
      </c>
      <c r="AF105" s="324">
        <f>SUM(U105:AD105)</f>
        <v>0</v>
      </c>
      <c r="AG105" s="325">
        <f>AF105-O105</f>
        <v>0</v>
      </c>
      <c r="AH105" s="1" t="b">
        <f t="shared" si="44"/>
        <v>1</v>
      </c>
      <c r="AI105" s="308"/>
    </row>
    <row r="106" spans="2:36" s="307" customFormat="1" x14ac:dyDescent="0.25">
      <c r="B106" s="316">
        <v>3</v>
      </c>
      <c r="C106" s="317" t="s">
        <v>12</v>
      </c>
      <c r="D106" s="293">
        <f t="shared" si="41"/>
        <v>0</v>
      </c>
      <c r="E106" s="294">
        <f t="shared" si="41"/>
        <v>0</v>
      </c>
      <c r="F106" s="294">
        <f t="shared" si="41"/>
        <v>0</v>
      </c>
      <c r="G106" s="294">
        <f t="shared" si="41"/>
        <v>0</v>
      </c>
      <c r="H106" s="294">
        <f t="shared" si="41"/>
        <v>0</v>
      </c>
      <c r="I106" s="294">
        <f t="shared" si="41"/>
        <v>0</v>
      </c>
      <c r="J106" s="290">
        <f t="shared" si="41"/>
        <v>0</v>
      </c>
      <c r="K106" s="297">
        <f t="shared" si="45"/>
        <v>0</v>
      </c>
      <c r="L106" s="296">
        <f>L11+L30+L49+L68+L87</f>
        <v>0</v>
      </c>
      <c r="M106" s="297">
        <f>K106-L106</f>
        <v>0</v>
      </c>
      <c r="N106" s="296">
        <f>N11+N30+N49+N68+N87</f>
        <v>0</v>
      </c>
      <c r="O106" s="297">
        <f t="shared" si="46"/>
        <v>0</v>
      </c>
      <c r="Q106" s="308"/>
      <c r="S106" s="316">
        <v>3</v>
      </c>
      <c r="T106" s="317" t="s">
        <v>12</v>
      </c>
      <c r="U106" s="318">
        <f t="shared" si="42"/>
        <v>0</v>
      </c>
      <c r="V106" s="319">
        <f t="shared" si="42"/>
        <v>0</v>
      </c>
      <c r="W106" s="319">
        <f t="shared" si="42"/>
        <v>0</v>
      </c>
      <c r="X106" s="319">
        <f t="shared" si="42"/>
        <v>0</v>
      </c>
      <c r="Y106" s="320">
        <f t="shared" si="42"/>
        <v>0</v>
      </c>
      <c r="Z106" s="321">
        <f t="shared" si="42"/>
        <v>0</v>
      </c>
      <c r="AA106" s="322">
        <f t="shared" si="42"/>
        <v>0</v>
      </c>
      <c r="AB106" s="296">
        <f t="shared" si="42"/>
        <v>0</v>
      </c>
      <c r="AC106" s="322">
        <f t="shared" ref="AC106" si="49">AC11+AC30+AC49+AC68+AC87</f>
        <v>0</v>
      </c>
      <c r="AD106" s="293">
        <f t="shared" si="48"/>
        <v>0</v>
      </c>
      <c r="AE106" s="293">
        <f>AE11+AE30+AE49+AE68+AE87</f>
        <v>0</v>
      </c>
      <c r="AF106" s="324">
        <f>SUM(U106:AD106)</f>
        <v>0</v>
      </c>
      <c r="AG106" s="325">
        <f>AF106-O106</f>
        <v>0</v>
      </c>
      <c r="AH106" s="1" t="b">
        <f t="shared" si="44"/>
        <v>1</v>
      </c>
      <c r="AI106" s="308"/>
    </row>
    <row r="107" spans="2:36" s="307" customFormat="1" x14ac:dyDescent="0.25">
      <c r="B107" s="316">
        <v>4</v>
      </c>
      <c r="C107" s="317" t="s">
        <v>13</v>
      </c>
      <c r="D107" s="293">
        <f t="shared" si="41"/>
        <v>0</v>
      </c>
      <c r="E107" s="294">
        <f t="shared" si="41"/>
        <v>0</v>
      </c>
      <c r="F107" s="294">
        <f t="shared" si="41"/>
        <v>0</v>
      </c>
      <c r="G107" s="294">
        <f t="shared" si="41"/>
        <v>0</v>
      </c>
      <c r="H107" s="294">
        <f t="shared" si="41"/>
        <v>0</v>
      </c>
      <c r="I107" s="294">
        <f t="shared" si="41"/>
        <v>0</v>
      </c>
      <c r="J107" s="290">
        <f t="shared" si="41"/>
        <v>0</v>
      </c>
      <c r="K107" s="297">
        <f t="shared" si="45"/>
        <v>0</v>
      </c>
      <c r="L107" s="296">
        <f>L12+L31+L50+L69+L88</f>
        <v>0</v>
      </c>
      <c r="M107" s="297">
        <f>K107-L107</f>
        <v>0</v>
      </c>
      <c r="N107" s="296">
        <f>N12+N31+N50+N69+N88</f>
        <v>0</v>
      </c>
      <c r="O107" s="297">
        <f t="shared" si="46"/>
        <v>0</v>
      </c>
      <c r="Q107" s="308"/>
      <c r="S107" s="316">
        <v>4</v>
      </c>
      <c r="T107" s="317" t="s">
        <v>13</v>
      </c>
      <c r="U107" s="318">
        <f t="shared" si="42"/>
        <v>0</v>
      </c>
      <c r="V107" s="319">
        <f t="shared" si="42"/>
        <v>0</v>
      </c>
      <c r="W107" s="319">
        <f t="shared" si="42"/>
        <v>0</v>
      </c>
      <c r="X107" s="319">
        <f t="shared" si="42"/>
        <v>0</v>
      </c>
      <c r="Y107" s="320">
        <f t="shared" si="42"/>
        <v>0</v>
      </c>
      <c r="Z107" s="321">
        <f t="shared" si="42"/>
        <v>0</v>
      </c>
      <c r="AA107" s="322">
        <f t="shared" si="42"/>
        <v>0</v>
      </c>
      <c r="AB107" s="296">
        <f t="shared" si="42"/>
        <v>0</v>
      </c>
      <c r="AC107" s="322">
        <f t="shared" ref="AC107" si="50">AC12+AC31+AC50+AC69+AC88</f>
        <v>0</v>
      </c>
      <c r="AD107" s="293">
        <f t="shared" si="48"/>
        <v>0</v>
      </c>
      <c r="AE107" s="293">
        <f>AE12+AE31+AE50+AE69+AE88</f>
        <v>0</v>
      </c>
      <c r="AF107" s="324">
        <f>SUM(U107:AD107)</f>
        <v>0</v>
      </c>
      <c r="AG107" s="325">
        <f>AF107-O107</f>
        <v>0</v>
      </c>
      <c r="AH107" s="1" t="b">
        <f t="shared" si="44"/>
        <v>1</v>
      </c>
      <c r="AI107" s="308"/>
    </row>
    <row r="108" spans="2:36" s="307" customFormat="1" ht="12" thickBot="1" x14ac:dyDescent="0.3">
      <c r="B108" s="326">
        <v>5</v>
      </c>
      <c r="C108" s="327" t="s">
        <v>14</v>
      </c>
      <c r="D108" s="298">
        <f>D13+D32+D51+D70+D89</f>
        <v>0</v>
      </c>
      <c r="E108" s="299">
        <f t="shared" si="41"/>
        <v>0</v>
      </c>
      <c r="F108" s="299">
        <f t="shared" si="41"/>
        <v>0</v>
      </c>
      <c r="G108" s="299">
        <f t="shared" si="41"/>
        <v>0</v>
      </c>
      <c r="H108" s="299">
        <f t="shared" si="41"/>
        <v>0</v>
      </c>
      <c r="I108" s="299">
        <f t="shared" si="41"/>
        <v>0</v>
      </c>
      <c r="J108" s="291">
        <f t="shared" si="41"/>
        <v>0</v>
      </c>
      <c r="K108" s="297">
        <f t="shared" si="45"/>
        <v>0</v>
      </c>
      <c r="L108" s="296">
        <f>L13+L32+L51+L70+L89</f>
        <v>0</v>
      </c>
      <c r="M108" s="300">
        <f>K108-L108</f>
        <v>0</v>
      </c>
      <c r="N108" s="301">
        <f>N13+N32+N51+N70+N89</f>
        <v>0</v>
      </c>
      <c r="O108" s="300">
        <f t="shared" si="46"/>
        <v>0</v>
      </c>
      <c r="Q108" s="308"/>
      <c r="S108" s="326">
        <v>5</v>
      </c>
      <c r="T108" s="327" t="s">
        <v>14</v>
      </c>
      <c r="U108" s="298">
        <f t="shared" si="42"/>
        <v>0</v>
      </c>
      <c r="V108" s="299">
        <f t="shared" si="42"/>
        <v>0</v>
      </c>
      <c r="W108" s="299">
        <f t="shared" si="42"/>
        <v>0</v>
      </c>
      <c r="X108" s="299">
        <f t="shared" si="42"/>
        <v>0</v>
      </c>
      <c r="Y108" s="291">
        <f t="shared" si="42"/>
        <v>0</v>
      </c>
      <c r="Z108" s="321">
        <f t="shared" si="42"/>
        <v>0</v>
      </c>
      <c r="AA108" s="322">
        <f t="shared" si="42"/>
        <v>0</v>
      </c>
      <c r="AB108" s="296">
        <f t="shared" si="42"/>
        <v>0</v>
      </c>
      <c r="AC108" s="322">
        <f t="shared" ref="AC108" si="51">AC13+AC32+AC51+AC70+AC89</f>
        <v>0</v>
      </c>
      <c r="AD108" s="293">
        <f>-J108+AE108</f>
        <v>0</v>
      </c>
      <c r="AE108" s="293">
        <f>AE13+AE32+AE51+AE70+AE89</f>
        <v>0</v>
      </c>
      <c r="AF108" s="324">
        <f>SUM(U108:AD108)</f>
        <v>0</v>
      </c>
      <c r="AG108" s="328">
        <f>AF108-O108</f>
        <v>0</v>
      </c>
      <c r="AH108" s="1" t="b">
        <f t="shared" si="44"/>
        <v>1</v>
      </c>
      <c r="AI108" s="308"/>
    </row>
    <row r="109" spans="2:36" s="307" customFormat="1" ht="13.5" thickBot="1" x14ac:dyDescent="0.35">
      <c r="B109" s="329"/>
      <c r="C109" s="330" t="s">
        <v>2</v>
      </c>
      <c r="D109" s="292">
        <f t="shared" ref="D109:O109" si="52">SUM(D104:D108)</f>
        <v>0</v>
      </c>
      <c r="E109" s="292">
        <f t="shared" si="52"/>
        <v>0</v>
      </c>
      <c r="F109" s="292">
        <f t="shared" si="52"/>
        <v>0</v>
      </c>
      <c r="G109" s="292">
        <f t="shared" si="52"/>
        <v>0</v>
      </c>
      <c r="H109" s="292">
        <f t="shared" si="52"/>
        <v>0</v>
      </c>
      <c r="I109" s="292">
        <f t="shared" si="52"/>
        <v>0</v>
      </c>
      <c r="J109" s="292">
        <f t="shared" si="52"/>
        <v>0</v>
      </c>
      <c r="K109" s="302">
        <f t="shared" si="52"/>
        <v>0</v>
      </c>
      <c r="L109" s="303">
        <f t="shared" si="52"/>
        <v>0</v>
      </c>
      <c r="M109" s="304">
        <f t="shared" si="52"/>
        <v>0</v>
      </c>
      <c r="N109" s="303">
        <f t="shared" si="52"/>
        <v>0</v>
      </c>
      <c r="O109" s="304">
        <f t="shared" si="52"/>
        <v>0</v>
      </c>
      <c r="P109" s="331"/>
      <c r="Q109" s="308"/>
      <c r="S109" s="329"/>
      <c r="T109" s="330" t="s">
        <v>2</v>
      </c>
      <c r="U109" s="332">
        <f>SUM(U104:U108)</f>
        <v>0</v>
      </c>
      <c r="V109" s="332">
        <f t="shared" ref="V109:AF109" si="53">SUM(V104:V108)</f>
        <v>0</v>
      </c>
      <c r="W109" s="332">
        <f t="shared" si="53"/>
        <v>0</v>
      </c>
      <c r="X109" s="332">
        <f t="shared" si="53"/>
        <v>0</v>
      </c>
      <c r="Y109" s="332">
        <f t="shared" si="53"/>
        <v>0</v>
      </c>
      <c r="Z109" s="292">
        <f t="shared" si="53"/>
        <v>0</v>
      </c>
      <c r="AA109" s="292">
        <f t="shared" si="53"/>
        <v>0</v>
      </c>
      <c r="AB109" s="292">
        <f t="shared" si="53"/>
        <v>0</v>
      </c>
      <c r="AC109" s="292">
        <f t="shared" ref="AC109" si="54">SUM(AC104:AC108)</f>
        <v>0</v>
      </c>
      <c r="AD109" s="292">
        <f t="shared" si="53"/>
        <v>0</v>
      </c>
      <c r="AE109" s="292">
        <f>SUM(AE104:AE108)</f>
        <v>0</v>
      </c>
      <c r="AF109" s="333">
        <f t="shared" si="53"/>
        <v>0</v>
      </c>
      <c r="AG109" s="334">
        <f>SUM(AG104:AG108)</f>
        <v>0</v>
      </c>
      <c r="AH109" s="1" t="b">
        <f t="shared" si="44"/>
        <v>1</v>
      </c>
      <c r="AI109" s="308"/>
    </row>
    <row r="110" spans="2:36" ht="12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J113" s="24" t="s">
        <v>189</v>
      </c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3">
      <c r="Q115" s="4"/>
    </row>
    <row r="116" spans="1:35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4" x14ac:dyDescent="0.3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5" x14ac:dyDescent="0.3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5">
      <c r="B120" s="8"/>
      <c r="I120" s="2"/>
      <c r="J120" s="2"/>
      <c r="O120" s="10"/>
      <c r="P120" s="2"/>
      <c r="Q120" s="4"/>
    </row>
    <row r="121" spans="1:35" ht="15.5" x14ac:dyDescent="0.3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6.5" thickBot="1" x14ac:dyDescent="0.3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s="307" customFormat="1" x14ac:dyDescent="0.25">
      <c r="B125" s="336">
        <v>1</v>
      </c>
      <c r="C125" s="337" t="s">
        <v>10</v>
      </c>
      <c r="D125" s="310">
        <f>'ANTICIPOS USUARIOS'!R3</f>
        <v>0</v>
      </c>
      <c r="E125" s="311">
        <v>0</v>
      </c>
      <c r="G125" s="338">
        <f>D47+N47</f>
        <v>0</v>
      </c>
      <c r="H125" s="312">
        <f>D28+N28</f>
        <v>0</v>
      </c>
      <c r="I125" s="311">
        <f>D85+N85</f>
        <v>0</v>
      </c>
      <c r="J125" s="311">
        <f>D66+N66</f>
        <v>0</v>
      </c>
      <c r="K125" s="311">
        <f>'ANTICIPOS USUARIOS'!R12</f>
        <v>0</v>
      </c>
      <c r="L125" s="311">
        <f>-'ANTICIPOS USUARIOS'!R21</f>
        <v>0</v>
      </c>
      <c r="O125" s="339"/>
      <c r="Q125" s="308"/>
    </row>
    <row r="126" spans="1:35" s="307" customFormat="1" x14ac:dyDescent="0.25">
      <c r="B126" s="316">
        <v>2</v>
      </c>
      <c r="C126" s="340" t="s">
        <v>11</v>
      </c>
      <c r="D126" s="294">
        <f>'ANTICIPOS USUARIOS'!R4</f>
        <v>0</v>
      </c>
      <c r="E126" s="290">
        <v>0</v>
      </c>
      <c r="G126" s="341">
        <f>D48+N48</f>
        <v>0</v>
      </c>
      <c r="H126" s="342">
        <f>D29+N29</f>
        <v>0</v>
      </c>
      <c r="I126" s="290">
        <f>D86+N86</f>
        <v>0</v>
      </c>
      <c r="J126" s="290">
        <f t="shared" ref="J126:J129" si="55">D67+N67</f>
        <v>0</v>
      </c>
      <c r="K126" s="290">
        <f>'ANTICIPOS USUARIOS'!R13</f>
        <v>0</v>
      </c>
      <c r="L126" s="290">
        <f>-'ANTICIPOS USUARIOS'!R22</f>
        <v>0</v>
      </c>
      <c r="O126" s="339"/>
      <c r="Q126" s="308"/>
    </row>
    <row r="127" spans="1:35" s="307" customFormat="1" x14ac:dyDescent="0.25">
      <c r="B127" s="316">
        <v>3</v>
      </c>
      <c r="C127" s="340" t="s">
        <v>12</v>
      </c>
      <c r="D127" s="294">
        <f>'ANTICIPOS USUARIOS'!R5</f>
        <v>0</v>
      </c>
      <c r="E127" s="290">
        <v>0</v>
      </c>
      <c r="G127" s="341">
        <f>D49+N49</f>
        <v>0</v>
      </c>
      <c r="H127" s="342">
        <f>D30+N30</f>
        <v>0</v>
      </c>
      <c r="I127" s="290">
        <f>D87+N87</f>
        <v>0</v>
      </c>
      <c r="J127" s="290">
        <f t="shared" si="55"/>
        <v>0</v>
      </c>
      <c r="K127" s="290">
        <f>'ANTICIPOS USUARIOS'!R14</f>
        <v>0</v>
      </c>
      <c r="L127" s="290">
        <f>-'ANTICIPOS USUARIOS'!R23</f>
        <v>0</v>
      </c>
      <c r="O127" s="339"/>
      <c r="Q127" s="308"/>
    </row>
    <row r="128" spans="1:35" s="307" customFormat="1" x14ac:dyDescent="0.25">
      <c r="B128" s="316">
        <v>4</v>
      </c>
      <c r="C128" s="340" t="s">
        <v>13</v>
      </c>
      <c r="D128" s="294">
        <f>'ANTICIPOS USUARIOS'!R6</f>
        <v>0</v>
      </c>
      <c r="E128" s="290">
        <v>0</v>
      </c>
      <c r="G128" s="341">
        <f>D50+N50</f>
        <v>0</v>
      </c>
      <c r="H128" s="342">
        <f>D31+N31</f>
        <v>0</v>
      </c>
      <c r="I128" s="290">
        <f>D88+N88</f>
        <v>0</v>
      </c>
      <c r="J128" s="290">
        <f t="shared" si="55"/>
        <v>0</v>
      </c>
      <c r="K128" s="290">
        <f>'ANTICIPOS USUARIOS'!R15</f>
        <v>0</v>
      </c>
      <c r="L128" s="290">
        <f>-'ANTICIPOS USUARIOS'!R24</f>
        <v>0</v>
      </c>
      <c r="O128" s="339"/>
      <c r="Q128" s="308"/>
    </row>
    <row r="129" spans="1:19" s="307" customFormat="1" x14ac:dyDescent="0.25">
      <c r="B129" s="343">
        <v>5</v>
      </c>
      <c r="C129" s="344" t="s">
        <v>14</v>
      </c>
      <c r="D129" s="294">
        <f>'ANTICIPOS USUARIOS'!R7</f>
        <v>0</v>
      </c>
      <c r="E129" s="346">
        <v>0</v>
      </c>
      <c r="G129" s="341">
        <f>D51+N51</f>
        <v>0</v>
      </c>
      <c r="H129" s="342">
        <f>D32+N32</f>
        <v>0</v>
      </c>
      <c r="I129" s="290">
        <f>D89+N89</f>
        <v>0</v>
      </c>
      <c r="J129" s="290">
        <f t="shared" si="55"/>
        <v>0</v>
      </c>
      <c r="K129" s="290">
        <f>'ANTICIPOS USUARIOS'!R16</f>
        <v>0</v>
      </c>
      <c r="L129" s="290">
        <f>-'ANTICIPOS USUARIOS'!R25</f>
        <v>0</v>
      </c>
      <c r="O129" s="339"/>
      <c r="Q129" s="308"/>
    </row>
    <row r="130" spans="1:19" s="307" customFormat="1" ht="12" thickBot="1" x14ac:dyDescent="0.3">
      <c r="B130" s="326" t="s">
        <v>89</v>
      </c>
      <c r="C130" s="347" t="s">
        <v>113</v>
      </c>
      <c r="D130" s="299"/>
      <c r="E130" s="291">
        <f>'Recaudo EAAB + Ciud Limp'!D26</f>
        <v>0</v>
      </c>
      <c r="G130" s="348"/>
      <c r="H130" s="349"/>
      <c r="I130" s="291"/>
      <c r="J130" s="291"/>
      <c r="K130" s="291"/>
      <c r="L130" s="291"/>
      <c r="O130" s="339"/>
      <c r="Q130" s="308"/>
    </row>
    <row r="131" spans="1:19" s="307" customFormat="1" ht="12" thickBot="1" x14ac:dyDescent="0.3">
      <c r="B131" s="350"/>
      <c r="C131" s="351" t="s">
        <v>2</v>
      </c>
      <c r="D131" s="352">
        <f>SUM(D125:D130)</f>
        <v>0</v>
      </c>
      <c r="E131" s="352">
        <f>SUM(E125:E130)</f>
        <v>0</v>
      </c>
      <c r="F131" s="353"/>
      <c r="G131" s="352">
        <f t="shared" ref="G131" si="56">SUM(G125:G129)</f>
        <v>0</v>
      </c>
      <c r="H131" s="352">
        <f>SUM(H125:H130)</f>
        <v>0</v>
      </c>
      <c r="I131" s="352">
        <f>SUM(I125:I130)</f>
        <v>0</v>
      </c>
      <c r="J131" s="352">
        <f>SUM(J125:J130)</f>
        <v>0</v>
      </c>
      <c r="K131" s="352">
        <f>SUM(K125:K130)</f>
        <v>0</v>
      </c>
      <c r="L131" s="352">
        <f>SUM(L125:L130)</f>
        <v>0</v>
      </c>
      <c r="M131" s="353"/>
      <c r="N131" s="353"/>
      <c r="O131" s="354"/>
      <c r="P131" s="331"/>
      <c r="Q131" s="308"/>
    </row>
    <row r="132" spans="1:19" x14ac:dyDescent="0.25">
      <c r="B132" s="2"/>
      <c r="C132" s="2"/>
      <c r="D132" s="24"/>
      <c r="Q132" s="4"/>
    </row>
    <row r="133" spans="1:19" x14ac:dyDescent="0.25">
      <c r="B133" s="2"/>
      <c r="C133" s="2"/>
      <c r="D133" s="24"/>
      <c r="L133" s="1" t="s">
        <v>1</v>
      </c>
      <c r="Q133" s="4"/>
    </row>
    <row r="134" spans="1:19" ht="12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9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9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9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9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9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9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9" ht="46.5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9" s="307" customFormat="1" x14ac:dyDescent="0.25">
      <c r="B142" s="336">
        <v>1</v>
      </c>
      <c r="C142" s="337" t="s">
        <v>10</v>
      </c>
      <c r="D142" s="310">
        <f>D104+N104+D125+E125</f>
        <v>0</v>
      </c>
      <c r="E142" s="310">
        <f>'Recaudo EAAB + Ciud Limp'!D21</f>
        <v>0</v>
      </c>
      <c r="F142" s="310">
        <f>D28+N28</f>
        <v>0</v>
      </c>
      <c r="G142" s="310">
        <f>D66+N66</f>
        <v>0</v>
      </c>
      <c r="H142" s="310">
        <f>D85+N85</f>
        <v>0</v>
      </c>
      <c r="I142" s="310">
        <v>0</v>
      </c>
      <c r="J142" s="310">
        <f t="shared" ref="J142:K146" si="57">G125</f>
        <v>0</v>
      </c>
      <c r="K142" s="311">
        <f t="shared" si="57"/>
        <v>0</v>
      </c>
      <c r="L142" s="527">
        <f>D142-E142-F142-G142-J142-H142-I142</f>
        <v>0</v>
      </c>
      <c r="M142" s="1" t="b">
        <f t="shared" ref="M142:M147" si="58">INT(ABS(L142))=0</f>
        <v>1</v>
      </c>
      <c r="P142" s="362"/>
      <c r="Q142" s="363"/>
      <c r="R142" s="362"/>
      <c r="S142" s="1"/>
    </row>
    <row r="143" spans="1:19" s="307" customFormat="1" x14ac:dyDescent="0.25">
      <c r="B143" s="316">
        <v>2</v>
      </c>
      <c r="C143" s="340" t="s">
        <v>11</v>
      </c>
      <c r="D143" s="319">
        <f>D105+N105+D126+E126</f>
        <v>0</v>
      </c>
      <c r="E143" s="319">
        <f>'Recaudo EAAB + Ciud Limp'!D22</f>
        <v>0</v>
      </c>
      <c r="F143" s="319">
        <f>D29+N29</f>
        <v>0</v>
      </c>
      <c r="G143" s="319">
        <f>D67+N67</f>
        <v>0</v>
      </c>
      <c r="H143" s="319">
        <f>D86+N86</f>
        <v>0</v>
      </c>
      <c r="I143" s="319">
        <v>0</v>
      </c>
      <c r="J143" s="319">
        <f t="shared" si="57"/>
        <v>0</v>
      </c>
      <c r="K143" s="320">
        <f t="shared" si="57"/>
        <v>0</v>
      </c>
      <c r="L143" s="527">
        <f>D143-E143-F143-G143-J143-H143-I143</f>
        <v>0</v>
      </c>
      <c r="M143" s="1" t="b">
        <f t="shared" si="58"/>
        <v>1</v>
      </c>
      <c r="P143" s="362"/>
      <c r="Q143" s="363"/>
      <c r="R143" s="362"/>
      <c r="S143" s="1"/>
    </row>
    <row r="144" spans="1:19" s="307" customFormat="1" x14ac:dyDescent="0.25">
      <c r="B144" s="316">
        <v>3</v>
      </c>
      <c r="C144" s="340" t="s">
        <v>12</v>
      </c>
      <c r="D144" s="319">
        <f>D106+N106+D127+E127</f>
        <v>0</v>
      </c>
      <c r="E144" s="319">
        <f>'Recaudo EAAB + Ciud Limp'!D23</f>
        <v>0</v>
      </c>
      <c r="F144" s="319">
        <f>D30+N30</f>
        <v>0</v>
      </c>
      <c r="G144" s="319">
        <f>D68+N68</f>
        <v>0</v>
      </c>
      <c r="H144" s="319">
        <f>D87+N87</f>
        <v>0</v>
      </c>
      <c r="I144" s="319">
        <v>0</v>
      </c>
      <c r="J144" s="319">
        <f t="shared" si="57"/>
        <v>0</v>
      </c>
      <c r="K144" s="320">
        <f t="shared" si="57"/>
        <v>0</v>
      </c>
      <c r="L144" s="527">
        <f>D144-E144-F144-G144-J144-H144-I144</f>
        <v>0</v>
      </c>
      <c r="M144" s="1" t="b">
        <f t="shared" si="58"/>
        <v>1</v>
      </c>
      <c r="P144" s="362"/>
      <c r="Q144" s="363"/>
      <c r="R144" s="362"/>
      <c r="S144" s="1"/>
    </row>
    <row r="145" spans="1:20" s="307" customFormat="1" x14ac:dyDescent="0.25">
      <c r="B145" s="316">
        <v>4</v>
      </c>
      <c r="C145" s="340" t="s">
        <v>13</v>
      </c>
      <c r="D145" s="319">
        <f>D107+N107+D128+E128</f>
        <v>0</v>
      </c>
      <c r="E145" s="319">
        <f>'Recaudo EAAB + Ciud Limp'!D24</f>
        <v>0</v>
      </c>
      <c r="F145" s="319">
        <f>D31+N31</f>
        <v>0</v>
      </c>
      <c r="G145" s="319">
        <f>D69+N69</f>
        <v>0</v>
      </c>
      <c r="H145" s="319">
        <f>D88+N88</f>
        <v>0</v>
      </c>
      <c r="I145" s="319">
        <v>0</v>
      </c>
      <c r="J145" s="319">
        <f t="shared" si="57"/>
        <v>0</v>
      </c>
      <c r="K145" s="320">
        <f t="shared" si="57"/>
        <v>0</v>
      </c>
      <c r="L145" s="527">
        <f>D145-E145-F145-G145-J145-H145-I145</f>
        <v>0</v>
      </c>
      <c r="M145" s="1" t="b">
        <f t="shared" si="58"/>
        <v>1</v>
      </c>
      <c r="P145" s="362"/>
      <c r="Q145" s="363"/>
      <c r="R145" s="362"/>
      <c r="S145" s="1"/>
    </row>
    <row r="146" spans="1:20" s="307" customFormat="1" ht="12" thickBot="1" x14ac:dyDescent="0.3">
      <c r="B146" s="343">
        <v>5</v>
      </c>
      <c r="C146" s="344" t="s">
        <v>14</v>
      </c>
      <c r="D146" s="358">
        <f>D108+N108+D129+E129</f>
        <v>0</v>
      </c>
      <c r="E146" s="319">
        <f>'Recaudo EAAB + Ciud Limp'!D25</f>
        <v>0</v>
      </c>
      <c r="F146" s="358">
        <f>D32+N32</f>
        <v>0</v>
      </c>
      <c r="G146" s="358">
        <f>D70+N70</f>
        <v>0</v>
      </c>
      <c r="H146" s="358">
        <f>D89+N89</f>
        <v>0</v>
      </c>
      <c r="I146" s="358">
        <v>0</v>
      </c>
      <c r="J146" s="358">
        <f t="shared" si="57"/>
        <v>0</v>
      </c>
      <c r="K146" s="360">
        <f t="shared" si="57"/>
        <v>0</v>
      </c>
      <c r="L146" s="527">
        <f>D146-E146-F146-G146-J146-H146-I146</f>
        <v>0</v>
      </c>
      <c r="M146" s="1" t="b">
        <f t="shared" si="58"/>
        <v>1</v>
      </c>
      <c r="P146" s="362"/>
      <c r="Q146" s="363"/>
      <c r="R146" s="362"/>
      <c r="S146" s="1"/>
    </row>
    <row r="147" spans="1:20" s="307" customFormat="1" ht="12" thickBot="1" x14ac:dyDescent="0.3">
      <c r="B147" s="329"/>
      <c r="C147" s="330" t="s">
        <v>2</v>
      </c>
      <c r="D147" s="364">
        <f>SUM(D142:D146)</f>
        <v>0</v>
      </c>
      <c r="E147" s="364">
        <f>SUM(E142:E146)</f>
        <v>0</v>
      </c>
      <c r="F147" s="364">
        <f t="shared" ref="F147:K147" si="59">SUM(F142:F146)</f>
        <v>0</v>
      </c>
      <c r="G147" s="364">
        <f t="shared" si="59"/>
        <v>0</v>
      </c>
      <c r="H147" s="364">
        <f t="shared" si="59"/>
        <v>0</v>
      </c>
      <c r="I147" s="364">
        <f t="shared" si="59"/>
        <v>0</v>
      </c>
      <c r="J147" s="364">
        <f t="shared" si="59"/>
        <v>0</v>
      </c>
      <c r="K147" s="364">
        <f t="shared" si="59"/>
        <v>0</v>
      </c>
      <c r="L147" s="527">
        <f>SUM(L142:L146)</f>
        <v>0</v>
      </c>
      <c r="M147" s="1" t="b">
        <f t="shared" si="58"/>
        <v>1</v>
      </c>
      <c r="P147" s="362"/>
      <c r="Q147" s="363"/>
      <c r="R147" s="362"/>
      <c r="S147" s="1"/>
    </row>
    <row r="148" spans="1:20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5">
      <c r="N152" s="24"/>
      <c r="O152" s="24"/>
      <c r="Q152" s="24"/>
      <c r="T152" s="24"/>
    </row>
    <row r="153" spans="1:20" x14ac:dyDescent="0.25">
      <c r="N153" s="24"/>
      <c r="O153" s="24"/>
      <c r="Q153" s="24"/>
      <c r="T153" s="24"/>
    </row>
    <row r="154" spans="1:20" x14ac:dyDescent="0.25">
      <c r="N154" s="24"/>
      <c r="O154" s="24"/>
      <c r="Q154" s="24"/>
      <c r="T154" s="24"/>
    </row>
    <row r="155" spans="1:20" x14ac:dyDescent="0.25">
      <c r="N155" s="24"/>
      <c r="O155" s="24"/>
      <c r="Q155" s="24"/>
      <c r="T155" s="24"/>
    </row>
    <row r="156" spans="1:20" x14ac:dyDescent="0.25">
      <c r="N156" s="24"/>
      <c r="O156" s="24"/>
      <c r="Q156" s="24"/>
      <c r="T156" s="24"/>
    </row>
    <row r="157" spans="1:20" x14ac:dyDescent="0.25">
      <c r="N157" s="24"/>
      <c r="O157" s="24"/>
      <c r="Q157" s="24"/>
      <c r="T157" s="24"/>
    </row>
    <row r="158" spans="1:20" x14ac:dyDescent="0.25">
      <c r="N158" s="24"/>
      <c r="O158" s="24"/>
      <c r="Q158" s="24"/>
      <c r="T158" s="24"/>
    </row>
    <row r="159" spans="1:20" x14ac:dyDescent="0.25">
      <c r="N159" s="24"/>
      <c r="O159" s="24"/>
      <c r="Q159" s="24"/>
      <c r="T159" s="24"/>
    </row>
    <row r="160" spans="1:20" x14ac:dyDescent="0.25">
      <c r="N160" s="24"/>
      <c r="O160" s="24"/>
      <c r="Q160" s="24"/>
      <c r="T160" s="24"/>
    </row>
    <row r="161" spans="14:20" x14ac:dyDescent="0.25">
      <c r="N161" s="24"/>
      <c r="O161" s="24"/>
      <c r="Q161" s="24"/>
      <c r="T161" s="24"/>
    </row>
    <row r="162" spans="14:20" x14ac:dyDescent="0.25">
      <c r="N162" s="24"/>
      <c r="O162" s="24"/>
      <c r="Q162" s="24"/>
      <c r="T162" s="24"/>
    </row>
    <row r="163" spans="14:20" x14ac:dyDescent="0.25">
      <c r="N163" s="24"/>
      <c r="O163" s="24"/>
      <c r="Q163" s="24"/>
      <c r="T163" s="24"/>
    </row>
    <row r="164" spans="14:20" x14ac:dyDescent="0.25">
      <c r="N164" s="24"/>
      <c r="O164" s="24"/>
      <c r="Q164" s="24"/>
      <c r="T164" s="24"/>
    </row>
    <row r="165" spans="14:20" x14ac:dyDescent="0.25">
      <c r="N165" s="24"/>
      <c r="O165" s="24"/>
      <c r="Q165" s="24"/>
      <c r="T165" s="24"/>
    </row>
    <row r="166" spans="14:20" x14ac:dyDescent="0.25">
      <c r="Q166" s="24"/>
      <c r="T166" s="24"/>
    </row>
    <row r="167" spans="14:20" x14ac:dyDescent="0.25">
      <c r="Q167" s="24"/>
    </row>
  </sheetData>
  <conditionalFormatting sqref="L142:L147">
    <cfRule type="expression" dxfId="18" priority="11">
      <formula>$L$142&lt;&gt;0</formula>
    </cfRule>
  </conditionalFormatting>
  <conditionalFormatting sqref="M142:M147">
    <cfRule type="cellIs" dxfId="17" priority="3" operator="notEqual">
      <formula>TRUE</formula>
    </cfRule>
  </conditionalFormatting>
  <conditionalFormatting sqref="AH9:AH14">
    <cfRule type="cellIs" dxfId="16" priority="10" operator="notEqual">
      <formula>TRUE</formula>
    </cfRule>
  </conditionalFormatting>
  <conditionalFormatting sqref="AH28:AH33">
    <cfRule type="cellIs" dxfId="15" priority="9" operator="notEqual">
      <formula>TRUE</formula>
    </cfRule>
  </conditionalFormatting>
  <conditionalFormatting sqref="AH47:AH52">
    <cfRule type="cellIs" dxfId="14" priority="8" operator="notEqual">
      <formula>TRUE</formula>
    </cfRule>
  </conditionalFormatting>
  <conditionalFormatting sqref="AH66:AH71">
    <cfRule type="cellIs" dxfId="13" priority="7" operator="notEqual">
      <formula>TRUE</formula>
    </cfRule>
  </conditionalFormatting>
  <conditionalFormatting sqref="AH85:AH90">
    <cfRule type="cellIs" dxfId="12" priority="6" operator="notEqual">
      <formula>TRUE</formula>
    </cfRule>
  </conditionalFormatting>
  <conditionalFormatting sqref="AH104:AH109">
    <cfRule type="cellIs" dxfId="11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B1:P16"/>
  <sheetViews>
    <sheetView zoomScale="90" zoomScaleNormal="90" workbookViewId="0">
      <selection activeCell="G20" sqref="G20"/>
    </sheetView>
  </sheetViews>
  <sheetFormatPr baseColWidth="10" defaultRowHeight="12.5" x14ac:dyDescent="0.25"/>
  <cols>
    <col min="1" max="1" width="3" customWidth="1"/>
    <col min="2" max="2" width="4.26953125" bestFit="1" customWidth="1"/>
    <col min="3" max="3" width="16.7265625" customWidth="1"/>
    <col min="4" max="4" width="14.26953125" customWidth="1"/>
    <col min="5" max="7" width="17.7265625" customWidth="1"/>
    <col min="8" max="8" width="18.26953125" customWidth="1"/>
    <col min="9" max="9" width="15.7265625" customWidth="1"/>
    <col min="10" max="10" width="16.453125" customWidth="1"/>
    <col min="11" max="11" width="15.7265625" customWidth="1"/>
    <col min="12" max="13" width="18.26953125" customWidth="1"/>
    <col min="14" max="14" width="15.7265625" customWidth="1"/>
    <col min="15" max="15" width="14.26953125" customWidth="1"/>
    <col min="16" max="16" width="14.453125" customWidth="1"/>
  </cols>
  <sheetData>
    <row r="1" spans="2:16" ht="13" thickBot="1" x14ac:dyDescent="0.3"/>
    <row r="2" spans="2:16" ht="35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7" customFormat="1" x14ac:dyDescent="0.25">
      <c r="B3" s="305">
        <v>1</v>
      </c>
      <c r="C3" s="294">
        <f>'Recaudo EAAB + Ciud Limp'!D21</f>
        <v>0</v>
      </c>
      <c r="D3" s="294">
        <f>'REMUNERACION_EAAB-CL'!G125</f>
        <v>0</v>
      </c>
      <c r="E3" s="294">
        <f>'REMUNERACION_EAAB-CL'!H125</f>
        <v>0</v>
      </c>
      <c r="F3" s="294">
        <v>0</v>
      </c>
      <c r="G3" s="294">
        <f>'REMUNERACION_EAAB-CL'!I125</f>
        <v>0</v>
      </c>
      <c r="H3" s="342">
        <f t="shared" ref="H3:H8" si="0">SUM(C3:G3)</f>
        <v>0</v>
      </c>
      <c r="I3" s="293">
        <f>'REMUNERACION_EAAB-CL'!D104</f>
        <v>0</v>
      </c>
      <c r="J3" s="294">
        <f>'REMUNERACION_EAAB-CL'!N104</f>
        <v>0</v>
      </c>
      <c r="K3" s="294">
        <f>'REMUNERACION_EAAB-CL'!D125</f>
        <v>0</v>
      </c>
      <c r="L3" s="355">
        <f>'REMUNERACION_EAAB-CL'!E125</f>
        <v>0</v>
      </c>
      <c r="M3" s="294">
        <f>-'REMUNERACION_EAAB-CL'!D66+'REMUNERACION_EAAB-CL'!N66</f>
        <v>0</v>
      </c>
      <c r="N3" s="290">
        <f>SUM(I3:M3)</f>
        <v>0</v>
      </c>
      <c r="O3" s="356">
        <f t="shared" ref="O3:O8" si="1">H3-N3</f>
        <v>0</v>
      </c>
      <c r="P3" s="1" t="b">
        <f>INT(O3)=0</f>
        <v>1</v>
      </c>
    </row>
    <row r="4" spans="2:16" s="357" customFormat="1" x14ac:dyDescent="0.25">
      <c r="B4" s="316">
        <v>2</v>
      </c>
      <c r="C4" s="319">
        <f>'Recaudo EAAB + Ciud Limp'!D22</f>
        <v>0</v>
      </c>
      <c r="D4" s="294">
        <f>'REMUNERACION_EAAB-CL'!G126</f>
        <v>0</v>
      </c>
      <c r="E4" s="294">
        <f>'REMUNERACION_EAAB-CL'!H126</f>
        <v>0</v>
      </c>
      <c r="F4" s="294">
        <v>0</v>
      </c>
      <c r="G4" s="294">
        <f>'REMUNERACION_EAAB-CL'!I126</f>
        <v>0</v>
      </c>
      <c r="H4" s="342">
        <f t="shared" si="0"/>
        <v>0</v>
      </c>
      <c r="I4" s="293">
        <f>'REMUNERACION_EAAB-CL'!D105</f>
        <v>0</v>
      </c>
      <c r="J4" s="294">
        <f>'REMUNERACION_EAAB-CL'!N105</f>
        <v>0</v>
      </c>
      <c r="K4" s="294">
        <f>'REMUNERACION_EAAB-CL'!D126</f>
        <v>0</v>
      </c>
      <c r="L4" s="355">
        <f>'REMUNERACION_EAAB-CL'!E126</f>
        <v>0</v>
      </c>
      <c r="M4" s="294">
        <f>-'REMUNERACION_EAAB-CL'!D67+'REMUNERACION_EAAB-CL'!N67</f>
        <v>0</v>
      </c>
      <c r="N4" s="320">
        <f>SUM(I4:M4)</f>
        <v>0</v>
      </c>
      <c r="O4" s="356">
        <f t="shared" si="1"/>
        <v>0</v>
      </c>
      <c r="P4" s="1" t="b">
        <f t="shared" ref="P4:P9" si="2">INT(O4)=0</f>
        <v>1</v>
      </c>
    </row>
    <row r="5" spans="2:16" s="357" customFormat="1" x14ac:dyDescent="0.25">
      <c r="B5" s="316">
        <v>3</v>
      </c>
      <c r="C5" s="319">
        <f>'Recaudo EAAB + Ciud Limp'!D23</f>
        <v>0</v>
      </c>
      <c r="D5" s="294">
        <f>'REMUNERACION_EAAB-CL'!G127</f>
        <v>0</v>
      </c>
      <c r="E5" s="294">
        <f>'REMUNERACION_EAAB-CL'!H127</f>
        <v>0</v>
      </c>
      <c r="F5" s="294">
        <v>0</v>
      </c>
      <c r="G5" s="294">
        <f>'REMUNERACION_EAAB-CL'!I127</f>
        <v>0</v>
      </c>
      <c r="H5" s="342">
        <f t="shared" si="0"/>
        <v>0</v>
      </c>
      <c r="I5" s="293">
        <f>'REMUNERACION_EAAB-CL'!D106</f>
        <v>0</v>
      </c>
      <c r="J5" s="294">
        <f>'REMUNERACION_EAAB-CL'!N106</f>
        <v>0</v>
      </c>
      <c r="K5" s="294">
        <f>'REMUNERACION_EAAB-CL'!D127</f>
        <v>0</v>
      </c>
      <c r="L5" s="355">
        <f>'REMUNERACION_EAAB-CL'!E127</f>
        <v>0</v>
      </c>
      <c r="M5" s="294">
        <f>-'REMUNERACION_EAAB-CL'!D68+'REMUNERACION_EAAB-CL'!N68</f>
        <v>0</v>
      </c>
      <c r="N5" s="320">
        <f>SUM(I5:M5)</f>
        <v>0</v>
      </c>
      <c r="O5" s="356">
        <f>H5-N5</f>
        <v>0</v>
      </c>
      <c r="P5" s="1" t="b">
        <f t="shared" si="2"/>
        <v>1</v>
      </c>
    </row>
    <row r="6" spans="2:16" s="357" customFormat="1" x14ac:dyDescent="0.25">
      <c r="B6" s="316">
        <v>4</v>
      </c>
      <c r="C6" s="319">
        <f>'Recaudo EAAB + Ciud Limp'!D24</f>
        <v>0</v>
      </c>
      <c r="D6" s="294">
        <f>'REMUNERACION_EAAB-CL'!G128</f>
        <v>0</v>
      </c>
      <c r="E6" s="294">
        <f>'REMUNERACION_EAAB-CL'!H128</f>
        <v>0</v>
      </c>
      <c r="F6" s="294">
        <v>0</v>
      </c>
      <c r="G6" s="294">
        <f>'REMUNERACION_EAAB-CL'!I128</f>
        <v>0</v>
      </c>
      <c r="H6" s="342">
        <f t="shared" si="0"/>
        <v>0</v>
      </c>
      <c r="I6" s="293">
        <f>'REMUNERACION_EAAB-CL'!D107</f>
        <v>0</v>
      </c>
      <c r="J6" s="294">
        <f>'REMUNERACION_EAAB-CL'!N107</f>
        <v>0</v>
      </c>
      <c r="K6" s="294">
        <f>'REMUNERACION_EAAB-CL'!D128</f>
        <v>0</v>
      </c>
      <c r="L6" s="355">
        <f>'REMUNERACION_EAAB-CL'!E128</f>
        <v>0</v>
      </c>
      <c r="M6" s="294">
        <f>-'REMUNERACION_EAAB-CL'!D69+'REMUNERACION_EAAB-CL'!N69</f>
        <v>0</v>
      </c>
      <c r="N6" s="320">
        <f t="shared" ref="N6:N7" si="3">SUM(I6:M6)</f>
        <v>0</v>
      </c>
      <c r="O6" s="356">
        <f t="shared" si="1"/>
        <v>0</v>
      </c>
      <c r="P6" s="1" t="b">
        <f t="shared" si="2"/>
        <v>1</v>
      </c>
    </row>
    <row r="7" spans="2:16" s="357" customFormat="1" x14ac:dyDescent="0.25">
      <c r="B7" s="316">
        <v>5</v>
      </c>
      <c r="C7" s="319">
        <f>'Recaudo EAAB + Ciud Limp'!D25</f>
        <v>0</v>
      </c>
      <c r="D7" s="294">
        <f>'REMUNERACION_EAAB-CL'!G129</f>
        <v>0</v>
      </c>
      <c r="E7" s="294">
        <f>'REMUNERACION_EAAB-CL'!H129</f>
        <v>0</v>
      </c>
      <c r="F7" s="294">
        <v>0</v>
      </c>
      <c r="G7" s="294">
        <f>'REMUNERACION_EAAB-CL'!I129</f>
        <v>0</v>
      </c>
      <c r="H7" s="342">
        <f t="shared" si="0"/>
        <v>0</v>
      </c>
      <c r="I7" s="293">
        <f>'REMUNERACION_EAAB-CL'!D108</f>
        <v>0</v>
      </c>
      <c r="J7" s="294">
        <f>'REMUNERACION_EAAB-CL'!N108</f>
        <v>0</v>
      </c>
      <c r="K7" s="294">
        <f>'REMUNERACION_EAAB-CL'!D129</f>
        <v>0</v>
      </c>
      <c r="L7" s="355">
        <f>'REMUNERACION_EAAB-CL'!E129</f>
        <v>0</v>
      </c>
      <c r="M7" s="294">
        <f>-'REMUNERACION_EAAB-CL'!D70+'REMUNERACION_EAAB-CL'!N70</f>
        <v>0</v>
      </c>
      <c r="N7" s="320">
        <f t="shared" si="3"/>
        <v>0</v>
      </c>
      <c r="O7" s="356">
        <f>H7-N7</f>
        <v>0</v>
      </c>
      <c r="P7" s="1" t="b">
        <f t="shared" si="2"/>
        <v>1</v>
      </c>
    </row>
    <row r="8" spans="2:16" s="357" customFormat="1" ht="13" thickBot="1" x14ac:dyDescent="0.3">
      <c r="B8" s="343" t="s">
        <v>89</v>
      </c>
      <c r="C8" s="319">
        <f>'Recaudo EAAB + Ciud Limp'!D26</f>
        <v>0</v>
      </c>
      <c r="D8" s="358">
        <v>0</v>
      </c>
      <c r="E8" s="358">
        <v>0</v>
      </c>
      <c r="F8" s="358">
        <v>0</v>
      </c>
      <c r="G8" s="358">
        <v>0</v>
      </c>
      <c r="H8" s="342">
        <f t="shared" si="0"/>
        <v>0</v>
      </c>
      <c r="I8" s="359">
        <v>0</v>
      </c>
      <c r="J8" s="345">
        <v>0</v>
      </c>
      <c r="K8" s="345">
        <v>0</v>
      </c>
      <c r="L8" s="355">
        <f>'REMUNERACION_EAAB-CL'!E130</f>
        <v>0</v>
      </c>
      <c r="M8" s="294">
        <v>0</v>
      </c>
      <c r="N8" s="360">
        <f>SUM(I8:L8)-M8</f>
        <v>0</v>
      </c>
      <c r="O8" s="356">
        <f t="shared" si="1"/>
        <v>0</v>
      </c>
      <c r="P8" s="1" t="b">
        <f t="shared" si="2"/>
        <v>1</v>
      </c>
    </row>
    <row r="9" spans="2:16" s="357" customFormat="1" ht="13" thickBot="1" x14ac:dyDescent="0.3">
      <c r="B9" s="329"/>
      <c r="C9" s="292">
        <f>SUM(C3:C8)</f>
        <v>0</v>
      </c>
      <c r="D9" s="292">
        <f t="shared" ref="D9:M9" si="4">SUM(D3:D8)</f>
        <v>0</v>
      </c>
      <c r="E9" s="292">
        <f t="shared" si="4"/>
        <v>0</v>
      </c>
      <c r="F9" s="292">
        <f t="shared" si="4"/>
        <v>0</v>
      </c>
      <c r="G9" s="292">
        <f t="shared" si="4"/>
        <v>0</v>
      </c>
      <c r="H9" s="292">
        <f t="shared" si="4"/>
        <v>0</v>
      </c>
      <c r="I9" s="292">
        <f t="shared" si="4"/>
        <v>0</v>
      </c>
      <c r="J9" s="292">
        <f t="shared" si="4"/>
        <v>0</v>
      </c>
      <c r="K9" s="292">
        <f t="shared" si="4"/>
        <v>0</v>
      </c>
      <c r="L9" s="292">
        <f t="shared" si="4"/>
        <v>0</v>
      </c>
      <c r="M9" s="292">
        <f t="shared" si="4"/>
        <v>0</v>
      </c>
      <c r="N9" s="292">
        <f>SUM(N3:N8)</f>
        <v>0</v>
      </c>
      <c r="O9" s="361">
        <f>SUM(O3:O8)</f>
        <v>0</v>
      </c>
      <c r="P9" s="1" t="b">
        <f t="shared" si="2"/>
        <v>1</v>
      </c>
    </row>
    <row r="11" spans="2:16" ht="13" x14ac:dyDescent="0.3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03" t="s">
        <v>1</v>
      </c>
    </row>
    <row r="14" spans="2:16" x14ac:dyDescent="0.25">
      <c r="C14" s="245">
        <f>'Valida - Control Recaudo'!E3+'Valida - Control Recaudo'!E5</f>
        <v>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10" priority="6" operator="notEqual">
      <formula>TRUE</formula>
    </cfRule>
  </conditionalFormatting>
  <conditionalFormatting sqref="P3:P9">
    <cfRule type="cellIs" dxfId="9" priority="4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  <pageSetUpPr fitToPage="1"/>
  </sheetPr>
  <dimension ref="A1:AI52"/>
  <sheetViews>
    <sheetView topLeftCell="A8" zoomScale="98" zoomScaleNormal="98" workbookViewId="0"/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7265625" style="1" customWidth="1"/>
    <col min="4" max="4" width="15.26953125" style="1" customWidth="1"/>
    <col min="5" max="5" width="16" style="1" customWidth="1"/>
    <col min="6" max="7" width="14.7265625" style="1" customWidth="1"/>
    <col min="8" max="8" width="16.26953125" style="1" customWidth="1"/>
    <col min="9" max="9" width="20.26953125" style="1" bestFit="1" customWidth="1"/>
    <col min="10" max="10" width="15.54296875" style="1" customWidth="1"/>
    <col min="11" max="11" width="17.54296875" style="1" customWidth="1"/>
    <col min="12" max="12" width="16.54296875" style="1" customWidth="1"/>
    <col min="13" max="13" width="19.7265625" style="1" customWidth="1"/>
    <col min="14" max="14" width="15.26953125" style="1" customWidth="1"/>
    <col min="15" max="15" width="16.7265625" style="1" customWidth="1"/>
    <col min="16" max="16" width="3.7265625" style="1" customWidth="1"/>
    <col min="17" max="17" width="2.7265625" style="1" customWidth="1"/>
    <col min="18" max="18" width="4.54296875" style="1" customWidth="1"/>
    <col min="19" max="19" width="11.26953125" style="1" customWidth="1"/>
    <col min="20" max="20" width="39.453125" style="1" customWidth="1"/>
    <col min="21" max="21" width="19.26953125" style="1" customWidth="1"/>
    <col min="22" max="22" width="17.7265625" style="1" customWidth="1"/>
    <col min="23" max="23" width="16.453125" style="1" customWidth="1"/>
    <col min="24" max="24" width="17.26953125" style="1" customWidth="1"/>
    <col min="25" max="25" width="15.7265625" style="1" customWidth="1"/>
    <col min="26" max="26" width="16" style="1" customWidth="1"/>
    <col min="27" max="27" width="15" style="1" customWidth="1"/>
    <col min="28" max="29" width="16.7265625" style="1" customWidth="1"/>
    <col min="30" max="31" width="15.453125" style="1" customWidth="1"/>
    <col min="32" max="32" width="16.26953125" style="1" customWidth="1"/>
    <col min="33" max="33" width="18.26953125" style="1" customWidth="1"/>
    <col min="34" max="34" width="13.7265625" style="1" customWidth="1"/>
    <col min="35" max="35" width="3.453125" style="1" customWidth="1"/>
    <col min="36" max="16384" width="11.453125" style="1"/>
  </cols>
  <sheetData>
    <row r="1" spans="2:35" ht="12" thickBot="1" x14ac:dyDescent="0.3">
      <c r="Q1" s="4"/>
      <c r="AI1" s="4"/>
    </row>
    <row r="2" spans="2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5" x14ac:dyDescent="0.35">
      <c r="B6" s="8"/>
      <c r="C6" s="590" t="s">
        <v>17</v>
      </c>
      <c r="D6" s="9">
        <f>'CONSOLIDADO_TOTAL RECAUDO'!D101</f>
        <v>46282</v>
      </c>
      <c r="F6" s="58" t="str">
        <f>'REMUNERACION_EAAB-CL'!F101</f>
        <v>REPORTE CONSOLIDADO TOTAL DE RECAUDO //EAAB-CIUDAD LIMPIA*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'REMUNERACION_EAAB-CL'!U101</f>
        <v>REPORTE DETALLADO SUBBOLSA RBL DISCRIMINADO POR ACTIVIDADES //EAAB-CIUDAD LIMPIA*</v>
      </c>
      <c r="V6" s="59"/>
      <c r="W6" s="60"/>
      <c r="X6" s="59"/>
      <c r="Y6" s="2"/>
      <c r="AF6" s="48"/>
      <c r="AG6" s="2"/>
      <c r="AI6" s="4"/>
    </row>
    <row r="7" spans="2:35" ht="12" thickBot="1" x14ac:dyDescent="0.3">
      <c r="B7" s="8"/>
      <c r="C7" s="2" t="s">
        <v>0</v>
      </c>
      <c r="D7" s="241">
        <f>'CONSOLIDADO_TOTAL RECAUDO'!D102</f>
        <v>0.58333333333333337</v>
      </c>
      <c r="F7" s="2" t="s">
        <v>27</v>
      </c>
      <c r="G7" s="9">
        <f>'CONSOLIDADO_TOTAL RECAUDO'!G102</f>
        <v>46266</v>
      </c>
      <c r="J7" s="2" t="s">
        <v>28</v>
      </c>
      <c r="K7" s="9">
        <f>'CONSOLIDADO_TOTAL RECAUDO'!K102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69.5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s="307" customFormat="1" x14ac:dyDescent="0.25">
      <c r="B9" s="305">
        <v>1</v>
      </c>
      <c r="C9" s="306" t="s">
        <v>10</v>
      </c>
      <c r="D9" s="293">
        <f>'REMUNERACION_EAAB-CL'!D104</f>
        <v>0</v>
      </c>
      <c r="E9" s="293">
        <f>'REMUNERACION_EAAB-CL'!E104</f>
        <v>0</v>
      </c>
      <c r="F9" s="293">
        <f>'REMUNERACION_EAAB-CL'!F104</f>
        <v>0</v>
      </c>
      <c r="G9" s="293">
        <f>'REMUNERACION_EAAB-CL'!G104</f>
        <v>0</v>
      </c>
      <c r="H9" s="293">
        <f>'REMUNERACION_EAAB-CL'!H104</f>
        <v>0</v>
      </c>
      <c r="I9" s="293">
        <f>'REMUNERACION_EAAB-CL'!I104</f>
        <v>0</v>
      </c>
      <c r="J9" s="293">
        <f>'REMUNERACION_EAAB-CL'!J104</f>
        <v>0</v>
      </c>
      <c r="K9" s="295">
        <f>D9-E9-F9-G9-H9-I9-J9</f>
        <v>0</v>
      </c>
      <c r="L9" s="293">
        <f>'REMUNERACION_EAAB-CL'!L104</f>
        <v>0</v>
      </c>
      <c r="M9" s="295">
        <f>K9-L9</f>
        <v>0</v>
      </c>
      <c r="N9" s="293">
        <f>'REMUNERACION_EAAB-CL'!N104</f>
        <v>0</v>
      </c>
      <c r="O9" s="295">
        <f>M9+N9</f>
        <v>0</v>
      </c>
      <c r="Q9" s="308"/>
      <c r="S9" s="305">
        <v>1</v>
      </c>
      <c r="T9" s="306" t="s">
        <v>10</v>
      </c>
      <c r="U9" s="293">
        <f>'REMUNERACION_EAAB-CL'!U104</f>
        <v>0</v>
      </c>
      <c r="V9" s="293">
        <f>'REMUNERACION_EAAB-CL'!V104</f>
        <v>0</v>
      </c>
      <c r="W9" s="293">
        <f>'REMUNERACION_EAAB-CL'!W104</f>
        <v>0</v>
      </c>
      <c r="X9" s="293">
        <f>'REMUNERACION_EAAB-CL'!X104</f>
        <v>0</v>
      </c>
      <c r="Y9" s="293">
        <f>'REMUNERACION_EAAB-CL'!Y104</f>
        <v>0</v>
      </c>
      <c r="Z9" s="293">
        <f>'REMUNERACION_EAAB-CL'!Z104</f>
        <v>0</v>
      </c>
      <c r="AA9" s="293">
        <f>'REMUNERACION_EAAB-CL'!AA104</f>
        <v>0</v>
      </c>
      <c r="AB9" s="293">
        <f>'REMUNERACION_EAAB-CL'!AB104</f>
        <v>0</v>
      </c>
      <c r="AC9" s="293">
        <f>'REMUNERACION_EAAB-CL'!AC104</f>
        <v>0</v>
      </c>
      <c r="AD9" s="293">
        <f>'REMUNERACION_EAAB-CL'!AD104</f>
        <v>0</v>
      </c>
      <c r="AE9" s="293">
        <f>'REMUNERACION_EAAB-CL'!AE104</f>
        <v>0</v>
      </c>
      <c r="AF9" s="365">
        <f>SUM(U9:AD9)</f>
        <v>0</v>
      </c>
      <c r="AG9" s="366">
        <f>AF9-O9</f>
        <v>0</v>
      </c>
      <c r="AH9" s="1" t="b">
        <f>INT(AG9)=0</f>
        <v>1</v>
      </c>
      <c r="AI9" s="308"/>
    </row>
    <row r="10" spans="2:35" s="307" customFormat="1" x14ac:dyDescent="0.25">
      <c r="B10" s="316">
        <v>2</v>
      </c>
      <c r="C10" s="317" t="s">
        <v>11</v>
      </c>
      <c r="D10" s="293">
        <f>'REMUNERACION_EAAB-CL'!D105</f>
        <v>0</v>
      </c>
      <c r="E10" s="293">
        <f>'REMUNERACION_EAAB-CL'!E105</f>
        <v>0</v>
      </c>
      <c r="F10" s="293">
        <f>'REMUNERACION_EAAB-CL'!F105</f>
        <v>0</v>
      </c>
      <c r="G10" s="293">
        <f>'REMUNERACION_EAAB-CL'!G105</f>
        <v>0</v>
      </c>
      <c r="H10" s="293">
        <f>'REMUNERACION_EAAB-CL'!H105</f>
        <v>0</v>
      </c>
      <c r="I10" s="293">
        <f>'REMUNERACION_EAAB-CL'!I105</f>
        <v>0</v>
      </c>
      <c r="J10" s="293">
        <f>'REMUNERACION_EAAB-CL'!J105</f>
        <v>0</v>
      </c>
      <c r="K10" s="297">
        <f t="shared" ref="K10:K13" si="0">D10-E10-F10-G10-H10-I10-J10</f>
        <v>0</v>
      </c>
      <c r="L10" s="293">
        <f>'REMUNERACION_EAAB-CL'!L105</f>
        <v>0</v>
      </c>
      <c r="M10" s="297">
        <f>K10-L10</f>
        <v>0</v>
      </c>
      <c r="N10" s="293">
        <f>'REMUNERACION_EAAB-CL'!N105</f>
        <v>0</v>
      </c>
      <c r="O10" s="297">
        <f t="shared" ref="O10:O13" si="1">M10+N10</f>
        <v>0</v>
      </c>
      <c r="Q10" s="308"/>
      <c r="S10" s="316">
        <v>2</v>
      </c>
      <c r="T10" s="317" t="s">
        <v>11</v>
      </c>
      <c r="U10" s="293">
        <f>'REMUNERACION_EAAB-CL'!U105</f>
        <v>0</v>
      </c>
      <c r="V10" s="293">
        <f>'REMUNERACION_EAAB-CL'!V105</f>
        <v>0</v>
      </c>
      <c r="W10" s="293">
        <f>'REMUNERACION_EAAB-CL'!W105</f>
        <v>0</v>
      </c>
      <c r="X10" s="293">
        <f>'REMUNERACION_EAAB-CL'!X105</f>
        <v>0</v>
      </c>
      <c r="Y10" s="293">
        <f>'REMUNERACION_EAAB-CL'!Y105</f>
        <v>0</v>
      </c>
      <c r="Z10" s="293">
        <f>'REMUNERACION_EAAB-CL'!Z105</f>
        <v>0</v>
      </c>
      <c r="AA10" s="293">
        <f>'REMUNERACION_EAAB-CL'!AA105</f>
        <v>0</v>
      </c>
      <c r="AB10" s="293">
        <f>'REMUNERACION_EAAB-CL'!AB105</f>
        <v>0</v>
      </c>
      <c r="AC10" s="293">
        <f>'REMUNERACION_EAAB-CL'!AC105</f>
        <v>0</v>
      </c>
      <c r="AD10" s="293">
        <f>'REMUNERACION_EAAB-CL'!AD105</f>
        <v>0</v>
      </c>
      <c r="AE10" s="293">
        <f>'REMUNERACION_EAAB-CL'!AE105</f>
        <v>0</v>
      </c>
      <c r="AF10" s="367">
        <f>SUM(U10:AD10)</f>
        <v>0</v>
      </c>
      <c r="AG10" s="368">
        <f>AF10-O10</f>
        <v>0</v>
      </c>
      <c r="AH10" s="1" t="b">
        <f t="shared" ref="AH10:AH14" si="2">INT(AG10)=0</f>
        <v>1</v>
      </c>
      <c r="AI10" s="308"/>
    </row>
    <row r="11" spans="2:35" s="307" customFormat="1" x14ac:dyDescent="0.25">
      <c r="B11" s="316">
        <v>3</v>
      </c>
      <c r="C11" s="317" t="s">
        <v>12</v>
      </c>
      <c r="D11" s="293">
        <f>'REMUNERACION_EAAB-CL'!D106</f>
        <v>0</v>
      </c>
      <c r="E11" s="293">
        <f>'REMUNERACION_EAAB-CL'!E106</f>
        <v>0</v>
      </c>
      <c r="F11" s="293">
        <f>'REMUNERACION_EAAB-CL'!F106</f>
        <v>0</v>
      </c>
      <c r="G11" s="293">
        <f>'REMUNERACION_EAAB-CL'!G106</f>
        <v>0</v>
      </c>
      <c r="H11" s="293">
        <f>'REMUNERACION_EAAB-CL'!H106</f>
        <v>0</v>
      </c>
      <c r="I11" s="293">
        <f>'REMUNERACION_EAAB-CL'!I106</f>
        <v>0</v>
      </c>
      <c r="J11" s="293">
        <f>'REMUNERACION_EAAB-CL'!J106</f>
        <v>0</v>
      </c>
      <c r="K11" s="297">
        <f t="shared" si="0"/>
        <v>0</v>
      </c>
      <c r="L11" s="293">
        <f>'REMUNERACION_EAAB-CL'!L106</f>
        <v>0</v>
      </c>
      <c r="M11" s="297">
        <f>K11-L11</f>
        <v>0</v>
      </c>
      <c r="N11" s="293">
        <f>'REMUNERACION_EAAB-CL'!N106</f>
        <v>0</v>
      </c>
      <c r="O11" s="297">
        <f t="shared" si="1"/>
        <v>0</v>
      </c>
      <c r="Q11" s="308"/>
      <c r="S11" s="316">
        <v>3</v>
      </c>
      <c r="T11" s="317" t="s">
        <v>12</v>
      </c>
      <c r="U11" s="293">
        <f>'REMUNERACION_EAAB-CL'!U106</f>
        <v>0</v>
      </c>
      <c r="V11" s="293">
        <f>'REMUNERACION_EAAB-CL'!V106</f>
        <v>0</v>
      </c>
      <c r="W11" s="293">
        <f>'REMUNERACION_EAAB-CL'!W106</f>
        <v>0</v>
      </c>
      <c r="X11" s="293">
        <f>'REMUNERACION_EAAB-CL'!X106</f>
        <v>0</v>
      </c>
      <c r="Y11" s="293">
        <f>'REMUNERACION_EAAB-CL'!Y106</f>
        <v>0</v>
      </c>
      <c r="Z11" s="293">
        <f>'REMUNERACION_EAAB-CL'!Z106</f>
        <v>0</v>
      </c>
      <c r="AA11" s="293">
        <f>'REMUNERACION_EAAB-CL'!AA106</f>
        <v>0</v>
      </c>
      <c r="AB11" s="293">
        <f>'REMUNERACION_EAAB-CL'!AB106</f>
        <v>0</v>
      </c>
      <c r="AC11" s="293">
        <f>'REMUNERACION_EAAB-CL'!AC106</f>
        <v>0</v>
      </c>
      <c r="AD11" s="293">
        <f>'REMUNERACION_EAAB-CL'!AD106</f>
        <v>0</v>
      </c>
      <c r="AE11" s="293">
        <f>'REMUNERACION_EAAB-CL'!AE106</f>
        <v>0</v>
      </c>
      <c r="AF11" s="367">
        <f>SUM(U11:AD11)</f>
        <v>0</v>
      </c>
      <c r="AG11" s="368">
        <f>AF11-O11</f>
        <v>0</v>
      </c>
      <c r="AH11" s="1" t="b">
        <f t="shared" si="2"/>
        <v>1</v>
      </c>
      <c r="AI11" s="308"/>
    </row>
    <row r="12" spans="2:35" s="307" customFormat="1" x14ac:dyDescent="0.25">
      <c r="B12" s="316">
        <v>4</v>
      </c>
      <c r="C12" s="317" t="s">
        <v>13</v>
      </c>
      <c r="D12" s="293">
        <f>'REMUNERACION_EAAB-CL'!D107</f>
        <v>0</v>
      </c>
      <c r="E12" s="293">
        <f>'REMUNERACION_EAAB-CL'!E107</f>
        <v>0</v>
      </c>
      <c r="F12" s="293">
        <f>'REMUNERACION_EAAB-CL'!F107</f>
        <v>0</v>
      </c>
      <c r="G12" s="293">
        <f>'REMUNERACION_EAAB-CL'!G107</f>
        <v>0</v>
      </c>
      <c r="H12" s="293">
        <f>'REMUNERACION_EAAB-CL'!H107</f>
        <v>0</v>
      </c>
      <c r="I12" s="293">
        <f>'REMUNERACION_EAAB-CL'!I107</f>
        <v>0</v>
      </c>
      <c r="J12" s="293">
        <f>'REMUNERACION_EAAB-CL'!J107</f>
        <v>0</v>
      </c>
      <c r="K12" s="297">
        <f t="shared" si="0"/>
        <v>0</v>
      </c>
      <c r="L12" s="293">
        <f>'REMUNERACION_EAAB-CL'!L107</f>
        <v>0</v>
      </c>
      <c r="M12" s="297">
        <f>K12-L12</f>
        <v>0</v>
      </c>
      <c r="N12" s="293">
        <f>'REMUNERACION_EAAB-CL'!N107</f>
        <v>0</v>
      </c>
      <c r="O12" s="297">
        <f t="shared" si="1"/>
        <v>0</v>
      </c>
      <c r="Q12" s="308"/>
      <c r="S12" s="316">
        <v>4</v>
      </c>
      <c r="T12" s="317" t="s">
        <v>13</v>
      </c>
      <c r="U12" s="293">
        <f>'REMUNERACION_EAAB-CL'!U107</f>
        <v>0</v>
      </c>
      <c r="V12" s="293">
        <f>'REMUNERACION_EAAB-CL'!V107</f>
        <v>0</v>
      </c>
      <c r="W12" s="293">
        <f>'REMUNERACION_EAAB-CL'!W107</f>
        <v>0</v>
      </c>
      <c r="X12" s="293">
        <f>'REMUNERACION_EAAB-CL'!X107</f>
        <v>0</v>
      </c>
      <c r="Y12" s="293">
        <f>'REMUNERACION_EAAB-CL'!Y107</f>
        <v>0</v>
      </c>
      <c r="Z12" s="293">
        <f>'REMUNERACION_EAAB-CL'!Z107</f>
        <v>0</v>
      </c>
      <c r="AA12" s="293">
        <f>'REMUNERACION_EAAB-CL'!AA107</f>
        <v>0</v>
      </c>
      <c r="AB12" s="293">
        <f>'REMUNERACION_EAAB-CL'!AB107</f>
        <v>0</v>
      </c>
      <c r="AC12" s="293">
        <f>'REMUNERACION_EAAB-CL'!AC107</f>
        <v>0</v>
      </c>
      <c r="AD12" s="293">
        <f>'REMUNERACION_EAAB-CL'!AD107</f>
        <v>0</v>
      </c>
      <c r="AE12" s="293">
        <f>'REMUNERACION_EAAB-CL'!AE107</f>
        <v>0</v>
      </c>
      <c r="AF12" s="367">
        <f>SUM(U12:AD12)</f>
        <v>0</v>
      </c>
      <c r="AG12" s="368">
        <f>AF12-O12</f>
        <v>0</v>
      </c>
      <c r="AH12" s="1" t="b">
        <f t="shared" si="2"/>
        <v>1</v>
      </c>
      <c r="AI12" s="308"/>
    </row>
    <row r="13" spans="2:35" s="307" customFormat="1" ht="12" thickBot="1" x14ac:dyDescent="0.3">
      <c r="B13" s="326">
        <v>5</v>
      </c>
      <c r="C13" s="327" t="s">
        <v>14</v>
      </c>
      <c r="D13" s="293">
        <f>'REMUNERACION_EAAB-CL'!D108</f>
        <v>0</v>
      </c>
      <c r="E13" s="293">
        <f>'REMUNERACION_EAAB-CL'!E108</f>
        <v>0</v>
      </c>
      <c r="F13" s="293">
        <f>'REMUNERACION_EAAB-CL'!F108</f>
        <v>0</v>
      </c>
      <c r="G13" s="293">
        <f>'REMUNERACION_EAAB-CL'!G108</f>
        <v>0</v>
      </c>
      <c r="H13" s="293">
        <f>'REMUNERACION_EAAB-CL'!H108</f>
        <v>0</v>
      </c>
      <c r="I13" s="293">
        <f>'REMUNERACION_EAAB-CL'!I108</f>
        <v>0</v>
      </c>
      <c r="J13" s="293">
        <f>'REMUNERACION_EAAB-CL'!J108</f>
        <v>0</v>
      </c>
      <c r="K13" s="297">
        <f t="shared" si="0"/>
        <v>0</v>
      </c>
      <c r="L13" s="293">
        <f>'REMUNERACION_EAAB-CL'!L108</f>
        <v>0</v>
      </c>
      <c r="M13" s="300">
        <f>K13-L13</f>
        <v>0</v>
      </c>
      <c r="N13" s="293">
        <f>'REMUNERACION_EAAB-CL'!N108</f>
        <v>0</v>
      </c>
      <c r="O13" s="300">
        <f t="shared" si="1"/>
        <v>0</v>
      </c>
      <c r="Q13" s="308"/>
      <c r="S13" s="326">
        <v>5</v>
      </c>
      <c r="T13" s="327" t="s">
        <v>14</v>
      </c>
      <c r="U13" s="293">
        <f>'REMUNERACION_EAAB-CL'!U108</f>
        <v>0</v>
      </c>
      <c r="V13" s="293">
        <f>'REMUNERACION_EAAB-CL'!V108</f>
        <v>0</v>
      </c>
      <c r="W13" s="293">
        <f>'REMUNERACION_EAAB-CL'!W108</f>
        <v>0</v>
      </c>
      <c r="X13" s="293">
        <f>'REMUNERACION_EAAB-CL'!X108</f>
        <v>0</v>
      </c>
      <c r="Y13" s="293">
        <f>'REMUNERACION_EAAB-CL'!Y108</f>
        <v>0</v>
      </c>
      <c r="Z13" s="293">
        <f>'REMUNERACION_EAAB-CL'!Z108</f>
        <v>0</v>
      </c>
      <c r="AA13" s="293">
        <f>'REMUNERACION_EAAB-CL'!AA108</f>
        <v>0</v>
      </c>
      <c r="AB13" s="293">
        <f>'REMUNERACION_EAAB-CL'!AB108</f>
        <v>0</v>
      </c>
      <c r="AC13" s="293">
        <f>'REMUNERACION_EAAB-CL'!AC108</f>
        <v>0</v>
      </c>
      <c r="AD13" s="293">
        <f>'REMUNERACION_EAAB-CL'!AD108</f>
        <v>0</v>
      </c>
      <c r="AE13" s="293">
        <f>'REMUNERACION_EAAB-CL'!AE108</f>
        <v>0</v>
      </c>
      <c r="AF13" s="367">
        <f>SUM(U13:AD13)</f>
        <v>0</v>
      </c>
      <c r="AG13" s="368">
        <f>AF13-O13</f>
        <v>0</v>
      </c>
      <c r="AH13" s="1" t="b">
        <f t="shared" si="2"/>
        <v>1</v>
      </c>
      <c r="AI13" s="308"/>
    </row>
    <row r="14" spans="2:35" s="307" customFormat="1" ht="13.5" thickBot="1" x14ac:dyDescent="0.35">
      <c r="B14" s="329"/>
      <c r="C14" s="330" t="s">
        <v>2</v>
      </c>
      <c r="D14" s="292">
        <f t="shared" ref="D14:O14" si="3">SUM(D9:D13)</f>
        <v>0</v>
      </c>
      <c r="E14" s="292">
        <f t="shared" si="3"/>
        <v>0</v>
      </c>
      <c r="F14" s="292">
        <f t="shared" si="3"/>
        <v>0</v>
      </c>
      <c r="G14" s="292">
        <f t="shared" si="3"/>
        <v>0</v>
      </c>
      <c r="H14" s="292">
        <f t="shared" si="3"/>
        <v>0</v>
      </c>
      <c r="I14" s="292">
        <f t="shared" si="3"/>
        <v>0</v>
      </c>
      <c r="J14" s="292">
        <f t="shared" si="3"/>
        <v>0</v>
      </c>
      <c r="K14" s="302">
        <f t="shared" si="3"/>
        <v>0</v>
      </c>
      <c r="L14" s="303">
        <f t="shared" si="3"/>
        <v>0</v>
      </c>
      <c r="M14" s="304">
        <f t="shared" si="3"/>
        <v>0</v>
      </c>
      <c r="N14" s="303">
        <f t="shared" si="3"/>
        <v>0</v>
      </c>
      <c r="O14" s="304">
        <f t="shared" si="3"/>
        <v>0</v>
      </c>
      <c r="P14" s="331"/>
      <c r="Q14" s="308"/>
      <c r="S14" s="329"/>
      <c r="T14" s="330" t="s">
        <v>2</v>
      </c>
      <c r="U14" s="292">
        <f>SUM(U9:U13)</f>
        <v>0</v>
      </c>
      <c r="V14" s="292">
        <f t="shared" ref="V14:AG14" si="4">SUM(V9:V13)</f>
        <v>0</v>
      </c>
      <c r="W14" s="292">
        <f t="shared" si="4"/>
        <v>0</v>
      </c>
      <c r="X14" s="292">
        <f t="shared" si="4"/>
        <v>0</v>
      </c>
      <c r="Y14" s="292">
        <f t="shared" si="4"/>
        <v>0</v>
      </c>
      <c r="Z14" s="292">
        <f t="shared" si="4"/>
        <v>0</v>
      </c>
      <c r="AA14" s="292">
        <f t="shared" si="4"/>
        <v>0</v>
      </c>
      <c r="AB14" s="292">
        <f t="shared" si="4"/>
        <v>0</v>
      </c>
      <c r="AC14" s="292">
        <f t="shared" si="4"/>
        <v>0</v>
      </c>
      <c r="AD14" s="292">
        <f t="shared" si="4"/>
        <v>0</v>
      </c>
      <c r="AE14" s="292">
        <f>SUM(AE9:AE13)</f>
        <v>0</v>
      </c>
      <c r="AF14" s="333">
        <f t="shared" si="4"/>
        <v>0</v>
      </c>
      <c r="AG14" s="292">
        <f t="shared" si="4"/>
        <v>0</v>
      </c>
      <c r="AH14" s="1" t="b">
        <f t="shared" si="2"/>
        <v>1</v>
      </c>
      <c r="AI14" s="308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J18" s="24" t="s">
        <v>189</v>
      </c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3">
      <c r="Q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4" x14ac:dyDescent="0.3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2026091</v>
      </c>
      <c r="O22" s="10"/>
      <c r="P22" s="2"/>
      <c r="Q22" s="4"/>
    </row>
    <row r="23" spans="1:35" ht="15.5" x14ac:dyDescent="0.3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5">
      <c r="B25" s="8"/>
      <c r="I25" s="2"/>
      <c r="J25" s="2"/>
      <c r="O25" s="10"/>
      <c r="P25" s="2"/>
      <c r="Q25" s="4"/>
    </row>
    <row r="26" spans="1:35" ht="15.5" x14ac:dyDescent="0.3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5">
      <c r="B27" s="8"/>
      <c r="F27" s="2" t="s">
        <v>27</v>
      </c>
      <c r="G27" s="2"/>
      <c r="H27" s="9">
        <f>'CONSOLIDADO_TOTAL RECAUDO'!G122</f>
        <v>46266</v>
      </c>
      <c r="J27" s="2" t="s">
        <v>28</v>
      </c>
      <c r="K27" s="9">
        <f>'CONSOLIDADO_TOTAL RECAUDO'!K122</f>
        <v>46280</v>
      </c>
      <c r="O27" s="10"/>
      <c r="P27" s="2"/>
      <c r="Q27" s="4"/>
    </row>
    <row r="28" spans="1:35" ht="12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6.5" thickBot="1" x14ac:dyDescent="0.3">
      <c r="B29" s="11" t="s">
        <v>3</v>
      </c>
      <c r="C29" s="12" t="s">
        <v>9</v>
      </c>
      <c r="D29" s="105" t="s">
        <v>38</v>
      </c>
      <c r="E29" s="105" t="s">
        <v>48</v>
      </c>
      <c r="G29" s="104" t="s">
        <v>47</v>
      </c>
      <c r="H29" s="73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s="307" customFormat="1" x14ac:dyDescent="0.25">
      <c r="B30" s="336">
        <v>1</v>
      </c>
      <c r="C30" s="369" t="s">
        <v>10</v>
      </c>
      <c r="D30" s="309">
        <f>'REMUNERACION_EAAB-CL'!D125</f>
        <v>0</v>
      </c>
      <c r="E30" s="311">
        <f>'REMUNERACION_EAAB-CL'!E125</f>
        <v>0</v>
      </c>
      <c r="G30" s="338">
        <f>'REMUNERACION_EAAB-CL'!G125</f>
        <v>0</v>
      </c>
      <c r="H30" s="312">
        <f>'REMUNERACION_EAAB-CL'!H125</f>
        <v>0</v>
      </c>
      <c r="I30" s="311">
        <f>'REMUNERACION_EAAB-CL'!I125</f>
        <v>0</v>
      </c>
      <c r="J30" s="311">
        <f>'REMUNERACION_EAAB-CL'!J125</f>
        <v>0</v>
      </c>
      <c r="K30" s="311">
        <f>'REMUNERACION_EAAB-CL'!K125</f>
        <v>0</v>
      </c>
      <c r="L30" s="311">
        <f>'REMUNERACION_EAAB-CL'!L125</f>
        <v>0</v>
      </c>
      <c r="O30" s="339"/>
      <c r="Q30" s="308"/>
    </row>
    <row r="31" spans="1:35" s="307" customFormat="1" x14ac:dyDescent="0.25">
      <c r="B31" s="316">
        <v>2</v>
      </c>
      <c r="C31" s="317" t="s">
        <v>11</v>
      </c>
      <c r="D31" s="318">
        <f>'REMUNERACION_EAAB-CL'!D126</f>
        <v>0</v>
      </c>
      <c r="E31" s="320">
        <f>'REMUNERACION_EAAB-CL'!E126</f>
        <v>0</v>
      </c>
      <c r="G31" s="341">
        <f>'REMUNERACION_EAAB-CL'!G126</f>
        <v>0</v>
      </c>
      <c r="H31" s="342">
        <f>'REMUNERACION_EAAB-CL'!H126</f>
        <v>0</v>
      </c>
      <c r="I31" s="290">
        <f>'REMUNERACION_EAAB-CL'!I126</f>
        <v>0</v>
      </c>
      <c r="J31" s="290">
        <f>'REMUNERACION_EAAB-CL'!J126</f>
        <v>0</v>
      </c>
      <c r="K31" s="290">
        <f>'REMUNERACION_EAAB-CL'!K126</f>
        <v>0</v>
      </c>
      <c r="L31" s="290">
        <f>'REMUNERACION_EAAB-CL'!L126</f>
        <v>0</v>
      </c>
      <c r="O31" s="339"/>
      <c r="Q31" s="308"/>
    </row>
    <row r="32" spans="1:35" s="307" customFormat="1" x14ac:dyDescent="0.25">
      <c r="B32" s="316">
        <v>3</v>
      </c>
      <c r="C32" s="317" t="s">
        <v>12</v>
      </c>
      <c r="D32" s="318">
        <f>'REMUNERACION_EAAB-CL'!D127</f>
        <v>0</v>
      </c>
      <c r="E32" s="320">
        <f>'REMUNERACION_EAAB-CL'!E127</f>
        <v>0</v>
      </c>
      <c r="G32" s="341">
        <f>'REMUNERACION_EAAB-CL'!G127</f>
        <v>0</v>
      </c>
      <c r="H32" s="342">
        <f>'REMUNERACION_EAAB-CL'!H127</f>
        <v>0</v>
      </c>
      <c r="I32" s="290">
        <f>'REMUNERACION_EAAB-CL'!I127</f>
        <v>0</v>
      </c>
      <c r="J32" s="290">
        <f>'REMUNERACION_EAAB-CL'!J127</f>
        <v>0</v>
      </c>
      <c r="K32" s="290">
        <f>'REMUNERACION_EAAB-CL'!K127</f>
        <v>0</v>
      </c>
      <c r="L32" s="290">
        <f>'REMUNERACION_EAAB-CL'!L127</f>
        <v>0</v>
      </c>
      <c r="O32" s="339"/>
      <c r="Q32" s="308"/>
    </row>
    <row r="33" spans="1:35" s="307" customFormat="1" x14ac:dyDescent="0.25">
      <c r="B33" s="316">
        <v>4</v>
      </c>
      <c r="C33" s="317" t="s">
        <v>13</v>
      </c>
      <c r="D33" s="318">
        <f>'REMUNERACION_EAAB-CL'!D128</f>
        <v>0</v>
      </c>
      <c r="E33" s="320">
        <f>'REMUNERACION_EAAB-CL'!E128</f>
        <v>0</v>
      </c>
      <c r="G33" s="341">
        <f>'REMUNERACION_EAAB-CL'!G128</f>
        <v>0</v>
      </c>
      <c r="H33" s="342">
        <f>'REMUNERACION_EAAB-CL'!H128</f>
        <v>0</v>
      </c>
      <c r="I33" s="290">
        <f>'REMUNERACION_EAAB-CL'!I128</f>
        <v>0</v>
      </c>
      <c r="J33" s="290">
        <f>'REMUNERACION_EAAB-CL'!J128</f>
        <v>0</v>
      </c>
      <c r="K33" s="290">
        <f>'REMUNERACION_EAAB-CL'!K128</f>
        <v>0</v>
      </c>
      <c r="L33" s="290">
        <f>'REMUNERACION_EAAB-CL'!L128</f>
        <v>0</v>
      </c>
      <c r="O33" s="339"/>
      <c r="Q33" s="308"/>
    </row>
    <row r="34" spans="1:35" s="307" customFormat="1" x14ac:dyDescent="0.25">
      <c r="B34" s="343">
        <v>5</v>
      </c>
      <c r="C34" s="370" t="s">
        <v>14</v>
      </c>
      <c r="D34" s="318">
        <f>'REMUNERACION_EAAB-CL'!D129</f>
        <v>0</v>
      </c>
      <c r="E34" s="320">
        <f>'REMUNERACION_EAAB-CL'!E129</f>
        <v>0</v>
      </c>
      <c r="G34" s="341">
        <f>'REMUNERACION_EAAB-CL'!G129</f>
        <v>0</v>
      </c>
      <c r="H34" s="342">
        <f>'REMUNERACION_EAAB-CL'!H129</f>
        <v>0</v>
      </c>
      <c r="I34" s="290">
        <f>'REMUNERACION_EAAB-CL'!I129</f>
        <v>0</v>
      </c>
      <c r="J34" s="290">
        <f>'REMUNERACION_EAAB-CL'!J129</f>
        <v>0</v>
      </c>
      <c r="K34" s="290">
        <f>'REMUNERACION_EAAB-CL'!K129</f>
        <v>0</v>
      </c>
      <c r="L34" s="290">
        <f>'REMUNERACION_EAAB-CL'!L129</f>
        <v>0</v>
      </c>
      <c r="O34" s="339"/>
      <c r="Q34" s="308"/>
    </row>
    <row r="35" spans="1:35" s="307" customFormat="1" ht="12" thickBot="1" x14ac:dyDescent="0.3">
      <c r="B35" s="326" t="s">
        <v>89</v>
      </c>
      <c r="C35" s="327" t="s">
        <v>113</v>
      </c>
      <c r="D35" s="298">
        <f>'REMUNERACION_EAAB-CL'!D130</f>
        <v>0</v>
      </c>
      <c r="E35" s="291">
        <f>'REMUNERACION_EAAB-CL'!E130</f>
        <v>0</v>
      </c>
      <c r="G35" s="348"/>
      <c r="H35" s="349"/>
      <c r="I35" s="291"/>
      <c r="J35" s="291"/>
      <c r="K35" s="291"/>
      <c r="L35" s="291"/>
      <c r="O35" s="339"/>
      <c r="Q35" s="308"/>
    </row>
    <row r="36" spans="1:35" s="307" customFormat="1" ht="12" thickBot="1" x14ac:dyDescent="0.3">
      <c r="B36" s="350"/>
      <c r="C36" s="351" t="s">
        <v>2</v>
      </c>
      <c r="D36" s="352">
        <f t="shared" ref="D36:E36" si="5">SUM(D30:D34)</f>
        <v>0</v>
      </c>
      <c r="E36" s="352">
        <f t="shared" si="5"/>
        <v>0</v>
      </c>
      <c r="F36" s="353"/>
      <c r="G36" s="352">
        <f t="shared" ref="G36:L36" si="6">SUM(G30:G34)</f>
        <v>0</v>
      </c>
      <c r="H36" s="352">
        <f t="shared" si="6"/>
        <v>0</v>
      </c>
      <c r="I36" s="352">
        <f t="shared" si="6"/>
        <v>0</v>
      </c>
      <c r="J36" s="352">
        <f t="shared" si="6"/>
        <v>0</v>
      </c>
      <c r="K36" s="352">
        <f t="shared" si="6"/>
        <v>0</v>
      </c>
      <c r="L36" s="352">
        <f t="shared" si="6"/>
        <v>0</v>
      </c>
      <c r="M36" s="353"/>
      <c r="N36" s="353"/>
      <c r="O36" s="354"/>
      <c r="P36" s="331"/>
      <c r="Q36" s="308"/>
    </row>
    <row r="37" spans="1:35" x14ac:dyDescent="0.25">
      <c r="B37" s="2"/>
      <c r="C37" s="2"/>
      <c r="D37" s="24"/>
      <c r="Q37" s="4"/>
      <c r="AI37" s="307"/>
    </row>
    <row r="38" spans="1:35" x14ac:dyDescent="0.25">
      <c r="B38" s="2"/>
      <c r="C38" s="2"/>
      <c r="D38" s="24"/>
      <c r="L38" s="1" t="s">
        <v>1</v>
      </c>
      <c r="Q38" s="4"/>
      <c r="AI38" s="307"/>
    </row>
    <row r="39" spans="1:35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  <c r="AI39" s="307"/>
    </row>
    <row r="40" spans="1:35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35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35" x14ac:dyDescent="0.25">
      <c r="N42" s="24"/>
      <c r="O42" s="24"/>
      <c r="Q42" s="24"/>
      <c r="T42" s="24"/>
    </row>
    <row r="43" spans="1:35" x14ac:dyDescent="0.25">
      <c r="N43" s="24"/>
      <c r="O43" s="24"/>
      <c r="Q43" s="24"/>
      <c r="T43" s="24"/>
    </row>
    <row r="44" spans="1:35" x14ac:dyDescent="0.25">
      <c r="D44" s="269" t="b">
        <f>D14='REMUNERACION_EAAB-CL'!D109</f>
        <v>1</v>
      </c>
      <c r="E44" s="269" t="b">
        <f>E14='REMUNERACION_EAAB-CL'!E109</f>
        <v>1</v>
      </c>
      <c r="F44" s="269" t="b">
        <f>F14='REMUNERACION_EAAB-CL'!F109</f>
        <v>1</v>
      </c>
      <c r="G44" s="269" t="b">
        <f>G14='REMUNERACION_EAAB-CL'!G109</f>
        <v>1</v>
      </c>
      <c r="H44" s="269" t="b">
        <f>H14='REMUNERACION_EAAB-CL'!H109</f>
        <v>1</v>
      </c>
      <c r="I44" s="269" t="b">
        <f>I14='REMUNERACION_EAAB-CL'!I109</f>
        <v>1</v>
      </c>
      <c r="J44" s="269" t="b">
        <f>J14='REMUNERACION_EAAB-CL'!J109</f>
        <v>1</v>
      </c>
      <c r="K44" s="269" t="b">
        <f>K14='REMUNERACION_EAAB-CL'!K109</f>
        <v>1</v>
      </c>
      <c r="L44" s="269" t="b">
        <f>L14='REMUNERACION_EAAB-CL'!L109</f>
        <v>1</v>
      </c>
      <c r="M44" s="269" t="b">
        <f>M14='REMUNERACION_EAAB-CL'!M109</f>
        <v>1</v>
      </c>
      <c r="N44" s="269" t="b">
        <f>N14='REMUNERACION_EAAB-CL'!N109</f>
        <v>1</v>
      </c>
      <c r="O44" s="269" t="b">
        <f>O14='REMUNERACION_EAAB-CL'!O109</f>
        <v>1</v>
      </c>
      <c r="Q44" s="24"/>
      <c r="T44" s="24"/>
    </row>
    <row r="45" spans="1:35" x14ac:dyDescent="0.25">
      <c r="D45" s="269" t="b">
        <f>D36='REMUNERACION_EAAB-CL'!D131</f>
        <v>1</v>
      </c>
      <c r="E45" s="269" t="b">
        <f>E36='REMUNERACION_EAAB-CL'!E131</f>
        <v>1</v>
      </c>
      <c r="F45" s="269" t="b">
        <f>F36='REMUNERACION_EAAB-CL'!F131</f>
        <v>1</v>
      </c>
      <c r="G45" s="269" t="b">
        <f>G36='REMUNERACION_EAAB-CL'!G131</f>
        <v>1</v>
      </c>
      <c r="H45" s="269" t="b">
        <f>H36='REMUNERACION_EAAB-CL'!H131</f>
        <v>1</v>
      </c>
      <c r="I45" s="269" t="b">
        <f>I36='REMUNERACION_EAAB-CL'!I131</f>
        <v>1</v>
      </c>
      <c r="J45" s="269" t="b">
        <f>J36='REMUNERACION_EAAB-CL'!J131</f>
        <v>1</v>
      </c>
      <c r="K45" s="269" t="b">
        <f>K36='REMUNERACION_EAAB-CL'!K131</f>
        <v>1</v>
      </c>
      <c r="L45" s="269" t="b">
        <f>L36='REMUNERACION_EAAB-CL'!L131</f>
        <v>1</v>
      </c>
      <c r="M45" s="269" t="b">
        <f>M36='REMUNERACION_EAAB-CL'!M131</f>
        <v>1</v>
      </c>
      <c r="N45" s="269" t="b">
        <f>N36='REMUNERACION_EAAB-CL'!N131</f>
        <v>1</v>
      </c>
      <c r="O45" s="269" t="b">
        <f>O36='REMUNERACION_EAAB-CL'!O131</f>
        <v>1</v>
      </c>
      <c r="Q45" s="24"/>
      <c r="T45" s="24"/>
    </row>
    <row r="46" spans="1:35" x14ac:dyDescent="0.25">
      <c r="N46" s="24"/>
      <c r="O46" s="24"/>
      <c r="Q46" s="24"/>
      <c r="T46" s="24"/>
    </row>
    <row r="47" spans="1:35" x14ac:dyDescent="0.25">
      <c r="N47" s="24"/>
      <c r="O47" s="24"/>
      <c r="Q47" s="24"/>
      <c r="T47" s="24"/>
    </row>
    <row r="48" spans="1:35" x14ac:dyDescent="0.25">
      <c r="N48" s="24"/>
      <c r="O48" s="24"/>
      <c r="Q48" s="24"/>
      <c r="T48" s="24"/>
    </row>
    <row r="49" spans="14:20" x14ac:dyDescent="0.25">
      <c r="N49" s="24"/>
      <c r="O49" s="24"/>
      <c r="Q49" s="24"/>
      <c r="T49" s="24"/>
    </row>
    <row r="50" spans="14:20" x14ac:dyDescent="0.25">
      <c r="N50" s="24"/>
      <c r="O50" s="24"/>
      <c r="Q50" s="24"/>
      <c r="T50" s="24"/>
    </row>
    <row r="51" spans="14:20" x14ac:dyDescent="0.25">
      <c r="Q51" s="24"/>
      <c r="T51" s="24"/>
    </row>
    <row r="52" spans="14:20" x14ac:dyDescent="0.25">
      <c r="Q52" s="24"/>
    </row>
  </sheetData>
  <conditionalFormatting sqref="AH9:AH14">
    <cfRule type="cellIs" dxfId="8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00FB-0ECC-41B8-9748-81AD38759882}">
  <sheetPr>
    <tabColor rgb="FFFF0000"/>
  </sheetPr>
  <dimension ref="B1:T39"/>
  <sheetViews>
    <sheetView workbookViewId="0"/>
  </sheetViews>
  <sheetFormatPr baseColWidth="10" defaultColWidth="11.453125" defaultRowHeight="14.5" x14ac:dyDescent="0.35"/>
  <cols>
    <col min="1" max="1" width="2.7265625" style="601" customWidth="1"/>
    <col min="2" max="2" width="7.26953125" style="601" customWidth="1"/>
    <col min="3" max="3" width="42.7265625" style="601" customWidth="1"/>
    <col min="4" max="15" width="28.54296875" style="601" customWidth="1"/>
    <col min="16" max="16384" width="11.453125" style="601"/>
  </cols>
  <sheetData>
    <row r="1" spans="2:20" customFormat="1" ht="12.5" x14ac:dyDescent="0.25"/>
    <row r="2" spans="2:20" customFormat="1" ht="12.5" x14ac:dyDescent="0.25">
      <c r="T2" s="142"/>
    </row>
    <row r="3" spans="2:20" customFormat="1" x14ac:dyDescent="0.25">
      <c r="F3" s="653" t="s">
        <v>8</v>
      </c>
      <c r="H3" s="653" t="s">
        <v>16</v>
      </c>
      <c r="L3" s="653" t="s">
        <v>226</v>
      </c>
      <c r="M3" s="653" t="s">
        <v>339</v>
      </c>
      <c r="T3" s="142"/>
    </row>
    <row r="4" spans="2:20" customFormat="1" x14ac:dyDescent="0.25">
      <c r="F4" s="653" t="s">
        <v>29</v>
      </c>
    </row>
    <row r="5" spans="2:20" customFormat="1" x14ac:dyDescent="0.25">
      <c r="F5" s="653" t="s">
        <v>227</v>
      </c>
    </row>
    <row r="6" spans="2:20" customFormat="1" x14ac:dyDescent="0.25">
      <c r="C6" s="653" t="s">
        <v>228</v>
      </c>
      <c r="D6" s="653" t="s">
        <v>340</v>
      </c>
      <c r="F6" s="653" t="s">
        <v>229</v>
      </c>
    </row>
    <row r="7" spans="2:20" customFormat="1" x14ac:dyDescent="0.25">
      <c r="C7" s="653" t="s">
        <v>230</v>
      </c>
      <c r="D7" s="653" t="s">
        <v>341</v>
      </c>
      <c r="F7" s="653" t="s">
        <v>27</v>
      </c>
      <c r="G7" s="653" t="s">
        <v>342</v>
      </c>
      <c r="I7" s="653" t="s">
        <v>231</v>
      </c>
      <c r="J7" s="653" t="s">
        <v>343</v>
      </c>
    </row>
    <row r="8" spans="2:20" customFormat="1" ht="43.5" x14ac:dyDescent="0.25">
      <c r="B8" s="654" t="s">
        <v>3</v>
      </c>
      <c r="C8" s="654" t="s">
        <v>232</v>
      </c>
      <c r="D8" s="654" t="s">
        <v>233</v>
      </c>
      <c r="E8" s="654" t="s">
        <v>234</v>
      </c>
      <c r="F8" s="654" t="s">
        <v>235</v>
      </c>
      <c r="G8" s="654" t="s">
        <v>236</v>
      </c>
      <c r="H8" s="654" t="s">
        <v>237</v>
      </c>
      <c r="I8" s="654" t="s">
        <v>238</v>
      </c>
      <c r="J8" s="654" t="s">
        <v>239</v>
      </c>
      <c r="K8" s="654" t="s">
        <v>240</v>
      </c>
      <c r="L8" s="654" t="s">
        <v>241</v>
      </c>
      <c r="M8" s="654" t="s">
        <v>242</v>
      </c>
      <c r="N8" s="654" t="s">
        <v>243</v>
      </c>
      <c r="O8" s="654" t="s">
        <v>244</v>
      </c>
    </row>
    <row r="9" spans="2:20" customFormat="1" ht="12.5" x14ac:dyDescent="0.25">
      <c r="B9" s="633" t="s">
        <v>115</v>
      </c>
      <c r="C9" s="633" t="s">
        <v>10</v>
      </c>
      <c r="D9" s="634">
        <v>17450250543</v>
      </c>
      <c r="E9" s="634">
        <v>1002730527</v>
      </c>
      <c r="F9" s="634">
        <v>559513166</v>
      </c>
      <c r="G9" s="634">
        <v>296340285</v>
      </c>
      <c r="H9" s="634">
        <v>4858821909</v>
      </c>
      <c r="I9" s="634">
        <v>182208476</v>
      </c>
      <c r="J9" s="634">
        <v>2589335717</v>
      </c>
      <c r="K9" s="634">
        <v>7961300463</v>
      </c>
      <c r="L9" s="634">
        <v>189185987</v>
      </c>
      <c r="M9" s="634">
        <v>7772114476</v>
      </c>
      <c r="N9" s="634">
        <v>30635670</v>
      </c>
      <c r="O9" s="634">
        <v>7802750145</v>
      </c>
    </row>
    <row r="10" spans="2:20" customFormat="1" ht="12.5" x14ac:dyDescent="0.25">
      <c r="B10" s="633" t="s">
        <v>116</v>
      </c>
      <c r="C10" s="633" t="s">
        <v>11</v>
      </c>
      <c r="D10" s="634">
        <v>14147357755</v>
      </c>
      <c r="E10" s="634">
        <v>1096241905</v>
      </c>
      <c r="F10" s="634">
        <v>607688511</v>
      </c>
      <c r="G10" s="634">
        <v>320746087</v>
      </c>
      <c r="H10" s="634">
        <v>4486156883</v>
      </c>
      <c r="I10" s="634">
        <v>152499570</v>
      </c>
      <c r="J10" s="634">
        <v>-5093259797</v>
      </c>
      <c r="K10" s="634">
        <v>12577284596</v>
      </c>
      <c r="L10" s="634">
        <v>266580255</v>
      </c>
      <c r="M10" s="634">
        <v>12310704341</v>
      </c>
      <c r="N10" s="634">
        <v>43616074</v>
      </c>
      <c r="O10" s="634">
        <v>12354320415</v>
      </c>
    </row>
    <row r="11" spans="2:20" customFormat="1" ht="12.5" x14ac:dyDescent="0.25">
      <c r="B11" s="633" t="s">
        <v>117</v>
      </c>
      <c r="C11" s="633" t="s">
        <v>245</v>
      </c>
      <c r="D11" s="634">
        <v>10891338740</v>
      </c>
      <c r="E11" s="634">
        <v>710706077</v>
      </c>
      <c r="F11" s="634">
        <v>397477480</v>
      </c>
      <c r="G11" s="634">
        <v>210365934</v>
      </c>
      <c r="H11" s="634">
        <v>3089785743</v>
      </c>
      <c r="I11" s="634">
        <v>102591059</v>
      </c>
      <c r="J11" s="634">
        <v>-1230396998</v>
      </c>
      <c r="K11" s="634">
        <v>7610809445</v>
      </c>
      <c r="L11" s="634">
        <v>154788535</v>
      </c>
      <c r="M11" s="634">
        <v>7456020910</v>
      </c>
      <c r="N11" s="634">
        <v>25562528</v>
      </c>
      <c r="O11" s="634">
        <v>7481583438</v>
      </c>
    </row>
    <row r="12" spans="2:20" customFormat="1" ht="12.5" x14ac:dyDescent="0.25">
      <c r="B12" s="633" t="s">
        <v>246</v>
      </c>
      <c r="C12" s="633" t="s">
        <v>13</v>
      </c>
      <c r="D12" s="634">
        <v>11508947207</v>
      </c>
      <c r="E12" s="634">
        <v>651620354</v>
      </c>
      <c r="F12" s="634">
        <v>362076891</v>
      </c>
      <c r="G12" s="634">
        <v>191424495</v>
      </c>
      <c r="H12" s="634">
        <v>2850519494</v>
      </c>
      <c r="I12" s="634">
        <v>98433844</v>
      </c>
      <c r="J12" s="634">
        <v>38133906</v>
      </c>
      <c r="K12" s="634">
        <v>7316738223</v>
      </c>
      <c r="L12" s="634">
        <v>120391083</v>
      </c>
      <c r="M12" s="634">
        <v>7196347140</v>
      </c>
      <c r="N12" s="634">
        <v>23185408</v>
      </c>
      <c r="O12" s="634">
        <v>7219532548</v>
      </c>
    </row>
    <row r="13" spans="2:20" customFormat="1" ht="12.5" x14ac:dyDescent="0.25">
      <c r="B13" s="633" t="s">
        <v>118</v>
      </c>
      <c r="C13" s="633" t="s">
        <v>14</v>
      </c>
      <c r="D13" s="634">
        <v>9147179378</v>
      </c>
      <c r="E13" s="634">
        <v>501141809</v>
      </c>
      <c r="F13" s="634">
        <v>279950731</v>
      </c>
      <c r="G13" s="634">
        <v>148242908</v>
      </c>
      <c r="H13" s="634">
        <v>2100067180</v>
      </c>
      <c r="I13" s="634">
        <v>75390757</v>
      </c>
      <c r="J13" s="634">
        <v>-1224100690</v>
      </c>
      <c r="K13" s="634">
        <v>7266486684</v>
      </c>
      <c r="L13" s="634">
        <v>128990445</v>
      </c>
      <c r="M13" s="634">
        <v>7137496239</v>
      </c>
      <c r="N13" s="634">
        <v>32575938</v>
      </c>
      <c r="O13" s="634">
        <v>7170072177</v>
      </c>
    </row>
    <row r="14" spans="2:20" customFormat="1" ht="12.5" x14ac:dyDescent="0.25">
      <c r="B14" s="633" t="s">
        <v>247</v>
      </c>
      <c r="C14" s="633" t="s">
        <v>70</v>
      </c>
      <c r="D14" s="634">
        <v>63145073623</v>
      </c>
      <c r="E14" s="634">
        <v>3962440672</v>
      </c>
      <c r="F14" s="634">
        <v>2206706779</v>
      </c>
      <c r="G14" s="634">
        <v>1167119709</v>
      </c>
      <c r="H14" s="634">
        <v>17385351209</v>
      </c>
      <c r="I14" s="634">
        <v>611123706</v>
      </c>
      <c r="J14" s="634">
        <v>-4920287862</v>
      </c>
      <c r="K14" s="634">
        <v>42732619411</v>
      </c>
      <c r="L14" s="634">
        <v>859936305</v>
      </c>
      <c r="M14" s="634">
        <v>41872683106</v>
      </c>
      <c r="N14" s="634">
        <v>155575618</v>
      </c>
      <c r="O14" s="634">
        <v>42028258723</v>
      </c>
    </row>
    <row r="15" spans="2:20" customFormat="1" ht="12.5" x14ac:dyDescent="0.25"/>
    <row r="16" spans="2:20" customFormat="1" ht="12.5" x14ac:dyDescent="0.25">
      <c r="C16" s="655" t="s">
        <v>335</v>
      </c>
    </row>
    <row r="18" spans="2:15" x14ac:dyDescent="0.35">
      <c r="E18" s="603" t="s">
        <v>248</v>
      </c>
    </row>
    <row r="19" spans="2:15" x14ac:dyDescent="0.35">
      <c r="F19" s="603" t="s">
        <v>25</v>
      </c>
    </row>
    <row r="22" spans="2:15" ht="34.5" x14ac:dyDescent="0.35">
      <c r="C22" s="638" t="s">
        <v>9</v>
      </c>
      <c r="D22" s="638" t="s">
        <v>4</v>
      </c>
      <c r="E22" s="638" t="s">
        <v>5</v>
      </c>
      <c r="F22" s="638" t="s">
        <v>6</v>
      </c>
      <c r="G22" s="638" t="s">
        <v>159</v>
      </c>
      <c r="H22" s="638" t="s">
        <v>18</v>
      </c>
      <c r="I22" s="638" t="s">
        <v>24</v>
      </c>
      <c r="J22" s="638" t="s">
        <v>19</v>
      </c>
      <c r="K22" s="639" t="s">
        <v>20</v>
      </c>
      <c r="L22" s="638" t="s">
        <v>21</v>
      </c>
      <c r="M22" s="639" t="s">
        <v>22</v>
      </c>
      <c r="N22" s="638" t="s">
        <v>7</v>
      </c>
      <c r="O22" s="639" t="s">
        <v>23</v>
      </c>
    </row>
    <row r="23" spans="2:15" x14ac:dyDescent="0.35">
      <c r="B23" s="602" t="s">
        <v>115</v>
      </c>
      <c r="C23" s="602" t="s">
        <v>10</v>
      </c>
      <c r="D23" s="640">
        <f>D9-'CONSOLIDADO_TOTAL RECAUDO'!D104</f>
        <v>0.22000503540039063</v>
      </c>
      <c r="E23" s="640">
        <f>E9-'CONSOLIDADO_TOTAL RECAUDO'!E104</f>
        <v>-0.37000000476837158</v>
      </c>
      <c r="F23" s="640">
        <f>F9-'CONSOLIDADO_TOTAL RECAUDO'!F104</f>
        <v>0.17000007629394531</v>
      </c>
      <c r="G23" s="640">
        <f>G9-'CONSOLIDADO_TOTAL RECAUDO'!G104</f>
        <v>-0.37999999523162842</v>
      </c>
      <c r="H23" s="640">
        <f>H9-'CONSOLIDADO_TOTAL RECAUDO'!H104</f>
        <v>0</v>
      </c>
      <c r="I23" s="640">
        <f>I9-'CONSOLIDADO_TOTAL RECAUDO'!I104</f>
        <v>-3.0000030994415283E-2</v>
      </c>
      <c r="J23" s="640">
        <f>J9-'CONSOLIDADO_TOTAL RECAUDO'!J104</f>
        <v>0.46000003814697266</v>
      </c>
      <c r="K23" s="640">
        <f>K9-'CONSOLIDADO_TOTAL RECAUDO'!K104</f>
        <v>0.37000560760498047</v>
      </c>
      <c r="L23" s="640">
        <f>L9-'CONSOLIDADO_TOTAL RECAUDO'!L104</f>
        <v>0</v>
      </c>
      <c r="M23" s="640">
        <f>M9-'CONSOLIDADO_TOTAL RECAUDO'!M104</f>
        <v>0.37000560760498047</v>
      </c>
      <c r="N23" s="640">
        <f>N9-'CONSOLIDADO_TOTAL RECAUDO'!N104</f>
        <v>0.42000000178813934</v>
      </c>
      <c r="O23" s="640">
        <f>O9-'CONSOLIDADO_TOTAL RECAUDO'!O104</f>
        <v>-0.20999431610107422</v>
      </c>
    </row>
    <row r="24" spans="2:15" x14ac:dyDescent="0.35">
      <c r="B24" s="602" t="s">
        <v>116</v>
      </c>
      <c r="C24" s="602" t="s">
        <v>11</v>
      </c>
      <c r="D24" s="640">
        <f>D10-'CONSOLIDADO_TOTAL RECAUDO'!D105</f>
        <v>-0.39000129699707031</v>
      </c>
      <c r="E24" s="640">
        <f>E10-'CONSOLIDADO_TOTAL RECAUDO'!E105</f>
        <v>0.21000003814697266</v>
      </c>
      <c r="F24" s="640">
        <f>F10-'CONSOLIDADO_TOTAL RECAUDO'!F105</f>
        <v>0.41000008583068848</v>
      </c>
      <c r="G24" s="640">
        <f>G10-'CONSOLIDADO_TOTAL RECAUDO'!G105</f>
        <v>-0.43999999761581421</v>
      </c>
      <c r="H24" s="640">
        <f>H10-'CONSOLIDADO_TOTAL RECAUDO'!H105</f>
        <v>-0.46999931335449219</v>
      </c>
      <c r="I24" s="640">
        <f>I10-'CONSOLIDADO_TOTAL RECAUDO'!I105</f>
        <v>7.0000022649765015E-2</v>
      </c>
      <c r="J24" s="640">
        <f>J10-'CONSOLIDADO_TOTAL RECAUDO'!J105</f>
        <v>0.21999931335449219</v>
      </c>
      <c r="K24" s="640">
        <f>K10-'CONSOLIDADO_TOTAL RECAUDO'!K105</f>
        <v>-0.39000129699707031</v>
      </c>
      <c r="L24" s="640">
        <f>L10-'CONSOLIDADO_TOTAL RECAUDO'!L105</f>
        <v>0</v>
      </c>
      <c r="M24" s="640">
        <f>M10-'CONSOLIDADO_TOTAL RECAUDO'!M105</f>
        <v>-0.39000129699707031</v>
      </c>
      <c r="N24" s="640">
        <f>N10-'CONSOLIDADO_TOTAL RECAUDO'!N105</f>
        <v>0.2800000011920929</v>
      </c>
      <c r="O24" s="640">
        <f>O10-'CONSOLIDADO_TOTAL RECAUDO'!O105</f>
        <v>-0.1100006103515625</v>
      </c>
    </row>
    <row r="25" spans="2:15" x14ac:dyDescent="0.35">
      <c r="B25" s="602" t="s">
        <v>117</v>
      </c>
      <c r="C25" s="602" t="s">
        <v>245</v>
      </c>
      <c r="D25" s="640">
        <f>D11-'CONSOLIDADO_TOTAL RECAUDO'!D106</f>
        <v>0.51999855041503906</v>
      </c>
      <c r="E25" s="640">
        <f>E11-'CONSOLIDADO_TOTAL RECAUDO'!E106</f>
        <v>0.14999997615814209</v>
      </c>
      <c r="F25" s="640">
        <f>F11-'CONSOLIDADO_TOTAL RECAUDO'!F106</f>
        <v>-0.34999996423721313</v>
      </c>
      <c r="G25" s="640">
        <f>G11-'CONSOLIDADO_TOTAL RECAUDO'!G106</f>
        <v>-0.29999998211860657</v>
      </c>
      <c r="H25" s="640">
        <f>H11-'CONSOLIDADO_TOTAL RECAUDO'!H106</f>
        <v>0.18999958038330078</v>
      </c>
      <c r="I25" s="640">
        <f>I11-'CONSOLIDADO_TOTAL RECAUDO'!I106</f>
        <v>-0.10999998450279236</v>
      </c>
      <c r="J25" s="640">
        <f>J11-'CONSOLIDADO_TOTAL RECAUDO'!J106</f>
        <v>0.43999981880187988</v>
      </c>
      <c r="K25" s="640">
        <f>K11-'CONSOLIDADO_TOTAL RECAUDO'!K106</f>
        <v>0.49999904632568359</v>
      </c>
      <c r="L25" s="640">
        <f>L11-'CONSOLIDADO_TOTAL RECAUDO'!L106</f>
        <v>0</v>
      </c>
      <c r="M25" s="640">
        <f>M11-'CONSOLIDADO_TOTAL RECAUDO'!M106</f>
        <v>0.49999904632568359</v>
      </c>
      <c r="N25" s="640">
        <f>N11-'CONSOLIDADO_TOTAL RECAUDO'!N106</f>
        <v>-0.48000000044703484</v>
      </c>
      <c r="O25" s="640">
        <f>O11-'CONSOLIDADO_TOTAL RECAUDO'!O106</f>
        <v>1.9999504089355469E-2</v>
      </c>
    </row>
    <row r="26" spans="2:15" x14ac:dyDescent="0.35">
      <c r="B26" s="602" t="s">
        <v>246</v>
      </c>
      <c r="C26" s="602" t="s">
        <v>13</v>
      </c>
      <c r="D26" s="640">
        <f>D12-'CONSOLIDADO_TOTAL RECAUDO'!D107</f>
        <v>0.23999977111816406</v>
      </c>
      <c r="E26" s="640">
        <f>E12-'CONSOLIDADO_TOTAL RECAUDO'!E107</f>
        <v>2.9999852180480957E-2</v>
      </c>
      <c r="F26" s="640">
        <f>F12-'CONSOLIDADO_TOTAL RECAUDO'!F107</f>
        <v>9.9999904632568359E-3</v>
      </c>
      <c r="G26" s="640">
        <f>G12-'CONSOLIDADO_TOTAL RECAUDO'!G107</f>
        <v>0.15000000596046448</v>
      </c>
      <c r="H26" s="640">
        <f>H12-'CONSOLIDADO_TOTAL RECAUDO'!H107</f>
        <v>-0.20000028610229492</v>
      </c>
      <c r="I26" s="640">
        <f>I12-'CONSOLIDADO_TOTAL RECAUDO'!I107</f>
        <v>-9.9999994039535522E-2</v>
      </c>
      <c r="J26" s="640">
        <f>J12-'CONSOLIDADO_TOTAL RECAUDO'!J107</f>
        <v>0.19999998807907104</v>
      </c>
      <c r="K26" s="640">
        <f>K12-'CONSOLIDADO_TOTAL RECAUDO'!K107</f>
        <v>0.15000057220458984</v>
      </c>
      <c r="L26" s="640">
        <f>L12-'CONSOLIDADO_TOTAL RECAUDO'!L107</f>
        <v>0</v>
      </c>
      <c r="M26" s="640">
        <f>M12-'CONSOLIDADO_TOTAL RECAUDO'!M107</f>
        <v>0.15000057220458984</v>
      </c>
      <c r="N26" s="640">
        <f>N12-'CONSOLIDADO_TOTAL RECAUDO'!N107</f>
        <v>1.9999999552965164E-2</v>
      </c>
      <c r="O26" s="640">
        <f>O12-'CONSOLIDADO_TOTAL RECAUDO'!O107</f>
        <v>0.17000102996826172</v>
      </c>
    </row>
    <row r="27" spans="2:15" x14ac:dyDescent="0.35">
      <c r="B27" s="602" t="s">
        <v>118</v>
      </c>
      <c r="C27" s="602" t="s">
        <v>14</v>
      </c>
      <c r="D27" s="640">
        <f>D13-'CONSOLIDADO_TOTAL RECAUDO'!D108</f>
        <v>-0.32999992370605469</v>
      </c>
      <c r="E27" s="640">
        <f>E13-'CONSOLIDADO_TOTAL RECAUDO'!E108</f>
        <v>0.22000002861022949</v>
      </c>
      <c r="F27" s="640">
        <f>F13-'CONSOLIDADO_TOTAL RECAUDO'!F108</f>
        <v>0.12999999523162842</v>
      </c>
      <c r="G27" s="640">
        <f>G13-'CONSOLIDADO_TOTAL RECAUDO'!G108</f>
        <v>-0.43000000715255737</v>
      </c>
      <c r="H27" s="640">
        <f>H13-'CONSOLIDADO_TOTAL RECAUDO'!H108</f>
        <v>0.26999998092651367</v>
      </c>
      <c r="I27" s="640">
        <f>I13-'CONSOLIDADO_TOTAL RECAUDO'!I108</f>
        <v>-4.0000021457672119E-2</v>
      </c>
      <c r="J27" s="640">
        <f>J13-'CONSOLIDADO_TOTAL RECAUDO'!J108</f>
        <v>0.46000027656555176</v>
      </c>
      <c r="K27" s="640">
        <f>K13-'CONSOLIDADO_TOTAL RECAUDO'!K108</f>
        <v>6.0001373291015625E-2</v>
      </c>
      <c r="L27" s="640">
        <f>L13-'CONSOLIDADO_TOTAL RECAUDO'!L108</f>
        <v>0</v>
      </c>
      <c r="M27" s="640">
        <f>M13-'CONSOLIDADO_TOTAL RECAUDO'!M108</f>
        <v>6.0001373291015625E-2</v>
      </c>
      <c r="N27" s="640">
        <f>N13-'CONSOLIDADO_TOTAL RECAUDO'!N108</f>
        <v>-0.37999999895691872</v>
      </c>
      <c r="O27" s="640">
        <f>O13-'CONSOLIDADO_TOTAL RECAUDO'!O108</f>
        <v>-0.31999874114990234</v>
      </c>
    </row>
    <row r="28" spans="2:15" x14ac:dyDescent="0.35">
      <c r="B28" s="602" t="s">
        <v>247</v>
      </c>
      <c r="C28" s="602" t="s">
        <v>70</v>
      </c>
      <c r="D28" s="640">
        <f>D14-'CONSOLIDADO_TOTAL RECAUDO'!D109</f>
        <v>0.2599945068359375</v>
      </c>
      <c r="E28" s="640">
        <f>E14-'CONSOLIDADO_TOTAL RECAUDO'!E109</f>
        <v>0.23999977111816406</v>
      </c>
      <c r="F28" s="640">
        <f>F14-'CONSOLIDADO_TOTAL RECAUDO'!F109</f>
        <v>0.37000036239624023</v>
      </c>
      <c r="G28" s="640">
        <f>G14-'CONSOLIDADO_TOTAL RECAUDO'!G109</f>
        <v>-1.3999998569488525</v>
      </c>
      <c r="H28" s="640">
        <f>H14-'CONSOLIDADO_TOTAL RECAUDO'!H109</f>
        <v>-0.20999908447265625</v>
      </c>
      <c r="I28" s="640">
        <f>I14-'CONSOLIDADO_TOTAL RECAUDO'!I109</f>
        <v>-0.21000003814697266</v>
      </c>
      <c r="J28" s="640">
        <f>J14-'CONSOLIDADO_TOTAL RECAUDO'!J109</f>
        <v>1.779998779296875</v>
      </c>
      <c r="K28" s="640">
        <f>K14-'CONSOLIDADO_TOTAL RECAUDO'!K109</f>
        <v>0.69000244140625</v>
      </c>
      <c r="L28" s="640">
        <f>L14-'CONSOLIDADO_TOTAL RECAUDO'!L109</f>
        <v>0</v>
      </c>
      <c r="M28" s="640">
        <f>M14-'CONSOLIDADO_TOTAL RECAUDO'!M109</f>
        <v>0.69000244140625</v>
      </c>
      <c r="N28" s="640">
        <f>N14-'CONSOLIDADO_TOTAL RECAUDO'!N109</f>
        <v>-0.14000001549720764</v>
      </c>
      <c r="O28" s="640">
        <f>O14-'CONSOLIDADO_TOTAL RECAUDO'!O109</f>
        <v>-0.4499969482421875</v>
      </c>
    </row>
    <row r="31" spans="2:15" ht="34.5" x14ac:dyDescent="0.35">
      <c r="C31" s="638" t="s">
        <v>9</v>
      </c>
      <c r="D31" s="638" t="s">
        <v>4</v>
      </c>
      <c r="E31" s="638" t="s">
        <v>5</v>
      </c>
      <c r="F31" s="638" t="s">
        <v>6</v>
      </c>
      <c r="G31" s="638" t="s">
        <v>159</v>
      </c>
      <c r="H31" s="638" t="s">
        <v>18</v>
      </c>
      <c r="I31" s="638" t="s">
        <v>24</v>
      </c>
      <c r="J31" s="705" t="s">
        <v>19</v>
      </c>
      <c r="K31" s="639" t="s">
        <v>20</v>
      </c>
      <c r="L31" s="705" t="s">
        <v>21</v>
      </c>
      <c r="M31" s="639" t="s">
        <v>22</v>
      </c>
      <c r="N31" s="638" t="s">
        <v>7</v>
      </c>
      <c r="O31" s="639" t="s">
        <v>23</v>
      </c>
    </row>
    <row r="32" spans="2:15" x14ac:dyDescent="0.35">
      <c r="B32" s="602" t="s">
        <v>115</v>
      </c>
      <c r="C32" s="340" t="s">
        <v>10</v>
      </c>
      <c r="D32" s="643" t="b">
        <f>+D23+'Reporte Componentes R1'!F47+'Rem. Anticipos R2'!E42+'Reversion Pagos R4'!D71+'Reporte Componentes R1'!F49=D9</f>
        <v>1</v>
      </c>
      <c r="E32" s="643" t="b">
        <f>+E23+'Reporte Componentes R1'!G47+'Rem. Anticipos R2'!F42+'Reversion Pagos R4'!E71+'Reporte Componentes R1'!G49=E9</f>
        <v>1</v>
      </c>
      <c r="F32" s="643" t="b">
        <f>+F23+'Reporte Componentes R1'!H47+'Rem. Anticipos R2'!G42+'Reversion Pagos R4'!F71+'Reporte Componentes R1'!H49=F9</f>
        <v>1</v>
      </c>
      <c r="G32" s="643" t="b">
        <f>+G23+'Reporte Componentes R1'!I47+'Rem. Anticipos R2'!H42+'Reversion Pagos R4'!G71+'Reporte Componentes R1'!I49=G9</f>
        <v>1</v>
      </c>
      <c r="H32" s="643" t="b">
        <f>+H23+'Reporte Componentes R1'!J47+'Rem. Anticipos R2'!I42+'Reversion Pagos R4'!H71+'Reporte Componentes R1'!J49=H9</f>
        <v>1</v>
      </c>
      <c r="I32" s="643" t="b">
        <f>+I23+'Reporte Componentes R1'!K47+'Rem. Anticipos R2'!J42+'Reversion Pagos R4'!I71+'Reporte Componentes R1'!K49=I9</f>
        <v>1</v>
      </c>
      <c r="J32" s="643" t="b">
        <f>+'BCE SC POR FACT.'!F3+J23=J9</f>
        <v>1</v>
      </c>
      <c r="K32" s="643" t="b">
        <f>('Reporte Componentes R1'!F47+'Rem. Anticipos R2'!E42+'Reversion Pagos R4'!D71+'Reporte Componentes R1'!F49-('Reporte Componentes R1'!G47+'Rem. Anticipos R2'!F42+'Reversion Pagos R4'!E71+'Reporte Componentes R1'!G49+'Reporte Componentes R1'!H47+'Rem. Anticipos R2'!G42+'Reversion Pagos R4'!F71+'Reporte Componentes R1'!H49+'Reporte Componentes R1'!I47+'Rem. Anticipos R2'!H42+'Reversion Pagos R4'!G71+'Reporte Componentes R1'!I49+'Reporte Componentes R1'!J47+'Rem. Anticipos R2'!I42+'Reversion Pagos R4'!H71+'Reporte Componentes R1'!J49+'Reporte Componentes R1'!K47+'Rem. Anticipos R2'!J42+'Reversion Pagos R4'!I71+'Reporte Componentes R1'!K49+'BCE SC POR FACT.'!F3)+K23)=K9</f>
        <v>1</v>
      </c>
      <c r="L32" s="694" t="b">
        <f>INTERVENTORIA!N26+L23=L9</f>
        <v>1</v>
      </c>
      <c r="M32" s="640" t="b">
        <f>((('Reporte Componentes R1'!F47+'Rem. Anticipos R2'!E42+'Reversion Pagos R4'!D71+'Reporte Componentes R1'!F49-('Reporte Componentes R1'!G47+'Rem. Anticipos R2'!F42+'Reversion Pagos R4'!E71+'Reporte Componentes R1'!G49+'Reporte Componentes R1'!H47+'Rem. Anticipos R2'!G42+'Reversion Pagos R4'!F71+'Reporte Componentes R1'!H49+'Reporte Componentes R1'!I47+'Rem. Anticipos R2'!H42+'Reversion Pagos R4'!G71+'Reporte Componentes R1'!I49+'Reporte Componentes R1'!J47+'Rem. Anticipos R2'!I42+'Reversion Pagos R4'!H71+'Reporte Componentes R1'!J49+'Reporte Componentes R1'!K47+'Rem. Anticipos R2'!J42+'Reversion Pagos R4'!I71+'Reporte Componentes R1'!K49+'BCE SC POR FACT.'!F3))-INTERVENTORIA!N26)+M23)=M9</f>
        <v>1</v>
      </c>
      <c r="N32" s="640" t="b">
        <f>'Reporte Componentes R1'!L47+'Rem. Anticipos R2'!K42+'Reversion Pagos R4'!P71+'Reporte Componentes R1'!L49+N23=N9</f>
        <v>1</v>
      </c>
      <c r="O32" s="640" t="b">
        <f>((('Reporte Componentes R1'!F47+'Rem. Anticipos R2'!E42+'Reversion Pagos R4'!D71+'Reporte Componentes R1'!F49-('Reporte Componentes R1'!G47+'Rem. Anticipos R2'!F42+'Reversion Pagos R4'!E71+'Reporte Componentes R1'!G49+'Reporte Componentes R1'!H47+'Rem. Anticipos R2'!G42+'Reversion Pagos R4'!F71+'Reporte Componentes R1'!H49+'Reporte Componentes R1'!I47+'Rem. Anticipos R2'!H42+'Reversion Pagos R4'!G71+'Reporte Componentes R1'!I49+'Reporte Componentes R1'!J47+'Rem. Anticipos R2'!I42+'Reversion Pagos R4'!H71+'Reporte Componentes R1'!J49+'Reporte Componentes R1'!K47+'Rem. Anticipos R2'!J42+'Reversion Pagos R4'!I71+'Reporte Componentes R1'!K49+'BCE SC POR FACT.'!F3))-INTERVENTORIA!N26))+'Reporte Componentes R1'!L47+'Rem. Anticipos R2'!K42+'Reversion Pagos R4'!P71+'Reporte Componentes R1'!L49+O23=O9</f>
        <v>1</v>
      </c>
    </row>
    <row r="33" spans="2:15" x14ac:dyDescent="0.35">
      <c r="B33" s="602" t="s">
        <v>116</v>
      </c>
      <c r="C33" s="340" t="s">
        <v>11</v>
      </c>
      <c r="D33" s="643" t="b">
        <f>+D24+'Reporte Componentes R1'!F181+'Rem. Anticipos R2'!E135+'Reversion Pagos R4'!D160+'Reporte Componentes R1'!F183=D10</f>
        <v>1</v>
      </c>
      <c r="E33" s="643" t="b">
        <f>+E24+'Reporte Componentes R1'!G181+'Rem. Anticipos R2'!F135+'Reversion Pagos R4'!E160+'Reporte Componentes R1'!G183=E10</f>
        <v>1</v>
      </c>
      <c r="F33" s="643" t="b">
        <f>+F24+'Reporte Componentes R1'!H181+'Rem. Anticipos R2'!G135+'Reversion Pagos R4'!F160+'Reporte Componentes R1'!H183=F10</f>
        <v>1</v>
      </c>
      <c r="G33" s="643" t="b">
        <f>+G24+'Reporte Componentes R1'!I181+'Rem. Anticipos R2'!H135+'Reversion Pagos R4'!G160+'Reporte Componentes R1'!I183=G10</f>
        <v>1</v>
      </c>
      <c r="H33" s="643" t="b">
        <f>+H24+'Reporte Componentes R1'!J181+'Rem. Anticipos R2'!I135+'Reversion Pagos R4'!H160+'Reporte Componentes R1'!J183=H10</f>
        <v>1</v>
      </c>
      <c r="I33" s="643" t="b">
        <f>+I24+'Reporte Componentes R1'!K181+'Rem. Anticipos R2'!J135+'Reversion Pagos R4'!I160+'Reporte Componentes R1'!K183=I10</f>
        <v>1</v>
      </c>
      <c r="J33" s="643" t="b">
        <f>+'BCE SC POR FACT.'!F4+J24=J10</f>
        <v>1</v>
      </c>
      <c r="K33" s="640" t="b">
        <f>('Reporte Componentes R1'!F181+'Rem. Anticipos R2'!E135+'Reversion Pagos R4'!D160+'Reporte Componentes R1'!F183-('Reporte Componentes R1'!G181+'Rem. Anticipos R2'!F135+'Reversion Pagos R4'!E160+'Reporte Componentes R1'!G183+'Reporte Componentes R1'!H181+'Rem. Anticipos R2'!G135+'Reversion Pagos R4'!F160+'Reporte Componentes R1'!H183+'Reporte Componentes R1'!I181+'Rem. Anticipos R2'!H135+'Reversion Pagos R4'!G160+'Reporte Componentes R1'!I183+'Reporte Componentes R1'!J181+'Rem. Anticipos R2'!I135+'Reversion Pagos R4'!H160+'Reporte Componentes R1'!J183+'Reporte Componentes R1'!K181+'Rem. Anticipos R2'!J135+'Reversion Pagos R4'!I160+'Reporte Componentes R1'!K183+'BCE SC POR FACT.'!F4)+K24)=K10</f>
        <v>1</v>
      </c>
      <c r="L33" s="694" t="b">
        <f>INTERVENTORIA!N27+L24=L10</f>
        <v>1</v>
      </c>
      <c r="M33" s="640" t="b">
        <f>((('Reporte Componentes R1'!F181+'Rem. Anticipos R2'!E135+'Reversion Pagos R4'!D160+'Reporte Componentes R1'!F183-('Reporte Componentes R1'!G181+'Rem. Anticipos R2'!F135+'Reversion Pagos R4'!E160+'Reporte Componentes R1'!G183+'Reporte Componentes R1'!H181+'Rem. Anticipos R2'!G135+'Reversion Pagos R4'!F160+'Reporte Componentes R1'!H183+'Reporte Componentes R1'!I181+'Rem. Anticipos R2'!H135+'Reversion Pagos R4'!G160+'Reporte Componentes R1'!I183+'Reporte Componentes R1'!J181+'Rem. Anticipos R2'!I135+'Reversion Pagos R4'!H160+'Reporte Componentes R1'!J183+'Reporte Componentes R1'!K181+'Rem. Anticipos R2'!J135+'Reversion Pagos R4'!I160+'Reporte Componentes R1'!K183+'BCE SC POR FACT.'!F4))+M24)-INTERVENTORIA!N27)=M10</f>
        <v>1</v>
      </c>
      <c r="N33" s="640" t="b">
        <f>+'Reporte Componentes R1'!L181+'Rem. Anticipos R2'!K135+'Reversion Pagos R4'!P160+'Reporte Componentes R1'!L183+N24=N10</f>
        <v>1</v>
      </c>
      <c r="O33" s="640" t="b">
        <f>((('Reporte Componentes R1'!F181+'Rem. Anticipos R2'!E135+'Reversion Pagos R4'!D160+'Reporte Componentes R1'!F183-('Reporte Componentes R1'!G181+'Rem. Anticipos R2'!F135+'Reversion Pagos R4'!E160+'Reporte Componentes R1'!G183+'Reporte Componentes R1'!H181+'Rem. Anticipos R2'!G135+'Reversion Pagos R4'!F160+'Reporte Componentes R1'!H183+'Reporte Componentes R1'!I181+'Rem. Anticipos R2'!H135+'Reversion Pagos R4'!G160+'Reporte Componentes R1'!I183+'Reporte Componentes R1'!J181+'Rem. Anticipos R2'!I135+'Reversion Pagos R4'!H160+'Reporte Componentes R1'!J183+'Reporte Componentes R1'!K181+'Rem. Anticipos R2'!J135+'Reversion Pagos R4'!I160+'Reporte Componentes R1'!K183+'BCE SC POR FACT.'!F4)))-INTERVENTORIA!N27)+O24+'Reporte Componentes R1'!L181+'Rem. Anticipos R2'!K135+'Reversion Pagos R4'!P160+'Reporte Componentes R1'!L183=O10</f>
        <v>1</v>
      </c>
    </row>
    <row r="34" spans="2:15" x14ac:dyDescent="0.35">
      <c r="B34" s="602" t="s">
        <v>117</v>
      </c>
      <c r="C34" s="340" t="s">
        <v>12</v>
      </c>
      <c r="D34" s="643" t="b">
        <f>+'Reporte Componentes R1'!F325+'Reporte Componentes R1'!F327+'Rem. Anticipos R2'!E248+'Reversion Pagos R4'!D196+D25=D11</f>
        <v>1</v>
      </c>
      <c r="E34" s="643" t="b">
        <f>+'Reporte Componentes R1'!G325+'Reporte Componentes R1'!G327+'Rem. Anticipos R2'!F248+'Reversion Pagos R4'!E196+E25=E11</f>
        <v>1</v>
      </c>
      <c r="F34" s="643" t="b">
        <f>+'Reporte Componentes R1'!H325+'Reporte Componentes R1'!H327+'Rem. Anticipos R2'!G248+'Reversion Pagos R4'!F196+F25=F11</f>
        <v>1</v>
      </c>
      <c r="G34" s="643" t="b">
        <f>+'Reporte Componentes R1'!I325+'Reporte Componentes R1'!I327+'Rem. Anticipos R2'!H248+'Reversion Pagos R4'!G196+G25=G11</f>
        <v>1</v>
      </c>
      <c r="H34" s="643" t="b">
        <f>+'Reporte Componentes R1'!J325+'Reporte Componentes R1'!J327+'Rem. Anticipos R2'!I248+'Reversion Pagos R4'!H196+H25=H11</f>
        <v>1</v>
      </c>
      <c r="I34" s="643" t="b">
        <f>+'Reporte Componentes R1'!K325+'Reporte Componentes R1'!K327+'Rem. Anticipos R2'!J248+'Reversion Pagos R4'!I196+I25=I11</f>
        <v>1</v>
      </c>
      <c r="J34" s="643" t="b">
        <f>+'BCE SC POR FACT.'!F5+J25=J11</f>
        <v>1</v>
      </c>
      <c r="K34" s="640" t="b">
        <f>+'Reporte Componentes R1'!F325+'Reporte Componentes R1'!F327+'Rem. Anticipos R2'!E248+'Reversion Pagos R4'!D196-('Reporte Componentes R1'!G325+'Reporte Componentes R1'!G327+'Rem. Anticipos R2'!F248+'Reversion Pagos R4'!E196+'Reporte Componentes R1'!H325+'Reporte Componentes R1'!H327+'Rem. Anticipos R2'!G248+'Reversion Pagos R4'!F196+'Reporte Componentes R1'!I325+'Reporte Componentes R1'!I327+'Rem. Anticipos R2'!H248+'Reversion Pagos R4'!G196+'Reporte Componentes R1'!J325+'Reporte Componentes R1'!J327+'Rem. Anticipos R2'!I248+'Reversion Pagos R4'!H196+'Reporte Componentes R1'!K325+'Reporte Componentes R1'!K327+'Rem. Anticipos R2'!J248+'Reversion Pagos R4'!I196+'BCE SC POR FACT.'!F5)+K25=K11</f>
        <v>1</v>
      </c>
      <c r="L34" s="694" t="b">
        <f>INTERVENTORIA!N28+L25=L11</f>
        <v>1</v>
      </c>
      <c r="M34" s="640" t="b">
        <f>((('Reporte Componentes R1'!F325+'Reporte Componentes R1'!F327+'Rem. Anticipos R2'!E248+'Reversion Pagos R4'!D196-('Reporte Componentes R1'!G325+'Reporte Componentes R1'!G327+'Rem. Anticipos R2'!F248+'Reversion Pagos R4'!E196+'Reporte Componentes R1'!H325+'Reporte Componentes R1'!H327+'Rem. Anticipos R2'!G248+'Reversion Pagos R4'!F196+'Reporte Componentes R1'!I325+'Reporte Componentes R1'!I327+'Rem. Anticipos R2'!H248+'Reversion Pagos R4'!G196+'Reporte Componentes R1'!J325+'Reporte Componentes R1'!J327+'Rem. Anticipos R2'!I248+'Reversion Pagos R4'!H196+'Reporte Componentes R1'!K325+'Reporte Componentes R1'!K327+'Rem. Anticipos R2'!J248+'Reversion Pagos R4'!I196+'BCE SC POR FACT.'!F5))+M25)-INTERVENTORIA!N28)=M11</f>
        <v>1</v>
      </c>
      <c r="N34" s="640" t="b">
        <f>+'Reporte Componentes R1'!L325+'Reporte Componentes R1'!L327+'Rem. Anticipos R2'!K248+'Reversion Pagos R4'!P196+N25=N11</f>
        <v>1</v>
      </c>
      <c r="O34" s="640" t="b">
        <f>((('Reporte Componentes R1'!F325+'Reporte Componentes R1'!F327+'Rem. Anticipos R2'!E248+'Reversion Pagos R4'!D196-('Reporte Componentes R1'!G325+'Reporte Componentes R1'!G327+'Rem. Anticipos R2'!F248+'Reversion Pagos R4'!E196+'Reporte Componentes R1'!H325+'Reporte Componentes R1'!H327+'Rem. Anticipos R2'!G248+'Reversion Pagos R4'!F196+'Reporte Componentes R1'!I325+'Reporte Componentes R1'!I327+'Rem. Anticipos R2'!H248+'Reversion Pagos R4'!G196+'Reporte Componentes R1'!J325+'Reporte Componentes R1'!J327+'Rem. Anticipos R2'!I248+'Reversion Pagos R4'!H196+'Reporte Componentes R1'!K325+'Reporte Componentes R1'!K327+'Rem. Anticipos R2'!J248+'Reversion Pagos R4'!I196+'BCE SC POR FACT.'!F5)))-INTERVENTORIA!N28)++'Reporte Componentes R1'!L325+'Reporte Componentes R1'!L327+'Rem. Anticipos R2'!K248+'Reversion Pagos R4'!P196+O25=O11</f>
        <v>1</v>
      </c>
    </row>
    <row r="35" spans="2:15" x14ac:dyDescent="0.35">
      <c r="B35" s="602" t="s">
        <v>246</v>
      </c>
      <c r="C35" s="340" t="s">
        <v>13</v>
      </c>
      <c r="D35" s="643" t="b">
        <f>+'Reporte Componentes R1'!F458+'Reporte Componentes R1'!F460+'Rem. Anticipos R2'!E344+'Reversion Pagos R4'!D310+D26=D12</f>
        <v>1</v>
      </c>
      <c r="E35" s="643" t="b">
        <f>+'Reporte Componentes R1'!G458+'Reporte Componentes R1'!G460+'Rem. Anticipos R2'!F344+'Reversion Pagos R4'!E310+E26=E12</f>
        <v>1</v>
      </c>
      <c r="F35" s="643" t="b">
        <f>+'Reporte Componentes R1'!H458+'Reporte Componentes R1'!H460+'Rem. Anticipos R2'!G344+'Reversion Pagos R4'!F310+F26=F12</f>
        <v>1</v>
      </c>
      <c r="G35" s="643" t="b">
        <f>+'Reporte Componentes R1'!I458+'Reporte Componentes R1'!I460+'Rem. Anticipos R2'!H344+'Reversion Pagos R4'!G310+G26=G12</f>
        <v>1</v>
      </c>
      <c r="H35" s="643" t="b">
        <f>+'Reporte Componentes R1'!J458+'Reporte Componentes R1'!J460+'Rem. Anticipos R2'!I344+'Reversion Pagos R4'!H310+H26=H12</f>
        <v>1</v>
      </c>
      <c r="I35" s="643" t="b">
        <f>+'Reporte Componentes R1'!K458+'Reporte Componentes R1'!K460+'Rem. Anticipos R2'!J344+'Reversion Pagos R4'!I310+I26=I12</f>
        <v>1</v>
      </c>
      <c r="J35" s="643" t="b">
        <f>+J26+'BCE SC POR FACT.'!F6=J12</f>
        <v>1</v>
      </c>
      <c r="K35" s="640" t="b">
        <f>+'Reporte Componentes R1'!F458+'Reporte Componentes R1'!F460+'Rem. Anticipos R2'!E344+'Reversion Pagos R4'!D310-('Reporte Componentes R1'!G458+'Reporte Componentes R1'!G460+'Rem. Anticipos R2'!F344+'Reversion Pagos R4'!E310+'Reporte Componentes R1'!H458+'Reporte Componentes R1'!H460+'Rem. Anticipos R2'!G344+'Reversion Pagos R4'!F310+'Reporte Componentes R1'!I458+'Reporte Componentes R1'!I460+'Rem. Anticipos R2'!H344+'Reversion Pagos R4'!G310+'Reporte Componentes R1'!J458+'Reporte Componentes R1'!J460+'Rem. Anticipos R2'!I344+'Reversion Pagos R4'!H310+'Reporte Componentes R1'!K458+'Reporte Componentes R1'!K460+'Rem. Anticipos R2'!J344+'Reversion Pagos R4'!I310+'BCE SC POR FACT.'!F6)+K26=K12</f>
        <v>1</v>
      </c>
      <c r="L35" s="694" t="b">
        <f>INTERVENTORIA!N29+L26=L12</f>
        <v>1</v>
      </c>
      <c r="M35" s="640" t="b">
        <f>((('Reporte Componentes R1'!F458+'Reporte Componentes R1'!F460+'Rem. Anticipos R2'!E344+'Reversion Pagos R4'!D310-('Reporte Componentes R1'!G458+'Reporte Componentes R1'!G460+'Rem. Anticipos R2'!F344+'Reversion Pagos R4'!E310+'Reporte Componentes R1'!H458+'Reporte Componentes R1'!H460+'Rem. Anticipos R2'!G344+'Reversion Pagos R4'!F310+'Reporte Componentes R1'!I458+'Reporte Componentes R1'!I460+'Rem. Anticipos R2'!H344+'Reversion Pagos R4'!G310+'Reporte Componentes R1'!J458+'Reporte Componentes R1'!J460+'Rem. Anticipos R2'!I344+'Reversion Pagos R4'!H310+'Reporte Componentes R1'!K458+'Reporte Componentes R1'!K460+'Rem. Anticipos R2'!J344+'Reversion Pagos R4'!I310+'BCE SC POR FACT.'!F6))+M26)-INTERVENTORIA!N29)=M12</f>
        <v>1</v>
      </c>
      <c r="N35" s="640" t="b">
        <f>+'Reporte Componentes R1'!L458+'Reporte Componentes R1'!L460+'Rem. Anticipos R2'!K344+'Reversion Pagos R4'!P310+N26=N12</f>
        <v>1</v>
      </c>
      <c r="O35" s="640" t="b">
        <f>((('Reporte Componentes R1'!F458+'Reporte Componentes R1'!F460+'Rem. Anticipos R2'!E344+'Reversion Pagos R4'!D310-('Reporte Componentes R1'!G458+'Reporte Componentes R1'!G460+'Rem. Anticipos R2'!F344+'Reversion Pagos R4'!E310+'Reporte Componentes R1'!H458+'Reporte Componentes R1'!H460+'Rem. Anticipos R2'!G344+'Reversion Pagos R4'!F310+'Reporte Componentes R1'!I458+'Reporte Componentes R1'!I460+'Rem. Anticipos R2'!H344+'Reversion Pagos R4'!G310+'Reporte Componentes R1'!J458+'Reporte Componentes R1'!J460+'Rem. Anticipos R2'!I344+'Reversion Pagos R4'!H310+'Reporte Componentes R1'!K458+'Reporte Componentes R1'!K460+'Rem. Anticipos R2'!J344+'Reversion Pagos R4'!I310+'BCE SC POR FACT.'!F6)))-INTERVENTORIA!N29)+'Reporte Componentes R1'!L458+'Reporte Componentes R1'!L460+'Rem. Anticipos R2'!K344+'Reversion Pagos R4'!P310+O26=O12</f>
        <v>1</v>
      </c>
    </row>
    <row r="36" spans="2:15" x14ac:dyDescent="0.35">
      <c r="B36" s="602" t="s">
        <v>118</v>
      </c>
      <c r="C36" s="340" t="s">
        <v>14</v>
      </c>
      <c r="D36" s="643" t="b">
        <f>+D27+'Reporte Componentes R1'!F552+'Reporte Componentes R1'!F554+'Rem. Anticipos R2'!E415+'Reversion Pagos R4'!D345=D13</f>
        <v>1</v>
      </c>
      <c r="E36" s="643" t="b">
        <f>+E27+'Reporte Componentes R1'!G552+'Reporte Componentes R1'!G554+'Rem. Anticipos R2'!F415+'Reversion Pagos R4'!E345=E13</f>
        <v>1</v>
      </c>
      <c r="F36" s="643" t="b">
        <f>+F27+'Reporte Componentes R1'!H552+'Reporte Componentes R1'!H554+'Rem. Anticipos R2'!G415+'Reversion Pagos R4'!F345=F13</f>
        <v>1</v>
      </c>
      <c r="G36" s="643" t="b">
        <f>+G27+'Reporte Componentes R1'!I552+'Reporte Componentes R1'!I554+'Rem. Anticipos R2'!H415+'Reversion Pagos R4'!G345=G13</f>
        <v>1</v>
      </c>
      <c r="H36" s="643" t="b">
        <f>+H27+'Reporte Componentes R1'!J552+'Reporte Componentes R1'!J554+'Rem. Anticipos R2'!I415+'Reversion Pagos R4'!H345=H13</f>
        <v>1</v>
      </c>
      <c r="I36" s="643" t="b">
        <f>+I27+'Reporte Componentes R1'!K552+'Reporte Componentes R1'!K554+'Rem. Anticipos R2'!J415+'Reversion Pagos R4'!I345=I13</f>
        <v>1</v>
      </c>
      <c r="J36" s="643" t="b">
        <f>+'BCE SC POR FACT.'!F7+J27=J13</f>
        <v>1</v>
      </c>
      <c r="K36" s="640" t="b">
        <f>+'Reporte Componentes R1'!F552+'Reporte Componentes R1'!F554+'Rem. Anticipos R2'!E415+'Reversion Pagos R4'!D345-('Reporte Componentes R1'!G552+'Reporte Componentes R1'!G554+'Rem. Anticipos R2'!F415+'Reversion Pagos R4'!E345+'Reporte Componentes R1'!H552+'Reporte Componentes R1'!H554+'Rem. Anticipos R2'!G415+'Reversion Pagos R4'!F345+'Reporte Componentes R1'!I552+'Reporte Componentes R1'!I554+'Rem. Anticipos R2'!H415+'Reversion Pagos R4'!G345+'Reporte Componentes R1'!J552+'Reporte Componentes R1'!J554+'Rem. Anticipos R2'!I415+'Reversion Pagos R4'!H345+'Reporte Componentes R1'!K552+'Reporte Componentes R1'!K554+'Rem. Anticipos R2'!J415+'Reversion Pagos R4'!I345+'BCE SC POR FACT.'!F7)+K27=K13</f>
        <v>1</v>
      </c>
      <c r="L36" s="694" t="b">
        <f>INTERVENTORIA!N30+L27=L13</f>
        <v>1</v>
      </c>
      <c r="M36" s="640" t="b">
        <f>((('Reporte Componentes R1'!F552+'Reporte Componentes R1'!F554+'Rem. Anticipos R2'!E415+'Reversion Pagos R4'!D345-('Reporte Componentes R1'!G552+'Reporte Componentes R1'!G554+'Rem. Anticipos R2'!F415+'Reversion Pagos R4'!E345+'Reporte Componentes R1'!H552+'Reporte Componentes R1'!H554+'Rem. Anticipos R2'!G415+'Reversion Pagos R4'!F345+'Reporte Componentes R1'!I552+'Reporte Componentes R1'!I554+'Rem. Anticipos R2'!H415+'Reversion Pagos R4'!G345+'Reporte Componentes R1'!J552+'Reporte Componentes R1'!J554+'Rem. Anticipos R2'!I415+'Reversion Pagos R4'!H345+'Reporte Componentes R1'!K552+'Reporte Componentes R1'!K554+'Rem. Anticipos R2'!J415+'Reversion Pagos R4'!I345+'BCE SC POR FACT.'!F7))+M27)-INTERVENTORIA!N30)=M13</f>
        <v>1</v>
      </c>
      <c r="N36" s="640" t="b">
        <f>+'Reporte Componentes R1'!L552+'Reporte Componentes R1'!L554+'Rem. Anticipos R2'!K415+'Reversion Pagos R4'!P345+N27=N13</f>
        <v>1</v>
      </c>
      <c r="O36" s="640" t="b">
        <f>((('Reporte Componentes R1'!F552+'Reporte Componentes R1'!F554+'Rem. Anticipos R2'!E415+'Reversion Pagos R4'!D345-('Reporte Componentes R1'!G552+'Reporte Componentes R1'!G554+'Rem. Anticipos R2'!F415+'Reversion Pagos R4'!E345+'Reporte Componentes R1'!H552+'Reporte Componentes R1'!H554+'Rem. Anticipos R2'!G415+'Reversion Pagos R4'!F345+'Reporte Componentes R1'!I552+'Reporte Componentes R1'!I554+'Rem. Anticipos R2'!H415+'Reversion Pagos R4'!G345+'Reporte Componentes R1'!J552+'Reporte Componentes R1'!J554+'Rem. Anticipos R2'!I415+'Reversion Pagos R4'!H345+'Reporte Componentes R1'!K552+'Reporte Componentes R1'!K554+'Rem. Anticipos R2'!J415+'Reversion Pagos R4'!I345+'BCE SC POR FACT.'!F7)))-INTERVENTORIA!N30)+'Reporte Componentes R1'!L552+'Reporte Componentes R1'!L554+'Rem. Anticipos R2'!K415+'Reversion Pagos R4'!P345+O27=O13</f>
        <v>1</v>
      </c>
    </row>
    <row r="38" spans="2:15" x14ac:dyDescent="0.35">
      <c r="N38" s="644"/>
    </row>
    <row r="39" spans="2:15" x14ac:dyDescent="0.35">
      <c r="L39" s="693"/>
    </row>
  </sheetData>
  <conditionalFormatting sqref="D32:K36 M32:O36">
    <cfRule type="cellIs" dxfId="7" priority="1" operator="notEqual">
      <formula>TRUE</formula>
    </cfRule>
  </conditionalFormatting>
  <conditionalFormatting sqref="D23:O28">
    <cfRule type="cellIs" dxfId="6" priority="4" operator="lessThan">
      <formula>-1.5</formula>
    </cfRule>
    <cfRule type="cellIs" dxfId="5" priority="6" operator="greaterThan">
      <formula>1.5</formula>
    </cfRule>
  </conditionalFormatting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EC5F-2F5B-4020-A70E-0620EAB168D4}">
  <dimension ref="B1:P32"/>
  <sheetViews>
    <sheetView topLeftCell="G1" workbookViewId="0">
      <selection activeCell="J33" sqref="J33"/>
    </sheetView>
  </sheetViews>
  <sheetFormatPr baseColWidth="10" defaultColWidth="11.453125" defaultRowHeight="14.5" x14ac:dyDescent="0.35"/>
  <cols>
    <col min="1" max="1" width="2.7265625" style="601" customWidth="1"/>
    <col min="2" max="2" width="7.26953125" style="601" customWidth="1"/>
    <col min="3" max="3" width="42.7265625" style="601" customWidth="1"/>
    <col min="4" max="15" width="28.54296875" style="601" customWidth="1"/>
    <col min="16" max="16384" width="11.453125" style="601"/>
  </cols>
  <sheetData>
    <row r="1" spans="2:15" customFormat="1" ht="12.5" x14ac:dyDescent="0.25"/>
    <row r="2" spans="2:15" customFormat="1" ht="12.5" x14ac:dyDescent="0.25"/>
    <row r="3" spans="2:15" customFormat="1" x14ac:dyDescent="0.25">
      <c r="F3" s="653" t="s">
        <v>8</v>
      </c>
      <c r="H3" s="653" t="s">
        <v>16</v>
      </c>
      <c r="J3" s="653" t="s">
        <v>226</v>
      </c>
      <c r="K3" s="653" t="s">
        <v>339</v>
      </c>
    </row>
    <row r="4" spans="2:15" customFormat="1" x14ac:dyDescent="0.25">
      <c r="F4" s="653" t="s">
        <v>29</v>
      </c>
    </row>
    <row r="5" spans="2:15" customFormat="1" x14ac:dyDescent="0.25">
      <c r="F5" s="653" t="s">
        <v>227</v>
      </c>
    </row>
    <row r="6" spans="2:15" customFormat="1" x14ac:dyDescent="0.25">
      <c r="C6" s="653" t="s">
        <v>228</v>
      </c>
      <c r="D6" s="653" t="s">
        <v>340</v>
      </c>
      <c r="F6" s="653" t="s">
        <v>229</v>
      </c>
    </row>
    <row r="7" spans="2:15" customFormat="1" x14ac:dyDescent="0.25">
      <c r="C7" s="653" t="s">
        <v>230</v>
      </c>
      <c r="D7" s="653" t="s">
        <v>341</v>
      </c>
      <c r="F7" s="653" t="s">
        <v>27</v>
      </c>
      <c r="G7" s="653" t="s">
        <v>342</v>
      </c>
      <c r="I7" s="653" t="s">
        <v>231</v>
      </c>
      <c r="J7" s="653" t="s">
        <v>343</v>
      </c>
    </row>
    <row r="8" spans="2:15" customFormat="1" ht="43.5" x14ac:dyDescent="0.25">
      <c r="B8" s="654" t="s">
        <v>3</v>
      </c>
      <c r="C8" s="654" t="s">
        <v>232</v>
      </c>
      <c r="D8" s="654" t="s">
        <v>249</v>
      </c>
      <c r="E8" s="654" t="s">
        <v>250</v>
      </c>
      <c r="F8" s="654" t="s">
        <v>251</v>
      </c>
      <c r="G8" s="654" t="s">
        <v>252</v>
      </c>
      <c r="H8" s="654" t="s">
        <v>253</v>
      </c>
      <c r="I8" s="654" t="s">
        <v>254</v>
      </c>
      <c r="J8" s="654" t="s">
        <v>255</v>
      </c>
      <c r="K8" s="654" t="s">
        <v>243</v>
      </c>
      <c r="L8" s="654" t="s">
        <v>256</v>
      </c>
      <c r="M8" s="654" t="s">
        <v>257</v>
      </c>
      <c r="N8" s="654" t="s">
        <v>244</v>
      </c>
      <c r="O8" s="654" t="s">
        <v>258</v>
      </c>
    </row>
    <row r="9" spans="2:15" customFormat="1" ht="12.5" x14ac:dyDescent="0.25">
      <c r="B9" s="633" t="s">
        <v>115</v>
      </c>
      <c r="C9" s="633" t="s">
        <v>10</v>
      </c>
      <c r="D9" s="634">
        <v>1599792140</v>
      </c>
      <c r="E9" s="634">
        <v>1528705401</v>
      </c>
      <c r="F9" s="634">
        <v>7192055639</v>
      </c>
      <c r="G9" s="634">
        <v>2730289263</v>
      </c>
      <c r="H9" s="634">
        <v>297320755</v>
      </c>
      <c r="I9" s="634">
        <v>-189185987</v>
      </c>
      <c r="J9" s="634">
        <v>-46493</v>
      </c>
      <c r="K9" s="634">
        <v>30635670</v>
      </c>
      <c r="L9" s="634">
        <v>-2797480526</v>
      </c>
      <c r="M9" s="634">
        <v>-5386816242</v>
      </c>
      <c r="N9" s="634">
        <v>7802750145</v>
      </c>
      <c r="O9" s="634">
        <v>0</v>
      </c>
    </row>
    <row r="10" spans="2:15" customFormat="1" ht="12.5" x14ac:dyDescent="0.25">
      <c r="B10" s="633" t="s">
        <v>116</v>
      </c>
      <c r="C10" s="633" t="s">
        <v>11</v>
      </c>
      <c r="D10" s="634">
        <v>1338675875</v>
      </c>
      <c r="E10" s="634">
        <v>1326046282</v>
      </c>
      <c r="F10" s="634">
        <v>6214923337</v>
      </c>
      <c r="G10" s="634">
        <v>2154507356</v>
      </c>
      <c r="H10" s="634">
        <v>249017603</v>
      </c>
      <c r="I10" s="634">
        <v>-266580255</v>
      </c>
      <c r="J10" s="634">
        <v>4616</v>
      </c>
      <c r="K10" s="634">
        <v>43616074</v>
      </c>
      <c r="L10" s="634">
        <v>-3799150269</v>
      </c>
      <c r="M10" s="634">
        <v>1294109528</v>
      </c>
      <c r="N10" s="634">
        <v>12354320415</v>
      </c>
      <c r="O10" s="634">
        <v>0</v>
      </c>
    </row>
    <row r="11" spans="2:15" customFormat="1" ht="12.5" x14ac:dyDescent="0.25">
      <c r="B11" s="633" t="s">
        <v>117</v>
      </c>
      <c r="C11" s="633" t="s">
        <v>245</v>
      </c>
      <c r="D11" s="634">
        <v>900404437</v>
      </c>
      <c r="E11" s="634">
        <v>880251836</v>
      </c>
      <c r="F11" s="634">
        <v>4143016466</v>
      </c>
      <c r="G11" s="634">
        <v>1683861343</v>
      </c>
      <c r="H11" s="634">
        <v>167421357</v>
      </c>
      <c r="I11" s="634">
        <v>-154788535</v>
      </c>
      <c r="J11" s="634">
        <v>46663</v>
      </c>
      <c r="K11" s="634">
        <v>25562528</v>
      </c>
      <c r="L11" s="634">
        <v>-1394589655</v>
      </c>
      <c r="M11" s="634">
        <v>-164192657</v>
      </c>
      <c r="N11" s="634">
        <v>7481583438</v>
      </c>
      <c r="O11" s="634">
        <v>0</v>
      </c>
    </row>
    <row r="12" spans="2:15" customFormat="1" ht="12.5" x14ac:dyDescent="0.25">
      <c r="B12" s="633" t="s">
        <v>246</v>
      </c>
      <c r="C12" s="633" t="s">
        <v>13</v>
      </c>
      <c r="D12" s="634">
        <v>863496515</v>
      </c>
      <c r="E12" s="634">
        <v>850915239</v>
      </c>
      <c r="F12" s="634">
        <v>4336930906</v>
      </c>
      <c r="G12" s="634">
        <v>1725012319</v>
      </c>
      <c r="H12" s="634">
        <v>160878230</v>
      </c>
      <c r="I12" s="634">
        <v>-120391083</v>
      </c>
      <c r="J12" s="634">
        <v>-64129</v>
      </c>
      <c r="K12" s="634">
        <v>23185408</v>
      </c>
      <c r="L12" s="634">
        <v>-582296951</v>
      </c>
      <c r="M12" s="634">
        <v>-620430857</v>
      </c>
      <c r="N12" s="634">
        <v>7219532548</v>
      </c>
      <c r="O12" s="634">
        <v>0</v>
      </c>
    </row>
    <row r="13" spans="2:15" customFormat="1" ht="12.5" x14ac:dyDescent="0.25">
      <c r="B13" s="633" t="s">
        <v>118</v>
      </c>
      <c r="C13" s="633" t="s">
        <v>14</v>
      </c>
      <c r="D13" s="634">
        <v>661834830</v>
      </c>
      <c r="E13" s="634">
        <v>643876202</v>
      </c>
      <c r="F13" s="634">
        <v>3304216945</v>
      </c>
      <c r="G13" s="634">
        <v>1500679344</v>
      </c>
      <c r="H13" s="634">
        <v>123096145</v>
      </c>
      <c r="I13" s="634">
        <v>-128990445</v>
      </c>
      <c r="J13" s="634">
        <v>-16688</v>
      </c>
      <c r="K13" s="634">
        <v>32575938</v>
      </c>
      <c r="L13" s="634">
        <v>-191300783</v>
      </c>
      <c r="M13" s="634">
        <v>1032799907</v>
      </c>
      <c r="N13" s="634">
        <v>7170072177</v>
      </c>
      <c r="O13" s="634">
        <v>0</v>
      </c>
    </row>
    <row r="14" spans="2:15" customFormat="1" ht="12.5" x14ac:dyDescent="0.25">
      <c r="B14" s="633" t="s">
        <v>247</v>
      </c>
      <c r="C14" s="633" t="s">
        <v>70</v>
      </c>
      <c r="D14" s="634">
        <v>5364203797</v>
      </c>
      <c r="E14" s="634">
        <v>5229794960</v>
      </c>
      <c r="F14" s="634">
        <v>25191143293</v>
      </c>
      <c r="G14" s="634">
        <v>9794349625</v>
      </c>
      <c r="H14" s="634">
        <v>997734090</v>
      </c>
      <c r="I14" s="634">
        <v>-859936305</v>
      </c>
      <c r="J14" s="634">
        <v>-76031</v>
      </c>
      <c r="K14" s="634">
        <v>155575618</v>
      </c>
      <c r="L14" s="634">
        <v>-8764818184</v>
      </c>
      <c r="M14" s="634">
        <v>-3844530321</v>
      </c>
      <c r="N14" s="634">
        <v>42028258723</v>
      </c>
      <c r="O14" s="634">
        <v>0</v>
      </c>
    </row>
    <row r="16" spans="2:15" x14ac:dyDescent="0.35">
      <c r="B16" s="602" t="s">
        <v>115</v>
      </c>
      <c r="C16" s="602" t="s">
        <v>10</v>
      </c>
      <c r="D16" s="640">
        <f>D9-'CONSOLIDADO_TOTAL RECAUDO'!U104</f>
        <v>-0.13000011444091797</v>
      </c>
      <c r="E16" s="640">
        <f>E9-'CONSOLIDADO_TOTAL RECAUDO'!V104</f>
        <v>0.12000012397766113</v>
      </c>
      <c r="F16" s="640">
        <f>F9-'CONSOLIDADO_TOTAL RECAUDO'!W104</f>
        <v>0.15999984741210938</v>
      </c>
      <c r="G16" s="640">
        <f>G9-'CONSOLIDADO_TOTAL RECAUDO'!X104</f>
        <v>0.12999963760375977</v>
      </c>
      <c r="H16" s="640">
        <f>H9-'CONSOLIDADO_TOTAL RECAUDO'!Y104</f>
        <v>9.9999904632568359E-3</v>
      </c>
      <c r="I16" s="640">
        <f>I9-'CONSOLIDADO_TOTAL RECAUDO'!Z104</f>
        <v>0</v>
      </c>
      <c r="J16" s="640">
        <f>J9-'CONSOLIDADO_TOTAL RECAUDO'!AA104-'CONSOLIDADO_TOTAL RECAUDO'!AC104</f>
        <v>-0.11000000000262844</v>
      </c>
      <c r="K16" s="640">
        <f>K9-'CONSOLIDADO_TOTAL RECAUDO'!AB104</f>
        <v>0.42000000178813934</v>
      </c>
      <c r="L16" s="640">
        <f>L9-'CONSOLIDADO_TOTAL RECAUDO'!AE104</f>
        <v>-0.34999990463256836</v>
      </c>
      <c r="M16" s="640">
        <f>M9-'CONSOLIDADO_TOTAL RECAUDO'!AD104</f>
        <v>0.19000053405761719</v>
      </c>
      <c r="N16" s="640">
        <f>N9-'CONSOLIDADO_TOTAL RECAUDO'!AF104</f>
        <v>-0.21000099182128906</v>
      </c>
      <c r="O16" s="640">
        <f>O9-'CONSOLIDADO_TOTAL RECAUDO'!AG104</f>
        <v>0</v>
      </c>
    </row>
    <row r="17" spans="2:16" x14ac:dyDescent="0.35">
      <c r="B17" s="602" t="s">
        <v>116</v>
      </c>
      <c r="C17" s="602" t="s">
        <v>11</v>
      </c>
      <c r="D17" s="640">
        <f>D10-'CONSOLIDADO_TOTAL RECAUDO'!U105</f>
        <v>0.23000025749206543</v>
      </c>
      <c r="E17" s="640">
        <f>E10-'CONSOLIDADO_TOTAL RECAUDO'!V105</f>
        <v>0.16000008583068848</v>
      </c>
      <c r="F17" s="640">
        <f>F10-'CONSOLIDADO_TOTAL RECAUDO'!W105</f>
        <v>5.9999465942382813E-2</v>
      </c>
      <c r="G17" s="640">
        <f>G10-'CONSOLIDADO_TOTAL RECAUDO'!X105</f>
        <v>0.43000030517578125</v>
      </c>
      <c r="H17" s="640">
        <f>H10-'CONSOLIDADO_TOTAL RECAUDO'!Y105</f>
        <v>-0.29999998211860657</v>
      </c>
      <c r="I17" s="640">
        <f>I10-'CONSOLIDADO_TOTAL RECAUDO'!Z105</f>
        <v>0</v>
      </c>
      <c r="J17" s="640">
        <f>J10-'CONSOLIDADO_TOTAL RECAUDO'!AA105-'CONSOLIDADO_TOTAL RECAUDO'!AC105</f>
        <v>0.12000000000261934</v>
      </c>
      <c r="K17" s="640">
        <f>K10-'CONSOLIDADO_TOTAL RECAUDO'!AB105</f>
        <v>0.2800000011920929</v>
      </c>
      <c r="L17" s="640">
        <f>L10-'CONSOLIDADO_TOTAL RECAUDO'!AE105</f>
        <v>0.12999963760375977</v>
      </c>
      <c r="M17" s="640">
        <f>M10-'CONSOLIDADO_TOTAL RECAUDO'!AD105</f>
        <v>-8.9999675750732422E-2</v>
      </c>
      <c r="N17" s="640">
        <f>N10-'CONSOLIDADO_TOTAL RECAUDO'!AF105</f>
        <v>-0.10999679565429688</v>
      </c>
      <c r="O17" s="640">
        <f>O10-'CONSOLIDADO_TOTAL RECAUDO'!AG105</f>
        <v>0</v>
      </c>
    </row>
    <row r="18" spans="2:16" x14ac:dyDescent="0.35">
      <c r="B18" s="602" t="s">
        <v>117</v>
      </c>
      <c r="C18" s="602" t="s">
        <v>245</v>
      </c>
      <c r="D18" s="640">
        <f>D11-'CONSOLIDADO_TOTAL RECAUDO'!U106</f>
        <v>-5.000007152557373E-2</v>
      </c>
      <c r="E18" s="640">
        <f>E11-'CONSOLIDADO_TOTAL RECAUDO'!V106</f>
        <v>2.9999852180480957E-2</v>
      </c>
      <c r="F18" s="640">
        <f>F11-'CONSOLIDADO_TOTAL RECAUDO'!W106</f>
        <v>0.20000028610229492</v>
      </c>
      <c r="G18" s="640">
        <f>G11-'CONSOLIDADO_TOTAL RECAUDO'!X106</f>
        <v>-0.17999982833862305</v>
      </c>
      <c r="H18" s="640">
        <f>H11-'CONSOLIDADO_TOTAL RECAUDO'!Y106</f>
        <v>0</v>
      </c>
      <c r="I18" s="640">
        <f>I11-'CONSOLIDADO_TOTAL RECAUDO'!Z106</f>
        <v>0</v>
      </c>
      <c r="J18" s="640">
        <f>J11-'CONSOLIDADO_TOTAL RECAUDO'!AA106-'CONSOLIDADO_TOTAL RECAUDO'!AC106</f>
        <v>0.53000000000000025</v>
      </c>
      <c r="K18" s="640">
        <f>K11-'CONSOLIDADO_TOTAL RECAUDO'!AB106</f>
        <v>-0.48000000044703484</v>
      </c>
      <c r="L18" s="640">
        <f>L11-'CONSOLIDADO_TOTAL RECAUDO'!AE106</f>
        <v>0.40999984741210938</v>
      </c>
      <c r="M18" s="640">
        <f>M11-'CONSOLIDADO_TOTAL RECAUDO'!AD106</f>
        <v>-2.9999971389770508E-2</v>
      </c>
      <c r="N18" s="640">
        <f>N11-'CONSOLIDADO_TOTAL RECAUDO'!AF106</f>
        <v>2.0000457763671875E-2</v>
      </c>
      <c r="O18" s="640">
        <f>O11-'CONSOLIDADO_TOTAL RECAUDO'!AG106</f>
        <v>0</v>
      </c>
    </row>
    <row r="19" spans="2:16" x14ac:dyDescent="0.35">
      <c r="B19" s="602" t="s">
        <v>246</v>
      </c>
      <c r="C19" s="602" t="s">
        <v>13</v>
      </c>
      <c r="D19" s="640">
        <f>D12-'CONSOLIDADO_TOTAL RECAUDO'!U107</f>
        <v>-0.32999992370605469</v>
      </c>
      <c r="E19" s="640">
        <f>E12-'CONSOLIDADO_TOTAL RECAUDO'!V107</f>
        <v>0.21000003814697266</v>
      </c>
      <c r="F19" s="640">
        <f>F12-'CONSOLIDADO_TOTAL RECAUDO'!W107</f>
        <v>0.26999855041503906</v>
      </c>
      <c r="G19" s="640">
        <f>G12-'CONSOLIDADO_TOTAL RECAUDO'!X107</f>
        <v>0.31000018119812012</v>
      </c>
      <c r="H19" s="640">
        <f>H12-'CONSOLIDADO_TOTAL RECAUDO'!Y107</f>
        <v>-0.38000002503395081</v>
      </c>
      <c r="I19" s="640">
        <f>I12-'CONSOLIDADO_TOTAL RECAUDO'!Z107</f>
        <v>0</v>
      </c>
      <c r="J19" s="640">
        <f>J12-'CONSOLIDADO_TOTAL RECAUDO'!AA107-'CONSOLIDADO_TOTAL RECAUDO'!AC107</f>
        <v>0.47000000000087994</v>
      </c>
      <c r="K19" s="640">
        <f>K12-'CONSOLIDADO_TOTAL RECAUDO'!AB107</f>
        <v>1.9999999552965164E-2</v>
      </c>
      <c r="L19" s="640">
        <f>L12-'CONSOLIDADO_TOTAL RECAUDO'!AE107</f>
        <v>-0.19999992847442627</v>
      </c>
      <c r="M19" s="640">
        <f>M12-'CONSOLIDADO_TOTAL RECAUDO'!AD107</f>
        <v>-0.39999985694885254</v>
      </c>
      <c r="N19" s="640">
        <f>N12-'CONSOLIDADO_TOTAL RECAUDO'!AF107</f>
        <v>0.17000007629394531</v>
      </c>
      <c r="O19" s="640">
        <f>O12-'CONSOLIDADO_TOTAL RECAUDO'!AG107</f>
        <v>0</v>
      </c>
    </row>
    <row r="20" spans="2:16" x14ac:dyDescent="0.35">
      <c r="B20" s="602" t="s">
        <v>118</v>
      </c>
      <c r="C20" s="602" t="s">
        <v>14</v>
      </c>
      <c r="D20" s="640">
        <f>D13-'CONSOLIDADO_TOTAL RECAUDO'!U108</f>
        <v>0.29000008106231689</v>
      </c>
      <c r="E20" s="640">
        <f>E13-'CONSOLIDADO_TOTAL RECAUDO'!V108</f>
        <v>0.35000014305114746</v>
      </c>
      <c r="F20" s="640">
        <f>F13-'CONSOLIDADO_TOTAL RECAUDO'!W108</f>
        <v>-0.45000028610229492</v>
      </c>
      <c r="G20" s="640">
        <f>G13-'CONSOLIDADO_TOTAL RECAUDO'!X108</f>
        <v>0.3900001049041748</v>
      </c>
      <c r="H20" s="640">
        <f>H13-'CONSOLIDADO_TOTAL RECAUDO'!Y108</f>
        <v>0.45999999344348907</v>
      </c>
      <c r="I20" s="640">
        <f>I13-'CONSOLIDADO_TOTAL RECAUDO'!Z108</f>
        <v>0</v>
      </c>
      <c r="J20" s="640">
        <f>J13-'CONSOLIDADO_TOTAL RECAUDO'!AA108-'CONSOLIDADO_TOTAL RECAUDO'!AC108</f>
        <v>0.45000000000044338</v>
      </c>
      <c r="K20" s="640">
        <f>K13-'CONSOLIDADO_TOTAL RECAUDO'!AB108</f>
        <v>-0.37999999895691872</v>
      </c>
      <c r="L20" s="640">
        <f>L13-'CONSOLIDADO_TOTAL RECAUDO'!AE108</f>
        <v>3.0000001192092896E-2</v>
      </c>
      <c r="M20" s="640">
        <f>M13-'CONSOLIDADO_TOTAL RECAUDO'!AD108</f>
        <v>-0.43000030517578125</v>
      </c>
      <c r="N20" s="640">
        <f>N13-'CONSOLIDADO_TOTAL RECAUDO'!AF108</f>
        <v>-0.31999874114990234</v>
      </c>
      <c r="O20" s="640">
        <f>O13-'CONSOLIDADO_TOTAL RECAUDO'!AG108</f>
        <v>0</v>
      </c>
    </row>
    <row r="21" spans="2:16" x14ac:dyDescent="0.35">
      <c r="B21" s="602" t="s">
        <v>247</v>
      </c>
      <c r="C21" s="602" t="s">
        <v>70</v>
      </c>
      <c r="D21" s="640">
        <f>D14-'CONSOLIDADO_TOTAL RECAUDO'!U109</f>
        <v>1.0000228881835938E-2</v>
      </c>
      <c r="E21" s="640">
        <f>E14-'CONSOLIDADO_TOTAL RECAUDO'!V109</f>
        <v>0.87000083923339844</v>
      </c>
      <c r="F21" s="640">
        <f>F14-'CONSOLIDADO_TOTAL RECAUDO'!W109</f>
        <v>0.23999404907226563</v>
      </c>
      <c r="G21" s="640">
        <f>G14-'CONSOLIDADO_TOTAL RECAUDO'!X109</f>
        <v>1.0799999237060547</v>
      </c>
      <c r="H21" s="640">
        <f>H14-'CONSOLIDADO_TOTAL RECAUDO'!Y109</f>
        <v>-0.20999991893768311</v>
      </c>
      <c r="I21" s="640">
        <f>I14-'CONSOLIDADO_TOTAL RECAUDO'!Z109</f>
        <v>0</v>
      </c>
      <c r="J21" s="640">
        <f>J14-'CONSOLIDADO_TOTAL RECAUDO'!AA109-'CONSOLIDADO_TOTAL RECAUDO'!AC109</f>
        <v>1.4600000000064028</v>
      </c>
      <c r="K21" s="640">
        <f>K14-'CONSOLIDADO_TOTAL RECAUDO'!AB109</f>
        <v>-0.14000001549720764</v>
      </c>
      <c r="L21" s="640">
        <f>L14-'CONSOLIDADO_TOTAL RECAUDO'!AE109</f>
        <v>2.0000457763671875E-2</v>
      </c>
      <c r="M21" s="640">
        <f>M14-'CONSOLIDADO_TOTAL RECAUDO'!AD109</f>
        <v>-0.75999927520751953</v>
      </c>
      <c r="N21" s="640">
        <f>N14-'CONSOLIDADO_TOTAL RECAUDO'!AF109</f>
        <v>-0.4499969482421875</v>
      </c>
      <c r="O21" s="640">
        <f>O14-'CONSOLIDADO_TOTAL RECAUDO'!AG109</f>
        <v>0</v>
      </c>
    </row>
    <row r="22" spans="2:16" ht="15" thickBot="1" x14ac:dyDescent="0.4">
      <c r="M22" s="644"/>
    </row>
    <row r="23" spans="2:16" ht="35" thickBot="1" x14ac:dyDescent="0.4">
      <c r="C23" s="27" t="s">
        <v>9</v>
      </c>
      <c r="D23" s="162" t="s">
        <v>39</v>
      </c>
      <c r="E23" s="572" t="s">
        <v>40</v>
      </c>
      <c r="F23" s="572" t="s">
        <v>41</v>
      </c>
      <c r="G23" s="163" t="s">
        <v>42</v>
      </c>
      <c r="H23" s="164" t="s">
        <v>43</v>
      </c>
      <c r="I23" s="546" t="s">
        <v>21</v>
      </c>
      <c r="J23" s="65" t="s">
        <v>46</v>
      </c>
      <c r="K23" s="65" t="s">
        <v>7</v>
      </c>
      <c r="L23" s="85" t="s">
        <v>167</v>
      </c>
      <c r="M23" s="121" t="s">
        <v>105</v>
      </c>
      <c r="N23" s="121" t="s">
        <v>104</v>
      </c>
      <c r="O23" s="39" t="s">
        <v>23</v>
      </c>
    </row>
    <row r="24" spans="2:16" x14ac:dyDescent="0.35">
      <c r="B24" s="602" t="s">
        <v>115</v>
      </c>
      <c r="C24" s="340" t="s">
        <v>10</v>
      </c>
      <c r="D24" s="656" t="b">
        <f>+'Reporte Componentes R1'!M47+'Reporte Componentes R1'!M49+'Rem. Anticipos R2'!L42+'Reversion Pagos R4'!J71+D16=D9</f>
        <v>1</v>
      </c>
      <c r="E24" s="640" t="b">
        <f>+'Reporte Componentes R1'!N47+'Reporte Componentes R1'!N49+'Rem. Anticipos R2'!M42+'Reversion Pagos R4'!K71+E16=E9</f>
        <v>1</v>
      </c>
      <c r="F24" s="640" t="b">
        <f>+'Reporte Componentes R1'!O47+'Reporte Componentes R1'!O49+'Rem. Anticipos R2'!N42+'Reversion Pagos R4'!L71+F16=F9</f>
        <v>1</v>
      </c>
      <c r="G24" s="640" t="b">
        <f>+'Reporte Componentes R1'!P47+'Reporte Componentes R1'!P49+'Rem. Anticipos R2'!O42+'Reversion Pagos R4'!M71+G16=G9</f>
        <v>1</v>
      </c>
      <c r="H24" s="640" t="b">
        <f>+'Reporte Componentes R1'!Q47+'Reporte Componentes R1'!Q49+'Rem. Anticipos R2'!P42+'Reversion Pagos R4'!N71+H16=H9</f>
        <v>1</v>
      </c>
      <c r="I24" s="694" t="b">
        <f>-INTERVENTORIA!N26+I16=I9</f>
        <v>1</v>
      </c>
      <c r="J24" s="640" t="b">
        <f>'Reporte Componentes R1'!R47+'Reporte Componentes R1'!V47+'Rem. Anticipos R2'!Q42+'Reporte Componentes R1'!R49+'Reporte Componentes R1'!V49+'Reversion Pagos R4'!O71+'Reporte Componentes R1'!T47+'Reporte Componentes R1'!U47+'Reporte Componentes R1'!W47+'Reporte Componentes R1'!X47+'Reporte Componentes R1'!Y47+'Reporte Componentes R1'!Z47+'Reporte Componentes R1'!S47+'Rem. Anticipos R2'!R42+'Reporte Componentes R1'!T49+'Reporte Componentes R1'!U49+'Reporte Componentes R1'!W49+'Reporte Componentes R1'!X49+'Reporte Componentes R1'!Y49+'Reporte Componentes R1'!Z49+'Reporte Componentes R1'!S49+'Reversion Pagos R4'!Q71+'Reversion Pagos R4'!R71+'AJUSTES - SF-T'!AA47+J16=J9</f>
        <v>1</v>
      </c>
      <c r="K24" s="640" t="b">
        <f>+DetRetri2026091!N32</f>
        <v>1</v>
      </c>
      <c r="L24" s="640" t="b">
        <f>'Reporte Componentes R1'!F48+'Rem. Anticipos R2'!E43+'Reporte Componentes R1'!F50+'Reversion Pagos R4'!D72+'AJUSTES - SF-T'!AD47+L16=L9</f>
        <v>1</v>
      </c>
      <c r="M24" s="640" t="b">
        <f>-'BCE SC POR FACT.'!F3+'Reporte Componentes R1'!F48+'Rem. Anticipos R2'!E43+'Reporte Componentes R1'!F50+'Reversion Pagos R4'!D72+'AJUSTES - SF-T'!AD47+M16=M9</f>
        <v>1</v>
      </c>
      <c r="N24" s="640" t="b">
        <f>'Reporte Componentes R1'!F48+'Rem. Anticipos R2'!E43+'Reporte Componentes R1'!F50+'Reversion Pagos R4'!D72+'AJUSTES - SF-T'!AD47+L16=L9</f>
        <v>1</v>
      </c>
      <c r="O24" s="640">
        <f>'Reporte Componentes R1'!M47+'Reporte Componentes R1'!M49+'Rem. Anticipos R2'!L42+'Reversion Pagos R4'!J71+'Reporte Componentes R1'!N47+'Reporte Componentes R1'!N49+'Rem. Anticipos R2'!M42+'Reversion Pagos R4'!K71+'Reporte Componentes R1'!O47+'Reporte Componentes R1'!O49+'Rem. Anticipos R2'!N42+'Reversion Pagos R4'!L71+'Reporte Componentes R1'!P47+'Reporte Componentes R1'!P49+'Rem. Anticipos R2'!O42+'Reversion Pagos R4'!M71+'Reporte Componentes R1'!Q47+'Reporte Componentes R1'!Q49+'Rem. Anticipos R2'!P42+'Reversion Pagos R4'!N71-INTERVENTORIA!I4+'Reporte Componentes R1'!R47+'Reporte Componentes R1'!V47+'Rem. Anticipos R2'!Q42+'Reporte Componentes R1'!R49+'Reporte Componentes R1'!V49+'Reversion Pagos R4'!O71+'Reporte Componentes R1'!T47+'Reporte Componentes R1'!U47+'Reporte Componentes R1'!W47+'Reporte Componentes R1'!X47+'Reporte Componentes R1'!Y47+'Reporte Componentes R1'!Z47+'Reporte Componentes R1'!S47+'Rem. Anticipos R2'!R42+'Reporte Componentes R1'!T49+'Reporte Componentes R1'!U49+'Reporte Componentes R1'!W49+'Reporte Componentes R1'!X49+'Reporte Componentes R1'!Y49+'Reporte Componentes R1'!Z49+'Reporte Componentes R1'!S49+'Reversion Pagos R4'!Q71+'Reversion Pagos R4'!R71+'AJUSTES - SF-T'!AA47+'Reporte Componentes R1'!L47+'Rem. Anticipos R2'!K42+'Reversion Pagos R4'!P71+'Reporte Componentes R1'!L49-'BCE SC POR FACT.'!F3+'Reporte Componentes R1'!F48+'Rem. Anticipos R2'!E43+'Reporte Componentes R1'!F50+'Reversion Pagos R4'!D72+'AJUSTES - SF-T'!AD47+N16-N9</f>
        <v>0</v>
      </c>
    </row>
    <row r="25" spans="2:16" x14ac:dyDescent="0.35">
      <c r="B25" s="602" t="s">
        <v>116</v>
      </c>
      <c r="C25" s="340" t="s">
        <v>11</v>
      </c>
      <c r="D25" s="646" t="b">
        <f>+'Reporte Componentes R1'!M181+'Rem. Anticipos R2'!L135+'Reversion Pagos R4'!J160+'Reporte Componentes R1'!M183+D17=D10</f>
        <v>1</v>
      </c>
      <c r="E25" s="646" t="b">
        <f>+'Reporte Componentes R1'!N181+'Rem. Anticipos R2'!M135+'Reversion Pagos R4'!K160+'Reporte Componentes R1'!N183+E17=E10</f>
        <v>1</v>
      </c>
      <c r="F25" s="646" t="b">
        <f>+'Reporte Componentes R1'!O181+'Rem. Anticipos R2'!N135+'Reversion Pagos R4'!L160+'Reporte Componentes R1'!O183+F17=F10</f>
        <v>1</v>
      </c>
      <c r="G25" s="646" t="b">
        <f>+'Reporte Componentes R1'!P181+'Rem. Anticipos R2'!O135+'Reversion Pagos R4'!M160+'Reporte Componentes R1'!P183+G17=G10</f>
        <v>1</v>
      </c>
      <c r="H25" s="646" t="b">
        <f>+'Reporte Componentes R1'!Q181+'Rem. Anticipos R2'!P135+'Reversion Pagos R4'!N160+'Reporte Componentes R1'!Q183+H17=H10</f>
        <v>1</v>
      </c>
      <c r="I25" s="694" t="b">
        <f>-INTERVENTORIA!N27+I17=I10</f>
        <v>1</v>
      </c>
      <c r="J25" s="774">
        <f>+'Reporte Componentes R1'!R181+'Reporte Componentes R1'!V181+'Rem. Anticipos R2'!Q135+'Reporte Componentes R1'!R183+'Reporte Componentes R1'!V183+'Reversion Pagos R4'!O160+'Reporte Componentes R1'!T181+'Reporte Componentes R1'!U181+'Reporte Componentes R1'!W181+'Reporte Componentes R1'!X181+'Reporte Componentes R1'!Y181+'Reporte Componentes R1'!Z181+'Reporte Componentes R1'!S181+'Rem. Anticipos R2'!R135+'Reporte Componentes R1'!T183+'Reporte Componentes R1'!U183+'Reporte Componentes R1'!W183+'Reporte Componentes R1'!X183+'Reporte Componentes R1'!Y183+'Reporte Componentes R1'!Z183+'Reporte Componentes R1'!S183+'Reversion Pagos R4'!Q160+'Reversion Pagos R4'!R160+'AJUSTES - SF-T'!AA48+J17-J10</f>
        <v>-7.2759576141834259E-12</v>
      </c>
      <c r="K25" s="646" t="b">
        <f>+DetRetri2026091!N33</f>
        <v>1</v>
      </c>
      <c r="L25" s="640" t="b">
        <f>+'Reporte Componentes R1'!F182+'Rem. Anticipos R2'!E136+'Reporte Componentes R1'!F184+'Reversion Pagos R4'!D161+'AJUSTES - SF-T'!AD48+L17=L10</f>
        <v>1</v>
      </c>
      <c r="M25" s="652" t="b">
        <f>-'BCE SC POR FACT.'!F4+'Reporte Componentes R1'!F182+'Rem. Anticipos R2'!E136+'Reporte Componentes R1'!F184+'Reversion Pagos R4'!D161+'AJUSTES - SF-T'!AD48+M17=M10</f>
        <v>1</v>
      </c>
      <c r="N25" s="640" t="b">
        <f>'Reporte Componentes R1'!F182+'Rem. Anticipos R2'!E136+'Reporte Componentes R1'!F184+'Reversion Pagos R4'!D161+'AJUSTES - SF-T'!AD48+L17=L10</f>
        <v>1</v>
      </c>
      <c r="O25" s="640">
        <f>'Reporte Componentes R1'!M181+'Rem. Anticipos R2'!L135+'Reversion Pagos R4'!J160+'Reporte Componentes R1'!M183+'Reporte Componentes R1'!N181+'Rem. Anticipos R2'!M135+'Reversion Pagos R4'!K160+'Reporte Componentes R1'!N183+'Reporte Componentes R1'!O181+'Rem. Anticipos R2'!N135+'Reversion Pagos R4'!L160+'Reporte Componentes R1'!O183+'Reporte Componentes R1'!P181+'Rem. Anticipos R2'!O135+'Reversion Pagos R4'!M160+'Reporte Componentes R1'!P183+'Reporte Componentes R1'!Q181+'Rem. Anticipos R2'!P135+'Reversion Pagos R4'!N160+'Reporte Componentes R1'!Q183-INTERVENTORIA!I5+'Reporte Componentes R1'!R181+'Reporte Componentes R1'!V181+'Rem. Anticipos R2'!Q135+'Reporte Componentes R1'!R183+'Reporte Componentes R1'!V183+'Reversion Pagos R4'!O160+'Reporte Componentes R1'!T181+'Reporte Componentes R1'!U181+'Reporte Componentes R1'!W181+'Reporte Componentes R1'!X181+'Reporte Componentes R1'!Y181+'Reporte Componentes R1'!Z181+'Reporte Componentes R1'!S181+'Rem. Anticipos R2'!R135+'Reporte Componentes R1'!T183+'Reporte Componentes R1'!U183+'Reporte Componentes R1'!W183+'Reporte Componentes R1'!X183+'Reporte Componentes R1'!Y183+'Reporte Componentes R1'!Z183+'Reporte Componentes R1'!S183+'Reversion Pagos R4'!Q160+'Reversion Pagos R4'!R160+'AJUSTES - SF-T'!AA48+'Reporte Componentes R1'!L181+'Rem. Anticipos R2'!K135+'Reversion Pagos R4'!P160+'Reporte Componentes R1'!L183-'BCE SC POR FACT.'!F4+'Reporte Componentes R1'!F182+'Rem. Anticipos R2'!E136+'Reporte Componentes R1'!F184+'Reversion Pagos R4'!D161+'AJUSTES - SF-T'!AD48+N17-N10</f>
        <v>0</v>
      </c>
      <c r="P25" s="645"/>
    </row>
    <row r="26" spans="2:16" x14ac:dyDescent="0.35">
      <c r="B26" s="602" t="s">
        <v>117</v>
      </c>
      <c r="C26" s="340" t="s">
        <v>12</v>
      </c>
      <c r="D26" s="640" t="b">
        <f>+'Reporte Componentes R1'!M325+'Reporte Componentes R1'!M327+'Rem. Anticipos R2'!L248+'Reversion Pagos R4'!J196+D18=D11</f>
        <v>1</v>
      </c>
      <c r="E26" s="640" t="b">
        <f>+'Reporte Componentes R1'!N325+'Reporte Componentes R1'!N327+'Rem. Anticipos R2'!M248+'Reversion Pagos R4'!K196+E18=E11</f>
        <v>1</v>
      </c>
      <c r="F26" s="640" t="b">
        <f>+'Reporte Componentes R1'!O325+'Reporte Componentes R1'!O327+'Rem. Anticipos R2'!N248+'Reversion Pagos R4'!L196+F18=F11</f>
        <v>1</v>
      </c>
      <c r="G26" s="640" t="b">
        <f>+'Reporte Componentes R1'!P325+'Reporte Componentes R1'!P327+'Rem. Anticipos R2'!O248+'Reversion Pagos R4'!M196+G18=G11</f>
        <v>1</v>
      </c>
      <c r="H26" s="640" t="b">
        <f>+'Reporte Componentes R1'!Q325+'Reporte Componentes R1'!Q327+'Rem. Anticipos R2'!P248+'Reversion Pagos R4'!N196+H18=H11</f>
        <v>1</v>
      </c>
      <c r="I26" s="694" t="b">
        <f>-INTERVENTORIA!N28+I18=I11</f>
        <v>1</v>
      </c>
      <c r="J26" s="640" t="b">
        <f>+'Reporte Componentes R1'!R325+'Reporte Componentes R1'!V325+'Rem. Anticipos R2'!Q248+'Reporte Componentes R1'!R327+'Reporte Componentes R1'!V327+'Reversion Pagos R4'!O196+'Reporte Componentes R1'!T325+'Reporte Componentes R1'!U325+'Reporte Componentes R1'!W325+'Reporte Componentes R1'!X325+'Reporte Componentes R1'!Y325+'Reporte Componentes R1'!Z325+'Reporte Componentes R1'!S325+'Rem. Anticipos R2'!R248+'Reporte Componentes R1'!T327+'Reporte Componentes R1'!U327+'Reporte Componentes R1'!W327+'Reporte Componentes R1'!X327+'Reporte Componentes R1'!Y327+'Reporte Componentes R1'!Z327+'Reporte Componentes R1'!S327+'Reversion Pagos R4'!Q196+'Reversion Pagos R4'!R196+'AJUSTES - SF-T'!AA49+J18=J11</f>
        <v>1</v>
      </c>
      <c r="K26" s="640" t="b">
        <f>+DetRetri2026091!N34</f>
        <v>1</v>
      </c>
      <c r="L26" s="640" t="b">
        <f>+'Reporte Componentes R1'!F326+'Rem. Anticipos R2'!E249+'Reporte Componentes R1'!F328+'Reversion Pagos R4'!D197+'AJUSTES - SF-T'!AD49+L18=L11</f>
        <v>1</v>
      </c>
      <c r="M26" s="711">
        <f>-'BCE SC POR FACT.'!F5+'Reporte Componentes R1'!F326+'Rem. Anticipos R2'!E249+'Reporte Componentes R1'!F328+'Reversion Pagos R4'!D197+'AJUSTES - SF-T'!AD49+M18-M11</f>
        <v>0</v>
      </c>
      <c r="N26" s="640" t="b">
        <f>'Reporte Componentes R1'!F326+'Rem. Anticipos R2'!E249+'Reporte Componentes R1'!F328+'Reversion Pagos R4'!D197+'AJUSTES - SF-T'!AD49+L18=L11</f>
        <v>1</v>
      </c>
      <c r="O26" s="708" t="b">
        <f>'Reporte Componentes R1'!M325+'Reporte Componentes R1'!M327+'Rem. Anticipos R2'!L248+'Reversion Pagos R4'!J196+'Reporte Componentes R1'!N325+'Reporte Componentes R1'!N327+'Rem. Anticipos R2'!M248+'Reversion Pagos R4'!K196+'Reporte Componentes R1'!O325+'Reporte Componentes R1'!O327+'Rem. Anticipos R2'!N248+'Reversion Pagos R4'!L196+'Reporte Componentes R1'!P325+'Reporte Componentes R1'!P327+'Rem. Anticipos R2'!O248+'Reversion Pagos R4'!M196+'Reporte Componentes R1'!Q325+'Reporte Componentes R1'!Q327+'Rem. Anticipos R2'!P248+'Reversion Pagos R4'!N196-INTERVENTORIA!I6+'Reporte Componentes R1'!R325+'Reporte Componentes R1'!V325+'Rem. Anticipos R2'!Q248+'Reporte Componentes R1'!R327+'Reporte Componentes R1'!V327+'Reversion Pagos R4'!O196+'Reporte Componentes R1'!T325+'Reporte Componentes R1'!U325+'Reporte Componentes R1'!W325+'Reporte Componentes R1'!X325+'Reporte Componentes R1'!Y325+'Reporte Componentes R1'!Z325+'Reporte Componentes R1'!S325+'Rem. Anticipos R2'!R248+'Reporte Componentes R1'!T327+'Reporte Componentes R1'!U327+'Reporte Componentes R1'!W327+'Reporte Componentes R1'!X327+'Reporte Componentes R1'!Y327+'Reporte Componentes R1'!Z327+'Reporte Componentes R1'!S327+'Reversion Pagos R4'!Q196+'Reversion Pagos R4'!R196+'AJUSTES - SF-T'!AA49+'Reporte Componentes R1'!L325+'Reporte Componentes R1'!L327+'Rem. Anticipos R2'!K248+'Reversion Pagos R4'!P196-'BCE SC POR FACT.'!F5+'Reporte Componentes R1'!F326+'Rem. Anticipos R2'!E249+'Reporte Componentes R1'!F328+'Reversion Pagos R4'!D197+'AJUSTES - SF-T'!AD49+N18=N11</f>
        <v>1</v>
      </c>
    </row>
    <row r="27" spans="2:16" x14ac:dyDescent="0.35">
      <c r="B27" s="602" t="s">
        <v>246</v>
      </c>
      <c r="C27" s="340" t="s">
        <v>13</v>
      </c>
      <c r="D27" s="640" t="b">
        <f>+'Reporte Componentes R1'!M458+'Reporte Componentes R1'!M460+'Rem. Anticipos R2'!L344+'Reversion Pagos R4'!J310+D19=D12</f>
        <v>1</v>
      </c>
      <c r="E27" s="640" t="b">
        <f>+'Reporte Componentes R1'!N458+'Reporte Componentes R1'!N460+'Rem. Anticipos R2'!M344+'Reversion Pagos R4'!K310+E19=E12</f>
        <v>1</v>
      </c>
      <c r="F27" s="640" t="b">
        <f>+'Reporte Componentes R1'!O458+'Reporte Componentes R1'!O460+'Rem. Anticipos R2'!N344+'Reversion Pagos R4'!L310+F19=F12</f>
        <v>1</v>
      </c>
      <c r="G27" s="640" t="b">
        <f>+'Reporte Componentes R1'!P458+'Reporte Componentes R1'!P460+'Rem. Anticipos R2'!O344+'Reversion Pagos R4'!M310+G19=G12</f>
        <v>1</v>
      </c>
      <c r="H27" s="640" t="b">
        <f>+'Reporte Componentes R1'!Q458+'Reporte Componentes R1'!Q460+'Rem. Anticipos R2'!P344+'Reversion Pagos R4'!N310+H19=H12</f>
        <v>1</v>
      </c>
      <c r="I27" s="694" t="b">
        <f>-INTERVENTORIA!N29+I19=I12</f>
        <v>1</v>
      </c>
      <c r="J27" s="640" t="b">
        <f>+'Reporte Componentes R1'!R458+'Reporte Componentes R1'!V458+'Rem. Anticipos R2'!Q344+'Reporte Componentes R1'!R460+'Reporte Componentes R1'!V460+'Reversion Pagos R4'!O310+'Reporte Componentes R1'!T458+'Reporte Componentes R1'!U458+'Reporte Componentes R1'!W458+'Reporte Componentes R1'!X458+'Reporte Componentes R1'!Y458+'Reporte Componentes R1'!Z458+'Reporte Componentes R1'!S458+'Rem. Anticipos R2'!R344+'Reporte Componentes R1'!T460+'Reporte Componentes R1'!U460+'Reporte Componentes R1'!W460+'Reporte Componentes R1'!X460+'Reporte Componentes R1'!Y460+'Reporte Componentes R1'!Z460+'Reporte Componentes R1'!S460+'Reversion Pagos R4'!Q310+'Reversion Pagos R4'!R310+'AJUSTES - SF-T'!AA50+J19=J12</f>
        <v>1</v>
      </c>
      <c r="K27" s="640" t="b">
        <f>+DetRetri2026091!N35</f>
        <v>1</v>
      </c>
      <c r="L27" s="640" t="b">
        <f>+'Reporte Componentes R1'!F459+'Rem. Anticipos R2'!E345+'Reporte Componentes R1'!F461+'Reversion Pagos R4'!D311+'AJUSTES - SF-T'!AD50+L19=L12</f>
        <v>1</v>
      </c>
      <c r="M27" s="640" t="b">
        <f>-'BCE SC POR FACT.'!F6+'Reporte Componentes R1'!F459+'Rem. Anticipos R2'!E345+'Reporte Componentes R1'!F461+'Reversion Pagos R4'!D311+'AJUSTES - SF-T'!AD50+M19=M12</f>
        <v>1</v>
      </c>
      <c r="N27" s="640" t="b">
        <f>'Reporte Componentes R1'!F459+'Rem. Anticipos R2'!E345+'Reporte Componentes R1'!F461+'Reversion Pagos R4'!D311+'AJUSTES - SF-T'!AD50+L19=L12</f>
        <v>1</v>
      </c>
      <c r="O27" s="708" t="b">
        <f>'Reporte Componentes R1'!M458+'Reporte Componentes R1'!M460+'Rem. Anticipos R2'!L344+'Reversion Pagos R4'!J310+'Reporte Componentes R1'!N458+'Reporte Componentes R1'!N460+'Rem. Anticipos R2'!M344+'Reversion Pagos R4'!K310+'Reporte Componentes R1'!O458+'Reporte Componentes R1'!O460+'Rem. Anticipos R2'!N344+'Reversion Pagos R4'!L310+'Reporte Componentes R1'!P458+'Reporte Componentes R1'!P460+'Rem. Anticipos R2'!O344+'Reversion Pagos R4'!M310+'Reporte Componentes R1'!Q458+'Reporte Componentes R1'!Q460+'Rem. Anticipos R2'!P344+'Reversion Pagos R4'!N310-INTERVENTORIA!I7+'Reporte Componentes R1'!R458+'Reporte Componentes R1'!V458+'Rem. Anticipos R2'!Q344+'Reporte Componentes R1'!R460+'Reporte Componentes R1'!V460+'Reversion Pagos R4'!O310+'Reporte Componentes R1'!T458+'Reporte Componentes R1'!U458+'Reporte Componentes R1'!W458+'Reporte Componentes R1'!X458+'Reporte Componentes R1'!Y458+'Reporte Componentes R1'!Z458+'Reporte Componentes R1'!S458+'Rem. Anticipos R2'!R344+'Reporte Componentes R1'!T460+'Reporte Componentes R1'!U460+'Reporte Componentes R1'!W460+'Reporte Componentes R1'!X460+'Reporte Componentes R1'!Y460+'Reporte Componentes R1'!Z460+'Reporte Componentes R1'!S460+'Reversion Pagos R4'!Q310+'Reversion Pagos R4'!R310+'AJUSTES - SF-T'!AA50+'Reporte Componentes R1'!L458+'Reporte Componentes R1'!L460+'Rem. Anticipos R2'!K344+'Reversion Pagos R4'!P310-'BCE SC POR FACT.'!F6+'Reporte Componentes R1'!F459+'Rem. Anticipos R2'!E345+'Reporte Componentes R1'!F461+'Reversion Pagos R4'!D311+'AJUSTES - SF-T'!AD50+N19=N12</f>
        <v>1</v>
      </c>
    </row>
    <row r="28" spans="2:16" x14ac:dyDescent="0.35">
      <c r="B28" s="602" t="s">
        <v>118</v>
      </c>
      <c r="C28" s="340" t="s">
        <v>14</v>
      </c>
      <c r="D28" s="640" t="b">
        <f>+'Reporte Componentes R1'!M552+'Reporte Componentes R1'!M554+'Rem. Anticipos R2'!L415+'Reversion Pagos R4'!J345+D20=D13</f>
        <v>1</v>
      </c>
      <c r="E28" s="640" t="b">
        <f>+'Reporte Componentes R1'!N552+'Reporte Componentes R1'!N554+'Rem. Anticipos R2'!M415+'Reversion Pagos R4'!K345+E20=E13</f>
        <v>1</v>
      </c>
      <c r="F28" s="640" t="b">
        <f>+'Reporte Componentes R1'!O552+'Reporte Componentes R1'!O554+'Rem. Anticipos R2'!N415+'Reversion Pagos R4'!L345+F20=F13</f>
        <v>1</v>
      </c>
      <c r="G28" s="640" t="b">
        <f>+'Reporte Componentes R1'!P552+'Reporte Componentes R1'!P554+'Rem. Anticipos R2'!O415+'Reversion Pagos R4'!M345+G20=G13</f>
        <v>1</v>
      </c>
      <c r="H28" s="640" t="b">
        <f>+'Reporte Componentes R1'!Q552+'Reporte Componentes R1'!Q554+'Rem. Anticipos R2'!P415+'Reversion Pagos R4'!N345+H20=H13</f>
        <v>1</v>
      </c>
      <c r="I28" s="694" t="b">
        <f>-INTERVENTORIA!N30+O20=I13</f>
        <v>1</v>
      </c>
      <c r="J28" s="642" t="b">
        <f>+'Reporte Componentes R1'!R552+'Reporte Componentes R1'!V552+'Rem. Anticipos R2'!Q415+'Reporte Componentes R1'!R554+'Reporte Componentes R1'!V554+'Reversion Pagos R4'!O345+'Reporte Componentes R1'!T552+'Reporte Componentes R1'!U552+'Reporte Componentes R1'!W552+'Reporte Componentes R1'!X552+'Reporte Componentes R1'!Y552+'Reporte Componentes R1'!Z552+'Reporte Componentes R1'!S552+'Rem. Anticipos R2'!R415+'Reporte Componentes R1'!T554+'Reporte Componentes R1'!U554+'Reporte Componentes R1'!W554+'Reporte Componentes R1'!X554+'Reporte Componentes R1'!Y554+'Reporte Componentes R1'!Z554+'Reporte Componentes R1'!S554+'Reversion Pagos R4'!Q345+'Reversion Pagos R4'!R345+'AJUSTES - SF-T'!AA51+J20=J13</f>
        <v>1</v>
      </c>
      <c r="K28" s="640" t="b">
        <f>+DetRetri2026091!N36</f>
        <v>1</v>
      </c>
      <c r="L28" s="640" t="b">
        <f>+'Reporte Componentes R1'!F553+'Rem. Anticipos R2'!E416+'Reporte Componentes R1'!F555+'Reversion Pagos R4'!D346+'AJUSTES - SF-T'!AD51+L20=L13</f>
        <v>1</v>
      </c>
      <c r="M28" s="640" t="b">
        <f>-'BCE SC POR FACT.'!F7+'Reporte Componentes R1'!F553+'Rem. Anticipos R2'!E416+'Reporte Componentes R1'!F555+'Reversion Pagos R4'!D346+'AJUSTES - SF-T'!AD51+M20=M13</f>
        <v>1</v>
      </c>
      <c r="N28" s="640" t="b">
        <f>'Reporte Componentes R1'!F553+'Rem. Anticipos R2'!E416+'Reporte Componentes R1'!F555+'Reversion Pagos R4'!D346+'AJUSTES - SF-T'!AD51+L20=L13</f>
        <v>1</v>
      </c>
      <c r="O28" s="640" t="b">
        <f>'Reporte Componentes R1'!M552+'Reporte Componentes R1'!M554+'Rem. Anticipos R2'!L415+'Reversion Pagos R4'!J345+'Reporte Componentes R1'!N552+'Reporte Componentes R1'!N554+'Rem. Anticipos R2'!M415+'Reversion Pagos R4'!K345+'Reporte Componentes R1'!O552+'Reporte Componentes R1'!O554+'Rem. Anticipos R2'!N415+'Reversion Pagos R4'!L345+'Reporte Componentes R1'!P552+'Reporte Componentes R1'!P554+'Rem. Anticipos R2'!O415+'Reversion Pagos R4'!M345+'Reporte Componentes R1'!Q552+'Reporte Componentes R1'!Q554+'Rem. Anticipos R2'!P415+'Reversion Pagos R4'!N345-INTERVENTORIA!I8+'Reporte Componentes R1'!R552+'Reporte Componentes R1'!V552+'Rem. Anticipos R2'!Q415+'Reporte Componentes R1'!R554+'Reporte Componentes R1'!V554+'Reversion Pagos R4'!O345+'Reporte Componentes R1'!T552+'Reporte Componentes R1'!U552+'Reporte Componentes R1'!W552+'Reporte Componentes R1'!X552+'Reporte Componentes R1'!Y552+'Reporte Componentes R1'!Z552+'Reporte Componentes R1'!S552+'Rem. Anticipos R2'!R415+'Reporte Componentes R1'!T554+'Reporte Componentes R1'!U554+'Reporte Componentes R1'!W554+'Reporte Componentes R1'!X554+'Reporte Componentes R1'!Y554+'Reporte Componentes R1'!Z554+'Reporte Componentes R1'!S554+'Reversion Pagos R4'!Q345+'Reversion Pagos R4'!R345+'AJUSTES - SF-T'!AA51+'Reporte Componentes R1'!L552+'Reporte Componentes R1'!L554+'Rem. Anticipos R2'!K415+'Reversion Pagos R4'!P345-'BCE SC POR FACT.'!F7+'Reporte Componentes R1'!F553+'Rem. Anticipos R2'!E416+'Reporte Componentes R1'!F555+'Reversion Pagos R4'!D346+'AJUSTES - SF-T'!AD51+N20=N13</f>
        <v>1</v>
      </c>
    </row>
    <row r="29" spans="2:16" x14ac:dyDescent="0.35">
      <c r="C29" s="641" t="s">
        <v>2</v>
      </c>
      <c r="D29" s="640" t="b">
        <f>'Reporte Componentes R1'!M47+'Reporte Componentes R1'!M49+'Rem. Anticipos R2'!L42+'Reversion Pagos R4'!J71+'Reporte Componentes R1'!M181+'Rem. Anticipos R2'!L135+'Reversion Pagos R4'!J160+'Reporte Componentes R1'!M183+'Reporte Componentes R1'!M325+'Reporte Componentes R1'!M327+'Rem. Anticipos R2'!L248+'Reversion Pagos R4'!J196+'Reporte Componentes R1'!M458+'Reporte Componentes R1'!M460+'Rem. Anticipos R2'!L344+'Reversion Pagos R4'!J310+'Reporte Componentes R1'!M552+'Reporte Componentes R1'!M554+'Rem. Anticipos R2'!L415+'Reversion Pagos R4'!J345+D21=D14</f>
        <v>1</v>
      </c>
      <c r="E29" s="640" t="b">
        <f>'Reporte Componentes R1'!N47+'Reporte Componentes R1'!N49+'Rem. Anticipos R2'!M42+'Reversion Pagos R4'!K71+'Reporte Componentes R1'!N181+'Rem. Anticipos R2'!M135+'Reversion Pagos R4'!K160+'Reporte Componentes R1'!N183+'Reporte Componentes R1'!N325+'Reporte Componentes R1'!N327+'Rem. Anticipos R2'!M248+'Reversion Pagos R4'!K196+'Reporte Componentes R1'!N458+'Reporte Componentes R1'!N460+'Rem. Anticipos R2'!M344+'Reversion Pagos R4'!K310+'Reporte Componentes R1'!N552+'Reporte Componentes R1'!N554+'Rem. Anticipos R2'!M415+'Reversion Pagos R4'!K345+E21=E14</f>
        <v>1</v>
      </c>
      <c r="F29" s="640" t="b">
        <f>'Reporte Componentes R1'!O47+'Reporte Componentes R1'!O49+'Rem. Anticipos R2'!N42+'Reversion Pagos R4'!L71+'Reporte Componentes R1'!O181+'Rem. Anticipos R2'!N135+'Reversion Pagos R4'!L160+'Reporte Componentes R1'!O183+'Reporte Componentes R1'!O325+'Reporte Componentes R1'!O327+'Rem. Anticipos R2'!N248+'Reversion Pagos R4'!L196+'Reporte Componentes R1'!O458+'Reporte Componentes R1'!O460+'Rem. Anticipos R2'!N344+'Reversion Pagos R4'!L310+'Reporte Componentes R1'!O552+'Reporte Componentes R1'!O554+'Rem. Anticipos R2'!N415+'Reversion Pagos R4'!L345+F21=F14</f>
        <v>1</v>
      </c>
      <c r="G29" s="640" t="b">
        <f>'Reporte Componentes R1'!P47+'Reporte Componentes R1'!P49+'Rem. Anticipos R2'!O42+'Reversion Pagos R4'!M71+'Reporte Componentes R1'!P181+'Rem. Anticipos R2'!O135+'Reversion Pagos R4'!M160+'Reporte Componentes R1'!P183+'Reporte Componentes R1'!P325+'Reporte Componentes R1'!P327+'Rem. Anticipos R2'!O248+'Reversion Pagos R4'!M196+'Reporte Componentes R1'!P458+'Reporte Componentes R1'!P460+'Rem. Anticipos R2'!O344+'Reversion Pagos R4'!M310+'Reporte Componentes R1'!P552+'Reporte Componentes R1'!P554+'Rem. Anticipos R2'!O415+'Reversion Pagos R4'!M345+G21=G14</f>
        <v>1</v>
      </c>
      <c r="H29" s="640" t="b">
        <f>'Reporte Componentes R1'!Q47+'Reporte Componentes R1'!Q49+'Rem. Anticipos R2'!P42+'Reversion Pagos R4'!N71+'Reporte Componentes R1'!Q181+'Rem. Anticipos R2'!P135+'Reversion Pagos R4'!N160+'Reporte Componentes R1'!Q183+'Reporte Componentes R1'!Q325+'Reporte Componentes R1'!Q327+'Rem. Anticipos R2'!P248+'Reversion Pagos R4'!N196+'Reporte Componentes R1'!Q458+'Reporte Componentes R1'!Q460+'Rem. Anticipos R2'!P344+'Reversion Pagos R4'!N310+'Reporte Componentes R1'!Q552+'Reporte Componentes R1'!Q554+'Rem. Anticipos R2'!P415+'Reversion Pagos R4'!N345+H21=H14</f>
        <v>1</v>
      </c>
      <c r="I29" s="694" t="b">
        <f>-INTERVENTORIA!N31+I21=I14</f>
        <v>1</v>
      </c>
      <c r="J29" s="775">
        <f>'Reporte Componentes R1'!R47+'Reporte Componentes R1'!V47+'Rem. Anticipos R2'!Q42+'Reporte Componentes R1'!R49+'Reporte Componentes R1'!V49+'Reversion Pagos R4'!O71+'Reporte Componentes R1'!T47+'Reporte Componentes R1'!U47+'Reporte Componentes R1'!W47+'Reporte Componentes R1'!X47+'Reporte Componentes R1'!Y47+'Reporte Componentes R1'!Z47+'Reporte Componentes R1'!S47+'Rem. Anticipos R2'!R42+'Reporte Componentes R1'!T49+'Reporte Componentes R1'!U49+'Reporte Componentes R1'!W49+'Reporte Componentes R1'!X49+'Reporte Componentes R1'!Y49+'Reporte Componentes R1'!Z49+'Reporte Componentes R1'!S49+'Reversion Pagos R4'!Q71+'Reversion Pagos R4'!R71+'AJUSTES - SF-T'!AA47+'Reporte Componentes R1'!R181+'Reporte Componentes R1'!V181+'Rem. Anticipos R2'!Q135+'Reporte Componentes R1'!R183+'Reporte Componentes R1'!V183+'Reversion Pagos R4'!O160+'Reporte Componentes R1'!T181+'Reporte Componentes R1'!U181+'Reporte Componentes R1'!W181+'Reporte Componentes R1'!X181+'Reporte Componentes R1'!Y181+'Reporte Componentes R1'!Z181+'Reporte Componentes R1'!S181+'Rem. Anticipos R2'!R135+'Reporte Componentes R1'!T183+'Reporte Componentes R1'!U183+'Reporte Componentes R1'!W183+'Reporte Componentes R1'!X183+'Reporte Componentes R1'!Y183+'Reporte Componentes R1'!Z183+'Reporte Componentes R1'!S183+'Reversion Pagos R4'!Q160+'Reversion Pagos R4'!R160+'AJUSTES - SF-T'!AA48+'Reporte Componentes R1'!R325+'Reporte Componentes R1'!V325+'Rem. Anticipos R2'!Q248+'Reporte Componentes R1'!R327+'Reporte Componentes R1'!V327+'Reversion Pagos R4'!O196+'Reporte Componentes R1'!T325+'Reporte Componentes R1'!U325+'Reporte Componentes R1'!W325+'Reporte Componentes R1'!X325+'Reporte Componentes R1'!Y325+'Reporte Componentes R1'!Z325+'Reporte Componentes R1'!S325+'Rem. Anticipos R2'!R248+'Reporte Componentes R1'!T327+'Reporte Componentes R1'!U327+'Reporte Componentes R1'!W327+'Reporte Componentes R1'!X327+'Reporte Componentes R1'!Y327+'Reporte Componentes R1'!Z327+'Reporte Componentes R1'!S327+'Reversion Pagos R4'!Q196+'Reversion Pagos R4'!R196+'AJUSTES - SF-T'!AA49+'Reporte Componentes R1'!R458+'Reporte Componentes R1'!V458+'Rem. Anticipos R2'!Q344+'Reporte Componentes R1'!R460+'Reporte Componentes R1'!V460+'Reversion Pagos R4'!O310+'Reporte Componentes R1'!T458+'Reporte Componentes R1'!U458+'Reporte Componentes R1'!W458+'Reporte Componentes R1'!X458+'Reporte Componentes R1'!Y458+'Reporte Componentes R1'!Z458+'Reporte Componentes R1'!S458+'Rem. Anticipos R2'!R344+'Reporte Componentes R1'!T460+'Reporte Componentes R1'!U460+'Reporte Componentes R1'!W460+'Reporte Componentes R1'!X460+'Reporte Componentes R1'!Y460+'Reporte Componentes R1'!Z460+'Reporte Componentes R1'!S460+'Reversion Pagos R4'!Q310+'Reversion Pagos R4'!R310+'AJUSTES - SF-T'!AA50+'Reporte Componentes R1'!R552+'Reporte Componentes R1'!V552+'Rem. Anticipos R2'!Q415+'Reporte Componentes R1'!R554+'Reporte Componentes R1'!V554+'Reversion Pagos R4'!O345+'Reporte Componentes R1'!T552+'Reporte Componentes R1'!U552+'Reporte Componentes R1'!W552+'Reporte Componentes R1'!X552+'Reporte Componentes R1'!Y552+'Reporte Componentes R1'!Z552+'Reporte Componentes R1'!S552+'Rem. Anticipos R2'!R415+'Reporte Componentes R1'!T554+'Reporte Componentes R1'!U554+'Reporte Componentes R1'!W554+'Reporte Componentes R1'!X554+'Reporte Componentes R1'!Y554+'Reporte Componentes R1'!Z554+'Reporte Componentes R1'!S554+'Reversion Pagos R4'!Q345+'Reversion Pagos R4'!R345+'AJUSTES - SF-T'!AA51+J21-J14</f>
        <v>0</v>
      </c>
      <c r="K29" s="640" t="b">
        <f>'Reporte Componentes R1'!L47+'Rem. Anticipos R2'!K42+'Reversion Pagos R4'!P71+'Reporte Componentes R1'!L49+'Reporte Componentes R1'!L181+'Rem. Anticipos R2'!K135+'Reversion Pagos R4'!P160+'Reporte Componentes R1'!L183+'Reporte Componentes R1'!L325+'Reporte Componentes R1'!L327+'Rem. Anticipos R2'!K248+'Reversion Pagos R4'!P196+'Reporte Componentes R1'!L458+'Reporte Componentes R1'!L460+'Rem. Anticipos R2'!K344+'Reversion Pagos R4'!P310+'Reporte Componentes R1'!L552+'Reporte Componentes R1'!L554+'Rem. Anticipos R2'!K415+'Reversion Pagos R4'!P345+K21=K14</f>
        <v>1</v>
      </c>
      <c r="L29" s="707" t="b">
        <f>'Reporte Componentes R1'!F48+'Rem. Anticipos R2'!E43+'Reporte Componentes R1'!F50+'Reversion Pagos R4'!D72+'AJUSTES - SF-T'!AD47+'Reporte Componentes R1'!F182+'Rem. Anticipos R2'!E136+'Reporte Componentes R1'!F184+'Reversion Pagos R4'!D161+'AJUSTES - SF-T'!AD48+'Reporte Componentes R1'!F326+'Rem. Anticipos R2'!E249+'Reporte Componentes R1'!F328+'Reversion Pagos R4'!D197+'AJUSTES - SF-T'!AD49+'Reporte Componentes R1'!F459+'Rem. Anticipos R2'!E345+'Reporte Componentes R1'!F461+'Reversion Pagos R4'!D311+'AJUSTES - SF-T'!AD50+'Reporte Componentes R1'!F553+'Rem. Anticipos R2'!E416+'Reporte Componentes R1'!F555+'Reversion Pagos R4'!D346+'AJUSTES - SF-T'!AD51+L21=L14</f>
        <v>1</v>
      </c>
      <c r="M29" s="640" t="b">
        <f>-'BCE SC POR FACT.'!F3+'Reporte Componentes R1'!F48+'Rem. Anticipos R2'!E43+'Reporte Componentes R1'!F50+'Reversion Pagos R4'!D72+'AJUSTES - SF-T'!AD47-'BCE SC POR FACT.'!F4+'Reporte Componentes R1'!F182+'Rem. Anticipos R2'!E136+'Reporte Componentes R1'!F184+'Reversion Pagos R4'!D161+'AJUSTES - SF-T'!AD48-'BCE SC POR FACT.'!F5+'Reporte Componentes R1'!F326+'Rem. Anticipos R2'!E249+'Reporte Componentes R1'!F328+'Reversion Pagos R4'!D197+'AJUSTES - SF-T'!AD49-'BCE SC POR FACT.'!F6+'Reporte Componentes R1'!F459+'Rem. Anticipos R2'!E345+'Reporte Componentes R1'!F461+'Reversion Pagos R4'!D311+'AJUSTES - SF-T'!AD50-'BCE SC POR FACT.'!F7+'Reporte Componentes R1'!F553+'Rem. Anticipos R2'!E416+'Reporte Componentes R1'!F555+'Reversion Pagos R4'!D346+'AJUSTES - SF-T'!AD51+M21=M14</f>
        <v>1</v>
      </c>
      <c r="N29" s="640" t="b">
        <f>'Reporte Componentes R1'!F48+'Rem. Anticipos R2'!E43+'Reporte Componentes R1'!F50+'Reversion Pagos R4'!D72+'AJUSTES - SF-T'!AD47+'Reporte Componentes R1'!F182+'Rem. Anticipos R2'!E136+'Reporte Componentes R1'!F184+'Reversion Pagos R4'!D161+'AJUSTES - SF-T'!AD48+'Reporte Componentes R1'!F326+'Rem. Anticipos R2'!E249+'Reporte Componentes R1'!F328+'Reversion Pagos R4'!D197+'AJUSTES - SF-T'!AD49+'Reporte Componentes R1'!F459+'Rem. Anticipos R2'!E345+'Reporte Componentes R1'!F461+'Reversion Pagos R4'!D311+'AJUSTES - SF-T'!AD50+'Reporte Componentes R1'!F553+'Rem. Anticipos R2'!E416+'Reporte Componentes R1'!F555+'Reversion Pagos R4'!D346+'AJUSTES - SF-T'!AD51+L21=L14</f>
        <v>1</v>
      </c>
      <c r="O29" s="640" t="b">
        <f>'Reporte Componentes R1'!M47+'Reporte Componentes R1'!M49+'Rem. Anticipos R2'!L42+'Reversion Pagos R4'!J71+'Reporte Componentes R1'!N47+'Reporte Componentes R1'!N49+'Rem. Anticipos R2'!M42+'Reversion Pagos R4'!K71+'Reporte Componentes R1'!O47+'Reporte Componentes R1'!O49+'Rem. Anticipos R2'!N42+'Reversion Pagos R4'!L71+'Reporte Componentes R1'!P47+'Reporte Componentes R1'!P49+'Rem. Anticipos R2'!O42+'Reversion Pagos R4'!M71+'Reporte Componentes R1'!Q47+'Reporte Componentes R1'!Q49+'Rem. Anticipos R2'!P42+'Reversion Pagos R4'!N71-INTERVENTORIA!K15+'Reporte Componentes R1'!R47+'Reporte Componentes R1'!V47+'Rem. Anticipos R2'!Q42+'Reporte Componentes R1'!R49+'Reporte Componentes R1'!V49+'Reversion Pagos R4'!O71+'Reporte Componentes R1'!T47+'Reporte Componentes R1'!U47+'Reporte Componentes R1'!W47+'Reporte Componentes R1'!X47+'Reporte Componentes R1'!Y47+'Reporte Componentes R1'!Z47+'Reporte Componentes R1'!S47+'Rem. Anticipos R2'!R42+'Reporte Componentes R1'!T49+'Reporte Componentes R1'!U49+'Reporte Componentes R1'!W49+'Reporte Componentes R1'!X49+'Reporte Componentes R1'!Y49+'Reporte Componentes R1'!Z49+'Reporte Componentes R1'!S49+'Reversion Pagos R4'!Q71+'Reversion Pagos R4'!R71+'AJUSTES - SF-T'!AA47+'Reporte Componentes R1'!L47+'Rem. Anticipos R2'!K42+'Reversion Pagos R4'!P71+'Reporte Componentes R1'!L49-'BCE SC POR FACT.'!F3+'Reporte Componentes R1'!F48+'Rem. Anticipos R2'!E43+'Reporte Componentes R1'!F50+'Reversion Pagos R4'!D72+'AJUSTES - SF-T'!AD47+'Reporte Componentes R1'!M181+'Rem. Anticipos R2'!L135+'Reversion Pagos R4'!J160+'Reporte Componentes R1'!M183+'Reporte Componentes R1'!N181+'Rem. Anticipos R2'!M135+'Reversion Pagos R4'!K160+'Reporte Componentes R1'!N183+'Reporte Componentes R1'!O181+'Rem. Anticipos R2'!N135+'Reversion Pagos R4'!L160+'Reporte Componentes R1'!O183+'Reporte Componentes R1'!P181+'Rem. Anticipos R2'!O135+'Reversion Pagos R4'!M160+'Reporte Componentes R1'!P183+'Reporte Componentes R1'!Q181+'Rem. Anticipos R2'!P135+'Reversion Pagos R4'!N160+'Reporte Componentes R1'!Q183-INTERVENTORIA!K16+'Reporte Componentes R1'!R181+'Reporte Componentes R1'!V181+'Rem. Anticipos R2'!Q135+'Reporte Componentes R1'!R183+'Reporte Componentes R1'!V183+'Reversion Pagos R4'!O160+'Reporte Componentes R1'!T181+'Reporte Componentes R1'!U181+'Reporte Componentes R1'!W181+'Reporte Componentes R1'!X181+'Reporte Componentes R1'!Y181+'Reporte Componentes R1'!Z181+'Reporte Componentes R1'!S181+'Rem. Anticipos R2'!R135+'Reporte Componentes R1'!T183+'Reporte Componentes R1'!U183+'Reporte Componentes R1'!W183+'Reporte Componentes R1'!X183+'Reporte Componentes R1'!Y183+'Reporte Componentes R1'!Z183+'Reporte Componentes R1'!S183+'Reversion Pagos R4'!Q160+'Reversion Pagos R4'!R160+'AJUSTES - SF-T'!AA48+'Reporte Componentes R1'!L181+'Rem. Anticipos R2'!K135+'Reversion Pagos R4'!P160+'Reporte Componentes R1'!L183-'BCE SC POR FACT.'!F4+'Reporte Componentes R1'!F182+'Rem. Anticipos R2'!E136+'Reporte Componentes R1'!F184+'Reversion Pagos R4'!D161+'AJUSTES - SF-T'!AD48+'Reporte Componentes R1'!M325+'Reporte Componentes R1'!M327+'Rem. Anticipos R2'!L248+'Reversion Pagos R4'!J196+'Reporte Componentes R1'!N325+'Reporte Componentes R1'!N327+'Rem. Anticipos R2'!M248+'Reversion Pagos R4'!K196+'Reporte Componentes R1'!O325+'Reporte Componentes R1'!O327+'Rem. Anticipos R2'!N248+'Reversion Pagos R4'!L196+'Reporte Componentes R1'!P325+'Reporte Componentes R1'!P327+'Rem. Anticipos R2'!O248+'Reversion Pagos R4'!M196+'Reporte Componentes R1'!Q325+'Reporte Componentes R1'!Q327+'Rem. Anticipos R2'!P248+'Reversion Pagos R4'!N196-INTERVENTORIA!K17+'Reporte Componentes R1'!R325+'Reporte Componentes R1'!V325+'Rem. Anticipos R2'!Q248+'Reporte Componentes R1'!R327+'Reporte Componentes R1'!V327+'Reversion Pagos R4'!O196+'Reporte Componentes R1'!T325+'Reporte Componentes R1'!U325+'Reporte Componentes R1'!W325+'Reporte Componentes R1'!X325+'Reporte Componentes R1'!Y325+'Reporte Componentes R1'!Z325+'Reporte Componentes R1'!S325+'Rem. Anticipos R2'!R248+'Reporte Componentes R1'!T327+'Reporte Componentes R1'!U327+'Reporte Componentes R1'!W327+'Reporte Componentes R1'!X327+'Reporte Componentes R1'!Y327+'Reporte Componentes R1'!Z327+'Reporte Componentes R1'!S327+'Reversion Pagos R4'!Q196+'Reversion Pagos R4'!R196+'AJUSTES - SF-T'!AA49+'Reporte Componentes R1'!L325+'Reporte Componentes R1'!L327+'Rem. Anticipos R2'!K248+'Reversion Pagos R4'!P196-'BCE SC POR FACT.'!F5+'Reporte Componentes R1'!F326+'Rem. Anticipos R2'!E249+'Reporte Componentes R1'!F328+'Reversion Pagos R4'!D197+'AJUSTES - SF-T'!AD49+'Reporte Componentes R1'!M458+'Reporte Componentes R1'!M460+'Rem. Anticipos R2'!L344+'Reversion Pagos R4'!J310+'Reporte Componentes R1'!N458+'Reporte Componentes R1'!N460+'Rem. Anticipos R2'!M344+'Reversion Pagos R4'!K310+'Reporte Componentes R1'!O458+'Reporte Componentes R1'!O460+'Rem. Anticipos R2'!N344+'Reversion Pagos R4'!L310+'Reporte Componentes R1'!P458+'Reporte Componentes R1'!P460+'Rem. Anticipos R2'!O344+'Reversion Pagos R4'!M310+'Reporte Componentes R1'!Q458+'Reporte Componentes R1'!Q460+'Rem. Anticipos R2'!P344+'Reversion Pagos R4'!N310-INTERVENTORIA!K18+'Reporte Componentes R1'!R458+'Reporte Componentes R1'!V458+'Rem. Anticipos R2'!Q344+'Reporte Componentes R1'!R460+'Reporte Componentes R1'!V460+'Reversion Pagos R4'!O310+'Reporte Componentes R1'!T458+'Reporte Componentes R1'!U458+'Reporte Componentes R1'!W458+'Reporte Componentes R1'!X458+'Reporte Componentes R1'!Y458+'Reporte Componentes R1'!Z458+'Reporte Componentes R1'!S458+'Rem. Anticipos R2'!R344+'Reporte Componentes R1'!T460+'Reporte Componentes R1'!U460+'Reporte Componentes R1'!W460+'Reporte Componentes R1'!X460+'Reporte Componentes R1'!Y460+'Reporte Componentes R1'!Z460+'Reporte Componentes R1'!S460+'Reversion Pagos R4'!Q310+'Reversion Pagos R4'!R310+'AJUSTES - SF-T'!AA50+'Reporte Componentes R1'!L458+'Reporte Componentes R1'!L460+'Rem. Anticipos R2'!K344+'Reversion Pagos R4'!P310-'BCE SC POR FACT.'!F6+'Reporte Componentes R1'!F459+'Rem. Anticipos R2'!E345+'Reporte Componentes R1'!F461+'Reversion Pagos R4'!D311+'AJUSTES - SF-T'!AD50+'Reporte Componentes R1'!M552+'Reporte Componentes R1'!M554+'Rem. Anticipos R2'!L415+'Reversion Pagos R4'!J345+'Reporte Componentes R1'!N552+'Reporte Componentes R1'!N554+'Rem. Anticipos R2'!M415+'Reversion Pagos R4'!K345+'Reporte Componentes R1'!O552+'Reporte Componentes R1'!O554+'Rem. Anticipos R2'!N415+'Reversion Pagos R4'!L345+'Reporte Componentes R1'!P552+'Reporte Componentes R1'!P554+'Rem. Anticipos R2'!O415+'Reversion Pagos R4'!M345+'Reporte Componentes R1'!Q552+'Reporte Componentes R1'!Q554+'Rem. Anticipos R2'!P415+'Reversion Pagos R4'!N345-INTERVENTORIA!Q19+'Reporte Componentes R1'!R552+'Reporte Componentes R1'!V552+'Rem. Anticipos R2'!Q415+'Reporte Componentes R1'!R554+'Reporte Componentes R1'!V554+'Reversion Pagos R4'!O345+'Reporte Componentes R1'!T552+'Reporte Componentes R1'!U552+'Reporte Componentes R1'!W552+'Reporte Componentes R1'!X552+'Reporte Componentes R1'!Y552+'Reporte Componentes R1'!Z552+'Reporte Componentes R1'!S552+'Rem. Anticipos R2'!R415+'Reporte Componentes R1'!T554+'Reporte Componentes R1'!U554+'Reporte Componentes R1'!W554+'Reporte Componentes R1'!X554+'Reporte Componentes R1'!Y554+'Reporte Componentes R1'!Z554+'Reporte Componentes R1'!S554+'Reversion Pagos R4'!Q345+'Reversion Pagos R4'!R345+'AJUSTES - SF-T'!AA51+'Reporte Componentes R1'!L552+'Reporte Componentes R1'!L554+'Rem. Anticipos R2'!K415+'Reversion Pagos R4'!P345-'BCE SC POR FACT.'!F7+'Reporte Componentes R1'!F553+'Rem. Anticipos R2'!E416+'Reporte Componentes R1'!F555+'Reversion Pagos R4'!D346+'AJUSTES - SF-T'!AD51+N21=N14</f>
        <v>1</v>
      </c>
    </row>
    <row r="30" spans="2:16" x14ac:dyDescent="0.35">
      <c r="M30" s="647"/>
    </row>
    <row r="31" spans="2:16" x14ac:dyDescent="0.35">
      <c r="I31" s="693"/>
      <c r="J31" s="695"/>
    </row>
    <row r="32" spans="2:16" x14ac:dyDescent="0.35">
      <c r="J32" s="696"/>
    </row>
  </sheetData>
  <conditionalFormatting sqref="D24:H29 J24:L29">
    <cfRule type="cellIs" dxfId="4" priority="2" operator="notEqual">
      <formula>TRUE</formula>
    </cfRule>
  </conditionalFormatting>
  <conditionalFormatting sqref="M24:O28">
    <cfRule type="cellIs" dxfId="3" priority="1" operator="notEqual">
      <formula>TRUE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M125"/>
  <sheetViews>
    <sheetView topLeftCell="A97" zoomScaleNormal="100" workbookViewId="0">
      <selection activeCell="A130" sqref="A130"/>
    </sheetView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7265625" style="1" customWidth="1"/>
    <col min="4" max="4" width="13.7265625" style="1" bestFit="1" customWidth="1"/>
    <col min="5" max="5" width="16" style="1" customWidth="1"/>
    <col min="6" max="7" width="14.7265625" style="1" customWidth="1"/>
    <col min="8" max="8" width="16.26953125" style="1" customWidth="1"/>
    <col min="9" max="9" width="20.26953125" style="1" bestFit="1" customWidth="1"/>
    <col min="10" max="10" width="15.54296875" style="1" customWidth="1"/>
    <col min="11" max="11" width="17.54296875" style="1" customWidth="1"/>
    <col min="12" max="12" width="17" style="1" bestFit="1" customWidth="1"/>
    <col min="13" max="13" width="19.7265625" style="1" customWidth="1"/>
    <col min="14" max="14" width="15.26953125" style="1" customWidth="1"/>
    <col min="15" max="15" width="16.7265625" style="1" customWidth="1"/>
    <col min="16" max="16" width="3.7265625" style="1" customWidth="1"/>
    <col min="17" max="17" width="2.7265625" style="1" customWidth="1"/>
    <col min="18" max="18" width="4.54296875" style="1" customWidth="1"/>
    <col min="19" max="19" width="11.26953125" style="1" customWidth="1"/>
    <col min="20" max="20" width="37.54296875" style="1" bestFit="1" customWidth="1"/>
    <col min="21" max="21" width="19.26953125" style="1" customWidth="1"/>
    <col min="22" max="22" width="17.7265625" style="1" customWidth="1"/>
    <col min="23" max="23" width="16.453125" style="1" customWidth="1"/>
    <col min="24" max="24" width="17.26953125" style="1" customWidth="1"/>
    <col min="25" max="25" width="15.7265625" style="1" customWidth="1"/>
    <col min="26" max="26" width="16" style="1" customWidth="1"/>
    <col min="27" max="27" width="15" style="1" customWidth="1"/>
    <col min="28" max="29" width="16.7265625" style="1" customWidth="1"/>
    <col min="30" max="31" width="15.453125" style="1" customWidth="1"/>
    <col min="32" max="32" width="16.26953125" style="1" customWidth="1"/>
    <col min="33" max="33" width="18.26953125" style="1" customWidth="1"/>
    <col min="34" max="34" width="13.7265625" style="1" customWidth="1"/>
    <col min="35" max="35" width="3.453125" style="1" customWidth="1"/>
    <col min="36" max="36" width="13.7265625" style="1" bestFit="1" customWidth="1"/>
    <col min="37" max="16384" width="11.453125" style="1"/>
  </cols>
  <sheetData>
    <row r="1" spans="2:39" ht="12" thickBot="1" x14ac:dyDescent="0.3">
      <c r="Q1" s="4"/>
      <c r="AI1" s="4"/>
    </row>
    <row r="2" spans="2:39" x14ac:dyDescent="0.25">
      <c r="B2" s="5"/>
      <c r="C2" s="3"/>
      <c r="D2" s="6"/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9" ht="14" x14ac:dyDescent="0.3">
      <c r="B3" s="8"/>
      <c r="F3" s="26" t="s">
        <v>8</v>
      </c>
      <c r="G3" s="26"/>
      <c r="I3" s="26" t="s">
        <v>16</v>
      </c>
      <c r="J3" s="25"/>
      <c r="M3" s="2"/>
      <c r="N3" s="50"/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/>
      <c r="AD3" s="50"/>
      <c r="AE3" s="84"/>
      <c r="AF3" s="48"/>
      <c r="AG3" s="2"/>
      <c r="AI3" s="4"/>
    </row>
    <row r="4" spans="2:39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9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9" ht="15.5" x14ac:dyDescent="0.35">
      <c r="B6" s="8"/>
      <c r="C6" s="2"/>
      <c r="D6" s="9"/>
      <c r="F6" s="473" t="s">
        <v>121</v>
      </c>
      <c r="G6" s="473"/>
      <c r="H6" s="474"/>
      <c r="I6" s="475"/>
      <c r="J6" s="2"/>
      <c r="O6" s="10"/>
      <c r="P6" s="2"/>
      <c r="Q6" s="4"/>
      <c r="S6" s="8"/>
      <c r="T6" s="41" t="s">
        <v>1</v>
      </c>
      <c r="U6" s="41" t="s">
        <v>35</v>
      </c>
      <c r="V6" s="2"/>
      <c r="X6" s="2"/>
      <c r="Y6" s="2"/>
      <c r="AF6" s="48"/>
      <c r="AG6" s="2"/>
      <c r="AI6" s="4"/>
    </row>
    <row r="7" spans="2:39" ht="12" thickBot="1" x14ac:dyDescent="0.3">
      <c r="B7" s="8"/>
      <c r="C7" s="2"/>
      <c r="D7" s="241"/>
      <c r="F7" s="2"/>
      <c r="G7" s="9"/>
      <c r="H7" s="9"/>
      <c r="J7" s="2"/>
      <c r="K7" s="9"/>
      <c r="O7" s="10"/>
      <c r="P7" s="2"/>
      <c r="Q7" s="4"/>
      <c r="S7" s="8"/>
      <c r="V7" s="9"/>
      <c r="Y7" s="9"/>
      <c r="AF7" s="48"/>
      <c r="AG7" s="2"/>
      <c r="AI7" s="4"/>
      <c r="AJ7" s="1" t="s">
        <v>1</v>
      </c>
    </row>
    <row r="8" spans="2:39" ht="72" customHeight="1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0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21" t="s">
        <v>105</v>
      </c>
      <c r="AE8" s="121" t="s">
        <v>104</v>
      </c>
      <c r="AF8" s="39" t="s">
        <v>23</v>
      </c>
      <c r="AG8" s="275"/>
      <c r="AI8" s="4"/>
    </row>
    <row r="9" spans="2:39" s="307" customFormat="1" x14ac:dyDescent="0.25">
      <c r="B9" s="305">
        <v>1</v>
      </c>
      <c r="C9" s="306" t="s">
        <v>10</v>
      </c>
      <c r="D9" s="293">
        <f>'CONSOLIDADO_TOTAL RECAUDO'!D104</f>
        <v>17450250542.779995</v>
      </c>
      <c r="E9" s="294">
        <f>'CONSOLIDADO_TOTAL RECAUDO'!E104</f>
        <v>1002730527.37</v>
      </c>
      <c r="F9" s="294">
        <f>'CONSOLIDADO_TOTAL RECAUDO'!F104</f>
        <v>559513165.82999992</v>
      </c>
      <c r="G9" s="294">
        <f>'CONSOLIDADO_TOTAL RECAUDO'!G104</f>
        <v>296340285.38</v>
      </c>
      <c r="H9" s="294">
        <f>'CONSOLIDADO_TOTAL RECAUDO'!H104</f>
        <v>4858821909</v>
      </c>
      <c r="I9" s="294">
        <f>'CONSOLIDADO_TOTAL RECAUDO'!I104</f>
        <v>182208476.03000003</v>
      </c>
      <c r="J9" s="290">
        <f>'CONSOLIDADO_TOTAL RECAUDO'!J104</f>
        <v>2589335716.54</v>
      </c>
      <c r="K9" s="295">
        <f>'CONSOLIDADO_TOTAL RECAUDO'!K104</f>
        <v>7961300462.6299944</v>
      </c>
      <c r="L9" s="296">
        <f>'CONSOLIDADO_TOTAL RECAUDO'!L104</f>
        <v>189185987</v>
      </c>
      <c r="M9" s="295">
        <f>'CONSOLIDADO_TOTAL RECAUDO'!M104</f>
        <v>7772114475.6299944</v>
      </c>
      <c r="N9" s="296">
        <f>'CONSOLIDADO_TOTAL RECAUDO'!N104</f>
        <v>30635669.579999998</v>
      </c>
      <c r="O9" s="295">
        <f>'CONSOLIDADO_TOTAL RECAUDO'!O104</f>
        <v>7802750145.2099943</v>
      </c>
      <c r="Q9" s="308"/>
      <c r="S9" s="305">
        <v>1</v>
      </c>
      <c r="T9" s="306" t="s">
        <v>10</v>
      </c>
      <c r="U9" s="309">
        <f>'CONSOLIDADO_TOTAL RECAUDO'!U104</f>
        <v>1599792140.1300001</v>
      </c>
      <c r="V9" s="310">
        <f>'CONSOLIDADO_TOTAL RECAUDO'!V104</f>
        <v>1528705400.8799999</v>
      </c>
      <c r="W9" s="310">
        <f>'CONSOLIDADO_TOTAL RECAUDO'!W104</f>
        <v>7192055638.8400002</v>
      </c>
      <c r="X9" s="310">
        <f>'CONSOLIDADO_TOTAL RECAUDO'!X104</f>
        <v>2730289262.8700004</v>
      </c>
      <c r="Y9" s="311">
        <f>'CONSOLIDADO_TOTAL RECAUDO'!Y104</f>
        <v>297320754.99000001</v>
      </c>
      <c r="Z9" s="312">
        <f>'CONSOLIDADO_TOTAL RECAUDO'!Z104</f>
        <v>-189185987</v>
      </c>
      <c r="AA9" s="313">
        <f>'CONSOLIDADO_TOTAL RECAUDO'!AA104</f>
        <v>-46885.63</v>
      </c>
      <c r="AB9" s="296">
        <f>'CONSOLIDADO_TOTAL RECAUDO'!AB104</f>
        <v>30635669.579999998</v>
      </c>
      <c r="AC9" s="313">
        <f>'CONSOLIDADO_TOTAL RECAUDO'!AC104</f>
        <v>392.74</v>
      </c>
      <c r="AD9" s="293">
        <f>'CONSOLIDADO_TOTAL RECAUDO'!AD104</f>
        <v>-5386816242.1900005</v>
      </c>
      <c r="AE9" s="293">
        <f>'CONSOLIDADO_TOTAL RECAUDO'!AE104</f>
        <v>-2797480525.6500001</v>
      </c>
      <c r="AF9" s="315">
        <f>'CONSOLIDADO_TOTAL RECAUDO'!AF104</f>
        <v>7802750145.210001</v>
      </c>
      <c r="AG9" s="523">
        <f>'CONSOLIDADO_TOTAL RECAUDO'!AG104</f>
        <v>0</v>
      </c>
      <c r="AH9" s="1" t="s">
        <v>1</v>
      </c>
      <c r="AI9" s="308"/>
      <c r="AM9" s="335"/>
    </row>
    <row r="10" spans="2:39" s="307" customFormat="1" x14ac:dyDescent="0.25">
      <c r="B10" s="316">
        <v>2</v>
      </c>
      <c r="C10" s="317" t="s">
        <v>11</v>
      </c>
      <c r="D10" s="293">
        <f>'CONSOLIDADO_TOTAL RECAUDO'!D105</f>
        <v>14147357755.390001</v>
      </c>
      <c r="E10" s="294">
        <f>'CONSOLIDADO_TOTAL RECAUDO'!E105</f>
        <v>1096241904.79</v>
      </c>
      <c r="F10" s="294">
        <f>'CONSOLIDADO_TOTAL RECAUDO'!F105</f>
        <v>607688510.58999991</v>
      </c>
      <c r="G10" s="294">
        <f>'CONSOLIDADO_TOTAL RECAUDO'!G105</f>
        <v>320746087.44</v>
      </c>
      <c r="H10" s="294">
        <f>'CONSOLIDADO_TOTAL RECAUDO'!H105</f>
        <v>4486156883.4699993</v>
      </c>
      <c r="I10" s="294">
        <f>'CONSOLIDADO_TOTAL RECAUDO'!I105</f>
        <v>152499569.92999998</v>
      </c>
      <c r="J10" s="290">
        <f>'CONSOLIDADO_TOTAL RECAUDO'!J105</f>
        <v>-5093259797.2199993</v>
      </c>
      <c r="K10" s="297">
        <f>'CONSOLIDADO_TOTAL RECAUDO'!K105</f>
        <v>12577284596.390001</v>
      </c>
      <c r="L10" s="296">
        <f>'CONSOLIDADO_TOTAL RECAUDO'!L105</f>
        <v>266580255</v>
      </c>
      <c r="M10" s="297">
        <f>'CONSOLIDADO_TOTAL RECAUDO'!M105</f>
        <v>12310704341.390001</v>
      </c>
      <c r="N10" s="296">
        <f>'CONSOLIDADO_TOTAL RECAUDO'!N105</f>
        <v>43616073.719999999</v>
      </c>
      <c r="O10" s="297">
        <f>'CONSOLIDADO_TOTAL RECAUDO'!O105</f>
        <v>12354320415.110001</v>
      </c>
      <c r="Q10" s="308"/>
      <c r="S10" s="316">
        <v>2</v>
      </c>
      <c r="T10" s="317" t="s">
        <v>11</v>
      </c>
      <c r="U10" s="318">
        <f>'CONSOLIDADO_TOTAL RECAUDO'!U105</f>
        <v>1338675874.7699997</v>
      </c>
      <c r="V10" s="319">
        <f>'CONSOLIDADO_TOTAL RECAUDO'!V105</f>
        <v>1326046281.8399999</v>
      </c>
      <c r="W10" s="319">
        <f>'CONSOLIDADO_TOTAL RECAUDO'!W105</f>
        <v>6214923336.9400005</v>
      </c>
      <c r="X10" s="319">
        <f>'CONSOLIDADO_TOTAL RECAUDO'!X105</f>
        <v>2154507355.5699997</v>
      </c>
      <c r="Y10" s="320">
        <f>'CONSOLIDADO_TOTAL RECAUDO'!Y105</f>
        <v>249017603.29999998</v>
      </c>
      <c r="Z10" s="321">
        <f>'CONSOLIDADO_TOTAL RECAUDO'!Z105</f>
        <v>-266580255</v>
      </c>
      <c r="AA10" s="322">
        <f>'CONSOLIDADO_TOTAL RECAUDO'!AA105</f>
        <v>61423.42</v>
      </c>
      <c r="AB10" s="296">
        <f>'CONSOLIDADO_TOTAL RECAUDO'!AB105</f>
        <v>43616073.719999999</v>
      </c>
      <c r="AC10" s="322">
        <f>'CONSOLIDADO_TOTAL RECAUDO'!AC105</f>
        <v>-56807.54</v>
      </c>
      <c r="AD10" s="293">
        <f>'CONSOLIDADO_TOTAL RECAUDO'!AD105</f>
        <v>1294109528.0899997</v>
      </c>
      <c r="AE10" s="293">
        <f>'CONSOLIDADO_TOTAL RECAUDO'!AE105</f>
        <v>-3799150269.1299996</v>
      </c>
      <c r="AF10" s="324">
        <f>'CONSOLIDADO_TOTAL RECAUDO'!AF105</f>
        <v>12354320415.109997</v>
      </c>
      <c r="AG10" s="524">
        <f>'CONSOLIDADO_TOTAL RECAUDO'!AG105</f>
        <v>0</v>
      </c>
      <c r="AH10" s="1" t="s">
        <v>1</v>
      </c>
      <c r="AI10" s="308"/>
      <c r="AM10" s="335"/>
    </row>
    <row r="11" spans="2:39" s="307" customFormat="1" x14ac:dyDescent="0.25">
      <c r="B11" s="316">
        <v>3</v>
      </c>
      <c r="C11" s="317" t="s">
        <v>12</v>
      </c>
      <c r="D11" s="293">
        <f>'CONSOLIDADO_TOTAL RECAUDO'!D106</f>
        <v>10891338739.480001</v>
      </c>
      <c r="E11" s="294">
        <f>'CONSOLIDADO_TOTAL RECAUDO'!E106</f>
        <v>710706076.85000002</v>
      </c>
      <c r="F11" s="294">
        <f>'CONSOLIDADO_TOTAL RECAUDO'!F106</f>
        <v>397477480.34999996</v>
      </c>
      <c r="G11" s="294">
        <f>'CONSOLIDADO_TOTAL RECAUDO'!G106</f>
        <v>210365934.29999998</v>
      </c>
      <c r="H11" s="294">
        <f>'CONSOLIDADO_TOTAL RECAUDO'!H106</f>
        <v>3089785742.8100004</v>
      </c>
      <c r="I11" s="294">
        <f>'CONSOLIDADO_TOTAL RECAUDO'!I106</f>
        <v>102591059.10999998</v>
      </c>
      <c r="J11" s="290">
        <f>'CONSOLIDADO_TOTAL RECAUDO'!J106</f>
        <v>-1230396998.4399998</v>
      </c>
      <c r="K11" s="297">
        <f>'CONSOLIDADO_TOTAL RECAUDO'!K106</f>
        <v>7610809444.500001</v>
      </c>
      <c r="L11" s="296">
        <f>'CONSOLIDADO_TOTAL RECAUDO'!L106</f>
        <v>154788535</v>
      </c>
      <c r="M11" s="297">
        <f>'CONSOLIDADO_TOTAL RECAUDO'!M106</f>
        <v>7456020909.500001</v>
      </c>
      <c r="N11" s="296">
        <f>'CONSOLIDADO_TOTAL RECAUDO'!N106</f>
        <v>25562528.48</v>
      </c>
      <c r="O11" s="297">
        <f>'CONSOLIDADO_TOTAL RECAUDO'!O106</f>
        <v>7481583437.9800005</v>
      </c>
      <c r="Q11" s="308"/>
      <c r="S11" s="316">
        <v>3</v>
      </c>
      <c r="T11" s="317" t="s">
        <v>12</v>
      </c>
      <c r="U11" s="318">
        <f>'CONSOLIDADO_TOTAL RECAUDO'!U106</f>
        <v>900404437.05000007</v>
      </c>
      <c r="V11" s="319">
        <f>'CONSOLIDADO_TOTAL RECAUDO'!V106</f>
        <v>880251835.97000015</v>
      </c>
      <c r="W11" s="319">
        <f>'CONSOLIDADO_TOTAL RECAUDO'!W106</f>
        <v>4143016465.7999997</v>
      </c>
      <c r="X11" s="319">
        <f>'CONSOLIDADO_TOTAL RECAUDO'!X106</f>
        <v>1683861343.1799998</v>
      </c>
      <c r="Y11" s="320">
        <f>'CONSOLIDADO_TOTAL RECAUDO'!Y106</f>
        <v>167421357.00000003</v>
      </c>
      <c r="Z11" s="321">
        <f>'CONSOLIDADO_TOTAL RECAUDO'!Z106</f>
        <v>-154788535</v>
      </c>
      <c r="AA11" s="322">
        <f>'CONSOLIDADO_TOTAL RECAUDO'!AA106</f>
        <v>46657</v>
      </c>
      <c r="AB11" s="296">
        <f>'CONSOLIDADO_TOTAL RECAUDO'!AB106</f>
        <v>25562528.48</v>
      </c>
      <c r="AC11" s="322">
        <f>'CONSOLIDADO_TOTAL RECAUDO'!AC106</f>
        <v>5.47</v>
      </c>
      <c r="AD11" s="293">
        <f>'CONSOLIDADO_TOTAL RECAUDO'!AD106</f>
        <v>-164192656.97000003</v>
      </c>
      <c r="AE11" s="293">
        <f>'CONSOLIDADO_TOTAL RECAUDO'!AE106</f>
        <v>-1394589655.4099998</v>
      </c>
      <c r="AF11" s="324">
        <f>'CONSOLIDADO_TOTAL RECAUDO'!AF106</f>
        <v>7481583437.9799995</v>
      </c>
      <c r="AG11" s="524">
        <f>'CONSOLIDADO_TOTAL RECAUDO'!AG106</f>
        <v>0</v>
      </c>
      <c r="AH11" s="1" t="s">
        <v>1</v>
      </c>
      <c r="AI11" s="308"/>
      <c r="AM11" s="335"/>
    </row>
    <row r="12" spans="2:39" s="307" customFormat="1" x14ac:dyDescent="0.25">
      <c r="B12" s="316">
        <v>4</v>
      </c>
      <c r="C12" s="317" t="s">
        <v>13</v>
      </c>
      <c r="D12" s="293">
        <f>'CONSOLIDADO_TOTAL RECAUDO'!D107</f>
        <v>11508947206.76</v>
      </c>
      <c r="E12" s="294">
        <f>'CONSOLIDADO_TOTAL RECAUDO'!E107</f>
        <v>651620353.97000015</v>
      </c>
      <c r="F12" s="294">
        <f>'CONSOLIDADO_TOTAL RECAUDO'!F107</f>
        <v>362076890.99000001</v>
      </c>
      <c r="G12" s="294">
        <f>'CONSOLIDADO_TOTAL RECAUDO'!G107</f>
        <v>191424494.84999999</v>
      </c>
      <c r="H12" s="294">
        <f>'CONSOLIDADO_TOTAL RECAUDO'!H107</f>
        <v>2850519494.2000003</v>
      </c>
      <c r="I12" s="294">
        <f>'CONSOLIDADO_TOTAL RECAUDO'!I107</f>
        <v>98433844.099999994</v>
      </c>
      <c r="J12" s="290">
        <f>'CONSOLIDADO_TOTAL RECAUDO'!J107</f>
        <v>38133905.800000012</v>
      </c>
      <c r="K12" s="297">
        <f>'CONSOLIDADO_TOTAL RECAUDO'!K107</f>
        <v>7316738222.8499994</v>
      </c>
      <c r="L12" s="296">
        <f>'CONSOLIDADO_TOTAL RECAUDO'!L107</f>
        <v>120391083</v>
      </c>
      <c r="M12" s="297">
        <f>'CONSOLIDADO_TOTAL RECAUDO'!M107</f>
        <v>7196347139.8499994</v>
      </c>
      <c r="N12" s="296">
        <f>'CONSOLIDADO_TOTAL RECAUDO'!N107</f>
        <v>23185407.98</v>
      </c>
      <c r="O12" s="297">
        <f>'CONSOLIDADO_TOTAL RECAUDO'!O107</f>
        <v>7219532547.829999</v>
      </c>
      <c r="Q12" s="308"/>
      <c r="S12" s="316">
        <v>4</v>
      </c>
      <c r="T12" s="317" t="s">
        <v>13</v>
      </c>
      <c r="U12" s="318">
        <f>'CONSOLIDADO_TOTAL RECAUDO'!U107</f>
        <v>863496515.32999992</v>
      </c>
      <c r="V12" s="319">
        <f>'CONSOLIDADO_TOTAL RECAUDO'!V107</f>
        <v>850915238.78999996</v>
      </c>
      <c r="W12" s="319">
        <f>'CONSOLIDADO_TOTAL RECAUDO'!W107</f>
        <v>4336930905.7300014</v>
      </c>
      <c r="X12" s="319">
        <f>'CONSOLIDADO_TOTAL RECAUDO'!X107</f>
        <v>1725012318.6899998</v>
      </c>
      <c r="Y12" s="320">
        <f>'CONSOLIDADO_TOTAL RECAUDO'!Y107</f>
        <v>160878230.38000003</v>
      </c>
      <c r="Z12" s="321">
        <f>'CONSOLIDADO_TOTAL RECAUDO'!Z107</f>
        <v>-120391083</v>
      </c>
      <c r="AA12" s="322">
        <f>'CONSOLIDADO_TOTAL RECAUDO'!AA107</f>
        <v>-64310.54</v>
      </c>
      <c r="AB12" s="296">
        <f>'CONSOLIDADO_TOTAL RECAUDO'!AB107</f>
        <v>23185407.98</v>
      </c>
      <c r="AC12" s="322">
        <f>'CONSOLIDADO_TOTAL RECAUDO'!AC107</f>
        <v>181.07</v>
      </c>
      <c r="AD12" s="293">
        <f>'CONSOLIDADO_TOTAL RECAUDO'!AD107</f>
        <v>-620430856.60000014</v>
      </c>
      <c r="AE12" s="293">
        <f>'CONSOLIDADO_TOTAL RECAUDO'!AE107</f>
        <v>-582296950.80000007</v>
      </c>
      <c r="AF12" s="324">
        <f>'CONSOLIDADO_TOTAL RECAUDO'!AF107</f>
        <v>7219532547.8299999</v>
      </c>
      <c r="AG12" s="524">
        <f>'CONSOLIDADO_TOTAL RECAUDO'!AG107</f>
        <v>0</v>
      </c>
      <c r="AH12" s="1" t="s">
        <v>1</v>
      </c>
      <c r="AI12" s="308"/>
      <c r="AM12" s="335"/>
    </row>
    <row r="13" spans="2:39" s="307" customFormat="1" ht="12" thickBot="1" x14ac:dyDescent="0.3">
      <c r="B13" s="326">
        <v>5</v>
      </c>
      <c r="C13" s="327" t="s">
        <v>14</v>
      </c>
      <c r="D13" s="298">
        <f>'CONSOLIDADO_TOTAL RECAUDO'!D108</f>
        <v>9147179378.3299999</v>
      </c>
      <c r="E13" s="299">
        <f>'CONSOLIDADO_TOTAL RECAUDO'!E108</f>
        <v>501141808.77999997</v>
      </c>
      <c r="F13" s="299">
        <f>'CONSOLIDADO_TOTAL RECAUDO'!F108</f>
        <v>279950730.87</v>
      </c>
      <c r="G13" s="299">
        <f>'CONSOLIDADO_TOTAL RECAUDO'!G108</f>
        <v>148242908.43000001</v>
      </c>
      <c r="H13" s="299">
        <f>'CONSOLIDADO_TOTAL RECAUDO'!H108</f>
        <v>2100067179.73</v>
      </c>
      <c r="I13" s="299">
        <f>'CONSOLIDADO_TOTAL RECAUDO'!I108</f>
        <v>75390757.040000021</v>
      </c>
      <c r="J13" s="291">
        <f>'CONSOLIDADO_TOTAL RECAUDO'!J108</f>
        <v>-1224100690.4600003</v>
      </c>
      <c r="K13" s="297">
        <f>'CONSOLIDADO_TOTAL RECAUDO'!K108</f>
        <v>7266486683.9399986</v>
      </c>
      <c r="L13" s="296">
        <f>'CONSOLIDADO_TOTAL RECAUDO'!L108</f>
        <v>128990445</v>
      </c>
      <c r="M13" s="300">
        <f>'CONSOLIDADO_TOTAL RECAUDO'!M108</f>
        <v>7137496238.9399986</v>
      </c>
      <c r="N13" s="301">
        <f>'CONSOLIDADO_TOTAL RECAUDO'!N108</f>
        <v>32575938.379999999</v>
      </c>
      <c r="O13" s="300">
        <f>'CONSOLIDADO_TOTAL RECAUDO'!O108</f>
        <v>7170072177.3199987</v>
      </c>
      <c r="Q13" s="308"/>
      <c r="S13" s="326">
        <v>5</v>
      </c>
      <c r="T13" s="327" t="s">
        <v>14</v>
      </c>
      <c r="U13" s="298">
        <f>'CONSOLIDADO_TOTAL RECAUDO'!U108</f>
        <v>661834829.70999992</v>
      </c>
      <c r="V13" s="299">
        <f>'CONSOLIDADO_TOTAL RECAUDO'!V108</f>
        <v>643876201.64999986</v>
      </c>
      <c r="W13" s="299">
        <f>'CONSOLIDADO_TOTAL RECAUDO'!W108</f>
        <v>3304216945.4500003</v>
      </c>
      <c r="X13" s="299">
        <f>'CONSOLIDADO_TOTAL RECAUDO'!X108</f>
        <v>1500679343.6099999</v>
      </c>
      <c r="Y13" s="291">
        <f>'CONSOLIDADO_TOTAL RECAUDO'!Y108</f>
        <v>123096144.54000001</v>
      </c>
      <c r="Z13" s="321">
        <f>'CONSOLIDADO_TOTAL RECAUDO'!Z108</f>
        <v>-128990445</v>
      </c>
      <c r="AA13" s="322">
        <f>'CONSOLIDADO_TOTAL RECAUDO'!AA108</f>
        <v>-16582.77</v>
      </c>
      <c r="AB13" s="296">
        <f>'CONSOLIDADO_TOTAL RECAUDO'!AB108</f>
        <v>32575938.379999999</v>
      </c>
      <c r="AC13" s="322">
        <f>'CONSOLIDADO_TOTAL RECAUDO'!AC108</f>
        <v>-105.68</v>
      </c>
      <c r="AD13" s="293">
        <f>'CONSOLIDADO_TOTAL RECAUDO'!AD108</f>
        <v>1032799907.4300003</v>
      </c>
      <c r="AE13" s="293">
        <f>'CONSOLIDADO_TOTAL RECAUDO'!AE108</f>
        <v>-191300783.03</v>
      </c>
      <c r="AF13" s="324">
        <f>'CONSOLIDADO_TOTAL RECAUDO'!AF108</f>
        <v>7170072177.3199987</v>
      </c>
      <c r="AG13" s="525">
        <f>'CONSOLIDADO_TOTAL RECAUDO'!AG108</f>
        <v>0</v>
      </c>
      <c r="AH13" s="1" t="s">
        <v>1</v>
      </c>
      <c r="AI13" s="308"/>
      <c r="AM13" s="335"/>
    </row>
    <row r="14" spans="2:39" s="307" customFormat="1" ht="13.5" thickBot="1" x14ac:dyDescent="0.35">
      <c r="B14" s="329"/>
      <c r="C14" s="330" t="s">
        <v>2</v>
      </c>
      <c r="D14" s="292">
        <f>'CONSOLIDADO_TOTAL RECAUDO'!D109</f>
        <v>63145073622.740005</v>
      </c>
      <c r="E14" s="292">
        <f>'CONSOLIDADO_TOTAL RECAUDO'!E109</f>
        <v>3962440671.7600002</v>
      </c>
      <c r="F14" s="292">
        <f>'CONSOLIDADO_TOTAL RECAUDO'!F109</f>
        <v>2206706778.6299996</v>
      </c>
      <c r="G14" s="292">
        <f>'CONSOLIDADO_TOTAL RECAUDO'!G109</f>
        <v>1167119710.3999999</v>
      </c>
      <c r="H14" s="292">
        <f>'CONSOLIDADO_TOTAL RECAUDO'!H109</f>
        <v>17385351209.209999</v>
      </c>
      <c r="I14" s="292">
        <f>'CONSOLIDADO_TOTAL RECAUDO'!I109</f>
        <v>611123706.21000004</v>
      </c>
      <c r="J14" s="292">
        <f>'CONSOLIDADO_TOTAL RECAUDO'!J109</f>
        <v>-4920287863.7799988</v>
      </c>
      <c r="K14" s="302">
        <f>'CONSOLIDADO_TOTAL RECAUDO'!K109</f>
        <v>42732619410.309998</v>
      </c>
      <c r="L14" s="303">
        <f>'CONSOLIDADO_TOTAL RECAUDO'!L109</f>
        <v>859936305</v>
      </c>
      <c r="M14" s="304">
        <f>'CONSOLIDADO_TOTAL RECAUDO'!M109</f>
        <v>41872683105.309998</v>
      </c>
      <c r="N14" s="303">
        <f>'CONSOLIDADO_TOTAL RECAUDO'!N109</f>
        <v>155575618.14000002</v>
      </c>
      <c r="O14" s="304">
        <f>'CONSOLIDADO_TOTAL RECAUDO'!O109</f>
        <v>42028258723.449997</v>
      </c>
      <c r="P14" s="331"/>
      <c r="Q14" s="308"/>
      <c r="S14" s="329"/>
      <c r="T14" s="330" t="s">
        <v>2</v>
      </c>
      <c r="U14" s="332">
        <f>'CONSOLIDADO_TOTAL RECAUDO'!U109</f>
        <v>5364203796.9899998</v>
      </c>
      <c r="V14" s="332">
        <f>'CONSOLIDADO_TOTAL RECAUDO'!V109</f>
        <v>5229794959.1299992</v>
      </c>
      <c r="W14" s="332">
        <f>'CONSOLIDADO_TOTAL RECAUDO'!W109</f>
        <v>25191143292.760006</v>
      </c>
      <c r="X14" s="332">
        <f>'CONSOLIDADO_TOTAL RECAUDO'!X109</f>
        <v>9794349623.9200001</v>
      </c>
      <c r="Y14" s="332">
        <f>'CONSOLIDADO_TOTAL RECAUDO'!Y109</f>
        <v>997734090.20999992</v>
      </c>
      <c r="Z14" s="292">
        <f>'CONSOLIDADO_TOTAL RECAUDO'!Z109</f>
        <v>-859936305</v>
      </c>
      <c r="AA14" s="292">
        <f>'CONSOLIDADO_TOTAL RECAUDO'!AA109</f>
        <v>-19698.52</v>
      </c>
      <c r="AB14" s="292">
        <f>'CONSOLIDADO_TOTAL RECAUDO'!AB109</f>
        <v>155575618.14000002</v>
      </c>
      <c r="AC14" s="292">
        <f>'CONSOLIDADO_TOTAL RECAUDO'!AC109</f>
        <v>-56333.94</v>
      </c>
      <c r="AD14" s="292">
        <f>'CONSOLIDADO_TOTAL RECAUDO'!AD109</f>
        <v>-3844530320.2400007</v>
      </c>
      <c r="AE14" s="292">
        <f>'CONSOLIDADO_TOTAL RECAUDO'!AE109</f>
        <v>-8764818184.0200005</v>
      </c>
      <c r="AF14" s="333">
        <f>'CONSOLIDADO_TOTAL RECAUDO'!AF109</f>
        <v>42028258723.449997</v>
      </c>
      <c r="AG14" s="526">
        <f>'CONSOLIDADO_TOTAL RECAUDO'!AG109</f>
        <v>0</v>
      </c>
      <c r="AH14" s="1" t="s">
        <v>1</v>
      </c>
      <c r="AI14" s="308"/>
      <c r="AM14" s="335"/>
    </row>
    <row r="15" spans="2:39" x14ac:dyDescent="0.25">
      <c r="B15" s="2"/>
      <c r="C15" s="2"/>
      <c r="D15" s="450"/>
      <c r="E15" s="450"/>
      <c r="F15" s="450"/>
      <c r="G15" s="450"/>
      <c r="H15" s="450"/>
      <c r="I15" s="450"/>
      <c r="K15" s="450"/>
      <c r="L15" s="450"/>
      <c r="M15" s="450"/>
      <c r="N15" s="450"/>
      <c r="O15" s="450"/>
      <c r="Q15" s="4"/>
      <c r="S15" s="2"/>
      <c r="T15" s="2"/>
      <c r="U15" s="450"/>
      <c r="V15" s="450"/>
      <c r="W15" s="450"/>
      <c r="X15" s="450"/>
      <c r="Y15" s="450"/>
      <c r="AF15" s="450"/>
      <c r="AH15" s="1" t="s">
        <v>1</v>
      </c>
      <c r="AI15" s="4"/>
    </row>
    <row r="16" spans="2:39" x14ac:dyDescent="0.25">
      <c r="B16" s="2"/>
      <c r="C16" s="2" t="s">
        <v>1</v>
      </c>
      <c r="D16" s="541"/>
      <c r="E16" s="541"/>
      <c r="F16" s="541"/>
      <c r="G16" s="541"/>
      <c r="H16" s="541"/>
      <c r="I16" s="541"/>
      <c r="K16" s="541"/>
      <c r="L16" s="541"/>
      <c r="M16" s="541"/>
      <c r="N16" s="541"/>
      <c r="O16" s="541"/>
      <c r="Q16" s="4"/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</v>
      </c>
      <c r="AH16" s="1" t="s">
        <v>1</v>
      </c>
      <c r="AI16" s="4"/>
    </row>
    <row r="17" spans="1:39" x14ac:dyDescent="0.25">
      <c r="A17" s="4"/>
      <c r="B17" s="34"/>
      <c r="C17" s="34"/>
      <c r="D17" s="476"/>
      <c r="E17" s="476"/>
      <c r="F17" s="476"/>
      <c r="G17" s="476"/>
      <c r="H17" s="476"/>
      <c r="I17" s="476"/>
      <c r="J17" s="4"/>
      <c r="K17" s="476"/>
      <c r="L17" s="476"/>
      <c r="M17" s="476"/>
      <c r="N17" s="476"/>
      <c r="O17" s="476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9" ht="12" thickBot="1" x14ac:dyDescent="0.3">
      <c r="Q18" s="4"/>
      <c r="AI18" s="4"/>
    </row>
    <row r="19" spans="1:39" x14ac:dyDescent="0.25">
      <c r="B19" s="5"/>
      <c r="C19" s="3" t="s">
        <v>1</v>
      </c>
      <c r="D19" s="6" t="s">
        <v>1</v>
      </c>
      <c r="E19" s="3"/>
      <c r="F19" s="3"/>
      <c r="G19" s="3"/>
      <c r="H19" s="3" t="s">
        <v>1</v>
      </c>
      <c r="I19" s="3"/>
      <c r="J19" s="3"/>
      <c r="K19" s="3"/>
      <c r="L19" s="3"/>
      <c r="M19" s="3"/>
      <c r="N19" s="3"/>
      <c r="O19" s="7"/>
      <c r="P19" s="2"/>
      <c r="Q19" s="4"/>
      <c r="S19" s="5"/>
      <c r="T19" s="3" t="s">
        <v>1</v>
      </c>
      <c r="U19" s="6" t="s">
        <v>1</v>
      </c>
      <c r="V19" s="3"/>
      <c r="W19" s="3"/>
      <c r="X19" s="3" t="s">
        <v>1</v>
      </c>
      <c r="Y19" s="3"/>
      <c r="Z19" s="3"/>
      <c r="AA19" s="3"/>
      <c r="AB19" s="3"/>
      <c r="AC19" s="3"/>
      <c r="AD19" s="3"/>
      <c r="AE19" s="3"/>
      <c r="AF19" s="7"/>
      <c r="AG19" s="2"/>
      <c r="AI19" s="4"/>
    </row>
    <row r="20" spans="1:39" ht="14" x14ac:dyDescent="0.3">
      <c r="B20" s="8"/>
      <c r="F20" s="26" t="s">
        <v>8</v>
      </c>
      <c r="G20" s="26"/>
      <c r="I20" s="26" t="s">
        <v>16</v>
      </c>
      <c r="J20" s="25"/>
      <c r="M20" s="2"/>
      <c r="N20" s="50"/>
      <c r="O20" s="10"/>
      <c r="P20" s="2"/>
      <c r="Q20" s="4"/>
      <c r="S20" s="8"/>
      <c r="U20" s="26" t="s">
        <v>8</v>
      </c>
      <c r="W20" s="26" t="s">
        <v>16</v>
      </c>
      <c r="X20" s="25"/>
      <c r="Y20" s="2"/>
      <c r="AA20" s="2"/>
      <c r="AD20" s="50"/>
      <c r="AE20" s="84"/>
      <c r="AF20" s="48"/>
      <c r="AG20" s="2"/>
      <c r="AI20" s="4"/>
    </row>
    <row r="21" spans="1:39" ht="15.5" x14ac:dyDescent="0.35">
      <c r="B21" s="8"/>
      <c r="F21" s="36" t="s">
        <v>29</v>
      </c>
      <c r="G21" s="36"/>
      <c r="O21" s="10"/>
      <c r="P21" s="2"/>
      <c r="Q21" s="4"/>
      <c r="S21" s="8"/>
      <c r="T21" s="26" t="s">
        <v>1</v>
      </c>
      <c r="U21" s="36" t="s">
        <v>29</v>
      </c>
      <c r="Y21" s="2" t="s">
        <v>1</v>
      </c>
      <c r="AA21" s="50"/>
      <c r="AB21" s="2"/>
      <c r="AC21" s="2"/>
      <c r="AD21" s="2"/>
      <c r="AE21" s="2"/>
      <c r="AF21" s="10" t="s">
        <v>1</v>
      </c>
      <c r="AG21" s="2"/>
      <c r="AI21" s="4"/>
    </row>
    <row r="22" spans="1:39" ht="14" x14ac:dyDescent="0.3">
      <c r="B22" s="8"/>
      <c r="F22" s="2" t="s">
        <v>30</v>
      </c>
      <c r="G22" s="2"/>
      <c r="M22" s="2" t="s">
        <v>1</v>
      </c>
      <c r="O22" s="10"/>
      <c r="P22" s="2"/>
      <c r="Q22" s="4"/>
      <c r="S22" s="8"/>
      <c r="T22" s="49" t="s">
        <v>1</v>
      </c>
      <c r="U22" s="2" t="s">
        <v>30</v>
      </c>
      <c r="AF22" s="44"/>
      <c r="AG22" s="2"/>
      <c r="AI22" s="4"/>
    </row>
    <row r="23" spans="1:39" ht="15.5" x14ac:dyDescent="0.35">
      <c r="B23" s="8"/>
      <c r="C23" s="2"/>
      <c r="D23" s="9"/>
      <c r="F23" s="477" t="s">
        <v>186</v>
      </c>
      <c r="G23" s="477"/>
      <c r="H23" s="34"/>
      <c r="I23" s="4"/>
      <c r="J23" s="34"/>
      <c r="O23" s="10"/>
      <c r="P23" s="2"/>
      <c r="Q23" s="4"/>
      <c r="S23" s="8"/>
      <c r="T23" s="41" t="s">
        <v>1</v>
      </c>
      <c r="U23" s="41" t="s">
        <v>35</v>
      </c>
      <c r="V23" s="2"/>
      <c r="X23" s="2"/>
      <c r="Y23" s="2"/>
      <c r="AF23" s="48"/>
      <c r="AG23" s="2"/>
      <c r="AI23" s="4"/>
    </row>
    <row r="24" spans="1:39" ht="12" thickBot="1" x14ac:dyDescent="0.3">
      <c r="B24" s="8"/>
      <c r="C24" s="2"/>
      <c r="D24" s="241"/>
      <c r="F24" s="2"/>
      <c r="G24" s="9"/>
      <c r="H24" s="9"/>
      <c r="J24" s="2"/>
      <c r="K24" s="9"/>
      <c r="O24" s="10"/>
      <c r="P24" s="2"/>
      <c r="Q24" s="4"/>
      <c r="S24" s="8"/>
      <c r="V24" s="9"/>
      <c r="Y24" s="9"/>
      <c r="AF24" s="48"/>
      <c r="AG24" s="2"/>
      <c r="AI24" s="4"/>
      <c r="AJ24" s="1" t="s">
        <v>1</v>
      </c>
    </row>
    <row r="25" spans="1:39" ht="69.5" thickBot="1" x14ac:dyDescent="0.3">
      <c r="B25" s="11" t="s">
        <v>3</v>
      </c>
      <c r="C25" s="27" t="s">
        <v>9</v>
      </c>
      <c r="D25" s="11" t="s">
        <v>4</v>
      </c>
      <c r="E25" s="12" t="s">
        <v>5</v>
      </c>
      <c r="F25" s="12" t="s">
        <v>6</v>
      </c>
      <c r="G25" s="27" t="s">
        <v>159</v>
      </c>
      <c r="H25" s="12" t="s">
        <v>18</v>
      </c>
      <c r="I25" s="12" t="s">
        <v>24</v>
      </c>
      <c r="J25" s="73" t="s">
        <v>19</v>
      </c>
      <c r="K25" s="29" t="s">
        <v>20</v>
      </c>
      <c r="L25" s="28" t="s">
        <v>21</v>
      </c>
      <c r="M25" s="39" t="s">
        <v>22</v>
      </c>
      <c r="N25" s="12" t="s">
        <v>7</v>
      </c>
      <c r="O25" s="39" t="s">
        <v>23</v>
      </c>
      <c r="P25" s="13"/>
      <c r="Q25" s="4"/>
      <c r="S25" s="11" t="s">
        <v>3</v>
      </c>
      <c r="T25" s="27" t="s">
        <v>9</v>
      </c>
      <c r="U25" s="80" t="s">
        <v>39</v>
      </c>
      <c r="V25" s="51" t="s">
        <v>40</v>
      </c>
      <c r="W25" s="51" t="s">
        <v>41</v>
      </c>
      <c r="X25" s="51" t="s">
        <v>42</v>
      </c>
      <c r="Y25" s="81" t="s">
        <v>43</v>
      </c>
      <c r="Z25" s="85" t="s">
        <v>21</v>
      </c>
      <c r="AA25" s="65" t="s">
        <v>46</v>
      </c>
      <c r="AB25" s="65" t="s">
        <v>7</v>
      </c>
      <c r="AC25" s="85" t="s">
        <v>167</v>
      </c>
      <c r="AD25" s="121" t="s">
        <v>105</v>
      </c>
      <c r="AE25" s="121" t="s">
        <v>104</v>
      </c>
      <c r="AF25" s="39" t="s">
        <v>23</v>
      </c>
      <c r="AG25" s="13"/>
      <c r="AI25" s="4"/>
    </row>
    <row r="26" spans="1:39" s="307" customFormat="1" x14ac:dyDescent="0.25">
      <c r="B26" s="305">
        <v>1</v>
      </c>
      <c r="C26" s="306" t="s">
        <v>10</v>
      </c>
      <c r="D26" s="293">
        <f>'REMUNERACION Reciprocidad EAAB'!D104</f>
        <v>0</v>
      </c>
      <c r="E26" s="294">
        <f>'REMUNERACION Reciprocidad EAAB'!E104</f>
        <v>0</v>
      </c>
      <c r="F26" s="294">
        <f>'REMUNERACION Reciprocidad EAAB'!F104</f>
        <v>0</v>
      </c>
      <c r="G26" s="294">
        <f>'REMUNERACION Reciprocidad EAAB'!G104</f>
        <v>0</v>
      </c>
      <c r="H26" s="294">
        <f>'REMUNERACION Reciprocidad EAAB'!H104</f>
        <v>0</v>
      </c>
      <c r="I26" s="294">
        <f>'REMUNERACION Reciprocidad EAAB'!I104</f>
        <v>0</v>
      </c>
      <c r="J26" s="290">
        <f>'REMUNERACION Reciprocidad EAAB'!J104</f>
        <v>0</v>
      </c>
      <c r="K26" s="295">
        <f>'REMUNERACION Reciprocidad EAAB'!K104</f>
        <v>0</v>
      </c>
      <c r="L26" s="296">
        <f>'REMUNERACION Reciprocidad EAAB'!L104</f>
        <v>0</v>
      </c>
      <c r="M26" s="295">
        <f>'REMUNERACION Reciprocidad EAAB'!M104</f>
        <v>0</v>
      </c>
      <c r="N26" s="296">
        <f>'REMUNERACION Reciprocidad EAAB'!N104</f>
        <v>0</v>
      </c>
      <c r="O26" s="295">
        <f>'REMUNERACION Reciprocidad EAAB'!O104</f>
        <v>0</v>
      </c>
      <c r="Q26" s="308"/>
      <c r="S26" s="305">
        <v>1</v>
      </c>
      <c r="T26" s="306" t="s">
        <v>10</v>
      </c>
      <c r="U26" s="309">
        <f>'REMUNERACION Reciprocidad EAAB'!U104</f>
        <v>0</v>
      </c>
      <c r="V26" s="310">
        <f>'REMUNERACION Reciprocidad EAAB'!V104</f>
        <v>0</v>
      </c>
      <c r="W26" s="310">
        <f>'REMUNERACION Reciprocidad EAAB'!W104</f>
        <v>0</v>
      </c>
      <c r="X26" s="310">
        <f>'REMUNERACION Reciprocidad EAAB'!X104</f>
        <v>0</v>
      </c>
      <c r="Y26" s="311">
        <f>'REMUNERACION Reciprocidad EAAB'!Y104</f>
        <v>0</v>
      </c>
      <c r="Z26" s="312">
        <f>'REMUNERACION Reciprocidad EAAB'!Z104</f>
        <v>0</v>
      </c>
      <c r="AA26" s="313">
        <f>'REMUNERACION Reciprocidad EAAB'!AA104</f>
        <v>0</v>
      </c>
      <c r="AB26" s="296">
        <f>'REMUNERACION Reciprocidad EAAB'!AB104</f>
        <v>0</v>
      </c>
      <c r="AC26" s="313">
        <f>'REMUNERACION Reciprocidad EAAB'!AC104</f>
        <v>0</v>
      </c>
      <c r="AD26" s="293">
        <f>'REMUNERACION Reciprocidad EAAB'!AD104</f>
        <v>0</v>
      </c>
      <c r="AE26" s="293">
        <f>'REMUNERACION Reciprocidad EAAB'!AE104</f>
        <v>0</v>
      </c>
      <c r="AF26" s="315">
        <f>'REMUNERACION Reciprocidad EAAB'!AF104</f>
        <v>0</v>
      </c>
      <c r="AG26" s="523">
        <f>'REMUNERACION Reciprocidad EAAB'!AG104</f>
        <v>0</v>
      </c>
      <c r="AH26" s="1"/>
      <c r="AI26" s="308"/>
      <c r="AM26" s="335"/>
    </row>
    <row r="27" spans="1:39" s="307" customFormat="1" x14ac:dyDescent="0.25">
      <c r="B27" s="316">
        <v>2</v>
      </c>
      <c r="C27" s="317" t="s">
        <v>11</v>
      </c>
      <c r="D27" s="293">
        <f>'REMUNERACION Reciprocidad EAAB'!D105</f>
        <v>19468720.030000001</v>
      </c>
      <c r="E27" s="294">
        <f>'REMUNERACION Reciprocidad EAAB'!E105</f>
        <v>1631027.85</v>
      </c>
      <c r="F27" s="294">
        <f>'REMUNERACION Reciprocidad EAAB'!F105</f>
        <v>968903.84000000008</v>
      </c>
      <c r="G27" s="294">
        <f>'REMUNERACION Reciprocidad EAAB'!G105</f>
        <v>317349.34999999998</v>
      </c>
      <c r="H27" s="294">
        <f>'REMUNERACION Reciprocidad EAAB'!H105</f>
        <v>8106641</v>
      </c>
      <c r="I27" s="294">
        <f>'REMUNERACION Reciprocidad EAAB'!I105</f>
        <v>244114.84</v>
      </c>
      <c r="J27" s="290">
        <f>'REMUNERACION Reciprocidad EAAB'!J105</f>
        <v>0</v>
      </c>
      <c r="K27" s="297">
        <f>'REMUNERACION Reciprocidad EAAB'!K105</f>
        <v>8200683.1500000004</v>
      </c>
      <c r="L27" s="296">
        <f>'REMUNERACION Reciprocidad EAAB'!L105</f>
        <v>0</v>
      </c>
      <c r="M27" s="297">
        <f>'REMUNERACION Reciprocidad EAAB'!M105</f>
        <v>8200683.1500000004</v>
      </c>
      <c r="N27" s="296">
        <f>'REMUNERACION Reciprocidad EAAB'!N105</f>
        <v>0</v>
      </c>
      <c r="O27" s="297">
        <f>'REMUNERACION Reciprocidad EAAB'!O105</f>
        <v>8200683.1500000004</v>
      </c>
      <c r="Q27" s="308"/>
      <c r="S27" s="316">
        <v>2</v>
      </c>
      <c r="T27" s="317" t="s">
        <v>11</v>
      </c>
      <c r="U27" s="318">
        <f>'REMUNERACION Reciprocidad EAAB'!U105</f>
        <v>2387808.7599999998</v>
      </c>
      <c r="V27" s="319">
        <f>'REMUNERACION Reciprocidad EAAB'!V105</f>
        <v>2117904.38</v>
      </c>
      <c r="W27" s="319">
        <f>'REMUNERACION Reciprocidad EAAB'!W105</f>
        <v>8750214.5299999993</v>
      </c>
      <c r="X27" s="319">
        <f>'REMUNERACION Reciprocidad EAAB'!X105</f>
        <v>3252300.2</v>
      </c>
      <c r="Y27" s="320">
        <f>'REMUNERACION Reciprocidad EAAB'!Y105</f>
        <v>283895.7</v>
      </c>
      <c r="Z27" s="321">
        <f>'REMUNERACION Reciprocidad EAAB'!Z105</f>
        <v>0</v>
      </c>
      <c r="AA27" s="322">
        <f>'REMUNERACION Reciprocidad EAAB'!AA105</f>
        <v>185.44</v>
      </c>
      <c r="AB27" s="296">
        <f>'REMUNERACION Reciprocidad EAAB'!AB105</f>
        <v>0</v>
      </c>
      <c r="AC27" s="322">
        <f>'REMUNERACION Reciprocidad EAAB'!AC105</f>
        <v>1.3499999999999999</v>
      </c>
      <c r="AD27" s="293">
        <f>'REMUNERACION Reciprocidad EAAB'!AD105</f>
        <v>-8591627.2100000009</v>
      </c>
      <c r="AE27" s="293">
        <f>'REMUNERACION Reciprocidad EAAB'!AE105</f>
        <v>-8591627.2100000009</v>
      </c>
      <c r="AF27" s="324">
        <f>'REMUNERACION Reciprocidad EAAB'!AF105</f>
        <v>8200683.1499999985</v>
      </c>
      <c r="AG27" s="524">
        <f>'REMUNERACION Reciprocidad EAAB'!AG105</f>
        <v>0</v>
      </c>
      <c r="AH27" s="1"/>
      <c r="AI27" s="308"/>
      <c r="AM27" s="335"/>
    </row>
    <row r="28" spans="1:39" s="307" customFormat="1" x14ac:dyDescent="0.25">
      <c r="B28" s="316">
        <v>3</v>
      </c>
      <c r="C28" s="317" t="s">
        <v>12</v>
      </c>
      <c r="D28" s="293">
        <f>'REMUNERACION Reciprocidad EAAB'!D106</f>
        <v>0</v>
      </c>
      <c r="E28" s="294">
        <f>'REMUNERACION Reciprocidad EAAB'!E106</f>
        <v>0</v>
      </c>
      <c r="F28" s="294">
        <f>'REMUNERACION Reciprocidad EAAB'!F106</f>
        <v>0</v>
      </c>
      <c r="G28" s="294">
        <f>'REMUNERACION Reciprocidad EAAB'!G106</f>
        <v>0</v>
      </c>
      <c r="H28" s="294">
        <f>'REMUNERACION Reciprocidad EAAB'!H106</f>
        <v>0</v>
      </c>
      <c r="I28" s="294">
        <f>'REMUNERACION Reciprocidad EAAB'!I106</f>
        <v>0</v>
      </c>
      <c r="J28" s="290">
        <f>'REMUNERACION Reciprocidad EAAB'!J106</f>
        <v>0</v>
      </c>
      <c r="K28" s="297">
        <f>'REMUNERACION Reciprocidad EAAB'!K106</f>
        <v>0</v>
      </c>
      <c r="L28" s="296">
        <f>'REMUNERACION Reciprocidad EAAB'!L106</f>
        <v>0</v>
      </c>
      <c r="M28" s="297">
        <f>'REMUNERACION Reciprocidad EAAB'!M106</f>
        <v>0</v>
      </c>
      <c r="N28" s="296">
        <f>'REMUNERACION Reciprocidad EAAB'!N106</f>
        <v>0</v>
      </c>
      <c r="O28" s="297">
        <f>'REMUNERACION Reciprocidad EAAB'!O106</f>
        <v>0</v>
      </c>
      <c r="Q28" s="308"/>
      <c r="S28" s="316">
        <v>3</v>
      </c>
      <c r="T28" s="317" t="s">
        <v>12</v>
      </c>
      <c r="U28" s="318">
        <f>'REMUNERACION Reciprocidad EAAB'!U106</f>
        <v>0</v>
      </c>
      <c r="V28" s="319">
        <f>'REMUNERACION Reciprocidad EAAB'!V106</f>
        <v>0</v>
      </c>
      <c r="W28" s="319">
        <f>'REMUNERACION Reciprocidad EAAB'!W106</f>
        <v>0</v>
      </c>
      <c r="X28" s="319">
        <f>'REMUNERACION Reciprocidad EAAB'!X106</f>
        <v>0</v>
      </c>
      <c r="Y28" s="320">
        <f>'REMUNERACION Reciprocidad EAAB'!Y106</f>
        <v>0</v>
      </c>
      <c r="Z28" s="321">
        <f>'REMUNERACION Reciprocidad EAAB'!Z106</f>
        <v>0</v>
      </c>
      <c r="AA28" s="322">
        <f>'REMUNERACION Reciprocidad EAAB'!AA106</f>
        <v>0</v>
      </c>
      <c r="AB28" s="296">
        <f>'REMUNERACION Reciprocidad EAAB'!AB106</f>
        <v>0</v>
      </c>
      <c r="AC28" s="322">
        <f>'REMUNERACION Reciprocidad EAAB'!AC106</f>
        <v>0</v>
      </c>
      <c r="AD28" s="293">
        <f>'REMUNERACION Reciprocidad EAAB'!AD106</f>
        <v>0</v>
      </c>
      <c r="AE28" s="293">
        <f>'REMUNERACION Reciprocidad EAAB'!AE106</f>
        <v>0</v>
      </c>
      <c r="AF28" s="324">
        <f>'REMUNERACION Reciprocidad EAAB'!AF106</f>
        <v>0</v>
      </c>
      <c r="AG28" s="524">
        <f>'REMUNERACION Reciprocidad EAAB'!AG106</f>
        <v>0</v>
      </c>
      <c r="AH28" s="1"/>
      <c r="AI28" s="308"/>
      <c r="AM28" s="335"/>
    </row>
    <row r="29" spans="1:39" s="307" customFormat="1" x14ac:dyDescent="0.25">
      <c r="B29" s="316">
        <v>4</v>
      </c>
      <c r="C29" s="317" t="s">
        <v>13</v>
      </c>
      <c r="D29" s="293">
        <f>'REMUNERACION Reciprocidad EAAB'!D107</f>
        <v>6945099.8599999994</v>
      </c>
      <c r="E29" s="294">
        <f>'REMUNERACION Reciprocidad EAAB'!E107</f>
        <v>390216.71</v>
      </c>
      <c r="F29" s="294">
        <f>'REMUNERACION Reciprocidad EAAB'!F107</f>
        <v>222372.34</v>
      </c>
      <c r="G29" s="294">
        <f>'REMUNERACION Reciprocidad EAAB'!G107</f>
        <v>93645.569999999992</v>
      </c>
      <c r="H29" s="294">
        <f>'REMUNERACION Reciprocidad EAAB'!H107</f>
        <v>1760615.6</v>
      </c>
      <c r="I29" s="294">
        <f>'REMUNERACION Reciprocidad EAAB'!I107</f>
        <v>55085.56</v>
      </c>
      <c r="J29" s="290">
        <f>'REMUNERACION Reciprocidad EAAB'!J107</f>
        <v>0</v>
      </c>
      <c r="K29" s="297">
        <f>'REMUNERACION Reciprocidad EAAB'!K107</f>
        <v>4423164.0799999991</v>
      </c>
      <c r="L29" s="296">
        <f>'REMUNERACION Reciprocidad EAAB'!L107</f>
        <v>0</v>
      </c>
      <c r="M29" s="297">
        <f>'REMUNERACION Reciprocidad EAAB'!M107</f>
        <v>4423164.0799999991</v>
      </c>
      <c r="N29" s="296">
        <f>'REMUNERACION Reciprocidad EAAB'!N107</f>
        <v>0</v>
      </c>
      <c r="O29" s="297">
        <f>'REMUNERACION Reciprocidad EAAB'!O107</f>
        <v>4423164.0799999991</v>
      </c>
      <c r="Q29" s="308"/>
      <c r="S29" s="316">
        <v>4</v>
      </c>
      <c r="T29" s="317" t="s">
        <v>13</v>
      </c>
      <c r="U29" s="318">
        <f>'REMUNERACION Reciprocidad EAAB'!U107</f>
        <v>515714.53</v>
      </c>
      <c r="V29" s="319">
        <f>'REMUNERACION Reciprocidad EAAB'!V107</f>
        <v>511519.27</v>
      </c>
      <c r="W29" s="319">
        <f>'REMUNERACION Reciprocidad EAAB'!W107</f>
        <v>2497642.7400000002</v>
      </c>
      <c r="X29" s="319">
        <f>'REMUNERACION Reciprocidad EAAB'!X107</f>
        <v>1077053.48</v>
      </c>
      <c r="Y29" s="320">
        <f>'REMUNERACION Reciprocidad EAAB'!Y107</f>
        <v>78689.97</v>
      </c>
      <c r="Z29" s="321">
        <f>'REMUNERACION Reciprocidad EAAB'!Z107</f>
        <v>0</v>
      </c>
      <c r="AA29" s="322">
        <f>'REMUNERACION Reciprocidad EAAB'!AA107</f>
        <v>0.38999999999999946</v>
      </c>
      <c r="AB29" s="296">
        <f>'REMUNERACION Reciprocidad EAAB'!AB107</f>
        <v>0</v>
      </c>
      <c r="AC29" s="322">
        <f>'REMUNERACION Reciprocidad EAAB'!AC107</f>
        <v>0</v>
      </c>
      <c r="AD29" s="293">
        <f>'REMUNERACION Reciprocidad EAAB'!AD107</f>
        <v>-257456.3</v>
      </c>
      <c r="AE29" s="293">
        <f>'REMUNERACION Reciprocidad EAAB'!AE107</f>
        <v>-257456.3</v>
      </c>
      <c r="AF29" s="324">
        <f>'REMUNERACION Reciprocidad EAAB'!AF107</f>
        <v>4423164.0799999991</v>
      </c>
      <c r="AG29" s="524">
        <f>'REMUNERACION Reciprocidad EAAB'!AG107</f>
        <v>0</v>
      </c>
      <c r="AH29" s="1"/>
      <c r="AI29" s="308"/>
      <c r="AM29" s="335"/>
    </row>
    <row r="30" spans="1:39" s="307" customFormat="1" ht="12" thickBot="1" x14ac:dyDescent="0.3">
      <c r="B30" s="326">
        <v>5</v>
      </c>
      <c r="C30" s="327" t="s">
        <v>14</v>
      </c>
      <c r="D30" s="298">
        <f>'REMUNERACION Reciprocidad EAAB'!D108</f>
        <v>0</v>
      </c>
      <c r="E30" s="299">
        <f>'REMUNERACION Reciprocidad EAAB'!E108</f>
        <v>0</v>
      </c>
      <c r="F30" s="299">
        <f>'REMUNERACION Reciprocidad EAAB'!F108</f>
        <v>0</v>
      </c>
      <c r="G30" s="299">
        <f>'REMUNERACION Reciprocidad EAAB'!G108</f>
        <v>0</v>
      </c>
      <c r="H30" s="299">
        <f>'REMUNERACION Reciprocidad EAAB'!H108</f>
        <v>0</v>
      </c>
      <c r="I30" s="299">
        <f>'REMUNERACION Reciprocidad EAAB'!I108</f>
        <v>0</v>
      </c>
      <c r="J30" s="291">
        <f>'REMUNERACION Reciprocidad EAAB'!J108</f>
        <v>0</v>
      </c>
      <c r="K30" s="297">
        <f>'REMUNERACION Reciprocidad EAAB'!K108</f>
        <v>0</v>
      </c>
      <c r="L30" s="296">
        <f>'REMUNERACION Reciprocidad EAAB'!L108</f>
        <v>0</v>
      </c>
      <c r="M30" s="300">
        <f>'REMUNERACION Reciprocidad EAAB'!M108</f>
        <v>0</v>
      </c>
      <c r="N30" s="301">
        <f>'REMUNERACION Reciprocidad EAAB'!N108</f>
        <v>0</v>
      </c>
      <c r="O30" s="300">
        <f>'REMUNERACION Reciprocidad EAAB'!O108</f>
        <v>0</v>
      </c>
      <c r="Q30" s="308"/>
      <c r="S30" s="326">
        <v>5</v>
      </c>
      <c r="T30" s="327" t="s">
        <v>14</v>
      </c>
      <c r="U30" s="298">
        <f>'REMUNERACION Reciprocidad EAAB'!U108</f>
        <v>0</v>
      </c>
      <c r="V30" s="299">
        <f>'REMUNERACION Reciprocidad EAAB'!V108</f>
        <v>0</v>
      </c>
      <c r="W30" s="299">
        <f>'REMUNERACION Reciprocidad EAAB'!W108</f>
        <v>0</v>
      </c>
      <c r="X30" s="299">
        <f>'REMUNERACION Reciprocidad EAAB'!X108</f>
        <v>0</v>
      </c>
      <c r="Y30" s="291">
        <f>'REMUNERACION Reciprocidad EAAB'!Y108</f>
        <v>0</v>
      </c>
      <c r="Z30" s="321">
        <f>'REMUNERACION Reciprocidad EAAB'!Z108</f>
        <v>0</v>
      </c>
      <c r="AA30" s="322">
        <f>'REMUNERACION Reciprocidad EAAB'!AA108</f>
        <v>0</v>
      </c>
      <c r="AB30" s="296">
        <f>'REMUNERACION Reciprocidad EAAB'!AB108</f>
        <v>0</v>
      </c>
      <c r="AC30" s="322">
        <f>'REMUNERACION Reciprocidad EAAB'!AC108</f>
        <v>0</v>
      </c>
      <c r="AD30" s="293">
        <f>'REMUNERACION Reciprocidad EAAB'!AD108</f>
        <v>0</v>
      </c>
      <c r="AE30" s="293">
        <f>'REMUNERACION Reciprocidad EAAB'!AE108</f>
        <v>0</v>
      </c>
      <c r="AF30" s="324">
        <f>'REMUNERACION Reciprocidad EAAB'!AF108</f>
        <v>0</v>
      </c>
      <c r="AG30" s="525">
        <f>'REMUNERACION Reciprocidad EAAB'!AG108</f>
        <v>0</v>
      </c>
      <c r="AH30" s="1"/>
      <c r="AI30" s="308"/>
      <c r="AM30" s="335"/>
    </row>
    <row r="31" spans="1:39" s="307" customFormat="1" ht="13.5" thickBot="1" x14ac:dyDescent="0.35">
      <c r="B31" s="329"/>
      <c r="C31" s="330" t="s">
        <v>2</v>
      </c>
      <c r="D31" s="292">
        <f>'REMUNERACION Reciprocidad EAAB'!D109</f>
        <v>26413819.890000001</v>
      </c>
      <c r="E31" s="292">
        <f>'REMUNERACION Reciprocidad EAAB'!E109</f>
        <v>2021244.56</v>
      </c>
      <c r="F31" s="292">
        <f>'REMUNERACION Reciprocidad EAAB'!F109</f>
        <v>1191276.1800000002</v>
      </c>
      <c r="G31" s="292">
        <f>'REMUNERACION Reciprocidad EAAB'!G109</f>
        <v>410994.92</v>
      </c>
      <c r="H31" s="292">
        <f>'REMUNERACION Reciprocidad EAAB'!H109</f>
        <v>9867256.5999999996</v>
      </c>
      <c r="I31" s="292">
        <f>'REMUNERACION Reciprocidad EAAB'!I109</f>
        <v>299200.40000000002</v>
      </c>
      <c r="J31" s="292">
        <f>'REMUNERACION Reciprocidad EAAB'!J109</f>
        <v>0</v>
      </c>
      <c r="K31" s="302">
        <f>'REMUNERACION Reciprocidad EAAB'!K109</f>
        <v>12623847.23</v>
      </c>
      <c r="L31" s="303">
        <f>'REMUNERACION Reciprocidad EAAB'!L109</f>
        <v>0</v>
      </c>
      <c r="M31" s="304">
        <f>'REMUNERACION Reciprocidad EAAB'!M109</f>
        <v>12623847.23</v>
      </c>
      <c r="N31" s="303">
        <f>'REMUNERACION Reciprocidad EAAB'!N109</f>
        <v>0</v>
      </c>
      <c r="O31" s="304">
        <f>'REMUNERACION Reciprocidad EAAB'!O109</f>
        <v>12623847.23</v>
      </c>
      <c r="P31" s="331"/>
      <c r="Q31" s="308"/>
      <c r="S31" s="329"/>
      <c r="T31" s="330" t="s">
        <v>2</v>
      </c>
      <c r="U31" s="332">
        <f>'REMUNERACION Reciprocidad EAAB'!U109</f>
        <v>2903523.29</v>
      </c>
      <c r="V31" s="332">
        <f>'REMUNERACION Reciprocidad EAAB'!V109</f>
        <v>2629423.65</v>
      </c>
      <c r="W31" s="332">
        <f>'REMUNERACION Reciprocidad EAAB'!W109</f>
        <v>11247857.27</v>
      </c>
      <c r="X31" s="332">
        <f>'REMUNERACION Reciprocidad EAAB'!X109</f>
        <v>4329353.68</v>
      </c>
      <c r="Y31" s="332">
        <f>'REMUNERACION Reciprocidad EAAB'!Y109</f>
        <v>362585.67000000004</v>
      </c>
      <c r="Z31" s="292">
        <f>'REMUNERACION Reciprocidad EAAB'!Z109</f>
        <v>0</v>
      </c>
      <c r="AA31" s="292">
        <f>'REMUNERACION Reciprocidad EAAB'!AA109</f>
        <v>185.82999999999998</v>
      </c>
      <c r="AB31" s="292">
        <f>'REMUNERACION Reciprocidad EAAB'!AB109</f>
        <v>0</v>
      </c>
      <c r="AC31" s="292">
        <f>'REMUNERACION Reciprocidad EAAB'!AC109</f>
        <v>1.3499999999999999</v>
      </c>
      <c r="AD31" s="292">
        <f>'REMUNERACION Reciprocidad EAAB'!AD109</f>
        <v>-8849083.5100000016</v>
      </c>
      <c r="AE31" s="292">
        <f>'REMUNERACION Reciprocidad EAAB'!AE109</f>
        <v>-8849083.5100000016</v>
      </c>
      <c r="AF31" s="333">
        <f>'REMUNERACION Reciprocidad EAAB'!AF109</f>
        <v>12623847.229999997</v>
      </c>
      <c r="AG31" s="526">
        <f>'REMUNERACION Reciprocidad EAAB'!AG109</f>
        <v>0</v>
      </c>
      <c r="AH31" s="1"/>
      <c r="AI31" s="308"/>
      <c r="AM31" s="335"/>
    </row>
    <row r="32" spans="1:39" x14ac:dyDescent="0.25">
      <c r="B32" s="2"/>
      <c r="C32" s="2"/>
      <c r="D32" s="450"/>
      <c r="E32" s="450"/>
      <c r="F32" s="450"/>
      <c r="G32" s="450"/>
      <c r="H32" s="450"/>
      <c r="I32" s="450"/>
      <c r="K32" s="450"/>
      <c r="L32" s="450"/>
      <c r="M32" s="450"/>
      <c r="N32" s="450"/>
      <c r="O32" s="450"/>
      <c r="Q32" s="4"/>
      <c r="S32" s="2"/>
      <c r="T32" s="2"/>
      <c r="U32" s="450"/>
      <c r="V32" s="450"/>
      <c r="W32" s="450"/>
      <c r="X32" s="450"/>
      <c r="Y32" s="450"/>
      <c r="AF32" s="450"/>
      <c r="AI32" s="4"/>
    </row>
    <row r="33" spans="1:39" x14ac:dyDescent="0.25">
      <c r="B33" s="2"/>
      <c r="C33" s="2"/>
      <c r="D33" s="541"/>
      <c r="E33" s="541"/>
      <c r="F33" s="541"/>
      <c r="G33" s="541"/>
      <c r="H33" s="541"/>
      <c r="I33" s="541"/>
      <c r="K33" s="541"/>
      <c r="L33" s="541"/>
      <c r="M33" s="541"/>
      <c r="N33" s="541"/>
      <c r="O33" s="541"/>
      <c r="Q33" s="4"/>
      <c r="AI33" s="4"/>
    </row>
    <row r="34" spans="1:39" x14ac:dyDescent="0.25">
      <c r="A34" s="4"/>
      <c r="B34" s="34"/>
      <c r="C34" s="34"/>
      <c r="D34" s="476"/>
      <c r="E34" s="476"/>
      <c r="F34" s="476"/>
      <c r="G34" s="476"/>
      <c r="H34" s="476"/>
      <c r="I34" s="476"/>
      <c r="J34" s="4"/>
      <c r="K34" s="476"/>
      <c r="L34" s="476"/>
      <c r="M34" s="476"/>
      <c r="N34" s="476"/>
      <c r="O34" s="476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9" ht="12" thickBot="1" x14ac:dyDescent="0.3">
      <c r="Q35" s="4"/>
      <c r="AI35" s="4"/>
    </row>
    <row r="36" spans="1:39" x14ac:dyDescent="0.25">
      <c r="B36" s="5"/>
      <c r="C36" s="3" t="s">
        <v>1</v>
      </c>
      <c r="D36" s="6" t="s">
        <v>1</v>
      </c>
      <c r="E36" s="3"/>
      <c r="F36" s="3"/>
      <c r="G36" s="3"/>
      <c r="H36" s="3" t="s">
        <v>1</v>
      </c>
      <c r="I36" s="3"/>
      <c r="J36" s="3"/>
      <c r="K36" s="3"/>
      <c r="L36" s="3"/>
      <c r="M36" s="3"/>
      <c r="N36" s="3"/>
      <c r="O36" s="7"/>
      <c r="P36" s="2"/>
      <c r="Q36" s="4"/>
      <c r="S36" s="5"/>
      <c r="T36" s="3" t="s">
        <v>1</v>
      </c>
      <c r="U36" s="6" t="s">
        <v>1</v>
      </c>
      <c r="V36" s="3"/>
      <c r="W36" s="3"/>
      <c r="X36" s="3" t="s">
        <v>1</v>
      </c>
      <c r="Y36" s="3"/>
      <c r="Z36" s="3"/>
      <c r="AA36" s="3"/>
      <c r="AB36" s="3"/>
      <c r="AC36" s="3"/>
      <c r="AD36" s="3"/>
      <c r="AE36" s="3"/>
      <c r="AF36" s="7"/>
      <c r="AG36" s="2"/>
      <c r="AI36" s="4"/>
    </row>
    <row r="37" spans="1:39" ht="14" x14ac:dyDescent="0.3">
      <c r="B37" s="8"/>
      <c r="F37" s="26" t="s">
        <v>8</v>
      </c>
      <c r="G37" s="26"/>
      <c r="I37" s="26" t="s">
        <v>16</v>
      </c>
      <c r="J37" s="25"/>
      <c r="M37" s="2"/>
      <c r="N37" s="50"/>
      <c r="O37" s="10"/>
      <c r="P37" s="2"/>
      <c r="Q37" s="4"/>
      <c r="S37" s="8"/>
      <c r="U37" s="26" t="s">
        <v>8</v>
      </c>
      <c r="W37" s="26" t="s">
        <v>16</v>
      </c>
      <c r="X37" s="25"/>
      <c r="Y37" s="2"/>
      <c r="AA37" s="2" t="s">
        <v>1</v>
      </c>
      <c r="AD37" s="84" t="s">
        <v>1</v>
      </c>
      <c r="AE37" s="84"/>
      <c r="AF37" s="48"/>
      <c r="AG37" s="2"/>
      <c r="AI37" s="4"/>
    </row>
    <row r="38" spans="1:39" ht="15.5" x14ac:dyDescent="0.35">
      <c r="B38" s="8"/>
      <c r="F38" s="36" t="s">
        <v>29</v>
      </c>
      <c r="G38" s="36"/>
      <c r="O38" s="10"/>
      <c r="P38" s="2"/>
      <c r="Q38" s="4"/>
      <c r="S38" s="8"/>
      <c r="T38" s="26" t="s">
        <v>1</v>
      </c>
      <c r="U38" s="36" t="s">
        <v>29</v>
      </c>
      <c r="Y38" s="2" t="s">
        <v>1</v>
      </c>
      <c r="AA38" s="50" t="s">
        <v>1</v>
      </c>
      <c r="AB38" s="2"/>
      <c r="AC38" s="2"/>
      <c r="AD38" s="2"/>
      <c r="AE38" s="2"/>
      <c r="AF38" s="10" t="s">
        <v>1</v>
      </c>
      <c r="AG38" s="2"/>
      <c r="AI38" s="4"/>
    </row>
    <row r="39" spans="1:39" ht="14" x14ac:dyDescent="0.3">
      <c r="B39" s="8"/>
      <c r="F39" s="2" t="s">
        <v>30</v>
      </c>
      <c r="G39" s="2"/>
      <c r="L39" s="91"/>
      <c r="M39" s="2" t="s">
        <v>1</v>
      </c>
      <c r="O39" s="10"/>
      <c r="P39" s="2"/>
      <c r="Q39" s="4"/>
      <c r="S39" s="8"/>
      <c r="T39" s="49" t="s">
        <v>1</v>
      </c>
      <c r="U39" s="2" t="s">
        <v>30</v>
      </c>
      <c r="AF39" s="44"/>
      <c r="AG39" s="2"/>
      <c r="AI39" s="4"/>
    </row>
    <row r="40" spans="1:39" ht="15.5" x14ac:dyDescent="0.35">
      <c r="B40" s="8"/>
      <c r="C40" s="2"/>
      <c r="D40" s="9"/>
      <c r="F40" s="58" t="s">
        <v>162</v>
      </c>
      <c r="G40" s="58"/>
      <c r="H40" s="59"/>
      <c r="I40" s="60"/>
      <c r="J40" s="59"/>
      <c r="L40" s="91"/>
      <c r="O40" s="10"/>
      <c r="P40" s="2"/>
      <c r="Q40" s="4"/>
      <c r="S40" s="8"/>
      <c r="T40" s="41" t="s">
        <v>1</v>
      </c>
      <c r="U40" s="58" t="s">
        <v>35</v>
      </c>
      <c r="V40" s="59"/>
      <c r="W40" s="60"/>
      <c r="X40" s="59"/>
      <c r="Y40" s="2"/>
      <c r="AF40" s="48"/>
      <c r="AG40" s="2"/>
      <c r="AI40" s="4"/>
    </row>
    <row r="41" spans="1:39" ht="18" thickBot="1" x14ac:dyDescent="0.5">
      <c r="B41" s="8"/>
      <c r="C41" s="2"/>
      <c r="D41" s="241"/>
      <c r="F41" s="2"/>
      <c r="G41" s="9"/>
      <c r="J41" s="2"/>
      <c r="K41" s="9"/>
      <c r="L41" s="92"/>
      <c r="O41" s="10"/>
      <c r="P41" s="2"/>
      <c r="Q41" s="4"/>
      <c r="S41" s="8"/>
      <c r="V41" s="9"/>
      <c r="Y41" s="9"/>
      <c r="Z41" s="1" t="s">
        <v>1</v>
      </c>
      <c r="AF41" s="48"/>
      <c r="AG41" s="2"/>
      <c r="AI41" s="4"/>
      <c r="AJ41" s="112" t="s">
        <v>1</v>
      </c>
    </row>
    <row r="42" spans="1:39" ht="72" customHeight="1" thickBot="1" x14ac:dyDescent="0.3">
      <c r="B42" s="11" t="s">
        <v>3</v>
      </c>
      <c r="C42" s="27" t="s">
        <v>9</v>
      </c>
      <c r="D42" s="11" t="s">
        <v>4</v>
      </c>
      <c r="E42" s="12" t="s">
        <v>5</v>
      </c>
      <c r="F42" s="27" t="s">
        <v>6</v>
      </c>
      <c r="G42" s="27" t="s">
        <v>159</v>
      </c>
      <c r="H42" s="27" t="s">
        <v>18</v>
      </c>
      <c r="I42" s="12" t="s">
        <v>24</v>
      </c>
      <c r="J42" s="73" t="s">
        <v>19</v>
      </c>
      <c r="K42" s="29" t="s">
        <v>20</v>
      </c>
      <c r="L42" s="28" t="s">
        <v>21</v>
      </c>
      <c r="M42" s="39" t="s">
        <v>22</v>
      </c>
      <c r="N42" s="12" t="s">
        <v>7</v>
      </c>
      <c r="O42" s="39" t="s">
        <v>23</v>
      </c>
      <c r="P42" s="13"/>
      <c r="Q42" s="4"/>
      <c r="S42" s="11" t="s">
        <v>3</v>
      </c>
      <c r="T42" s="27" t="s">
        <v>9</v>
      </c>
      <c r="U42" s="162" t="s">
        <v>39</v>
      </c>
      <c r="V42" s="163" t="s">
        <v>40</v>
      </c>
      <c r="W42" s="163" t="s">
        <v>41</v>
      </c>
      <c r="X42" s="163" t="s">
        <v>42</v>
      </c>
      <c r="Y42" s="164" t="s">
        <v>43</v>
      </c>
      <c r="Z42" s="85" t="s">
        <v>21</v>
      </c>
      <c r="AA42" s="65" t="s">
        <v>46</v>
      </c>
      <c r="AB42" s="65" t="s">
        <v>7</v>
      </c>
      <c r="AC42" s="85" t="s">
        <v>167</v>
      </c>
      <c r="AD42" s="121" t="s">
        <v>105</v>
      </c>
      <c r="AE42" s="121" t="s">
        <v>104</v>
      </c>
      <c r="AF42" s="39" t="s">
        <v>23</v>
      </c>
      <c r="AG42" s="13"/>
      <c r="AI42" s="4"/>
    </row>
    <row r="43" spans="1:39" s="307" customFormat="1" x14ac:dyDescent="0.25">
      <c r="B43" s="305">
        <v>1</v>
      </c>
      <c r="C43" s="306" t="s">
        <v>10</v>
      </c>
      <c r="D43" s="293">
        <f>REMUNERACION_ENEL!D104</f>
        <v>16920903756.910002</v>
      </c>
      <c r="E43" s="294">
        <f>REMUNERACION_ENEL!E104</f>
        <v>951432775.81999993</v>
      </c>
      <c r="F43" s="294">
        <f>REMUNERACION_ENEL!F104</f>
        <v>531457791.86000001</v>
      </c>
      <c r="G43" s="294">
        <f>REMUNERACION_ENEL!G104</f>
        <v>281685724.59999996</v>
      </c>
      <c r="H43" s="294">
        <f>REMUNERACION_ENEL!H104</f>
        <v>4815557421.3699999</v>
      </c>
      <c r="I43" s="294">
        <f>REMUNERACION_ENEL!I104</f>
        <v>180663508.13</v>
      </c>
      <c r="J43" s="290">
        <f>REMUNERACION_ENEL!J104</f>
        <v>2589335716.54</v>
      </c>
      <c r="K43" s="295">
        <f>REMUNERACION_ENEL!K104</f>
        <v>7570770818.590003</v>
      </c>
      <c r="L43" s="296">
        <f>REMUNERACION_ENEL!L104</f>
        <v>189185987</v>
      </c>
      <c r="M43" s="295">
        <f>REMUNERACION_ENEL!M104</f>
        <v>7381584831.590003</v>
      </c>
      <c r="N43" s="296">
        <f>REMUNERACION_ENEL!N104</f>
        <v>28845491.23</v>
      </c>
      <c r="O43" s="295">
        <f>REMUNERACION_ENEL!O104</f>
        <v>7410430322.8200026</v>
      </c>
      <c r="Q43" s="308"/>
      <c r="S43" s="305">
        <v>1</v>
      </c>
      <c r="T43" s="306" t="s">
        <v>10</v>
      </c>
      <c r="U43" s="309">
        <f>REMUNERACION_ENEL!U104</f>
        <v>1586217383.9200001</v>
      </c>
      <c r="V43" s="310">
        <f>REMUNERACION_ENEL!V104</f>
        <v>1513149767.5</v>
      </c>
      <c r="W43" s="310">
        <f>REMUNERACION_ENEL!W104</f>
        <v>7120113761.2200003</v>
      </c>
      <c r="X43" s="310">
        <f>REMUNERACION_ENEL!X104</f>
        <v>2589551838.3899999</v>
      </c>
      <c r="Y43" s="311">
        <f>REMUNERACION_ENEL!Y104</f>
        <v>294798900.54000002</v>
      </c>
      <c r="Z43" s="312">
        <f>REMUNERACION_ENEL!Z104</f>
        <v>-189185987</v>
      </c>
      <c r="AA43" s="313">
        <f>REMUNERACION_ENEL!AA104</f>
        <v>-46201.060000000005</v>
      </c>
      <c r="AB43" s="296">
        <f>REMUNERACION_ENEL!AB104</f>
        <v>28845491.23</v>
      </c>
      <c r="AC43" s="313">
        <f>REMUNERACION_ENEL!AC104</f>
        <v>37.270000000000003</v>
      </c>
      <c r="AD43" s="293">
        <f>REMUNERACION_ENEL!AD104</f>
        <v>-5533007560.3600006</v>
      </c>
      <c r="AE43" s="293">
        <f>REMUNERACION_ENEL!AE104</f>
        <v>-2943671843.8200002</v>
      </c>
      <c r="AF43" s="315">
        <f>REMUNERACION_ENEL!AF104</f>
        <v>7410437431.6499996</v>
      </c>
      <c r="AG43" s="523">
        <f>REMUNERACION_ENEL!AG104</f>
        <v>7108.8299970626831</v>
      </c>
      <c r="AH43" s="1"/>
      <c r="AI43" s="308"/>
      <c r="AM43" s="335"/>
    </row>
    <row r="44" spans="1:39" s="307" customFormat="1" x14ac:dyDescent="0.25">
      <c r="B44" s="316">
        <v>2</v>
      </c>
      <c r="C44" s="317" t="s">
        <v>11</v>
      </c>
      <c r="D44" s="293">
        <f>REMUNERACION_ENEL!D105</f>
        <v>12759110627.040001</v>
      </c>
      <c r="E44" s="294">
        <f>REMUNERACION_ENEL!E105</f>
        <v>932793472.18000007</v>
      </c>
      <c r="F44" s="294">
        <f>REMUNERACION_ENEL!F105</f>
        <v>519337584.19999993</v>
      </c>
      <c r="G44" s="294">
        <f>REMUNERACION_ENEL!G105</f>
        <v>273746584.90999997</v>
      </c>
      <c r="H44" s="294">
        <f>REMUNERACION_ENEL!H105</f>
        <v>4322586791.8499994</v>
      </c>
      <c r="I44" s="294">
        <f>REMUNERACION_ENEL!I105</f>
        <v>148116462.28999999</v>
      </c>
      <c r="J44" s="290">
        <f>REMUNERACION_ENEL!J105</f>
        <v>-5093259797.2199993</v>
      </c>
      <c r="K44" s="297">
        <f>REMUNERACION_ENEL!K105</f>
        <v>11655789528.83</v>
      </c>
      <c r="L44" s="296">
        <f>REMUNERACION_ENEL!L105</f>
        <v>266580255</v>
      </c>
      <c r="M44" s="297">
        <f>REMUNERACION_ENEL!M105</f>
        <v>11389209273.83</v>
      </c>
      <c r="N44" s="296">
        <f>REMUNERACION_ENEL!N105</f>
        <v>12984013.33</v>
      </c>
      <c r="O44" s="297">
        <f>REMUNERACION_ENEL!O105</f>
        <v>11402193287.16</v>
      </c>
      <c r="Q44" s="308"/>
      <c r="S44" s="316">
        <v>2</v>
      </c>
      <c r="T44" s="317" t="s">
        <v>11</v>
      </c>
      <c r="U44" s="318">
        <f>REMUNERACION_ENEL!U105</f>
        <v>1299736893.7599998</v>
      </c>
      <c r="V44" s="319">
        <f>REMUNERACION_ENEL!V105</f>
        <v>1275131687.71</v>
      </c>
      <c r="W44" s="319">
        <f>REMUNERACION_ENEL!W105</f>
        <v>5975495362.3000002</v>
      </c>
      <c r="X44" s="319">
        <f>REMUNERACION_ENEL!X105</f>
        <v>1828556050.8900001</v>
      </c>
      <c r="Y44" s="320">
        <f>REMUNERACION_ENEL!Y105</f>
        <v>241974362.09</v>
      </c>
      <c r="Z44" s="321">
        <f>REMUNERACION_ENEL!Z105</f>
        <v>-266580255</v>
      </c>
      <c r="AA44" s="322">
        <f>REMUNERACION_ENEL!AA105</f>
        <v>62034.909999999996</v>
      </c>
      <c r="AB44" s="296">
        <f>REMUNERACION_ENEL!AB105</f>
        <v>12984013.33</v>
      </c>
      <c r="AC44" s="322">
        <f>REMUNERACION_ENEL!AC105</f>
        <v>-34.57</v>
      </c>
      <c r="AD44" s="293">
        <f>REMUNERACION_ENEL!AD105</f>
        <v>1034833171.7399993</v>
      </c>
      <c r="AE44" s="293">
        <f>REMUNERACION_ENEL!AE105</f>
        <v>-4058426625.48</v>
      </c>
      <c r="AF44" s="324">
        <f>REMUNERACION_ENEL!AF105</f>
        <v>11402193287.16</v>
      </c>
      <c r="AG44" s="524">
        <f>REMUNERACION_ENEL!AG105</f>
        <v>0</v>
      </c>
      <c r="AH44" s="1"/>
      <c r="AI44" s="308"/>
      <c r="AM44" s="335"/>
    </row>
    <row r="45" spans="1:39" s="307" customFormat="1" x14ac:dyDescent="0.25">
      <c r="B45" s="316">
        <v>3</v>
      </c>
      <c r="C45" s="317" t="s">
        <v>12</v>
      </c>
      <c r="D45" s="293">
        <f>REMUNERACION_ENEL!D106</f>
        <v>10205599146.570002</v>
      </c>
      <c r="E45" s="294">
        <f>REMUNERACION_ENEL!E106</f>
        <v>629291751.14999998</v>
      </c>
      <c r="F45" s="294">
        <f>REMUNERACION_ENEL!F106</f>
        <v>352061233.23999995</v>
      </c>
      <c r="G45" s="294">
        <f>REMUNERACION_ENEL!G106</f>
        <v>186348002.65000004</v>
      </c>
      <c r="H45" s="294">
        <f>REMUNERACION_ENEL!H106</f>
        <v>3061649694.1900005</v>
      </c>
      <c r="I45" s="294">
        <f>REMUNERACION_ENEL!I106</f>
        <v>101715175.75999999</v>
      </c>
      <c r="J45" s="290">
        <f>REMUNERACION_ENEL!J106</f>
        <v>-1230396998.4399998</v>
      </c>
      <c r="K45" s="297">
        <f>REMUNERACION_ENEL!K106</f>
        <v>7104930288.0200014</v>
      </c>
      <c r="L45" s="296">
        <f>REMUNERACION_ENEL!L106</f>
        <v>154788535</v>
      </c>
      <c r="M45" s="297">
        <f>REMUNERACION_ENEL!M106</f>
        <v>6950141753.0200014</v>
      </c>
      <c r="N45" s="296">
        <f>REMUNERACION_ENEL!N106</f>
        <v>13445739.66</v>
      </c>
      <c r="O45" s="297">
        <f>REMUNERACION_ENEL!O106</f>
        <v>6963587492.6800013</v>
      </c>
      <c r="Q45" s="308"/>
      <c r="S45" s="316">
        <v>3</v>
      </c>
      <c r="T45" s="317" t="s">
        <v>12</v>
      </c>
      <c r="U45" s="318">
        <f>REMUNERACION_ENEL!U106</f>
        <v>892751002.93999994</v>
      </c>
      <c r="V45" s="319">
        <f>REMUNERACION_ENEL!V106</f>
        <v>870100487.53999996</v>
      </c>
      <c r="W45" s="319">
        <f>REMUNERACION_ENEL!W106</f>
        <v>4095575369.4300003</v>
      </c>
      <c r="X45" s="319">
        <f>REMUNERACION_ENEL!X106</f>
        <v>1491422387.51</v>
      </c>
      <c r="Y45" s="320">
        <f>REMUNERACION_ENEL!Y106</f>
        <v>165989772.75000003</v>
      </c>
      <c r="Z45" s="321">
        <f>REMUNERACION_ENEL!Z106</f>
        <v>-154788535</v>
      </c>
      <c r="AA45" s="322">
        <f>REMUNERACION_ENEL!AA106</f>
        <v>49081.23</v>
      </c>
      <c r="AB45" s="296">
        <f>REMUNERACION_ENEL!AB106</f>
        <v>13445739.66</v>
      </c>
      <c r="AC45" s="322">
        <f>REMUNERACION_ENEL!AC106</f>
        <v>1.07</v>
      </c>
      <c r="AD45" s="293">
        <f>REMUNERACION_ENEL!AD106</f>
        <v>-410957814.45000005</v>
      </c>
      <c r="AE45" s="293">
        <f>REMUNERACION_ENEL!AE106</f>
        <v>-1641354812.8899999</v>
      </c>
      <c r="AF45" s="324">
        <f>REMUNERACION_ENEL!AF106</f>
        <v>6963587492.6799994</v>
      </c>
      <c r="AG45" s="524">
        <f>REMUNERACION_ENEL!AG106</f>
        <v>0</v>
      </c>
      <c r="AH45" s="1"/>
      <c r="AI45" s="308"/>
      <c r="AM45" s="335"/>
    </row>
    <row r="46" spans="1:39" s="307" customFormat="1" x14ac:dyDescent="0.25">
      <c r="B46" s="316">
        <v>4</v>
      </c>
      <c r="C46" s="317" t="s">
        <v>13</v>
      </c>
      <c r="D46" s="293">
        <f>REMUNERACION_ENEL!D107</f>
        <v>10991242585.599998</v>
      </c>
      <c r="E46" s="294">
        <f>REMUNERACION_ENEL!E107</f>
        <v>612757116.33000004</v>
      </c>
      <c r="F46" s="294">
        <f>REMUNERACION_ENEL!F107</f>
        <v>341110908.60999995</v>
      </c>
      <c r="G46" s="294">
        <f>REMUNERACION_ENEL!G107</f>
        <v>180756802.69999999</v>
      </c>
      <c r="H46" s="294">
        <f>REMUNERACION_ENEL!H107</f>
        <v>2768093997.02</v>
      </c>
      <c r="I46" s="294">
        <f>REMUNERACION_ENEL!I107</f>
        <v>95992558.799999982</v>
      </c>
      <c r="J46" s="290">
        <f>REMUNERACION_ENEL!J107</f>
        <v>38133905.800000012</v>
      </c>
      <c r="K46" s="297">
        <f>REMUNERACION_ENEL!K107</f>
        <v>6954397296.3399963</v>
      </c>
      <c r="L46" s="296">
        <f>REMUNERACION_ENEL!L107</f>
        <v>120391083</v>
      </c>
      <c r="M46" s="297">
        <f>REMUNERACION_ENEL!M107</f>
        <v>6834006213.3399963</v>
      </c>
      <c r="N46" s="296">
        <f>REMUNERACION_ENEL!N107</f>
        <v>19861983.190000001</v>
      </c>
      <c r="O46" s="297">
        <f>REMUNERACION_ENEL!O107</f>
        <v>6853868196.5299959</v>
      </c>
      <c r="Q46" s="308"/>
      <c r="S46" s="316">
        <v>4</v>
      </c>
      <c r="T46" s="317" t="s">
        <v>13</v>
      </c>
      <c r="U46" s="318">
        <f>REMUNERACION_ENEL!U107</f>
        <v>841773977.29999995</v>
      </c>
      <c r="V46" s="319">
        <f>REMUNERACION_ENEL!V107</f>
        <v>822432392.84000003</v>
      </c>
      <c r="W46" s="319">
        <f>REMUNERACION_ENEL!W107</f>
        <v>4196445614.7799997</v>
      </c>
      <c r="X46" s="319">
        <f>REMUNERACION_ENEL!X107</f>
        <v>1622132605.1699998</v>
      </c>
      <c r="Y46" s="320">
        <f>REMUNERACION_ENEL!Y107</f>
        <v>156904728.71000001</v>
      </c>
      <c r="Z46" s="321">
        <f>REMUNERACION_ENEL!Z107</f>
        <v>-120391083</v>
      </c>
      <c r="AA46" s="322">
        <f>REMUNERACION_ENEL!AA107</f>
        <v>-64131.010000000009</v>
      </c>
      <c r="AB46" s="296">
        <f>REMUNERACION_ENEL!AB107</f>
        <v>19861983.190000001</v>
      </c>
      <c r="AC46" s="322">
        <f>REMUNERACION_ENEL!AC107</f>
        <v>31.950000000000024</v>
      </c>
      <c r="AD46" s="293">
        <f>REMUNERACION_ENEL!AD107</f>
        <v>-685227923.4000001</v>
      </c>
      <c r="AE46" s="293">
        <f>REMUNERACION_ENEL!AE107</f>
        <v>-647094017.60000002</v>
      </c>
      <c r="AF46" s="324">
        <f>REMUNERACION_ENEL!AF107</f>
        <v>6853868196.5299988</v>
      </c>
      <c r="AG46" s="524">
        <f>REMUNERACION_ENEL!AG107</f>
        <v>0</v>
      </c>
      <c r="AH46" s="1"/>
      <c r="AI46" s="308"/>
      <c r="AM46" s="335"/>
    </row>
    <row r="47" spans="1:39" s="307" customFormat="1" ht="12" thickBot="1" x14ac:dyDescent="0.3">
      <c r="B47" s="326">
        <v>5</v>
      </c>
      <c r="C47" s="327" t="s">
        <v>14</v>
      </c>
      <c r="D47" s="298">
        <f>REMUNERACION_ENEL!D108</f>
        <v>8800679781.3700008</v>
      </c>
      <c r="E47" s="299">
        <f>REMUNERACION_ENEL!E108</f>
        <v>475293248.80000001</v>
      </c>
      <c r="F47" s="299">
        <f>REMUNERACION_ENEL!F108</f>
        <v>265758832.30000001</v>
      </c>
      <c r="G47" s="299">
        <f>REMUNERACION_ENEL!G108</f>
        <v>140738596.90000001</v>
      </c>
      <c r="H47" s="299">
        <f>REMUNERACION_ENEL!H108</f>
        <v>2045307402.5800002</v>
      </c>
      <c r="I47" s="299">
        <f>REMUNERACION_ENEL!I108</f>
        <v>73259470.969999999</v>
      </c>
      <c r="J47" s="291">
        <f>REMUNERACION_ENEL!J108</f>
        <v>-1224100690.4600003</v>
      </c>
      <c r="K47" s="297">
        <f>REMUNERACION_ENEL!K108</f>
        <v>7024422920.2800007</v>
      </c>
      <c r="L47" s="296">
        <f>REMUNERACION_ENEL!L108</f>
        <v>128990445</v>
      </c>
      <c r="M47" s="300">
        <f>REMUNERACION_ENEL!M108</f>
        <v>6895432475.2800007</v>
      </c>
      <c r="N47" s="301">
        <f>REMUNERACION_ENEL!N108</f>
        <v>5862361.9900000002</v>
      </c>
      <c r="O47" s="300">
        <f>REMUNERACION_ENEL!O108</f>
        <v>6901294837.2700005</v>
      </c>
      <c r="Q47" s="308"/>
      <c r="S47" s="326">
        <v>5</v>
      </c>
      <c r="T47" s="327" t="s">
        <v>14</v>
      </c>
      <c r="U47" s="298">
        <f>REMUNERACION_ENEL!U108</f>
        <v>643145081.82999992</v>
      </c>
      <c r="V47" s="299">
        <f>REMUNERACION_ENEL!V108</f>
        <v>624107126.62</v>
      </c>
      <c r="W47" s="299">
        <f>REMUNERACION_ENEL!W108</f>
        <v>3202966035.54</v>
      </c>
      <c r="X47" s="299">
        <f>REMUNERACION_ENEL!X108</f>
        <v>1423430592.5599999</v>
      </c>
      <c r="Y47" s="291">
        <f>REMUNERACION_ENEL!Y108</f>
        <v>119594166.09</v>
      </c>
      <c r="Z47" s="321">
        <f>REMUNERACION_ENEL!Z108</f>
        <v>-128990445</v>
      </c>
      <c r="AA47" s="322">
        <f>REMUNERACION_ENEL!AA108</f>
        <v>-13031.900000000001</v>
      </c>
      <c r="AB47" s="296">
        <f>REMUNERACION_ENEL!AB108</f>
        <v>5862361.9900000002</v>
      </c>
      <c r="AC47" s="322">
        <f>REMUNERACION_ENEL!AC108</f>
        <v>-37.089999999999996</v>
      </c>
      <c r="AD47" s="293">
        <f>REMUNERACION_ENEL!AD108</f>
        <v>1011192986.6300002</v>
      </c>
      <c r="AE47" s="293">
        <f>REMUNERACION_ENEL!AE108</f>
        <v>-212907703.83000001</v>
      </c>
      <c r="AF47" s="324">
        <f>REMUNERACION_ENEL!AF108</f>
        <v>6901294837.2699995</v>
      </c>
      <c r="AG47" s="525">
        <f>REMUNERACION_ENEL!AG108</f>
        <v>0</v>
      </c>
      <c r="AH47" s="1"/>
      <c r="AI47" s="308"/>
      <c r="AM47" s="335"/>
    </row>
    <row r="48" spans="1:39" s="307" customFormat="1" ht="13.5" thickBot="1" x14ac:dyDescent="0.35">
      <c r="B48" s="329"/>
      <c r="C48" s="330" t="s">
        <v>2</v>
      </c>
      <c r="D48" s="292">
        <f>REMUNERACION_ENEL!D109</f>
        <v>59677535897.490005</v>
      </c>
      <c r="E48" s="292">
        <f>REMUNERACION_ENEL!E109</f>
        <v>3601568364.2800002</v>
      </c>
      <c r="F48" s="292">
        <f>REMUNERACION_ENEL!F109</f>
        <v>2009726350.2099998</v>
      </c>
      <c r="G48" s="292">
        <f>REMUNERACION_ENEL!G109</f>
        <v>1063275711.7600001</v>
      </c>
      <c r="H48" s="292">
        <f>REMUNERACION_ENEL!H109</f>
        <v>17013195307.01</v>
      </c>
      <c r="I48" s="292">
        <f>REMUNERACION_ENEL!I109</f>
        <v>599747175.94999993</v>
      </c>
      <c r="J48" s="292">
        <f>REMUNERACION_ENEL!J109</f>
        <v>-4920287863.7799988</v>
      </c>
      <c r="K48" s="302">
        <f>REMUNERACION_ENEL!K109</f>
        <v>40310310852.059998</v>
      </c>
      <c r="L48" s="303">
        <f>REMUNERACION_ENEL!L109</f>
        <v>859936305</v>
      </c>
      <c r="M48" s="304">
        <f>REMUNERACION_ENEL!M109</f>
        <v>39450374547.059998</v>
      </c>
      <c r="N48" s="303">
        <f>REMUNERACION_ENEL!N109</f>
        <v>80999589.399999991</v>
      </c>
      <c r="O48" s="304">
        <f>REMUNERACION_ENEL!O109</f>
        <v>39531374136.459999</v>
      </c>
      <c r="P48" s="331"/>
      <c r="Q48" s="308"/>
      <c r="S48" s="329"/>
      <c r="T48" s="330" t="s">
        <v>2</v>
      </c>
      <c r="U48" s="332">
        <f>REMUNERACION_ENEL!U109</f>
        <v>5263624339.75</v>
      </c>
      <c r="V48" s="332">
        <f>REMUNERACION_ENEL!V109</f>
        <v>5104921462.21</v>
      </c>
      <c r="W48" s="332">
        <f>REMUNERACION_ENEL!W109</f>
        <v>24590596143.27</v>
      </c>
      <c r="X48" s="332">
        <f>REMUNERACION_ENEL!X109</f>
        <v>8955093474.5200005</v>
      </c>
      <c r="Y48" s="332">
        <f>REMUNERACION_ENEL!Y109</f>
        <v>979261930.18000007</v>
      </c>
      <c r="Z48" s="292">
        <f>REMUNERACION_ENEL!Z109</f>
        <v>-859936305</v>
      </c>
      <c r="AA48" s="292">
        <f>REMUNERACION_ENEL!AA109</f>
        <v>-12247.830000000016</v>
      </c>
      <c r="AB48" s="292">
        <f>REMUNERACION_ENEL!AB109</f>
        <v>80999589.399999991</v>
      </c>
      <c r="AC48" s="292">
        <f>REMUNERACION_ENEL!AC109</f>
        <v>-1.369999999999969</v>
      </c>
      <c r="AD48" s="292">
        <f>REMUNERACION_ENEL!AD109</f>
        <v>-4583167139.8400011</v>
      </c>
      <c r="AE48" s="292">
        <f>REMUNERACION_ENEL!AE109</f>
        <v>-9503455003.6200008</v>
      </c>
      <c r="AF48" s="333">
        <f>REMUNERACION_ENEL!AF109</f>
        <v>39531381245.289993</v>
      </c>
      <c r="AG48" s="526">
        <f>REMUNERACION_ENEL!AG109</f>
        <v>7108.8299970626831</v>
      </c>
      <c r="AH48" s="1"/>
      <c r="AI48" s="308"/>
      <c r="AM48" s="335"/>
    </row>
    <row r="49" spans="1:39" x14ac:dyDescent="0.25">
      <c r="B49" s="2"/>
      <c r="C49" s="2"/>
      <c r="D49" s="450"/>
      <c r="E49" s="450"/>
      <c r="F49" s="450"/>
      <c r="G49" s="450"/>
      <c r="H49" s="450"/>
      <c r="I49" s="450"/>
      <c r="K49" s="450"/>
      <c r="L49" s="450"/>
      <c r="M49" s="450"/>
      <c r="N49" s="450"/>
      <c r="O49" s="450"/>
      <c r="Q49" s="4"/>
      <c r="S49" s="2"/>
      <c r="T49" s="2"/>
      <c r="U49" s="450"/>
      <c r="V49" s="450"/>
      <c r="W49" s="450"/>
      <c r="X49" s="450"/>
      <c r="Y49" s="450"/>
      <c r="AF49" s="450"/>
      <c r="AI49" s="4"/>
    </row>
    <row r="50" spans="1:39" x14ac:dyDescent="0.25">
      <c r="B50" s="2"/>
      <c r="C50" s="2"/>
      <c r="D50" s="541"/>
      <c r="E50" s="541"/>
      <c r="F50" s="541"/>
      <c r="G50" s="541"/>
      <c r="H50" s="541"/>
      <c r="I50" s="541"/>
      <c r="K50" s="541"/>
      <c r="L50" s="541"/>
      <c r="M50" s="541"/>
      <c r="N50" s="541"/>
      <c r="O50" s="541"/>
      <c r="Q50" s="4"/>
      <c r="AI50" s="4"/>
    </row>
    <row r="51" spans="1:39" x14ac:dyDescent="0.25">
      <c r="A51" s="4"/>
      <c r="B51" s="34"/>
      <c r="C51" s="34"/>
      <c r="D51" s="476"/>
      <c r="E51" s="476"/>
      <c r="F51" s="476"/>
      <c r="G51" s="476"/>
      <c r="H51" s="476"/>
      <c r="I51" s="476"/>
      <c r="J51" s="4"/>
      <c r="K51" s="476"/>
      <c r="L51" s="476"/>
      <c r="M51" s="476"/>
      <c r="N51" s="476"/>
      <c r="O51" s="476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9" ht="12" thickBot="1" x14ac:dyDescent="0.3">
      <c r="B52" s="2"/>
      <c r="C52" s="2"/>
      <c r="D52" s="541"/>
      <c r="E52" s="541"/>
      <c r="F52" s="541"/>
      <c r="G52" s="541"/>
      <c r="H52" s="541"/>
      <c r="I52" s="541"/>
      <c r="K52" s="541"/>
      <c r="L52" s="541"/>
      <c r="M52" s="541"/>
      <c r="N52" s="541"/>
      <c r="O52" s="541"/>
    </row>
    <row r="53" spans="1:39" x14ac:dyDescent="0.25">
      <c r="B53" s="5"/>
      <c r="C53" s="3" t="s">
        <v>1</v>
      </c>
      <c r="D53" s="6" t="s">
        <v>1</v>
      </c>
      <c r="E53" s="3"/>
      <c r="F53" s="3"/>
      <c r="G53" s="3"/>
      <c r="H53" s="3" t="s">
        <v>1</v>
      </c>
      <c r="I53" s="3"/>
      <c r="J53" s="3"/>
      <c r="K53" s="3"/>
      <c r="L53" s="3"/>
      <c r="M53" s="3"/>
      <c r="N53" s="3"/>
      <c r="O53" s="7"/>
      <c r="P53" s="2"/>
      <c r="Q53" s="4"/>
      <c r="S53" s="5"/>
      <c r="T53" s="3" t="s">
        <v>1</v>
      </c>
      <c r="U53" s="6" t="s">
        <v>1</v>
      </c>
      <c r="V53" s="3"/>
      <c r="W53" s="3"/>
      <c r="X53" s="3" t="s">
        <v>1</v>
      </c>
      <c r="Y53" s="3"/>
      <c r="Z53" s="3"/>
      <c r="AA53" s="3"/>
      <c r="AB53" s="3"/>
      <c r="AC53" s="3"/>
      <c r="AD53" s="3"/>
      <c r="AE53" s="3"/>
      <c r="AF53" s="7"/>
      <c r="AG53" s="2"/>
      <c r="AI53" s="4"/>
    </row>
    <row r="54" spans="1:39" ht="14" x14ac:dyDescent="0.3">
      <c r="B54" s="8"/>
      <c r="F54" s="26" t="s">
        <v>8</v>
      </c>
      <c r="G54" s="26"/>
      <c r="I54" s="26" t="s">
        <v>16</v>
      </c>
      <c r="J54" s="25"/>
      <c r="M54" s="2"/>
      <c r="N54" s="50"/>
      <c r="O54" s="10"/>
      <c r="P54" s="2"/>
      <c r="Q54" s="4"/>
      <c r="S54" s="8"/>
      <c r="U54" s="26" t="s">
        <v>8</v>
      </c>
      <c r="W54" s="26" t="s">
        <v>16</v>
      </c>
      <c r="X54" s="25"/>
      <c r="Y54" s="2"/>
      <c r="AA54" s="2" t="s">
        <v>1</v>
      </c>
      <c r="AD54" s="84" t="s">
        <v>1</v>
      </c>
      <c r="AE54" s="84"/>
      <c r="AF54" s="48"/>
      <c r="AG54" s="2"/>
      <c r="AI54" s="4"/>
    </row>
    <row r="55" spans="1:39" ht="15.5" x14ac:dyDescent="0.35">
      <c r="B55" s="8"/>
      <c r="F55" s="36" t="s">
        <v>29</v>
      </c>
      <c r="G55" s="36"/>
      <c r="O55" s="10"/>
      <c r="P55" s="2"/>
      <c r="Q55" s="4"/>
      <c r="S55" s="8"/>
      <c r="T55" s="26" t="s">
        <v>1</v>
      </c>
      <c r="U55" s="36" t="s">
        <v>29</v>
      </c>
      <c r="Y55" s="2" t="s">
        <v>1</v>
      </c>
      <c r="AA55" s="50" t="s">
        <v>1</v>
      </c>
      <c r="AB55" s="2"/>
      <c r="AC55" s="2"/>
      <c r="AD55" s="2"/>
      <c r="AE55" s="2"/>
      <c r="AF55" s="10" t="s">
        <v>1</v>
      </c>
      <c r="AG55" s="2"/>
      <c r="AI55" s="4"/>
    </row>
    <row r="56" spans="1:39" ht="14" x14ac:dyDescent="0.3">
      <c r="B56" s="8"/>
      <c r="F56" s="2" t="s">
        <v>30</v>
      </c>
      <c r="G56" s="2"/>
      <c r="L56" s="91"/>
      <c r="M56" s="2" t="s">
        <v>1</v>
      </c>
      <c r="O56" s="10"/>
      <c r="P56" s="2"/>
      <c r="Q56" s="4"/>
      <c r="S56" s="8"/>
      <c r="T56" s="49" t="s">
        <v>1</v>
      </c>
      <c r="U56" s="2" t="s">
        <v>30</v>
      </c>
      <c r="AF56" s="44"/>
      <c r="AG56" s="2"/>
      <c r="AI56" s="4"/>
    </row>
    <row r="57" spans="1:39" ht="15.5" x14ac:dyDescent="0.35">
      <c r="B57" s="8"/>
      <c r="C57" s="2"/>
      <c r="D57" s="9"/>
      <c r="F57" s="58" t="s">
        <v>327</v>
      </c>
      <c r="G57" s="58"/>
      <c r="H57" s="59"/>
      <c r="I57" s="60"/>
      <c r="J57" s="59"/>
      <c r="L57" s="91"/>
      <c r="O57" s="10"/>
      <c r="P57" s="2"/>
      <c r="Q57" s="4"/>
      <c r="S57" s="8"/>
      <c r="T57" s="41" t="s">
        <v>1</v>
      </c>
      <c r="U57" s="58" t="s">
        <v>35</v>
      </c>
      <c r="V57" s="59"/>
      <c r="W57" s="60"/>
      <c r="X57" s="59"/>
      <c r="Y57" s="2"/>
      <c r="AF57" s="48"/>
      <c r="AG57" s="2"/>
      <c r="AI57" s="4"/>
    </row>
    <row r="58" spans="1:39" ht="18" thickBot="1" x14ac:dyDescent="0.5">
      <c r="B58" s="8"/>
      <c r="C58" s="2"/>
      <c r="D58" s="241"/>
      <c r="F58" s="2"/>
      <c r="G58" s="9"/>
      <c r="J58" s="2"/>
      <c r="K58" s="9"/>
      <c r="L58" s="92"/>
      <c r="O58" s="10"/>
      <c r="P58" s="2"/>
      <c r="Q58" s="4"/>
      <c r="S58" s="8"/>
      <c r="V58" s="9"/>
      <c r="Y58" s="9"/>
      <c r="Z58" s="1" t="s">
        <v>1</v>
      </c>
      <c r="AF58" s="48"/>
      <c r="AG58" s="2"/>
      <c r="AI58" s="4"/>
      <c r="AJ58" s="112" t="s">
        <v>1</v>
      </c>
    </row>
    <row r="59" spans="1:39" ht="72" customHeight="1" thickBot="1" x14ac:dyDescent="0.3">
      <c r="B59" s="11" t="s">
        <v>3</v>
      </c>
      <c r="C59" s="27" t="s">
        <v>9</v>
      </c>
      <c r="D59" s="11" t="s">
        <v>4</v>
      </c>
      <c r="E59" s="12" t="s">
        <v>5</v>
      </c>
      <c r="F59" s="27" t="s">
        <v>6</v>
      </c>
      <c r="G59" s="27" t="s">
        <v>159</v>
      </c>
      <c r="H59" s="27" t="s">
        <v>18</v>
      </c>
      <c r="I59" s="12" t="s">
        <v>24</v>
      </c>
      <c r="J59" s="73" t="s">
        <v>19</v>
      </c>
      <c r="K59" s="29" t="s">
        <v>20</v>
      </c>
      <c r="L59" s="28" t="s">
        <v>21</v>
      </c>
      <c r="M59" s="39" t="s">
        <v>22</v>
      </c>
      <c r="N59" s="12" t="s">
        <v>7</v>
      </c>
      <c r="O59" s="39" t="s">
        <v>23</v>
      </c>
      <c r="P59" s="13"/>
      <c r="Q59" s="4"/>
      <c r="S59" s="11" t="s">
        <v>3</v>
      </c>
      <c r="T59" s="27" t="s">
        <v>9</v>
      </c>
      <c r="U59" s="162" t="s">
        <v>39</v>
      </c>
      <c r="V59" s="163" t="s">
        <v>40</v>
      </c>
      <c r="W59" s="163" t="s">
        <v>41</v>
      </c>
      <c r="X59" s="163" t="s">
        <v>42</v>
      </c>
      <c r="Y59" s="164" t="s">
        <v>43</v>
      </c>
      <c r="Z59" s="85" t="s">
        <v>21</v>
      </c>
      <c r="AA59" s="65" t="s">
        <v>46</v>
      </c>
      <c r="AB59" s="65" t="s">
        <v>7</v>
      </c>
      <c r="AC59" s="85" t="s">
        <v>167</v>
      </c>
      <c r="AD59" s="121" t="s">
        <v>105</v>
      </c>
      <c r="AE59" s="121" t="s">
        <v>104</v>
      </c>
      <c r="AF59" s="39" t="s">
        <v>23</v>
      </c>
      <c r="AG59" s="13"/>
      <c r="AI59" s="4"/>
    </row>
    <row r="60" spans="1:39" s="307" customFormat="1" x14ac:dyDescent="0.25">
      <c r="B60" s="305">
        <v>1</v>
      </c>
      <c r="C60" s="306" t="s">
        <v>10</v>
      </c>
      <c r="D60" s="293">
        <f>REMUNERACION_ENERBIT!D104</f>
        <v>0</v>
      </c>
      <c r="E60" s="293">
        <f>REMUNERACION_ENERBIT!E104</f>
        <v>0</v>
      </c>
      <c r="F60" s="293">
        <f>REMUNERACION_ENERBIT!F104</f>
        <v>0</v>
      </c>
      <c r="G60" s="293">
        <f>REMUNERACION_ENERBIT!G104</f>
        <v>0</v>
      </c>
      <c r="H60" s="293">
        <f>REMUNERACION_ENERBIT!H104</f>
        <v>0</v>
      </c>
      <c r="I60" s="293">
        <f>REMUNERACION_ENERBIT!I104</f>
        <v>0</v>
      </c>
      <c r="J60" s="293">
        <f>REMUNERACION_ENERBIT!J104</f>
        <v>0</v>
      </c>
      <c r="K60" s="295">
        <f>REMUNERACION_ENERBIT!K104</f>
        <v>0</v>
      </c>
      <c r="L60" s="296">
        <f>REMUNERACION_ENERBIT!L104</f>
        <v>0</v>
      </c>
      <c r="M60" s="295">
        <f>REMUNERACION_ENERBIT!M104</f>
        <v>0</v>
      </c>
      <c r="N60" s="296">
        <f>REMUNERACION_ENERBIT!N104</f>
        <v>0</v>
      </c>
      <c r="O60" s="295">
        <f>REMUNERACION_ENERBIT!O104</f>
        <v>0</v>
      </c>
      <c r="Q60" s="308"/>
      <c r="S60" s="305">
        <v>1</v>
      </c>
      <c r="T60" s="306" t="s">
        <v>10</v>
      </c>
      <c r="U60" s="309">
        <f>REMUNERACION_ENERBIT!U104</f>
        <v>0</v>
      </c>
      <c r="V60" s="310">
        <f>REMUNERACION_ENERBIT!V104</f>
        <v>0</v>
      </c>
      <c r="W60" s="310">
        <f>REMUNERACION_ENERBIT!W104</f>
        <v>0</v>
      </c>
      <c r="X60" s="310">
        <f>REMUNERACION_ENERBIT!X104</f>
        <v>0</v>
      </c>
      <c r="Y60" s="311">
        <f>REMUNERACION_ENERBIT!Y104</f>
        <v>0</v>
      </c>
      <c r="Z60" s="311">
        <f>REMUNERACION_ENERBIT!Z104</f>
        <v>0</v>
      </c>
      <c r="AA60" s="311">
        <f>REMUNERACION_ENERBIT!AA104</f>
        <v>0</v>
      </c>
      <c r="AB60" s="311">
        <f>REMUNERACION_ENERBIT!AB104</f>
        <v>0</v>
      </c>
      <c r="AC60" s="311">
        <f>REMUNERACION_ENERBIT!AC104</f>
        <v>0</v>
      </c>
      <c r="AD60" s="311">
        <f>REMUNERACION_ENERBIT!AD104</f>
        <v>0</v>
      </c>
      <c r="AE60" s="311">
        <f>REMUNERACION_ENERBIT!AE104</f>
        <v>0</v>
      </c>
      <c r="AF60" s="315">
        <f>REMUNERACION_ENERBIT!AF104</f>
        <v>0</v>
      </c>
      <c r="AG60" s="523">
        <f>REMUNERACION_ENEL!AG121</f>
        <v>0</v>
      </c>
      <c r="AH60" s="1"/>
      <c r="AI60" s="308"/>
      <c r="AM60" s="335"/>
    </row>
    <row r="61" spans="1:39" s="307" customFormat="1" x14ac:dyDescent="0.25">
      <c r="B61" s="316">
        <v>2</v>
      </c>
      <c r="C61" s="317" t="s">
        <v>11</v>
      </c>
      <c r="D61" s="293">
        <f>REMUNERACION_ENERBIT!D105</f>
        <v>0</v>
      </c>
      <c r="E61" s="293">
        <f>REMUNERACION_ENERBIT!E105</f>
        <v>0</v>
      </c>
      <c r="F61" s="293">
        <f>REMUNERACION_ENERBIT!F105</f>
        <v>0</v>
      </c>
      <c r="G61" s="293">
        <f>REMUNERACION_ENERBIT!G105</f>
        <v>0</v>
      </c>
      <c r="H61" s="293">
        <f>REMUNERACION_ENERBIT!H105</f>
        <v>0</v>
      </c>
      <c r="I61" s="293">
        <f>REMUNERACION_ENERBIT!I105</f>
        <v>0</v>
      </c>
      <c r="J61" s="293">
        <f>REMUNERACION_ENERBIT!J105</f>
        <v>0</v>
      </c>
      <c r="K61" s="297">
        <f>REMUNERACION_ENERBIT!K105</f>
        <v>0</v>
      </c>
      <c r="L61" s="296">
        <f>REMUNERACION_ENERBIT!L105</f>
        <v>0</v>
      </c>
      <c r="M61" s="297">
        <f>REMUNERACION_ENERBIT!M105</f>
        <v>0</v>
      </c>
      <c r="N61" s="296">
        <f>REMUNERACION_ENERBIT!N105</f>
        <v>0</v>
      </c>
      <c r="O61" s="297">
        <f>REMUNERACION_ENERBIT!O105</f>
        <v>0</v>
      </c>
      <c r="Q61" s="308"/>
      <c r="S61" s="316">
        <v>2</v>
      </c>
      <c r="T61" s="317" t="s">
        <v>11</v>
      </c>
      <c r="U61" s="318">
        <f>REMUNERACION_ENERBIT!U105</f>
        <v>0</v>
      </c>
      <c r="V61" s="319">
        <f>REMUNERACION_ENERBIT!V105</f>
        <v>0</v>
      </c>
      <c r="W61" s="319">
        <f>REMUNERACION_ENERBIT!W105</f>
        <v>0</v>
      </c>
      <c r="X61" s="319">
        <f>REMUNERACION_ENERBIT!X105</f>
        <v>0</v>
      </c>
      <c r="Y61" s="320">
        <f>REMUNERACION_ENERBIT!Y105</f>
        <v>0</v>
      </c>
      <c r="Z61" s="320">
        <f>REMUNERACION_ENERBIT!Z105</f>
        <v>0</v>
      </c>
      <c r="AA61" s="320">
        <f>REMUNERACION_ENERBIT!AA105</f>
        <v>0</v>
      </c>
      <c r="AB61" s="320">
        <f>REMUNERACION_ENERBIT!AB105</f>
        <v>0</v>
      </c>
      <c r="AC61" s="320">
        <f>REMUNERACION_ENERBIT!AC105</f>
        <v>0</v>
      </c>
      <c r="AD61" s="320">
        <f>REMUNERACION_ENERBIT!AD105</f>
        <v>0</v>
      </c>
      <c r="AE61" s="320">
        <f>REMUNERACION_ENERBIT!AE105</f>
        <v>0</v>
      </c>
      <c r="AF61" s="324">
        <f>REMUNERACION_ENERBIT!AF105</f>
        <v>0</v>
      </c>
      <c r="AG61" s="524">
        <f>REMUNERACION_ENEL!AG122</f>
        <v>0</v>
      </c>
      <c r="AH61" s="1"/>
      <c r="AI61" s="308"/>
      <c r="AM61" s="335"/>
    </row>
    <row r="62" spans="1:39" s="307" customFormat="1" x14ac:dyDescent="0.25">
      <c r="B62" s="316">
        <v>3</v>
      </c>
      <c r="C62" s="317" t="s">
        <v>12</v>
      </c>
      <c r="D62" s="293">
        <f>REMUNERACION_ENERBIT!D106</f>
        <v>0</v>
      </c>
      <c r="E62" s="293">
        <f>REMUNERACION_ENERBIT!E106</f>
        <v>0</v>
      </c>
      <c r="F62" s="293">
        <f>REMUNERACION_ENERBIT!F106</f>
        <v>0</v>
      </c>
      <c r="G62" s="293">
        <f>REMUNERACION_ENERBIT!G106</f>
        <v>0</v>
      </c>
      <c r="H62" s="293">
        <f>REMUNERACION_ENERBIT!H106</f>
        <v>0</v>
      </c>
      <c r="I62" s="293">
        <f>REMUNERACION_ENERBIT!I106</f>
        <v>0</v>
      </c>
      <c r="J62" s="293">
        <f>REMUNERACION_ENERBIT!J106</f>
        <v>0</v>
      </c>
      <c r="K62" s="297">
        <f>REMUNERACION_ENERBIT!K106</f>
        <v>0</v>
      </c>
      <c r="L62" s="296">
        <f>REMUNERACION_ENERBIT!L106</f>
        <v>0</v>
      </c>
      <c r="M62" s="297">
        <f>REMUNERACION_ENERBIT!M106</f>
        <v>0</v>
      </c>
      <c r="N62" s="296">
        <f>REMUNERACION_ENERBIT!N106</f>
        <v>0</v>
      </c>
      <c r="O62" s="297">
        <f>REMUNERACION_ENERBIT!O106</f>
        <v>0</v>
      </c>
      <c r="Q62" s="308"/>
      <c r="S62" s="316">
        <v>3</v>
      </c>
      <c r="T62" s="317" t="s">
        <v>12</v>
      </c>
      <c r="U62" s="318">
        <f>REMUNERACION_ENERBIT!U106</f>
        <v>0</v>
      </c>
      <c r="V62" s="319">
        <f>REMUNERACION_ENERBIT!V106</f>
        <v>0</v>
      </c>
      <c r="W62" s="319">
        <f>REMUNERACION_ENERBIT!W106</f>
        <v>0</v>
      </c>
      <c r="X62" s="319">
        <f>REMUNERACION_ENERBIT!X106</f>
        <v>0</v>
      </c>
      <c r="Y62" s="320">
        <f>REMUNERACION_ENERBIT!Y106</f>
        <v>0</v>
      </c>
      <c r="Z62" s="320">
        <f>REMUNERACION_ENERBIT!Z106</f>
        <v>0</v>
      </c>
      <c r="AA62" s="320">
        <f>REMUNERACION_ENERBIT!AA106</f>
        <v>0</v>
      </c>
      <c r="AB62" s="320">
        <f>REMUNERACION_ENERBIT!AB106</f>
        <v>0</v>
      </c>
      <c r="AC62" s="320">
        <f>REMUNERACION_ENERBIT!AC106</f>
        <v>0</v>
      </c>
      <c r="AD62" s="320">
        <f>REMUNERACION_ENERBIT!AD106</f>
        <v>0</v>
      </c>
      <c r="AE62" s="320">
        <f>REMUNERACION_ENERBIT!AE106</f>
        <v>0</v>
      </c>
      <c r="AF62" s="324">
        <f>REMUNERACION_ENERBIT!AF106</f>
        <v>0</v>
      </c>
      <c r="AG62" s="524">
        <f>REMUNERACION_ENEL!AG123</f>
        <v>0</v>
      </c>
      <c r="AH62" s="1"/>
      <c r="AI62" s="308"/>
      <c r="AM62" s="335"/>
    </row>
    <row r="63" spans="1:39" s="307" customFormat="1" x14ac:dyDescent="0.25">
      <c r="B63" s="316">
        <v>4</v>
      </c>
      <c r="C63" s="317" t="s">
        <v>13</v>
      </c>
      <c r="D63" s="293">
        <f>REMUNERACION_ENERBIT!D107</f>
        <v>0</v>
      </c>
      <c r="E63" s="293">
        <f>REMUNERACION_ENERBIT!E107</f>
        <v>0</v>
      </c>
      <c r="F63" s="293">
        <f>REMUNERACION_ENERBIT!F107</f>
        <v>0</v>
      </c>
      <c r="G63" s="293">
        <f>REMUNERACION_ENERBIT!G107</f>
        <v>0</v>
      </c>
      <c r="H63" s="293">
        <f>REMUNERACION_ENERBIT!H107</f>
        <v>0</v>
      </c>
      <c r="I63" s="293">
        <f>REMUNERACION_ENERBIT!I107</f>
        <v>0</v>
      </c>
      <c r="J63" s="293">
        <f>REMUNERACION_ENERBIT!J107</f>
        <v>0</v>
      </c>
      <c r="K63" s="297">
        <f>REMUNERACION_ENERBIT!K107</f>
        <v>0</v>
      </c>
      <c r="L63" s="296">
        <f>REMUNERACION_ENERBIT!L107</f>
        <v>0</v>
      </c>
      <c r="M63" s="297">
        <f>REMUNERACION_ENERBIT!M107</f>
        <v>0</v>
      </c>
      <c r="N63" s="296">
        <f>REMUNERACION_ENERBIT!N107</f>
        <v>0</v>
      </c>
      <c r="O63" s="297">
        <f>REMUNERACION_ENERBIT!O107</f>
        <v>0</v>
      </c>
      <c r="Q63" s="308"/>
      <c r="S63" s="316">
        <v>4</v>
      </c>
      <c r="T63" s="317" t="s">
        <v>13</v>
      </c>
      <c r="U63" s="318">
        <f>REMUNERACION_ENERBIT!U107</f>
        <v>0</v>
      </c>
      <c r="V63" s="319">
        <f>REMUNERACION_ENERBIT!V107</f>
        <v>0</v>
      </c>
      <c r="W63" s="319">
        <f>REMUNERACION_ENERBIT!W107</f>
        <v>0</v>
      </c>
      <c r="X63" s="319">
        <f>REMUNERACION_ENERBIT!X107</f>
        <v>0</v>
      </c>
      <c r="Y63" s="320">
        <f>REMUNERACION_ENERBIT!Y107</f>
        <v>0</v>
      </c>
      <c r="Z63" s="320">
        <f>REMUNERACION_ENERBIT!Z107</f>
        <v>0</v>
      </c>
      <c r="AA63" s="320">
        <f>REMUNERACION_ENERBIT!AA107</f>
        <v>0</v>
      </c>
      <c r="AB63" s="320">
        <f>REMUNERACION_ENERBIT!AB107</f>
        <v>0</v>
      </c>
      <c r="AC63" s="320">
        <f>REMUNERACION_ENERBIT!AC107</f>
        <v>0</v>
      </c>
      <c r="AD63" s="320">
        <f>REMUNERACION_ENERBIT!AD107</f>
        <v>0</v>
      </c>
      <c r="AE63" s="320">
        <f>REMUNERACION_ENERBIT!AE107</f>
        <v>0</v>
      </c>
      <c r="AF63" s="324">
        <f>REMUNERACION_ENERBIT!AF107</f>
        <v>0</v>
      </c>
      <c r="AG63" s="524">
        <f>REMUNERACION_ENEL!AG124</f>
        <v>0</v>
      </c>
      <c r="AH63" s="1"/>
      <c r="AI63" s="308"/>
      <c r="AM63" s="335"/>
    </row>
    <row r="64" spans="1:39" s="307" customFormat="1" ht="12" thickBot="1" x14ac:dyDescent="0.3">
      <c r="B64" s="326">
        <v>5</v>
      </c>
      <c r="C64" s="327" t="s">
        <v>14</v>
      </c>
      <c r="D64" s="293">
        <f>REMUNERACION_ENERBIT!D108</f>
        <v>137170902</v>
      </c>
      <c r="E64" s="293">
        <f>REMUNERACION_ENERBIT!E108</f>
        <v>8742692.4100000001</v>
      </c>
      <c r="F64" s="293">
        <f>REMUNERACION_ENERBIT!F108</f>
        <v>4875107.3</v>
      </c>
      <c r="G64" s="293">
        <f>REMUNERACION_ENERBIT!G108</f>
        <v>2601178.42</v>
      </c>
      <c r="H64" s="293">
        <f>REMUNERACION_ENERBIT!H108</f>
        <v>34828590.310000002</v>
      </c>
      <c r="I64" s="293">
        <f>REMUNERACION_ENERBIT!I108</f>
        <v>1248070.6599999999</v>
      </c>
      <c r="J64" s="293">
        <f>REMUNERACION_ENERBIT!J108</f>
        <v>0</v>
      </c>
      <c r="K64" s="297">
        <f>REMUNERACION_ENERBIT!K108</f>
        <v>84875262.900000006</v>
      </c>
      <c r="L64" s="296">
        <f>REMUNERACION_ENERBIT!L108</f>
        <v>0</v>
      </c>
      <c r="M64" s="300">
        <f>REMUNERACION_ENERBIT!M108</f>
        <v>84875262.900000006</v>
      </c>
      <c r="N64" s="301">
        <f>REMUNERACION_ENERBIT!N108</f>
        <v>0</v>
      </c>
      <c r="O64" s="300">
        <f>REMUNERACION_ENERBIT!O108</f>
        <v>84875262.900000006</v>
      </c>
      <c r="Q64" s="308"/>
      <c r="S64" s="326">
        <v>5</v>
      </c>
      <c r="T64" s="327" t="s">
        <v>14</v>
      </c>
      <c r="U64" s="298">
        <f>REMUNERACION_ENERBIT!U108</f>
        <v>10923976.050000001</v>
      </c>
      <c r="V64" s="299">
        <f>REMUNERACION_ENERBIT!V108</f>
        <v>10791847.6</v>
      </c>
      <c r="W64" s="299">
        <f>REMUNERACION_ENERBIT!W108</f>
        <v>55071465.420000002</v>
      </c>
      <c r="X64" s="299">
        <f>REMUNERACION_ENERBIT!X108</f>
        <v>26210306.420000002</v>
      </c>
      <c r="Y64" s="291">
        <f>REMUNERACION_ENERBIT!Y108</f>
        <v>2042410.35</v>
      </c>
      <c r="Z64" s="291">
        <f>REMUNERACION_ENERBIT!Z108</f>
        <v>0</v>
      </c>
      <c r="AA64" s="291">
        <f>REMUNERACION_ENERBIT!AA108</f>
        <v>-1404.48</v>
      </c>
      <c r="AB64" s="291">
        <f>REMUNERACION_ENERBIT!AB108</f>
        <v>0</v>
      </c>
      <c r="AC64" s="291">
        <f>REMUNERACION_ENERBIT!AC108</f>
        <v>0</v>
      </c>
      <c r="AD64" s="291">
        <f>REMUNERACION_ENERBIT!AD108</f>
        <v>-20163338.460000001</v>
      </c>
      <c r="AE64" s="291">
        <f>REMUNERACION_ENERBIT!AE108</f>
        <v>-20163338.460000001</v>
      </c>
      <c r="AF64" s="324">
        <f>REMUNERACION_ENERBIT!AF108</f>
        <v>84875262.899999976</v>
      </c>
      <c r="AG64" s="525">
        <f>REMUNERACION_ENEL!AG125</f>
        <v>0</v>
      </c>
      <c r="AH64" s="1"/>
      <c r="AI64" s="308"/>
      <c r="AM64" s="335"/>
    </row>
    <row r="65" spans="1:39" s="307" customFormat="1" ht="13.5" thickBot="1" x14ac:dyDescent="0.35">
      <c r="B65" s="329"/>
      <c r="C65" s="330" t="s">
        <v>2</v>
      </c>
      <c r="D65" s="292">
        <f>REMUNERACION_ENERBIT!D109</f>
        <v>137170902</v>
      </c>
      <c r="E65" s="292">
        <f>REMUNERACION_ENERBIT!E109</f>
        <v>8742692.4100000001</v>
      </c>
      <c r="F65" s="292">
        <f>REMUNERACION_ENERBIT!F109</f>
        <v>4875107.3</v>
      </c>
      <c r="G65" s="292">
        <f>REMUNERACION_ENERBIT!G109</f>
        <v>2601178.42</v>
      </c>
      <c r="H65" s="292">
        <f>REMUNERACION_ENERBIT!H109</f>
        <v>34828590.310000002</v>
      </c>
      <c r="I65" s="292">
        <f>REMUNERACION_ENERBIT!I109</f>
        <v>1248070.6599999999</v>
      </c>
      <c r="J65" s="292">
        <f>REMUNERACION_ENERBIT!J109</f>
        <v>0</v>
      </c>
      <c r="K65" s="302">
        <f>REMUNERACION_ENERBIT!K109</f>
        <v>84875262.900000006</v>
      </c>
      <c r="L65" s="303">
        <f>REMUNERACION_ENERBIT!L109</f>
        <v>0</v>
      </c>
      <c r="M65" s="304">
        <f>REMUNERACION_ENERBIT!M109</f>
        <v>84875262.900000006</v>
      </c>
      <c r="N65" s="303">
        <f>REMUNERACION_ENERBIT!N109</f>
        <v>0</v>
      </c>
      <c r="O65" s="304">
        <f>REMUNERACION_ENERBIT!O109</f>
        <v>84875262.900000006</v>
      </c>
      <c r="P65" s="331"/>
      <c r="Q65" s="308"/>
      <c r="S65" s="329"/>
      <c r="T65" s="330" t="s">
        <v>2</v>
      </c>
      <c r="U65" s="332">
        <f>REMUNERACION_ENERBIT!U109</f>
        <v>10923976.050000001</v>
      </c>
      <c r="V65" s="332">
        <f>REMUNERACION_ENERBIT!V109</f>
        <v>10791847.6</v>
      </c>
      <c r="W65" s="332">
        <f>REMUNERACION_ENERBIT!W109</f>
        <v>55071465.420000002</v>
      </c>
      <c r="X65" s="332">
        <f>REMUNERACION_ENERBIT!X109</f>
        <v>26210306.420000002</v>
      </c>
      <c r="Y65" s="332">
        <f>REMUNERACION_ENERBIT!Y109</f>
        <v>2042410.35</v>
      </c>
      <c r="Z65" s="332">
        <f>REMUNERACION_ENERBIT!Z109</f>
        <v>0</v>
      </c>
      <c r="AA65" s="332">
        <f>REMUNERACION_ENERBIT!AA109</f>
        <v>-1404.48</v>
      </c>
      <c r="AB65" s="332">
        <f>REMUNERACION_ENERBIT!AB109</f>
        <v>0</v>
      </c>
      <c r="AC65" s="332">
        <f>REMUNERACION_ENERBIT!AC109</f>
        <v>0</v>
      </c>
      <c r="AD65" s="332">
        <f>REMUNERACION_ENERBIT!AD109</f>
        <v>-20163338.460000001</v>
      </c>
      <c r="AE65" s="332">
        <f>REMUNERACION_ENERBIT!AE109</f>
        <v>-20163338.460000001</v>
      </c>
      <c r="AF65" s="333">
        <f>REMUNERACION_ENERBIT!AF109</f>
        <v>84875262.899999976</v>
      </c>
      <c r="AG65" s="526">
        <f>REMUNERACION_ENEL!AG126</f>
        <v>0</v>
      </c>
      <c r="AH65" s="1"/>
      <c r="AI65" s="308"/>
      <c r="AM65" s="335"/>
    </row>
    <row r="66" spans="1:39" x14ac:dyDescent="0.25">
      <c r="B66" s="2"/>
      <c r="C66" s="2"/>
      <c r="D66" s="450"/>
      <c r="E66" s="450"/>
      <c r="F66" s="450"/>
      <c r="G66" s="450"/>
      <c r="H66" s="450"/>
      <c r="I66" s="450"/>
      <c r="K66" s="450"/>
      <c r="L66" s="450"/>
      <c r="M66" s="450"/>
      <c r="N66" s="450"/>
      <c r="O66" s="450"/>
      <c r="Q66" s="4"/>
      <c r="S66" s="2"/>
      <c r="T66" s="2"/>
      <c r="U66" s="450"/>
      <c r="V66" s="450"/>
      <c r="W66" s="450"/>
      <c r="X66" s="450"/>
      <c r="Y66" s="450"/>
      <c r="AF66" s="450"/>
      <c r="AI66" s="4"/>
    </row>
    <row r="67" spans="1:39" x14ac:dyDescent="0.25">
      <c r="B67" s="2"/>
      <c r="C67" s="2"/>
      <c r="D67" s="541"/>
      <c r="E67" s="541"/>
      <c r="F67" s="541"/>
      <c r="G67" s="541"/>
      <c r="H67" s="541"/>
      <c r="I67" s="541"/>
      <c r="K67" s="541"/>
      <c r="L67" s="541"/>
      <c r="M67" s="541"/>
      <c r="N67" s="541"/>
      <c r="O67" s="541"/>
      <c r="Q67" s="4"/>
      <c r="AI67" s="4"/>
    </row>
    <row r="68" spans="1:39" ht="12" thickBot="1" x14ac:dyDescent="0.3">
      <c r="A68" s="4"/>
      <c r="B68" s="34"/>
      <c r="C68" s="34"/>
      <c r="D68" s="476"/>
      <c r="E68" s="476"/>
      <c r="F68" s="476"/>
      <c r="G68" s="476"/>
      <c r="H68" s="476"/>
      <c r="I68" s="476"/>
      <c r="J68" s="4"/>
      <c r="K68" s="476"/>
      <c r="L68" s="476"/>
      <c r="M68" s="476"/>
      <c r="N68" s="476"/>
      <c r="O68" s="476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9" x14ac:dyDescent="0.25">
      <c r="B69" s="5"/>
      <c r="C69" s="3" t="s">
        <v>1</v>
      </c>
      <c r="D69" s="6" t="s">
        <v>1</v>
      </c>
      <c r="E69" s="3"/>
      <c r="F69" s="3"/>
      <c r="G69" s="3"/>
      <c r="H69" s="3" t="s">
        <v>1</v>
      </c>
      <c r="I69" s="3"/>
      <c r="J69" s="3"/>
      <c r="K69" s="3"/>
      <c r="L69" s="3"/>
      <c r="M69" s="3"/>
      <c r="N69" s="3"/>
      <c r="O69" s="7"/>
      <c r="P69" s="2"/>
      <c r="Q69" s="4"/>
      <c r="S69" s="5"/>
      <c r="T69" s="3" t="s">
        <v>1</v>
      </c>
      <c r="U69" s="6" t="s">
        <v>1</v>
      </c>
      <c r="V69" s="3"/>
      <c r="W69" s="3"/>
      <c r="X69" s="3" t="s">
        <v>1</v>
      </c>
      <c r="Y69" s="3"/>
      <c r="Z69" s="3"/>
      <c r="AA69" s="3"/>
      <c r="AB69" s="3"/>
      <c r="AC69" s="3"/>
      <c r="AD69" s="3"/>
      <c r="AE69" s="3"/>
      <c r="AF69" s="7"/>
      <c r="AG69" s="2"/>
      <c r="AI69" s="4"/>
    </row>
    <row r="70" spans="1:39" ht="14" x14ac:dyDescent="0.3">
      <c r="B70" s="8"/>
      <c r="F70" s="26" t="s">
        <v>8</v>
      </c>
      <c r="G70" s="26"/>
      <c r="I70" s="26" t="s">
        <v>16</v>
      </c>
      <c r="J70" s="25"/>
      <c r="M70" s="2"/>
      <c r="N70" s="50"/>
      <c r="O70" s="10"/>
      <c r="P70" s="2"/>
      <c r="Q70" s="4"/>
      <c r="S70" s="8"/>
      <c r="U70" s="26" t="s">
        <v>8</v>
      </c>
      <c r="W70" s="26" t="s">
        <v>16</v>
      </c>
      <c r="X70" s="25"/>
      <c r="Y70" s="2"/>
      <c r="AA70" s="2"/>
      <c r="AD70" s="50"/>
      <c r="AE70" s="84"/>
      <c r="AF70" s="48"/>
      <c r="AG70" s="2"/>
      <c r="AI70" s="4"/>
    </row>
    <row r="71" spans="1:39" ht="15.5" x14ac:dyDescent="0.35">
      <c r="B71" s="8"/>
      <c r="F71" s="36" t="s">
        <v>29</v>
      </c>
      <c r="G71" s="36"/>
      <c r="O71" s="10"/>
      <c r="P71" s="2"/>
      <c r="Q71" s="4"/>
      <c r="S71" s="8"/>
      <c r="T71" s="26" t="s">
        <v>1</v>
      </c>
      <c r="U71" s="36" t="s">
        <v>29</v>
      </c>
      <c r="Y71" s="2" t="s">
        <v>1</v>
      </c>
      <c r="AA71" s="50" t="s">
        <v>1</v>
      </c>
      <c r="AB71" s="2"/>
      <c r="AC71" s="2"/>
      <c r="AD71" s="2"/>
      <c r="AE71" s="2"/>
      <c r="AF71" s="10" t="s">
        <v>1</v>
      </c>
      <c r="AG71" s="2"/>
      <c r="AI71" s="4"/>
    </row>
    <row r="72" spans="1:39" ht="14" x14ac:dyDescent="0.3">
      <c r="B72" s="8"/>
      <c r="F72" s="2" t="s">
        <v>30</v>
      </c>
      <c r="G72" s="2"/>
      <c r="M72" s="2" t="s">
        <v>1</v>
      </c>
      <c r="O72" s="10"/>
      <c r="P72" s="2"/>
      <c r="Q72" s="4"/>
      <c r="S72" s="8"/>
      <c r="T72" s="49" t="s">
        <v>1</v>
      </c>
      <c r="U72" s="2" t="s">
        <v>30</v>
      </c>
      <c r="AF72" s="44"/>
      <c r="AG72" s="2"/>
      <c r="AI72" s="4"/>
    </row>
    <row r="73" spans="1:39" ht="15.5" x14ac:dyDescent="0.35">
      <c r="B73" s="8"/>
      <c r="C73" s="2"/>
      <c r="D73" s="9"/>
      <c r="F73" s="478" t="s">
        <v>187</v>
      </c>
      <c r="G73" s="478"/>
      <c r="H73" s="479"/>
      <c r="I73" s="480"/>
      <c r="J73" s="479"/>
      <c r="O73" s="10"/>
      <c r="P73" s="2"/>
      <c r="Q73" s="4"/>
      <c r="S73" s="8"/>
      <c r="T73" s="41" t="s">
        <v>1</v>
      </c>
      <c r="U73" s="41" t="s">
        <v>35</v>
      </c>
      <c r="V73" s="2"/>
      <c r="X73" s="2"/>
      <c r="Y73" s="2"/>
      <c r="AF73" s="48"/>
      <c r="AG73" s="2"/>
      <c r="AI73" s="4"/>
    </row>
    <row r="74" spans="1:39" ht="12" thickBot="1" x14ac:dyDescent="0.3">
      <c r="B74" s="8"/>
      <c r="C74" s="2"/>
      <c r="D74" s="241"/>
      <c r="F74" s="2"/>
      <c r="G74" s="9"/>
      <c r="H74" s="9"/>
      <c r="J74" s="2"/>
      <c r="K74" s="9"/>
      <c r="O74" s="10"/>
      <c r="P74" s="2"/>
      <c r="Q74" s="4"/>
      <c r="S74" s="8"/>
      <c r="V74" s="9"/>
      <c r="Y74" s="9"/>
      <c r="AF74" s="48"/>
      <c r="AG74" s="2"/>
      <c r="AI74" s="4"/>
      <c r="AJ74" s="1" t="s">
        <v>1</v>
      </c>
    </row>
    <row r="75" spans="1:39" ht="69.5" thickBot="1" x14ac:dyDescent="0.3">
      <c r="B75" s="11" t="s">
        <v>3</v>
      </c>
      <c r="C75" s="27" t="s">
        <v>9</v>
      </c>
      <c r="D75" s="11" t="s">
        <v>4</v>
      </c>
      <c r="E75" s="12" t="s">
        <v>5</v>
      </c>
      <c r="F75" s="12" t="s">
        <v>6</v>
      </c>
      <c r="G75" s="27" t="s">
        <v>159</v>
      </c>
      <c r="H75" s="12" t="s">
        <v>18</v>
      </c>
      <c r="I75" s="12" t="s">
        <v>24</v>
      </c>
      <c r="J75" s="73" t="s">
        <v>19</v>
      </c>
      <c r="K75" s="29" t="s">
        <v>20</v>
      </c>
      <c r="L75" s="28" t="s">
        <v>21</v>
      </c>
      <c r="M75" s="39" t="s">
        <v>22</v>
      </c>
      <c r="N75" s="12" t="s">
        <v>7</v>
      </c>
      <c r="O75" s="39" t="s">
        <v>23</v>
      </c>
      <c r="P75" s="13"/>
      <c r="Q75" s="4"/>
      <c r="S75" s="11" t="s">
        <v>3</v>
      </c>
      <c r="T75" s="27" t="s">
        <v>9</v>
      </c>
      <c r="U75" s="80" t="s">
        <v>39</v>
      </c>
      <c r="V75" s="51" t="s">
        <v>40</v>
      </c>
      <c r="W75" s="51" t="s">
        <v>41</v>
      </c>
      <c r="X75" s="51" t="s">
        <v>42</v>
      </c>
      <c r="Y75" s="81" t="s">
        <v>43</v>
      </c>
      <c r="Z75" s="85" t="s">
        <v>21</v>
      </c>
      <c r="AA75" s="65" t="s">
        <v>46</v>
      </c>
      <c r="AB75" s="65" t="s">
        <v>7</v>
      </c>
      <c r="AC75" s="85" t="s">
        <v>167</v>
      </c>
      <c r="AD75" s="121" t="s">
        <v>105</v>
      </c>
      <c r="AE75" s="121" t="s">
        <v>104</v>
      </c>
      <c r="AF75" s="39" t="s">
        <v>23</v>
      </c>
      <c r="AG75" s="13"/>
      <c r="AI75" s="4"/>
    </row>
    <row r="76" spans="1:39" s="307" customFormat="1" x14ac:dyDescent="0.25">
      <c r="B76" s="305">
        <v>1</v>
      </c>
      <c r="C76" s="306" t="s">
        <v>10</v>
      </c>
      <c r="D76" s="293">
        <f>'REMUNERACION_OCCIDENTE_ Directa'!D104</f>
        <v>529346785.86999995</v>
      </c>
      <c r="E76" s="294">
        <f>'REMUNERACION_OCCIDENTE_ Directa'!E104</f>
        <v>51297751.550000004</v>
      </c>
      <c r="F76" s="294">
        <f>'REMUNERACION_OCCIDENTE_ Directa'!F104</f>
        <v>28055373.969999995</v>
      </c>
      <c r="G76" s="294">
        <f>'REMUNERACION_OCCIDENTE_ Directa'!G104</f>
        <v>14654560.779999999</v>
      </c>
      <c r="H76" s="294">
        <f>'REMUNERACION_OCCIDENTE_ Directa'!H104</f>
        <v>43264487.630000003</v>
      </c>
      <c r="I76" s="294">
        <f>'REMUNERACION_OCCIDENTE_ Directa'!I104</f>
        <v>1544967.9000000001</v>
      </c>
      <c r="J76" s="290">
        <f>'REMUNERACION_OCCIDENTE_ Directa'!J104</f>
        <v>0</v>
      </c>
      <c r="K76" s="295">
        <f>'REMUNERACION_OCCIDENTE_ Directa'!K104</f>
        <v>390529644.04000002</v>
      </c>
      <c r="L76" s="296">
        <f>'REMUNERACION_OCCIDENTE_ Directa'!L104</f>
        <v>0</v>
      </c>
      <c r="M76" s="295">
        <f>'REMUNERACION_OCCIDENTE_ Directa'!M104</f>
        <v>390529644.04000002</v>
      </c>
      <c r="N76" s="296">
        <f>'REMUNERACION_OCCIDENTE_ Directa'!N104</f>
        <v>1790178.35</v>
      </c>
      <c r="O76" s="295">
        <f>'REMUNERACION_OCCIDENTE_ Directa'!O104</f>
        <v>392319822.39000005</v>
      </c>
      <c r="Q76" s="308"/>
      <c r="S76" s="305">
        <v>1</v>
      </c>
      <c r="T76" s="306" t="s">
        <v>10</v>
      </c>
      <c r="U76" s="309">
        <f>'REMUNERACION_OCCIDENTE_ Directa'!U104</f>
        <v>13574756.210000001</v>
      </c>
      <c r="V76" s="310">
        <f>'REMUNERACION_OCCIDENTE_ Directa'!V104</f>
        <v>15555633.379999999</v>
      </c>
      <c r="W76" s="310">
        <f>'REMUNERACION_OCCIDENTE_ Directa'!W104</f>
        <v>71941877.61999999</v>
      </c>
      <c r="X76" s="310">
        <f>'REMUNERACION_OCCIDENTE_ Directa'!X104</f>
        <v>140737424.47999999</v>
      </c>
      <c r="Y76" s="311">
        <f>'REMUNERACION_OCCIDENTE_ Directa'!Y104</f>
        <v>2521854.4500000002</v>
      </c>
      <c r="Z76" s="312">
        <f>'REMUNERACION_OCCIDENTE_ Directa'!Z104</f>
        <v>0</v>
      </c>
      <c r="AA76" s="313">
        <f>'REMUNERACION_OCCIDENTE_ Directa'!AA104</f>
        <v>-684.57</v>
      </c>
      <c r="AB76" s="296">
        <f>'REMUNERACION_OCCIDENTE_ Directa'!AB104</f>
        <v>1790178.35</v>
      </c>
      <c r="AC76" s="313">
        <f>'REMUNERACION_OCCIDENTE_ Directa'!AC104</f>
        <v>355.46999999999997</v>
      </c>
      <c r="AD76" s="293">
        <f>'REMUNERACION_OCCIDENTE_ Directa'!AD104</f>
        <v>146191318.16999999</v>
      </c>
      <c r="AE76" s="293">
        <f>'REMUNERACION_OCCIDENTE_ Directa'!AE104</f>
        <v>146191318.16999999</v>
      </c>
      <c r="AF76" s="315">
        <f>'REMUNERACION_OCCIDENTE_ Directa'!AF104</f>
        <v>392312713.55999994</v>
      </c>
      <c r="AG76" s="523">
        <f>'REMUNERACION_OCCIDENTE_ Directa'!AG104</f>
        <v>-7108.83000010252</v>
      </c>
      <c r="AH76" s="1"/>
      <c r="AI76" s="308"/>
      <c r="AM76" s="335"/>
    </row>
    <row r="77" spans="1:39" s="307" customFormat="1" x14ac:dyDescent="0.25">
      <c r="B77" s="316">
        <v>2</v>
      </c>
      <c r="C77" s="317" t="s">
        <v>11</v>
      </c>
      <c r="D77" s="293">
        <f>'REMUNERACION_OCCIDENTE_ Directa'!D105</f>
        <v>1368778408.3199999</v>
      </c>
      <c r="E77" s="294">
        <f>'REMUNERACION_OCCIDENTE_ Directa'!E105</f>
        <v>161817404.75999999</v>
      </c>
      <c r="F77" s="294">
        <f>'REMUNERACION_OCCIDENTE_ Directa'!F105</f>
        <v>87382022.550000012</v>
      </c>
      <c r="G77" s="294">
        <f>'REMUNERACION_OCCIDENTE_ Directa'!G105</f>
        <v>46682153.180000007</v>
      </c>
      <c r="H77" s="294">
        <f>'REMUNERACION_OCCIDENTE_ Directa'!H105</f>
        <v>155463450.62</v>
      </c>
      <c r="I77" s="294">
        <f>'REMUNERACION_OCCIDENTE_ Directa'!I105</f>
        <v>4138992.8000000003</v>
      </c>
      <c r="J77" s="290">
        <f>'REMUNERACION_OCCIDENTE_ Directa'!J105</f>
        <v>0</v>
      </c>
      <c r="K77" s="297">
        <f>'REMUNERACION_OCCIDENTE_ Directa'!K105</f>
        <v>913294384.40999997</v>
      </c>
      <c r="L77" s="296">
        <f>'REMUNERACION_OCCIDENTE_ Directa'!L105</f>
        <v>0</v>
      </c>
      <c r="M77" s="297">
        <f>'REMUNERACION_OCCIDENTE_ Directa'!M105</f>
        <v>913294384.40999997</v>
      </c>
      <c r="N77" s="296">
        <f>'REMUNERACION_OCCIDENTE_ Directa'!N105</f>
        <v>30632060.390000001</v>
      </c>
      <c r="O77" s="297">
        <f>'REMUNERACION_OCCIDENTE_ Directa'!O105</f>
        <v>943926444.79999995</v>
      </c>
      <c r="Q77" s="308"/>
      <c r="S77" s="316">
        <v>2</v>
      </c>
      <c r="T77" s="317" t="s">
        <v>11</v>
      </c>
      <c r="U77" s="318">
        <f>'REMUNERACION_OCCIDENTE_ Directa'!U105</f>
        <v>36551172.249999993</v>
      </c>
      <c r="V77" s="319">
        <f>'REMUNERACION_OCCIDENTE_ Directa'!V105</f>
        <v>48796689.75</v>
      </c>
      <c r="W77" s="319">
        <f>'REMUNERACION_OCCIDENTE_ Directa'!W105</f>
        <v>230677760.11000001</v>
      </c>
      <c r="X77" s="319">
        <f>'REMUNERACION_OCCIDENTE_ Directa'!X105</f>
        <v>322699004.48000002</v>
      </c>
      <c r="Y77" s="320">
        <f>'REMUNERACION_OCCIDENTE_ Directa'!Y105</f>
        <v>6759345.5100000007</v>
      </c>
      <c r="Z77" s="321">
        <f>'REMUNERACION_OCCIDENTE_ Directa'!Z105</f>
        <v>0</v>
      </c>
      <c r="AA77" s="322">
        <f>'REMUNERACION_OCCIDENTE_ Directa'!AA105</f>
        <v>-796.93</v>
      </c>
      <c r="AB77" s="296">
        <f>'REMUNERACION_OCCIDENTE_ Directa'!AB105</f>
        <v>30632060.390000001</v>
      </c>
      <c r="AC77" s="322">
        <f>'REMUNERACION_OCCIDENTE_ Directa'!AC105</f>
        <v>-56774.32</v>
      </c>
      <c r="AD77" s="293">
        <f>'REMUNERACION_OCCIDENTE_ Directa'!AD105</f>
        <v>267867983.56</v>
      </c>
      <c r="AE77" s="293">
        <f>'REMUNERACION_OCCIDENTE_ Directa'!AE105</f>
        <v>267867983.56</v>
      </c>
      <c r="AF77" s="324">
        <f>'REMUNERACION_OCCIDENTE_ Directa'!AF105</f>
        <v>943926444.79999995</v>
      </c>
      <c r="AG77" s="524">
        <f>'REMUNERACION_OCCIDENTE_ Directa'!AG105</f>
        <v>0</v>
      </c>
      <c r="AH77" s="1"/>
      <c r="AI77" s="308"/>
      <c r="AM77" s="335"/>
    </row>
    <row r="78" spans="1:39" s="307" customFormat="1" x14ac:dyDescent="0.25">
      <c r="B78" s="316">
        <v>3</v>
      </c>
      <c r="C78" s="317" t="s">
        <v>12</v>
      </c>
      <c r="D78" s="293">
        <f>'REMUNERACION_OCCIDENTE_ Directa'!D106</f>
        <v>685739592.90999997</v>
      </c>
      <c r="E78" s="294">
        <f>'REMUNERACION_OCCIDENTE_ Directa'!E106</f>
        <v>81414325.700000018</v>
      </c>
      <c r="F78" s="294">
        <f>'REMUNERACION_OCCIDENTE_ Directa'!F106</f>
        <v>45416247.109999999</v>
      </c>
      <c r="G78" s="294">
        <f>'REMUNERACION_OCCIDENTE_ Directa'!G106</f>
        <v>24017931.650000002</v>
      </c>
      <c r="H78" s="294">
        <f>'REMUNERACION_OCCIDENTE_ Directa'!H106</f>
        <v>28136048.619999997</v>
      </c>
      <c r="I78" s="294">
        <f>'REMUNERACION_OCCIDENTE_ Directa'!I106</f>
        <v>875883.35</v>
      </c>
      <c r="J78" s="290">
        <f>'REMUNERACION_OCCIDENTE_ Directa'!J106</f>
        <v>0</v>
      </c>
      <c r="K78" s="297">
        <f>'REMUNERACION_OCCIDENTE_ Directa'!K106</f>
        <v>505879156.4799999</v>
      </c>
      <c r="L78" s="296">
        <f>'REMUNERACION_OCCIDENTE_ Directa'!L106</f>
        <v>0</v>
      </c>
      <c r="M78" s="297">
        <f>'REMUNERACION_OCCIDENTE_ Directa'!M106</f>
        <v>505879156.4799999</v>
      </c>
      <c r="N78" s="296">
        <f>'REMUNERACION_OCCIDENTE_ Directa'!N106</f>
        <v>12116788.82</v>
      </c>
      <c r="O78" s="297">
        <f>'REMUNERACION_OCCIDENTE_ Directa'!O106</f>
        <v>517995945.29999989</v>
      </c>
      <c r="Q78" s="308"/>
      <c r="S78" s="316">
        <v>3</v>
      </c>
      <c r="T78" s="317" t="s">
        <v>12</v>
      </c>
      <c r="U78" s="318">
        <f>'REMUNERACION_OCCIDENTE_ Directa'!U106</f>
        <v>7653434.1099999994</v>
      </c>
      <c r="V78" s="319">
        <f>'REMUNERACION_OCCIDENTE_ Directa'!V106</f>
        <v>10151348.43</v>
      </c>
      <c r="W78" s="319">
        <f>'REMUNERACION_OCCIDENTE_ Directa'!W106</f>
        <v>47441096.369999997</v>
      </c>
      <c r="X78" s="319">
        <f>'REMUNERACION_OCCIDENTE_ Directa'!X106</f>
        <v>192438955.67000002</v>
      </c>
      <c r="Y78" s="320">
        <f>'REMUNERACION_OCCIDENTE_ Directa'!Y106</f>
        <v>1431584.25</v>
      </c>
      <c r="Z78" s="321">
        <f>'REMUNERACION_OCCIDENTE_ Directa'!Z106</f>
        <v>0</v>
      </c>
      <c r="AA78" s="322">
        <f>'REMUNERACION_OCCIDENTE_ Directa'!AA106</f>
        <v>-2424.23</v>
      </c>
      <c r="AB78" s="296">
        <f>'REMUNERACION_OCCIDENTE_ Directa'!AB106</f>
        <v>12116788.82</v>
      </c>
      <c r="AC78" s="322">
        <f>'REMUNERACION_OCCIDENTE_ Directa'!AC106</f>
        <v>4.4000000000000004</v>
      </c>
      <c r="AD78" s="293">
        <f>'REMUNERACION_OCCIDENTE_ Directa'!AD106</f>
        <v>246765157.47999999</v>
      </c>
      <c r="AE78" s="293">
        <f>'REMUNERACION_OCCIDENTE_ Directa'!AE106</f>
        <v>246765157.47999999</v>
      </c>
      <c r="AF78" s="324">
        <f>'REMUNERACION_OCCIDENTE_ Directa'!AF106</f>
        <v>517995945.29999995</v>
      </c>
      <c r="AG78" s="524">
        <f>'REMUNERACION_OCCIDENTE_ Directa'!AG106</f>
        <v>0</v>
      </c>
      <c r="AH78" s="1"/>
      <c r="AI78" s="308"/>
      <c r="AM78" s="335"/>
    </row>
    <row r="79" spans="1:39" s="307" customFormat="1" x14ac:dyDescent="0.25">
      <c r="B79" s="316">
        <v>4</v>
      </c>
      <c r="C79" s="317" t="s">
        <v>13</v>
      </c>
      <c r="D79" s="293">
        <f>'REMUNERACION_OCCIDENTE_ Directa'!D107</f>
        <v>510759521.29999995</v>
      </c>
      <c r="E79" s="294">
        <f>'REMUNERACION_OCCIDENTE_ Directa'!E107</f>
        <v>38473020.93</v>
      </c>
      <c r="F79" s="294">
        <f>'REMUNERACION_OCCIDENTE_ Directa'!F107</f>
        <v>20743610.040000003</v>
      </c>
      <c r="G79" s="294">
        <f>'REMUNERACION_OCCIDENTE_ Directa'!G107</f>
        <v>10574046.58</v>
      </c>
      <c r="H79" s="294">
        <f>'REMUNERACION_OCCIDENTE_ Directa'!H107</f>
        <v>80664881.580000013</v>
      </c>
      <c r="I79" s="294">
        <f>'REMUNERACION_OCCIDENTE_ Directa'!I107</f>
        <v>2386199.7399999998</v>
      </c>
      <c r="J79" s="290">
        <f>'REMUNERACION_OCCIDENTE_ Directa'!J107</f>
        <v>0</v>
      </c>
      <c r="K79" s="297">
        <f>'REMUNERACION_OCCIDENTE_ Directa'!K107</f>
        <v>357917762.42999995</v>
      </c>
      <c r="L79" s="296">
        <f>'REMUNERACION_OCCIDENTE_ Directa'!L107</f>
        <v>0</v>
      </c>
      <c r="M79" s="297">
        <f>'REMUNERACION_OCCIDENTE_ Directa'!M107</f>
        <v>357917762.42999995</v>
      </c>
      <c r="N79" s="296">
        <f>'REMUNERACION_OCCIDENTE_ Directa'!N107</f>
        <v>3323424.79</v>
      </c>
      <c r="O79" s="297">
        <f>'REMUNERACION_OCCIDENTE_ Directa'!O107</f>
        <v>361241187.21999997</v>
      </c>
      <c r="Q79" s="308"/>
      <c r="S79" s="316">
        <v>4</v>
      </c>
      <c r="T79" s="317" t="s">
        <v>13</v>
      </c>
      <c r="U79" s="318">
        <f>'REMUNERACION_OCCIDENTE_ Directa'!U107</f>
        <v>21206823.500000004</v>
      </c>
      <c r="V79" s="319">
        <f>'REMUNERACION_OCCIDENTE_ Directa'!V107</f>
        <v>27971326.68</v>
      </c>
      <c r="W79" s="319">
        <f>'REMUNERACION_OCCIDENTE_ Directa'!W107</f>
        <v>137987648.21000001</v>
      </c>
      <c r="X79" s="319">
        <f>'REMUNERACION_OCCIDENTE_ Directa'!X107</f>
        <v>101802660.04000001</v>
      </c>
      <c r="Y79" s="320">
        <f>'REMUNERACION_OCCIDENTE_ Directa'!Y107</f>
        <v>3894811.7</v>
      </c>
      <c r="Z79" s="321">
        <f>'REMUNERACION_OCCIDENTE_ Directa'!Z107</f>
        <v>0</v>
      </c>
      <c r="AA79" s="322">
        <f>'REMUNERACION_OCCIDENTE_ Directa'!AA107</f>
        <v>-179.92000000000002</v>
      </c>
      <c r="AB79" s="296">
        <f>'REMUNERACION_OCCIDENTE_ Directa'!AB107</f>
        <v>3323424.79</v>
      </c>
      <c r="AC79" s="322">
        <f>'REMUNERACION_OCCIDENTE_ Directa'!AC107</f>
        <v>149.12</v>
      </c>
      <c r="AD79" s="293">
        <f>'REMUNERACION_OCCIDENTE_ Directa'!AD107</f>
        <v>65054523.100000001</v>
      </c>
      <c r="AE79" s="293">
        <f>'REMUNERACION_OCCIDENTE_ Directa'!AE107</f>
        <v>65054523.100000001</v>
      </c>
      <c r="AF79" s="324">
        <f>'REMUNERACION_OCCIDENTE_ Directa'!AF107</f>
        <v>361241187.22000003</v>
      </c>
      <c r="AG79" s="524">
        <f>'REMUNERACION_OCCIDENTE_ Directa'!AG107</f>
        <v>0</v>
      </c>
      <c r="AH79" s="1"/>
      <c r="AI79" s="308"/>
      <c r="AM79" s="335"/>
    </row>
    <row r="80" spans="1:39" s="307" customFormat="1" ht="12" thickBot="1" x14ac:dyDescent="0.3">
      <c r="B80" s="326">
        <v>5</v>
      </c>
      <c r="C80" s="327" t="s">
        <v>14</v>
      </c>
      <c r="D80" s="298">
        <f>'REMUNERACION_OCCIDENTE_ Directa'!D108</f>
        <v>209328694.96000001</v>
      </c>
      <c r="E80" s="299">
        <f>'REMUNERACION_OCCIDENTE_ Directa'!E108</f>
        <v>17105867.57</v>
      </c>
      <c r="F80" s="299">
        <f>'REMUNERACION_OCCIDENTE_ Directa'!F108</f>
        <v>9316791.2700000014</v>
      </c>
      <c r="G80" s="299">
        <f>'REMUNERACION_OCCIDENTE_ Directa'!G108</f>
        <v>4903133.1099999994</v>
      </c>
      <c r="H80" s="299">
        <f>'REMUNERACION_OCCIDENTE_ Directa'!H108</f>
        <v>19931186.84</v>
      </c>
      <c r="I80" s="299">
        <f>'REMUNERACION_OCCIDENTE_ Directa'!I108</f>
        <v>883215.41</v>
      </c>
      <c r="J80" s="291">
        <f>'REMUNERACION_OCCIDENTE_ Directa'!J108</f>
        <v>0</v>
      </c>
      <c r="K80" s="297">
        <f>'REMUNERACION_OCCIDENTE_ Directa'!K108</f>
        <v>157188500.75999999</v>
      </c>
      <c r="L80" s="296">
        <f>'REMUNERACION_OCCIDENTE_ Directa'!L108</f>
        <v>0</v>
      </c>
      <c r="M80" s="300">
        <f>'REMUNERACION_OCCIDENTE_ Directa'!M108</f>
        <v>157188500.75999999</v>
      </c>
      <c r="N80" s="301">
        <f>'REMUNERACION_OCCIDENTE_ Directa'!N108</f>
        <v>26713576.390000001</v>
      </c>
      <c r="O80" s="300">
        <f>'REMUNERACION_OCCIDENTE_ Directa'!O108</f>
        <v>183902077.14999998</v>
      </c>
      <c r="Q80" s="308"/>
      <c r="S80" s="326">
        <v>5</v>
      </c>
      <c r="T80" s="327" t="s">
        <v>14</v>
      </c>
      <c r="U80" s="298">
        <f>'REMUNERACION_OCCIDENTE_ Directa'!U108</f>
        <v>7765771.8300000001</v>
      </c>
      <c r="V80" s="299">
        <f>'REMUNERACION_OCCIDENTE_ Directa'!V108</f>
        <v>8977227.4300000016</v>
      </c>
      <c r="W80" s="299">
        <f>'REMUNERACION_OCCIDENTE_ Directa'!W108</f>
        <v>46179444.490000002</v>
      </c>
      <c r="X80" s="299">
        <f>'REMUNERACION_OCCIDENTE_ Directa'!X108</f>
        <v>51038444.630000003</v>
      </c>
      <c r="Y80" s="291">
        <f>'REMUNERACION_OCCIDENTE_ Directa'!Y108</f>
        <v>1459568.1</v>
      </c>
      <c r="Z80" s="321">
        <f>'REMUNERACION_OCCIDENTE_ Directa'!Z108</f>
        <v>0</v>
      </c>
      <c r="AA80" s="322">
        <f>'REMUNERACION_OCCIDENTE_ Directa'!AA108</f>
        <v>-2146.39</v>
      </c>
      <c r="AB80" s="296">
        <f>'REMUNERACION_OCCIDENTE_ Directa'!AB108</f>
        <v>26713576.390000001</v>
      </c>
      <c r="AC80" s="322">
        <f>'REMUNERACION_OCCIDENTE_ Directa'!AC108</f>
        <v>-68.589999999999989</v>
      </c>
      <c r="AD80" s="293">
        <f>'REMUNERACION_OCCIDENTE_ Directa'!AD108</f>
        <v>41770259.260000005</v>
      </c>
      <c r="AE80" s="293">
        <f>'REMUNERACION_OCCIDENTE_ Directa'!AE108</f>
        <v>41770259.260000005</v>
      </c>
      <c r="AF80" s="324">
        <f>'REMUNERACION_OCCIDENTE_ Directa'!AF108</f>
        <v>183902077.14999998</v>
      </c>
      <c r="AG80" s="525">
        <f>'REMUNERACION_OCCIDENTE_ Directa'!AG108</f>
        <v>0</v>
      </c>
      <c r="AH80" s="1"/>
      <c r="AI80" s="308"/>
      <c r="AM80" s="335"/>
    </row>
    <row r="81" spans="1:39" s="307" customFormat="1" ht="13.5" thickBot="1" x14ac:dyDescent="0.35">
      <c r="B81" s="329"/>
      <c r="C81" s="330" t="s">
        <v>2</v>
      </c>
      <c r="D81" s="292">
        <f>'REMUNERACION_OCCIDENTE_ Directa'!D109</f>
        <v>3303953003.3599997</v>
      </c>
      <c r="E81" s="292">
        <f>'REMUNERACION_OCCIDENTE_ Directa'!E109</f>
        <v>350108370.50999999</v>
      </c>
      <c r="F81" s="292">
        <f>'REMUNERACION_OCCIDENTE_ Directa'!F109</f>
        <v>190914044.94</v>
      </c>
      <c r="G81" s="292">
        <f>'REMUNERACION_OCCIDENTE_ Directa'!G109</f>
        <v>100831825.30000001</v>
      </c>
      <c r="H81" s="292">
        <f>'REMUNERACION_OCCIDENTE_ Directa'!H109</f>
        <v>327460055.29000002</v>
      </c>
      <c r="I81" s="292">
        <f>'REMUNERACION_OCCIDENTE_ Directa'!I109</f>
        <v>9829259.1999999993</v>
      </c>
      <c r="J81" s="292">
        <f>'REMUNERACION_OCCIDENTE_ Directa'!J109</f>
        <v>0</v>
      </c>
      <c r="K81" s="302">
        <f>'REMUNERACION_OCCIDENTE_ Directa'!K109</f>
        <v>2324809448.1199999</v>
      </c>
      <c r="L81" s="303">
        <f>'REMUNERACION_OCCIDENTE_ Directa'!L109</f>
        <v>0</v>
      </c>
      <c r="M81" s="304">
        <f>'REMUNERACION_OCCIDENTE_ Directa'!M109</f>
        <v>2324809448.1199999</v>
      </c>
      <c r="N81" s="303">
        <f>'REMUNERACION_OCCIDENTE_ Directa'!N109</f>
        <v>74576028.74000001</v>
      </c>
      <c r="O81" s="304">
        <f>'REMUNERACION_OCCIDENTE_ Directa'!O109</f>
        <v>2399385476.8600001</v>
      </c>
      <c r="P81" s="331"/>
      <c r="Q81" s="308"/>
      <c r="S81" s="329"/>
      <c r="T81" s="330" t="s">
        <v>2</v>
      </c>
      <c r="U81" s="332">
        <f>'REMUNERACION_OCCIDENTE_ Directa'!U109</f>
        <v>86751957.899999991</v>
      </c>
      <c r="V81" s="332">
        <f>'REMUNERACION_OCCIDENTE_ Directa'!V109</f>
        <v>111452225.67000002</v>
      </c>
      <c r="W81" s="332">
        <f>'REMUNERACION_OCCIDENTE_ Directa'!W109</f>
        <v>534227826.80000007</v>
      </c>
      <c r="X81" s="332">
        <f>'REMUNERACION_OCCIDENTE_ Directa'!X109</f>
        <v>808716489.30000007</v>
      </c>
      <c r="Y81" s="332">
        <f>'REMUNERACION_OCCIDENTE_ Directa'!Y109</f>
        <v>16067164.01</v>
      </c>
      <c r="Z81" s="292">
        <f>'REMUNERACION_OCCIDENTE_ Directa'!Z109</f>
        <v>0</v>
      </c>
      <c r="AA81" s="292">
        <f>'REMUNERACION_OCCIDENTE_ Directa'!AA109</f>
        <v>-6232.04</v>
      </c>
      <c r="AB81" s="292">
        <f>'REMUNERACION_OCCIDENTE_ Directa'!AB109</f>
        <v>74576028.74000001</v>
      </c>
      <c r="AC81" s="292">
        <f>'REMUNERACION_OCCIDENTE_ Directa'!AC109</f>
        <v>-56333.919999999991</v>
      </c>
      <c r="AD81" s="292">
        <f>'REMUNERACION_OCCIDENTE_ Directa'!AD109</f>
        <v>767649241.57000005</v>
      </c>
      <c r="AE81" s="292">
        <f>'REMUNERACION_OCCIDENTE_ Directa'!AE109</f>
        <v>767649241.57000005</v>
      </c>
      <c r="AF81" s="333">
        <f>'REMUNERACION_OCCIDENTE_ Directa'!AF109</f>
        <v>2399378368.0300002</v>
      </c>
      <c r="AG81" s="526">
        <f>'REMUNERACION_OCCIDENTE_ Directa'!AG109</f>
        <v>-7108.83000010252</v>
      </c>
      <c r="AH81" s="1"/>
      <c r="AI81" s="308"/>
      <c r="AM81" s="335"/>
    </row>
    <row r="82" spans="1:39" ht="12" thickBot="1" x14ac:dyDescent="0.3">
      <c r="B82" s="2"/>
      <c r="C82" s="2"/>
      <c r="D82" s="450"/>
      <c r="E82" s="450"/>
      <c r="F82" s="450"/>
      <c r="G82" s="450"/>
      <c r="H82" s="450"/>
      <c r="I82" s="450"/>
      <c r="K82" s="450"/>
      <c r="L82" s="450"/>
      <c r="M82" s="450"/>
      <c r="N82" s="450"/>
      <c r="O82" s="450"/>
      <c r="Q82" s="4"/>
      <c r="S82" s="2"/>
      <c r="T82" s="2"/>
      <c r="U82" s="450"/>
      <c r="V82" s="450"/>
      <c r="W82" s="450"/>
      <c r="X82" s="450"/>
      <c r="Y82" s="450"/>
      <c r="AF82" s="450"/>
      <c r="AI82" s="4"/>
    </row>
    <row r="83" spans="1:39" ht="12" thickBot="1" x14ac:dyDescent="0.3">
      <c r="B83" s="2"/>
      <c r="C83" s="2"/>
      <c r="D83" s="450"/>
      <c r="E83" s="450"/>
      <c r="F83" s="450"/>
      <c r="G83" s="450"/>
      <c r="H83" s="450"/>
      <c r="I83" s="450"/>
      <c r="K83" s="450"/>
      <c r="L83" s="450"/>
      <c r="M83" s="450"/>
      <c r="N83" s="450"/>
      <c r="O83" s="450"/>
      <c r="Q83" s="4"/>
      <c r="Y83" s="451"/>
      <c r="AI83" s="4"/>
    </row>
    <row r="84" spans="1:39" x14ac:dyDescent="0.25">
      <c r="A84" s="4"/>
      <c r="B84" s="34"/>
      <c r="C84" s="34"/>
      <c r="D84" s="476"/>
      <c r="E84" s="476"/>
      <c r="F84" s="476"/>
      <c r="G84" s="476"/>
      <c r="H84" s="476"/>
      <c r="I84" s="476"/>
      <c r="J84" s="4"/>
      <c r="K84" s="476"/>
      <c r="L84" s="476"/>
      <c r="M84" s="476"/>
      <c r="N84" s="476"/>
      <c r="O84" s="476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9" ht="12" thickBot="1" x14ac:dyDescent="0.3">
      <c r="Q85" s="4"/>
      <c r="AI85" s="4"/>
    </row>
    <row r="86" spans="1:39" x14ac:dyDescent="0.25">
      <c r="B86" s="5"/>
      <c r="C86" s="3" t="s">
        <v>1</v>
      </c>
      <c r="D86" s="6" t="s">
        <v>1</v>
      </c>
      <c r="E86" s="3"/>
      <c r="F86" s="3"/>
      <c r="G86" s="3"/>
      <c r="H86" s="3" t="s">
        <v>1</v>
      </c>
      <c r="I86" s="3"/>
      <c r="J86" s="3"/>
      <c r="K86" s="3"/>
      <c r="L86" s="3"/>
      <c r="M86" s="3"/>
      <c r="N86" s="3"/>
      <c r="O86" s="7"/>
      <c r="P86" s="2"/>
      <c r="Q86" s="4"/>
      <c r="S86" s="5"/>
      <c r="T86" s="3" t="s">
        <v>1</v>
      </c>
      <c r="U86" s="6" t="s">
        <v>1</v>
      </c>
      <c r="V86" s="3"/>
      <c r="W86" s="3"/>
      <c r="X86" s="3" t="s">
        <v>1</v>
      </c>
      <c r="Y86" s="3"/>
      <c r="Z86" s="3"/>
      <c r="AA86" s="3"/>
      <c r="AB86" s="3"/>
      <c r="AC86" s="3"/>
      <c r="AD86" s="3"/>
      <c r="AE86" s="3"/>
      <c r="AF86" s="7"/>
      <c r="AG86" s="2"/>
      <c r="AI86" s="4"/>
    </row>
    <row r="87" spans="1:39" ht="14" x14ac:dyDescent="0.3">
      <c r="B87" s="8"/>
      <c r="F87" s="26" t="s">
        <v>8</v>
      </c>
      <c r="G87" s="26"/>
      <c r="I87" s="26" t="s">
        <v>16</v>
      </c>
      <c r="J87" s="25"/>
      <c r="M87" s="2"/>
      <c r="N87" s="50"/>
      <c r="O87" s="10"/>
      <c r="P87" s="2"/>
      <c r="Q87" s="4"/>
      <c r="S87" s="8"/>
      <c r="U87" s="26" t="s">
        <v>8</v>
      </c>
      <c r="W87" s="26" t="s">
        <v>16</v>
      </c>
      <c r="X87" s="25"/>
      <c r="Y87" s="2"/>
      <c r="AA87" s="2"/>
      <c r="AD87" s="50"/>
      <c r="AE87" s="84"/>
      <c r="AF87" s="48"/>
      <c r="AG87" s="2"/>
      <c r="AI87" s="4"/>
    </row>
    <row r="88" spans="1:39" ht="15.5" x14ac:dyDescent="0.35">
      <c r="B88" s="8"/>
      <c r="F88" s="36" t="s">
        <v>29</v>
      </c>
      <c r="G88" s="36"/>
      <c r="O88" s="10"/>
      <c r="P88" s="2"/>
      <c r="Q88" s="4"/>
      <c r="S88" s="8"/>
      <c r="T88" s="26" t="s">
        <v>1</v>
      </c>
      <c r="U88" s="36" t="s">
        <v>29</v>
      </c>
      <c r="Y88" s="2" t="s">
        <v>1</v>
      </c>
      <c r="AA88" s="50" t="s">
        <v>1</v>
      </c>
      <c r="AB88" s="2"/>
      <c r="AC88" s="2"/>
      <c r="AD88" s="2"/>
      <c r="AE88" s="2"/>
      <c r="AF88" s="10" t="s">
        <v>1</v>
      </c>
      <c r="AG88" s="2"/>
      <c r="AI88" s="4"/>
    </row>
    <row r="89" spans="1:39" ht="14" x14ac:dyDescent="0.3">
      <c r="B89" s="8"/>
      <c r="F89" s="2" t="s">
        <v>30</v>
      </c>
      <c r="G89" s="2"/>
      <c r="L89" s="91"/>
      <c r="M89" s="2" t="s">
        <v>1</v>
      </c>
      <c r="O89" s="10"/>
      <c r="P89" s="2"/>
      <c r="Q89" s="4"/>
      <c r="S89" s="8"/>
      <c r="T89" s="49" t="s">
        <v>1</v>
      </c>
      <c r="U89" s="2" t="s">
        <v>30</v>
      </c>
      <c r="AF89" s="44"/>
      <c r="AG89" s="2"/>
      <c r="AI89" s="4"/>
    </row>
    <row r="90" spans="1:39" ht="15.5" x14ac:dyDescent="0.35">
      <c r="B90" s="8"/>
      <c r="C90" s="2"/>
      <c r="D90" s="9"/>
      <c r="F90" s="58" t="s">
        <v>188</v>
      </c>
      <c r="G90" s="58"/>
      <c r="H90" s="59"/>
      <c r="I90" s="60"/>
      <c r="J90" s="59"/>
      <c r="K90" s="60"/>
      <c r="L90" s="91"/>
      <c r="O90" s="10"/>
      <c r="P90" s="2"/>
      <c r="Q90" s="4"/>
      <c r="S90" s="8"/>
      <c r="T90" s="41" t="s">
        <v>1</v>
      </c>
      <c r="U90" s="58" t="s">
        <v>35</v>
      </c>
      <c r="V90" s="59"/>
      <c r="W90" s="60"/>
      <c r="X90" s="59"/>
      <c r="Y90" s="2"/>
      <c r="AF90" s="48"/>
      <c r="AG90" s="2"/>
      <c r="AI90" s="4"/>
    </row>
    <row r="91" spans="1:39" ht="18" thickBot="1" x14ac:dyDescent="0.5">
      <c r="B91" s="8"/>
      <c r="C91" s="2"/>
      <c r="D91" s="241"/>
      <c r="F91" s="2"/>
      <c r="G91" s="9"/>
      <c r="J91" s="2"/>
      <c r="K91" s="9"/>
      <c r="L91" s="92"/>
      <c r="O91" s="10"/>
      <c r="P91" s="2"/>
      <c r="Q91" s="4"/>
      <c r="S91" s="8"/>
      <c r="V91" s="9"/>
      <c r="Y91" s="9"/>
      <c r="AF91" s="48"/>
      <c r="AG91" s="2"/>
      <c r="AI91" s="4"/>
      <c r="AJ91" s="112" t="s">
        <v>1</v>
      </c>
    </row>
    <row r="92" spans="1:39" ht="72" customHeight="1" thickBot="1" x14ac:dyDescent="0.3">
      <c r="B92" s="11" t="s">
        <v>3</v>
      </c>
      <c r="C92" s="27" t="s">
        <v>9</v>
      </c>
      <c r="D92" s="11" t="s">
        <v>4</v>
      </c>
      <c r="E92" s="12" t="s">
        <v>5</v>
      </c>
      <c r="F92" s="27" t="s">
        <v>6</v>
      </c>
      <c r="G92" s="27" t="s">
        <v>159</v>
      </c>
      <c r="H92" s="27" t="s">
        <v>18</v>
      </c>
      <c r="I92" s="12" t="s">
        <v>24</v>
      </c>
      <c r="J92" s="73" t="s">
        <v>19</v>
      </c>
      <c r="K92" s="29" t="s">
        <v>20</v>
      </c>
      <c r="L92" s="28" t="s">
        <v>21</v>
      </c>
      <c r="M92" s="39" t="s">
        <v>22</v>
      </c>
      <c r="N92" s="12" t="s">
        <v>7</v>
      </c>
      <c r="O92" s="39" t="s">
        <v>23</v>
      </c>
      <c r="P92" s="13"/>
      <c r="Q92" s="4"/>
      <c r="S92" s="11" t="s">
        <v>3</v>
      </c>
      <c r="T92" s="27" t="s">
        <v>9</v>
      </c>
      <c r="U92" s="162" t="s">
        <v>39</v>
      </c>
      <c r="V92" s="163" t="s">
        <v>40</v>
      </c>
      <c r="W92" s="163" t="s">
        <v>41</v>
      </c>
      <c r="X92" s="163" t="s">
        <v>42</v>
      </c>
      <c r="Y92" s="164" t="s">
        <v>43</v>
      </c>
      <c r="Z92" s="85" t="s">
        <v>21</v>
      </c>
      <c r="AA92" s="65" t="s">
        <v>46</v>
      </c>
      <c r="AB92" s="65" t="s">
        <v>7</v>
      </c>
      <c r="AC92" s="85" t="s">
        <v>167</v>
      </c>
      <c r="AD92" s="121" t="s">
        <v>105</v>
      </c>
      <c r="AE92" s="121" t="s">
        <v>104</v>
      </c>
      <c r="AF92" s="39" t="s">
        <v>23</v>
      </c>
      <c r="AG92" s="13"/>
      <c r="AI92" s="4"/>
    </row>
    <row r="93" spans="1:39" s="307" customFormat="1" x14ac:dyDescent="0.25">
      <c r="B93" s="305">
        <v>1</v>
      </c>
      <c r="C93" s="306" t="s">
        <v>10</v>
      </c>
      <c r="D93" s="293">
        <f>'REMUNERACION_EAAB-CL'!D104</f>
        <v>0</v>
      </c>
      <c r="E93" s="294">
        <f>'REMUNERACION_EAAB-CL'!E104</f>
        <v>0</v>
      </c>
      <c r="F93" s="294">
        <f>'REMUNERACION_EAAB-CL'!F104</f>
        <v>0</v>
      </c>
      <c r="G93" s="294">
        <f>'REMUNERACION_EAAB-CL'!G104</f>
        <v>0</v>
      </c>
      <c r="H93" s="294">
        <f>'REMUNERACION_EAAB-CL'!H104</f>
        <v>0</v>
      </c>
      <c r="I93" s="294">
        <f>'REMUNERACION_EAAB-CL'!I104</f>
        <v>0</v>
      </c>
      <c r="J93" s="290">
        <f>'REMUNERACION_EAAB-CL'!J104</f>
        <v>0</v>
      </c>
      <c r="K93" s="295">
        <f>'REMUNERACION_EAAB-CL'!K104</f>
        <v>0</v>
      </c>
      <c r="L93" s="296">
        <f>'REMUNERACION_EAAB-CL'!L104</f>
        <v>0</v>
      </c>
      <c r="M93" s="295">
        <f>'REMUNERACION_EAAB-CL'!M104</f>
        <v>0</v>
      </c>
      <c r="N93" s="296">
        <f>'REMUNERACION_EAAB-CL'!N104</f>
        <v>0</v>
      </c>
      <c r="O93" s="295">
        <f>'REMUNERACION_EAAB-CL'!O104</f>
        <v>0</v>
      </c>
      <c r="Q93" s="308"/>
      <c r="S93" s="305">
        <v>1</v>
      </c>
      <c r="T93" s="306" t="s">
        <v>10</v>
      </c>
      <c r="U93" s="309">
        <f>'REMUNERACION_EAAB-CL'!U104</f>
        <v>0</v>
      </c>
      <c r="V93" s="310">
        <f>'REMUNERACION_EAAB-CL'!V104</f>
        <v>0</v>
      </c>
      <c r="W93" s="310">
        <f>'REMUNERACION_EAAB-CL'!W104</f>
        <v>0</v>
      </c>
      <c r="X93" s="310">
        <f>'REMUNERACION_EAAB-CL'!X104</f>
        <v>0</v>
      </c>
      <c r="Y93" s="311">
        <f>'REMUNERACION_EAAB-CL'!Y104</f>
        <v>0</v>
      </c>
      <c r="Z93" s="312">
        <f>'REMUNERACION_EAAB-CL'!Z104</f>
        <v>0</v>
      </c>
      <c r="AA93" s="313">
        <f>'REMUNERACION_EAAB-CL'!AA104</f>
        <v>0</v>
      </c>
      <c r="AB93" s="296">
        <f>'REMUNERACION_EAAB-CL'!AB104</f>
        <v>0</v>
      </c>
      <c r="AC93" s="313">
        <f>'REMUNERACION_EAAB-CL'!AC104</f>
        <v>0</v>
      </c>
      <c r="AD93" s="293">
        <f>'REMUNERACION_EAAB-CL'!AD104</f>
        <v>0</v>
      </c>
      <c r="AE93" s="293">
        <f>'REMUNERACION_EAAB-CL'!AE104</f>
        <v>0</v>
      </c>
      <c r="AF93" s="315">
        <f>'REMUNERACION_EAAB-CL'!AF104</f>
        <v>0</v>
      </c>
      <c r="AG93" s="523">
        <f>'REMUNERACION_EAAB-CL'!AG104</f>
        <v>0</v>
      </c>
      <c r="AH93" s="1"/>
      <c r="AI93" s="308"/>
      <c r="AM93" s="335"/>
    </row>
    <row r="94" spans="1:39" s="307" customFormat="1" x14ac:dyDescent="0.25">
      <c r="B94" s="316">
        <v>2</v>
      </c>
      <c r="C94" s="317" t="s">
        <v>11</v>
      </c>
      <c r="D94" s="293">
        <f>'REMUNERACION_EAAB-CL'!D105</f>
        <v>0</v>
      </c>
      <c r="E94" s="294">
        <f>'REMUNERACION_EAAB-CL'!E105</f>
        <v>0</v>
      </c>
      <c r="F94" s="294">
        <f>'REMUNERACION_EAAB-CL'!F105</f>
        <v>0</v>
      </c>
      <c r="G94" s="294">
        <f>'REMUNERACION_EAAB-CL'!G105</f>
        <v>0</v>
      </c>
      <c r="H94" s="294">
        <f>'REMUNERACION_EAAB-CL'!H105</f>
        <v>0</v>
      </c>
      <c r="I94" s="294">
        <f>'REMUNERACION_EAAB-CL'!I105</f>
        <v>0</v>
      </c>
      <c r="J94" s="290">
        <f>'REMUNERACION_EAAB-CL'!J105</f>
        <v>0</v>
      </c>
      <c r="K94" s="297">
        <f>'REMUNERACION_EAAB-CL'!K105</f>
        <v>0</v>
      </c>
      <c r="L94" s="296">
        <f>'REMUNERACION_EAAB-CL'!L105</f>
        <v>0</v>
      </c>
      <c r="M94" s="297">
        <f>'REMUNERACION_EAAB-CL'!M105</f>
        <v>0</v>
      </c>
      <c r="N94" s="296">
        <f>'REMUNERACION_EAAB-CL'!N105</f>
        <v>0</v>
      </c>
      <c r="O94" s="297">
        <f>'REMUNERACION_EAAB-CL'!O105</f>
        <v>0</v>
      </c>
      <c r="Q94" s="308"/>
      <c r="S94" s="316">
        <v>2</v>
      </c>
      <c r="T94" s="317" t="s">
        <v>11</v>
      </c>
      <c r="U94" s="318">
        <f>'REMUNERACION_EAAB-CL'!U105</f>
        <v>0</v>
      </c>
      <c r="V94" s="319">
        <f>'REMUNERACION_EAAB-CL'!V105</f>
        <v>0</v>
      </c>
      <c r="W94" s="319">
        <f>'REMUNERACION_EAAB-CL'!W105</f>
        <v>0</v>
      </c>
      <c r="X94" s="319">
        <f>'REMUNERACION_EAAB-CL'!X105</f>
        <v>0</v>
      </c>
      <c r="Y94" s="320">
        <f>'REMUNERACION_EAAB-CL'!Y105</f>
        <v>0</v>
      </c>
      <c r="Z94" s="321">
        <f>'REMUNERACION_EAAB-CL'!Z105</f>
        <v>0</v>
      </c>
      <c r="AA94" s="322">
        <f>'REMUNERACION_EAAB-CL'!AA105</f>
        <v>0</v>
      </c>
      <c r="AB94" s="296">
        <f>'REMUNERACION_EAAB-CL'!AB105</f>
        <v>0</v>
      </c>
      <c r="AC94" s="322">
        <f>'REMUNERACION_EAAB-CL'!AC105</f>
        <v>0</v>
      </c>
      <c r="AD94" s="293">
        <f>'REMUNERACION_EAAB-CL'!AD105</f>
        <v>0</v>
      </c>
      <c r="AE94" s="293">
        <f>'REMUNERACION_EAAB-CL'!AE105</f>
        <v>0</v>
      </c>
      <c r="AF94" s="324">
        <f>'REMUNERACION_EAAB-CL'!AF105</f>
        <v>0</v>
      </c>
      <c r="AG94" s="524">
        <f>'REMUNERACION_EAAB-CL'!AG105</f>
        <v>0</v>
      </c>
      <c r="AH94" s="1"/>
      <c r="AI94" s="308"/>
      <c r="AM94" s="335"/>
    </row>
    <row r="95" spans="1:39" s="307" customFormat="1" x14ac:dyDescent="0.25">
      <c r="B95" s="316">
        <v>3</v>
      </c>
      <c r="C95" s="317" t="s">
        <v>12</v>
      </c>
      <c r="D95" s="293">
        <f>'REMUNERACION_EAAB-CL'!D106</f>
        <v>0</v>
      </c>
      <c r="E95" s="294">
        <f>'REMUNERACION_EAAB-CL'!E106</f>
        <v>0</v>
      </c>
      <c r="F95" s="294">
        <f>'REMUNERACION_EAAB-CL'!F106</f>
        <v>0</v>
      </c>
      <c r="G95" s="294">
        <f>'REMUNERACION_EAAB-CL'!G106</f>
        <v>0</v>
      </c>
      <c r="H95" s="294">
        <f>'REMUNERACION_EAAB-CL'!H106</f>
        <v>0</v>
      </c>
      <c r="I95" s="294">
        <f>'REMUNERACION_EAAB-CL'!I106</f>
        <v>0</v>
      </c>
      <c r="J95" s="290">
        <f>'REMUNERACION_EAAB-CL'!J106</f>
        <v>0</v>
      </c>
      <c r="K95" s="297">
        <f>'REMUNERACION_EAAB-CL'!K106</f>
        <v>0</v>
      </c>
      <c r="L95" s="296">
        <f>'REMUNERACION_EAAB-CL'!L106</f>
        <v>0</v>
      </c>
      <c r="M95" s="297">
        <f>'REMUNERACION_EAAB-CL'!M106</f>
        <v>0</v>
      </c>
      <c r="N95" s="296">
        <f>'REMUNERACION_EAAB-CL'!N106</f>
        <v>0</v>
      </c>
      <c r="O95" s="297">
        <f>'REMUNERACION_EAAB-CL'!O106</f>
        <v>0</v>
      </c>
      <c r="Q95" s="308"/>
      <c r="S95" s="316">
        <v>3</v>
      </c>
      <c r="T95" s="317" t="s">
        <v>12</v>
      </c>
      <c r="U95" s="318">
        <f>'REMUNERACION_EAAB-CL'!U106</f>
        <v>0</v>
      </c>
      <c r="V95" s="319">
        <f>'REMUNERACION_EAAB-CL'!V106</f>
        <v>0</v>
      </c>
      <c r="W95" s="319">
        <f>'REMUNERACION_EAAB-CL'!W106</f>
        <v>0</v>
      </c>
      <c r="X95" s="319">
        <f>'REMUNERACION_EAAB-CL'!X106</f>
        <v>0</v>
      </c>
      <c r="Y95" s="320">
        <f>'REMUNERACION_EAAB-CL'!Y106</f>
        <v>0</v>
      </c>
      <c r="Z95" s="321">
        <f>'REMUNERACION_EAAB-CL'!Z106</f>
        <v>0</v>
      </c>
      <c r="AA95" s="322">
        <f>'REMUNERACION_EAAB-CL'!AA106</f>
        <v>0</v>
      </c>
      <c r="AB95" s="296">
        <f>'REMUNERACION_EAAB-CL'!AB106</f>
        <v>0</v>
      </c>
      <c r="AC95" s="322">
        <f>'REMUNERACION_EAAB-CL'!AC106</f>
        <v>0</v>
      </c>
      <c r="AD95" s="293">
        <f>'REMUNERACION_EAAB-CL'!AD106</f>
        <v>0</v>
      </c>
      <c r="AE95" s="293">
        <f>'REMUNERACION_EAAB-CL'!AE106</f>
        <v>0</v>
      </c>
      <c r="AF95" s="324">
        <f>'REMUNERACION_EAAB-CL'!AF106</f>
        <v>0</v>
      </c>
      <c r="AG95" s="524">
        <f>'REMUNERACION_EAAB-CL'!AG106</f>
        <v>0</v>
      </c>
      <c r="AH95" s="1"/>
      <c r="AI95" s="308"/>
      <c r="AM95" s="335"/>
    </row>
    <row r="96" spans="1:39" s="307" customFormat="1" x14ac:dyDescent="0.25">
      <c r="B96" s="316">
        <v>4</v>
      </c>
      <c r="C96" s="317" t="s">
        <v>13</v>
      </c>
      <c r="D96" s="293">
        <f>'REMUNERACION_EAAB-CL'!D107</f>
        <v>0</v>
      </c>
      <c r="E96" s="294">
        <f>'REMUNERACION_EAAB-CL'!E107</f>
        <v>0</v>
      </c>
      <c r="F96" s="294">
        <f>'REMUNERACION_EAAB-CL'!F107</f>
        <v>0</v>
      </c>
      <c r="G96" s="294">
        <f>'REMUNERACION_EAAB-CL'!G107</f>
        <v>0</v>
      </c>
      <c r="H96" s="294">
        <f>'REMUNERACION_EAAB-CL'!H107</f>
        <v>0</v>
      </c>
      <c r="I96" s="294">
        <f>'REMUNERACION_EAAB-CL'!I107</f>
        <v>0</v>
      </c>
      <c r="J96" s="290">
        <f>'REMUNERACION_EAAB-CL'!J107</f>
        <v>0</v>
      </c>
      <c r="K96" s="297">
        <f>'REMUNERACION_EAAB-CL'!K107</f>
        <v>0</v>
      </c>
      <c r="L96" s="296">
        <f>'REMUNERACION_EAAB-CL'!L107</f>
        <v>0</v>
      </c>
      <c r="M96" s="297">
        <f>'REMUNERACION_EAAB-CL'!M107</f>
        <v>0</v>
      </c>
      <c r="N96" s="296">
        <f>'REMUNERACION_EAAB-CL'!N107</f>
        <v>0</v>
      </c>
      <c r="O96" s="297">
        <f>'REMUNERACION_EAAB-CL'!O107</f>
        <v>0</v>
      </c>
      <c r="Q96" s="308"/>
      <c r="S96" s="316">
        <v>4</v>
      </c>
      <c r="T96" s="317" t="s">
        <v>13</v>
      </c>
      <c r="U96" s="318">
        <f>'REMUNERACION_EAAB-CL'!U107</f>
        <v>0</v>
      </c>
      <c r="V96" s="319">
        <f>'REMUNERACION_EAAB-CL'!V107</f>
        <v>0</v>
      </c>
      <c r="W96" s="319">
        <f>'REMUNERACION_EAAB-CL'!W107</f>
        <v>0</v>
      </c>
      <c r="X96" s="319">
        <f>'REMUNERACION_EAAB-CL'!X107</f>
        <v>0</v>
      </c>
      <c r="Y96" s="320">
        <f>'REMUNERACION_EAAB-CL'!Y107</f>
        <v>0</v>
      </c>
      <c r="Z96" s="321">
        <f>'REMUNERACION_EAAB-CL'!Z107</f>
        <v>0</v>
      </c>
      <c r="AA96" s="322">
        <f>'REMUNERACION_EAAB-CL'!AA107</f>
        <v>0</v>
      </c>
      <c r="AB96" s="296">
        <f>'REMUNERACION_EAAB-CL'!AB107</f>
        <v>0</v>
      </c>
      <c r="AC96" s="322">
        <f>'REMUNERACION_EAAB-CL'!AC107</f>
        <v>0</v>
      </c>
      <c r="AD96" s="293">
        <f>'REMUNERACION_EAAB-CL'!AD107</f>
        <v>0</v>
      </c>
      <c r="AE96" s="293">
        <f>'REMUNERACION_EAAB-CL'!AE107</f>
        <v>0</v>
      </c>
      <c r="AF96" s="324">
        <f>'REMUNERACION_EAAB-CL'!AF107</f>
        <v>0</v>
      </c>
      <c r="AG96" s="524">
        <f>'REMUNERACION_EAAB-CL'!AG107</f>
        <v>0</v>
      </c>
      <c r="AH96" s="1"/>
      <c r="AI96" s="308"/>
      <c r="AM96" s="335"/>
    </row>
    <row r="97" spans="1:39" s="307" customFormat="1" ht="12" thickBot="1" x14ac:dyDescent="0.3">
      <c r="B97" s="326">
        <v>5</v>
      </c>
      <c r="C97" s="327" t="s">
        <v>14</v>
      </c>
      <c r="D97" s="298">
        <f>'REMUNERACION_EAAB-CL'!D108</f>
        <v>0</v>
      </c>
      <c r="E97" s="299">
        <f>'REMUNERACION_EAAB-CL'!E108</f>
        <v>0</v>
      </c>
      <c r="F97" s="299">
        <f>'REMUNERACION_EAAB-CL'!F108</f>
        <v>0</v>
      </c>
      <c r="G97" s="299">
        <f>'REMUNERACION_EAAB-CL'!G108</f>
        <v>0</v>
      </c>
      <c r="H97" s="299">
        <f>'REMUNERACION_EAAB-CL'!H108</f>
        <v>0</v>
      </c>
      <c r="I97" s="299">
        <f>'REMUNERACION_EAAB-CL'!I108</f>
        <v>0</v>
      </c>
      <c r="J97" s="291">
        <f>'REMUNERACION_EAAB-CL'!J108</f>
        <v>0</v>
      </c>
      <c r="K97" s="297">
        <f>'REMUNERACION_EAAB-CL'!K108</f>
        <v>0</v>
      </c>
      <c r="L97" s="296">
        <f>'REMUNERACION_EAAB-CL'!L108</f>
        <v>0</v>
      </c>
      <c r="M97" s="300">
        <f>'REMUNERACION_EAAB-CL'!M108</f>
        <v>0</v>
      </c>
      <c r="N97" s="301">
        <f>'REMUNERACION_EAAB-CL'!N108</f>
        <v>0</v>
      </c>
      <c r="O97" s="300">
        <f>'REMUNERACION_EAAB-CL'!O108</f>
        <v>0</v>
      </c>
      <c r="Q97" s="308"/>
      <c r="S97" s="326">
        <v>5</v>
      </c>
      <c r="T97" s="327" t="s">
        <v>14</v>
      </c>
      <c r="U97" s="298">
        <f>'REMUNERACION_EAAB-CL'!U108</f>
        <v>0</v>
      </c>
      <c r="V97" s="299">
        <f>'REMUNERACION_EAAB-CL'!V108</f>
        <v>0</v>
      </c>
      <c r="W97" s="299">
        <f>'REMUNERACION_EAAB-CL'!W108</f>
        <v>0</v>
      </c>
      <c r="X97" s="299">
        <f>'REMUNERACION_EAAB-CL'!X108</f>
        <v>0</v>
      </c>
      <c r="Y97" s="291">
        <f>'REMUNERACION_EAAB-CL'!Y108</f>
        <v>0</v>
      </c>
      <c r="Z97" s="321">
        <f>'REMUNERACION_EAAB-CL'!Z108</f>
        <v>0</v>
      </c>
      <c r="AA97" s="322">
        <f>'REMUNERACION_EAAB-CL'!AA108</f>
        <v>0</v>
      </c>
      <c r="AB97" s="296">
        <f>'REMUNERACION_EAAB-CL'!AB108</f>
        <v>0</v>
      </c>
      <c r="AC97" s="322">
        <f>'REMUNERACION_EAAB-CL'!AC108</f>
        <v>0</v>
      </c>
      <c r="AD97" s="293">
        <f>'REMUNERACION_EAAB-CL'!AD108</f>
        <v>0</v>
      </c>
      <c r="AE97" s="293">
        <f>'REMUNERACION_EAAB-CL'!AE108</f>
        <v>0</v>
      </c>
      <c r="AF97" s="324">
        <f>'REMUNERACION_EAAB-CL'!AF108</f>
        <v>0</v>
      </c>
      <c r="AG97" s="525">
        <f>'REMUNERACION_EAAB-CL'!AG108</f>
        <v>0</v>
      </c>
      <c r="AH97" s="1"/>
      <c r="AI97" s="308"/>
      <c r="AM97" s="335"/>
    </row>
    <row r="98" spans="1:39" s="307" customFormat="1" ht="13.5" thickBot="1" x14ac:dyDescent="0.35">
      <c r="B98" s="329"/>
      <c r="C98" s="330" t="s">
        <v>2</v>
      </c>
      <c r="D98" s="292">
        <f>'REMUNERACION_EAAB-CL'!D109</f>
        <v>0</v>
      </c>
      <c r="E98" s="292">
        <f>'REMUNERACION_EAAB-CL'!E109</f>
        <v>0</v>
      </c>
      <c r="F98" s="292">
        <f>'REMUNERACION_EAAB-CL'!F109</f>
        <v>0</v>
      </c>
      <c r="G98" s="292">
        <f>'REMUNERACION_EAAB-CL'!G109</f>
        <v>0</v>
      </c>
      <c r="H98" s="292">
        <f>'REMUNERACION_EAAB-CL'!H109</f>
        <v>0</v>
      </c>
      <c r="I98" s="292">
        <f>'REMUNERACION_EAAB-CL'!I109</f>
        <v>0</v>
      </c>
      <c r="J98" s="292">
        <f>'REMUNERACION_EAAB-CL'!J109</f>
        <v>0</v>
      </c>
      <c r="K98" s="302">
        <f>'REMUNERACION_EAAB-CL'!K109</f>
        <v>0</v>
      </c>
      <c r="L98" s="303">
        <f>'REMUNERACION_EAAB-CL'!L109</f>
        <v>0</v>
      </c>
      <c r="M98" s="304">
        <f>'REMUNERACION_EAAB-CL'!M109</f>
        <v>0</v>
      </c>
      <c r="N98" s="303">
        <f>'REMUNERACION_EAAB-CL'!N109</f>
        <v>0</v>
      </c>
      <c r="O98" s="304">
        <f>'REMUNERACION_EAAB-CL'!O109</f>
        <v>0</v>
      </c>
      <c r="P98" s="331"/>
      <c r="Q98" s="308"/>
      <c r="S98" s="329"/>
      <c r="T98" s="330" t="s">
        <v>2</v>
      </c>
      <c r="U98" s="332">
        <f>'REMUNERACION_EAAB-CL'!U109</f>
        <v>0</v>
      </c>
      <c r="V98" s="332">
        <f>'REMUNERACION_EAAB-CL'!V109</f>
        <v>0</v>
      </c>
      <c r="W98" s="332">
        <f>'REMUNERACION_EAAB-CL'!W109</f>
        <v>0</v>
      </c>
      <c r="X98" s="332">
        <f>'REMUNERACION_EAAB-CL'!X109</f>
        <v>0</v>
      </c>
      <c r="Y98" s="332">
        <f>'REMUNERACION_EAAB-CL'!Y109</f>
        <v>0</v>
      </c>
      <c r="Z98" s="292">
        <f>'REMUNERACION_EAAB-CL'!Z109</f>
        <v>0</v>
      </c>
      <c r="AA98" s="292">
        <f>'REMUNERACION_EAAB-CL'!AA109</f>
        <v>0</v>
      </c>
      <c r="AB98" s="292">
        <f>'REMUNERACION_EAAB-CL'!AB109</f>
        <v>0</v>
      </c>
      <c r="AC98" s="292">
        <f>'REMUNERACION_EAAB-CL'!AC109</f>
        <v>0</v>
      </c>
      <c r="AD98" s="292">
        <f>'REMUNERACION_EAAB-CL'!AD109</f>
        <v>0</v>
      </c>
      <c r="AE98" s="292">
        <f>'REMUNERACION_EAAB-CL'!AE109</f>
        <v>0</v>
      </c>
      <c r="AF98" s="333">
        <f>'REMUNERACION_EAAB-CL'!AF109</f>
        <v>0</v>
      </c>
      <c r="AG98" s="526">
        <f>'REMUNERACION_EAAB-CL'!AG109</f>
        <v>0</v>
      </c>
      <c r="AH98" s="1"/>
      <c r="AI98" s="308"/>
      <c r="AM98" s="335"/>
    </row>
    <row r="99" spans="1:39" ht="12" thickBot="1" x14ac:dyDescent="0.3">
      <c r="B99" s="2"/>
      <c r="C99" s="2"/>
      <c r="D99" s="165"/>
      <c r="E99" s="450"/>
      <c r="F99" s="450"/>
      <c r="G99" s="450"/>
      <c r="H99" s="450"/>
      <c r="I99" s="450"/>
      <c r="J99" s="165"/>
      <c r="K99" s="450"/>
      <c r="L99" s="450"/>
      <c r="M99" s="450"/>
      <c r="N99" s="450"/>
      <c r="O99" s="450"/>
      <c r="Q99" s="4"/>
      <c r="S99" s="2"/>
      <c r="T99" s="2"/>
      <c r="U99" s="450"/>
      <c r="V99" s="450"/>
      <c r="W99" s="450"/>
      <c r="X99" s="450"/>
      <c r="Y99" s="450"/>
      <c r="AF99" s="450"/>
      <c r="AI99" s="4"/>
    </row>
    <row r="100" spans="1:39" ht="12" thickBot="1" x14ac:dyDescent="0.3">
      <c r="B100" s="2"/>
      <c r="C100" s="2"/>
      <c r="D100" s="450"/>
      <c r="E100" s="450"/>
      <c r="F100" s="450"/>
      <c r="G100" s="450"/>
      <c r="H100" s="450"/>
      <c r="I100" s="450"/>
      <c r="K100" s="450"/>
      <c r="L100" s="450"/>
      <c r="M100" s="450"/>
      <c r="N100" s="450"/>
      <c r="O100" s="450"/>
      <c r="Q100" s="4"/>
      <c r="Y100" s="451"/>
      <c r="AI100" s="4"/>
    </row>
    <row r="101" spans="1:39" x14ac:dyDescent="0.25">
      <c r="A101" s="4"/>
      <c r="B101" s="34"/>
      <c r="C101" s="34"/>
      <c r="D101" s="476"/>
      <c r="E101" s="476"/>
      <c r="F101" s="476"/>
      <c r="G101" s="476"/>
      <c r="H101" s="476"/>
      <c r="I101" s="476"/>
      <c r="J101" s="4"/>
      <c r="K101" s="476"/>
      <c r="L101" s="476"/>
      <c r="M101" s="476"/>
      <c r="N101" s="476"/>
      <c r="O101" s="476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9" ht="12" thickBot="1" x14ac:dyDescent="0.3">
      <c r="Q102" s="4"/>
      <c r="AI102" s="4"/>
    </row>
    <row r="103" spans="1:39" x14ac:dyDescent="0.25">
      <c r="B103" s="5"/>
      <c r="C103" s="3" t="s">
        <v>1</v>
      </c>
      <c r="D103" s="6" t="s">
        <v>1</v>
      </c>
      <c r="E103" s="3"/>
      <c r="F103" s="3"/>
      <c r="G103" s="3"/>
      <c r="H103" s="3" t="s">
        <v>1</v>
      </c>
      <c r="I103" s="3"/>
      <c r="J103" s="3"/>
      <c r="K103" s="3"/>
      <c r="L103" s="3"/>
      <c r="M103" s="3"/>
      <c r="N103" s="3"/>
      <c r="O103" s="7"/>
      <c r="P103" s="2"/>
      <c r="Q103" s="4"/>
      <c r="S103" s="5"/>
      <c r="T103" s="3" t="s">
        <v>1</v>
      </c>
      <c r="U103" s="6" t="s">
        <v>1</v>
      </c>
      <c r="V103" s="3"/>
      <c r="W103" s="3"/>
      <c r="X103" s="3" t="s">
        <v>1</v>
      </c>
      <c r="Y103" s="3"/>
      <c r="Z103" s="3"/>
      <c r="AA103" s="3"/>
      <c r="AB103" s="3"/>
      <c r="AC103" s="3"/>
      <c r="AD103" s="3"/>
      <c r="AE103" s="3"/>
      <c r="AF103" s="7"/>
      <c r="AG103" s="2"/>
      <c r="AI103" s="4"/>
    </row>
    <row r="104" spans="1:39" ht="14" x14ac:dyDescent="0.3">
      <c r="B104" s="8"/>
      <c r="F104" s="26" t="s">
        <v>8</v>
      </c>
      <c r="G104" s="26"/>
      <c r="I104" s="26" t="s">
        <v>16</v>
      </c>
      <c r="J104" s="25"/>
      <c r="M104" s="2"/>
      <c r="N104" s="50"/>
      <c r="O104" s="10"/>
      <c r="P104" s="2"/>
      <c r="Q104" s="4"/>
      <c r="S104" s="8"/>
      <c r="U104" s="26" t="s">
        <v>8</v>
      </c>
      <c r="W104" s="26" t="s">
        <v>16</v>
      </c>
      <c r="X104" s="25"/>
      <c r="Y104" s="2"/>
      <c r="AA104" s="2"/>
      <c r="AD104" s="50"/>
      <c r="AE104" s="84"/>
      <c r="AF104" s="48"/>
      <c r="AG104" s="2"/>
      <c r="AI104" s="4"/>
    </row>
    <row r="105" spans="1:39" ht="15.5" x14ac:dyDescent="0.35">
      <c r="B105" s="8"/>
      <c r="F105" s="36" t="s">
        <v>29</v>
      </c>
      <c r="G105" s="36"/>
      <c r="O105" s="10"/>
      <c r="P105" s="2"/>
      <c r="Q105" s="4"/>
      <c r="S105" s="8"/>
      <c r="T105" s="26" t="s">
        <v>1</v>
      </c>
      <c r="U105" s="36" t="s">
        <v>29</v>
      </c>
      <c r="Y105" s="2" t="s">
        <v>1</v>
      </c>
      <c r="AA105" s="50" t="s">
        <v>1</v>
      </c>
      <c r="AB105" s="2"/>
      <c r="AC105" s="2"/>
      <c r="AD105" s="2"/>
      <c r="AE105" s="2"/>
      <c r="AF105" s="10" t="s">
        <v>1</v>
      </c>
      <c r="AG105" s="2"/>
      <c r="AI105" s="4"/>
    </row>
    <row r="106" spans="1:39" ht="14" x14ac:dyDescent="0.3">
      <c r="B106" s="8"/>
      <c r="F106" s="2" t="s">
        <v>30</v>
      </c>
      <c r="G106" s="2"/>
      <c r="M106" s="2" t="s">
        <v>1</v>
      </c>
      <c r="O106" s="10"/>
      <c r="P106" s="2"/>
      <c r="Q106" s="4"/>
      <c r="S106" s="8"/>
      <c r="T106" s="49" t="s">
        <v>1</v>
      </c>
      <c r="U106" s="2" t="s">
        <v>30</v>
      </c>
      <c r="AF106" s="44"/>
      <c r="AG106" s="2"/>
      <c r="AI106" s="4"/>
    </row>
    <row r="107" spans="1:39" ht="15.5" x14ac:dyDescent="0.35">
      <c r="B107" s="8"/>
      <c r="C107" s="2"/>
      <c r="D107" s="9"/>
      <c r="F107" s="41" t="s">
        <v>190</v>
      </c>
      <c r="G107" s="41"/>
      <c r="H107" s="2"/>
      <c r="J107" s="2"/>
      <c r="O107" s="10"/>
      <c r="P107" s="2"/>
      <c r="Q107" s="4"/>
      <c r="S107" s="8"/>
      <c r="T107" s="41" t="s">
        <v>1</v>
      </c>
      <c r="U107" s="41" t="s">
        <v>190</v>
      </c>
      <c r="V107" s="2"/>
      <c r="X107" s="2"/>
      <c r="Y107" s="2"/>
      <c r="AF107" s="48"/>
      <c r="AG107" s="2"/>
      <c r="AI107" s="4"/>
    </row>
    <row r="108" spans="1:39" ht="12" thickBot="1" x14ac:dyDescent="0.3">
      <c r="B108" s="8"/>
      <c r="C108" s="2"/>
      <c r="D108" s="241"/>
      <c r="F108" s="2"/>
      <c r="G108" s="9"/>
      <c r="J108" s="2"/>
      <c r="K108" s="9"/>
      <c r="O108" s="10"/>
      <c r="P108" s="2"/>
      <c r="Q108" s="4"/>
      <c r="S108" s="8"/>
      <c r="V108" s="9"/>
      <c r="Y108" s="9"/>
      <c r="Z108" s="1" t="s">
        <v>1</v>
      </c>
      <c r="AF108" s="48"/>
      <c r="AG108" s="2"/>
      <c r="AI108" s="4"/>
    </row>
    <row r="109" spans="1:39" ht="69.5" thickBot="1" x14ac:dyDescent="0.3">
      <c r="B109" s="11" t="s">
        <v>3</v>
      </c>
      <c r="C109" s="27" t="s">
        <v>9</v>
      </c>
      <c r="D109" s="104" t="s">
        <v>4</v>
      </c>
      <c r="E109" s="105" t="s">
        <v>5</v>
      </c>
      <c r="F109" s="105" t="s">
        <v>6</v>
      </c>
      <c r="G109" s="542" t="s">
        <v>159</v>
      </c>
      <c r="H109" s="105" t="s">
        <v>18</v>
      </c>
      <c r="I109" s="105" t="s">
        <v>24</v>
      </c>
      <c r="J109" s="147" t="s">
        <v>19</v>
      </c>
      <c r="K109" s="39" t="s">
        <v>20</v>
      </c>
      <c r="L109" s="543" t="s">
        <v>21</v>
      </c>
      <c r="M109" s="39" t="s">
        <v>22</v>
      </c>
      <c r="N109" s="105" t="s">
        <v>7</v>
      </c>
      <c r="O109" s="39" t="s">
        <v>23</v>
      </c>
      <c r="P109" s="13"/>
      <c r="Q109" s="4"/>
      <c r="S109" s="11" t="s">
        <v>3</v>
      </c>
      <c r="T109" s="27" t="s">
        <v>9</v>
      </c>
      <c r="U109" s="162" t="s">
        <v>39</v>
      </c>
      <c r="V109" s="163" t="s">
        <v>40</v>
      </c>
      <c r="W109" s="163" t="s">
        <v>41</v>
      </c>
      <c r="X109" s="163" t="s">
        <v>42</v>
      </c>
      <c r="Y109" s="164" t="s">
        <v>43</v>
      </c>
      <c r="Z109" s="546" t="s">
        <v>21</v>
      </c>
      <c r="AA109" s="382" t="s">
        <v>46</v>
      </c>
      <c r="AB109" s="382" t="s">
        <v>7</v>
      </c>
      <c r="AC109" s="546" t="s">
        <v>167</v>
      </c>
      <c r="AD109" s="542" t="s">
        <v>105</v>
      </c>
      <c r="AE109" s="542" t="s">
        <v>104</v>
      </c>
      <c r="AF109" s="39" t="s">
        <v>23</v>
      </c>
      <c r="AG109" s="13"/>
      <c r="AI109" s="4"/>
    </row>
    <row r="110" spans="1:39" x14ac:dyDescent="0.25">
      <c r="B110" s="14">
        <v>1</v>
      </c>
      <c r="C110" s="61" t="s">
        <v>10</v>
      </c>
      <c r="D110" s="544">
        <f>D9-(D26+D60+D43+D76+D93)</f>
        <v>0</v>
      </c>
      <c r="E110" s="544">
        <f t="shared" ref="E110:O110" si="0">E9-(E26+E60+E43+E76+E93)</f>
        <v>0</v>
      </c>
      <c r="F110" s="544">
        <f t="shared" si="0"/>
        <v>0</v>
      </c>
      <c r="G110" s="544">
        <f t="shared" si="0"/>
        <v>0</v>
      </c>
      <c r="H110" s="544">
        <f t="shared" si="0"/>
        <v>0</v>
      </c>
      <c r="I110" s="544">
        <f t="shared" si="0"/>
        <v>0</v>
      </c>
      <c r="J110" s="544">
        <f t="shared" si="0"/>
        <v>0</v>
      </c>
      <c r="K110" s="544">
        <f t="shared" si="0"/>
        <v>-8.58306884765625E-6</v>
      </c>
      <c r="L110" s="544">
        <f t="shared" si="0"/>
        <v>0</v>
      </c>
      <c r="M110" s="544">
        <f t="shared" si="0"/>
        <v>-8.58306884765625E-6</v>
      </c>
      <c r="N110" s="544">
        <f t="shared" si="0"/>
        <v>0</v>
      </c>
      <c r="O110" s="544">
        <f t="shared" si="0"/>
        <v>-8.58306884765625E-6</v>
      </c>
      <c r="P110" s="482"/>
      <c r="Q110" s="483"/>
      <c r="R110" s="482"/>
      <c r="S110" s="484">
        <v>1</v>
      </c>
      <c r="T110" s="485" t="s">
        <v>10</v>
      </c>
      <c r="U110" s="544">
        <f>U9-(U26+U43+U60++U76+U93)</f>
        <v>0</v>
      </c>
      <c r="V110" s="544">
        <f t="shared" ref="V110:AF110" si="1">V9-(V26+V43+V60++V76+V93)</f>
        <v>0</v>
      </c>
      <c r="W110" s="544">
        <f t="shared" si="1"/>
        <v>0</v>
      </c>
      <c r="X110" s="544">
        <f t="shared" si="1"/>
        <v>0</v>
      </c>
      <c r="Y110" s="544">
        <f t="shared" si="1"/>
        <v>0</v>
      </c>
      <c r="Z110" s="544">
        <f t="shared" si="1"/>
        <v>0</v>
      </c>
      <c r="AA110" s="544">
        <f t="shared" si="1"/>
        <v>0</v>
      </c>
      <c r="AB110" s="544">
        <f t="shared" si="1"/>
        <v>0</v>
      </c>
      <c r="AC110" s="544">
        <f t="shared" si="1"/>
        <v>0</v>
      </c>
      <c r="AD110" s="544">
        <f t="shared" si="1"/>
        <v>0</v>
      </c>
      <c r="AE110" s="544">
        <f t="shared" si="1"/>
        <v>0</v>
      </c>
      <c r="AF110" s="544">
        <f t="shared" si="1"/>
        <v>0</v>
      </c>
      <c r="AG110" s="544">
        <f t="shared" ref="AG110" si="2">AG9-(AG26+AG43+AG60++AG76+AG93)</f>
        <v>3.0398368835449219E-6</v>
      </c>
      <c r="AI110" s="483"/>
      <c r="AJ110" s="482"/>
    </row>
    <row r="111" spans="1:39" x14ac:dyDescent="0.25">
      <c r="B111" s="16">
        <v>2</v>
      </c>
      <c r="C111" s="62" t="s">
        <v>11</v>
      </c>
      <c r="D111" s="481">
        <f t="shared" ref="D111:O115" si="3">D10-(D27+D61+D44+D77+D94)</f>
        <v>0</v>
      </c>
      <c r="E111" s="481">
        <f t="shared" si="3"/>
        <v>0</v>
      </c>
      <c r="F111" s="481">
        <f t="shared" si="3"/>
        <v>0</v>
      </c>
      <c r="G111" s="481">
        <f t="shared" si="3"/>
        <v>0</v>
      </c>
      <c r="H111" s="481">
        <f t="shared" si="3"/>
        <v>0</v>
      </c>
      <c r="I111" s="481">
        <f t="shared" si="3"/>
        <v>0</v>
      </c>
      <c r="J111" s="481">
        <f t="shared" si="3"/>
        <v>0</v>
      </c>
      <c r="K111" s="481">
        <f t="shared" si="3"/>
        <v>0</v>
      </c>
      <c r="L111" s="481">
        <f t="shared" si="3"/>
        <v>0</v>
      </c>
      <c r="M111" s="481">
        <f t="shared" si="3"/>
        <v>0</v>
      </c>
      <c r="N111" s="481">
        <f t="shared" si="3"/>
        <v>0</v>
      </c>
      <c r="O111" s="481">
        <f t="shared" si="3"/>
        <v>0</v>
      </c>
      <c r="P111" s="482"/>
      <c r="Q111" s="483"/>
      <c r="R111" s="482"/>
      <c r="S111" s="486">
        <v>2</v>
      </c>
      <c r="T111" s="487" t="s">
        <v>11</v>
      </c>
      <c r="U111" s="481">
        <f t="shared" ref="U111:AF115" si="4">U10-(U27+U44+U61++U77+U94)</f>
        <v>0</v>
      </c>
      <c r="V111" s="481">
        <f t="shared" si="4"/>
        <v>0</v>
      </c>
      <c r="W111" s="481">
        <f t="shared" si="4"/>
        <v>0</v>
      </c>
      <c r="X111" s="481">
        <f t="shared" si="4"/>
        <v>0</v>
      </c>
      <c r="Y111" s="481">
        <f t="shared" si="4"/>
        <v>0</v>
      </c>
      <c r="Z111" s="481">
        <f t="shared" si="4"/>
        <v>0</v>
      </c>
      <c r="AA111" s="481">
        <f t="shared" si="4"/>
        <v>0</v>
      </c>
      <c r="AB111" s="481">
        <f t="shared" si="4"/>
        <v>0</v>
      </c>
      <c r="AC111" s="481">
        <f t="shared" si="4"/>
        <v>0</v>
      </c>
      <c r="AD111" s="481">
        <f t="shared" si="4"/>
        <v>0</v>
      </c>
      <c r="AE111" s="481">
        <f t="shared" si="4"/>
        <v>0</v>
      </c>
      <c r="AF111" s="481">
        <f t="shared" si="4"/>
        <v>0</v>
      </c>
      <c r="AG111" s="481">
        <f t="shared" ref="AG111" si="5">AG10-(AG27+AG44+AG61++AG77+AG94)</f>
        <v>0</v>
      </c>
      <c r="AI111" s="483"/>
      <c r="AJ111" s="482"/>
    </row>
    <row r="112" spans="1:39" x14ac:dyDescent="0.25">
      <c r="B112" s="16">
        <v>3</v>
      </c>
      <c r="C112" s="62" t="s">
        <v>12</v>
      </c>
      <c r="D112" s="481">
        <f t="shared" si="3"/>
        <v>0</v>
      </c>
      <c r="E112" s="481">
        <f t="shared" si="3"/>
        <v>0</v>
      </c>
      <c r="F112" s="481">
        <f t="shared" si="3"/>
        <v>0</v>
      </c>
      <c r="G112" s="481">
        <f t="shared" si="3"/>
        <v>0</v>
      </c>
      <c r="H112" s="481">
        <f t="shared" si="3"/>
        <v>0</v>
      </c>
      <c r="I112" s="481">
        <f t="shared" si="3"/>
        <v>0</v>
      </c>
      <c r="J112" s="481">
        <f t="shared" si="3"/>
        <v>0</v>
      </c>
      <c r="K112" s="481">
        <f t="shared" si="3"/>
        <v>0</v>
      </c>
      <c r="L112" s="481">
        <f t="shared" si="3"/>
        <v>0</v>
      </c>
      <c r="M112" s="481">
        <f t="shared" si="3"/>
        <v>0</v>
      </c>
      <c r="N112" s="481">
        <f t="shared" si="3"/>
        <v>0</v>
      </c>
      <c r="O112" s="481">
        <f t="shared" si="3"/>
        <v>0</v>
      </c>
      <c r="P112" s="482"/>
      <c r="Q112" s="483"/>
      <c r="R112" s="482"/>
      <c r="S112" s="486">
        <v>3</v>
      </c>
      <c r="T112" s="487" t="s">
        <v>12</v>
      </c>
      <c r="U112" s="481">
        <f t="shared" si="4"/>
        <v>0</v>
      </c>
      <c r="V112" s="481">
        <f t="shared" si="4"/>
        <v>0</v>
      </c>
      <c r="W112" s="481">
        <f t="shared" si="4"/>
        <v>0</v>
      </c>
      <c r="X112" s="481">
        <f t="shared" si="4"/>
        <v>0</v>
      </c>
      <c r="Y112" s="481">
        <f t="shared" si="4"/>
        <v>0</v>
      </c>
      <c r="Z112" s="481">
        <f t="shared" si="4"/>
        <v>0</v>
      </c>
      <c r="AA112" s="481">
        <f t="shared" si="4"/>
        <v>0</v>
      </c>
      <c r="AB112" s="481">
        <f t="shared" si="4"/>
        <v>0</v>
      </c>
      <c r="AC112" s="481">
        <f t="shared" si="4"/>
        <v>0</v>
      </c>
      <c r="AD112" s="481">
        <f t="shared" si="4"/>
        <v>0</v>
      </c>
      <c r="AE112" s="481">
        <f t="shared" si="4"/>
        <v>0</v>
      </c>
      <c r="AF112" s="481">
        <f t="shared" ref="AF112" si="6">AF11-(AF28+AF45+AF62++AF78+AF95)</f>
        <v>0</v>
      </c>
      <c r="AG112" s="481">
        <f t="shared" ref="AG112" si="7">AG11-(AG28+AG45+AG62++AG78+AG95)</f>
        <v>0</v>
      </c>
      <c r="AI112" s="483"/>
      <c r="AJ112" s="482"/>
    </row>
    <row r="113" spans="1:36" x14ac:dyDescent="0.25">
      <c r="B113" s="16">
        <v>4</v>
      </c>
      <c r="C113" s="62" t="s">
        <v>13</v>
      </c>
      <c r="D113" s="481">
        <f t="shared" si="3"/>
        <v>0</v>
      </c>
      <c r="E113" s="481">
        <f t="shared" si="3"/>
        <v>0</v>
      </c>
      <c r="F113" s="481">
        <f t="shared" si="3"/>
        <v>0</v>
      </c>
      <c r="G113" s="481">
        <f t="shared" si="3"/>
        <v>0</v>
      </c>
      <c r="H113" s="481">
        <f t="shared" si="3"/>
        <v>0</v>
      </c>
      <c r="I113" s="481">
        <f t="shared" si="3"/>
        <v>0</v>
      </c>
      <c r="J113" s="481">
        <f t="shared" si="3"/>
        <v>0</v>
      </c>
      <c r="K113" s="481">
        <f t="shared" si="3"/>
        <v>0</v>
      </c>
      <c r="L113" s="481">
        <f t="shared" si="3"/>
        <v>0</v>
      </c>
      <c r="M113" s="481">
        <f t="shared" si="3"/>
        <v>0</v>
      </c>
      <c r="N113" s="481">
        <f t="shared" si="3"/>
        <v>0</v>
      </c>
      <c r="O113" s="481">
        <f t="shared" si="3"/>
        <v>0</v>
      </c>
      <c r="P113" s="482"/>
      <c r="Q113" s="483"/>
      <c r="R113" s="482"/>
      <c r="S113" s="486">
        <v>4</v>
      </c>
      <c r="T113" s="487" t="s">
        <v>13</v>
      </c>
      <c r="U113" s="481">
        <f t="shared" si="4"/>
        <v>0</v>
      </c>
      <c r="V113" s="481">
        <f t="shared" si="4"/>
        <v>0</v>
      </c>
      <c r="W113" s="481">
        <f t="shared" si="4"/>
        <v>0</v>
      </c>
      <c r="X113" s="481">
        <f t="shared" si="4"/>
        <v>0</v>
      </c>
      <c r="Y113" s="481">
        <f t="shared" si="4"/>
        <v>0</v>
      </c>
      <c r="Z113" s="481">
        <f t="shared" si="4"/>
        <v>0</v>
      </c>
      <c r="AA113" s="481">
        <f t="shared" si="4"/>
        <v>0</v>
      </c>
      <c r="AB113" s="481">
        <f t="shared" si="4"/>
        <v>0</v>
      </c>
      <c r="AC113" s="481">
        <f t="shared" si="4"/>
        <v>0</v>
      </c>
      <c r="AD113" s="481">
        <f t="shared" si="4"/>
        <v>0</v>
      </c>
      <c r="AE113" s="481">
        <f t="shared" si="4"/>
        <v>0</v>
      </c>
      <c r="AF113" s="481">
        <f t="shared" ref="AF113" si="8">AF12-(AF29+AF46+AF63++AF79+AF96)</f>
        <v>0</v>
      </c>
      <c r="AG113" s="481">
        <f t="shared" ref="AG113" si="9">AG12-(AG29+AG46+AG63++AG79+AG96)</f>
        <v>0</v>
      </c>
      <c r="AI113" s="483"/>
      <c r="AJ113" s="482"/>
    </row>
    <row r="114" spans="1:36" ht="12" thickBot="1" x14ac:dyDescent="0.3">
      <c r="B114" s="19">
        <v>5</v>
      </c>
      <c r="C114" s="63" t="s">
        <v>14</v>
      </c>
      <c r="D114" s="481">
        <f t="shared" si="3"/>
        <v>0</v>
      </c>
      <c r="E114" s="481">
        <f t="shared" si="3"/>
        <v>0</v>
      </c>
      <c r="F114" s="481">
        <f t="shared" si="3"/>
        <v>0</v>
      </c>
      <c r="G114" s="481">
        <f t="shared" si="3"/>
        <v>0</v>
      </c>
      <c r="H114" s="481">
        <f t="shared" si="3"/>
        <v>0</v>
      </c>
      <c r="I114" s="481">
        <f t="shared" si="3"/>
        <v>0</v>
      </c>
      <c r="J114" s="481">
        <f t="shared" si="3"/>
        <v>0</v>
      </c>
      <c r="K114" s="481">
        <f t="shared" si="3"/>
        <v>0</v>
      </c>
      <c r="L114" s="481">
        <f t="shared" si="3"/>
        <v>0</v>
      </c>
      <c r="M114" s="481">
        <f t="shared" si="3"/>
        <v>0</v>
      </c>
      <c r="N114" s="481">
        <f t="shared" si="3"/>
        <v>0</v>
      </c>
      <c r="O114" s="481">
        <f t="shared" si="3"/>
        <v>0</v>
      </c>
      <c r="P114" s="482"/>
      <c r="Q114" s="483"/>
      <c r="R114" s="482"/>
      <c r="S114" s="488">
        <v>5</v>
      </c>
      <c r="T114" s="489" t="s">
        <v>14</v>
      </c>
      <c r="U114" s="481">
        <f t="shared" si="4"/>
        <v>0</v>
      </c>
      <c r="V114" s="481">
        <f t="shared" si="4"/>
        <v>0</v>
      </c>
      <c r="W114" s="481">
        <f t="shared" si="4"/>
        <v>0</v>
      </c>
      <c r="X114" s="481">
        <f t="shared" si="4"/>
        <v>0</v>
      </c>
      <c r="Y114" s="481">
        <f t="shared" si="4"/>
        <v>0</v>
      </c>
      <c r="Z114" s="481">
        <f t="shared" si="4"/>
        <v>0</v>
      </c>
      <c r="AA114" s="481">
        <f t="shared" si="4"/>
        <v>0</v>
      </c>
      <c r="AB114" s="481">
        <f t="shared" si="4"/>
        <v>0</v>
      </c>
      <c r="AC114" s="481">
        <f t="shared" si="4"/>
        <v>0</v>
      </c>
      <c r="AD114" s="481">
        <f t="shared" si="4"/>
        <v>0</v>
      </c>
      <c r="AE114" s="481">
        <f t="shared" si="4"/>
        <v>0</v>
      </c>
      <c r="AF114" s="481">
        <f t="shared" ref="AF114" si="10">AF13-(AF30+AF47+AF64++AF80+AF97)</f>
        <v>0</v>
      </c>
      <c r="AG114" s="481">
        <f t="shared" ref="AG114" si="11">AG13-(AG30+AG47+AG64++AG80+AG97)</f>
        <v>0</v>
      </c>
      <c r="AI114" s="483"/>
      <c r="AJ114" s="482"/>
    </row>
    <row r="115" spans="1:36" ht="12" thickBot="1" x14ac:dyDescent="0.3">
      <c r="B115" s="21"/>
      <c r="C115" s="22" t="s">
        <v>2</v>
      </c>
      <c r="D115" s="545">
        <f t="shared" si="3"/>
        <v>0</v>
      </c>
      <c r="E115" s="545">
        <f t="shared" si="3"/>
        <v>0</v>
      </c>
      <c r="F115" s="545">
        <f t="shared" si="3"/>
        <v>0</v>
      </c>
      <c r="G115" s="545">
        <f t="shared" si="3"/>
        <v>0</v>
      </c>
      <c r="H115" s="545">
        <f t="shared" si="3"/>
        <v>0</v>
      </c>
      <c r="I115" s="545">
        <f t="shared" si="3"/>
        <v>0</v>
      </c>
      <c r="J115" s="545">
        <f t="shared" si="3"/>
        <v>0</v>
      </c>
      <c r="K115" s="545">
        <f t="shared" si="3"/>
        <v>0</v>
      </c>
      <c r="L115" s="545">
        <f t="shared" si="3"/>
        <v>0</v>
      </c>
      <c r="M115" s="545">
        <f t="shared" si="3"/>
        <v>0</v>
      </c>
      <c r="N115" s="545">
        <f t="shared" si="3"/>
        <v>0</v>
      </c>
      <c r="O115" s="545">
        <f t="shared" si="3"/>
        <v>0</v>
      </c>
      <c r="P115" s="490"/>
      <c r="Q115" s="483"/>
      <c r="R115" s="482"/>
      <c r="S115" s="491"/>
      <c r="T115" s="492" t="s">
        <v>2</v>
      </c>
      <c r="U115" s="545">
        <f t="shared" si="4"/>
        <v>0</v>
      </c>
      <c r="V115" s="545">
        <f t="shared" si="4"/>
        <v>0</v>
      </c>
      <c r="W115" s="545">
        <f t="shared" si="4"/>
        <v>0</v>
      </c>
      <c r="X115" s="545">
        <f t="shared" si="4"/>
        <v>0</v>
      </c>
      <c r="Y115" s="545">
        <f t="shared" si="4"/>
        <v>0</v>
      </c>
      <c r="Z115" s="545">
        <f t="shared" si="4"/>
        <v>0</v>
      </c>
      <c r="AA115" s="545">
        <f t="shared" si="4"/>
        <v>0</v>
      </c>
      <c r="AB115" s="545">
        <f t="shared" si="4"/>
        <v>0</v>
      </c>
      <c r="AC115" s="545">
        <f t="shared" si="4"/>
        <v>0</v>
      </c>
      <c r="AD115" s="545">
        <f t="shared" si="4"/>
        <v>0</v>
      </c>
      <c r="AE115" s="545">
        <f t="shared" si="4"/>
        <v>0</v>
      </c>
      <c r="AF115" s="545">
        <f t="shared" si="4"/>
        <v>0</v>
      </c>
      <c r="AG115" s="545">
        <f t="shared" ref="AG115" si="12">AG14-(AG31+AG48+AG65++AG81+AG98)</f>
        <v>3.0398368835449219E-6</v>
      </c>
      <c r="AI115" s="483"/>
      <c r="AJ115" s="482"/>
    </row>
    <row r="116" spans="1:36" x14ac:dyDescent="0.25">
      <c r="B116" s="2"/>
      <c r="C116" s="2"/>
      <c r="D116" s="450"/>
      <c r="E116" s="450"/>
      <c r="F116" s="450"/>
      <c r="G116" s="450"/>
      <c r="H116" s="450"/>
      <c r="I116" s="450"/>
      <c r="K116" s="450"/>
      <c r="L116" s="450"/>
      <c r="M116" s="450"/>
      <c r="N116" s="450"/>
      <c r="O116" s="450"/>
      <c r="Q116" s="4"/>
      <c r="S116" s="2"/>
      <c r="T116" s="2"/>
      <c r="U116" s="450"/>
      <c r="V116" s="450"/>
      <c r="W116" s="450"/>
      <c r="X116" s="450"/>
      <c r="Y116" s="450"/>
      <c r="AF116" s="450"/>
      <c r="AI116" s="4"/>
    </row>
    <row r="117" spans="1:36" x14ac:dyDescent="0.25">
      <c r="B117" s="2"/>
      <c r="C117" s="2"/>
      <c r="D117" s="450" t="s">
        <v>1</v>
      </c>
      <c r="E117" s="450"/>
      <c r="F117" s="450"/>
      <c r="G117" s="450"/>
      <c r="H117" s="450"/>
      <c r="I117" s="450"/>
      <c r="K117" s="450"/>
      <c r="L117" s="450"/>
      <c r="M117" s="450"/>
      <c r="N117" s="450"/>
      <c r="O117" s="450"/>
      <c r="Q117" s="4"/>
      <c r="AA117" s="1" t="s">
        <v>1</v>
      </c>
      <c r="AB117" s="1" t="s">
        <v>1</v>
      </c>
      <c r="AD117" s="1" t="s">
        <v>1</v>
      </c>
      <c r="AF117" s="1" t="s">
        <v>1</v>
      </c>
      <c r="AI117" s="4"/>
    </row>
    <row r="118" spans="1:36" x14ac:dyDescent="0.25">
      <c r="A118" s="4"/>
      <c r="B118" s="34"/>
      <c r="C118" s="34"/>
      <c r="D118" s="476"/>
      <c r="E118" s="476"/>
      <c r="F118" s="476"/>
      <c r="G118" s="476"/>
      <c r="H118" s="476"/>
      <c r="I118" s="476"/>
      <c r="J118" s="4"/>
      <c r="K118" s="476"/>
      <c r="L118" s="476"/>
      <c r="M118" s="476"/>
      <c r="N118" s="476"/>
      <c r="O118" s="476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6" ht="12" thickBot="1" x14ac:dyDescent="0.3">
      <c r="Q119" s="4"/>
      <c r="AI119" s="4"/>
    </row>
    <row r="120" spans="1:36" x14ac:dyDescent="0.25">
      <c r="B120" s="5"/>
      <c r="C120" s="3" t="s">
        <v>1</v>
      </c>
      <c r="D120" s="6" t="s">
        <v>1</v>
      </c>
      <c r="E120" s="3"/>
      <c r="F120" s="3"/>
      <c r="G120" s="3"/>
      <c r="H120" s="3" t="s">
        <v>1</v>
      </c>
      <c r="I120" s="3"/>
      <c r="J120" s="3"/>
      <c r="K120" s="3"/>
      <c r="L120" s="3"/>
      <c r="M120" s="3"/>
      <c r="N120" s="3"/>
      <c r="O120" s="7"/>
      <c r="P120" s="2"/>
      <c r="Q120" s="4"/>
      <c r="S120" s="5"/>
      <c r="T120" s="3" t="s">
        <v>1</v>
      </c>
      <c r="U120" s="6" t="s">
        <v>1</v>
      </c>
      <c r="V120" s="3"/>
      <c r="W120" s="3"/>
      <c r="X120" s="3" t="s">
        <v>1</v>
      </c>
      <c r="Y120" s="3"/>
      <c r="Z120" s="3"/>
      <c r="AA120" s="3"/>
      <c r="AB120" s="3"/>
      <c r="AC120" s="3"/>
      <c r="AD120" s="3"/>
      <c r="AE120" s="3"/>
      <c r="AF120" s="7"/>
      <c r="AG120" s="2"/>
      <c r="AI120" s="4"/>
    </row>
    <row r="121" spans="1:36" ht="14" x14ac:dyDescent="0.3">
      <c r="B121" s="8"/>
      <c r="F121" s="26" t="s">
        <v>8</v>
      </c>
      <c r="G121" s="26"/>
      <c r="I121" s="26" t="s">
        <v>16</v>
      </c>
      <c r="J121" s="25"/>
      <c r="M121" s="2" t="s">
        <v>15</v>
      </c>
      <c r="N121" s="50">
        <f>'REMUNERACION_EAAB-CL'!N98</f>
        <v>2026091</v>
      </c>
      <c r="O121" s="10"/>
      <c r="P121" s="2"/>
      <c r="Q121" s="4"/>
      <c r="S121" s="8"/>
      <c r="U121" s="26" t="s">
        <v>8</v>
      </c>
      <c r="W121" s="26" t="s">
        <v>16</v>
      </c>
      <c r="X121" s="25"/>
      <c r="Y121" s="2"/>
      <c r="AA121" s="2" t="s">
        <v>15</v>
      </c>
      <c r="AD121" s="84">
        <f>'REMUNERACION_EAAB-CL'!AD98</f>
        <v>2026091</v>
      </c>
      <c r="AE121" s="84"/>
      <c r="AF121" s="48"/>
      <c r="AG121" s="2"/>
      <c r="AI121" s="4"/>
    </row>
    <row r="122" spans="1:36" ht="15.5" x14ac:dyDescent="0.35">
      <c r="B122" s="8"/>
      <c r="F122" s="36" t="s">
        <v>29</v>
      </c>
      <c r="G122" s="36"/>
      <c r="O122" s="10"/>
      <c r="P122" s="2"/>
      <c r="Q122" s="4"/>
      <c r="S122" s="8"/>
      <c r="T122" s="26" t="s">
        <v>1</v>
      </c>
      <c r="U122" s="36" t="s">
        <v>29</v>
      </c>
      <c r="Y122" s="2" t="s">
        <v>1</v>
      </c>
      <c r="AA122" s="50" t="s">
        <v>1</v>
      </c>
      <c r="AB122" s="2"/>
      <c r="AC122" s="2"/>
      <c r="AD122" s="2"/>
      <c r="AE122" s="2"/>
      <c r="AF122" s="10" t="s">
        <v>1</v>
      </c>
      <c r="AG122" s="2"/>
      <c r="AI122" s="4"/>
    </row>
    <row r="123" spans="1:36" ht="14" x14ac:dyDescent="0.3">
      <c r="B123" s="8"/>
      <c r="F123" s="2" t="s">
        <v>30</v>
      </c>
      <c r="G123" s="2"/>
      <c r="L123" s="91"/>
      <c r="M123" s="2" t="s">
        <v>1</v>
      </c>
      <c r="O123" s="10"/>
      <c r="P123" s="2"/>
      <c r="Q123" s="4"/>
      <c r="S123" s="8"/>
      <c r="T123" s="49" t="s">
        <v>1</v>
      </c>
      <c r="U123" s="2" t="s">
        <v>30</v>
      </c>
      <c r="AF123" s="44"/>
      <c r="AG123" s="2"/>
      <c r="AI123" s="4"/>
    </row>
    <row r="124" spans="1:36" ht="15.5" x14ac:dyDescent="0.35">
      <c r="B124" s="8"/>
      <c r="C124" s="2" t="s">
        <v>17</v>
      </c>
      <c r="D124" s="9">
        <f>'REMUNERACION_EAAB-CL'!D101</f>
        <v>46282</v>
      </c>
      <c r="F124" s="58" t="s">
        <v>188</v>
      </c>
      <c r="G124" s="58"/>
      <c r="H124" s="59"/>
      <c r="I124" s="60"/>
      <c r="J124" s="59"/>
      <c r="K124" s="60"/>
      <c r="L124" s="91"/>
      <c r="O124" s="10"/>
      <c r="P124" s="2"/>
      <c r="Q124" s="4"/>
      <c r="S124" s="8"/>
      <c r="T124" s="41" t="s">
        <v>1</v>
      </c>
      <c r="U124" s="58" t="s">
        <v>35</v>
      </c>
      <c r="V124" s="59"/>
      <c r="W124" s="60"/>
      <c r="X124" s="59"/>
      <c r="Y124" s="2"/>
      <c r="AF124" s="48"/>
      <c r="AG124" s="2"/>
      <c r="AI124" s="4"/>
    </row>
    <row r="125" spans="1:36" ht="18" thickBot="1" x14ac:dyDescent="0.5">
      <c r="B125" s="95"/>
      <c r="C125" s="547" t="s">
        <v>0</v>
      </c>
      <c r="D125" s="548">
        <f>'REMUNERACION_EAAB-CL'!D102</f>
        <v>0.58333333333333337</v>
      </c>
      <c r="E125" s="45"/>
      <c r="F125" s="547" t="s">
        <v>27</v>
      </c>
      <c r="G125" s="549">
        <f>'REMUNERACION_EAAB-CL'!G102</f>
        <v>46266</v>
      </c>
      <c r="H125" s="45"/>
      <c r="I125" s="45"/>
      <c r="J125" s="547" t="s">
        <v>28</v>
      </c>
      <c r="K125" s="549">
        <f>'REMUNERACION_EAAB-CL'!K102</f>
        <v>46280</v>
      </c>
      <c r="L125" s="92"/>
      <c r="M125" s="45"/>
      <c r="N125" s="45"/>
      <c r="O125" s="550"/>
      <c r="P125" s="2"/>
      <c r="Q125" s="4"/>
      <c r="S125" s="95"/>
      <c r="T125" s="45"/>
      <c r="U125" s="45" t="str">
        <f>F125</f>
        <v>Fecha Desde:</v>
      </c>
      <c r="V125" s="549">
        <f>'REMUNERACION_EAAB-CL'!V102</f>
        <v>46266</v>
      </c>
      <c r="W125" s="45" t="s">
        <v>1</v>
      </c>
      <c r="X125" s="45" t="str">
        <f>J125</f>
        <v>Feha Hasta:</v>
      </c>
      <c r="Y125" s="549">
        <f>'REMUNERACION_EAAB-CL'!Y102</f>
        <v>46280</v>
      </c>
      <c r="Z125" s="45" t="s">
        <v>1</v>
      </c>
      <c r="AA125" s="45"/>
      <c r="AB125" s="45"/>
      <c r="AC125" s="45"/>
      <c r="AD125" s="45"/>
      <c r="AE125" s="45"/>
      <c r="AF125" s="551"/>
      <c r="AG125" s="2"/>
      <c r="AI125" s="4"/>
      <c r="AJ125" s="112" t="s">
        <v>1</v>
      </c>
    </row>
  </sheetData>
  <conditionalFormatting sqref="D110:O115">
    <cfRule type="cellIs" dxfId="2" priority="2" operator="notEqual">
      <formula>0</formula>
    </cfRule>
  </conditionalFormatting>
  <conditionalFormatting sqref="U110:AG115">
    <cfRule type="cellIs" dxfId="1" priority="1" operator="notEqual">
      <formula>0</formula>
    </cfRule>
  </conditionalFormatting>
  <printOptions horizontalCentered="1" verticalCentered="1"/>
  <pageMargins left="0.31496062992125984" right="0.11811023622047245" top="0.55118110236220474" bottom="0.55118110236220474" header="0.31496062992125984" footer="0.31496062992125984"/>
  <pageSetup scale="40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101"/>
  <sheetViews>
    <sheetView topLeftCell="A72" workbookViewId="0">
      <selection activeCell="L108" sqref="L108"/>
    </sheetView>
  </sheetViews>
  <sheetFormatPr baseColWidth="10" defaultRowHeight="12.5" x14ac:dyDescent="0.25"/>
  <cols>
    <col min="1" max="1" width="2.453125" customWidth="1"/>
    <col min="3" max="3" width="36.7265625" bestFit="1" customWidth="1"/>
    <col min="4" max="4" width="12" bestFit="1" customWidth="1"/>
    <col min="5" max="5" width="12.26953125" customWidth="1"/>
    <col min="6" max="6" width="9.26953125" customWidth="1"/>
    <col min="7" max="7" width="14.7265625" customWidth="1"/>
    <col min="8" max="8" width="15.26953125" customWidth="1"/>
    <col min="9" max="9" width="20.26953125" bestFit="1" customWidth="1"/>
    <col min="10" max="10" width="15.453125" customWidth="1"/>
    <col min="11" max="11" width="17.7265625" customWidth="1"/>
    <col min="12" max="12" width="20.7265625" customWidth="1"/>
    <col min="17" max="17" width="1.26953125" customWidth="1"/>
  </cols>
  <sheetData>
    <row r="1" spans="1:33" s="1" customFormat="1" ht="12" thickBot="1" x14ac:dyDescent="0.3">
      <c r="Q1" s="4"/>
    </row>
    <row r="2" spans="1:33" s="1" customFormat="1" ht="11.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76"/>
    </row>
    <row r="3" spans="1:33" s="1" customFormat="1" ht="15.5" x14ac:dyDescent="0.35">
      <c r="B3" s="8"/>
      <c r="F3" s="473" t="s">
        <v>37</v>
      </c>
      <c r="G3" s="473"/>
      <c r="H3" s="474"/>
      <c r="I3" s="475"/>
      <c r="J3" s="474"/>
      <c r="K3" s="475"/>
      <c r="O3" s="10"/>
      <c r="P3" s="2"/>
      <c r="Q3" s="4"/>
    </row>
    <row r="4" spans="1:33" s="1" customFormat="1" ht="12" thickBot="1" x14ac:dyDescent="0.3">
      <c r="B4" s="8"/>
      <c r="C4" s="2" t="s">
        <v>1</v>
      </c>
      <c r="D4" s="2" t="s">
        <v>1</v>
      </c>
      <c r="O4" s="44"/>
      <c r="P4" s="2"/>
      <c r="Q4" s="4"/>
      <c r="AG4" s="482"/>
    </row>
    <row r="5" spans="1:33" s="1" customFormat="1" ht="63.75" customHeight="1" thickBot="1" x14ac:dyDescent="0.3">
      <c r="B5" s="11" t="s">
        <v>3</v>
      </c>
      <c r="C5" s="12" t="s">
        <v>9</v>
      </c>
      <c r="D5" s="12" t="s">
        <v>38</v>
      </c>
      <c r="E5" s="73" t="s">
        <v>48</v>
      </c>
      <c r="G5" s="104" t="s">
        <v>47</v>
      </c>
      <c r="H5" s="73" t="s">
        <v>56</v>
      </c>
      <c r="I5" s="73" t="s">
        <v>130</v>
      </c>
      <c r="J5" s="73" t="s">
        <v>171</v>
      </c>
      <c r="K5" s="73" t="s">
        <v>143</v>
      </c>
      <c r="L5" s="73" t="s">
        <v>144</v>
      </c>
      <c r="O5" s="44"/>
      <c r="P5" s="13"/>
      <c r="Q5" s="4"/>
    </row>
    <row r="6" spans="1:33" s="307" customFormat="1" ht="11.5" x14ac:dyDescent="0.25">
      <c r="B6" s="336">
        <v>1</v>
      </c>
      <c r="C6" s="337" t="s">
        <v>10</v>
      </c>
      <c r="D6" s="310">
        <f>'CONSOLIDADO_TOTAL RECAUDO'!D125</f>
        <v>33419430.490000002</v>
      </c>
      <c r="E6" s="311">
        <f>'CONSOLIDADO_TOTAL RECAUDO'!E125</f>
        <v>0</v>
      </c>
      <c r="G6" s="338">
        <f>'CONSOLIDADO_TOTAL RECAUDO'!G125</f>
        <v>42680</v>
      </c>
      <c r="H6" s="312">
        <f>'CONSOLIDADO_TOTAL RECAUDO'!H125</f>
        <v>34844954.140000001</v>
      </c>
      <c r="I6" s="311">
        <f>'CONSOLIDADO_TOTAL RECAUDO'!I125</f>
        <v>0</v>
      </c>
      <c r="J6" s="311">
        <f>'CONSOLIDADO_TOTAL RECAUDO'!J125</f>
        <v>-3544507.29</v>
      </c>
      <c r="K6" s="311">
        <f>'CONSOLIDADO_TOTAL RECAUDO'!K125</f>
        <v>40630</v>
      </c>
      <c r="L6" s="311">
        <f>'CONSOLIDADO_TOTAL RECAUDO'!L125</f>
        <v>1752.71</v>
      </c>
      <c r="O6" s="339"/>
      <c r="Q6" s="308"/>
    </row>
    <row r="7" spans="1:33" s="307" customFormat="1" ht="11.5" x14ac:dyDescent="0.25">
      <c r="B7" s="316">
        <v>2</v>
      </c>
      <c r="C7" s="340" t="s">
        <v>11</v>
      </c>
      <c r="D7" s="294">
        <f>'CONSOLIDADO_TOTAL RECAUDO'!D126</f>
        <v>88020913.75</v>
      </c>
      <c r="E7" s="290">
        <f>'CONSOLIDADO_TOTAL RECAUDO'!E126</f>
        <v>0</v>
      </c>
      <c r="G7" s="341">
        <f>'CONSOLIDADO_TOTAL RECAUDO'!G126</f>
        <v>0</v>
      </c>
      <c r="H7" s="342">
        <f>'CONSOLIDADO_TOTAL RECAUDO'!H126</f>
        <v>101713470.22999999</v>
      </c>
      <c r="I7" s="290">
        <f>'CONSOLIDADO_TOTAL RECAUDO'!I126</f>
        <v>0</v>
      </c>
      <c r="J7" s="290">
        <f>'CONSOLIDADO_TOTAL RECAUDO'!J126</f>
        <v>-8739602.3699999992</v>
      </c>
      <c r="K7" s="290">
        <f>'CONSOLIDADO_TOTAL RECAUDO'!K126</f>
        <v>0</v>
      </c>
      <c r="L7" s="290">
        <f>'CONSOLIDADO_TOTAL RECAUDO'!L126</f>
        <v>310.63</v>
      </c>
      <c r="O7" s="339"/>
      <c r="Q7" s="308"/>
    </row>
    <row r="8" spans="1:33" s="307" customFormat="1" ht="11.5" x14ac:dyDescent="0.25">
      <c r="B8" s="316">
        <v>3</v>
      </c>
      <c r="C8" s="340" t="s">
        <v>12</v>
      </c>
      <c r="D8" s="294">
        <f>'CONSOLIDADO_TOTAL RECAUDO'!D127</f>
        <v>8946171</v>
      </c>
      <c r="E8" s="290">
        <f>'CONSOLIDADO_TOTAL RECAUDO'!E127</f>
        <v>0</v>
      </c>
      <c r="G8" s="341">
        <f>'CONSOLIDADO_TOTAL RECAUDO'!G127</f>
        <v>169120</v>
      </c>
      <c r="H8" s="342">
        <f>'CONSOLIDADO_TOTAL RECAUDO'!H127</f>
        <v>23629213.850000001</v>
      </c>
      <c r="I8" s="290">
        <f>'CONSOLIDADO_TOTAL RECAUDO'!I127</f>
        <v>0</v>
      </c>
      <c r="J8" s="290">
        <f>'CONSOLIDADO_TOTAL RECAUDO'!J127</f>
        <v>-6125983.8899999997</v>
      </c>
      <c r="K8" s="290">
        <f>'CONSOLIDADO_TOTAL RECAUDO'!K127</f>
        <v>2320</v>
      </c>
      <c r="L8" s="290">
        <f>'CONSOLIDADO_TOTAL RECAUDO'!L127</f>
        <v>984746.11</v>
      </c>
      <c r="O8" s="339"/>
      <c r="Q8" s="308"/>
    </row>
    <row r="9" spans="1:33" s="307" customFormat="1" ht="11.5" x14ac:dyDescent="0.25">
      <c r="B9" s="316">
        <v>4</v>
      </c>
      <c r="C9" s="340" t="s">
        <v>13</v>
      </c>
      <c r="D9" s="294">
        <f>'CONSOLIDADO_TOTAL RECAUDO'!D128</f>
        <v>41072279.719999999</v>
      </c>
      <c r="E9" s="290">
        <f>'CONSOLIDADO_TOTAL RECAUDO'!E128</f>
        <v>0</v>
      </c>
      <c r="G9" s="341">
        <f>'CONSOLIDADO_TOTAL RECAUDO'!G128</f>
        <v>8635714</v>
      </c>
      <c r="H9" s="342">
        <f>'CONSOLIDADO_TOTAL RECAUDO'!H128</f>
        <v>23548210.240000002</v>
      </c>
      <c r="I9" s="290">
        <f>'CONSOLIDADO_TOTAL RECAUDO'!I128</f>
        <v>0</v>
      </c>
      <c r="J9" s="290">
        <f>'CONSOLIDADO_TOTAL RECAUDO'!J128</f>
        <v>-22250059.780000001</v>
      </c>
      <c r="K9" s="290">
        <f>'CONSOLIDADO_TOTAL RECAUDO'!K128</f>
        <v>10812878</v>
      </c>
      <c r="L9" s="290">
        <f>'CONSOLIDADO_TOTAL RECAUDO'!L128</f>
        <v>459462.22</v>
      </c>
      <c r="O9" s="339"/>
      <c r="Q9" s="308"/>
    </row>
    <row r="10" spans="1:33" s="307" customFormat="1" ht="11.5" x14ac:dyDescent="0.25">
      <c r="B10" s="343">
        <v>5</v>
      </c>
      <c r="C10" s="344" t="s">
        <v>14</v>
      </c>
      <c r="D10" s="294">
        <f>'CONSOLIDADO_TOTAL RECAUDO'!D129</f>
        <v>14445987</v>
      </c>
      <c r="E10" s="346">
        <f>'CONSOLIDADO_TOTAL RECAUDO'!E129</f>
        <v>0</v>
      </c>
      <c r="G10" s="341">
        <f>'CONSOLIDADO_TOTAL RECAUDO'!G129</f>
        <v>61140</v>
      </c>
      <c r="H10" s="342">
        <f>'CONSOLIDADO_TOTAL RECAUDO'!H129</f>
        <v>27520060.710000001</v>
      </c>
      <c r="I10" s="290">
        <f>'CONSOLIDADO_TOTAL RECAUDO'!I129</f>
        <v>0</v>
      </c>
      <c r="J10" s="290">
        <f>'CONSOLIDADO_TOTAL RECAUDO'!J129</f>
        <v>-9076100</v>
      </c>
      <c r="K10" s="290">
        <f>'CONSOLIDADO_TOTAL RECAUDO'!K129</f>
        <v>309980</v>
      </c>
      <c r="L10" s="290">
        <f>'CONSOLIDADO_TOTAL RECAUDO'!L129</f>
        <v>133820</v>
      </c>
      <c r="O10" s="339"/>
      <c r="Q10" s="308"/>
    </row>
    <row r="11" spans="1:33" s="307" customFormat="1" ht="12" thickBot="1" x14ac:dyDescent="0.3">
      <c r="B11" s="326" t="s">
        <v>89</v>
      </c>
      <c r="C11" s="347" t="s">
        <v>113</v>
      </c>
      <c r="D11" s="299">
        <f>'CONSOLIDADO_TOTAL RECAUDO'!D130</f>
        <v>0</v>
      </c>
      <c r="E11" s="291">
        <f>'CONSOLIDADO_TOTAL RECAUDO'!E130</f>
        <v>0</v>
      </c>
      <c r="G11" s="348">
        <f>'CONSOLIDADO_TOTAL RECAUDO'!G130</f>
        <v>0</v>
      </c>
      <c r="H11" s="349">
        <f>'CONSOLIDADO_TOTAL RECAUDO'!H130</f>
        <v>0</v>
      </c>
      <c r="I11" s="291">
        <f>'CONSOLIDADO_TOTAL RECAUDO'!I130</f>
        <v>0</v>
      </c>
      <c r="J11" s="291">
        <f>'CONSOLIDADO_TOTAL RECAUDO'!J130</f>
        <v>0</v>
      </c>
      <c r="K11" s="291">
        <f>'CONSOLIDADO_TOTAL RECAUDO'!K130</f>
        <v>0</v>
      </c>
      <c r="L11" s="291">
        <f>'CONSOLIDADO_TOTAL RECAUDO'!L130</f>
        <v>0</v>
      </c>
      <c r="O11" s="339"/>
      <c r="Q11" s="308"/>
    </row>
    <row r="12" spans="1:33" s="307" customFormat="1" ht="12" thickBot="1" x14ac:dyDescent="0.3">
      <c r="B12" s="350"/>
      <c r="C12" s="351" t="s">
        <v>2</v>
      </c>
      <c r="D12" s="352">
        <f>'CONSOLIDADO_TOTAL RECAUDO'!D131</f>
        <v>185904781.96000001</v>
      </c>
      <c r="E12" s="352">
        <f>'CONSOLIDADO_TOTAL RECAUDO'!E131</f>
        <v>0</v>
      </c>
      <c r="F12" s="353"/>
      <c r="G12" s="352">
        <f>'CONSOLIDADO_TOTAL RECAUDO'!G131</f>
        <v>8908654</v>
      </c>
      <c r="H12" s="352">
        <f>'CONSOLIDADO_TOTAL RECAUDO'!H131</f>
        <v>211255909.17000002</v>
      </c>
      <c r="I12" s="352">
        <f>'CONSOLIDADO_TOTAL RECAUDO'!I131</f>
        <v>0</v>
      </c>
      <c r="J12" s="352">
        <f>'CONSOLIDADO_TOTAL RECAUDO'!J131</f>
        <v>-49736253.329999998</v>
      </c>
      <c r="K12" s="352">
        <f>'CONSOLIDADO_TOTAL RECAUDO'!K131</f>
        <v>11165808</v>
      </c>
      <c r="L12" s="352">
        <f>'CONSOLIDADO_TOTAL RECAUDO'!L131</f>
        <v>1580091.67</v>
      </c>
      <c r="M12" s="353"/>
      <c r="N12" s="353"/>
      <c r="O12" s="354"/>
      <c r="P12" s="331"/>
      <c r="Q12" s="308"/>
    </row>
    <row r="13" spans="1:33" s="1" customFormat="1" ht="11.5" x14ac:dyDescent="0.25">
      <c r="B13" s="2"/>
      <c r="C13" s="2"/>
      <c r="D13" s="450"/>
      <c r="Q13" s="4"/>
    </row>
    <row r="14" spans="1:33" s="1" customFormat="1" ht="11.5" x14ac:dyDescent="0.25">
      <c r="B14" s="2"/>
      <c r="C14" s="2"/>
      <c r="D14" s="450"/>
      <c r="Q14" s="4"/>
    </row>
    <row r="15" spans="1:33" s="1" customFormat="1" ht="11.5" x14ac:dyDescent="0.25">
      <c r="A15" s="52"/>
      <c r="B15" s="53"/>
      <c r="C15" s="53"/>
      <c r="D15" s="456"/>
      <c r="E15" s="456"/>
      <c r="F15" s="456"/>
      <c r="G15" s="456"/>
      <c r="H15" s="456"/>
      <c r="I15" s="456"/>
      <c r="J15" s="52"/>
      <c r="K15" s="456"/>
      <c r="L15" s="456"/>
      <c r="M15" s="456"/>
      <c r="N15" s="456"/>
      <c r="O15" s="456"/>
      <c r="P15" s="52"/>
      <c r="Q15" s="4"/>
    </row>
    <row r="16" spans="1:33" ht="13" thickBot="1" x14ac:dyDescent="0.3"/>
    <row r="17" spans="1:17" s="1" customFormat="1" ht="11.5" x14ac:dyDescent="0.25">
      <c r="B17" s="5"/>
      <c r="C17" s="3" t="s">
        <v>1</v>
      </c>
      <c r="D17" s="6" t="s">
        <v>1</v>
      </c>
      <c r="E17" s="3"/>
      <c r="F17" s="3"/>
      <c r="G17" s="3"/>
      <c r="H17" s="3" t="s">
        <v>1</v>
      </c>
      <c r="I17" s="3"/>
      <c r="J17" s="3"/>
      <c r="K17" s="3"/>
      <c r="L17" s="3"/>
      <c r="M17" s="3"/>
      <c r="N17" s="3"/>
      <c r="O17" s="7"/>
      <c r="P17" s="2"/>
      <c r="Q17" s="476"/>
    </row>
    <row r="18" spans="1:17" s="1" customFormat="1" ht="15.5" x14ac:dyDescent="0.35">
      <c r="B18" s="8"/>
      <c r="F18" s="477" t="s">
        <v>191</v>
      </c>
      <c r="G18" s="477"/>
      <c r="H18" s="34"/>
      <c r="I18" s="4"/>
      <c r="J18" s="34"/>
      <c r="K18" s="4"/>
      <c r="O18" s="10"/>
      <c r="P18" s="2"/>
      <c r="Q18" s="4"/>
    </row>
    <row r="19" spans="1:17" s="1" customFormat="1" ht="12" thickBot="1" x14ac:dyDescent="0.3">
      <c r="B19" s="8"/>
      <c r="C19" s="2" t="s">
        <v>1</v>
      </c>
      <c r="D19" s="2" t="s">
        <v>1</v>
      </c>
      <c r="J19" s="1" t="s">
        <v>1</v>
      </c>
      <c r="O19" s="44"/>
      <c r="P19" s="2"/>
      <c r="Q19" s="4"/>
    </row>
    <row r="20" spans="1:17" s="1" customFormat="1" ht="60.75" customHeight="1" thickBot="1" x14ac:dyDescent="0.3">
      <c r="B20" s="11" t="s">
        <v>3</v>
      </c>
      <c r="C20" s="12" t="s">
        <v>9</v>
      </c>
      <c r="D20" s="12" t="s">
        <v>38</v>
      </c>
      <c r="E20" s="73" t="s">
        <v>48</v>
      </c>
      <c r="G20" s="104" t="s">
        <v>47</v>
      </c>
      <c r="H20" s="73" t="s">
        <v>56</v>
      </c>
      <c r="I20" s="73" t="s">
        <v>130</v>
      </c>
      <c r="J20" s="73" t="s">
        <v>171</v>
      </c>
      <c r="K20" s="73" t="s">
        <v>143</v>
      </c>
      <c r="L20" s="73" t="s">
        <v>144</v>
      </c>
      <c r="O20" s="44"/>
      <c r="P20" s="13"/>
      <c r="Q20" s="4"/>
    </row>
    <row r="21" spans="1:17" s="307" customFormat="1" ht="11.5" x14ac:dyDescent="0.25">
      <c r="B21" s="336">
        <v>1</v>
      </c>
      <c r="C21" s="337" t="s">
        <v>10</v>
      </c>
      <c r="D21" s="310">
        <f>'REMUNERACION Reciprocidad EAAB'!D125</f>
        <v>0</v>
      </c>
      <c r="E21" s="311">
        <f>'REMUNERACION Reciprocidad EAAB'!E125</f>
        <v>0</v>
      </c>
      <c r="G21" s="338">
        <f>'REMUNERACION Reciprocidad EAAB'!G125</f>
        <v>0</v>
      </c>
      <c r="H21" s="312">
        <f>'REMUNERACION Reciprocidad EAAB'!H125</f>
        <v>0</v>
      </c>
      <c r="I21" s="311">
        <f>'REMUNERACION Reciprocidad EAAB'!I125</f>
        <v>0</v>
      </c>
      <c r="J21" s="311">
        <f>'REMUNERACION Reciprocidad EAAB'!J125</f>
        <v>0</v>
      </c>
      <c r="K21" s="311">
        <f>'REMUNERACION Reciprocidad EAAB'!K125</f>
        <v>0</v>
      </c>
      <c r="L21" s="311">
        <f>'REMUNERACION Reciprocidad EAAB'!L125</f>
        <v>0</v>
      </c>
      <c r="O21" s="339"/>
      <c r="Q21" s="308"/>
    </row>
    <row r="22" spans="1:17" s="307" customFormat="1" ht="11.5" x14ac:dyDescent="0.25">
      <c r="B22" s="316">
        <v>2</v>
      </c>
      <c r="C22" s="340" t="s">
        <v>11</v>
      </c>
      <c r="D22" s="294">
        <f>'REMUNERACION Reciprocidad EAAB'!D126</f>
        <v>8181830</v>
      </c>
      <c r="E22" s="290">
        <f>'REMUNERACION Reciprocidad EAAB'!E126</f>
        <v>0</v>
      </c>
      <c r="G22" s="341">
        <f>'REMUNERACION Reciprocidad EAAB'!G126</f>
        <v>0</v>
      </c>
      <c r="H22" s="342">
        <f>'REMUNERACION Reciprocidad EAAB'!H126</f>
        <v>16022820.030000001</v>
      </c>
      <c r="I22" s="290">
        <f>'REMUNERACION Reciprocidad EAAB'!I126</f>
        <v>0</v>
      </c>
      <c r="J22" s="290">
        <f>'REMUNERACION Reciprocidad EAAB'!J126</f>
        <v>0</v>
      </c>
      <c r="K22" s="290">
        <f>'REMUNERACION Reciprocidad EAAB'!K126</f>
        <v>0</v>
      </c>
      <c r="L22" s="290">
        <f>'REMUNERACION Reciprocidad EAAB'!L126</f>
        <v>0</v>
      </c>
      <c r="O22" s="339"/>
      <c r="Q22" s="308"/>
    </row>
    <row r="23" spans="1:17" s="307" customFormat="1" ht="11.5" x14ac:dyDescent="0.25">
      <c r="B23" s="316">
        <v>3</v>
      </c>
      <c r="C23" s="340" t="s">
        <v>12</v>
      </c>
      <c r="D23" s="294">
        <f>'REMUNERACION Reciprocidad EAAB'!D127</f>
        <v>0</v>
      </c>
      <c r="E23" s="290">
        <f>'REMUNERACION Reciprocidad EAAB'!E127</f>
        <v>0</v>
      </c>
      <c r="G23" s="341">
        <f>'REMUNERACION Reciprocidad EAAB'!G127</f>
        <v>0</v>
      </c>
      <c r="H23" s="342">
        <f>'REMUNERACION Reciprocidad EAAB'!H127</f>
        <v>0</v>
      </c>
      <c r="I23" s="290">
        <f>'REMUNERACION Reciprocidad EAAB'!I127</f>
        <v>0</v>
      </c>
      <c r="J23" s="290">
        <f>'REMUNERACION Reciprocidad EAAB'!J127</f>
        <v>0</v>
      </c>
      <c r="K23" s="290">
        <f>'REMUNERACION Reciprocidad EAAB'!K127</f>
        <v>0</v>
      </c>
      <c r="L23" s="290">
        <f>'REMUNERACION Reciprocidad EAAB'!L127</f>
        <v>0</v>
      </c>
      <c r="O23" s="339"/>
      <c r="Q23" s="308"/>
    </row>
    <row r="24" spans="1:17" s="307" customFormat="1" ht="11.5" x14ac:dyDescent="0.25">
      <c r="B24" s="316">
        <v>4</v>
      </c>
      <c r="C24" s="340" t="s">
        <v>13</v>
      </c>
      <c r="D24" s="294">
        <f>'REMUNERACION Reciprocidad EAAB'!D128</f>
        <v>5225400</v>
      </c>
      <c r="E24" s="290">
        <f>'REMUNERACION Reciprocidad EAAB'!E128</f>
        <v>0</v>
      </c>
      <c r="G24" s="341">
        <f>'REMUNERACION Reciprocidad EAAB'!G128</f>
        <v>208970</v>
      </c>
      <c r="H24" s="342">
        <f>'REMUNERACION Reciprocidad EAAB'!H128</f>
        <v>4840819.8599999994</v>
      </c>
      <c r="I24" s="290">
        <f>'REMUNERACION Reciprocidad EAAB'!I128</f>
        <v>0</v>
      </c>
      <c r="J24" s="290">
        <f>'REMUNERACION Reciprocidad EAAB'!J128</f>
        <v>-262000</v>
      </c>
      <c r="K24" s="290">
        <f>'REMUNERACION Reciprocidad EAAB'!K128</f>
        <v>53030</v>
      </c>
      <c r="L24" s="290">
        <f>'REMUNERACION Reciprocidad EAAB'!L128</f>
        <v>0</v>
      </c>
      <c r="O24" s="339"/>
      <c r="Q24" s="308"/>
    </row>
    <row r="25" spans="1:17" s="307" customFormat="1" ht="11.5" x14ac:dyDescent="0.25">
      <c r="B25" s="343">
        <v>5</v>
      </c>
      <c r="C25" s="344" t="s">
        <v>14</v>
      </c>
      <c r="D25" s="294">
        <f>'REMUNERACION Reciprocidad EAAB'!D129</f>
        <v>0</v>
      </c>
      <c r="E25" s="346">
        <f>'REMUNERACION Reciprocidad EAAB'!E129</f>
        <v>0</v>
      </c>
      <c r="G25" s="341">
        <f>'REMUNERACION Reciprocidad EAAB'!G129</f>
        <v>0</v>
      </c>
      <c r="H25" s="342">
        <f>'REMUNERACION Reciprocidad EAAB'!H129</f>
        <v>0</v>
      </c>
      <c r="I25" s="290">
        <f>'REMUNERACION Reciprocidad EAAB'!I129</f>
        <v>0</v>
      </c>
      <c r="J25" s="290">
        <f>'REMUNERACION Reciprocidad EAAB'!J129</f>
        <v>0</v>
      </c>
      <c r="K25" s="290">
        <f>'REMUNERACION Reciprocidad EAAB'!K129</f>
        <v>0</v>
      </c>
      <c r="L25" s="290">
        <f>'REMUNERACION Reciprocidad EAAB'!L129</f>
        <v>0</v>
      </c>
      <c r="O25" s="339"/>
      <c r="Q25" s="308"/>
    </row>
    <row r="26" spans="1:17" s="307" customFormat="1" ht="12" thickBot="1" x14ac:dyDescent="0.3">
      <c r="B26" s="326" t="s">
        <v>89</v>
      </c>
      <c r="C26" s="347" t="s">
        <v>113</v>
      </c>
      <c r="D26" s="299">
        <f>'REMUNERACION Reciprocidad EAAB'!D130</f>
        <v>0</v>
      </c>
      <c r="E26" s="291">
        <f>'REMUNERACION Reciprocidad EAAB'!E130</f>
        <v>0</v>
      </c>
      <c r="G26" s="348">
        <f>'REMUNERACION Reciprocidad EAAB'!G130</f>
        <v>0</v>
      </c>
      <c r="H26" s="349">
        <f>'REMUNERACION Reciprocidad EAAB'!H130</f>
        <v>0</v>
      </c>
      <c r="I26" s="291">
        <f>'REMUNERACION Reciprocidad EAAB'!I130</f>
        <v>0</v>
      </c>
      <c r="J26" s="291">
        <f>'REMUNERACION Reciprocidad EAAB'!J130</f>
        <v>0</v>
      </c>
      <c r="K26" s="291">
        <f>'REMUNERACION Reciprocidad EAAB'!K130</f>
        <v>0</v>
      </c>
      <c r="L26" s="291">
        <f>'REMUNERACION Reciprocidad EAAB'!L130</f>
        <v>0</v>
      </c>
      <c r="O26" s="339"/>
      <c r="Q26" s="308"/>
    </row>
    <row r="27" spans="1:17" s="307" customFormat="1" ht="12" thickBot="1" x14ac:dyDescent="0.3">
      <c r="B27" s="350"/>
      <c r="C27" s="351" t="s">
        <v>2</v>
      </c>
      <c r="D27" s="352">
        <f>'REMUNERACION Reciprocidad EAAB'!D131</f>
        <v>13407230</v>
      </c>
      <c r="E27" s="352">
        <f>'REMUNERACION Reciprocidad EAAB'!E131</f>
        <v>0</v>
      </c>
      <c r="F27" s="353"/>
      <c r="G27" s="352">
        <f>'REMUNERACION Reciprocidad EAAB'!G131</f>
        <v>208970</v>
      </c>
      <c r="H27" s="352">
        <f>'REMUNERACION Reciprocidad EAAB'!H131</f>
        <v>20863639.890000001</v>
      </c>
      <c r="I27" s="352">
        <f>'REMUNERACION Reciprocidad EAAB'!I131</f>
        <v>0</v>
      </c>
      <c r="J27" s="352">
        <f>'REMUNERACION Reciprocidad EAAB'!J131</f>
        <v>-262000</v>
      </c>
      <c r="K27" s="352">
        <f>'REMUNERACION Reciprocidad EAAB'!K131</f>
        <v>53030</v>
      </c>
      <c r="L27" s="352">
        <f>'REMUNERACION Reciprocidad EAAB'!L131</f>
        <v>0</v>
      </c>
      <c r="M27" s="353"/>
      <c r="N27" s="353"/>
      <c r="O27" s="354"/>
      <c r="P27" s="331"/>
      <c r="Q27" s="308"/>
    </row>
    <row r="28" spans="1:17" s="1" customFormat="1" ht="11.5" x14ac:dyDescent="0.25">
      <c r="B28" s="2"/>
      <c r="C28" s="2"/>
      <c r="D28" s="450"/>
      <c r="Q28" s="4"/>
    </row>
    <row r="29" spans="1:17" s="1" customFormat="1" ht="11.5" x14ac:dyDescent="0.25">
      <c r="B29" s="2"/>
      <c r="C29" s="2"/>
      <c r="D29" s="450"/>
      <c r="Q29" s="4"/>
    </row>
    <row r="30" spans="1:17" s="1" customFormat="1" ht="11.5" x14ac:dyDescent="0.25">
      <c r="A30" s="52"/>
      <c r="B30" s="53"/>
      <c r="C30" s="53"/>
      <c r="D30" s="456"/>
      <c r="E30" s="456"/>
      <c r="F30" s="456"/>
      <c r="G30" s="456"/>
      <c r="H30" s="456"/>
      <c r="I30" s="456"/>
      <c r="J30" s="52"/>
      <c r="K30" s="456"/>
      <c r="L30" s="456"/>
      <c r="M30" s="456"/>
      <c r="N30" s="456"/>
      <c r="O30" s="456"/>
      <c r="P30" s="52"/>
      <c r="Q30" s="4"/>
    </row>
    <row r="32" spans="1:17" s="1" customFormat="1" ht="15.5" x14ac:dyDescent="0.35">
      <c r="B32" s="8"/>
      <c r="F32" s="493" t="s">
        <v>192</v>
      </c>
      <c r="G32" s="493"/>
      <c r="H32" s="494"/>
      <c r="I32" s="495"/>
      <c r="J32" s="494"/>
      <c r="K32" s="495"/>
      <c r="O32" s="10"/>
      <c r="P32" s="2"/>
      <c r="Q32" s="4"/>
    </row>
    <row r="33" spans="1:17" s="1" customFormat="1" ht="12" thickBot="1" x14ac:dyDescent="0.3">
      <c r="B33" s="8"/>
      <c r="C33" s="2" t="s">
        <v>1</v>
      </c>
      <c r="D33" s="2" t="s">
        <v>1</v>
      </c>
      <c r="O33" s="44"/>
      <c r="P33" s="2"/>
      <c r="Q33" s="4"/>
    </row>
    <row r="34" spans="1:17" s="1" customFormat="1" ht="57.75" customHeight="1" thickBot="1" x14ac:dyDescent="0.3">
      <c r="B34" s="11" t="s">
        <v>3</v>
      </c>
      <c r="C34" s="12" t="s">
        <v>9</v>
      </c>
      <c r="D34" s="12" t="s">
        <v>38</v>
      </c>
      <c r="E34" s="73" t="s">
        <v>48</v>
      </c>
      <c r="G34" s="104" t="s">
        <v>47</v>
      </c>
      <c r="H34" s="73" t="s">
        <v>56</v>
      </c>
      <c r="I34" s="73" t="s">
        <v>130</v>
      </c>
      <c r="J34" s="73" t="s">
        <v>171</v>
      </c>
      <c r="K34" s="73" t="s">
        <v>143</v>
      </c>
      <c r="L34" s="73" t="s">
        <v>144</v>
      </c>
      <c r="O34" s="44"/>
      <c r="P34" s="13"/>
      <c r="Q34" s="4"/>
    </row>
    <row r="35" spans="1:17" s="307" customFormat="1" ht="11.5" x14ac:dyDescent="0.25">
      <c r="B35" s="336">
        <v>1</v>
      </c>
      <c r="C35" s="337" t="s">
        <v>10</v>
      </c>
      <c r="D35" s="310">
        <f>REMUNERACION_ENEL!D125</f>
        <v>25429155</v>
      </c>
      <c r="E35" s="311">
        <f>REMUNERACION_ENEL!E125</f>
        <v>0</v>
      </c>
      <c r="G35" s="338">
        <f>REMUNERACION_ENEL!G125</f>
        <v>0</v>
      </c>
      <c r="H35" s="312">
        <f>REMUNERACION_ENEL!H125</f>
        <v>30254522.43</v>
      </c>
      <c r="I35" s="311">
        <f>REMUNERACION_ENEL!I125</f>
        <v>0</v>
      </c>
      <c r="J35" s="311">
        <f>REMUNERACION_ENEL!J125</f>
        <v>-3461197.29</v>
      </c>
      <c r="K35" s="311">
        <f>REMUNERACION_ENEL!K125</f>
        <v>0</v>
      </c>
      <c r="L35" s="311">
        <f>REMUNERACION_ENEL!L125</f>
        <v>1752.71</v>
      </c>
      <c r="O35" s="339"/>
      <c r="Q35" s="308"/>
    </row>
    <row r="36" spans="1:17" s="307" customFormat="1" ht="11.5" x14ac:dyDescent="0.25">
      <c r="B36" s="316">
        <v>2</v>
      </c>
      <c r="C36" s="340" t="s">
        <v>11</v>
      </c>
      <c r="D36" s="294">
        <f>REMUNERACION_ENEL!D126</f>
        <v>27050219</v>
      </c>
      <c r="E36" s="290">
        <f>REMUNERACION_ENEL!E126</f>
        <v>0</v>
      </c>
      <c r="G36" s="341">
        <f>REMUNERACION_ENEL!G126</f>
        <v>0</v>
      </c>
      <c r="H36" s="342">
        <f>REMUNERACION_ENEL!H126</f>
        <v>56441179.739999995</v>
      </c>
      <c r="I36" s="290">
        <f>REMUNERACION_ENEL!I126</f>
        <v>0</v>
      </c>
      <c r="J36" s="290">
        <f>REMUNERACION_ENEL!J126</f>
        <v>-8739602.3699999992</v>
      </c>
      <c r="K36" s="290">
        <f>REMUNERACION_ENEL!K126</f>
        <v>0</v>
      </c>
      <c r="L36" s="290">
        <f>REMUNERACION_ENEL!L126</f>
        <v>310.63</v>
      </c>
      <c r="O36" s="339"/>
      <c r="Q36" s="308"/>
    </row>
    <row r="37" spans="1:17" s="307" customFormat="1" ht="11.5" x14ac:dyDescent="0.25">
      <c r="B37" s="316">
        <v>3</v>
      </c>
      <c r="C37" s="340" t="s">
        <v>12</v>
      </c>
      <c r="D37" s="294">
        <f>REMUNERACION_ENEL!D127</f>
        <v>6025131</v>
      </c>
      <c r="E37" s="290">
        <f>REMUNERACION_ENEL!E127</f>
        <v>0</v>
      </c>
      <c r="G37" s="341">
        <f>REMUNERACION_ENEL!G127</f>
        <v>135940</v>
      </c>
      <c r="H37" s="342">
        <f>REMUNERACION_ENEL!H127</f>
        <v>21873459.120000001</v>
      </c>
      <c r="I37" s="290">
        <f>REMUNERACION_ENEL!I127</f>
        <v>0</v>
      </c>
      <c r="J37" s="290">
        <f>REMUNERACION_ENEL!J127</f>
        <v>-6091573.8899999997</v>
      </c>
      <c r="K37" s="290">
        <f>REMUNERACION_ENEL!K127</f>
        <v>1090</v>
      </c>
      <c r="L37" s="290">
        <f>REMUNERACION_ENEL!L127</f>
        <v>984746.11</v>
      </c>
      <c r="O37" s="339"/>
      <c r="Q37" s="308"/>
    </row>
    <row r="38" spans="1:17" s="307" customFormat="1" ht="11.5" x14ac:dyDescent="0.25">
      <c r="B38" s="316">
        <v>4</v>
      </c>
      <c r="C38" s="340" t="s">
        <v>13</v>
      </c>
      <c r="D38" s="294">
        <f>REMUNERACION_ENEL!D128</f>
        <v>27660196</v>
      </c>
      <c r="E38" s="290">
        <f>REMUNERACION_ENEL!E128</f>
        <v>0</v>
      </c>
      <c r="G38" s="341">
        <f>REMUNERACION_ENEL!G128</f>
        <v>8186910</v>
      </c>
      <c r="H38" s="342">
        <f>REMUNERACION_ENEL!H128</f>
        <v>15536711.57</v>
      </c>
      <c r="I38" s="290">
        <f>REMUNERACION_ENEL!I128</f>
        <v>0</v>
      </c>
      <c r="J38" s="290">
        <f>REMUNERACION_ENEL!J128</f>
        <v>-20245524.780000001</v>
      </c>
      <c r="K38" s="290">
        <f>REMUNERACION_ENEL!K128</f>
        <v>9321147</v>
      </c>
      <c r="L38" s="290">
        <f>REMUNERACION_ENEL!L128</f>
        <v>459462.22</v>
      </c>
      <c r="O38" s="339"/>
      <c r="Q38" s="308"/>
    </row>
    <row r="39" spans="1:17" s="307" customFormat="1" ht="11.5" x14ac:dyDescent="0.25">
      <c r="B39" s="343">
        <v>5</v>
      </c>
      <c r="C39" s="344" t="s">
        <v>14</v>
      </c>
      <c r="D39" s="294">
        <f>REMUNERACION_ENEL!D129</f>
        <v>9759043</v>
      </c>
      <c r="E39" s="346">
        <f>REMUNERACION_ENEL!E129</f>
        <v>0</v>
      </c>
      <c r="G39" s="341">
        <f>REMUNERACION_ENEL!G129</f>
        <v>0</v>
      </c>
      <c r="H39" s="342">
        <f>REMUNERACION_ENEL!H129</f>
        <v>26488801.359999999</v>
      </c>
      <c r="I39" s="290">
        <f>REMUNERACION_ENEL!I129</f>
        <v>0</v>
      </c>
      <c r="J39" s="290">
        <f>REMUNERACION_ENEL!J129</f>
        <v>-8771320</v>
      </c>
      <c r="K39" s="290">
        <f>REMUNERACION_ENEL!K129</f>
        <v>0</v>
      </c>
      <c r="L39" s="290">
        <f>REMUNERACION_ENEL!L129</f>
        <v>67480</v>
      </c>
      <c r="O39" s="339"/>
      <c r="Q39" s="308"/>
    </row>
    <row r="40" spans="1:17" s="307" customFormat="1" ht="12" thickBot="1" x14ac:dyDescent="0.3">
      <c r="B40" s="326" t="s">
        <v>89</v>
      </c>
      <c r="C40" s="347" t="s">
        <v>113</v>
      </c>
      <c r="D40" s="299">
        <f>REMUNERACION_ENEL!D130</f>
        <v>0</v>
      </c>
      <c r="E40" s="291">
        <f>REMUNERACION_ENEL!E130</f>
        <v>0</v>
      </c>
      <c r="G40" s="348">
        <f>REMUNERACION_ENEL!G130</f>
        <v>0</v>
      </c>
      <c r="H40" s="349">
        <f>REMUNERACION_ENEL!H130</f>
        <v>0</v>
      </c>
      <c r="I40" s="291">
        <f>REMUNERACION_ENEL!I130</f>
        <v>0</v>
      </c>
      <c r="J40" s="291">
        <f>REMUNERACION_ENEL!J130</f>
        <v>0</v>
      </c>
      <c r="K40" s="291">
        <f>REMUNERACION_ENEL!K130</f>
        <v>0</v>
      </c>
      <c r="L40" s="291">
        <f>REMUNERACION_ENEL!L130</f>
        <v>0</v>
      </c>
      <c r="O40" s="339"/>
      <c r="Q40" s="308"/>
    </row>
    <row r="41" spans="1:17" s="307" customFormat="1" ht="12" thickBot="1" x14ac:dyDescent="0.3">
      <c r="B41" s="350"/>
      <c r="C41" s="351" t="s">
        <v>2</v>
      </c>
      <c r="D41" s="352">
        <f>REMUNERACION_ENEL!D131</f>
        <v>95923744</v>
      </c>
      <c r="E41" s="352">
        <f>REMUNERACION_ENEL!E131</f>
        <v>0</v>
      </c>
      <c r="F41" s="353"/>
      <c r="G41" s="352">
        <f>REMUNERACION_ENEL!G131</f>
        <v>8322850</v>
      </c>
      <c r="H41" s="352">
        <f>REMUNERACION_ENEL!H131</f>
        <v>150594674.21999997</v>
      </c>
      <c r="I41" s="352">
        <f>REMUNERACION_ENEL!I131</f>
        <v>0</v>
      </c>
      <c r="J41" s="352">
        <f>REMUNERACION_ENEL!J131</f>
        <v>-47309218.329999998</v>
      </c>
      <c r="K41" s="352">
        <f>REMUNERACION_ENEL!K131</f>
        <v>9322237</v>
      </c>
      <c r="L41" s="352">
        <f>REMUNERACION_ENEL!L131</f>
        <v>1513751.67</v>
      </c>
      <c r="M41" s="353"/>
      <c r="N41" s="353"/>
      <c r="O41" s="354"/>
      <c r="P41" s="331"/>
      <c r="Q41" s="308"/>
    </row>
    <row r="42" spans="1:17" s="1" customFormat="1" ht="11.5" x14ac:dyDescent="0.25">
      <c r="B42" s="2"/>
      <c r="C42" s="2"/>
      <c r="D42" s="450"/>
      <c r="Q42" s="4"/>
    </row>
    <row r="43" spans="1:17" s="1" customFormat="1" ht="11.5" x14ac:dyDescent="0.25">
      <c r="B43" s="2"/>
      <c r="C43" s="2"/>
      <c r="D43" s="450"/>
      <c r="Q43" s="4"/>
    </row>
    <row r="44" spans="1:17" s="1" customFormat="1" ht="11.5" x14ac:dyDescent="0.25">
      <c r="A44" s="52"/>
      <c r="B44" s="53"/>
      <c r="C44" s="53"/>
      <c r="D44" s="456"/>
      <c r="E44" s="456"/>
      <c r="F44" s="456"/>
      <c r="G44" s="456"/>
      <c r="H44" s="456"/>
      <c r="I44" s="456"/>
      <c r="J44" s="52"/>
      <c r="K44" s="456"/>
      <c r="L44" s="456"/>
      <c r="M44" s="456"/>
      <c r="N44" s="456"/>
      <c r="O44" s="456"/>
      <c r="P44" s="52"/>
      <c r="Q44" s="4"/>
    </row>
    <row r="45" spans="1:17" s="1" customFormat="1" ht="11.5" x14ac:dyDescent="0.25">
      <c r="B45" s="2"/>
      <c r="C45" s="2"/>
      <c r="D45" s="450"/>
      <c r="Q45" s="4"/>
    </row>
    <row r="46" spans="1:17" s="1" customFormat="1" ht="15.5" x14ac:dyDescent="0.35">
      <c r="B46" s="8"/>
      <c r="F46" s="493" t="s">
        <v>328</v>
      </c>
      <c r="G46" s="493"/>
      <c r="H46" s="494"/>
      <c r="I46" s="495"/>
      <c r="J46" s="494"/>
      <c r="K46" s="495"/>
      <c r="O46" s="10"/>
      <c r="P46" s="2"/>
      <c r="Q46" s="4"/>
    </row>
    <row r="47" spans="1:17" s="1" customFormat="1" ht="12" thickBot="1" x14ac:dyDescent="0.3">
      <c r="B47" s="8"/>
      <c r="C47" s="2" t="s">
        <v>1</v>
      </c>
      <c r="D47" s="2" t="s">
        <v>1</v>
      </c>
      <c r="O47" s="44"/>
      <c r="P47" s="2"/>
      <c r="Q47" s="4"/>
    </row>
    <row r="48" spans="1:17" s="1" customFormat="1" ht="57.75" customHeight="1" thickBot="1" x14ac:dyDescent="0.3">
      <c r="B48" s="11" t="s">
        <v>3</v>
      </c>
      <c r="C48" s="12" t="s">
        <v>9</v>
      </c>
      <c r="D48" s="12" t="s">
        <v>38</v>
      </c>
      <c r="E48" s="73" t="s">
        <v>48</v>
      </c>
      <c r="G48" s="104" t="s">
        <v>47</v>
      </c>
      <c r="H48" s="73" t="s">
        <v>56</v>
      </c>
      <c r="I48" s="73" t="s">
        <v>130</v>
      </c>
      <c r="J48" s="73" t="s">
        <v>171</v>
      </c>
      <c r="K48" s="73" t="s">
        <v>143</v>
      </c>
      <c r="L48" s="73" t="s">
        <v>144</v>
      </c>
      <c r="O48" s="44"/>
      <c r="P48" s="13"/>
      <c r="Q48" s="4"/>
    </row>
    <row r="49" spans="1:17" s="307" customFormat="1" ht="11.5" x14ac:dyDescent="0.25">
      <c r="B49" s="336">
        <v>1</v>
      </c>
      <c r="C49" s="337" t="s">
        <v>10</v>
      </c>
      <c r="D49" s="310">
        <f>REMUNERACION_ENERBIT!D125</f>
        <v>0</v>
      </c>
      <c r="E49" s="310">
        <f>REMUNERACION_ENERBIT!E125</f>
        <v>0</v>
      </c>
      <c r="G49" s="338">
        <f>REMUNERACION_ENERBIT!G125</f>
        <v>0</v>
      </c>
      <c r="H49" s="338">
        <f>REMUNERACION_ENERBIT!H125</f>
        <v>0</v>
      </c>
      <c r="I49" s="338">
        <f>REMUNERACION_ENERBIT!I125</f>
        <v>0</v>
      </c>
      <c r="J49" s="338">
        <f>REMUNERACION_ENERBIT!J125</f>
        <v>0</v>
      </c>
      <c r="K49" s="338">
        <f>REMUNERACION_ENERBIT!K125</f>
        <v>0</v>
      </c>
      <c r="L49" s="338">
        <f>REMUNERACION_ENERBIT!L125</f>
        <v>0</v>
      </c>
      <c r="O49" s="339"/>
      <c r="Q49" s="308"/>
    </row>
    <row r="50" spans="1:17" s="307" customFormat="1" ht="11.5" x14ac:dyDescent="0.25">
      <c r="B50" s="316">
        <v>2</v>
      </c>
      <c r="C50" s="340" t="s">
        <v>11</v>
      </c>
      <c r="D50" s="294">
        <f>REMUNERACION_ENERBIT!D126</f>
        <v>0</v>
      </c>
      <c r="E50" s="294">
        <f>REMUNERACION_ENERBIT!E126</f>
        <v>0</v>
      </c>
      <c r="G50" s="341">
        <f>REMUNERACION_ENERBIT!G126</f>
        <v>0</v>
      </c>
      <c r="H50" s="341">
        <f>REMUNERACION_ENERBIT!H126</f>
        <v>0</v>
      </c>
      <c r="I50" s="341">
        <f>REMUNERACION_ENERBIT!I126</f>
        <v>0</v>
      </c>
      <c r="J50" s="341">
        <f>REMUNERACION_ENERBIT!J126</f>
        <v>0</v>
      </c>
      <c r="K50" s="341">
        <f>REMUNERACION_ENERBIT!K126</f>
        <v>0</v>
      </c>
      <c r="L50" s="341">
        <f>REMUNERACION_ENERBIT!L126</f>
        <v>0</v>
      </c>
      <c r="O50" s="339"/>
      <c r="Q50" s="308"/>
    </row>
    <row r="51" spans="1:17" s="307" customFormat="1" ht="11.5" x14ac:dyDescent="0.25">
      <c r="B51" s="316">
        <v>3</v>
      </c>
      <c r="C51" s="340" t="s">
        <v>12</v>
      </c>
      <c r="D51" s="294">
        <f>REMUNERACION_ENERBIT!D127</f>
        <v>0</v>
      </c>
      <c r="E51" s="294">
        <f>REMUNERACION_ENERBIT!E127</f>
        <v>0</v>
      </c>
      <c r="G51" s="341">
        <f>REMUNERACION_ENERBIT!G127</f>
        <v>0</v>
      </c>
      <c r="H51" s="341">
        <f>REMUNERACION_ENERBIT!H127</f>
        <v>0</v>
      </c>
      <c r="I51" s="341">
        <f>REMUNERACION_ENERBIT!I127</f>
        <v>0</v>
      </c>
      <c r="J51" s="341">
        <f>REMUNERACION_ENERBIT!J127</f>
        <v>0</v>
      </c>
      <c r="K51" s="341">
        <f>REMUNERACION_ENERBIT!K127</f>
        <v>0</v>
      </c>
      <c r="L51" s="341">
        <f>REMUNERACION_ENERBIT!L127</f>
        <v>0</v>
      </c>
      <c r="O51" s="339"/>
      <c r="Q51" s="308"/>
    </row>
    <row r="52" spans="1:17" s="307" customFormat="1" ht="11.5" x14ac:dyDescent="0.25">
      <c r="B52" s="316">
        <v>4</v>
      </c>
      <c r="C52" s="340" t="s">
        <v>13</v>
      </c>
      <c r="D52" s="294">
        <f>REMUNERACION_ENERBIT!D128</f>
        <v>0</v>
      </c>
      <c r="E52" s="294">
        <f>REMUNERACION_ENERBIT!E128</f>
        <v>0</v>
      </c>
      <c r="G52" s="341">
        <f>REMUNERACION_ENERBIT!G128</f>
        <v>0</v>
      </c>
      <c r="H52" s="341">
        <f>REMUNERACION_ENERBIT!H128</f>
        <v>0</v>
      </c>
      <c r="I52" s="341">
        <f>REMUNERACION_ENERBIT!I128</f>
        <v>0</v>
      </c>
      <c r="J52" s="341">
        <f>REMUNERACION_ENERBIT!J128</f>
        <v>0</v>
      </c>
      <c r="K52" s="341">
        <f>REMUNERACION_ENERBIT!K128</f>
        <v>0</v>
      </c>
      <c r="L52" s="341">
        <f>REMUNERACION_ENERBIT!L128</f>
        <v>0</v>
      </c>
      <c r="O52" s="339"/>
      <c r="Q52" s="308"/>
    </row>
    <row r="53" spans="1:17" s="307" customFormat="1" ht="11.5" x14ac:dyDescent="0.25">
      <c r="B53" s="343">
        <v>5</v>
      </c>
      <c r="C53" s="344" t="s">
        <v>14</v>
      </c>
      <c r="D53" s="294">
        <f>REMUNERACION_ENERBIT!D129</f>
        <v>1379910</v>
      </c>
      <c r="E53" s="294">
        <f>REMUNERACION_ENERBIT!E129</f>
        <v>0</v>
      </c>
      <c r="G53" s="341">
        <f>REMUNERACION_ENERBIT!G129</f>
        <v>0</v>
      </c>
      <c r="H53" s="341">
        <f>REMUNERACION_ENERBIT!H129</f>
        <v>0</v>
      </c>
      <c r="I53" s="341">
        <f>REMUNERACION_ENERBIT!I129</f>
        <v>0</v>
      </c>
      <c r="J53" s="341">
        <f>REMUNERACION_ENERBIT!J129</f>
        <v>0</v>
      </c>
      <c r="K53" s="341">
        <f>REMUNERACION_ENERBIT!K129</f>
        <v>0</v>
      </c>
      <c r="L53" s="341">
        <f>REMUNERACION_ENERBIT!L129</f>
        <v>0</v>
      </c>
      <c r="O53" s="339"/>
      <c r="Q53" s="308"/>
    </row>
    <row r="54" spans="1:17" s="307" customFormat="1" ht="12" thickBot="1" x14ac:dyDescent="0.3">
      <c r="B54" s="326" t="s">
        <v>89</v>
      </c>
      <c r="C54" s="347" t="s">
        <v>113</v>
      </c>
      <c r="D54" s="299">
        <f>REMUNERACION_ENERBIT!D130</f>
        <v>0</v>
      </c>
      <c r="E54" s="299">
        <f>REMUNERACION_ENERBIT!E130</f>
        <v>0</v>
      </c>
      <c r="G54" s="348">
        <f>REMUNERACION_ENERBIT!G130</f>
        <v>0</v>
      </c>
      <c r="H54" s="348">
        <f>REMUNERACION_ENERBIT!H130</f>
        <v>0</v>
      </c>
      <c r="I54" s="348">
        <f>REMUNERACION_ENERBIT!I130</f>
        <v>0</v>
      </c>
      <c r="J54" s="348">
        <f>REMUNERACION_ENERBIT!J130</f>
        <v>0</v>
      </c>
      <c r="K54" s="348">
        <f>REMUNERACION_ENERBIT!K130</f>
        <v>0</v>
      </c>
      <c r="L54" s="348">
        <f>REMUNERACION_ENERBIT!L130</f>
        <v>0</v>
      </c>
      <c r="O54" s="339"/>
      <c r="Q54" s="308"/>
    </row>
    <row r="55" spans="1:17" s="307" customFormat="1" ht="12" thickBot="1" x14ac:dyDescent="0.3">
      <c r="B55" s="350"/>
      <c r="C55" s="351" t="s">
        <v>2</v>
      </c>
      <c r="D55" s="352">
        <f>REMUNERACION_ENERBIT!D131</f>
        <v>1379910</v>
      </c>
      <c r="E55" s="352">
        <f>REMUNERACION_ENERBIT!E131</f>
        <v>0</v>
      </c>
      <c r="F55" s="353"/>
      <c r="G55" s="352">
        <f>REMUNERACION_ENERBIT!G131</f>
        <v>0</v>
      </c>
      <c r="H55" s="352">
        <f>REMUNERACION_ENERBIT!H131</f>
        <v>0</v>
      </c>
      <c r="I55" s="352">
        <f>REMUNERACION_ENERBIT!I131</f>
        <v>0</v>
      </c>
      <c r="J55" s="352">
        <f>REMUNERACION_ENERBIT!J131</f>
        <v>0</v>
      </c>
      <c r="K55" s="352">
        <f>REMUNERACION_ENERBIT!K131</f>
        <v>0</v>
      </c>
      <c r="L55" s="352">
        <f>REMUNERACION_ENERBIT!L131</f>
        <v>0</v>
      </c>
      <c r="M55" s="353"/>
      <c r="N55" s="353"/>
      <c r="O55" s="354"/>
      <c r="P55" s="331"/>
      <c r="Q55" s="308"/>
    </row>
    <row r="56" spans="1:17" s="1" customFormat="1" ht="11.5" x14ac:dyDescent="0.25">
      <c r="B56" s="2"/>
      <c r="C56" s="2"/>
      <c r="D56" s="450"/>
      <c r="Q56" s="4"/>
    </row>
    <row r="57" spans="1:17" s="1" customFormat="1" ht="11.5" x14ac:dyDescent="0.25">
      <c r="B57" s="2"/>
      <c r="C57" s="2"/>
      <c r="D57" s="450"/>
      <c r="Q57" s="4"/>
    </row>
    <row r="58" spans="1:17" s="1" customFormat="1" ht="11.5" x14ac:dyDescent="0.25">
      <c r="A58" s="52"/>
      <c r="B58" s="53"/>
      <c r="C58" s="53"/>
      <c r="D58" s="456"/>
      <c r="E58" s="456"/>
      <c r="F58" s="456"/>
      <c r="G58" s="456"/>
      <c r="H58" s="456"/>
      <c r="I58" s="456"/>
      <c r="J58" s="52"/>
      <c r="K58" s="456"/>
      <c r="L58" s="456"/>
      <c r="M58" s="456"/>
      <c r="N58" s="456"/>
      <c r="O58" s="456"/>
      <c r="P58" s="52"/>
      <c r="Q58" s="4"/>
    </row>
    <row r="60" spans="1:17" s="1" customFormat="1" ht="15.5" x14ac:dyDescent="0.35">
      <c r="B60" s="8"/>
      <c r="F60" s="478" t="s">
        <v>193</v>
      </c>
      <c r="G60" s="478"/>
      <c r="H60" s="479"/>
      <c r="I60" s="480"/>
      <c r="J60" s="479"/>
      <c r="K60" s="480"/>
      <c r="O60" s="10"/>
      <c r="P60" s="2"/>
      <c r="Q60" s="4"/>
    </row>
    <row r="61" spans="1:17" s="1" customFormat="1" ht="12" thickBot="1" x14ac:dyDescent="0.3">
      <c r="B61" s="8"/>
      <c r="C61" s="2" t="s">
        <v>1</v>
      </c>
      <c r="D61" s="2" t="s">
        <v>1</v>
      </c>
      <c r="J61" s="1" t="s">
        <v>1</v>
      </c>
      <c r="O61" s="44"/>
      <c r="P61" s="2"/>
      <c r="Q61" s="4"/>
    </row>
    <row r="62" spans="1:17" s="1" customFormat="1" ht="60.75" customHeight="1" thickBot="1" x14ac:dyDescent="0.3">
      <c r="B62" s="11" t="s">
        <v>3</v>
      </c>
      <c r="C62" s="12" t="s">
        <v>9</v>
      </c>
      <c r="D62" s="12" t="s">
        <v>38</v>
      </c>
      <c r="E62" s="73" t="s">
        <v>48</v>
      </c>
      <c r="G62" s="104" t="s">
        <v>47</v>
      </c>
      <c r="H62" s="73" t="s">
        <v>56</v>
      </c>
      <c r="I62" s="73" t="s">
        <v>130</v>
      </c>
      <c r="J62" s="73" t="s">
        <v>171</v>
      </c>
      <c r="K62" s="73" t="s">
        <v>143</v>
      </c>
      <c r="L62" s="73" t="s">
        <v>144</v>
      </c>
      <c r="O62" s="44"/>
      <c r="P62" s="13"/>
      <c r="Q62" s="4"/>
    </row>
    <row r="63" spans="1:17" s="307" customFormat="1" ht="11.5" x14ac:dyDescent="0.25">
      <c r="B63" s="336">
        <v>1</v>
      </c>
      <c r="C63" s="337" t="s">
        <v>10</v>
      </c>
      <c r="D63" s="310">
        <f>'REMUNERACION_OCCIDENTE_ Directa'!D125</f>
        <v>7990275.4900000002</v>
      </c>
      <c r="E63" s="311">
        <f>'REMUNERACION_OCCIDENTE_ Directa'!E125</f>
        <v>0</v>
      </c>
      <c r="G63" s="338">
        <f>'REMUNERACION_OCCIDENTE_ Directa'!G125</f>
        <v>42680</v>
      </c>
      <c r="H63" s="312">
        <f>'REMUNERACION_OCCIDENTE_ Directa'!H125</f>
        <v>4590431.71</v>
      </c>
      <c r="I63" s="311">
        <f>'REMUNERACION_OCCIDENTE_ Directa'!I125</f>
        <v>0</v>
      </c>
      <c r="J63" s="311">
        <f>'REMUNERACION_OCCIDENTE_ Directa'!J125</f>
        <v>-83310</v>
      </c>
      <c r="K63" s="311">
        <f>'REMUNERACION_OCCIDENTE_ Directa'!K125</f>
        <v>40630</v>
      </c>
      <c r="L63" s="311">
        <f>'REMUNERACION_OCCIDENTE_ Directa'!L125</f>
        <v>0</v>
      </c>
      <c r="O63" s="339"/>
      <c r="Q63" s="308"/>
    </row>
    <row r="64" spans="1:17" s="307" customFormat="1" ht="11.5" x14ac:dyDescent="0.25">
      <c r="B64" s="316">
        <v>2</v>
      </c>
      <c r="C64" s="340" t="s">
        <v>11</v>
      </c>
      <c r="D64" s="294">
        <f>'REMUNERACION_OCCIDENTE_ Directa'!D126</f>
        <v>52788864.75</v>
      </c>
      <c r="E64" s="290">
        <f>'REMUNERACION_OCCIDENTE_ Directa'!E126</f>
        <v>0</v>
      </c>
      <c r="G64" s="341">
        <f>'REMUNERACION_OCCIDENTE_ Directa'!G126</f>
        <v>0</v>
      </c>
      <c r="H64" s="342">
        <f>'REMUNERACION_OCCIDENTE_ Directa'!H126</f>
        <v>29249470.460000001</v>
      </c>
      <c r="I64" s="290">
        <f>'REMUNERACION_OCCIDENTE_ Directa'!I126</f>
        <v>0</v>
      </c>
      <c r="J64" s="290">
        <f>'REMUNERACION_OCCIDENTE_ Directa'!J126</f>
        <v>0</v>
      </c>
      <c r="K64" s="290">
        <f>'REMUNERACION_OCCIDENTE_ Directa'!K126</f>
        <v>0</v>
      </c>
      <c r="L64" s="290">
        <f>'REMUNERACION_OCCIDENTE_ Directa'!L126</f>
        <v>0</v>
      </c>
      <c r="O64" s="339"/>
      <c r="Q64" s="308"/>
    </row>
    <row r="65" spans="1:17" s="307" customFormat="1" ht="11.5" x14ac:dyDescent="0.25">
      <c r="B65" s="316">
        <v>3</v>
      </c>
      <c r="C65" s="340" t="s">
        <v>12</v>
      </c>
      <c r="D65" s="294">
        <f>'REMUNERACION_OCCIDENTE_ Directa'!D127</f>
        <v>2921040</v>
      </c>
      <c r="E65" s="290">
        <f>'REMUNERACION_OCCIDENTE_ Directa'!E127</f>
        <v>0</v>
      </c>
      <c r="G65" s="341">
        <f>'REMUNERACION_OCCIDENTE_ Directa'!G127</f>
        <v>33180</v>
      </c>
      <c r="H65" s="342">
        <f>'REMUNERACION_OCCIDENTE_ Directa'!H127</f>
        <v>1755754.73</v>
      </c>
      <c r="I65" s="290">
        <f>'REMUNERACION_OCCIDENTE_ Directa'!I127</f>
        <v>0</v>
      </c>
      <c r="J65" s="290">
        <f>'REMUNERACION_OCCIDENTE_ Directa'!J127</f>
        <v>-34410</v>
      </c>
      <c r="K65" s="290">
        <f>'REMUNERACION_OCCIDENTE_ Directa'!K127</f>
        <v>1230</v>
      </c>
      <c r="L65" s="290">
        <f>'REMUNERACION_OCCIDENTE_ Directa'!L127</f>
        <v>0</v>
      </c>
      <c r="O65" s="339"/>
      <c r="Q65" s="308"/>
    </row>
    <row r="66" spans="1:17" s="307" customFormat="1" ht="11.5" x14ac:dyDescent="0.25">
      <c r="B66" s="316">
        <v>4</v>
      </c>
      <c r="C66" s="340" t="s">
        <v>13</v>
      </c>
      <c r="D66" s="294">
        <f>'REMUNERACION_OCCIDENTE_ Directa'!D128</f>
        <v>8186683.7199999997</v>
      </c>
      <c r="E66" s="290">
        <f>'REMUNERACION_OCCIDENTE_ Directa'!E128</f>
        <v>0</v>
      </c>
      <c r="G66" s="341">
        <f>'REMUNERACION_OCCIDENTE_ Directa'!G128</f>
        <v>239834</v>
      </c>
      <c r="H66" s="342">
        <f>'REMUNERACION_OCCIDENTE_ Directa'!H128</f>
        <v>3170678.8099999996</v>
      </c>
      <c r="I66" s="290">
        <f>'REMUNERACION_OCCIDENTE_ Directa'!I128</f>
        <v>0</v>
      </c>
      <c r="J66" s="290">
        <f>'REMUNERACION_OCCIDENTE_ Directa'!J128</f>
        <v>-1742535</v>
      </c>
      <c r="K66" s="290">
        <f>'REMUNERACION_OCCIDENTE_ Directa'!K128</f>
        <v>1438701</v>
      </c>
      <c r="L66" s="290">
        <f>'REMUNERACION_OCCIDENTE_ Directa'!L128</f>
        <v>0</v>
      </c>
      <c r="O66" s="339"/>
      <c r="Q66" s="308"/>
    </row>
    <row r="67" spans="1:17" s="307" customFormat="1" ht="11.5" x14ac:dyDescent="0.25">
      <c r="B67" s="343">
        <v>5</v>
      </c>
      <c r="C67" s="344" t="s">
        <v>14</v>
      </c>
      <c r="D67" s="294">
        <f>'REMUNERACION_OCCIDENTE_ Directa'!D129</f>
        <v>3307034</v>
      </c>
      <c r="E67" s="346">
        <f>'REMUNERACION_OCCIDENTE_ Directa'!E129</f>
        <v>0</v>
      </c>
      <c r="G67" s="341">
        <f>'REMUNERACION_OCCIDENTE_ Directa'!G129</f>
        <v>61140</v>
      </c>
      <c r="H67" s="342">
        <f>'REMUNERACION_OCCIDENTE_ Directa'!H129</f>
        <v>1031259.35</v>
      </c>
      <c r="I67" s="290">
        <f>'REMUNERACION_OCCIDENTE_ Directa'!I129</f>
        <v>0</v>
      </c>
      <c r="J67" s="290">
        <f>'REMUNERACION_OCCIDENTE_ Directa'!J129</f>
        <v>-304780</v>
      </c>
      <c r="K67" s="290">
        <f>'REMUNERACION_OCCIDENTE_ Directa'!K129</f>
        <v>309980</v>
      </c>
      <c r="L67" s="290">
        <f>'REMUNERACION_OCCIDENTE_ Directa'!L129</f>
        <v>66340</v>
      </c>
      <c r="O67" s="339"/>
      <c r="Q67" s="308"/>
    </row>
    <row r="68" spans="1:17" s="307" customFormat="1" ht="12" thickBot="1" x14ac:dyDescent="0.3">
      <c r="B68" s="326" t="s">
        <v>89</v>
      </c>
      <c r="C68" s="347" t="s">
        <v>113</v>
      </c>
      <c r="D68" s="299">
        <f>'REMUNERACION_OCCIDENTE_ Directa'!D130</f>
        <v>0</v>
      </c>
      <c r="E68" s="291">
        <f>'REMUNERACION_OCCIDENTE_ Directa'!E130</f>
        <v>0</v>
      </c>
      <c r="G68" s="348">
        <f>'REMUNERACION_OCCIDENTE_ Directa'!G130</f>
        <v>0</v>
      </c>
      <c r="H68" s="349">
        <f>'REMUNERACION_OCCIDENTE_ Directa'!H130</f>
        <v>0</v>
      </c>
      <c r="I68" s="291">
        <f>'REMUNERACION_OCCIDENTE_ Directa'!I130</f>
        <v>0</v>
      </c>
      <c r="J68" s="291">
        <f>'REMUNERACION_OCCIDENTE_ Directa'!J130</f>
        <v>0</v>
      </c>
      <c r="K68" s="291">
        <f>'REMUNERACION_OCCIDENTE_ Directa'!K130</f>
        <v>0</v>
      </c>
      <c r="L68" s="291">
        <f>'REMUNERACION_OCCIDENTE_ Directa'!L130</f>
        <v>0</v>
      </c>
      <c r="O68" s="339"/>
      <c r="Q68" s="308"/>
    </row>
    <row r="69" spans="1:17" s="307" customFormat="1" ht="12" thickBot="1" x14ac:dyDescent="0.3">
      <c r="B69" s="350"/>
      <c r="C69" s="351" t="s">
        <v>2</v>
      </c>
      <c r="D69" s="352">
        <f>'REMUNERACION_OCCIDENTE_ Directa'!D131</f>
        <v>75193897.960000008</v>
      </c>
      <c r="E69" s="352">
        <f>'REMUNERACION_OCCIDENTE_ Directa'!E131</f>
        <v>0</v>
      </c>
      <c r="F69" s="353"/>
      <c r="G69" s="352">
        <f>'REMUNERACION_OCCIDENTE_ Directa'!G131</f>
        <v>376834</v>
      </c>
      <c r="H69" s="352">
        <f>'REMUNERACION_OCCIDENTE_ Directa'!H131</f>
        <v>39797595.060000002</v>
      </c>
      <c r="I69" s="352">
        <f>'REMUNERACION_OCCIDENTE_ Directa'!I131</f>
        <v>0</v>
      </c>
      <c r="J69" s="352">
        <f>'REMUNERACION_OCCIDENTE_ Directa'!J131</f>
        <v>-2165035</v>
      </c>
      <c r="K69" s="352">
        <f>'REMUNERACION_OCCIDENTE_ Directa'!K131</f>
        <v>1790541</v>
      </c>
      <c r="L69" s="352">
        <f>'REMUNERACION_OCCIDENTE_ Directa'!L131</f>
        <v>66340</v>
      </c>
      <c r="M69" s="353"/>
      <c r="N69" s="353"/>
      <c r="O69" s="354"/>
      <c r="P69" s="331"/>
      <c r="Q69" s="308"/>
    </row>
    <row r="70" spans="1:17" s="1" customFormat="1" ht="11.5" x14ac:dyDescent="0.25">
      <c r="B70" s="2"/>
      <c r="C70" s="2"/>
      <c r="D70" s="450"/>
      <c r="Q70" s="4"/>
    </row>
    <row r="71" spans="1:17" s="1" customFormat="1" ht="11.5" x14ac:dyDescent="0.25">
      <c r="B71" s="2"/>
      <c r="C71" s="2"/>
      <c r="D71" s="450"/>
      <c r="Q71" s="4"/>
    </row>
    <row r="72" spans="1:17" s="1" customFormat="1" ht="11.5" x14ac:dyDescent="0.25">
      <c r="A72" s="52"/>
      <c r="B72" s="53"/>
      <c r="C72" s="53"/>
      <c r="D72" s="456"/>
      <c r="E72" s="456"/>
      <c r="F72" s="456"/>
      <c r="G72" s="456"/>
      <c r="H72" s="456"/>
      <c r="I72" s="456"/>
      <c r="J72" s="52"/>
      <c r="K72" s="456"/>
      <c r="L72" s="456"/>
      <c r="M72" s="456"/>
      <c r="N72" s="456"/>
      <c r="O72" s="456"/>
      <c r="P72" s="52"/>
      <c r="Q72" s="4"/>
    </row>
    <row r="74" spans="1:17" s="1" customFormat="1" ht="15.5" x14ac:dyDescent="0.35">
      <c r="B74" s="8"/>
      <c r="F74" s="58" t="s">
        <v>194</v>
      </c>
      <c r="G74" s="58"/>
      <c r="H74" s="59"/>
      <c r="I74" s="60"/>
      <c r="J74" s="59"/>
      <c r="K74" s="60"/>
      <c r="L74" s="60"/>
      <c r="O74" s="10"/>
      <c r="P74" s="2"/>
      <c r="Q74" s="4"/>
    </row>
    <row r="75" spans="1:17" s="1" customFormat="1" ht="12" thickBot="1" x14ac:dyDescent="0.3">
      <c r="B75" s="8"/>
      <c r="C75" s="2" t="s">
        <v>1</v>
      </c>
      <c r="D75" s="2" t="s">
        <v>1</v>
      </c>
      <c r="J75" s="1" t="s">
        <v>1</v>
      </c>
      <c r="O75" s="44"/>
      <c r="P75" s="2"/>
      <c r="Q75" s="4"/>
    </row>
    <row r="76" spans="1:17" s="1" customFormat="1" ht="62.25" customHeight="1" thickBot="1" x14ac:dyDescent="0.3">
      <c r="B76" s="11" t="s">
        <v>3</v>
      </c>
      <c r="C76" s="12" t="s">
        <v>9</v>
      </c>
      <c r="D76" s="12" t="s">
        <v>38</v>
      </c>
      <c r="E76" s="73" t="s">
        <v>48</v>
      </c>
      <c r="G76" s="104" t="s">
        <v>47</v>
      </c>
      <c r="H76" s="73" t="s">
        <v>56</v>
      </c>
      <c r="I76" s="73" t="s">
        <v>130</v>
      </c>
      <c r="J76" s="73" t="s">
        <v>171</v>
      </c>
      <c r="K76" s="73" t="s">
        <v>143</v>
      </c>
      <c r="L76" s="73" t="s">
        <v>144</v>
      </c>
      <c r="O76" s="44"/>
      <c r="P76" s="13"/>
      <c r="Q76" s="4"/>
    </row>
    <row r="77" spans="1:17" s="307" customFormat="1" ht="11.5" x14ac:dyDescent="0.25">
      <c r="B77" s="336">
        <v>1</v>
      </c>
      <c r="C77" s="337" t="s">
        <v>10</v>
      </c>
      <c r="D77" s="310">
        <f>'REMUNERACION_EAAB-CL'!D125</f>
        <v>0</v>
      </c>
      <c r="E77" s="311">
        <f>'REMUNERACION_EAAB-CL'!E125</f>
        <v>0</v>
      </c>
      <c r="G77" s="338">
        <f>'REMUNERACION_EAAB-CL'!G125</f>
        <v>0</v>
      </c>
      <c r="H77" s="312">
        <f>'REMUNERACION_EAAB-CL'!H125</f>
        <v>0</v>
      </c>
      <c r="I77" s="311">
        <f>'REMUNERACION_EAAB-CL'!I125</f>
        <v>0</v>
      </c>
      <c r="J77" s="311">
        <f>'REMUNERACION_EAAB-CL'!J125</f>
        <v>0</v>
      </c>
      <c r="K77" s="311">
        <f>'REMUNERACION_EAAB-CL'!K125</f>
        <v>0</v>
      </c>
      <c r="L77" s="311">
        <f>'REMUNERACION_EAAB-CL'!L125</f>
        <v>0</v>
      </c>
      <c r="O77" s="339"/>
      <c r="Q77" s="308"/>
    </row>
    <row r="78" spans="1:17" s="307" customFormat="1" ht="11.5" x14ac:dyDescent="0.25">
      <c r="B78" s="316">
        <v>2</v>
      </c>
      <c r="C78" s="340" t="s">
        <v>11</v>
      </c>
      <c r="D78" s="294">
        <f>'REMUNERACION_EAAB-CL'!D126</f>
        <v>0</v>
      </c>
      <c r="E78" s="290">
        <f>'REMUNERACION_EAAB-CL'!E126</f>
        <v>0</v>
      </c>
      <c r="G78" s="341">
        <f>'REMUNERACION_EAAB-CL'!G126</f>
        <v>0</v>
      </c>
      <c r="H78" s="342">
        <f>'REMUNERACION_EAAB-CL'!H126</f>
        <v>0</v>
      </c>
      <c r="I78" s="290">
        <f>'REMUNERACION_EAAB-CL'!I126</f>
        <v>0</v>
      </c>
      <c r="J78" s="290">
        <f>'REMUNERACION_EAAB-CL'!J126</f>
        <v>0</v>
      </c>
      <c r="K78" s="290">
        <f>'REMUNERACION_EAAB-CL'!K126</f>
        <v>0</v>
      </c>
      <c r="L78" s="290">
        <f>'REMUNERACION_EAAB-CL'!L126</f>
        <v>0</v>
      </c>
      <c r="O78" s="339"/>
      <c r="Q78" s="308"/>
    </row>
    <row r="79" spans="1:17" s="307" customFormat="1" ht="11.5" x14ac:dyDescent="0.25">
      <c r="B79" s="316">
        <v>3</v>
      </c>
      <c r="C79" s="340" t="s">
        <v>12</v>
      </c>
      <c r="D79" s="294">
        <f>'REMUNERACION_EAAB-CL'!D127</f>
        <v>0</v>
      </c>
      <c r="E79" s="290">
        <f>'REMUNERACION_EAAB-CL'!E127</f>
        <v>0</v>
      </c>
      <c r="G79" s="341">
        <f>'REMUNERACION_EAAB-CL'!G127</f>
        <v>0</v>
      </c>
      <c r="H79" s="342">
        <f>'REMUNERACION_EAAB-CL'!H127</f>
        <v>0</v>
      </c>
      <c r="I79" s="290">
        <f>'REMUNERACION_EAAB-CL'!I127</f>
        <v>0</v>
      </c>
      <c r="J79" s="290">
        <f>'REMUNERACION_EAAB-CL'!J127</f>
        <v>0</v>
      </c>
      <c r="K79" s="290">
        <f>'REMUNERACION_EAAB-CL'!K127</f>
        <v>0</v>
      </c>
      <c r="L79" s="290">
        <f>'REMUNERACION_EAAB-CL'!L127</f>
        <v>0</v>
      </c>
      <c r="O79" s="339"/>
      <c r="Q79" s="308"/>
    </row>
    <row r="80" spans="1:17" s="307" customFormat="1" ht="11.5" x14ac:dyDescent="0.25">
      <c r="B80" s="316">
        <v>4</v>
      </c>
      <c r="C80" s="340" t="s">
        <v>13</v>
      </c>
      <c r="D80" s="294">
        <f>'REMUNERACION_EAAB-CL'!D128</f>
        <v>0</v>
      </c>
      <c r="E80" s="290">
        <f>'REMUNERACION_EAAB-CL'!E128</f>
        <v>0</v>
      </c>
      <c r="G80" s="341">
        <f>'REMUNERACION_EAAB-CL'!G128</f>
        <v>0</v>
      </c>
      <c r="H80" s="342">
        <f>'REMUNERACION_EAAB-CL'!H128</f>
        <v>0</v>
      </c>
      <c r="I80" s="290">
        <f>'REMUNERACION_EAAB-CL'!I128</f>
        <v>0</v>
      </c>
      <c r="J80" s="290">
        <f>'REMUNERACION_EAAB-CL'!J128</f>
        <v>0</v>
      </c>
      <c r="K80" s="290">
        <f>'REMUNERACION_EAAB-CL'!K128</f>
        <v>0</v>
      </c>
      <c r="L80" s="290">
        <f>'REMUNERACION_EAAB-CL'!L128</f>
        <v>0</v>
      </c>
      <c r="O80" s="339"/>
      <c r="Q80" s="308"/>
    </row>
    <row r="81" spans="1:17" s="307" customFormat="1" ht="11.5" x14ac:dyDescent="0.25">
      <c r="B81" s="343">
        <v>5</v>
      </c>
      <c r="C81" s="344" t="s">
        <v>14</v>
      </c>
      <c r="D81" s="294">
        <f>'REMUNERACION_EAAB-CL'!D129</f>
        <v>0</v>
      </c>
      <c r="E81" s="346">
        <f>'REMUNERACION_EAAB-CL'!E129</f>
        <v>0</v>
      </c>
      <c r="G81" s="341">
        <f>'REMUNERACION_EAAB-CL'!G129</f>
        <v>0</v>
      </c>
      <c r="H81" s="342">
        <f>'REMUNERACION_EAAB-CL'!H129</f>
        <v>0</v>
      </c>
      <c r="I81" s="290">
        <f>'REMUNERACION_EAAB-CL'!I129</f>
        <v>0</v>
      </c>
      <c r="J81" s="290">
        <f>'REMUNERACION_EAAB-CL'!J129</f>
        <v>0</v>
      </c>
      <c r="K81" s="290">
        <f>'REMUNERACION_EAAB-CL'!K129</f>
        <v>0</v>
      </c>
      <c r="L81" s="290">
        <f>'REMUNERACION_EAAB-CL'!L129</f>
        <v>0</v>
      </c>
      <c r="O81" s="339"/>
      <c r="Q81" s="308"/>
    </row>
    <row r="82" spans="1:17" s="307" customFormat="1" ht="12" thickBot="1" x14ac:dyDescent="0.3">
      <c r="B82" s="326" t="s">
        <v>89</v>
      </c>
      <c r="C82" s="347" t="s">
        <v>113</v>
      </c>
      <c r="D82" s="299">
        <f>'REMUNERACION_EAAB-CL'!D130</f>
        <v>0</v>
      </c>
      <c r="E82" s="291">
        <f>'REMUNERACION_EAAB-CL'!E130</f>
        <v>0</v>
      </c>
      <c r="G82" s="348">
        <f>'REMUNERACION_EAAB-CL'!G130</f>
        <v>0</v>
      </c>
      <c r="H82" s="349">
        <f>'REMUNERACION_EAAB-CL'!H130</f>
        <v>0</v>
      </c>
      <c r="I82" s="291">
        <f>'REMUNERACION_EAAB-CL'!I130</f>
        <v>0</v>
      </c>
      <c r="J82" s="291">
        <f>'REMUNERACION_EAAB-CL'!J130</f>
        <v>0</v>
      </c>
      <c r="K82" s="291">
        <f>'REMUNERACION_EAAB-CL'!K130</f>
        <v>0</v>
      </c>
      <c r="L82" s="291">
        <f>'REMUNERACION_EAAB-CL'!L130</f>
        <v>0</v>
      </c>
      <c r="O82" s="339"/>
      <c r="Q82" s="308"/>
    </row>
    <row r="83" spans="1:17" s="307" customFormat="1" ht="12" thickBot="1" x14ac:dyDescent="0.3">
      <c r="B83" s="350"/>
      <c r="C83" s="351" t="s">
        <v>2</v>
      </c>
      <c r="D83" s="352">
        <f>'REMUNERACION_EAAB-CL'!D131</f>
        <v>0</v>
      </c>
      <c r="E83" s="352">
        <f>'REMUNERACION_EAAB-CL'!E131</f>
        <v>0</v>
      </c>
      <c r="F83" s="353"/>
      <c r="G83" s="352">
        <f>'REMUNERACION_EAAB-CL'!G131</f>
        <v>0</v>
      </c>
      <c r="H83" s="352">
        <f>'REMUNERACION_EAAB-CL'!H131</f>
        <v>0</v>
      </c>
      <c r="I83" s="352">
        <f>'REMUNERACION_EAAB-CL'!I131</f>
        <v>0</v>
      </c>
      <c r="J83" s="352">
        <f>'REMUNERACION_EAAB-CL'!J131</f>
        <v>0</v>
      </c>
      <c r="K83" s="352">
        <f>'REMUNERACION_EAAB-CL'!K131</f>
        <v>0</v>
      </c>
      <c r="L83" s="352">
        <f>'REMUNERACION_EAAB-CL'!L131</f>
        <v>0</v>
      </c>
      <c r="M83" s="353"/>
      <c r="N83" s="353"/>
      <c r="O83" s="354"/>
      <c r="P83" s="331"/>
      <c r="Q83" s="308"/>
    </row>
    <row r="84" spans="1:17" s="1" customFormat="1" ht="11.5" x14ac:dyDescent="0.25">
      <c r="B84" s="2"/>
      <c r="C84" s="2"/>
      <c r="D84" s="450"/>
      <c r="Q84" s="4"/>
    </row>
    <row r="85" spans="1:17" s="1" customFormat="1" ht="11.5" x14ac:dyDescent="0.25">
      <c r="B85" s="2"/>
      <c r="C85" s="2"/>
      <c r="D85" s="450"/>
      <c r="Q85" s="4"/>
    </row>
    <row r="86" spans="1:17" s="1" customFormat="1" ht="11.5" x14ac:dyDescent="0.25">
      <c r="A86" s="52"/>
      <c r="B86" s="53"/>
      <c r="C86" s="53"/>
      <c r="D86" s="456"/>
      <c r="E86" s="456"/>
      <c r="F86" s="456"/>
      <c r="G86" s="456"/>
      <c r="H86" s="456"/>
      <c r="I86" s="456"/>
      <c r="J86" s="52"/>
      <c r="K86" s="456"/>
      <c r="L86" s="456"/>
      <c r="M86" s="456"/>
      <c r="N86" s="456"/>
      <c r="O86" s="456"/>
      <c r="P86" s="52"/>
      <c r="Q86" s="4"/>
    </row>
    <row r="88" spans="1:17" ht="15.5" x14ac:dyDescent="0.35">
      <c r="F88" s="41" t="s">
        <v>190</v>
      </c>
    </row>
    <row r="89" spans="1:17" s="1" customFormat="1" ht="15.5" x14ac:dyDescent="0.35">
      <c r="B89" s="8"/>
      <c r="F89" s="41" t="s">
        <v>37</v>
      </c>
      <c r="G89" s="41"/>
      <c r="H89" s="2"/>
      <c r="J89" s="2"/>
      <c r="O89" s="10"/>
      <c r="P89" s="2"/>
      <c r="Q89" s="4"/>
    </row>
    <row r="90" spans="1:17" s="1" customFormat="1" ht="12" thickBot="1" x14ac:dyDescent="0.3">
      <c r="B90" s="8"/>
      <c r="C90" s="2" t="s">
        <v>1</v>
      </c>
      <c r="D90" s="2" t="s">
        <v>1</v>
      </c>
      <c r="J90" s="1" t="s">
        <v>1</v>
      </c>
      <c r="O90" s="44"/>
      <c r="P90" s="2"/>
      <c r="Q90" s="4"/>
    </row>
    <row r="91" spans="1:17" s="1" customFormat="1" ht="62.25" customHeight="1" thickBot="1" x14ac:dyDescent="0.3">
      <c r="B91" s="11" t="s">
        <v>3</v>
      </c>
      <c r="C91" s="12" t="s">
        <v>9</v>
      </c>
      <c r="D91" s="12" t="s">
        <v>38</v>
      </c>
      <c r="E91" s="73" t="s">
        <v>48</v>
      </c>
      <c r="G91" s="104" t="s">
        <v>47</v>
      </c>
      <c r="H91" s="73" t="s">
        <v>56</v>
      </c>
      <c r="I91" s="73" t="s">
        <v>130</v>
      </c>
      <c r="J91" s="73" t="s">
        <v>171</v>
      </c>
      <c r="K91" s="73" t="s">
        <v>143</v>
      </c>
      <c r="L91" s="73" t="s">
        <v>144</v>
      </c>
      <c r="O91" s="44"/>
      <c r="P91" s="13"/>
      <c r="Q91" s="4"/>
    </row>
    <row r="92" spans="1:17" s="307" customFormat="1" ht="11.5" x14ac:dyDescent="0.25">
      <c r="B92" s="336">
        <v>1</v>
      </c>
      <c r="C92" s="337" t="s">
        <v>10</v>
      </c>
      <c r="D92" s="310">
        <f>D6-(D21+D35+D49++D63+D77)</f>
        <v>0</v>
      </c>
      <c r="E92" s="310">
        <f>E6-(E21+E35+E49++E63+E77)</f>
        <v>0</v>
      </c>
      <c r="G92" s="338">
        <f>G6-(G21+G35+G49+G63+G77)</f>
        <v>0</v>
      </c>
      <c r="H92" s="338">
        <f t="shared" ref="H92:L92" si="0">H6-(H21+H35+H49+H63+H77)</f>
        <v>0</v>
      </c>
      <c r="I92" s="338">
        <f t="shared" si="0"/>
        <v>0</v>
      </c>
      <c r="J92" s="338">
        <f t="shared" si="0"/>
        <v>0</v>
      </c>
      <c r="K92" s="338">
        <f t="shared" si="0"/>
        <v>0</v>
      </c>
      <c r="L92" s="338">
        <f t="shared" si="0"/>
        <v>0</v>
      </c>
      <c r="O92" s="339"/>
      <c r="Q92" s="308"/>
    </row>
    <row r="93" spans="1:17" s="307" customFormat="1" ht="11.5" x14ac:dyDescent="0.25">
      <c r="B93" s="316">
        <v>2</v>
      </c>
      <c r="C93" s="340" t="s">
        <v>11</v>
      </c>
      <c r="D93" s="294">
        <f t="shared" ref="D93:E98" si="1">D7-(D22+D36+D50++D64+D78)</f>
        <v>0</v>
      </c>
      <c r="E93" s="294">
        <f t="shared" si="1"/>
        <v>0</v>
      </c>
      <c r="G93" s="341">
        <f t="shared" ref="G93:L98" si="2">G7-(G22+G36+G50+G64+G78)</f>
        <v>0</v>
      </c>
      <c r="H93" s="341">
        <f t="shared" si="2"/>
        <v>0</v>
      </c>
      <c r="I93" s="341">
        <f t="shared" si="2"/>
        <v>0</v>
      </c>
      <c r="J93" s="341">
        <f t="shared" si="2"/>
        <v>0</v>
      </c>
      <c r="K93" s="341">
        <f t="shared" si="2"/>
        <v>0</v>
      </c>
      <c r="L93" s="341">
        <f t="shared" si="2"/>
        <v>0</v>
      </c>
      <c r="O93" s="339"/>
      <c r="Q93" s="308"/>
    </row>
    <row r="94" spans="1:17" s="307" customFormat="1" ht="11.5" x14ac:dyDescent="0.25">
      <c r="B94" s="316">
        <v>3</v>
      </c>
      <c r="C94" s="340" t="s">
        <v>12</v>
      </c>
      <c r="D94" s="294">
        <f t="shared" si="1"/>
        <v>0</v>
      </c>
      <c r="E94" s="294">
        <f t="shared" si="1"/>
        <v>0</v>
      </c>
      <c r="G94" s="341">
        <f t="shared" si="2"/>
        <v>0</v>
      </c>
      <c r="H94" s="341">
        <f t="shared" si="2"/>
        <v>0</v>
      </c>
      <c r="I94" s="341">
        <f t="shared" si="2"/>
        <v>0</v>
      </c>
      <c r="J94" s="341">
        <f t="shared" si="2"/>
        <v>0</v>
      </c>
      <c r="K94" s="341">
        <f t="shared" si="2"/>
        <v>0</v>
      </c>
      <c r="L94" s="341">
        <f t="shared" si="2"/>
        <v>0</v>
      </c>
      <c r="O94" s="339"/>
      <c r="Q94" s="308"/>
    </row>
    <row r="95" spans="1:17" s="307" customFormat="1" ht="11.5" x14ac:dyDescent="0.25">
      <c r="B95" s="316">
        <v>4</v>
      </c>
      <c r="C95" s="340" t="s">
        <v>13</v>
      </c>
      <c r="D95" s="294">
        <f t="shared" si="1"/>
        <v>0</v>
      </c>
      <c r="E95" s="294">
        <f t="shared" si="1"/>
        <v>0</v>
      </c>
      <c r="G95" s="341">
        <f t="shared" si="2"/>
        <v>0</v>
      </c>
      <c r="H95" s="341">
        <f t="shared" si="2"/>
        <v>0</v>
      </c>
      <c r="I95" s="341">
        <f t="shared" si="2"/>
        <v>0</v>
      </c>
      <c r="J95" s="341">
        <f t="shared" si="2"/>
        <v>0</v>
      </c>
      <c r="K95" s="341">
        <f t="shared" si="2"/>
        <v>0</v>
      </c>
      <c r="L95" s="341">
        <f t="shared" si="2"/>
        <v>0</v>
      </c>
      <c r="O95" s="339"/>
      <c r="Q95" s="308"/>
    </row>
    <row r="96" spans="1:17" s="307" customFormat="1" ht="11.5" x14ac:dyDescent="0.25">
      <c r="B96" s="343">
        <v>5</v>
      </c>
      <c r="C96" s="344" t="s">
        <v>14</v>
      </c>
      <c r="D96" s="294">
        <f t="shared" si="1"/>
        <v>0</v>
      </c>
      <c r="E96" s="294">
        <f t="shared" si="1"/>
        <v>0</v>
      </c>
      <c r="G96" s="341">
        <f t="shared" si="2"/>
        <v>0</v>
      </c>
      <c r="H96" s="341">
        <f t="shared" si="2"/>
        <v>0</v>
      </c>
      <c r="I96" s="341">
        <f t="shared" si="2"/>
        <v>0</v>
      </c>
      <c r="J96" s="341">
        <f t="shared" si="2"/>
        <v>0</v>
      </c>
      <c r="K96" s="341">
        <f t="shared" si="2"/>
        <v>0</v>
      </c>
      <c r="L96" s="341">
        <f t="shared" si="2"/>
        <v>0</v>
      </c>
      <c r="O96" s="339"/>
      <c r="Q96" s="308"/>
    </row>
    <row r="97" spans="1:17" s="307" customFormat="1" ht="12" thickBot="1" x14ac:dyDescent="0.3">
      <c r="B97" s="326" t="s">
        <v>89</v>
      </c>
      <c r="C97" s="347" t="s">
        <v>113</v>
      </c>
      <c r="D97" s="299">
        <f t="shared" si="1"/>
        <v>0</v>
      </c>
      <c r="E97" s="299">
        <f t="shared" si="1"/>
        <v>0</v>
      </c>
      <c r="G97" s="348">
        <f t="shared" si="2"/>
        <v>0</v>
      </c>
      <c r="H97" s="348">
        <f t="shared" si="2"/>
        <v>0</v>
      </c>
      <c r="I97" s="348">
        <f t="shared" si="2"/>
        <v>0</v>
      </c>
      <c r="J97" s="348">
        <f t="shared" si="2"/>
        <v>0</v>
      </c>
      <c r="K97" s="348">
        <f t="shared" si="2"/>
        <v>0</v>
      </c>
      <c r="L97" s="348">
        <f t="shared" si="2"/>
        <v>0</v>
      </c>
      <c r="O97" s="339"/>
      <c r="Q97" s="308"/>
    </row>
    <row r="98" spans="1:17" s="307" customFormat="1" ht="12" thickBot="1" x14ac:dyDescent="0.3">
      <c r="B98" s="350"/>
      <c r="C98" s="351" t="s">
        <v>2</v>
      </c>
      <c r="D98" s="352">
        <f t="shared" si="1"/>
        <v>0</v>
      </c>
      <c r="E98" s="352">
        <f t="shared" si="1"/>
        <v>0</v>
      </c>
      <c r="F98" s="353"/>
      <c r="G98" s="352">
        <f t="shared" si="2"/>
        <v>0</v>
      </c>
      <c r="H98" s="352">
        <f t="shared" si="2"/>
        <v>0</v>
      </c>
      <c r="I98" s="352">
        <f t="shared" si="2"/>
        <v>0</v>
      </c>
      <c r="J98" s="352">
        <f t="shared" si="2"/>
        <v>0</v>
      </c>
      <c r="K98" s="352">
        <f t="shared" si="2"/>
        <v>0</v>
      </c>
      <c r="L98" s="352">
        <f t="shared" si="2"/>
        <v>0</v>
      </c>
      <c r="M98" s="353"/>
      <c r="N98" s="353"/>
      <c r="O98" s="354"/>
      <c r="P98" s="331"/>
      <c r="Q98" s="308"/>
    </row>
    <row r="99" spans="1:17" s="1" customFormat="1" ht="11.5" x14ac:dyDescent="0.25">
      <c r="B99" s="2"/>
      <c r="C99" s="2"/>
      <c r="D99" s="450"/>
      <c r="Q99" s="4"/>
    </row>
    <row r="100" spans="1:17" s="1" customFormat="1" ht="11.5" x14ac:dyDescent="0.25">
      <c r="B100" s="2"/>
      <c r="C100" s="2"/>
      <c r="D100" s="450"/>
      <c r="L100" s="1" t="s">
        <v>1</v>
      </c>
      <c r="Q100" s="4"/>
    </row>
    <row r="101" spans="1:17" s="1" customFormat="1" ht="11.5" x14ac:dyDescent="0.25">
      <c r="A101" s="52"/>
      <c r="B101" s="53"/>
      <c r="C101" s="53"/>
      <c r="D101" s="456"/>
      <c r="E101" s="456"/>
      <c r="F101" s="456"/>
      <c r="G101" s="456"/>
      <c r="H101" s="456"/>
      <c r="I101" s="456"/>
      <c r="J101" s="52"/>
      <c r="K101" s="456"/>
      <c r="L101" s="456"/>
      <c r="M101" s="456"/>
      <c r="N101" s="456"/>
      <c r="O101" s="456"/>
      <c r="P101" s="52"/>
      <c r="Q101" s="4"/>
    </row>
  </sheetData>
  <conditionalFormatting sqref="D92:E98 G92:L98">
    <cfRule type="cellIs" dxfId="0" priority="1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I10"/>
  <sheetViews>
    <sheetView workbookViewId="0">
      <selection activeCell="E18" sqref="E18"/>
    </sheetView>
  </sheetViews>
  <sheetFormatPr baseColWidth="10" defaultRowHeight="12.5" x14ac:dyDescent="0.25"/>
  <cols>
    <col min="1" max="1" width="4.7265625" customWidth="1"/>
    <col min="2" max="2" width="10" customWidth="1"/>
    <col min="3" max="3" width="20.453125" bestFit="1" customWidth="1"/>
    <col min="4" max="4" width="17.26953125" customWidth="1"/>
    <col min="5" max="5" width="16.26953125" customWidth="1"/>
    <col min="6" max="6" width="21" bestFit="1" customWidth="1"/>
  </cols>
  <sheetData>
    <row r="1" spans="2:9" ht="13" thickBot="1" x14ac:dyDescent="0.3"/>
    <row r="2" spans="2:9" ht="15" thickBot="1" x14ac:dyDescent="0.4">
      <c r="C2" s="528">
        <v>2026091</v>
      </c>
      <c r="D2" s="749" t="s">
        <v>222</v>
      </c>
      <c r="E2" s="749" t="s">
        <v>201</v>
      </c>
      <c r="F2" s="143"/>
      <c r="G2" s="143"/>
      <c r="H2" s="143"/>
      <c r="I2" s="143"/>
    </row>
    <row r="3" spans="2:9" ht="14.5" x14ac:dyDescent="0.35">
      <c r="B3" s="569">
        <v>0</v>
      </c>
      <c r="C3" s="530" t="s">
        <v>202</v>
      </c>
      <c r="D3" s="750">
        <v>0</v>
      </c>
      <c r="E3" s="531">
        <v>0</v>
      </c>
      <c r="F3" s="751"/>
      <c r="G3" s="143"/>
      <c r="H3" s="143"/>
      <c r="I3" s="143"/>
    </row>
    <row r="4" spans="2:9" ht="14.5" x14ac:dyDescent="0.35">
      <c r="B4" s="570">
        <v>0</v>
      </c>
      <c r="C4" s="532" t="s">
        <v>202</v>
      </c>
      <c r="D4" s="752">
        <v>0</v>
      </c>
      <c r="E4" s="533"/>
      <c r="F4" s="753"/>
      <c r="G4" s="143"/>
      <c r="H4" s="143"/>
      <c r="I4" s="143"/>
    </row>
    <row r="5" spans="2:9" ht="14.5" x14ac:dyDescent="0.35">
      <c r="B5" s="570">
        <v>0</v>
      </c>
      <c r="C5" s="534" t="s">
        <v>203</v>
      </c>
      <c r="D5" s="754">
        <v>0</v>
      </c>
      <c r="E5" s="535">
        <v>0</v>
      </c>
      <c r="F5" s="753"/>
      <c r="G5" s="143"/>
      <c r="H5" s="143"/>
      <c r="I5" s="143"/>
    </row>
    <row r="6" spans="2:9" ht="15" thickBot="1" x14ac:dyDescent="0.4">
      <c r="B6" s="571">
        <v>0</v>
      </c>
      <c r="C6" s="534" t="s">
        <v>203</v>
      </c>
      <c r="D6" s="754">
        <v>0</v>
      </c>
      <c r="E6" s="536"/>
      <c r="F6" s="753"/>
      <c r="G6" s="143"/>
      <c r="H6" s="143"/>
      <c r="I6" s="143"/>
    </row>
    <row r="7" spans="2:9" ht="14.5" x14ac:dyDescent="0.35">
      <c r="B7" t="s">
        <v>1</v>
      </c>
      <c r="C7" s="537" t="s">
        <v>338</v>
      </c>
      <c r="D7" s="538">
        <v>59740889865</v>
      </c>
      <c r="E7" s="755">
        <v>59898451117</v>
      </c>
      <c r="F7" s="756" t="b">
        <v>1</v>
      </c>
      <c r="G7" s="143"/>
      <c r="H7" s="143"/>
      <c r="I7" s="143"/>
    </row>
    <row r="8" spans="2:9" ht="14.5" x14ac:dyDescent="0.35">
      <c r="C8" s="537" t="s">
        <v>324</v>
      </c>
      <c r="D8" s="538">
        <v>138550812</v>
      </c>
      <c r="E8" s="736"/>
      <c r="F8" s="756"/>
      <c r="G8" s="143"/>
      <c r="H8" s="143"/>
      <c r="I8" s="143"/>
    </row>
    <row r="9" spans="2:9" ht="14.5" x14ac:dyDescent="0.35">
      <c r="B9" t="s">
        <v>1</v>
      </c>
      <c r="C9" s="537" t="s">
        <v>204</v>
      </c>
      <c r="D9" s="538">
        <v>19010440</v>
      </c>
      <c r="E9" s="757"/>
      <c r="F9" s="753"/>
      <c r="G9" s="143"/>
      <c r="H9" s="143"/>
      <c r="I9" s="143"/>
    </row>
    <row r="10" spans="2:9" ht="15" thickBot="1" x14ac:dyDescent="0.4">
      <c r="C10" s="539" t="s">
        <v>205</v>
      </c>
      <c r="D10" s="529">
        <v>3415713536</v>
      </c>
      <c r="E10" s="529">
        <v>3415713536</v>
      </c>
      <c r="F10" s="758">
        <v>63314164653</v>
      </c>
      <c r="G10" s="143"/>
      <c r="H10" s="143"/>
      <c r="I10" s="143"/>
    </row>
  </sheetData>
  <printOptions horizontalCentered="1"/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202609-1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DetRetri2026091</vt:lpstr>
      <vt:lpstr>DetValiRetri2026091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Baracaldo Torres Nancy</cp:lastModifiedBy>
  <cp:lastPrinted>2026-06-17T17:29:10Z</cp:lastPrinted>
  <dcterms:created xsi:type="dcterms:W3CDTF">2003-01-13T14:55:35Z</dcterms:created>
  <dcterms:modified xsi:type="dcterms:W3CDTF">2026-09-17T14:51:12Z</dcterms:modified>
</cp:coreProperties>
</file>