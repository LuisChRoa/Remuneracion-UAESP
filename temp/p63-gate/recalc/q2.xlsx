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temp/p63-gate/recalc/"/>
    </mc:Choice>
  </mc:AlternateContent>
  <xr:revisionPtr revIDLastSave="0" documentId="13_ncr:1_{216623C6-45D3-4D08-B6DF-D5ADE06F1830}" xr6:coauthVersionLast="47" xr6:coauthVersionMax="47" xr10:uidLastSave="{00000000-0000-0000-0000-000000000000}"/>
  <bookViews>
    <workbookView xWindow="-108" yWindow="-108" windowWidth="23256" windowHeight="12456" tabRatio="780" firstSheet="15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2" sheetId="93" r:id="rId36"/>
    <sheet name="DetValiRetri202607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2" l="1"/>
  <c r="E7" i="92"/>
  <c r="F10" i="92" s="1"/>
  <c r="C14" i="36" s="1"/>
  <c r="L82" i="91"/>
  <c r="K82" i="91"/>
  <c r="J82" i="91"/>
  <c r="I82" i="91"/>
  <c r="H82" i="91"/>
  <c r="G82" i="91"/>
  <c r="D82" i="91"/>
  <c r="E81" i="91"/>
  <c r="E80" i="91"/>
  <c r="E79" i="91"/>
  <c r="E78" i="91"/>
  <c r="E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D40" i="91"/>
  <c r="E39" i="91"/>
  <c r="E38" i="91"/>
  <c r="E37" i="91"/>
  <c r="E36" i="91"/>
  <c r="E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D11" i="91"/>
  <c r="D97" i="91" s="1"/>
  <c r="E10" i="91"/>
  <c r="E96" i="91" s="1"/>
  <c r="E9" i="91"/>
  <c r="E95" i="91" s="1"/>
  <c r="E8" i="91"/>
  <c r="E94" i="91" s="1"/>
  <c r="E7" i="91"/>
  <c r="E93" i="91" s="1"/>
  <c r="E6" i="91"/>
  <c r="E92" i="91" s="1"/>
  <c r="X125" i="90"/>
  <c r="U125" i="90"/>
  <c r="AG65" i="90"/>
  <c r="AG64" i="90"/>
  <c r="L64" i="90"/>
  <c r="AG63" i="90"/>
  <c r="AF63" i="90"/>
  <c r="AD63" i="90"/>
  <c r="L63" i="90"/>
  <c r="J63" i="90"/>
  <c r="AG62" i="90"/>
  <c r="L62" i="90"/>
  <c r="AG61" i="90"/>
  <c r="L61" i="90"/>
  <c r="J61" i="90"/>
  <c r="AG60" i="90"/>
  <c r="L60" i="90"/>
  <c r="L30" i="90"/>
  <c r="J30" i="90"/>
  <c r="L29" i="90"/>
  <c r="L28" i="90"/>
  <c r="J28" i="90"/>
  <c r="L27" i="90"/>
  <c r="L26" i="90"/>
  <c r="O45" i="88"/>
  <c r="N45" i="88"/>
  <c r="M45" i="88"/>
  <c r="F45" i="88"/>
  <c r="D35" i="88"/>
  <c r="E34" i="88"/>
  <c r="E33" i="88"/>
  <c r="E32" i="88"/>
  <c r="E31" i="88"/>
  <c r="E30" i="88"/>
  <c r="E36" i="88" s="1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E142" i="86"/>
  <c r="E147" i="86" s="1"/>
  <c r="E130" i="86"/>
  <c r="I129" i="86"/>
  <c r="I128" i="86"/>
  <c r="I127" i="86"/>
  <c r="I126" i="86"/>
  <c r="I125" i="86"/>
  <c r="L108" i="86"/>
  <c r="J108" i="86"/>
  <c r="J97" i="90" s="1"/>
  <c r="L107" i="86"/>
  <c r="J107" i="86"/>
  <c r="J96" i="90" s="1"/>
  <c r="L106" i="86"/>
  <c r="J106" i="86"/>
  <c r="J95" i="90" s="1"/>
  <c r="L105" i="86"/>
  <c r="J105" i="86"/>
  <c r="L104" i="86"/>
  <c r="J104" i="86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 s="1"/>
  <c r="AA70" i="86"/>
  <c r="Z70" i="86"/>
  <c r="Y70" i="86"/>
  <c r="X70" i="86"/>
  <c r="W70" i="86"/>
  <c r="V70" i="86"/>
  <c r="U70" i="86"/>
  <c r="N70" i="86"/>
  <c r="AB70" i="86" s="1"/>
  <c r="I70" i="86"/>
  <c r="H70" i="86"/>
  <c r="G70" i="86"/>
  <c r="F70" i="86"/>
  <c r="E70" i="86"/>
  <c r="D70" i="86"/>
  <c r="AE69" i="86"/>
  <c r="AD69" i="86" s="1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 s="1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E71" i="86" s="1"/>
  <c r="AD66" i="86"/>
  <c r="AD71" i="86" s="1"/>
  <c r="AA66" i="86"/>
  <c r="Z66" i="86"/>
  <c r="Y66" i="86"/>
  <c r="X66" i="86"/>
  <c r="W66" i="86"/>
  <c r="V66" i="86"/>
  <c r="U66" i="86"/>
  <c r="N66" i="86"/>
  <c r="I66" i="86"/>
  <c r="H66" i="86"/>
  <c r="G66" i="86"/>
  <c r="F66" i="86"/>
  <c r="E66" i="86"/>
  <c r="D66" i="86"/>
  <c r="X64" i="86"/>
  <c r="U64" i="86"/>
  <c r="AC52" i="86"/>
  <c r="L52" i="86"/>
  <c r="J52" i="86"/>
  <c r="AE51" i="86"/>
  <c r="AD51" i="86"/>
  <c r="AA51" i="86"/>
  <c r="Z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/>
  <c r="AA50" i="86"/>
  <c r="Z50" i="86"/>
  <c r="Y50" i="86"/>
  <c r="X50" i="86"/>
  <c r="W50" i="86"/>
  <c r="V50" i="86"/>
  <c r="U50" i="86"/>
  <c r="N50" i="86"/>
  <c r="I50" i="86"/>
  <c r="H50" i="86"/>
  <c r="G50" i="86"/>
  <c r="F50" i="86"/>
  <c r="E50" i="86"/>
  <c r="D50" i="86"/>
  <c r="AE49" i="86"/>
  <c r="AA49" i="86"/>
  <c r="Z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/>
  <c r="AA48" i="86"/>
  <c r="Z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D47" i="86"/>
  <c r="AA47" i="86"/>
  <c r="Z47" i="86"/>
  <c r="Y47" i="86"/>
  <c r="X47" i="86"/>
  <c r="W47" i="86"/>
  <c r="V47" i="86"/>
  <c r="U47" i="86"/>
  <c r="N47" i="86"/>
  <c r="AB47" i="86" s="1"/>
  <c r="I47" i="86"/>
  <c r="H47" i="86"/>
  <c r="G47" i="86"/>
  <c r="F47" i="86"/>
  <c r="E47" i="86"/>
  <c r="D47" i="86"/>
  <c r="X45" i="86"/>
  <c r="U45" i="86"/>
  <c r="AC33" i="86"/>
  <c r="L33" i="86"/>
  <c r="J33" i="86"/>
  <c r="AE32" i="86"/>
  <c r="AD32" i="86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AE29" i="86"/>
  <c r="AD29" i="86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AE28" i="86"/>
  <c r="AE33" i="86" s="1"/>
  <c r="AD28" i="86"/>
  <c r="AD33" i="86" s="1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D13" i="86"/>
  <c r="AC13" i="86"/>
  <c r="AC108" i="86" s="1"/>
  <c r="AA13" i="86"/>
  <c r="Z13" i="86"/>
  <c r="Y13" i="86"/>
  <c r="X13" i="86"/>
  <c r="W13" i="86"/>
  <c r="V13" i="86"/>
  <c r="U13" i="86"/>
  <c r="N13" i="86"/>
  <c r="I13" i="86"/>
  <c r="H13" i="86"/>
  <c r="G13" i="86"/>
  <c r="F13" i="86"/>
  <c r="E13" i="86"/>
  <c r="D13" i="86"/>
  <c r="AE12" i="86"/>
  <c r="AC12" i="86"/>
  <c r="AC107" i="86" s="1"/>
  <c r="AA12" i="86"/>
  <c r="Z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11" i="86"/>
  <c r="AC11" i="86"/>
  <c r="AC106" i="86" s="1"/>
  <c r="AA11" i="86"/>
  <c r="Z11" i="86"/>
  <c r="Y11" i="86"/>
  <c r="X11" i="86"/>
  <c r="W11" i="86"/>
  <c r="V11" i="86"/>
  <c r="U11" i="86"/>
  <c r="N11" i="86"/>
  <c r="I11" i="86"/>
  <c r="H11" i="86"/>
  <c r="G11" i="86"/>
  <c r="F11" i="86"/>
  <c r="E11" i="86"/>
  <c r="D11" i="86"/>
  <c r="AE10" i="86"/>
  <c r="AC10" i="86"/>
  <c r="AC105" i="86" s="1"/>
  <c r="AA10" i="86"/>
  <c r="Z10" i="86"/>
  <c r="Y10" i="86"/>
  <c r="X10" i="86"/>
  <c r="W10" i="86"/>
  <c r="V10" i="86"/>
  <c r="U10" i="86"/>
  <c r="N10" i="86"/>
  <c r="I10" i="86"/>
  <c r="H10" i="86"/>
  <c r="G10" i="86"/>
  <c r="F10" i="86"/>
  <c r="E10" i="86"/>
  <c r="D10" i="86"/>
  <c r="AE9" i="86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G7" i="86"/>
  <c r="D7" i="86"/>
  <c r="D6" i="86"/>
  <c r="N3" i="86"/>
  <c r="O45" i="82"/>
  <c r="N45" i="82"/>
  <c r="M45" i="82"/>
  <c r="F45" i="82"/>
  <c r="E34" i="82"/>
  <c r="E33" i="82"/>
  <c r="E32" i="82"/>
  <c r="E31" i="82"/>
  <c r="E30" i="82"/>
  <c r="X7" i="82"/>
  <c r="U7" i="82"/>
  <c r="U6" i="82"/>
  <c r="F6" i="82"/>
  <c r="C14" i="83"/>
  <c r="C8" i="83"/>
  <c r="H8" i="83" s="1"/>
  <c r="L7" i="83"/>
  <c r="C7" i="83"/>
  <c r="L6" i="83"/>
  <c r="C6" i="83"/>
  <c r="L5" i="83"/>
  <c r="C5" i="83"/>
  <c r="L4" i="83"/>
  <c r="C4" i="83"/>
  <c r="L3" i="83"/>
  <c r="C3" i="83"/>
  <c r="H146" i="85"/>
  <c r="G7" i="83" s="1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I129" i="85"/>
  <c r="I128" i="85"/>
  <c r="I127" i="85"/>
  <c r="I126" i="85"/>
  <c r="I125" i="85"/>
  <c r="I30" i="82" s="1"/>
  <c r="L108" i="85"/>
  <c r="J108" i="85"/>
  <c r="J13" i="82" s="1"/>
  <c r="L107" i="85"/>
  <c r="J107" i="85"/>
  <c r="J12" i="82" s="1"/>
  <c r="L106" i="85"/>
  <c r="J106" i="85"/>
  <c r="J11" i="82" s="1"/>
  <c r="L105" i="85"/>
  <c r="J105" i="85"/>
  <c r="J10" i="82" s="1"/>
  <c r="L104" i="85"/>
  <c r="L9" i="82" s="1"/>
  <c r="J104" i="85"/>
  <c r="J9" i="82" s="1"/>
  <c r="J14" i="82" s="1"/>
  <c r="X102" i="85"/>
  <c r="U102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L71" i="85"/>
  <c r="J71" i="85"/>
  <c r="Z70" i="85"/>
  <c r="Z69" i="85"/>
  <c r="Z68" i="85"/>
  <c r="Z67" i="85"/>
  <c r="Z66" i="85"/>
  <c r="Z71" i="85" s="1"/>
  <c r="X64" i="85"/>
  <c r="U64" i="85"/>
  <c r="K64" i="85"/>
  <c r="Y64" i="85" s="1"/>
  <c r="G64" i="85"/>
  <c r="V64" i="85" s="1"/>
  <c r="D64" i="85"/>
  <c r="D63" i="85"/>
  <c r="N60" i="85"/>
  <c r="AD60" i="85" s="1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Z33" i="85" s="1"/>
  <c r="X26" i="85"/>
  <c r="U26" i="85"/>
  <c r="L14" i="85"/>
  <c r="J14" i="85"/>
  <c r="Z13" i="85"/>
  <c r="Z108" i="85" s="1"/>
  <c r="Z12" i="85"/>
  <c r="Z107" i="85" s="1"/>
  <c r="Z11" i="85"/>
  <c r="Z106" i="85" s="1"/>
  <c r="Z10" i="85"/>
  <c r="Z105" i="85" s="1"/>
  <c r="Z9" i="85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E6" i="98"/>
  <c r="C6" i="98"/>
  <c r="L5" i="98"/>
  <c r="E5" i="98"/>
  <c r="C5" i="98"/>
  <c r="L4" i="98"/>
  <c r="C4" i="98"/>
  <c r="L3" i="98"/>
  <c r="C3" i="98"/>
  <c r="E146" i="97"/>
  <c r="H145" i="97"/>
  <c r="G6" i="98" s="1"/>
  <c r="E145" i="97"/>
  <c r="E144" i="97"/>
  <c r="H143" i="97"/>
  <c r="G4" i="98" s="1"/>
  <c r="E143" i="97"/>
  <c r="E142" i="97"/>
  <c r="E147" i="97" s="1"/>
  <c r="E130" i="97"/>
  <c r="I128" i="97"/>
  <c r="H128" i="97"/>
  <c r="H33" i="99" s="1"/>
  <c r="H127" i="97"/>
  <c r="H32" i="99" s="1"/>
  <c r="I126" i="97"/>
  <c r="H126" i="97"/>
  <c r="H31" i="99" s="1"/>
  <c r="L108" i="97"/>
  <c r="L13" i="99" s="1"/>
  <c r="AG107" i="97"/>
  <c r="AH107" i="97" s="1"/>
  <c r="AF107" i="97"/>
  <c r="AD107" i="97"/>
  <c r="AD12" i="99" s="1"/>
  <c r="L107" i="97"/>
  <c r="L12" i="99" s="1"/>
  <c r="J107" i="97"/>
  <c r="J12" i="99" s="1"/>
  <c r="L106" i="97"/>
  <c r="L11" i="99" s="1"/>
  <c r="L105" i="97"/>
  <c r="L10" i="99" s="1"/>
  <c r="J105" i="97"/>
  <c r="J10" i="99" s="1"/>
  <c r="L104" i="97"/>
  <c r="X102" i="97"/>
  <c r="U102" i="97"/>
  <c r="K102" i="97"/>
  <c r="G102" i="97"/>
  <c r="D102" i="97"/>
  <c r="D7" i="99" s="1"/>
  <c r="D101" i="97"/>
  <c r="D6" i="99" s="1"/>
  <c r="N98" i="97"/>
  <c r="AC90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K83" i="97"/>
  <c r="Y83" i="97" s="1"/>
  <c r="G83" i="97"/>
  <c r="V83" i="97" s="1"/>
  <c r="D83" i="97"/>
  <c r="D82" i="97"/>
  <c r="N79" i="97"/>
  <c r="AD79" i="97" s="1"/>
  <c r="L71" i="97"/>
  <c r="J71" i="97"/>
  <c r="Z70" i="97"/>
  <c r="AE69" i="97"/>
  <c r="AD69" i="97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M6" i="98" s="1"/>
  <c r="AE68" i="97"/>
  <c r="AD68" i="97"/>
  <c r="AC68" i="97"/>
  <c r="AA68" i="97"/>
  <c r="Z68" i="97"/>
  <c r="Y68" i="97"/>
  <c r="X68" i="97"/>
  <c r="W68" i="97"/>
  <c r="V68" i="97"/>
  <c r="U68" i="97"/>
  <c r="N68" i="97"/>
  <c r="AB68" i="97" s="1"/>
  <c r="I68" i="97"/>
  <c r="H68" i="97"/>
  <c r="G68" i="97"/>
  <c r="F68" i="97"/>
  <c r="E68" i="97"/>
  <c r="D68" i="97"/>
  <c r="M5" i="98" s="1"/>
  <c r="AE67" i="97"/>
  <c r="AD67" i="97"/>
  <c r="AC67" i="97"/>
  <c r="AA67" i="97"/>
  <c r="Z67" i="97"/>
  <c r="Y67" i="97"/>
  <c r="X67" i="97"/>
  <c r="W67" i="97"/>
  <c r="V67" i="97"/>
  <c r="U67" i="97"/>
  <c r="N67" i="97"/>
  <c r="I67" i="97"/>
  <c r="H67" i="97"/>
  <c r="G67" i="97"/>
  <c r="F67" i="97"/>
  <c r="E67" i="97"/>
  <c r="E105" i="97" s="1"/>
  <c r="D67" i="97"/>
  <c r="Z66" i="97"/>
  <c r="X64" i="97"/>
  <c r="U64" i="97"/>
  <c r="K64" i="97"/>
  <c r="Y64" i="97" s="1"/>
  <c r="G64" i="97"/>
  <c r="V64" i="97" s="1"/>
  <c r="D64" i="97"/>
  <c r="D63" i="97"/>
  <c r="N60" i="97"/>
  <c r="AD60" i="97" s="1"/>
  <c r="L52" i="97"/>
  <c r="J52" i="97"/>
  <c r="Z51" i="97"/>
  <c r="AE50" i="97"/>
  <c r="AE107" i="97" s="1"/>
  <c r="AD50" i="97"/>
  <c r="AC50" i="97"/>
  <c r="AC107" i="97" s="1"/>
  <c r="AA50" i="97"/>
  <c r="AA107" i="97" s="1"/>
  <c r="Z50" i="97"/>
  <c r="Z107" i="97" s="1"/>
  <c r="Y50" i="97"/>
  <c r="Y107" i="97" s="1"/>
  <c r="X50" i="97"/>
  <c r="X107" i="97" s="1"/>
  <c r="W50" i="97"/>
  <c r="W107" i="97" s="1"/>
  <c r="V50" i="97"/>
  <c r="V107" i="97" s="1"/>
  <c r="U50" i="97"/>
  <c r="N50" i="97"/>
  <c r="I50" i="97"/>
  <c r="I107" i="97" s="1"/>
  <c r="H50" i="97"/>
  <c r="H107" i="97" s="1"/>
  <c r="G50" i="97"/>
  <c r="G107" i="97" s="1"/>
  <c r="F50" i="97"/>
  <c r="F107" i="97" s="1"/>
  <c r="E50" i="97"/>
  <c r="E107" i="97" s="1"/>
  <c r="D50" i="97"/>
  <c r="AE49" i="97"/>
  <c r="AE106" i="97" s="1"/>
  <c r="AD49" i="97"/>
  <c r="AC49" i="97"/>
  <c r="AC106" i="97" s="1"/>
  <c r="AA49" i="97"/>
  <c r="Z49" i="97"/>
  <c r="Y49" i="97"/>
  <c r="Y106" i="97" s="1"/>
  <c r="X49" i="97"/>
  <c r="X106" i="97" s="1"/>
  <c r="W49" i="97"/>
  <c r="W106" i="97" s="1"/>
  <c r="V49" i="97"/>
  <c r="V106" i="97" s="1"/>
  <c r="U49" i="97"/>
  <c r="N49" i="97"/>
  <c r="I49" i="97"/>
  <c r="I106" i="97" s="1"/>
  <c r="H49" i="97"/>
  <c r="H106" i="97" s="1"/>
  <c r="G49" i="97"/>
  <c r="G106" i="97" s="1"/>
  <c r="F49" i="97"/>
  <c r="F106" i="97" s="1"/>
  <c r="E49" i="97"/>
  <c r="E106" i="97" s="1"/>
  <c r="D49" i="97"/>
  <c r="AE48" i="97"/>
  <c r="AE105" i="97" s="1"/>
  <c r="AD48" i="97"/>
  <c r="AC48" i="97"/>
  <c r="AC105" i="97" s="1"/>
  <c r="AA48" i="97"/>
  <c r="Z48" i="97"/>
  <c r="Y48" i="97"/>
  <c r="X48" i="97"/>
  <c r="W48" i="97"/>
  <c r="V48" i="97"/>
  <c r="U48" i="97"/>
  <c r="N48" i="97"/>
  <c r="I48" i="97"/>
  <c r="H48" i="97"/>
  <c r="G48" i="97"/>
  <c r="F48" i="97"/>
  <c r="E48" i="97"/>
  <c r="D48" i="97"/>
  <c r="Z47" i="97"/>
  <c r="X45" i="97"/>
  <c r="U45" i="97"/>
  <c r="L33" i="97"/>
  <c r="J33" i="97"/>
  <c r="Z32" i="97"/>
  <c r="AE31" i="97"/>
  <c r="AD31" i="97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AE30" i="97"/>
  <c r="AD30" i="97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AE29" i="97"/>
  <c r="AD29" i="97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AC28" i="97"/>
  <c r="AA28" i="97"/>
  <c r="Z28" i="97"/>
  <c r="Z33" i="97" s="1"/>
  <c r="Y28" i="97"/>
  <c r="X28" i="97"/>
  <c r="W28" i="97"/>
  <c r="V28" i="97"/>
  <c r="U28" i="97"/>
  <c r="N28" i="97"/>
  <c r="I28" i="97"/>
  <c r="H28" i="97"/>
  <c r="G28" i="97"/>
  <c r="F28" i="97"/>
  <c r="X26" i="97"/>
  <c r="U26" i="97"/>
  <c r="L14" i="97"/>
  <c r="J14" i="97"/>
  <c r="Z13" i="97"/>
  <c r="AE12" i="97"/>
  <c r="AD12" i="97"/>
  <c r="AC12" i="97"/>
  <c r="AA12" i="97"/>
  <c r="Z12" i="97"/>
  <c r="Y12" i="97"/>
  <c r="X12" i="97"/>
  <c r="W12" i="97"/>
  <c r="V12" i="97"/>
  <c r="U12" i="97"/>
  <c r="N12" i="97"/>
  <c r="AB12" i="97" s="1"/>
  <c r="I12" i="97"/>
  <c r="H12" i="97"/>
  <c r="G12" i="97"/>
  <c r="F12" i="97"/>
  <c r="E12" i="97"/>
  <c r="D12" i="97"/>
  <c r="K12" i="97" s="1"/>
  <c r="M12" i="97" s="1"/>
  <c r="O12" i="97" s="1"/>
  <c r="AE11" i="97"/>
  <c r="AD11" i="97"/>
  <c r="AC11" i="97"/>
  <c r="AA11" i="97"/>
  <c r="Z11" i="97"/>
  <c r="Y11" i="97"/>
  <c r="X11" i="97"/>
  <c r="W11" i="97"/>
  <c r="V11" i="97"/>
  <c r="U11" i="97"/>
  <c r="N11" i="97"/>
  <c r="AB11" i="97" s="1"/>
  <c r="I11" i="97"/>
  <c r="H11" i="97"/>
  <c r="G11" i="97"/>
  <c r="F11" i="97"/>
  <c r="E11" i="97"/>
  <c r="D11" i="97"/>
  <c r="K11" i="97" s="1"/>
  <c r="M11" i="97" s="1"/>
  <c r="O11" i="97" s="1"/>
  <c r="AE10" i="97"/>
  <c r="AD10" i="97"/>
  <c r="AC10" i="97"/>
  <c r="AA10" i="97"/>
  <c r="Z10" i="97"/>
  <c r="Y10" i="97"/>
  <c r="X10" i="97"/>
  <c r="W10" i="97"/>
  <c r="V10" i="97"/>
  <c r="U10" i="97"/>
  <c r="N10" i="97"/>
  <c r="AB10" i="97" s="1"/>
  <c r="I10" i="97"/>
  <c r="H10" i="97"/>
  <c r="G10" i="97"/>
  <c r="F10" i="97"/>
  <c r="E10" i="97"/>
  <c r="D10" i="97"/>
  <c r="K10" i="97" s="1"/>
  <c r="M10" i="97" s="1"/>
  <c r="O10" i="97" s="1"/>
  <c r="Z9" i="97"/>
  <c r="Z14" i="97" s="1"/>
  <c r="X7" i="97"/>
  <c r="U7" i="97"/>
  <c r="K7" i="97"/>
  <c r="G7" i="97"/>
  <c r="D7" i="97"/>
  <c r="D6" i="97"/>
  <c r="N3" i="97"/>
  <c r="O46" i="81"/>
  <c r="N46" i="81"/>
  <c r="M46" i="81"/>
  <c r="F46" i="81"/>
  <c r="E34" i="81"/>
  <c r="E33" i="81"/>
  <c r="E32" i="81"/>
  <c r="E31" i="81"/>
  <c r="E30" i="81"/>
  <c r="X7" i="81"/>
  <c r="U7" i="81"/>
  <c r="U6" i="81"/>
  <c r="F6" i="81"/>
  <c r="C14" i="80"/>
  <c r="C8" i="80"/>
  <c r="H8" i="80" s="1"/>
  <c r="L7" i="80"/>
  <c r="C7" i="80"/>
  <c r="L6" i="80"/>
  <c r="C6" i="80"/>
  <c r="L5" i="80"/>
  <c r="C5" i="80"/>
  <c r="L4" i="80"/>
  <c r="C4" i="80"/>
  <c r="L3" i="80"/>
  <c r="C3" i="80"/>
  <c r="E146" i="79"/>
  <c r="H145" i="79"/>
  <c r="G6" i="80" s="1"/>
  <c r="E145" i="79"/>
  <c r="E144" i="79"/>
  <c r="H143" i="79"/>
  <c r="G4" i="80" s="1"/>
  <c r="E143" i="79"/>
  <c r="E142" i="79"/>
  <c r="E147" i="79" s="1"/>
  <c r="E130" i="79"/>
  <c r="I128" i="79"/>
  <c r="I126" i="79"/>
  <c r="AG107" i="79"/>
  <c r="X102" i="79"/>
  <c r="U102" i="79"/>
  <c r="AC90" i="79"/>
  <c r="L90" i="79"/>
  <c r="AD88" i="79"/>
  <c r="AB88" i="79"/>
  <c r="Z88" i="79"/>
  <c r="AF88" i="79" s="1"/>
  <c r="K88" i="79"/>
  <c r="M88" i="79" s="1"/>
  <c r="O88" i="79" s="1"/>
  <c r="AD86" i="79"/>
  <c r="AB86" i="79"/>
  <c r="Z86" i="79"/>
  <c r="AF86" i="79" s="1"/>
  <c r="K86" i="79"/>
  <c r="M86" i="79" s="1"/>
  <c r="O86" i="79" s="1"/>
  <c r="X83" i="79"/>
  <c r="U83" i="79"/>
  <c r="L71" i="79"/>
  <c r="J71" i="79"/>
  <c r="Z70" i="79"/>
  <c r="Z69" i="79"/>
  <c r="Z68" i="79"/>
  <c r="Z67" i="79"/>
  <c r="Z66" i="79"/>
  <c r="Z71" i="79" s="1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Z33" i="79" s="1"/>
  <c r="X26" i="79"/>
  <c r="U26" i="79"/>
  <c r="X7" i="79"/>
  <c r="U7" i="79"/>
  <c r="K7" i="79"/>
  <c r="G7" i="79"/>
  <c r="D7" i="79"/>
  <c r="D6" i="79"/>
  <c r="N3" i="79"/>
  <c r="O45" i="76"/>
  <c r="N45" i="76"/>
  <c r="M45" i="76"/>
  <c r="F45" i="76"/>
  <c r="E35" i="76"/>
  <c r="I34" i="76"/>
  <c r="E34" i="76"/>
  <c r="E33" i="76"/>
  <c r="I32" i="76"/>
  <c r="E32" i="76"/>
  <c r="E31" i="76"/>
  <c r="I30" i="76"/>
  <c r="E30" i="76"/>
  <c r="L13" i="76"/>
  <c r="J13" i="76"/>
  <c r="X7" i="76"/>
  <c r="U7" i="76"/>
  <c r="U6" i="76"/>
  <c r="F6" i="76"/>
  <c r="C14" i="77"/>
  <c r="C8" i="77"/>
  <c r="H8" i="77" s="1"/>
  <c r="L7" i="77"/>
  <c r="F7" i="77"/>
  <c r="C7" i="77"/>
  <c r="L6" i="77"/>
  <c r="C6" i="77"/>
  <c r="L5" i="77"/>
  <c r="F5" i="77"/>
  <c r="C5" i="77"/>
  <c r="L4" i="77"/>
  <c r="C4" i="77"/>
  <c r="L3" i="77"/>
  <c r="F3" i="77"/>
  <c r="C3" i="77"/>
  <c r="H146" i="75"/>
  <c r="G7" i="77" s="1"/>
  <c r="E146" i="75"/>
  <c r="E145" i="75"/>
  <c r="H144" i="75"/>
  <c r="G5" i="77" s="1"/>
  <c r="E144" i="75"/>
  <c r="E143" i="75"/>
  <c r="H142" i="75"/>
  <c r="E142" i="75"/>
  <c r="E147" i="75" s="1"/>
  <c r="E130" i="75"/>
  <c r="I129" i="75"/>
  <c r="I25" i="91" s="1"/>
  <c r="I127" i="75"/>
  <c r="I23" i="91" s="1"/>
  <c r="I125" i="75"/>
  <c r="L108" i="75"/>
  <c r="J108" i="75"/>
  <c r="L107" i="75"/>
  <c r="L12" i="76" s="1"/>
  <c r="L106" i="75"/>
  <c r="L11" i="76" s="1"/>
  <c r="J106" i="75"/>
  <c r="J11" i="76" s="1"/>
  <c r="L105" i="75"/>
  <c r="L10" i="76" s="1"/>
  <c r="L104" i="75"/>
  <c r="X102" i="75"/>
  <c r="U102" i="75"/>
  <c r="AC90" i="75"/>
  <c r="L90" i="75"/>
  <c r="AF89" i="75"/>
  <c r="K89" i="75"/>
  <c r="M89" i="75" s="1"/>
  <c r="O89" i="75" s="1"/>
  <c r="Z88" i="75"/>
  <c r="AD87" i="75"/>
  <c r="AF87" i="75" s="1"/>
  <c r="K87" i="75"/>
  <c r="M87" i="75" s="1"/>
  <c r="O87" i="75" s="1"/>
  <c r="Z86" i="75"/>
  <c r="AB85" i="75"/>
  <c r="Z85" i="75"/>
  <c r="X83" i="75"/>
  <c r="U83" i="75"/>
  <c r="L71" i="75"/>
  <c r="J71" i="75"/>
  <c r="AE70" i="75"/>
  <c r="AD70" i="75" s="1"/>
  <c r="AC70" i="75"/>
  <c r="AA70" i="75"/>
  <c r="Z70" i="75"/>
  <c r="Y70" i="75"/>
  <c r="X70" i="75"/>
  <c r="W70" i="75"/>
  <c r="V70" i="75"/>
  <c r="U70" i="75"/>
  <c r="N70" i="75"/>
  <c r="AB70" i="75" s="1"/>
  <c r="I70" i="75"/>
  <c r="H70" i="75"/>
  <c r="G70" i="75"/>
  <c r="F70" i="75"/>
  <c r="E70" i="75"/>
  <c r="D70" i="75"/>
  <c r="Z69" i="75"/>
  <c r="AE68" i="75"/>
  <c r="AD68" i="75"/>
  <c r="AC68" i="75"/>
  <c r="AA68" i="75"/>
  <c r="Z68" i="75"/>
  <c r="Y68" i="75"/>
  <c r="X68" i="75"/>
  <c r="W68" i="75"/>
  <c r="V68" i="75"/>
  <c r="U68" i="75"/>
  <c r="N68" i="75"/>
  <c r="AB68" i="75" s="1"/>
  <c r="I68" i="75"/>
  <c r="H68" i="75"/>
  <c r="G68" i="75"/>
  <c r="F68" i="75"/>
  <c r="E68" i="75"/>
  <c r="D68" i="75"/>
  <c r="Z67" i="75"/>
  <c r="AE66" i="75"/>
  <c r="AD66" i="75"/>
  <c r="AC66" i="75"/>
  <c r="AA66" i="75"/>
  <c r="Z66" i="75"/>
  <c r="Z71" i="75" s="1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L52" i="75"/>
  <c r="J52" i="75"/>
  <c r="AE51" i="75"/>
  <c r="AD51" i="75"/>
  <c r="AC51" i="75"/>
  <c r="AA51" i="75"/>
  <c r="Z51" i="75"/>
  <c r="Y51" i="75"/>
  <c r="X51" i="75"/>
  <c r="W51" i="75"/>
  <c r="V51" i="75"/>
  <c r="U51" i="75"/>
  <c r="N51" i="75"/>
  <c r="AB51" i="75" s="1"/>
  <c r="I51" i="75"/>
  <c r="H51" i="75"/>
  <c r="G51" i="75"/>
  <c r="F51" i="75"/>
  <c r="E51" i="75"/>
  <c r="D51" i="75"/>
  <c r="Z50" i="75"/>
  <c r="AE49" i="75"/>
  <c r="AD49" i="75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Z48" i="75"/>
  <c r="AE47" i="75"/>
  <c r="AD47" i="75"/>
  <c r="AC47" i="75"/>
  <c r="AA47" i="75"/>
  <c r="Z47" i="75"/>
  <c r="Z52" i="75" s="1"/>
  <c r="Y47" i="75"/>
  <c r="X47" i="75"/>
  <c r="W47" i="75"/>
  <c r="V47" i="75"/>
  <c r="U47" i="75"/>
  <c r="N47" i="75"/>
  <c r="I47" i="75"/>
  <c r="H47" i="75"/>
  <c r="G47" i="75"/>
  <c r="F47" i="75"/>
  <c r="E47" i="75"/>
  <c r="D47" i="75"/>
  <c r="X45" i="75"/>
  <c r="U45" i="75"/>
  <c r="L33" i="75"/>
  <c r="J33" i="75"/>
  <c r="AE32" i="75"/>
  <c r="AD32" i="75" s="1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Z31" i="75"/>
  <c r="AE30" i="75"/>
  <c r="AD30" i="75" s="1"/>
  <c r="AC30" i="75"/>
  <c r="AA30" i="75"/>
  <c r="Z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D30" i="75"/>
  <c r="Z29" i="75"/>
  <c r="AE28" i="75"/>
  <c r="AC28" i="75"/>
  <c r="AA28" i="75"/>
  <c r="Z28" i="75"/>
  <c r="Z33" i="75" s="1"/>
  <c r="Y28" i="75"/>
  <c r="X28" i="75"/>
  <c r="W28" i="75"/>
  <c r="V28" i="75"/>
  <c r="U28" i="75"/>
  <c r="N28" i="75"/>
  <c r="I28" i="75"/>
  <c r="H28" i="75"/>
  <c r="G28" i="75"/>
  <c r="F28" i="75"/>
  <c r="E28" i="75"/>
  <c r="D28" i="75"/>
  <c r="X26" i="75"/>
  <c r="U26" i="75"/>
  <c r="L14" i="75"/>
  <c r="J14" i="75"/>
  <c r="AE13" i="75"/>
  <c r="AE108" i="75" s="1"/>
  <c r="AD13" i="75"/>
  <c r="AC13" i="75"/>
  <c r="AC108" i="75" s="1"/>
  <c r="AA13" i="75"/>
  <c r="Z13" i="75"/>
  <c r="Y13" i="75"/>
  <c r="X13" i="75"/>
  <c r="W13" i="75"/>
  <c r="V13" i="75"/>
  <c r="U13" i="75"/>
  <c r="N13" i="75"/>
  <c r="I13" i="75"/>
  <c r="H13" i="75"/>
  <c r="G13" i="75"/>
  <c r="F13" i="75"/>
  <c r="E13" i="75"/>
  <c r="D13" i="75"/>
  <c r="Z12" i="75"/>
  <c r="AE11" i="75"/>
  <c r="AD11" i="75"/>
  <c r="AC11" i="75"/>
  <c r="AA11" i="75"/>
  <c r="Z11" i="75"/>
  <c r="Y11" i="75"/>
  <c r="X11" i="75"/>
  <c r="W11" i="75"/>
  <c r="V11" i="75"/>
  <c r="U11" i="75"/>
  <c r="N11" i="75"/>
  <c r="I11" i="75"/>
  <c r="H11" i="75"/>
  <c r="G11" i="75"/>
  <c r="F11" i="75"/>
  <c r="E11" i="75"/>
  <c r="D11" i="75"/>
  <c r="Z10" i="75"/>
  <c r="AE9" i="75"/>
  <c r="AC9" i="75"/>
  <c r="AA9" i="75"/>
  <c r="Z9" i="75"/>
  <c r="Y9" i="75"/>
  <c r="X9" i="75"/>
  <c r="W9" i="75"/>
  <c r="V9" i="75"/>
  <c r="U9" i="75"/>
  <c r="N9" i="75"/>
  <c r="I9" i="75"/>
  <c r="H9" i="75"/>
  <c r="G9" i="75"/>
  <c r="F9" i="75"/>
  <c r="E9" i="75"/>
  <c r="D9" i="75"/>
  <c r="X7" i="75"/>
  <c r="U7" i="75"/>
  <c r="K7" i="75"/>
  <c r="G7" i="75"/>
  <c r="D7" i="75"/>
  <c r="D6" i="75"/>
  <c r="N3" i="75"/>
  <c r="O45" i="39"/>
  <c r="N45" i="39"/>
  <c r="M45" i="39"/>
  <c r="F45" i="39"/>
  <c r="E34" i="39"/>
  <c r="E33" i="39"/>
  <c r="E32" i="39"/>
  <c r="E31" i="39"/>
  <c r="E30" i="39"/>
  <c r="X7" i="39"/>
  <c r="U7" i="39"/>
  <c r="U6" i="39"/>
  <c r="F6" i="39"/>
  <c r="C8" i="36"/>
  <c r="H8" i="36" s="1"/>
  <c r="L7" i="36"/>
  <c r="C7" i="36"/>
  <c r="L6" i="36"/>
  <c r="C6" i="36"/>
  <c r="L5" i="36"/>
  <c r="C5" i="36"/>
  <c r="L4" i="36"/>
  <c r="C4" i="36"/>
  <c r="L3" i="36"/>
  <c r="C3" i="36"/>
  <c r="R31" i="95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J51" i="69"/>
  <c r="Z50" i="69"/>
  <c r="J50" i="69"/>
  <c r="J88" i="75" s="1"/>
  <c r="Z49" i="69"/>
  <c r="J49" i="69"/>
  <c r="Z48" i="69"/>
  <c r="J48" i="69"/>
  <c r="J86" i="75" s="1"/>
  <c r="Z47" i="69"/>
  <c r="J47" i="69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U6" i="69"/>
  <c r="D6" i="69"/>
  <c r="N3" i="69"/>
  <c r="C63" i="67"/>
  <c r="AD32" i="69" s="1"/>
  <c r="AC32" i="69" s="1"/>
  <c r="O62" i="67"/>
  <c r="AA32" i="69" s="1"/>
  <c r="N62" i="67"/>
  <c r="Y32" i="69" s="1"/>
  <c r="M62" i="67"/>
  <c r="X32" i="69" s="1"/>
  <c r="L62" i="67"/>
  <c r="W32" i="69" s="1"/>
  <c r="K62" i="67"/>
  <c r="V32" i="69" s="1"/>
  <c r="J62" i="67"/>
  <c r="U32" i="69" s="1"/>
  <c r="I62" i="67"/>
  <c r="N32" i="69" s="1"/>
  <c r="AB32" i="69" s="1"/>
  <c r="H62" i="67"/>
  <c r="I32" i="69" s="1"/>
  <c r="G62" i="67"/>
  <c r="H32" i="69" s="1"/>
  <c r="F62" i="67"/>
  <c r="G32" i="69" s="1"/>
  <c r="E62" i="67"/>
  <c r="F32" i="69" s="1"/>
  <c r="D62" i="67"/>
  <c r="E32" i="69" s="1"/>
  <c r="C62" i="67"/>
  <c r="D32" i="69" s="1"/>
  <c r="K32" i="69" s="1"/>
  <c r="M32" i="69" s="1"/>
  <c r="O32" i="69" s="1"/>
  <c r="C50" i="67"/>
  <c r="AD31" i="69" s="1"/>
  <c r="AC31" i="69" s="1"/>
  <c r="O49" i="67"/>
  <c r="AA31" i="69" s="1"/>
  <c r="N49" i="67"/>
  <c r="Y31" i="69" s="1"/>
  <c r="M49" i="67"/>
  <c r="X31" i="69" s="1"/>
  <c r="L49" i="67"/>
  <c r="W31" i="69" s="1"/>
  <c r="K49" i="67"/>
  <c r="V31" i="69" s="1"/>
  <c r="J49" i="67"/>
  <c r="U31" i="69" s="1"/>
  <c r="I49" i="67"/>
  <c r="N31" i="69" s="1"/>
  <c r="AB31" i="69" s="1"/>
  <c r="H49" i="67"/>
  <c r="I31" i="69" s="1"/>
  <c r="G49" i="67"/>
  <c r="H31" i="69" s="1"/>
  <c r="F49" i="67"/>
  <c r="G31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N36" i="67"/>
  <c r="Y30" i="69" s="1"/>
  <c r="M36" i="67"/>
  <c r="X30" i="69" s="1"/>
  <c r="L36" i="67"/>
  <c r="W30" i="69" s="1"/>
  <c r="K36" i="67"/>
  <c r="V30" i="69" s="1"/>
  <c r="J36" i="67"/>
  <c r="U30" i="69" s="1"/>
  <c r="I36" i="67"/>
  <c r="N30" i="69" s="1"/>
  <c r="AB30" i="69" s="1"/>
  <c r="H36" i="67"/>
  <c r="I30" i="69" s="1"/>
  <c r="G36" i="67"/>
  <c r="H30" i="69" s="1"/>
  <c r="F36" i="67"/>
  <c r="G30" i="69" s="1"/>
  <c r="E36" i="67"/>
  <c r="F30" i="69" s="1"/>
  <c r="D36" i="67"/>
  <c r="E30" i="69" s="1"/>
  <c r="C36" i="67"/>
  <c r="D30" i="69" s="1"/>
  <c r="C24" i="67"/>
  <c r="AD29" i="69" s="1"/>
  <c r="AC29" i="69" s="1"/>
  <c r="O23" i="67"/>
  <c r="AA29" i="69" s="1"/>
  <c r="N23" i="67"/>
  <c r="Y29" i="69" s="1"/>
  <c r="M23" i="67"/>
  <c r="X29" i="69" s="1"/>
  <c r="L23" i="67"/>
  <c r="W29" i="69" s="1"/>
  <c r="K23" i="67"/>
  <c r="V29" i="69" s="1"/>
  <c r="J23" i="67"/>
  <c r="U29" i="69" s="1"/>
  <c r="I23" i="67"/>
  <c r="N29" i="69" s="1"/>
  <c r="AB29" i="69" s="1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N10" i="67"/>
  <c r="Y28" i="69" s="1"/>
  <c r="M10" i="67"/>
  <c r="X28" i="69" s="1"/>
  <c r="L10" i="67"/>
  <c r="W28" i="69" s="1"/>
  <c r="K10" i="67"/>
  <c r="V28" i="69" s="1"/>
  <c r="J10" i="67"/>
  <c r="U28" i="69" s="1"/>
  <c r="I10" i="67"/>
  <c r="N28" i="69" s="1"/>
  <c r="H10" i="67"/>
  <c r="I28" i="69" s="1"/>
  <c r="G10" i="67"/>
  <c r="H28" i="69" s="1"/>
  <c r="F10" i="67"/>
  <c r="G28" i="69" s="1"/>
  <c r="E10" i="67"/>
  <c r="F28" i="69" s="1"/>
  <c r="D10" i="67"/>
  <c r="E28" i="69" s="1"/>
  <c r="C10" i="67"/>
  <c r="D28" i="69" s="1"/>
  <c r="C63" i="68"/>
  <c r="AD13" i="69" s="1"/>
  <c r="P62" i="68"/>
  <c r="O62" i="68"/>
  <c r="AA13" i="69" s="1"/>
  <c r="N62" i="68"/>
  <c r="Y13" i="69" s="1"/>
  <c r="M62" i="68"/>
  <c r="X13" i="69" s="1"/>
  <c r="L62" i="68"/>
  <c r="W13" i="69" s="1"/>
  <c r="K62" i="68"/>
  <c r="V13" i="69" s="1"/>
  <c r="J62" i="68"/>
  <c r="U13" i="69" s="1"/>
  <c r="I62" i="68"/>
  <c r="N13" i="69" s="1"/>
  <c r="H62" i="68"/>
  <c r="I13" i="69" s="1"/>
  <c r="G62" i="68"/>
  <c r="H13" i="69" s="1"/>
  <c r="F62" i="68"/>
  <c r="G13" i="69" s="1"/>
  <c r="E62" i="68"/>
  <c r="F13" i="69" s="1"/>
  <c r="D62" i="68"/>
  <c r="E13" i="69" s="1"/>
  <c r="C62" i="68"/>
  <c r="D13" i="69" s="1"/>
  <c r="C50" i="68"/>
  <c r="AD12" i="69" s="1"/>
  <c r="P49" i="68"/>
  <c r="O49" i="68"/>
  <c r="AA12" i="69" s="1"/>
  <c r="N49" i="68"/>
  <c r="Y12" i="69" s="1"/>
  <c r="M49" i="68"/>
  <c r="X12" i="69" s="1"/>
  <c r="L49" i="68"/>
  <c r="W12" i="69" s="1"/>
  <c r="K49" i="68"/>
  <c r="V12" i="69" s="1"/>
  <c r="J49" i="68"/>
  <c r="U12" i="69" s="1"/>
  <c r="I49" i="68"/>
  <c r="N12" i="69" s="1"/>
  <c r="H49" i="68"/>
  <c r="I12" i="69" s="1"/>
  <c r="G49" i="68"/>
  <c r="H12" i="69" s="1"/>
  <c r="F49" i="68"/>
  <c r="G12" i="69" s="1"/>
  <c r="E49" i="68"/>
  <c r="F12" i="69" s="1"/>
  <c r="D49" i="68"/>
  <c r="E12" i="69" s="1"/>
  <c r="C49" i="68"/>
  <c r="D12" i="69" s="1"/>
  <c r="C37" i="68"/>
  <c r="AD11" i="69" s="1"/>
  <c r="P36" i="68"/>
  <c r="O36" i="68"/>
  <c r="AA11" i="69" s="1"/>
  <c r="N36" i="68"/>
  <c r="Y11" i="69" s="1"/>
  <c r="M36" i="68"/>
  <c r="X11" i="69" s="1"/>
  <c r="L36" i="68"/>
  <c r="W11" i="69" s="1"/>
  <c r="K36" i="68"/>
  <c r="V11" i="69" s="1"/>
  <c r="J36" i="68"/>
  <c r="U11" i="69" s="1"/>
  <c r="I36" i="68"/>
  <c r="N11" i="69" s="1"/>
  <c r="H36" i="68"/>
  <c r="I11" i="69" s="1"/>
  <c r="G36" i="68"/>
  <c r="H11" i="69" s="1"/>
  <c r="F36" i="68"/>
  <c r="G11" i="69" s="1"/>
  <c r="E36" i="68"/>
  <c r="F11" i="69" s="1"/>
  <c r="F49" i="69" s="1"/>
  <c r="D36" i="68"/>
  <c r="E11" i="69" s="1"/>
  <c r="E49" i="69" s="1"/>
  <c r="C36" i="68"/>
  <c r="D11" i="69" s="1"/>
  <c r="C24" i="68"/>
  <c r="AD10" i="69" s="1"/>
  <c r="P23" i="68"/>
  <c r="O23" i="68"/>
  <c r="AA10" i="69" s="1"/>
  <c r="AA48" i="69" s="1"/>
  <c r="N23" i="68"/>
  <c r="Y10" i="69" s="1"/>
  <c r="Y48" i="69" s="1"/>
  <c r="M23" i="68"/>
  <c r="X10" i="69" s="1"/>
  <c r="X48" i="69" s="1"/>
  <c r="L23" i="68"/>
  <c r="W10" i="69" s="1"/>
  <c r="W48" i="69" s="1"/>
  <c r="K23" i="68"/>
  <c r="V10" i="69" s="1"/>
  <c r="V48" i="69" s="1"/>
  <c r="J23" i="68"/>
  <c r="U10" i="69" s="1"/>
  <c r="I23" i="68"/>
  <c r="N10" i="69" s="1"/>
  <c r="H23" i="68"/>
  <c r="I10" i="69" s="1"/>
  <c r="I48" i="69" s="1"/>
  <c r="G23" i="68"/>
  <c r="H10" i="69" s="1"/>
  <c r="H48" i="69" s="1"/>
  <c r="F23" i="68"/>
  <c r="G10" i="69" s="1"/>
  <c r="G48" i="69" s="1"/>
  <c r="E23" i="68"/>
  <c r="F10" i="69" s="1"/>
  <c r="F48" i="69" s="1"/>
  <c r="D23" i="68"/>
  <c r="E10" i="69" s="1"/>
  <c r="E48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AE70" i="85" s="1"/>
  <c r="AD70" i="85" s="1"/>
  <c r="R385" i="61"/>
  <c r="Q385" i="61"/>
  <c r="AC70" i="85" s="1"/>
  <c r="P385" i="61"/>
  <c r="N70" i="85" s="1"/>
  <c r="AB70" i="85" s="1"/>
  <c r="O385" i="61"/>
  <c r="AA70" i="85" s="1"/>
  <c r="N385" i="61"/>
  <c r="Y70" i="85" s="1"/>
  <c r="M385" i="61"/>
  <c r="X70" i="85" s="1"/>
  <c r="L385" i="61"/>
  <c r="W70" i="85" s="1"/>
  <c r="K385" i="61"/>
  <c r="V70" i="85" s="1"/>
  <c r="J385" i="61"/>
  <c r="U70" i="85" s="1"/>
  <c r="AF70" i="85" s="1"/>
  <c r="I385" i="61"/>
  <c r="I70" i="85" s="1"/>
  <c r="H385" i="61"/>
  <c r="H70" i="85" s="1"/>
  <c r="G385" i="61"/>
  <c r="G70" i="85" s="1"/>
  <c r="F385" i="61"/>
  <c r="F70" i="85" s="1"/>
  <c r="E385" i="61"/>
  <c r="E70" i="85" s="1"/>
  <c r="D385" i="61"/>
  <c r="D70" i="85" s="1"/>
  <c r="D383" i="61"/>
  <c r="AE70" i="97" s="1"/>
  <c r="AD70" i="97" s="1"/>
  <c r="R382" i="61"/>
  <c r="Q382" i="61"/>
  <c r="AC70" i="97" s="1"/>
  <c r="P382" i="61"/>
  <c r="N70" i="97" s="1"/>
  <c r="AB70" i="97" s="1"/>
  <c r="O382" i="61"/>
  <c r="AA70" i="97" s="1"/>
  <c r="N382" i="61"/>
  <c r="Y70" i="97" s="1"/>
  <c r="M382" i="61"/>
  <c r="X70" i="97" s="1"/>
  <c r="L382" i="61"/>
  <c r="W70" i="97" s="1"/>
  <c r="K382" i="61"/>
  <c r="V70" i="97" s="1"/>
  <c r="J382" i="61"/>
  <c r="U70" i="97" s="1"/>
  <c r="AF70" i="97" s="1"/>
  <c r="I382" i="61"/>
  <c r="I70" i="97" s="1"/>
  <c r="H382" i="61"/>
  <c r="H70" i="97" s="1"/>
  <c r="G382" i="61"/>
  <c r="G70" i="97" s="1"/>
  <c r="F382" i="61"/>
  <c r="F70" i="97" s="1"/>
  <c r="E382" i="61"/>
  <c r="E70" i="97" s="1"/>
  <c r="D382" i="61"/>
  <c r="D70" i="97" s="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AF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AE70" i="22" s="1"/>
  <c r="AD70" i="22" s="1"/>
  <c r="R373" i="61"/>
  <c r="Q373" i="61"/>
  <c r="AC70" i="22" s="1"/>
  <c r="P373" i="61"/>
  <c r="N70" i="22" s="1"/>
  <c r="AB70" i="22" s="1"/>
  <c r="O373" i="61"/>
  <c r="AA70" i="22" s="1"/>
  <c r="N373" i="61"/>
  <c r="Y70" i="22" s="1"/>
  <c r="M373" i="61"/>
  <c r="X70" i="22" s="1"/>
  <c r="L373" i="61"/>
  <c r="W70" i="22" s="1"/>
  <c r="K373" i="61"/>
  <c r="V70" i="22" s="1"/>
  <c r="J373" i="61"/>
  <c r="U70" i="22" s="1"/>
  <c r="I373" i="61"/>
  <c r="I70" i="22" s="1"/>
  <c r="H373" i="61"/>
  <c r="H70" i="22" s="1"/>
  <c r="G373" i="61"/>
  <c r="G70" i="22" s="1"/>
  <c r="F373" i="61"/>
  <c r="F70" i="22" s="1"/>
  <c r="E373" i="61"/>
  <c r="E70" i="22" s="1"/>
  <c r="D373" i="61"/>
  <c r="D70" i="22" s="1"/>
  <c r="D345" i="61"/>
  <c r="AE69" i="85" s="1"/>
  <c r="AD69" i="85" s="1"/>
  <c r="R344" i="61"/>
  <c r="Q344" i="61"/>
  <c r="AC69" i="85" s="1"/>
  <c r="P344" i="61"/>
  <c r="N69" i="85" s="1"/>
  <c r="AB69" i="85" s="1"/>
  <c r="O344" i="61"/>
  <c r="AA69" i="85" s="1"/>
  <c r="N344" i="61"/>
  <c r="Y69" i="85" s="1"/>
  <c r="M344" i="61"/>
  <c r="X69" i="85" s="1"/>
  <c r="L344" i="61"/>
  <c r="W69" i="85" s="1"/>
  <c r="K344" i="61"/>
  <c r="V69" i="85" s="1"/>
  <c r="J344" i="61"/>
  <c r="U69" i="85" s="1"/>
  <c r="AF69" i="85" s="1"/>
  <c r="I344" i="61"/>
  <c r="I69" i="85" s="1"/>
  <c r="H344" i="61"/>
  <c r="H69" i="85" s="1"/>
  <c r="G344" i="61"/>
  <c r="G69" i="85" s="1"/>
  <c r="F344" i="61"/>
  <c r="F69" i="85" s="1"/>
  <c r="E344" i="61"/>
  <c r="E69" i="85" s="1"/>
  <c r="D344" i="61"/>
  <c r="D69" i="85" s="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AF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AE69" i="75" s="1"/>
  <c r="AD69" i="75" s="1"/>
  <c r="R335" i="61"/>
  <c r="Q335" i="61"/>
  <c r="AC69" i="75" s="1"/>
  <c r="P335" i="61"/>
  <c r="N69" i="75" s="1"/>
  <c r="AB69" i="75" s="1"/>
  <c r="O335" i="61"/>
  <c r="AA69" i="75" s="1"/>
  <c r="N335" i="61"/>
  <c r="Y69" i="75" s="1"/>
  <c r="M335" i="61"/>
  <c r="X69" i="75" s="1"/>
  <c r="L335" i="61"/>
  <c r="W69" i="75" s="1"/>
  <c r="K335" i="61"/>
  <c r="V69" i="75" s="1"/>
  <c r="J335" i="61"/>
  <c r="U69" i="75" s="1"/>
  <c r="AF69" i="75" s="1"/>
  <c r="I335" i="61"/>
  <c r="I69" i="75" s="1"/>
  <c r="H335" i="61"/>
  <c r="H69" i="75" s="1"/>
  <c r="G335" i="61"/>
  <c r="G69" i="75" s="1"/>
  <c r="F335" i="61"/>
  <c r="F69" i="75" s="1"/>
  <c r="E335" i="61"/>
  <c r="E69" i="75" s="1"/>
  <c r="D335" i="61"/>
  <c r="D69" i="75" s="1"/>
  <c r="D333" i="61"/>
  <c r="AE69" i="22" s="1"/>
  <c r="AD69" i="22" s="1"/>
  <c r="R332" i="61"/>
  <c r="Q332" i="61"/>
  <c r="AC69" i="22" s="1"/>
  <c r="P332" i="61"/>
  <c r="N69" i="22" s="1"/>
  <c r="AB69" i="22" s="1"/>
  <c r="O332" i="61"/>
  <c r="AA69" i="22" s="1"/>
  <c r="N332" i="61"/>
  <c r="Y69" i="22" s="1"/>
  <c r="M332" i="61"/>
  <c r="X69" i="22" s="1"/>
  <c r="L332" i="61"/>
  <c r="W69" i="22" s="1"/>
  <c r="K332" i="61"/>
  <c r="V69" i="22" s="1"/>
  <c r="J332" i="61"/>
  <c r="U69" i="22" s="1"/>
  <c r="I332" i="61"/>
  <c r="I69" i="22" s="1"/>
  <c r="H332" i="61"/>
  <c r="H69" i="22" s="1"/>
  <c r="G332" i="61"/>
  <c r="G69" i="22" s="1"/>
  <c r="F332" i="61"/>
  <c r="F69" i="22" s="1"/>
  <c r="E332" i="61"/>
  <c r="E69" i="22" s="1"/>
  <c r="D332" i="61"/>
  <c r="D69" i="22" s="1"/>
  <c r="D230" i="61"/>
  <c r="AE68" i="85" s="1"/>
  <c r="AD68" i="85" s="1"/>
  <c r="R229" i="61"/>
  <c r="Q229" i="61"/>
  <c r="AC68" i="85" s="1"/>
  <c r="P229" i="61"/>
  <c r="N68" i="85" s="1"/>
  <c r="AB68" i="85" s="1"/>
  <c r="O229" i="61"/>
  <c r="AA68" i="85" s="1"/>
  <c r="N229" i="61"/>
  <c r="Y68" i="85" s="1"/>
  <c r="M229" i="61"/>
  <c r="X68" i="85" s="1"/>
  <c r="L229" i="61"/>
  <c r="W68" i="85" s="1"/>
  <c r="K229" i="61"/>
  <c r="V68" i="85" s="1"/>
  <c r="J229" i="61"/>
  <c r="U68" i="85" s="1"/>
  <c r="AF68" i="85" s="1"/>
  <c r="I229" i="61"/>
  <c r="I68" i="85" s="1"/>
  <c r="H229" i="61"/>
  <c r="H68" i="85" s="1"/>
  <c r="G229" i="61"/>
  <c r="G68" i="85" s="1"/>
  <c r="F229" i="61"/>
  <c r="F68" i="85" s="1"/>
  <c r="E229" i="61"/>
  <c r="E68" i="85" s="1"/>
  <c r="D229" i="61"/>
  <c r="D68" i="85" s="1"/>
  <c r="D224" i="61"/>
  <c r="AE68" i="79" s="1"/>
  <c r="AD68" i="79" s="1"/>
  <c r="R223" i="61"/>
  <c r="Q223" i="61"/>
  <c r="AC68" i="79" s="1"/>
  <c r="P223" i="61"/>
  <c r="N68" i="79" s="1"/>
  <c r="AB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AF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AE68" i="22" s="1"/>
  <c r="AD68" i="22" s="1"/>
  <c r="R217" i="61"/>
  <c r="Q217" i="61"/>
  <c r="AC68" i="22" s="1"/>
  <c r="P217" i="61"/>
  <c r="N68" i="22" s="1"/>
  <c r="AB68" i="22" s="1"/>
  <c r="O217" i="61"/>
  <c r="AA68" i="22" s="1"/>
  <c r="N217" i="61"/>
  <c r="Y68" i="22" s="1"/>
  <c r="M217" i="61"/>
  <c r="X68" i="22" s="1"/>
  <c r="L217" i="61"/>
  <c r="W68" i="22" s="1"/>
  <c r="K217" i="61"/>
  <c r="V68" i="22" s="1"/>
  <c r="J217" i="61"/>
  <c r="U68" i="22" s="1"/>
  <c r="I217" i="61"/>
  <c r="I68" i="22" s="1"/>
  <c r="H217" i="61"/>
  <c r="H68" i="22" s="1"/>
  <c r="G217" i="61"/>
  <c r="G68" i="22" s="1"/>
  <c r="F217" i="61"/>
  <c r="F68" i="22" s="1"/>
  <c r="E217" i="61"/>
  <c r="E68" i="22" s="1"/>
  <c r="D217" i="61"/>
  <c r="D68" i="22" s="1"/>
  <c r="D193" i="61"/>
  <c r="AE67" i="85" s="1"/>
  <c r="AD67" i="85" s="1"/>
  <c r="R192" i="61"/>
  <c r="Q192" i="61"/>
  <c r="AC67" i="85" s="1"/>
  <c r="P192" i="61"/>
  <c r="N67" i="85" s="1"/>
  <c r="AB67" i="85" s="1"/>
  <c r="O192" i="61"/>
  <c r="AA67" i="85" s="1"/>
  <c r="N192" i="61"/>
  <c r="Y67" i="85" s="1"/>
  <c r="M192" i="61"/>
  <c r="X67" i="85" s="1"/>
  <c r="L192" i="61"/>
  <c r="W67" i="85" s="1"/>
  <c r="K192" i="61"/>
  <c r="V67" i="85" s="1"/>
  <c r="J192" i="61"/>
  <c r="U67" i="85" s="1"/>
  <c r="AF67" i="85" s="1"/>
  <c r="I192" i="61"/>
  <c r="I67" i="85" s="1"/>
  <c r="H192" i="61"/>
  <c r="H67" i="85" s="1"/>
  <c r="G192" i="61"/>
  <c r="G67" i="85" s="1"/>
  <c r="F192" i="61"/>
  <c r="F67" i="85" s="1"/>
  <c r="E192" i="61"/>
  <c r="E67" i="85" s="1"/>
  <c r="D192" i="61"/>
  <c r="D67" i="85" s="1"/>
  <c r="D187" i="61"/>
  <c r="AE67" i="79" s="1"/>
  <c r="AD67" i="79" s="1"/>
  <c r="R186" i="61"/>
  <c r="Q186" i="61"/>
  <c r="AC67" i="79" s="1"/>
  <c r="P186" i="61"/>
  <c r="N67" i="79" s="1"/>
  <c r="AB67" i="79" s="1"/>
  <c r="O186" i="61"/>
  <c r="AA67" i="79" s="1"/>
  <c r="N186" i="61"/>
  <c r="Y67" i="79" s="1"/>
  <c r="M186" i="61"/>
  <c r="X67" i="79" s="1"/>
  <c r="L186" i="61"/>
  <c r="W67" i="79" s="1"/>
  <c r="K186" i="61"/>
  <c r="V67" i="79" s="1"/>
  <c r="J186" i="61"/>
  <c r="U67" i="79" s="1"/>
  <c r="AF67" i="79" s="1"/>
  <c r="I186" i="61"/>
  <c r="I67" i="79" s="1"/>
  <c r="H186" i="61"/>
  <c r="H67" i="79" s="1"/>
  <c r="G186" i="61"/>
  <c r="G67" i="79" s="1"/>
  <c r="F186" i="61"/>
  <c r="F67" i="79" s="1"/>
  <c r="E186" i="61"/>
  <c r="E67" i="79" s="1"/>
  <c r="D186" i="61"/>
  <c r="D67" i="79" s="1"/>
  <c r="D184" i="61"/>
  <c r="AE67" i="75" s="1"/>
  <c r="AD67" i="75" s="1"/>
  <c r="R183" i="61"/>
  <c r="Q183" i="61"/>
  <c r="AC67" i="75" s="1"/>
  <c r="P183" i="61"/>
  <c r="N67" i="75" s="1"/>
  <c r="AB67" i="75" s="1"/>
  <c r="O183" i="61"/>
  <c r="AA67" i="75" s="1"/>
  <c r="N183" i="61"/>
  <c r="Y67" i="75" s="1"/>
  <c r="M183" i="61"/>
  <c r="X67" i="75" s="1"/>
  <c r="L183" i="61"/>
  <c r="W67" i="75" s="1"/>
  <c r="K183" i="61"/>
  <c r="V67" i="75" s="1"/>
  <c r="J183" i="61"/>
  <c r="U67" i="75" s="1"/>
  <c r="AF67" i="75" s="1"/>
  <c r="I183" i="61"/>
  <c r="I67" i="75" s="1"/>
  <c r="H183" i="61"/>
  <c r="H67" i="75" s="1"/>
  <c r="G183" i="61"/>
  <c r="G67" i="75" s="1"/>
  <c r="F183" i="61"/>
  <c r="F67" i="75" s="1"/>
  <c r="E183" i="61"/>
  <c r="E67" i="75" s="1"/>
  <c r="D183" i="61"/>
  <c r="D67" i="75" s="1"/>
  <c r="D181" i="61"/>
  <c r="AE67" i="22" s="1"/>
  <c r="AD67" i="22" s="1"/>
  <c r="R180" i="61"/>
  <c r="Q180" i="61"/>
  <c r="AC67" i="22" s="1"/>
  <c r="P180" i="61"/>
  <c r="N67" i="22" s="1"/>
  <c r="AB67" i="22" s="1"/>
  <c r="O180" i="61"/>
  <c r="AA67" i="22" s="1"/>
  <c r="N180" i="61"/>
  <c r="Y67" i="22" s="1"/>
  <c r="M180" i="61"/>
  <c r="X67" i="22" s="1"/>
  <c r="L180" i="61"/>
  <c r="W67" i="22" s="1"/>
  <c r="K180" i="61"/>
  <c r="V67" i="22" s="1"/>
  <c r="J180" i="61"/>
  <c r="U67" i="22" s="1"/>
  <c r="I180" i="61"/>
  <c r="I67" i="22" s="1"/>
  <c r="H180" i="61"/>
  <c r="H67" i="22" s="1"/>
  <c r="G180" i="61"/>
  <c r="G67" i="22" s="1"/>
  <c r="F180" i="61"/>
  <c r="F67" i="22" s="1"/>
  <c r="E180" i="61"/>
  <c r="E67" i="22" s="1"/>
  <c r="D180" i="61"/>
  <c r="D67" i="22" s="1"/>
  <c r="D92" i="61"/>
  <c r="AE66" i="85" s="1"/>
  <c r="R91" i="61"/>
  <c r="Q91" i="61"/>
  <c r="AC66" i="85" s="1"/>
  <c r="AC71" i="85" s="1"/>
  <c r="P91" i="61"/>
  <c r="N66" i="85" s="1"/>
  <c r="O91" i="61"/>
  <c r="AA66" i="85" s="1"/>
  <c r="AA71" i="85" s="1"/>
  <c r="N91" i="61"/>
  <c r="Y66" i="85" s="1"/>
  <c r="Y71" i="85" s="1"/>
  <c r="M91" i="61"/>
  <c r="X66" i="85" s="1"/>
  <c r="X71" i="85" s="1"/>
  <c r="L91" i="61"/>
  <c r="W66" i="85" s="1"/>
  <c r="W71" i="85" s="1"/>
  <c r="K91" i="61"/>
  <c r="V66" i="85" s="1"/>
  <c r="V71" i="85" s="1"/>
  <c r="J91" i="61"/>
  <c r="U66" i="85" s="1"/>
  <c r="I91" i="61"/>
  <c r="I66" i="85" s="1"/>
  <c r="I71" i="85" s="1"/>
  <c r="H91" i="61"/>
  <c r="H66" i="85" s="1"/>
  <c r="H71" i="85" s="1"/>
  <c r="G91" i="61"/>
  <c r="G66" i="85" s="1"/>
  <c r="G71" i="85" s="1"/>
  <c r="F91" i="61"/>
  <c r="F66" i="85" s="1"/>
  <c r="F71" i="85" s="1"/>
  <c r="E91" i="61"/>
  <c r="E66" i="85" s="1"/>
  <c r="E71" i="85" s="1"/>
  <c r="D91" i="61"/>
  <c r="D66" i="85" s="1"/>
  <c r="D89" i="61"/>
  <c r="AE66" i="97" s="1"/>
  <c r="R88" i="61"/>
  <c r="Q88" i="61"/>
  <c r="AC66" i="97" s="1"/>
  <c r="AC71" i="97" s="1"/>
  <c r="P88" i="61"/>
  <c r="N66" i="97" s="1"/>
  <c r="O88" i="61"/>
  <c r="AA66" i="97" s="1"/>
  <c r="AA71" i="97" s="1"/>
  <c r="N88" i="61"/>
  <c r="Y66" i="97" s="1"/>
  <c r="Y71" i="97" s="1"/>
  <c r="M88" i="61"/>
  <c r="X66" i="97" s="1"/>
  <c r="X71" i="97" s="1"/>
  <c r="L88" i="61"/>
  <c r="W66" i="97" s="1"/>
  <c r="W71" i="97" s="1"/>
  <c r="K88" i="61"/>
  <c r="V66" i="97" s="1"/>
  <c r="V71" i="97" s="1"/>
  <c r="J88" i="61"/>
  <c r="U66" i="97" s="1"/>
  <c r="I88" i="61"/>
  <c r="I66" i="97" s="1"/>
  <c r="I71" i="97" s="1"/>
  <c r="H88" i="61"/>
  <c r="H66" i="97" s="1"/>
  <c r="H71" i="97" s="1"/>
  <c r="G88" i="61"/>
  <c r="G66" i="97" s="1"/>
  <c r="G71" i="97" s="1"/>
  <c r="F88" i="61"/>
  <c r="F66" i="97" s="1"/>
  <c r="F71" i="97" s="1"/>
  <c r="E88" i="61"/>
  <c r="E66" i="97" s="1"/>
  <c r="E71" i="97" s="1"/>
  <c r="D88" i="61"/>
  <c r="D66" i="97" s="1"/>
  <c r="D86" i="61"/>
  <c r="AE66" i="79" s="1"/>
  <c r="R85" i="61"/>
  <c r="Q85" i="61"/>
  <c r="AC66" i="79" s="1"/>
  <c r="AC71" i="79" s="1"/>
  <c r="P85" i="61"/>
  <c r="N66" i="79" s="1"/>
  <c r="O85" i="61"/>
  <c r="AA66" i="79" s="1"/>
  <c r="AA71" i="79" s="1"/>
  <c r="N85" i="61"/>
  <c r="Y66" i="79" s="1"/>
  <c r="Y71" i="79" s="1"/>
  <c r="M85" i="61"/>
  <c r="X66" i="79" s="1"/>
  <c r="X71" i="79" s="1"/>
  <c r="L85" i="61"/>
  <c r="W66" i="79" s="1"/>
  <c r="W71" i="79" s="1"/>
  <c r="K85" i="61"/>
  <c r="V66" i="79" s="1"/>
  <c r="V71" i="79" s="1"/>
  <c r="J85" i="61"/>
  <c r="U66" i="79" s="1"/>
  <c r="I85" i="61"/>
  <c r="I66" i="79" s="1"/>
  <c r="I71" i="79" s="1"/>
  <c r="H85" i="61"/>
  <c r="H66" i="79" s="1"/>
  <c r="H71" i="79" s="1"/>
  <c r="G85" i="61"/>
  <c r="G66" i="79" s="1"/>
  <c r="G71" i="79" s="1"/>
  <c r="F85" i="61"/>
  <c r="F66" i="79" s="1"/>
  <c r="F71" i="79" s="1"/>
  <c r="E85" i="61"/>
  <c r="E66" i="79" s="1"/>
  <c r="E71" i="79" s="1"/>
  <c r="D85" i="61"/>
  <c r="D66" i="79" s="1"/>
  <c r="D80" i="61"/>
  <c r="R79" i="61"/>
  <c r="R393" i="61" s="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D79" i="61"/>
  <c r="E523" i="59"/>
  <c r="AE32" i="85" s="1"/>
  <c r="AD32" i="85" s="1"/>
  <c r="R522" i="59"/>
  <c r="AC32" i="85" s="1"/>
  <c r="Q522" i="59"/>
  <c r="AA32" i="85" s="1"/>
  <c r="P522" i="59"/>
  <c r="Y32" i="85" s="1"/>
  <c r="O522" i="59"/>
  <c r="X32" i="85" s="1"/>
  <c r="N522" i="59"/>
  <c r="W32" i="85" s="1"/>
  <c r="M522" i="59"/>
  <c r="V32" i="85" s="1"/>
  <c r="L522" i="59"/>
  <c r="U32" i="85" s="1"/>
  <c r="K522" i="59"/>
  <c r="N32" i="85" s="1"/>
  <c r="AB32" i="85" s="1"/>
  <c r="J522" i="59"/>
  <c r="I32" i="85" s="1"/>
  <c r="I522" i="59"/>
  <c r="H32" i="85" s="1"/>
  <c r="H522" i="59"/>
  <c r="G32" i="85" s="1"/>
  <c r="G522" i="59"/>
  <c r="F32" i="85" s="1"/>
  <c r="F522" i="59"/>
  <c r="E32" i="85" s="1"/>
  <c r="E522" i="59"/>
  <c r="D32" i="85" s="1"/>
  <c r="E520" i="59"/>
  <c r="AE32" i="97" s="1"/>
  <c r="AD32" i="97" s="1"/>
  <c r="R519" i="59"/>
  <c r="AC32" i="97" s="1"/>
  <c r="Q519" i="59"/>
  <c r="AA32" i="97" s="1"/>
  <c r="P519" i="59"/>
  <c r="Y32" i="97" s="1"/>
  <c r="O519" i="59"/>
  <c r="X32" i="97" s="1"/>
  <c r="N519" i="59"/>
  <c r="W32" i="97" s="1"/>
  <c r="M519" i="59"/>
  <c r="V32" i="97" s="1"/>
  <c r="L519" i="59"/>
  <c r="U32" i="97" s="1"/>
  <c r="K519" i="59"/>
  <c r="N32" i="97" s="1"/>
  <c r="AB32" i="97" s="1"/>
  <c r="J519" i="59"/>
  <c r="I32" i="97" s="1"/>
  <c r="I519" i="59"/>
  <c r="H32" i="97" s="1"/>
  <c r="H519" i="59"/>
  <c r="G32" i="97" s="1"/>
  <c r="G519" i="59"/>
  <c r="F32" i="97" s="1"/>
  <c r="F519" i="59"/>
  <c r="E32" i="97" s="1"/>
  <c r="E519" i="59"/>
  <c r="D32" i="97" s="1"/>
  <c r="E517" i="59"/>
  <c r="AE32" i="79" s="1"/>
  <c r="AD32" i="79" s="1"/>
  <c r="R516" i="59"/>
  <c r="AC32" i="79" s="1"/>
  <c r="Q516" i="59"/>
  <c r="AA32" i="79" s="1"/>
  <c r="P516" i="59"/>
  <c r="Y32" i="79" s="1"/>
  <c r="O516" i="59"/>
  <c r="X32" i="79" s="1"/>
  <c r="N516" i="59"/>
  <c r="W32" i="79" s="1"/>
  <c r="M516" i="59"/>
  <c r="V32" i="79" s="1"/>
  <c r="L516" i="59"/>
  <c r="U32" i="79" s="1"/>
  <c r="K516" i="59"/>
  <c r="N32" i="79" s="1"/>
  <c r="AB32" i="79" s="1"/>
  <c r="J516" i="59"/>
  <c r="I32" i="79" s="1"/>
  <c r="I516" i="59"/>
  <c r="H32" i="79" s="1"/>
  <c r="H516" i="59"/>
  <c r="G32" i="79" s="1"/>
  <c r="G516" i="59"/>
  <c r="F32" i="79" s="1"/>
  <c r="F516" i="59"/>
  <c r="E32" i="79" s="1"/>
  <c r="E516" i="59"/>
  <c r="D32" i="79" s="1"/>
  <c r="E511" i="59"/>
  <c r="AE32" i="22" s="1"/>
  <c r="AD32" i="22" s="1"/>
  <c r="R510" i="59"/>
  <c r="AC32" i="22" s="1"/>
  <c r="Q510" i="59"/>
  <c r="AA32" i="22" s="1"/>
  <c r="P510" i="59"/>
  <c r="Y32" i="22" s="1"/>
  <c r="O510" i="59"/>
  <c r="X32" i="22" s="1"/>
  <c r="N510" i="59"/>
  <c r="W32" i="22" s="1"/>
  <c r="M510" i="59"/>
  <c r="V32" i="22" s="1"/>
  <c r="L510" i="59"/>
  <c r="U32" i="22" s="1"/>
  <c r="K510" i="59"/>
  <c r="N32" i="22" s="1"/>
  <c r="AB32" i="22" s="1"/>
  <c r="J510" i="59"/>
  <c r="I32" i="22" s="1"/>
  <c r="I510" i="59"/>
  <c r="H32" i="22" s="1"/>
  <c r="H510" i="59"/>
  <c r="G32" i="22" s="1"/>
  <c r="G510" i="59"/>
  <c r="F32" i="22" s="1"/>
  <c r="F510" i="59"/>
  <c r="E32" i="22" s="1"/>
  <c r="E510" i="59"/>
  <c r="D32" i="22" s="1"/>
  <c r="E436" i="59"/>
  <c r="AE31" i="85" s="1"/>
  <c r="AD31" i="85" s="1"/>
  <c r="R435" i="59"/>
  <c r="AC31" i="85" s="1"/>
  <c r="Q435" i="59"/>
  <c r="AA31" i="85" s="1"/>
  <c r="P435" i="59"/>
  <c r="Y31" i="85" s="1"/>
  <c r="O435" i="59"/>
  <c r="X31" i="85" s="1"/>
  <c r="N435" i="59"/>
  <c r="W31" i="85" s="1"/>
  <c r="M435" i="59"/>
  <c r="V31" i="85" s="1"/>
  <c r="L435" i="59"/>
  <c r="U31" i="85" s="1"/>
  <c r="K435" i="59"/>
  <c r="N31" i="85" s="1"/>
  <c r="AB31" i="85" s="1"/>
  <c r="J435" i="59"/>
  <c r="I31" i="85" s="1"/>
  <c r="I435" i="59"/>
  <c r="H31" i="85" s="1"/>
  <c r="H435" i="59"/>
  <c r="G31" i="85" s="1"/>
  <c r="G435" i="59"/>
  <c r="F31" i="85" s="1"/>
  <c r="F435" i="59"/>
  <c r="E31" i="85" s="1"/>
  <c r="E435" i="59"/>
  <c r="D31" i="85" s="1"/>
  <c r="E430" i="59"/>
  <c r="AE31" i="79" s="1"/>
  <c r="AD31" i="79" s="1"/>
  <c r="R429" i="59"/>
  <c r="AC31" i="79" s="1"/>
  <c r="Q429" i="59"/>
  <c r="AA31" i="79" s="1"/>
  <c r="P429" i="59"/>
  <c r="Y31" i="79" s="1"/>
  <c r="O429" i="59"/>
  <c r="X31" i="79" s="1"/>
  <c r="N429" i="59"/>
  <c r="W31" i="79" s="1"/>
  <c r="M429" i="59"/>
  <c r="V31" i="79" s="1"/>
  <c r="L429" i="59"/>
  <c r="U31" i="79" s="1"/>
  <c r="K429" i="59"/>
  <c r="N31" i="79" s="1"/>
  <c r="AB31" i="79" s="1"/>
  <c r="J429" i="59"/>
  <c r="I31" i="79" s="1"/>
  <c r="I429" i="59"/>
  <c r="H31" i="79" s="1"/>
  <c r="H429" i="59"/>
  <c r="G31" i="79" s="1"/>
  <c r="G429" i="59"/>
  <c r="F31" i="79" s="1"/>
  <c r="F429" i="59"/>
  <c r="E31" i="79" s="1"/>
  <c r="E429" i="59"/>
  <c r="D31" i="79" s="1"/>
  <c r="E427" i="59"/>
  <c r="AE31" i="75" s="1"/>
  <c r="AD31" i="75" s="1"/>
  <c r="R426" i="59"/>
  <c r="AC31" i="75" s="1"/>
  <c r="Q426" i="59"/>
  <c r="AA31" i="75" s="1"/>
  <c r="P426" i="59"/>
  <c r="Y31" i="75" s="1"/>
  <c r="O426" i="59"/>
  <c r="X31" i="75" s="1"/>
  <c r="N426" i="59"/>
  <c r="W31" i="75" s="1"/>
  <c r="M426" i="59"/>
  <c r="V31" i="75" s="1"/>
  <c r="L426" i="59"/>
  <c r="U31" i="75" s="1"/>
  <c r="AF31" i="75" s="1"/>
  <c r="K426" i="59"/>
  <c r="N31" i="75" s="1"/>
  <c r="AB31" i="75" s="1"/>
  <c r="J426" i="59"/>
  <c r="I31" i="75" s="1"/>
  <c r="I426" i="59"/>
  <c r="H31" i="75" s="1"/>
  <c r="H426" i="59"/>
  <c r="G31" i="75" s="1"/>
  <c r="G426" i="59"/>
  <c r="F31" i="75" s="1"/>
  <c r="F426" i="59"/>
  <c r="E31" i="75" s="1"/>
  <c r="E426" i="59"/>
  <c r="D31" i="75" s="1"/>
  <c r="E424" i="59"/>
  <c r="AE31" i="22" s="1"/>
  <c r="R423" i="59"/>
  <c r="AC31" i="22" s="1"/>
  <c r="Q423" i="59"/>
  <c r="AA31" i="22" s="1"/>
  <c r="P423" i="59"/>
  <c r="Y31" i="22" s="1"/>
  <c r="O423" i="59"/>
  <c r="X31" i="22" s="1"/>
  <c r="N423" i="59"/>
  <c r="W31" i="22" s="1"/>
  <c r="M423" i="59"/>
  <c r="V31" i="22" s="1"/>
  <c r="L423" i="59"/>
  <c r="U31" i="22" s="1"/>
  <c r="K423" i="59"/>
  <c r="N31" i="22" s="1"/>
  <c r="AB31" i="22" s="1"/>
  <c r="J423" i="59"/>
  <c r="I31" i="22" s="1"/>
  <c r="I423" i="59"/>
  <c r="H31" i="22" s="1"/>
  <c r="H423" i="59"/>
  <c r="G31" i="22" s="1"/>
  <c r="G423" i="59"/>
  <c r="F31" i="22" s="1"/>
  <c r="F423" i="59"/>
  <c r="E31" i="22" s="1"/>
  <c r="E423" i="59"/>
  <c r="D31" i="22" s="1"/>
  <c r="E312" i="59"/>
  <c r="AE30" i="85" s="1"/>
  <c r="AD30" i="85" s="1"/>
  <c r="R311" i="59"/>
  <c r="AC30" i="85" s="1"/>
  <c r="Q311" i="59"/>
  <c r="AA30" i="85" s="1"/>
  <c r="P311" i="59"/>
  <c r="Y30" i="85" s="1"/>
  <c r="O311" i="59"/>
  <c r="X30" i="85" s="1"/>
  <c r="N311" i="59"/>
  <c r="W30" i="85" s="1"/>
  <c r="M311" i="59"/>
  <c r="V30" i="85" s="1"/>
  <c r="L311" i="59"/>
  <c r="U30" i="85" s="1"/>
  <c r="K311" i="59"/>
  <c r="N30" i="85" s="1"/>
  <c r="AB30" i="85" s="1"/>
  <c r="J311" i="59"/>
  <c r="I30" i="85" s="1"/>
  <c r="I311" i="59"/>
  <c r="H30" i="85" s="1"/>
  <c r="H311" i="59"/>
  <c r="G30" i="85" s="1"/>
  <c r="G311" i="59"/>
  <c r="F30" i="85" s="1"/>
  <c r="F311" i="59"/>
  <c r="E30" i="85" s="1"/>
  <c r="E311" i="59"/>
  <c r="D30" i="85" s="1"/>
  <c r="E306" i="59"/>
  <c r="AE30" i="79" s="1"/>
  <c r="AD30" i="79" s="1"/>
  <c r="R305" i="59"/>
  <c r="AC30" i="79" s="1"/>
  <c r="Q305" i="59"/>
  <c r="AA30" i="79" s="1"/>
  <c r="P305" i="59"/>
  <c r="Y30" i="79" s="1"/>
  <c r="O305" i="59"/>
  <c r="X30" i="79" s="1"/>
  <c r="N305" i="59"/>
  <c r="W30" i="79" s="1"/>
  <c r="M305" i="59"/>
  <c r="V30" i="79" s="1"/>
  <c r="L305" i="59"/>
  <c r="U30" i="79" s="1"/>
  <c r="K305" i="59"/>
  <c r="N30" i="79" s="1"/>
  <c r="AB30" i="79" s="1"/>
  <c r="J305" i="59"/>
  <c r="I30" i="79" s="1"/>
  <c r="I305" i="59"/>
  <c r="H30" i="79" s="1"/>
  <c r="H305" i="59"/>
  <c r="G30" i="79" s="1"/>
  <c r="G305" i="59"/>
  <c r="F30" i="79" s="1"/>
  <c r="F305" i="59"/>
  <c r="E30" i="79" s="1"/>
  <c r="E305" i="59"/>
  <c r="D30" i="79" s="1"/>
  <c r="E300" i="59"/>
  <c r="AE30" i="22" s="1"/>
  <c r="AD30" i="22" s="1"/>
  <c r="R299" i="59"/>
  <c r="AC30" i="22" s="1"/>
  <c r="Q299" i="59"/>
  <c r="AA30" i="22" s="1"/>
  <c r="P299" i="59"/>
  <c r="Y30" i="22" s="1"/>
  <c r="O299" i="59"/>
  <c r="X30" i="22" s="1"/>
  <c r="N299" i="59"/>
  <c r="W30" i="22" s="1"/>
  <c r="M299" i="59"/>
  <c r="V30" i="22" s="1"/>
  <c r="L299" i="59"/>
  <c r="U30" i="22" s="1"/>
  <c r="K299" i="59"/>
  <c r="N30" i="22" s="1"/>
  <c r="AB30" i="22" s="1"/>
  <c r="J299" i="59"/>
  <c r="I30" i="22" s="1"/>
  <c r="I299" i="59"/>
  <c r="H30" i="22" s="1"/>
  <c r="H299" i="59"/>
  <c r="G30" i="22" s="1"/>
  <c r="G299" i="59"/>
  <c r="F30" i="22" s="1"/>
  <c r="F299" i="59"/>
  <c r="E30" i="22" s="1"/>
  <c r="E299" i="59"/>
  <c r="D30" i="22" s="1"/>
  <c r="E191" i="59"/>
  <c r="AE29" i="85" s="1"/>
  <c r="AD29" i="85" s="1"/>
  <c r="R190" i="59"/>
  <c r="AC29" i="85" s="1"/>
  <c r="Q190" i="59"/>
  <c r="AA29" i="85" s="1"/>
  <c r="P190" i="59"/>
  <c r="Y29" i="85" s="1"/>
  <c r="O190" i="59"/>
  <c r="X29" i="85" s="1"/>
  <c r="N190" i="59"/>
  <c r="W29" i="85" s="1"/>
  <c r="M190" i="59"/>
  <c r="V29" i="85" s="1"/>
  <c r="L190" i="59"/>
  <c r="U29" i="85" s="1"/>
  <c r="K190" i="59"/>
  <c r="N29" i="85" s="1"/>
  <c r="AB29" i="85" s="1"/>
  <c r="J190" i="59"/>
  <c r="I29" i="85" s="1"/>
  <c r="I190" i="59"/>
  <c r="H29" i="85" s="1"/>
  <c r="H190" i="59"/>
  <c r="G29" i="85" s="1"/>
  <c r="G190" i="59"/>
  <c r="F29" i="85" s="1"/>
  <c r="F190" i="59"/>
  <c r="E29" i="85" s="1"/>
  <c r="E190" i="59"/>
  <c r="D29" i="85" s="1"/>
  <c r="E185" i="59"/>
  <c r="AE29" i="79" s="1"/>
  <c r="AD29" i="79" s="1"/>
  <c r="R184" i="59"/>
  <c r="AC29" i="79" s="1"/>
  <c r="Q184" i="59"/>
  <c r="AA29" i="79" s="1"/>
  <c r="P184" i="59"/>
  <c r="Y29" i="79" s="1"/>
  <c r="O184" i="59"/>
  <c r="X29" i="79" s="1"/>
  <c r="N184" i="59"/>
  <c r="W29" i="79" s="1"/>
  <c r="M184" i="59"/>
  <c r="V29" i="79" s="1"/>
  <c r="L184" i="59"/>
  <c r="U29" i="79" s="1"/>
  <c r="K184" i="59"/>
  <c r="N29" i="79" s="1"/>
  <c r="AB29" i="79" s="1"/>
  <c r="J184" i="59"/>
  <c r="I29" i="79" s="1"/>
  <c r="I184" i="59"/>
  <c r="H29" i="79" s="1"/>
  <c r="H184" i="59"/>
  <c r="G29" i="79" s="1"/>
  <c r="G184" i="59"/>
  <c r="F29" i="79" s="1"/>
  <c r="F184" i="59"/>
  <c r="E29" i="79" s="1"/>
  <c r="E184" i="59"/>
  <c r="D29" i="79" s="1"/>
  <c r="E182" i="59"/>
  <c r="AE29" i="75" s="1"/>
  <c r="AD29" i="75" s="1"/>
  <c r="R181" i="59"/>
  <c r="AC29" i="75" s="1"/>
  <c r="Q181" i="59"/>
  <c r="AA29" i="75" s="1"/>
  <c r="P181" i="59"/>
  <c r="Y29" i="75" s="1"/>
  <c r="O181" i="59"/>
  <c r="X29" i="75" s="1"/>
  <c r="N181" i="59"/>
  <c r="W29" i="75" s="1"/>
  <c r="M181" i="59"/>
  <c r="V29" i="75" s="1"/>
  <c r="L181" i="59"/>
  <c r="U29" i="75" s="1"/>
  <c r="K181" i="59"/>
  <c r="N29" i="75" s="1"/>
  <c r="AB29" i="75" s="1"/>
  <c r="J181" i="59"/>
  <c r="I29" i="75" s="1"/>
  <c r="I181" i="59"/>
  <c r="H29" i="75" s="1"/>
  <c r="H181" i="59"/>
  <c r="G29" i="75" s="1"/>
  <c r="G181" i="59"/>
  <c r="F29" i="75" s="1"/>
  <c r="F181" i="59"/>
  <c r="E29" i="75" s="1"/>
  <c r="E181" i="59"/>
  <c r="D29" i="75" s="1"/>
  <c r="E179" i="59"/>
  <c r="AE29" i="22" s="1"/>
  <c r="AD29" i="22" s="1"/>
  <c r="R178" i="59"/>
  <c r="AC29" i="22" s="1"/>
  <c r="Q178" i="59"/>
  <c r="AA29" i="22" s="1"/>
  <c r="P178" i="59"/>
  <c r="Y29" i="22" s="1"/>
  <c r="O178" i="59"/>
  <c r="X29" i="22" s="1"/>
  <c r="N178" i="59"/>
  <c r="W29" i="22" s="1"/>
  <c r="M178" i="59"/>
  <c r="V29" i="22" s="1"/>
  <c r="L178" i="59"/>
  <c r="U29" i="22" s="1"/>
  <c r="K178" i="59"/>
  <c r="N29" i="22" s="1"/>
  <c r="AB29" i="22" s="1"/>
  <c r="J178" i="59"/>
  <c r="I29" i="22" s="1"/>
  <c r="I178" i="59"/>
  <c r="H29" i="22" s="1"/>
  <c r="H178" i="59"/>
  <c r="G29" i="22" s="1"/>
  <c r="G178" i="59"/>
  <c r="F29" i="22" s="1"/>
  <c r="F178" i="59"/>
  <c r="E29" i="22" s="1"/>
  <c r="E178" i="59"/>
  <c r="D29" i="22" s="1"/>
  <c r="E70" i="59"/>
  <c r="AE28" i="85" s="1"/>
  <c r="S69" i="59"/>
  <c r="R69" i="59"/>
  <c r="AC28" i="85" s="1"/>
  <c r="Q69" i="59"/>
  <c r="AA28" i="85" s="1"/>
  <c r="P69" i="59"/>
  <c r="Y28" i="85" s="1"/>
  <c r="O69" i="59"/>
  <c r="X28" i="85" s="1"/>
  <c r="N69" i="59"/>
  <c r="W28" i="85" s="1"/>
  <c r="M69" i="59"/>
  <c r="V28" i="85" s="1"/>
  <c r="L69" i="59"/>
  <c r="U28" i="85" s="1"/>
  <c r="K69" i="59"/>
  <c r="N28" i="85" s="1"/>
  <c r="J69" i="59"/>
  <c r="I28" i="85" s="1"/>
  <c r="I69" i="59"/>
  <c r="H28" i="85" s="1"/>
  <c r="H69" i="59"/>
  <c r="G28" i="85" s="1"/>
  <c r="G69" i="59"/>
  <c r="F28" i="85" s="1"/>
  <c r="F69" i="59"/>
  <c r="E28" i="85" s="1"/>
  <c r="E69" i="59"/>
  <c r="D28" i="85" s="1"/>
  <c r="E67" i="59"/>
  <c r="AE28" i="97" s="1"/>
  <c r="F66" i="59"/>
  <c r="E28" i="97" s="1"/>
  <c r="E66" i="59"/>
  <c r="D28" i="97" s="1"/>
  <c r="E64" i="59"/>
  <c r="AE28" i="79" s="1"/>
  <c r="S63" i="59"/>
  <c r="R63" i="59"/>
  <c r="AC28" i="79" s="1"/>
  <c r="Q63" i="59"/>
  <c r="AA28" i="79" s="1"/>
  <c r="P63" i="59"/>
  <c r="Y28" i="79" s="1"/>
  <c r="O63" i="59"/>
  <c r="X28" i="79" s="1"/>
  <c r="N63" i="59"/>
  <c r="W28" i="79" s="1"/>
  <c r="M63" i="59"/>
  <c r="V28" i="79" s="1"/>
  <c r="L63" i="59"/>
  <c r="U28" i="79" s="1"/>
  <c r="K63" i="59"/>
  <c r="N28" i="79" s="1"/>
  <c r="J63" i="59"/>
  <c r="I28" i="79" s="1"/>
  <c r="I63" i="59"/>
  <c r="H28" i="79" s="1"/>
  <c r="H63" i="59"/>
  <c r="G28" i="79" s="1"/>
  <c r="G63" i="59"/>
  <c r="F28" i="79" s="1"/>
  <c r="F63" i="59"/>
  <c r="E28" i="79" s="1"/>
  <c r="E63" i="59"/>
  <c r="D28" i="79" s="1"/>
  <c r="E58" i="59"/>
  <c r="AE28" i="22" s="1"/>
  <c r="S57" i="59"/>
  <c r="R57" i="59"/>
  <c r="AC28" i="22" s="1"/>
  <c r="Q57" i="59"/>
  <c r="AA28" i="22" s="1"/>
  <c r="P57" i="59"/>
  <c r="Y28" i="22" s="1"/>
  <c r="O57" i="59"/>
  <c r="X28" i="22" s="1"/>
  <c r="N57" i="59"/>
  <c r="W28" i="22" s="1"/>
  <c r="M57" i="59"/>
  <c r="V28" i="22" s="1"/>
  <c r="L57" i="59"/>
  <c r="U28" i="22" s="1"/>
  <c r="K57" i="59"/>
  <c r="N28" i="22" s="1"/>
  <c r="J57" i="59"/>
  <c r="I28" i="22" s="1"/>
  <c r="I57" i="59"/>
  <c r="H28" i="22" s="1"/>
  <c r="H57" i="59"/>
  <c r="G28" i="22" s="1"/>
  <c r="G57" i="59"/>
  <c r="F28" i="22" s="1"/>
  <c r="F57" i="59"/>
  <c r="E28" i="22" s="1"/>
  <c r="E57" i="59"/>
  <c r="D28" i="22" s="1"/>
  <c r="AA841" i="55"/>
  <c r="Z841" i="55"/>
  <c r="Y841" i="55"/>
  <c r="X841" i="55"/>
  <c r="W841" i="55"/>
  <c r="V841" i="55"/>
  <c r="U841" i="55"/>
  <c r="T841" i="55"/>
  <c r="S841" i="55"/>
  <c r="R841" i="55"/>
  <c r="Q841" i="55"/>
  <c r="T16" i="89" s="1"/>
  <c r="P841" i="55"/>
  <c r="S16" i="89" s="1"/>
  <c r="O841" i="55"/>
  <c r="R16" i="89" s="1"/>
  <c r="N841" i="55"/>
  <c r="Q16" i="89" s="1"/>
  <c r="M841" i="55"/>
  <c r="P16" i="89" s="1"/>
  <c r="U16" i="89" s="1"/>
  <c r="L841" i="55"/>
  <c r="K841" i="55"/>
  <c r="I16" i="89" s="1"/>
  <c r="J841" i="55"/>
  <c r="H16" i="89" s="1"/>
  <c r="I841" i="55"/>
  <c r="G16" i="89" s="1"/>
  <c r="H841" i="55"/>
  <c r="F16" i="89" s="1"/>
  <c r="G841" i="55"/>
  <c r="E16" i="89" s="1"/>
  <c r="F841" i="55"/>
  <c r="D16" i="89" s="1"/>
  <c r="J16" i="89" s="1"/>
  <c r="V16" i="89" s="1"/>
  <c r="W16" i="89" s="1"/>
  <c r="F834" i="55"/>
  <c r="AE51" i="85" s="1"/>
  <c r="AD51" i="85" s="1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AC51" i="85" s="1"/>
  <c r="S833" i="55"/>
  <c r="R833" i="55"/>
  <c r="AA51" i="85" s="1"/>
  <c r="Q833" i="55"/>
  <c r="Y51" i="85" s="1"/>
  <c r="P833" i="55"/>
  <c r="X51" i="85" s="1"/>
  <c r="O833" i="55"/>
  <c r="W51" i="85" s="1"/>
  <c r="N833" i="55"/>
  <c r="V51" i="85" s="1"/>
  <c r="M833" i="55"/>
  <c r="U51" i="85" s="1"/>
  <c r="L833" i="55"/>
  <c r="N51" i="85" s="1"/>
  <c r="AB51" i="85" s="1"/>
  <c r="K833" i="55"/>
  <c r="I51" i="85" s="1"/>
  <c r="J833" i="55"/>
  <c r="H51" i="85" s="1"/>
  <c r="I833" i="55"/>
  <c r="G51" i="85" s="1"/>
  <c r="H833" i="55"/>
  <c r="F51" i="85" s="1"/>
  <c r="G833" i="55"/>
  <c r="E51" i="85" s="1"/>
  <c r="F833" i="55"/>
  <c r="D51" i="85" s="1"/>
  <c r="F832" i="55"/>
  <c r="AE13" i="85" s="1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AC13" i="85" s="1"/>
  <c r="S831" i="55"/>
  <c r="R831" i="55"/>
  <c r="AA13" i="85" s="1"/>
  <c r="Q831" i="55"/>
  <c r="Y13" i="85" s="1"/>
  <c r="P831" i="55"/>
  <c r="X13" i="85" s="1"/>
  <c r="O831" i="55"/>
  <c r="W13" i="85" s="1"/>
  <c r="N831" i="55"/>
  <c r="V13" i="85" s="1"/>
  <c r="M831" i="55"/>
  <c r="U13" i="85" s="1"/>
  <c r="L831" i="55"/>
  <c r="N13" i="85" s="1"/>
  <c r="K831" i="55"/>
  <c r="I13" i="85" s="1"/>
  <c r="J831" i="55"/>
  <c r="H13" i="85" s="1"/>
  <c r="I831" i="55"/>
  <c r="G13" i="85" s="1"/>
  <c r="H831" i="55"/>
  <c r="F13" i="85" s="1"/>
  <c r="G831" i="55"/>
  <c r="E13" i="85" s="1"/>
  <c r="F831" i="55"/>
  <c r="D13" i="85" s="1"/>
  <c r="F829" i="55"/>
  <c r="AE51" i="97" s="1"/>
  <c r="AD51" i="97" s="1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AC51" i="97" s="1"/>
  <c r="S828" i="55"/>
  <c r="R828" i="55"/>
  <c r="AA51" i="97" s="1"/>
  <c r="Q828" i="55"/>
  <c r="Y51" i="97" s="1"/>
  <c r="P828" i="55"/>
  <c r="X51" i="97" s="1"/>
  <c r="O828" i="55"/>
  <c r="W51" i="97" s="1"/>
  <c r="N828" i="55"/>
  <c r="V51" i="97" s="1"/>
  <c r="M828" i="55"/>
  <c r="U51" i="97" s="1"/>
  <c r="L828" i="55"/>
  <c r="N51" i="97" s="1"/>
  <c r="AB51" i="97" s="1"/>
  <c r="K828" i="55"/>
  <c r="I51" i="97" s="1"/>
  <c r="J828" i="55"/>
  <c r="H51" i="97" s="1"/>
  <c r="I828" i="55"/>
  <c r="G51" i="97" s="1"/>
  <c r="H828" i="55"/>
  <c r="F51" i="97" s="1"/>
  <c r="G828" i="55"/>
  <c r="E51" i="97" s="1"/>
  <c r="F828" i="55"/>
  <c r="D51" i="97" s="1"/>
  <c r="F827" i="55"/>
  <c r="AE13" i="97" s="1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AC13" i="97" s="1"/>
  <c r="S826" i="55"/>
  <c r="R826" i="55"/>
  <c r="AA13" i="97" s="1"/>
  <c r="Q826" i="55"/>
  <c r="Y13" i="97" s="1"/>
  <c r="P826" i="55"/>
  <c r="X13" i="97" s="1"/>
  <c r="O826" i="55"/>
  <c r="W13" i="97" s="1"/>
  <c r="N826" i="55"/>
  <c r="V13" i="97" s="1"/>
  <c r="M826" i="55"/>
  <c r="U13" i="97" s="1"/>
  <c r="L826" i="55"/>
  <c r="N13" i="97" s="1"/>
  <c r="K826" i="55"/>
  <c r="I13" i="97" s="1"/>
  <c r="J826" i="55"/>
  <c r="H13" i="97" s="1"/>
  <c r="I826" i="55"/>
  <c r="G13" i="97" s="1"/>
  <c r="H826" i="55"/>
  <c r="F13" i="97" s="1"/>
  <c r="G826" i="55"/>
  <c r="E13" i="97" s="1"/>
  <c r="F826" i="55"/>
  <c r="D13" i="97" s="1"/>
  <c r="F824" i="55"/>
  <c r="AE51" i="79" s="1"/>
  <c r="AD51" i="79" s="1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AC51" i="79" s="1"/>
  <c r="S823" i="55"/>
  <c r="R823" i="55"/>
  <c r="AA51" i="79" s="1"/>
  <c r="Q823" i="55"/>
  <c r="Y51" i="79" s="1"/>
  <c r="P823" i="55"/>
  <c r="X51" i="79" s="1"/>
  <c r="O823" i="55"/>
  <c r="W51" i="79" s="1"/>
  <c r="N823" i="55"/>
  <c r="V51" i="79" s="1"/>
  <c r="M823" i="55"/>
  <c r="U51" i="79" s="1"/>
  <c r="L823" i="55"/>
  <c r="N51" i="79" s="1"/>
  <c r="AB51" i="79" s="1"/>
  <c r="K823" i="55"/>
  <c r="I51" i="79" s="1"/>
  <c r="J823" i="55"/>
  <c r="H51" i="79" s="1"/>
  <c r="I823" i="55"/>
  <c r="G51" i="79" s="1"/>
  <c r="H823" i="55"/>
  <c r="F51" i="79" s="1"/>
  <c r="G823" i="55"/>
  <c r="E51" i="79" s="1"/>
  <c r="F823" i="55"/>
  <c r="D51" i="79" s="1"/>
  <c r="F822" i="55"/>
  <c r="AE13" i="79" s="1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AC13" i="79" s="1"/>
  <c r="S821" i="55"/>
  <c r="R821" i="55"/>
  <c r="AA13" i="79" s="1"/>
  <c r="Q821" i="55"/>
  <c r="Y13" i="79" s="1"/>
  <c r="P821" i="55"/>
  <c r="X13" i="79" s="1"/>
  <c r="O821" i="55"/>
  <c r="W13" i="79" s="1"/>
  <c r="N821" i="55"/>
  <c r="V13" i="79" s="1"/>
  <c r="M821" i="55"/>
  <c r="U13" i="79" s="1"/>
  <c r="L821" i="55"/>
  <c r="N13" i="79" s="1"/>
  <c r="K821" i="55"/>
  <c r="I13" i="79" s="1"/>
  <c r="J821" i="55"/>
  <c r="H13" i="79" s="1"/>
  <c r="I821" i="55"/>
  <c r="G13" i="79" s="1"/>
  <c r="H821" i="55"/>
  <c r="F13" i="79" s="1"/>
  <c r="G821" i="55"/>
  <c r="E13" i="79" s="1"/>
  <c r="F821" i="55"/>
  <c r="D13" i="79" s="1"/>
  <c r="F814" i="55"/>
  <c r="AE51" i="22" s="1"/>
  <c r="AD51" i="22" s="1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AC51" i="22" s="1"/>
  <c r="S813" i="55"/>
  <c r="R813" i="55"/>
  <c r="AA51" i="22" s="1"/>
  <c r="Q813" i="55"/>
  <c r="Y51" i="22" s="1"/>
  <c r="P813" i="55"/>
  <c r="X51" i="22" s="1"/>
  <c r="O813" i="55"/>
  <c r="W51" i="22" s="1"/>
  <c r="N813" i="55"/>
  <c r="V51" i="22" s="1"/>
  <c r="M813" i="55"/>
  <c r="U51" i="22" s="1"/>
  <c r="L813" i="55"/>
  <c r="N51" i="22" s="1"/>
  <c r="AB51" i="22" s="1"/>
  <c r="K813" i="55"/>
  <c r="I51" i="22" s="1"/>
  <c r="J813" i="55"/>
  <c r="H51" i="22" s="1"/>
  <c r="I813" i="55"/>
  <c r="G51" i="22" s="1"/>
  <c r="H813" i="55"/>
  <c r="F51" i="22" s="1"/>
  <c r="G813" i="55"/>
  <c r="E51" i="22" s="1"/>
  <c r="F813" i="55"/>
  <c r="D51" i="22" s="1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AC13" i="22" s="1"/>
  <c r="S811" i="55"/>
  <c r="R811" i="55"/>
  <c r="Q811" i="55"/>
  <c r="P811" i="55"/>
  <c r="O811" i="55"/>
  <c r="N811" i="55"/>
  <c r="M811" i="55"/>
  <c r="L811" i="55"/>
  <c r="K811" i="55"/>
  <c r="I13" i="22" s="1"/>
  <c r="J811" i="55"/>
  <c r="H13" i="22" s="1"/>
  <c r="I811" i="55"/>
  <c r="G13" i="22" s="1"/>
  <c r="H811" i="55"/>
  <c r="F13" i="22" s="1"/>
  <c r="G811" i="55"/>
  <c r="E13" i="22" s="1"/>
  <c r="F811" i="55"/>
  <c r="Z722" i="55"/>
  <c r="Y722" i="55"/>
  <c r="X722" i="55"/>
  <c r="W722" i="55"/>
  <c r="V722" i="55"/>
  <c r="U722" i="55"/>
  <c r="T722" i="55"/>
  <c r="S722" i="55"/>
  <c r="R722" i="55"/>
  <c r="Q722" i="55"/>
  <c r="T15" i="89" s="1"/>
  <c r="P722" i="55"/>
  <c r="S15" i="89" s="1"/>
  <c r="O722" i="55"/>
  <c r="R15" i="89" s="1"/>
  <c r="N722" i="55"/>
  <c r="Q15" i="89" s="1"/>
  <c r="M722" i="55"/>
  <c r="P15" i="89" s="1"/>
  <c r="U15" i="89" s="1"/>
  <c r="L722" i="55"/>
  <c r="K722" i="55"/>
  <c r="I15" i="89" s="1"/>
  <c r="J722" i="55"/>
  <c r="H15" i="89" s="1"/>
  <c r="I722" i="55"/>
  <c r="G15" i="89" s="1"/>
  <c r="H722" i="55"/>
  <c r="F15" i="89" s="1"/>
  <c r="G722" i="55"/>
  <c r="E15" i="89" s="1"/>
  <c r="F722" i="55"/>
  <c r="D15" i="89" s="1"/>
  <c r="J15" i="89" s="1"/>
  <c r="V15" i="89" s="1"/>
  <c r="W15" i="89" s="1"/>
  <c r="F715" i="55"/>
  <c r="AE50" i="85" s="1"/>
  <c r="AD50" i="85" s="1"/>
  <c r="Z714" i="55"/>
  <c r="Y714" i="55"/>
  <c r="X714" i="55"/>
  <c r="W714" i="55"/>
  <c r="V714" i="55"/>
  <c r="U714" i="55"/>
  <c r="T714" i="55"/>
  <c r="AC50" i="85" s="1"/>
  <c r="S714" i="55"/>
  <c r="R714" i="55"/>
  <c r="AA50" i="85" s="1"/>
  <c r="Q714" i="55"/>
  <c r="Y50" i="85" s="1"/>
  <c r="P714" i="55"/>
  <c r="X50" i="85" s="1"/>
  <c r="O714" i="55"/>
  <c r="W50" i="85" s="1"/>
  <c r="N714" i="55"/>
  <c r="V50" i="85" s="1"/>
  <c r="M714" i="55"/>
  <c r="U50" i="85" s="1"/>
  <c r="L714" i="55"/>
  <c r="N50" i="85" s="1"/>
  <c r="AB50" i="85" s="1"/>
  <c r="K714" i="55"/>
  <c r="I50" i="85" s="1"/>
  <c r="J714" i="55"/>
  <c r="H50" i="85" s="1"/>
  <c r="I714" i="55"/>
  <c r="G50" i="85" s="1"/>
  <c r="H714" i="55"/>
  <c r="F50" i="85" s="1"/>
  <c r="G714" i="55"/>
  <c r="E50" i="85" s="1"/>
  <c r="F714" i="55"/>
  <c r="D50" i="85" s="1"/>
  <c r="F713" i="55"/>
  <c r="AE12" i="85" s="1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AC12" i="85" s="1"/>
  <c r="S712" i="55"/>
  <c r="R712" i="55"/>
  <c r="AA12" i="85" s="1"/>
  <c r="Q712" i="55"/>
  <c r="Y12" i="85" s="1"/>
  <c r="P712" i="55"/>
  <c r="X12" i="85" s="1"/>
  <c r="O712" i="55"/>
  <c r="W12" i="85" s="1"/>
  <c r="N712" i="55"/>
  <c r="V12" i="85" s="1"/>
  <c r="M712" i="55"/>
  <c r="U12" i="85" s="1"/>
  <c r="L712" i="55"/>
  <c r="N12" i="85" s="1"/>
  <c r="K712" i="55"/>
  <c r="I12" i="85" s="1"/>
  <c r="J712" i="55"/>
  <c r="H12" i="85" s="1"/>
  <c r="I712" i="55"/>
  <c r="G12" i="85" s="1"/>
  <c r="H712" i="55"/>
  <c r="F12" i="85" s="1"/>
  <c r="G712" i="55"/>
  <c r="E12" i="85" s="1"/>
  <c r="F712" i="55"/>
  <c r="D12" i="85" s="1"/>
  <c r="F705" i="55"/>
  <c r="AE50" i="79" s="1"/>
  <c r="AD50" i="79" s="1"/>
  <c r="Z704" i="55"/>
  <c r="Y704" i="55"/>
  <c r="X704" i="55"/>
  <c r="W704" i="55"/>
  <c r="V704" i="55"/>
  <c r="U704" i="55"/>
  <c r="T704" i="55"/>
  <c r="AC50" i="79" s="1"/>
  <c r="S704" i="55"/>
  <c r="R704" i="55"/>
  <c r="AA50" i="79" s="1"/>
  <c r="Q704" i="55"/>
  <c r="Y50" i="79" s="1"/>
  <c r="P704" i="55"/>
  <c r="X50" i="79" s="1"/>
  <c r="O704" i="55"/>
  <c r="W50" i="79" s="1"/>
  <c r="N704" i="55"/>
  <c r="V50" i="79" s="1"/>
  <c r="M704" i="55"/>
  <c r="U50" i="79" s="1"/>
  <c r="L704" i="55"/>
  <c r="N50" i="79" s="1"/>
  <c r="AB50" i="79" s="1"/>
  <c r="K704" i="55"/>
  <c r="I50" i="79" s="1"/>
  <c r="J704" i="55"/>
  <c r="H50" i="79" s="1"/>
  <c r="I704" i="55"/>
  <c r="G50" i="79" s="1"/>
  <c r="H704" i="55"/>
  <c r="F50" i="79" s="1"/>
  <c r="G704" i="55"/>
  <c r="E50" i="79" s="1"/>
  <c r="F704" i="55"/>
  <c r="D50" i="79" s="1"/>
  <c r="F703" i="55"/>
  <c r="AE12" i="79" s="1"/>
  <c r="Z702" i="55"/>
  <c r="Y702" i="55"/>
  <c r="X702" i="55"/>
  <c r="W702" i="55"/>
  <c r="V702" i="55"/>
  <c r="U702" i="55"/>
  <c r="T702" i="55"/>
  <c r="AC12" i="79" s="1"/>
  <c r="S702" i="55"/>
  <c r="R702" i="55"/>
  <c r="AA12" i="79" s="1"/>
  <c r="Q702" i="55"/>
  <c r="Y12" i="79" s="1"/>
  <c r="P702" i="55"/>
  <c r="X12" i="79" s="1"/>
  <c r="O702" i="55"/>
  <c r="W12" i="79" s="1"/>
  <c r="N702" i="55"/>
  <c r="V12" i="79" s="1"/>
  <c r="M702" i="55"/>
  <c r="U12" i="79" s="1"/>
  <c r="L702" i="55"/>
  <c r="N12" i="79" s="1"/>
  <c r="K702" i="55"/>
  <c r="I12" i="79" s="1"/>
  <c r="J702" i="55"/>
  <c r="H12" i="79" s="1"/>
  <c r="I702" i="55"/>
  <c r="G12" i="79" s="1"/>
  <c r="H702" i="55"/>
  <c r="F12" i="79" s="1"/>
  <c r="G702" i="55"/>
  <c r="E12" i="79" s="1"/>
  <c r="F702" i="55"/>
  <c r="D12" i="79" s="1"/>
  <c r="F700" i="55"/>
  <c r="AE50" i="75" s="1"/>
  <c r="AD50" i="75" s="1"/>
  <c r="Z699" i="55"/>
  <c r="Y699" i="55"/>
  <c r="X699" i="55"/>
  <c r="W699" i="55"/>
  <c r="V699" i="55"/>
  <c r="U699" i="55"/>
  <c r="T699" i="55"/>
  <c r="AC50" i="75" s="1"/>
  <c r="S699" i="55"/>
  <c r="R699" i="55"/>
  <c r="AA50" i="75" s="1"/>
  <c r="Q699" i="55"/>
  <c r="Y50" i="75" s="1"/>
  <c r="P699" i="55"/>
  <c r="X50" i="75" s="1"/>
  <c r="O699" i="55"/>
  <c r="W50" i="75" s="1"/>
  <c r="N699" i="55"/>
  <c r="V50" i="75" s="1"/>
  <c r="M699" i="55"/>
  <c r="U50" i="75" s="1"/>
  <c r="L699" i="55"/>
  <c r="N50" i="75" s="1"/>
  <c r="AB50" i="75" s="1"/>
  <c r="K699" i="55"/>
  <c r="I50" i="75" s="1"/>
  <c r="J699" i="55"/>
  <c r="H50" i="75" s="1"/>
  <c r="I699" i="55"/>
  <c r="G50" i="75" s="1"/>
  <c r="H699" i="55"/>
  <c r="F50" i="75" s="1"/>
  <c r="G699" i="55"/>
  <c r="E50" i="75" s="1"/>
  <c r="F699" i="55"/>
  <c r="D50" i="75" s="1"/>
  <c r="F698" i="55"/>
  <c r="AE12" i="75" s="1"/>
  <c r="AD12" i="75" s="1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AC12" i="75" s="1"/>
  <c r="S697" i="55"/>
  <c r="R697" i="55"/>
  <c r="AA12" i="75" s="1"/>
  <c r="Q697" i="55"/>
  <c r="Y12" i="75" s="1"/>
  <c r="P697" i="55"/>
  <c r="X12" i="75" s="1"/>
  <c r="O697" i="55"/>
  <c r="W12" i="75" s="1"/>
  <c r="N697" i="55"/>
  <c r="V12" i="75" s="1"/>
  <c r="M697" i="55"/>
  <c r="U12" i="75" s="1"/>
  <c r="L697" i="55"/>
  <c r="N12" i="75" s="1"/>
  <c r="K697" i="55"/>
  <c r="I12" i="75" s="1"/>
  <c r="J697" i="55"/>
  <c r="H12" i="75" s="1"/>
  <c r="I697" i="55"/>
  <c r="G12" i="75" s="1"/>
  <c r="H697" i="55"/>
  <c r="F12" i="75" s="1"/>
  <c r="G697" i="55"/>
  <c r="E12" i="75" s="1"/>
  <c r="F697" i="55"/>
  <c r="D12" i="75" s="1"/>
  <c r="F695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G694" i="55"/>
  <c r="F694" i="55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T14" i="89" s="1"/>
  <c r="P514" i="55"/>
  <c r="S14" i="89" s="1"/>
  <c r="O514" i="55"/>
  <c r="R14" i="89" s="1"/>
  <c r="N514" i="55"/>
  <c r="Q14" i="89" s="1"/>
  <c r="M514" i="55"/>
  <c r="P14" i="89" s="1"/>
  <c r="U14" i="89" s="1"/>
  <c r="L514" i="55"/>
  <c r="K514" i="55"/>
  <c r="I14" i="89" s="1"/>
  <c r="J514" i="55"/>
  <c r="H14" i="89" s="1"/>
  <c r="I514" i="55"/>
  <c r="G14" i="89" s="1"/>
  <c r="H514" i="55"/>
  <c r="F14" i="89" s="1"/>
  <c r="G514" i="55"/>
  <c r="E14" i="89" s="1"/>
  <c r="F514" i="55"/>
  <c r="D14" i="89" s="1"/>
  <c r="J14" i="89" s="1"/>
  <c r="V14" i="89" s="1"/>
  <c r="W14" i="89" s="1"/>
  <c r="F507" i="55"/>
  <c r="AE49" i="85" s="1"/>
  <c r="AD49" i="85" s="1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AC49" i="85" s="1"/>
  <c r="S506" i="55"/>
  <c r="R506" i="55"/>
  <c r="AA49" i="85" s="1"/>
  <c r="Q506" i="55"/>
  <c r="Y49" i="85" s="1"/>
  <c r="P506" i="55"/>
  <c r="X49" i="85" s="1"/>
  <c r="O506" i="55"/>
  <c r="W49" i="85" s="1"/>
  <c r="N506" i="55"/>
  <c r="V49" i="85" s="1"/>
  <c r="M506" i="55"/>
  <c r="U49" i="85" s="1"/>
  <c r="L506" i="55"/>
  <c r="N49" i="85" s="1"/>
  <c r="AB49" i="85" s="1"/>
  <c r="K506" i="55"/>
  <c r="I49" i="85" s="1"/>
  <c r="J506" i="55"/>
  <c r="H49" i="85" s="1"/>
  <c r="I506" i="55"/>
  <c r="G49" i="85" s="1"/>
  <c r="H506" i="55"/>
  <c r="F49" i="85" s="1"/>
  <c r="G506" i="55"/>
  <c r="E49" i="85" s="1"/>
  <c r="F506" i="55"/>
  <c r="D49" i="85" s="1"/>
  <c r="F505" i="55"/>
  <c r="AE11" i="85" s="1"/>
  <c r="AD11" i="85" s="1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AC11" i="85" s="1"/>
  <c r="S504" i="55"/>
  <c r="R504" i="55"/>
  <c r="AA11" i="85" s="1"/>
  <c r="Q504" i="55"/>
  <c r="Y11" i="85" s="1"/>
  <c r="P504" i="55"/>
  <c r="X11" i="85" s="1"/>
  <c r="O504" i="55"/>
  <c r="W11" i="85" s="1"/>
  <c r="N504" i="55"/>
  <c r="V11" i="85" s="1"/>
  <c r="M504" i="55"/>
  <c r="U11" i="85" s="1"/>
  <c r="L504" i="55"/>
  <c r="N11" i="85" s="1"/>
  <c r="K504" i="55"/>
  <c r="I11" i="85" s="1"/>
  <c r="J504" i="55"/>
  <c r="H11" i="85" s="1"/>
  <c r="I504" i="55"/>
  <c r="G11" i="85" s="1"/>
  <c r="H504" i="55"/>
  <c r="F11" i="85" s="1"/>
  <c r="G504" i="55"/>
  <c r="E11" i="85" s="1"/>
  <c r="F504" i="55"/>
  <c r="D11" i="85" s="1"/>
  <c r="F497" i="55"/>
  <c r="AE49" i="79" s="1"/>
  <c r="AD49" i="79" s="1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AC49" i="79" s="1"/>
  <c r="S496" i="55"/>
  <c r="R496" i="55"/>
  <c r="AA49" i="79" s="1"/>
  <c r="Q496" i="55"/>
  <c r="Y49" i="79" s="1"/>
  <c r="P496" i="55"/>
  <c r="X49" i="79" s="1"/>
  <c r="O496" i="55"/>
  <c r="W49" i="79" s="1"/>
  <c r="N496" i="55"/>
  <c r="V49" i="79" s="1"/>
  <c r="M496" i="55"/>
  <c r="U49" i="79" s="1"/>
  <c r="AF49" i="79" s="1"/>
  <c r="L496" i="55"/>
  <c r="N49" i="79" s="1"/>
  <c r="AB49" i="79" s="1"/>
  <c r="K496" i="55"/>
  <c r="I49" i="79" s="1"/>
  <c r="J496" i="55"/>
  <c r="H49" i="79" s="1"/>
  <c r="I496" i="55"/>
  <c r="G49" i="79" s="1"/>
  <c r="H496" i="55"/>
  <c r="F49" i="79" s="1"/>
  <c r="G496" i="55"/>
  <c r="E49" i="79" s="1"/>
  <c r="F496" i="55"/>
  <c r="D49" i="79" s="1"/>
  <c r="F495" i="55"/>
  <c r="AE11" i="79" s="1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AC11" i="79" s="1"/>
  <c r="S494" i="55"/>
  <c r="R494" i="55"/>
  <c r="AA11" i="79" s="1"/>
  <c r="Q494" i="55"/>
  <c r="Y11" i="79" s="1"/>
  <c r="P494" i="55"/>
  <c r="X11" i="79" s="1"/>
  <c r="O494" i="55"/>
  <c r="W11" i="79" s="1"/>
  <c r="N494" i="55"/>
  <c r="V11" i="79" s="1"/>
  <c r="M494" i="55"/>
  <c r="U11" i="79" s="1"/>
  <c r="L494" i="55"/>
  <c r="N11" i="79" s="1"/>
  <c r="K494" i="55"/>
  <c r="I11" i="79" s="1"/>
  <c r="J494" i="55"/>
  <c r="H11" i="79" s="1"/>
  <c r="I494" i="55"/>
  <c r="G11" i="79" s="1"/>
  <c r="H494" i="55"/>
  <c r="F11" i="79" s="1"/>
  <c r="G494" i="55"/>
  <c r="E11" i="79" s="1"/>
  <c r="F494" i="55"/>
  <c r="D11" i="79" s="1"/>
  <c r="F487" i="55"/>
  <c r="AE49" i="22" s="1"/>
  <c r="AD49" i="22" s="1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AC49" i="22" s="1"/>
  <c r="S486" i="55"/>
  <c r="R486" i="55"/>
  <c r="AA49" i="22" s="1"/>
  <c r="Q486" i="55"/>
  <c r="Y49" i="22" s="1"/>
  <c r="P486" i="55"/>
  <c r="X49" i="22" s="1"/>
  <c r="O486" i="55"/>
  <c r="W49" i="22" s="1"/>
  <c r="N486" i="55"/>
  <c r="V49" i="22" s="1"/>
  <c r="M486" i="55"/>
  <c r="U49" i="22" s="1"/>
  <c r="L486" i="55"/>
  <c r="N49" i="22" s="1"/>
  <c r="AB49" i="22" s="1"/>
  <c r="K486" i="55"/>
  <c r="I49" i="22" s="1"/>
  <c r="J486" i="55"/>
  <c r="H49" i="22" s="1"/>
  <c r="I486" i="55"/>
  <c r="G49" i="22" s="1"/>
  <c r="H486" i="55"/>
  <c r="F49" i="22" s="1"/>
  <c r="G486" i="55"/>
  <c r="E49" i="22" s="1"/>
  <c r="F486" i="55"/>
  <c r="D49" i="22" s="1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T13" i="89" s="1"/>
  <c r="P353" i="55"/>
  <c r="S13" i="89" s="1"/>
  <c r="O353" i="55"/>
  <c r="R13" i="89" s="1"/>
  <c r="N353" i="55"/>
  <c r="Q13" i="89" s="1"/>
  <c r="M353" i="55"/>
  <c r="P13" i="89" s="1"/>
  <c r="U13" i="89" s="1"/>
  <c r="L353" i="55"/>
  <c r="K353" i="55"/>
  <c r="I13" i="89" s="1"/>
  <c r="J353" i="55"/>
  <c r="H13" i="89" s="1"/>
  <c r="I353" i="55"/>
  <c r="G13" i="89" s="1"/>
  <c r="H353" i="55"/>
  <c r="F13" i="89" s="1"/>
  <c r="G353" i="55"/>
  <c r="E13" i="89" s="1"/>
  <c r="F353" i="55"/>
  <c r="D13" i="89" s="1"/>
  <c r="J13" i="89" s="1"/>
  <c r="V13" i="89" s="1"/>
  <c r="W13" i="89" s="1"/>
  <c r="F346" i="55"/>
  <c r="AE48" i="85" s="1"/>
  <c r="AD48" i="85" s="1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AC48" i="85" s="1"/>
  <c r="S345" i="55"/>
  <c r="R345" i="55"/>
  <c r="AA48" i="85" s="1"/>
  <c r="Q345" i="55"/>
  <c r="Y48" i="85" s="1"/>
  <c r="P345" i="55"/>
  <c r="X48" i="85" s="1"/>
  <c r="O345" i="55"/>
  <c r="W48" i="85" s="1"/>
  <c r="N345" i="55"/>
  <c r="V48" i="85" s="1"/>
  <c r="M345" i="55"/>
  <c r="U48" i="85" s="1"/>
  <c r="L345" i="55"/>
  <c r="N48" i="85" s="1"/>
  <c r="AB48" i="85" s="1"/>
  <c r="K345" i="55"/>
  <c r="I48" i="85" s="1"/>
  <c r="J345" i="55"/>
  <c r="H48" i="85" s="1"/>
  <c r="I345" i="55"/>
  <c r="G48" i="85" s="1"/>
  <c r="H345" i="55"/>
  <c r="F48" i="85" s="1"/>
  <c r="G345" i="55"/>
  <c r="E48" i="85" s="1"/>
  <c r="F345" i="55"/>
  <c r="D48" i="85" s="1"/>
  <c r="F344" i="55"/>
  <c r="AE10" i="85" s="1"/>
  <c r="AD10" i="85" s="1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AC10" i="85" s="1"/>
  <c r="S343" i="55"/>
  <c r="R343" i="55"/>
  <c r="AA10" i="85" s="1"/>
  <c r="Q343" i="55"/>
  <c r="Y10" i="85" s="1"/>
  <c r="P343" i="55"/>
  <c r="X10" i="85" s="1"/>
  <c r="O343" i="55"/>
  <c r="W10" i="85" s="1"/>
  <c r="N343" i="55"/>
  <c r="V10" i="85" s="1"/>
  <c r="M343" i="55"/>
  <c r="U10" i="85" s="1"/>
  <c r="L343" i="55"/>
  <c r="N10" i="85" s="1"/>
  <c r="K343" i="55"/>
  <c r="I10" i="85" s="1"/>
  <c r="J343" i="55"/>
  <c r="H10" i="85" s="1"/>
  <c r="I343" i="55"/>
  <c r="G10" i="85" s="1"/>
  <c r="H343" i="55"/>
  <c r="F10" i="85" s="1"/>
  <c r="G343" i="55"/>
  <c r="E10" i="85" s="1"/>
  <c r="F343" i="55"/>
  <c r="D10" i="85" s="1"/>
  <c r="F336" i="55"/>
  <c r="AE48" i="79" s="1"/>
  <c r="AD48" i="79" s="1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AC48" i="79" s="1"/>
  <c r="S335" i="55"/>
  <c r="R335" i="55"/>
  <c r="AA48" i="79" s="1"/>
  <c r="Q335" i="55"/>
  <c r="Y48" i="79" s="1"/>
  <c r="P335" i="55"/>
  <c r="X48" i="79" s="1"/>
  <c r="O335" i="55"/>
  <c r="W48" i="79" s="1"/>
  <c r="N335" i="55"/>
  <c r="V48" i="79" s="1"/>
  <c r="M335" i="55"/>
  <c r="U48" i="79" s="1"/>
  <c r="L335" i="55"/>
  <c r="N48" i="79" s="1"/>
  <c r="AB48" i="79" s="1"/>
  <c r="K335" i="55"/>
  <c r="I48" i="79" s="1"/>
  <c r="J335" i="55"/>
  <c r="H48" i="79" s="1"/>
  <c r="I335" i="55"/>
  <c r="G48" i="79" s="1"/>
  <c r="H335" i="55"/>
  <c r="F48" i="79" s="1"/>
  <c r="G335" i="55"/>
  <c r="E48" i="79" s="1"/>
  <c r="F335" i="55"/>
  <c r="D48" i="79" s="1"/>
  <c r="F334" i="55"/>
  <c r="AE10" i="79" s="1"/>
  <c r="AA333" i="55"/>
  <c r="Z333" i="55"/>
  <c r="Y333" i="55"/>
  <c r="X333" i="55"/>
  <c r="W333" i="55"/>
  <c r="V333" i="55"/>
  <c r="U333" i="55"/>
  <c r="T333" i="55"/>
  <c r="AC10" i="79" s="1"/>
  <c r="S333" i="55"/>
  <c r="R333" i="55"/>
  <c r="AA10" i="79" s="1"/>
  <c r="Q333" i="55"/>
  <c r="Y10" i="79" s="1"/>
  <c r="P333" i="55"/>
  <c r="X10" i="79" s="1"/>
  <c r="O333" i="55"/>
  <c r="W10" i="79" s="1"/>
  <c r="N333" i="55"/>
  <c r="V10" i="79" s="1"/>
  <c r="M333" i="55"/>
  <c r="U10" i="79" s="1"/>
  <c r="L333" i="55"/>
  <c r="N10" i="79" s="1"/>
  <c r="K333" i="55"/>
  <c r="I10" i="79" s="1"/>
  <c r="J333" i="55"/>
  <c r="H10" i="79" s="1"/>
  <c r="I333" i="55"/>
  <c r="G10" i="79" s="1"/>
  <c r="H333" i="55"/>
  <c r="F10" i="79" s="1"/>
  <c r="G333" i="55"/>
  <c r="E10" i="79" s="1"/>
  <c r="F333" i="55"/>
  <c r="D10" i="79" s="1"/>
  <c r="F331" i="55"/>
  <c r="AE48" i="75" s="1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AC48" i="75" s="1"/>
  <c r="AC52" i="75" s="1"/>
  <c r="S330" i="55"/>
  <c r="R330" i="55"/>
  <c r="AA48" i="75" s="1"/>
  <c r="AA52" i="75" s="1"/>
  <c r="Q330" i="55"/>
  <c r="Y48" i="75" s="1"/>
  <c r="Y52" i="75" s="1"/>
  <c r="P330" i="55"/>
  <c r="X48" i="75" s="1"/>
  <c r="X52" i="75" s="1"/>
  <c r="O330" i="55"/>
  <c r="W48" i="75" s="1"/>
  <c r="W52" i="75" s="1"/>
  <c r="N330" i="55"/>
  <c r="V48" i="75" s="1"/>
  <c r="V52" i="75" s="1"/>
  <c r="M330" i="55"/>
  <c r="U48" i="75" s="1"/>
  <c r="L330" i="55"/>
  <c r="N48" i="75" s="1"/>
  <c r="AB48" i="75" s="1"/>
  <c r="K330" i="55"/>
  <c r="I48" i="75" s="1"/>
  <c r="I52" i="75" s="1"/>
  <c r="J330" i="55"/>
  <c r="H48" i="75" s="1"/>
  <c r="H52" i="75" s="1"/>
  <c r="I330" i="55"/>
  <c r="G48" i="75" s="1"/>
  <c r="G52" i="75" s="1"/>
  <c r="H330" i="55"/>
  <c r="F48" i="75" s="1"/>
  <c r="F52" i="75" s="1"/>
  <c r="G330" i="55"/>
  <c r="E48" i="75" s="1"/>
  <c r="E52" i="75" s="1"/>
  <c r="F330" i="55"/>
  <c r="D48" i="75" s="1"/>
  <c r="F329" i="55"/>
  <c r="AE10" i="75" s="1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AC10" i="75" s="1"/>
  <c r="AC105" i="75" s="1"/>
  <c r="S328" i="55"/>
  <c r="R328" i="55"/>
  <c r="AA10" i="75" s="1"/>
  <c r="Q328" i="55"/>
  <c r="Y10" i="75" s="1"/>
  <c r="P328" i="55"/>
  <c r="X10" i="75" s="1"/>
  <c r="O328" i="55"/>
  <c r="W10" i="75" s="1"/>
  <c r="N328" i="55"/>
  <c r="V10" i="75" s="1"/>
  <c r="M328" i="55"/>
  <c r="U10" i="75" s="1"/>
  <c r="L328" i="55"/>
  <c r="N10" i="75" s="1"/>
  <c r="K328" i="55"/>
  <c r="I10" i="75" s="1"/>
  <c r="J328" i="55"/>
  <c r="H10" i="75" s="1"/>
  <c r="I328" i="55"/>
  <c r="G10" i="75" s="1"/>
  <c r="H328" i="55"/>
  <c r="F10" i="75" s="1"/>
  <c r="G328" i="55"/>
  <c r="E10" i="75" s="1"/>
  <c r="F328" i="55"/>
  <c r="D10" i="75" s="1"/>
  <c r="F326" i="55"/>
  <c r="AE48" i="22" s="1"/>
  <c r="AD48" i="22" s="1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AC48" i="22" s="1"/>
  <c r="S325" i="55"/>
  <c r="R325" i="55"/>
  <c r="AA48" i="22" s="1"/>
  <c r="Q325" i="55"/>
  <c r="Y48" i="22" s="1"/>
  <c r="P325" i="55"/>
  <c r="X48" i="22" s="1"/>
  <c r="O325" i="55"/>
  <c r="W48" i="22" s="1"/>
  <c r="N325" i="55"/>
  <c r="V48" i="22" s="1"/>
  <c r="M325" i="55"/>
  <c r="U48" i="22" s="1"/>
  <c r="L325" i="55"/>
  <c r="N48" i="22" s="1"/>
  <c r="AB48" i="22" s="1"/>
  <c r="K325" i="55"/>
  <c r="I48" i="22" s="1"/>
  <c r="J325" i="55"/>
  <c r="H48" i="22" s="1"/>
  <c r="I325" i="55"/>
  <c r="G48" i="22" s="1"/>
  <c r="H325" i="55"/>
  <c r="F48" i="22" s="1"/>
  <c r="G325" i="55"/>
  <c r="E48" i="22" s="1"/>
  <c r="F325" i="55"/>
  <c r="D48" i="22" s="1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T12" i="89" s="1"/>
  <c r="P119" i="55"/>
  <c r="S12" i="89" s="1"/>
  <c r="O119" i="55"/>
  <c r="R12" i="89" s="1"/>
  <c r="N119" i="55"/>
  <c r="Q12" i="89" s="1"/>
  <c r="M119" i="55"/>
  <c r="P12" i="89" s="1"/>
  <c r="L119" i="55"/>
  <c r="K119" i="55"/>
  <c r="I12" i="89" s="1"/>
  <c r="J119" i="55"/>
  <c r="H12" i="89" s="1"/>
  <c r="I119" i="55"/>
  <c r="G12" i="89" s="1"/>
  <c r="H119" i="55"/>
  <c r="F12" i="89" s="1"/>
  <c r="G119" i="55"/>
  <c r="E12" i="89" s="1"/>
  <c r="F119" i="55"/>
  <c r="D12" i="89" s="1"/>
  <c r="F112" i="55"/>
  <c r="AE47" i="85" s="1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AC47" i="85" s="1"/>
  <c r="S111" i="55"/>
  <c r="R111" i="55"/>
  <c r="AA47" i="85" s="1"/>
  <c r="Q111" i="55"/>
  <c r="Y47" i="85" s="1"/>
  <c r="P111" i="55"/>
  <c r="X47" i="85" s="1"/>
  <c r="O111" i="55"/>
  <c r="W47" i="85" s="1"/>
  <c r="N111" i="55"/>
  <c r="V47" i="85" s="1"/>
  <c r="M111" i="55"/>
  <c r="U47" i="85" s="1"/>
  <c r="L111" i="55"/>
  <c r="N47" i="85" s="1"/>
  <c r="K111" i="55"/>
  <c r="I47" i="85" s="1"/>
  <c r="J111" i="55"/>
  <c r="H47" i="85" s="1"/>
  <c r="I111" i="55"/>
  <c r="G47" i="85" s="1"/>
  <c r="H111" i="55"/>
  <c r="F47" i="85" s="1"/>
  <c r="G111" i="55"/>
  <c r="E47" i="85" s="1"/>
  <c r="F111" i="55"/>
  <c r="D47" i="85" s="1"/>
  <c r="F110" i="55"/>
  <c r="AE9" i="85" s="1"/>
  <c r="AD9" i="85" s="1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AC9" i="85" s="1"/>
  <c r="S109" i="55"/>
  <c r="R109" i="55"/>
  <c r="AA9" i="85" s="1"/>
  <c r="Q109" i="55"/>
  <c r="Y9" i="85" s="1"/>
  <c r="P109" i="55"/>
  <c r="X9" i="85" s="1"/>
  <c r="O109" i="55"/>
  <c r="W9" i="85" s="1"/>
  <c r="N109" i="55"/>
  <c r="V9" i="85" s="1"/>
  <c r="M109" i="55"/>
  <c r="U9" i="85" s="1"/>
  <c r="L109" i="55"/>
  <c r="N9" i="85" s="1"/>
  <c r="K109" i="55"/>
  <c r="I9" i="85" s="1"/>
  <c r="J109" i="55"/>
  <c r="H9" i="85" s="1"/>
  <c r="I109" i="55"/>
  <c r="G9" i="85" s="1"/>
  <c r="H109" i="55"/>
  <c r="F9" i="85" s="1"/>
  <c r="G109" i="55"/>
  <c r="E9" i="85" s="1"/>
  <c r="F109" i="55"/>
  <c r="D9" i="85" s="1"/>
  <c r="F107" i="55"/>
  <c r="AE47" i="97" s="1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AC47" i="97" s="1"/>
  <c r="S106" i="55"/>
  <c r="R106" i="55"/>
  <c r="AA47" i="97" s="1"/>
  <c r="Q106" i="55"/>
  <c r="Y47" i="97" s="1"/>
  <c r="P106" i="55"/>
  <c r="X47" i="97" s="1"/>
  <c r="O106" i="55"/>
  <c r="W47" i="97" s="1"/>
  <c r="N106" i="55"/>
  <c r="V47" i="97" s="1"/>
  <c r="M106" i="55"/>
  <c r="U47" i="97" s="1"/>
  <c r="L106" i="55"/>
  <c r="N47" i="97" s="1"/>
  <c r="K106" i="55"/>
  <c r="I47" i="97" s="1"/>
  <c r="J106" i="55"/>
  <c r="H47" i="97" s="1"/>
  <c r="I106" i="55"/>
  <c r="G47" i="97" s="1"/>
  <c r="H106" i="55"/>
  <c r="F47" i="97" s="1"/>
  <c r="G106" i="55"/>
  <c r="E47" i="97" s="1"/>
  <c r="F106" i="55"/>
  <c r="D47" i="97" s="1"/>
  <c r="F105" i="55"/>
  <c r="AE9" i="97" s="1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AC9" i="97" s="1"/>
  <c r="S104" i="55"/>
  <c r="R104" i="55"/>
  <c r="AA9" i="97" s="1"/>
  <c r="Q104" i="55"/>
  <c r="Y9" i="97" s="1"/>
  <c r="P104" i="55"/>
  <c r="X9" i="97" s="1"/>
  <c r="O104" i="55"/>
  <c r="W9" i="97" s="1"/>
  <c r="N104" i="55"/>
  <c r="V9" i="97" s="1"/>
  <c r="M104" i="55"/>
  <c r="U9" i="97" s="1"/>
  <c r="L104" i="55"/>
  <c r="N9" i="97" s="1"/>
  <c r="K104" i="55"/>
  <c r="I9" i="97" s="1"/>
  <c r="J104" i="55"/>
  <c r="H9" i="97" s="1"/>
  <c r="I104" i="55"/>
  <c r="G9" i="97" s="1"/>
  <c r="H104" i="55"/>
  <c r="F9" i="97" s="1"/>
  <c r="G104" i="55"/>
  <c r="E9" i="97" s="1"/>
  <c r="F104" i="55"/>
  <c r="D9" i="97" s="1"/>
  <c r="F102" i="55"/>
  <c r="AE47" i="79" s="1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AC47" i="79" s="1"/>
  <c r="S101" i="55"/>
  <c r="R101" i="55"/>
  <c r="AA47" i="79" s="1"/>
  <c r="Q101" i="55"/>
  <c r="Y47" i="79" s="1"/>
  <c r="P101" i="55"/>
  <c r="X47" i="79" s="1"/>
  <c r="O101" i="55"/>
  <c r="W47" i="79" s="1"/>
  <c r="N101" i="55"/>
  <c r="V47" i="79" s="1"/>
  <c r="M101" i="55"/>
  <c r="U47" i="79" s="1"/>
  <c r="L101" i="55"/>
  <c r="N47" i="79" s="1"/>
  <c r="K101" i="55"/>
  <c r="I47" i="79" s="1"/>
  <c r="J101" i="55"/>
  <c r="H47" i="79" s="1"/>
  <c r="I101" i="55"/>
  <c r="G47" i="79" s="1"/>
  <c r="H101" i="55"/>
  <c r="F47" i="79" s="1"/>
  <c r="G101" i="55"/>
  <c r="E47" i="79" s="1"/>
  <c r="F101" i="55"/>
  <c r="D47" i="79" s="1"/>
  <c r="F100" i="55"/>
  <c r="AE9" i="79" s="1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AC9" i="79" s="1"/>
  <c r="S99" i="55"/>
  <c r="R99" i="55"/>
  <c r="AA9" i="79" s="1"/>
  <c r="Q99" i="55"/>
  <c r="Y9" i="79" s="1"/>
  <c r="P99" i="55"/>
  <c r="X9" i="79" s="1"/>
  <c r="O99" i="55"/>
  <c r="W9" i="79" s="1"/>
  <c r="N99" i="55"/>
  <c r="V9" i="79" s="1"/>
  <c r="M99" i="55"/>
  <c r="U9" i="79" s="1"/>
  <c r="L99" i="55"/>
  <c r="N9" i="79" s="1"/>
  <c r="K99" i="55"/>
  <c r="I9" i="79" s="1"/>
  <c r="J99" i="55"/>
  <c r="H9" i="79" s="1"/>
  <c r="I99" i="55"/>
  <c r="G9" i="79" s="1"/>
  <c r="H99" i="55"/>
  <c r="F9" i="79" s="1"/>
  <c r="G99" i="55"/>
  <c r="E9" i="79" s="1"/>
  <c r="F99" i="55"/>
  <c r="D9" i="79" s="1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L129" i="86" s="1"/>
  <c r="O25" i="56"/>
  <c r="L129" i="85" s="1"/>
  <c r="L25" i="56"/>
  <c r="L129" i="97" s="1"/>
  <c r="I25" i="56"/>
  <c r="L129" i="79" s="1"/>
  <c r="F25" i="56"/>
  <c r="L129" i="75" s="1"/>
  <c r="R24" i="56"/>
  <c r="L128" i="86" s="1"/>
  <c r="O24" i="56"/>
  <c r="L128" i="85" s="1"/>
  <c r="L24" i="56"/>
  <c r="L128" i="97" s="1"/>
  <c r="I24" i="56"/>
  <c r="L128" i="79" s="1"/>
  <c r="F24" i="56"/>
  <c r="L128" i="75" s="1"/>
  <c r="R23" i="56"/>
  <c r="L127" i="86" s="1"/>
  <c r="O23" i="56"/>
  <c r="L127" i="85" s="1"/>
  <c r="L23" i="56"/>
  <c r="L127" i="97" s="1"/>
  <c r="I23" i="56"/>
  <c r="L127" i="79" s="1"/>
  <c r="F23" i="56"/>
  <c r="L127" i="75" s="1"/>
  <c r="R22" i="56"/>
  <c r="L126" i="86" s="1"/>
  <c r="O22" i="56"/>
  <c r="L126" i="85" s="1"/>
  <c r="L22" i="56"/>
  <c r="L126" i="97" s="1"/>
  <c r="I22" i="56"/>
  <c r="L126" i="79" s="1"/>
  <c r="F22" i="56"/>
  <c r="L126" i="75" s="1"/>
  <c r="R21" i="56"/>
  <c r="O21" i="56"/>
  <c r="L21" i="56"/>
  <c r="I21" i="56"/>
  <c r="F21" i="56"/>
  <c r="R16" i="56"/>
  <c r="K129" i="86" s="1"/>
  <c r="O16" i="56"/>
  <c r="K129" i="85" s="1"/>
  <c r="L16" i="56"/>
  <c r="K129" i="97" s="1"/>
  <c r="I16" i="56"/>
  <c r="K129" i="79" s="1"/>
  <c r="F16" i="56"/>
  <c r="K129" i="75" s="1"/>
  <c r="R15" i="56"/>
  <c r="K128" i="86" s="1"/>
  <c r="O15" i="56"/>
  <c r="K128" i="85" s="1"/>
  <c r="L15" i="56"/>
  <c r="K128" i="97" s="1"/>
  <c r="I15" i="56"/>
  <c r="K128" i="79" s="1"/>
  <c r="F15" i="56"/>
  <c r="K128" i="75" s="1"/>
  <c r="R14" i="56"/>
  <c r="K127" i="86" s="1"/>
  <c r="O14" i="56"/>
  <c r="K127" i="85" s="1"/>
  <c r="L14" i="56"/>
  <c r="K127" i="97" s="1"/>
  <c r="I14" i="56"/>
  <c r="K127" i="79" s="1"/>
  <c r="F14" i="56"/>
  <c r="K127" i="75" s="1"/>
  <c r="R13" i="56"/>
  <c r="K126" i="86" s="1"/>
  <c r="O13" i="56"/>
  <c r="K126" i="85" s="1"/>
  <c r="L13" i="56"/>
  <c r="K126" i="97" s="1"/>
  <c r="I13" i="56"/>
  <c r="K126" i="79" s="1"/>
  <c r="F13" i="56"/>
  <c r="K126" i="75" s="1"/>
  <c r="R12" i="56"/>
  <c r="O12" i="56"/>
  <c r="L12" i="56"/>
  <c r="I12" i="56"/>
  <c r="F12" i="56"/>
  <c r="R7" i="56"/>
  <c r="D129" i="86" s="1"/>
  <c r="O7" i="56"/>
  <c r="D129" i="85" s="1"/>
  <c r="L7" i="56"/>
  <c r="D129" i="97" s="1"/>
  <c r="I7" i="56"/>
  <c r="D129" i="79" s="1"/>
  <c r="F7" i="56"/>
  <c r="D129" i="75" s="1"/>
  <c r="R6" i="56"/>
  <c r="D128" i="86" s="1"/>
  <c r="O6" i="56"/>
  <c r="D128" i="85" s="1"/>
  <c r="L6" i="56"/>
  <c r="D128" i="97" s="1"/>
  <c r="I6" i="56"/>
  <c r="D128" i="79" s="1"/>
  <c r="F6" i="56"/>
  <c r="D128" i="75" s="1"/>
  <c r="R5" i="56"/>
  <c r="D127" i="86" s="1"/>
  <c r="O5" i="56"/>
  <c r="D127" i="85" s="1"/>
  <c r="L5" i="56"/>
  <c r="D127" i="97" s="1"/>
  <c r="I5" i="56"/>
  <c r="D127" i="79" s="1"/>
  <c r="F5" i="56"/>
  <c r="D127" i="75" s="1"/>
  <c r="R4" i="56"/>
  <c r="D126" i="86" s="1"/>
  <c r="O4" i="56"/>
  <c r="D126" i="85" s="1"/>
  <c r="L4" i="56"/>
  <c r="D126" i="97" s="1"/>
  <c r="I4" i="56"/>
  <c r="D126" i="79" s="1"/>
  <c r="F4" i="56"/>
  <c r="D126" i="75" s="1"/>
  <c r="R3" i="56"/>
  <c r="O3" i="56"/>
  <c r="L3" i="56"/>
  <c r="I3" i="56"/>
  <c r="F3" i="56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L4" i="70"/>
  <c r="K4" i="70"/>
  <c r="J4" i="70"/>
  <c r="I4" i="70"/>
  <c r="H4" i="70"/>
  <c r="G4" i="70"/>
  <c r="F4" i="70"/>
  <c r="C22" i="56" s="1"/>
  <c r="L126" i="22" s="1"/>
  <c r="E4" i="70"/>
  <c r="C13" i="56" s="1"/>
  <c r="K126" i="22" s="1"/>
  <c r="D4" i="70"/>
  <c r="C21" i="56" s="1"/>
  <c r="L125" i="22" s="1"/>
  <c r="L30" i="39" s="1"/>
  <c r="C4" i="70"/>
  <c r="C12" i="56" s="1"/>
  <c r="K125" i="22" s="1"/>
  <c r="K30" i="39" s="1"/>
  <c r="L3" i="70"/>
  <c r="K3" i="70"/>
  <c r="J3" i="70"/>
  <c r="I3" i="70"/>
  <c r="H3" i="70"/>
  <c r="G3" i="70"/>
  <c r="F3" i="70"/>
  <c r="F5" i="70" s="1"/>
  <c r="F6" i="70" s="1"/>
  <c r="E3" i="70"/>
  <c r="E5" i="70" s="1"/>
  <c r="E6" i="70" s="1"/>
  <c r="D3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I52" i="62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E146" i="22"/>
  <c r="E145" i="22"/>
  <c r="E144" i="22"/>
  <c r="E143" i="22"/>
  <c r="E142" i="22"/>
  <c r="E147" i="22" s="1"/>
  <c r="E130" i="22"/>
  <c r="E35" i="39" s="1"/>
  <c r="K122" i="22"/>
  <c r="G122" i="22"/>
  <c r="M117" i="22"/>
  <c r="X102" i="22"/>
  <c r="U102" i="22"/>
  <c r="K102" i="22"/>
  <c r="G102" i="22"/>
  <c r="D102" i="22"/>
  <c r="D101" i="22"/>
  <c r="N98" i="22"/>
  <c r="AC90" i="22"/>
  <c r="L90" i="22"/>
  <c r="Z89" i="22"/>
  <c r="J89" i="22"/>
  <c r="Z88" i="22"/>
  <c r="J88" i="22"/>
  <c r="Z87" i="22"/>
  <c r="J87" i="22"/>
  <c r="Z86" i="22"/>
  <c r="J86" i="22"/>
  <c r="Z85" i="22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Z70" i="22"/>
  <c r="Z69" i="22"/>
  <c r="Z68" i="22"/>
  <c r="Z67" i="22"/>
  <c r="Z66" i="22"/>
  <c r="Z71" i="22" s="1"/>
  <c r="X64" i="22"/>
  <c r="U64" i="22"/>
  <c r="K64" i="22"/>
  <c r="Y64" i="22" s="1"/>
  <c r="G64" i="22"/>
  <c r="V64" i="22" s="1"/>
  <c r="D64" i="22"/>
  <c r="D63" i="22"/>
  <c r="N60" i="22"/>
  <c r="AD60" i="22" s="1"/>
  <c r="L52" i="22"/>
  <c r="J52" i="22"/>
  <c r="Z51" i="22"/>
  <c r="AE50" i="22"/>
  <c r="AD50" i="22"/>
  <c r="AC50" i="22"/>
  <c r="AA50" i="22"/>
  <c r="Z50" i="22"/>
  <c r="Y50" i="22"/>
  <c r="X50" i="22"/>
  <c r="W50" i="22"/>
  <c r="V50" i="22"/>
  <c r="U50" i="22"/>
  <c r="N50" i="22"/>
  <c r="AB50" i="22" s="1"/>
  <c r="I50" i="22"/>
  <c r="H50" i="22"/>
  <c r="G50" i="22"/>
  <c r="F50" i="22"/>
  <c r="E50" i="22"/>
  <c r="D50" i="22"/>
  <c r="Z49" i="22"/>
  <c r="Z48" i="22"/>
  <c r="AE47" i="22"/>
  <c r="AD47" i="22"/>
  <c r="AC47" i="22"/>
  <c r="AA47" i="22"/>
  <c r="Z47" i="22"/>
  <c r="Z52" i="22" s="1"/>
  <c r="Y47" i="22"/>
  <c r="X47" i="22"/>
  <c r="W47" i="22"/>
  <c r="V47" i="22"/>
  <c r="U47" i="22"/>
  <c r="N47" i="22"/>
  <c r="I47" i="22"/>
  <c r="H47" i="22"/>
  <c r="G47" i="22"/>
  <c r="F47" i="22"/>
  <c r="E47" i="22"/>
  <c r="D47" i="22"/>
  <c r="G125" i="22" s="1"/>
  <c r="G30" i="39" s="1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Z32" i="22"/>
  <c r="Z31" i="22"/>
  <c r="Z30" i="22"/>
  <c r="Z29" i="22"/>
  <c r="Z28" i="22"/>
  <c r="Z33" i="22" s="1"/>
  <c r="X26" i="22"/>
  <c r="U26" i="22"/>
  <c r="K26" i="22"/>
  <c r="Y26" i="22" s="1"/>
  <c r="G26" i="22"/>
  <c r="V26" i="22" s="1"/>
  <c r="D26" i="22"/>
  <c r="D25" i="22"/>
  <c r="N22" i="22"/>
  <c r="AD22" i="22" s="1"/>
  <c r="L13" i="22"/>
  <c r="L108" i="22" s="1"/>
  <c r="L13" i="39" s="1"/>
  <c r="J13" i="22"/>
  <c r="AE12" i="22"/>
  <c r="AC12" i="22"/>
  <c r="AA12" i="22"/>
  <c r="Y12" i="22"/>
  <c r="X12" i="22"/>
  <c r="W12" i="22"/>
  <c r="V12" i="22"/>
  <c r="U12" i="22"/>
  <c r="N12" i="22"/>
  <c r="L12" i="22"/>
  <c r="J12" i="22"/>
  <c r="I12" i="22"/>
  <c r="H12" i="22"/>
  <c r="G12" i="22"/>
  <c r="F12" i="22"/>
  <c r="E12" i="22"/>
  <c r="D12" i="22"/>
  <c r="AE11" i="22"/>
  <c r="AC11" i="22"/>
  <c r="AA11" i="22"/>
  <c r="Y11" i="22"/>
  <c r="X11" i="22"/>
  <c r="W11" i="22"/>
  <c r="V11" i="22"/>
  <c r="U11" i="22"/>
  <c r="N11" i="22"/>
  <c r="L11" i="22"/>
  <c r="J11" i="22"/>
  <c r="I11" i="22"/>
  <c r="H11" i="22"/>
  <c r="G11" i="22"/>
  <c r="F11" i="22"/>
  <c r="E11" i="22"/>
  <c r="D11" i="22"/>
  <c r="AE10" i="22"/>
  <c r="AC10" i="22"/>
  <c r="AA10" i="22"/>
  <c r="Y10" i="22"/>
  <c r="X10" i="22"/>
  <c r="W10" i="22"/>
  <c r="V10" i="22"/>
  <c r="U10" i="22"/>
  <c r="N10" i="22"/>
  <c r="L10" i="22"/>
  <c r="J10" i="22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J9" i="22"/>
  <c r="I9" i="22"/>
  <c r="H9" i="22"/>
  <c r="G9" i="22"/>
  <c r="F9" i="22"/>
  <c r="E9" i="22"/>
  <c r="D9" i="22"/>
  <c r="Y7" i="22"/>
  <c r="X7" i="22"/>
  <c r="V7" i="22"/>
  <c r="U7" i="22"/>
  <c r="AD3" i="22"/>
  <c r="AA71" i="86" l="1"/>
  <c r="Z71" i="86"/>
  <c r="Y71" i="86"/>
  <c r="X71" i="86"/>
  <c r="W71" i="86"/>
  <c r="V71" i="86"/>
  <c r="I71" i="86"/>
  <c r="H71" i="86"/>
  <c r="G71" i="86"/>
  <c r="F71" i="86"/>
  <c r="E71" i="86"/>
  <c r="I52" i="86"/>
  <c r="H52" i="86"/>
  <c r="G52" i="86"/>
  <c r="F52" i="86"/>
  <c r="E52" i="86"/>
  <c r="AA52" i="86"/>
  <c r="Z52" i="86"/>
  <c r="Y52" i="86"/>
  <c r="X52" i="86"/>
  <c r="W52" i="86"/>
  <c r="V52" i="86"/>
  <c r="AE108" i="86"/>
  <c r="AA108" i="86"/>
  <c r="Z108" i="86"/>
  <c r="Y108" i="86"/>
  <c r="X108" i="86"/>
  <c r="W108" i="86"/>
  <c r="V108" i="86"/>
  <c r="I108" i="86"/>
  <c r="H108" i="86"/>
  <c r="G108" i="86"/>
  <c r="F108" i="86"/>
  <c r="E108" i="86"/>
  <c r="AA107" i="86"/>
  <c r="Z107" i="86"/>
  <c r="Y107" i="86"/>
  <c r="X107" i="86"/>
  <c r="W107" i="86"/>
  <c r="V107" i="86"/>
  <c r="I107" i="86"/>
  <c r="H107" i="86"/>
  <c r="G107" i="86"/>
  <c r="F107" i="86"/>
  <c r="E107" i="86"/>
  <c r="AA106" i="86"/>
  <c r="Z106" i="86"/>
  <c r="Y106" i="86"/>
  <c r="X106" i="86"/>
  <c r="W106" i="86"/>
  <c r="V106" i="86"/>
  <c r="I106" i="86"/>
  <c r="H106" i="86"/>
  <c r="G106" i="86"/>
  <c r="AF32" i="85"/>
  <c r="AF30" i="85"/>
  <c r="F106" i="86"/>
  <c r="E106" i="86"/>
  <c r="AA105" i="86"/>
  <c r="Z105" i="86"/>
  <c r="Y105" i="86"/>
  <c r="X105" i="86"/>
  <c r="W105" i="86"/>
  <c r="V105" i="86"/>
  <c r="I105" i="86"/>
  <c r="H105" i="86"/>
  <c r="G105" i="86"/>
  <c r="F105" i="86"/>
  <c r="E105" i="86"/>
  <c r="Z52" i="85"/>
  <c r="AG88" i="97"/>
  <c r="AH88" i="97" s="1"/>
  <c r="AG86" i="97"/>
  <c r="AH86" i="97" s="1"/>
  <c r="AF68" i="97"/>
  <c r="Z105" i="97"/>
  <c r="Y105" i="97"/>
  <c r="X105" i="97"/>
  <c r="W105" i="97"/>
  <c r="V105" i="97"/>
  <c r="I105" i="97"/>
  <c r="H105" i="97"/>
  <c r="G105" i="97"/>
  <c r="F105" i="97"/>
  <c r="K48" i="97"/>
  <c r="M48" i="97" s="1"/>
  <c r="O48" i="97" s="1"/>
  <c r="Z52" i="79"/>
  <c r="AF70" i="22"/>
  <c r="AF50" i="85"/>
  <c r="Z90" i="22"/>
  <c r="AG89" i="75"/>
  <c r="AH89" i="75" s="1"/>
  <c r="AG87" i="75"/>
  <c r="AH87" i="75" s="1"/>
  <c r="AF30" i="75"/>
  <c r="AC107" i="22"/>
  <c r="AA108" i="75"/>
  <c r="Z108" i="75"/>
  <c r="Y108" i="75"/>
  <c r="X108" i="75"/>
  <c r="W108" i="75"/>
  <c r="V108" i="75"/>
  <c r="I108" i="75"/>
  <c r="H108" i="75"/>
  <c r="G108" i="75"/>
  <c r="F108" i="75"/>
  <c r="E108" i="75"/>
  <c r="Z107" i="75"/>
  <c r="AE106" i="75"/>
  <c r="AC106" i="75"/>
  <c r="AA106" i="75"/>
  <c r="Z106" i="75"/>
  <c r="Y106" i="75"/>
  <c r="X106" i="75"/>
  <c r="W106" i="75"/>
  <c r="V106" i="75"/>
  <c r="I106" i="75"/>
  <c r="H106" i="75"/>
  <c r="G106" i="75"/>
  <c r="F106" i="75"/>
  <c r="E106" i="75"/>
  <c r="Z105" i="75"/>
  <c r="AF69" i="22"/>
  <c r="K30" i="69"/>
  <c r="M30" i="69" s="1"/>
  <c r="O30" i="69" s="1"/>
  <c r="AA50" i="69"/>
  <c r="Y50" i="69"/>
  <c r="X50" i="69"/>
  <c r="W50" i="69"/>
  <c r="V50" i="69"/>
  <c r="I50" i="69"/>
  <c r="H50" i="69"/>
  <c r="G50" i="69"/>
  <c r="F50" i="69"/>
  <c r="E50" i="69"/>
  <c r="AA49" i="69"/>
  <c r="Y49" i="69"/>
  <c r="X49" i="69"/>
  <c r="W49" i="69"/>
  <c r="V49" i="69"/>
  <c r="I49" i="69"/>
  <c r="H49" i="69"/>
  <c r="G49" i="69"/>
  <c r="AF68" i="22"/>
  <c r="AF67" i="22"/>
  <c r="L13" i="88"/>
  <c r="L97" i="90"/>
  <c r="L12" i="88"/>
  <c r="L96" i="90"/>
  <c r="L11" i="88"/>
  <c r="L95" i="90"/>
  <c r="E35" i="82"/>
  <c r="L8" i="83"/>
  <c r="I67" i="91"/>
  <c r="I34" i="82"/>
  <c r="I66" i="91"/>
  <c r="I33" i="82"/>
  <c r="I65" i="91"/>
  <c r="I32" i="82"/>
  <c r="I64" i="91"/>
  <c r="I31" i="82"/>
  <c r="I36" i="82" s="1"/>
  <c r="L80" i="90"/>
  <c r="L13" i="82"/>
  <c r="L79" i="90"/>
  <c r="L12" i="82"/>
  <c r="L78" i="90"/>
  <c r="L11" i="82"/>
  <c r="L77" i="90"/>
  <c r="L10" i="82"/>
  <c r="L14" i="82" s="1"/>
  <c r="L8" i="98"/>
  <c r="E35" i="99"/>
  <c r="I52" i="91"/>
  <c r="I33" i="99"/>
  <c r="I50" i="91"/>
  <c r="I31" i="99"/>
  <c r="L109" i="97"/>
  <c r="L65" i="90" s="1"/>
  <c r="L9" i="99"/>
  <c r="L14" i="99" s="1"/>
  <c r="L45" i="99" s="1"/>
  <c r="Y102" i="97"/>
  <c r="K7" i="99"/>
  <c r="Y7" i="99" s="1"/>
  <c r="V102" i="97"/>
  <c r="G7" i="99"/>
  <c r="V7" i="99" s="1"/>
  <c r="AD98" i="97"/>
  <c r="N3" i="99"/>
  <c r="AD3" i="99" s="1"/>
  <c r="AB48" i="97"/>
  <c r="G126" i="97"/>
  <c r="G31" i="99" s="1"/>
  <c r="L8" i="80"/>
  <c r="E35" i="81"/>
  <c r="I38" i="91"/>
  <c r="I33" i="81"/>
  <c r="I36" i="91"/>
  <c r="I31" i="81"/>
  <c r="AH107" i="79"/>
  <c r="AG46" i="90"/>
  <c r="K64" i="79"/>
  <c r="Y64" i="79" s="1"/>
  <c r="K83" i="79"/>
  <c r="Y83" i="79" s="1"/>
  <c r="K102" i="79"/>
  <c r="G64" i="79"/>
  <c r="V64" i="79" s="1"/>
  <c r="G83" i="79"/>
  <c r="V83" i="79" s="1"/>
  <c r="G102" i="79"/>
  <c r="D64" i="79"/>
  <c r="D83" i="79"/>
  <c r="D102" i="79"/>
  <c r="D7" i="81" s="1"/>
  <c r="D63" i="79"/>
  <c r="D82" i="79"/>
  <c r="D101" i="79"/>
  <c r="D6" i="81" s="1"/>
  <c r="N60" i="79"/>
  <c r="AD60" i="79" s="1"/>
  <c r="N79" i="79"/>
  <c r="AD79" i="79" s="1"/>
  <c r="N98" i="79"/>
  <c r="L109" i="75"/>
  <c r="L31" i="90" s="1"/>
  <c r="L9" i="76"/>
  <c r="L14" i="76" s="1"/>
  <c r="L44" i="76" s="1"/>
  <c r="Z89" i="97"/>
  <c r="Z108" i="97" s="1"/>
  <c r="Z89" i="79"/>
  <c r="J89" i="97"/>
  <c r="J108" i="97" s="1"/>
  <c r="J89" i="79"/>
  <c r="Z87" i="97"/>
  <c r="Z87" i="79"/>
  <c r="J87" i="97"/>
  <c r="J87" i="79"/>
  <c r="Z52" i="69"/>
  <c r="Z85" i="97"/>
  <c r="Z85" i="79"/>
  <c r="Z90" i="79" s="1"/>
  <c r="J85" i="79"/>
  <c r="J90" i="79" s="1"/>
  <c r="J85" i="97"/>
  <c r="J85" i="75"/>
  <c r="AE52" i="75"/>
  <c r="AD48" i="75"/>
  <c r="AD52" i="75" s="1"/>
  <c r="L31" i="39"/>
  <c r="L7" i="91"/>
  <c r="K31" i="39"/>
  <c r="K7" i="91"/>
  <c r="N3" i="70"/>
  <c r="D5" i="70"/>
  <c r="D6" i="70" s="1"/>
  <c r="M3" i="70"/>
  <c r="C5" i="70"/>
  <c r="C6" i="70" s="1"/>
  <c r="J52" i="62"/>
  <c r="C7" i="56"/>
  <c r="D129" i="22" s="1"/>
  <c r="J42" i="62"/>
  <c r="C6" i="56"/>
  <c r="D128" i="22" s="1"/>
  <c r="K27" i="88"/>
  <c r="K27" i="39"/>
  <c r="H27" i="88"/>
  <c r="H27" i="39"/>
  <c r="N22" i="88"/>
  <c r="N22" i="39"/>
  <c r="K50" i="22"/>
  <c r="M50" i="22" s="1"/>
  <c r="O50" i="22" s="1"/>
  <c r="G128" i="22"/>
  <c r="AF49" i="85"/>
  <c r="C9" i="87"/>
  <c r="C15" i="87" s="1"/>
  <c r="E82" i="91"/>
  <c r="E131" i="86"/>
  <c r="L8" i="87"/>
  <c r="E35" i="88"/>
  <c r="I81" i="91"/>
  <c r="G7" i="87"/>
  <c r="I34" i="88"/>
  <c r="G6" i="87"/>
  <c r="I80" i="91"/>
  <c r="I33" i="88"/>
  <c r="I32" i="88"/>
  <c r="G5" i="87"/>
  <c r="I79" i="91"/>
  <c r="G4" i="87"/>
  <c r="I31" i="88"/>
  <c r="I78" i="91"/>
  <c r="I131" i="86"/>
  <c r="I83" i="91" s="1"/>
  <c r="I30" i="88"/>
  <c r="I36" i="88" s="1"/>
  <c r="I45" i="88" s="1"/>
  <c r="I77" i="91"/>
  <c r="G3" i="87"/>
  <c r="G9" i="87" s="1"/>
  <c r="J13" i="88"/>
  <c r="AD108" i="86"/>
  <c r="J12" i="88"/>
  <c r="J11" i="88"/>
  <c r="L94" i="90"/>
  <c r="L10" i="88"/>
  <c r="J94" i="90"/>
  <c r="J10" i="88"/>
  <c r="L9" i="88"/>
  <c r="L14" i="88" s="1"/>
  <c r="L93" i="90"/>
  <c r="L109" i="86"/>
  <c r="L98" i="90" s="1"/>
  <c r="J93" i="90"/>
  <c r="J9" i="88"/>
  <c r="J14" i="88" s="1"/>
  <c r="J109" i="86"/>
  <c r="J98" i="90" s="1"/>
  <c r="Z90" i="86"/>
  <c r="AF85" i="86"/>
  <c r="K90" i="86"/>
  <c r="M85" i="86"/>
  <c r="G146" i="86"/>
  <c r="J129" i="86"/>
  <c r="K70" i="86"/>
  <c r="M70" i="86" s="1"/>
  <c r="O70" i="86" s="1"/>
  <c r="M7" i="87"/>
  <c r="M6" i="87"/>
  <c r="G145" i="86"/>
  <c r="J128" i="86"/>
  <c r="K69" i="86"/>
  <c r="M69" i="86" s="1"/>
  <c r="O69" i="86" s="1"/>
  <c r="K68" i="86"/>
  <c r="M68" i="86" s="1"/>
  <c r="O68" i="86" s="1"/>
  <c r="M5" i="87"/>
  <c r="G144" i="86"/>
  <c r="J127" i="86"/>
  <c r="K67" i="86"/>
  <c r="M67" i="86" s="1"/>
  <c r="O67" i="86" s="1"/>
  <c r="G143" i="86"/>
  <c r="M4" i="87"/>
  <c r="J126" i="86"/>
  <c r="U71" i="86"/>
  <c r="Y73" i="86" s="1"/>
  <c r="AB66" i="86"/>
  <c r="N71" i="86"/>
  <c r="M3" i="87"/>
  <c r="M9" i="87" s="1"/>
  <c r="D71" i="86"/>
  <c r="J125" i="86"/>
  <c r="K66" i="86"/>
  <c r="G142" i="86"/>
  <c r="G147" i="86" s="1"/>
  <c r="G129" i="86"/>
  <c r="K51" i="86"/>
  <c r="M51" i="86" s="1"/>
  <c r="O51" i="86" s="1"/>
  <c r="N52" i="86"/>
  <c r="AB50" i="86"/>
  <c r="D52" i="86"/>
  <c r="K50" i="86"/>
  <c r="M50" i="86" s="1"/>
  <c r="O50" i="86" s="1"/>
  <c r="G128" i="86"/>
  <c r="AE52" i="86"/>
  <c r="AD49" i="86"/>
  <c r="AD52" i="86" s="1"/>
  <c r="U52" i="86"/>
  <c r="Y54" i="86" s="1"/>
  <c r="AF49" i="86"/>
  <c r="G127" i="86"/>
  <c r="K49" i="86"/>
  <c r="M49" i="86" s="1"/>
  <c r="O49" i="86" s="1"/>
  <c r="K48" i="86"/>
  <c r="M48" i="86" s="1"/>
  <c r="O48" i="86" s="1"/>
  <c r="G126" i="86"/>
  <c r="K47" i="86"/>
  <c r="G125" i="86"/>
  <c r="F146" i="86"/>
  <c r="H129" i="86"/>
  <c r="K32" i="86"/>
  <c r="M32" i="86" s="1"/>
  <c r="O32" i="86" s="1"/>
  <c r="K31" i="86"/>
  <c r="M31" i="86" s="1"/>
  <c r="O31" i="86" s="1"/>
  <c r="H128" i="86"/>
  <c r="F145" i="86"/>
  <c r="H127" i="86"/>
  <c r="F144" i="86"/>
  <c r="K30" i="86"/>
  <c r="M30" i="86" s="1"/>
  <c r="O30" i="86" s="1"/>
  <c r="F143" i="86"/>
  <c r="H126" i="86"/>
  <c r="K29" i="86"/>
  <c r="M29" i="86" s="1"/>
  <c r="O29" i="86" s="1"/>
  <c r="U33" i="86"/>
  <c r="Y35" i="86" s="1"/>
  <c r="AB28" i="86"/>
  <c r="N33" i="86"/>
  <c r="K28" i="86"/>
  <c r="F142" i="86"/>
  <c r="H125" i="86"/>
  <c r="D33" i="86"/>
  <c r="AE13" i="88"/>
  <c r="AE97" i="90"/>
  <c r="AC13" i="88"/>
  <c r="AC97" i="90"/>
  <c r="AA13" i="88"/>
  <c r="AA97" i="90"/>
  <c r="Z13" i="88"/>
  <c r="Z97" i="90"/>
  <c r="Y13" i="88"/>
  <c r="Y97" i="90"/>
  <c r="X13" i="88"/>
  <c r="X97" i="90"/>
  <c r="W13" i="88"/>
  <c r="W97" i="90"/>
  <c r="V13" i="88"/>
  <c r="V97" i="90"/>
  <c r="U108" i="86"/>
  <c r="N108" i="86"/>
  <c r="AB13" i="86"/>
  <c r="I13" i="88"/>
  <c r="I97" i="90"/>
  <c r="H13" i="88"/>
  <c r="H97" i="90"/>
  <c r="G13" i="88"/>
  <c r="G97" i="90"/>
  <c r="F13" i="88"/>
  <c r="F97" i="90"/>
  <c r="E13" i="88"/>
  <c r="E97" i="90"/>
  <c r="D108" i="86"/>
  <c r="K13" i="86"/>
  <c r="M13" i="86" s="1"/>
  <c r="O13" i="86" s="1"/>
  <c r="AE107" i="86"/>
  <c r="AD107" i="86" s="1"/>
  <c r="AD12" i="86"/>
  <c r="AC12" i="88"/>
  <c r="AC96" i="90"/>
  <c r="AA12" i="88"/>
  <c r="AA96" i="90"/>
  <c r="Z12" i="88"/>
  <c r="Z96" i="90"/>
  <c r="Y12" i="88"/>
  <c r="Y96" i="90"/>
  <c r="X12" i="88"/>
  <c r="X96" i="90"/>
  <c r="W12" i="88"/>
  <c r="W96" i="90"/>
  <c r="V12" i="88"/>
  <c r="V96" i="90"/>
  <c r="U107" i="86"/>
  <c r="AB12" i="86"/>
  <c r="AF12" i="86" s="1"/>
  <c r="N107" i="86"/>
  <c r="I12" i="88"/>
  <c r="I96" i="90"/>
  <c r="H12" i="88"/>
  <c r="H96" i="90"/>
  <c r="G12" i="88"/>
  <c r="G96" i="90"/>
  <c r="F12" i="88"/>
  <c r="F96" i="90"/>
  <c r="E12" i="88"/>
  <c r="E96" i="90"/>
  <c r="D107" i="86"/>
  <c r="K12" i="86"/>
  <c r="M12" i="86" s="1"/>
  <c r="O12" i="86" s="1"/>
  <c r="AD11" i="86"/>
  <c r="AE106" i="86"/>
  <c r="AD106" i="86" s="1"/>
  <c r="AC11" i="88"/>
  <c r="AC95" i="90"/>
  <c r="AA11" i="88"/>
  <c r="AA95" i="90"/>
  <c r="Z11" i="88"/>
  <c r="Z95" i="90"/>
  <c r="Y11" i="88"/>
  <c r="Y95" i="90"/>
  <c r="X11" i="88"/>
  <c r="X95" i="90"/>
  <c r="W11" i="88"/>
  <c r="W95" i="90"/>
  <c r="V11" i="88"/>
  <c r="V95" i="90"/>
  <c r="U106" i="86"/>
  <c r="N106" i="86"/>
  <c r="AB11" i="86"/>
  <c r="I11" i="88"/>
  <c r="I95" i="90"/>
  <c r="H11" i="88"/>
  <c r="H95" i="90"/>
  <c r="G11" i="88"/>
  <c r="G95" i="90"/>
  <c r="F11" i="88"/>
  <c r="F95" i="90"/>
  <c r="E11" i="88"/>
  <c r="E95" i="90"/>
  <c r="D106" i="86"/>
  <c r="K11" i="86"/>
  <c r="M11" i="86" s="1"/>
  <c r="O11" i="86" s="1"/>
  <c r="AD10" i="86"/>
  <c r="AE105" i="86"/>
  <c r="AD105" i="86" s="1"/>
  <c r="AC10" i="88"/>
  <c r="AC94" i="90"/>
  <c r="AA10" i="88"/>
  <c r="AA94" i="90"/>
  <c r="Z10" i="88"/>
  <c r="Z94" i="90"/>
  <c r="Y10" i="88"/>
  <c r="Y94" i="90"/>
  <c r="X10" i="88"/>
  <c r="X94" i="90"/>
  <c r="W10" i="88"/>
  <c r="W94" i="90"/>
  <c r="V10" i="88"/>
  <c r="V94" i="90"/>
  <c r="U105" i="86"/>
  <c r="AB10" i="86"/>
  <c r="N105" i="86"/>
  <c r="I10" i="88"/>
  <c r="I94" i="90"/>
  <c r="H10" i="88"/>
  <c r="H94" i="90"/>
  <c r="G10" i="88"/>
  <c r="G94" i="90"/>
  <c r="F10" i="88"/>
  <c r="F94" i="90"/>
  <c r="E10" i="88"/>
  <c r="E94" i="90"/>
  <c r="D105" i="86"/>
  <c r="K10" i="86"/>
  <c r="M10" i="86" s="1"/>
  <c r="O10" i="86" s="1"/>
  <c r="AE104" i="86"/>
  <c r="AD104" i="86" s="1"/>
  <c r="AD9" i="86"/>
  <c r="AD14" i="86" s="1"/>
  <c r="AE14" i="86"/>
  <c r="AC104" i="86"/>
  <c r="AC14" i="86"/>
  <c r="AA104" i="86"/>
  <c r="AA14" i="86"/>
  <c r="Z104" i="86"/>
  <c r="Z14" i="86"/>
  <c r="Y104" i="86"/>
  <c r="Y14" i="86"/>
  <c r="X104" i="86"/>
  <c r="X14" i="86"/>
  <c r="W14" i="86"/>
  <c r="W104" i="86"/>
  <c r="V14" i="86"/>
  <c r="V104" i="86"/>
  <c r="U14" i="86"/>
  <c r="Y16" i="86" s="1"/>
  <c r="U104" i="86"/>
  <c r="N104" i="86"/>
  <c r="N14" i="86"/>
  <c r="AB9" i="86"/>
  <c r="AF9" i="86" s="1"/>
  <c r="I104" i="86"/>
  <c r="I14" i="86"/>
  <c r="H104" i="86"/>
  <c r="H14" i="86"/>
  <c r="G14" i="86"/>
  <c r="G104" i="86"/>
  <c r="F104" i="86"/>
  <c r="F14" i="86"/>
  <c r="E104" i="86"/>
  <c r="E14" i="86"/>
  <c r="D14" i="86"/>
  <c r="K9" i="86"/>
  <c r="D104" i="86"/>
  <c r="K102" i="86"/>
  <c r="K45" i="86"/>
  <c r="Y45" i="86" s="1"/>
  <c r="K26" i="86"/>
  <c r="Y26" i="86" s="1"/>
  <c r="K122" i="86"/>
  <c r="Y7" i="86"/>
  <c r="K83" i="86"/>
  <c r="Y83" i="86" s="1"/>
  <c r="K64" i="86"/>
  <c r="Y64" i="86" s="1"/>
  <c r="G45" i="86"/>
  <c r="V45" i="86" s="1"/>
  <c r="G102" i="86"/>
  <c r="V7" i="86"/>
  <c r="G122" i="86"/>
  <c r="G26" i="86"/>
  <c r="V26" i="86" s="1"/>
  <c r="G64" i="86"/>
  <c r="V64" i="86" s="1"/>
  <c r="G83" i="86"/>
  <c r="V83" i="86" s="1"/>
  <c r="D26" i="86"/>
  <c r="D45" i="86"/>
  <c r="D83" i="86"/>
  <c r="D102" i="86"/>
  <c r="D125" i="90" s="1"/>
  <c r="D64" i="86"/>
  <c r="D44" i="86"/>
  <c r="D25" i="86"/>
  <c r="D101" i="86"/>
  <c r="D124" i="90" s="1"/>
  <c r="D82" i="86"/>
  <c r="D63" i="86"/>
  <c r="N41" i="86"/>
  <c r="AD41" i="86" s="1"/>
  <c r="N22" i="86"/>
  <c r="AD22" i="86" s="1"/>
  <c r="N79" i="86"/>
  <c r="AD79" i="86" s="1"/>
  <c r="N98" i="86"/>
  <c r="M117" i="86"/>
  <c r="N60" i="86"/>
  <c r="AD60" i="86" s="1"/>
  <c r="AD3" i="86"/>
  <c r="C9" i="83"/>
  <c r="G3" i="83"/>
  <c r="G9" i="83" s="1"/>
  <c r="H23" i="36" s="1"/>
  <c r="H147" i="85"/>
  <c r="E68" i="91"/>
  <c r="E131" i="85"/>
  <c r="I131" i="85"/>
  <c r="I63" i="91"/>
  <c r="J80" i="90"/>
  <c r="AD108" i="85"/>
  <c r="J79" i="90"/>
  <c r="AD106" i="85"/>
  <c r="J78" i="90"/>
  <c r="J77" i="90"/>
  <c r="AD105" i="85"/>
  <c r="L76" i="90"/>
  <c r="L109" i="85"/>
  <c r="J76" i="90"/>
  <c r="J109" i="85"/>
  <c r="AF90" i="85"/>
  <c r="K90" i="85"/>
  <c r="M85" i="85"/>
  <c r="G127" i="85"/>
  <c r="K49" i="85"/>
  <c r="M49" i="85" s="1"/>
  <c r="O49" i="85" s="1"/>
  <c r="AG49" i="85" s="1"/>
  <c r="AH49" i="85" s="1"/>
  <c r="Z13" i="82"/>
  <c r="Z80" i="90"/>
  <c r="Z12" i="82"/>
  <c r="Z79" i="90"/>
  <c r="Z11" i="82"/>
  <c r="Z78" i="90"/>
  <c r="U106" i="85"/>
  <c r="N106" i="85"/>
  <c r="AB11" i="85"/>
  <c r="K11" i="85"/>
  <c r="M11" i="85" s="1"/>
  <c r="O11" i="85" s="1"/>
  <c r="D106" i="85"/>
  <c r="Z10" i="82"/>
  <c r="Z77" i="90"/>
  <c r="U105" i="85"/>
  <c r="AF10" i="85"/>
  <c r="AB10" i="85"/>
  <c r="AB105" i="85" s="1"/>
  <c r="N105" i="85"/>
  <c r="K10" i="85"/>
  <c r="M10" i="85" s="1"/>
  <c r="O10" i="85" s="1"/>
  <c r="D105" i="85"/>
  <c r="AE14" i="85"/>
  <c r="AE104" i="85"/>
  <c r="AD104" i="85" s="1"/>
  <c r="AC14" i="85"/>
  <c r="AC104" i="85"/>
  <c r="AA104" i="85"/>
  <c r="AA14" i="85"/>
  <c r="Z14" i="85"/>
  <c r="Z104" i="85"/>
  <c r="Y14" i="85"/>
  <c r="Y104" i="85"/>
  <c r="X14" i="85"/>
  <c r="X104" i="85"/>
  <c r="W14" i="85"/>
  <c r="W104" i="85"/>
  <c r="V104" i="85"/>
  <c r="V14" i="85"/>
  <c r="U14" i="85"/>
  <c r="Y16" i="85" s="1"/>
  <c r="U104" i="85"/>
  <c r="N14" i="85"/>
  <c r="N104" i="85"/>
  <c r="AB9" i="85"/>
  <c r="AF9" i="85" s="1"/>
  <c r="I14" i="85"/>
  <c r="I104" i="85"/>
  <c r="H104" i="85"/>
  <c r="H14" i="85"/>
  <c r="G14" i="85"/>
  <c r="G104" i="85"/>
  <c r="F14" i="85"/>
  <c r="F104" i="85"/>
  <c r="E14" i="85"/>
  <c r="E104" i="85"/>
  <c r="K9" i="85"/>
  <c r="D14" i="85"/>
  <c r="D104" i="85"/>
  <c r="K45" i="85"/>
  <c r="Y45" i="85" s="1"/>
  <c r="K26" i="85"/>
  <c r="Y26" i="85" s="1"/>
  <c r="K102" i="85"/>
  <c r="Y7" i="85"/>
  <c r="K83" i="85"/>
  <c r="Y83" i="85" s="1"/>
  <c r="K122" i="85"/>
  <c r="K27" i="82" s="1"/>
  <c r="G45" i="85"/>
  <c r="V45" i="85" s="1"/>
  <c r="G102" i="85"/>
  <c r="G26" i="85"/>
  <c r="V26" i="85" s="1"/>
  <c r="V7" i="85"/>
  <c r="G122" i="85"/>
  <c r="H27" i="82" s="1"/>
  <c r="G83" i="85"/>
  <c r="V83" i="85" s="1"/>
  <c r="D26" i="85"/>
  <c r="D102" i="85"/>
  <c r="D7" i="82" s="1"/>
  <c r="D83" i="85"/>
  <c r="D45" i="85"/>
  <c r="D25" i="85"/>
  <c r="D101" i="85"/>
  <c r="D6" i="82" s="1"/>
  <c r="D82" i="85"/>
  <c r="D44" i="85"/>
  <c r="N98" i="85"/>
  <c r="N22" i="85"/>
  <c r="AD22" i="85" s="1"/>
  <c r="AD3" i="85"/>
  <c r="M117" i="85"/>
  <c r="N22" i="82" s="1"/>
  <c r="N41" i="85"/>
  <c r="AD41" i="85" s="1"/>
  <c r="N79" i="85"/>
  <c r="AD79" i="85" s="1"/>
  <c r="C9" i="98"/>
  <c r="E54" i="91"/>
  <c r="E131" i="97"/>
  <c r="H52" i="91"/>
  <c r="K145" i="97"/>
  <c r="H51" i="91"/>
  <c r="K144" i="97"/>
  <c r="K143" i="97"/>
  <c r="H50" i="91"/>
  <c r="D4" i="98"/>
  <c r="J143" i="97"/>
  <c r="G50" i="91"/>
  <c r="J13" i="99"/>
  <c r="J64" i="90"/>
  <c r="K87" i="97"/>
  <c r="M87" i="97" s="1"/>
  <c r="J106" i="97"/>
  <c r="Z90" i="97"/>
  <c r="K85" i="97"/>
  <c r="J90" i="97"/>
  <c r="J104" i="97"/>
  <c r="K69" i="97"/>
  <c r="M69" i="97" s="1"/>
  <c r="O69" i="97" s="1"/>
  <c r="J128" i="97"/>
  <c r="G145" i="97"/>
  <c r="J127" i="97"/>
  <c r="G144" i="97"/>
  <c r="K68" i="97"/>
  <c r="M68" i="97" s="1"/>
  <c r="O68" i="97" s="1"/>
  <c r="AG68" i="97" s="1"/>
  <c r="AH68" i="97" s="1"/>
  <c r="Z61" i="90"/>
  <c r="Z10" i="99"/>
  <c r="Y10" i="99"/>
  <c r="Y61" i="90"/>
  <c r="X10" i="99"/>
  <c r="X61" i="90"/>
  <c r="W10" i="99"/>
  <c r="W61" i="90"/>
  <c r="V61" i="90"/>
  <c r="V10" i="99"/>
  <c r="U105" i="97"/>
  <c r="N105" i="97"/>
  <c r="AB67" i="97"/>
  <c r="I10" i="99"/>
  <c r="I61" i="90"/>
  <c r="H61" i="90"/>
  <c r="H10" i="99"/>
  <c r="G10" i="99"/>
  <c r="G61" i="90"/>
  <c r="F61" i="90"/>
  <c r="F10" i="99"/>
  <c r="E10" i="99"/>
  <c r="E61" i="90"/>
  <c r="G143" i="97"/>
  <c r="K67" i="97"/>
  <c r="M67" i="97" s="1"/>
  <c r="O67" i="97" s="1"/>
  <c r="D105" i="97"/>
  <c r="M4" i="98"/>
  <c r="J126" i="97"/>
  <c r="Z104" i="97"/>
  <c r="Z71" i="97"/>
  <c r="Z13" i="99"/>
  <c r="Z64" i="90"/>
  <c r="AE12" i="99"/>
  <c r="AE63" i="90"/>
  <c r="AC12" i="99"/>
  <c r="AC63" i="90"/>
  <c r="AA12" i="99"/>
  <c r="AA63" i="90"/>
  <c r="Z12" i="99"/>
  <c r="Z63" i="90"/>
  <c r="Y12" i="99"/>
  <c r="Y63" i="90"/>
  <c r="X12" i="99"/>
  <c r="X63" i="90"/>
  <c r="W12" i="99"/>
  <c r="W63" i="90"/>
  <c r="V12" i="99"/>
  <c r="V63" i="90"/>
  <c r="U107" i="97"/>
  <c r="N107" i="97"/>
  <c r="AB50" i="97"/>
  <c r="I12" i="99"/>
  <c r="I63" i="90"/>
  <c r="H12" i="99"/>
  <c r="H63" i="90"/>
  <c r="G63" i="90"/>
  <c r="G12" i="99"/>
  <c r="F12" i="99"/>
  <c r="F63" i="90"/>
  <c r="E12" i="99"/>
  <c r="E63" i="90"/>
  <c r="K50" i="97"/>
  <c r="M50" i="97" s="1"/>
  <c r="O50" i="97" s="1"/>
  <c r="G128" i="97"/>
  <c r="D107" i="97"/>
  <c r="AE11" i="99"/>
  <c r="AE62" i="90"/>
  <c r="AC11" i="99"/>
  <c r="AC62" i="90"/>
  <c r="Z52" i="97"/>
  <c r="Z106" i="97"/>
  <c r="Y11" i="99"/>
  <c r="Y62" i="90"/>
  <c r="X11" i="99"/>
  <c r="X62" i="90"/>
  <c r="W11" i="99"/>
  <c r="W62" i="90"/>
  <c r="V11" i="99"/>
  <c r="V62" i="90"/>
  <c r="U106" i="97"/>
  <c r="AB49" i="97"/>
  <c r="AF49" i="97" s="1"/>
  <c r="I11" i="99"/>
  <c r="I62" i="90"/>
  <c r="H62" i="90"/>
  <c r="H11" i="99"/>
  <c r="G11" i="99"/>
  <c r="G62" i="90"/>
  <c r="F62" i="90"/>
  <c r="F11" i="99"/>
  <c r="E11" i="99"/>
  <c r="E62" i="90"/>
  <c r="K49" i="97"/>
  <c r="M49" i="97" s="1"/>
  <c r="O49" i="97" s="1"/>
  <c r="G127" i="97"/>
  <c r="D106" i="97"/>
  <c r="AE10" i="99"/>
  <c r="AE61" i="90"/>
  <c r="AC10" i="99"/>
  <c r="AC61" i="90"/>
  <c r="AA105" i="97"/>
  <c r="AF48" i="97"/>
  <c r="AG48" i="97" s="1"/>
  <c r="AH48" i="97" s="1"/>
  <c r="F145" i="97"/>
  <c r="K31" i="97"/>
  <c r="M31" i="97" s="1"/>
  <c r="O31" i="97" s="1"/>
  <c r="F144" i="97"/>
  <c r="K30" i="97"/>
  <c r="M30" i="97" s="1"/>
  <c r="O30" i="97" s="1"/>
  <c r="K29" i="97"/>
  <c r="M29" i="97" s="1"/>
  <c r="O29" i="97" s="1"/>
  <c r="E4" i="98"/>
  <c r="F143" i="97"/>
  <c r="U33" i="97"/>
  <c r="Y35" i="97" s="1"/>
  <c r="N33" i="97"/>
  <c r="AB28" i="97"/>
  <c r="K26" i="97"/>
  <c r="Y26" i="97" s="1"/>
  <c r="Y7" i="97"/>
  <c r="K45" i="97"/>
  <c r="Y45" i="97" s="1"/>
  <c r="K122" i="97"/>
  <c r="K27" i="99" s="1"/>
  <c r="G26" i="97"/>
  <c r="V26" i="97" s="1"/>
  <c r="G122" i="97"/>
  <c r="H27" i="99" s="1"/>
  <c r="V7" i="97"/>
  <c r="G45" i="97"/>
  <c r="V45" i="97" s="1"/>
  <c r="D45" i="97"/>
  <c r="D26" i="97"/>
  <c r="D44" i="97"/>
  <c r="D25" i="97"/>
  <c r="N41" i="97"/>
  <c r="AD41" i="97" s="1"/>
  <c r="M117" i="97"/>
  <c r="N22" i="99" s="1"/>
  <c r="AD3" i="97"/>
  <c r="N22" i="97"/>
  <c r="AD22" i="97" s="1"/>
  <c r="C9" i="80"/>
  <c r="E131" i="79"/>
  <c r="E40" i="91"/>
  <c r="Y102" i="79"/>
  <c r="K7" i="81"/>
  <c r="Y7" i="81" s="1"/>
  <c r="G7" i="81"/>
  <c r="V7" i="81" s="1"/>
  <c r="V102" i="79"/>
  <c r="N3" i="81"/>
  <c r="AD3" i="81" s="1"/>
  <c r="AD98" i="79"/>
  <c r="K26" i="79"/>
  <c r="Y26" i="79" s="1"/>
  <c r="K122" i="79"/>
  <c r="K27" i="81" s="1"/>
  <c r="K45" i="79"/>
  <c r="Y45" i="79" s="1"/>
  <c r="Y7" i="79"/>
  <c r="G45" i="79"/>
  <c r="V45" i="79" s="1"/>
  <c r="G122" i="79"/>
  <c r="H27" i="81" s="1"/>
  <c r="G26" i="79"/>
  <c r="V26" i="79" s="1"/>
  <c r="V7" i="79"/>
  <c r="D45" i="79"/>
  <c r="D26" i="79"/>
  <c r="D44" i="79"/>
  <c r="D25" i="79"/>
  <c r="N41" i="79"/>
  <c r="AD41" i="79" s="1"/>
  <c r="M117" i="79"/>
  <c r="N22" i="81" s="1"/>
  <c r="AD3" i="79"/>
  <c r="N22" i="79"/>
  <c r="AD22" i="79" s="1"/>
  <c r="C9" i="77"/>
  <c r="G3" i="77"/>
  <c r="E26" i="91"/>
  <c r="L8" i="77"/>
  <c r="E131" i="75"/>
  <c r="I21" i="91"/>
  <c r="J107" i="75"/>
  <c r="J105" i="75"/>
  <c r="Z90" i="75"/>
  <c r="K85" i="75"/>
  <c r="J104" i="75"/>
  <c r="J90" i="75"/>
  <c r="AD85" i="75"/>
  <c r="AF85" i="75" s="1"/>
  <c r="M7" i="77"/>
  <c r="J129" i="75"/>
  <c r="G146" i="75"/>
  <c r="K70" i="75"/>
  <c r="M70" i="75" s="1"/>
  <c r="O70" i="75" s="1"/>
  <c r="K68" i="75"/>
  <c r="M68" i="75" s="1"/>
  <c r="O68" i="75" s="1"/>
  <c r="M5" i="77"/>
  <c r="G144" i="75"/>
  <c r="J127" i="75"/>
  <c r="U71" i="75"/>
  <c r="AB66" i="75"/>
  <c r="N71" i="75"/>
  <c r="D71" i="75"/>
  <c r="K66" i="75"/>
  <c r="M3" i="77"/>
  <c r="J125" i="75"/>
  <c r="G142" i="75"/>
  <c r="G129" i="75"/>
  <c r="K51" i="75"/>
  <c r="M51" i="75" s="1"/>
  <c r="O51" i="75" s="1"/>
  <c r="K50" i="75"/>
  <c r="M50" i="75" s="1"/>
  <c r="O50" i="75" s="1"/>
  <c r="G128" i="75"/>
  <c r="K49" i="75"/>
  <c r="M49" i="75" s="1"/>
  <c r="O49" i="75" s="1"/>
  <c r="G127" i="75"/>
  <c r="K48" i="75"/>
  <c r="M48" i="75" s="1"/>
  <c r="O48" i="75" s="1"/>
  <c r="G126" i="75"/>
  <c r="U52" i="75"/>
  <c r="Y54" i="75" s="1"/>
  <c r="AB47" i="75"/>
  <c r="N52" i="75"/>
  <c r="G125" i="75"/>
  <c r="D52" i="75"/>
  <c r="K47" i="75"/>
  <c r="H129" i="75"/>
  <c r="F146" i="75"/>
  <c r="E7" i="77"/>
  <c r="K32" i="75"/>
  <c r="M32" i="75" s="1"/>
  <c r="O32" i="75" s="1"/>
  <c r="F144" i="75"/>
  <c r="E5" i="77"/>
  <c r="K30" i="75"/>
  <c r="M30" i="75" s="1"/>
  <c r="O30" i="75" s="1"/>
  <c r="AG30" i="75" s="1"/>
  <c r="AH30" i="75" s="1"/>
  <c r="H127" i="75"/>
  <c r="AE33" i="75"/>
  <c r="AD28" i="75"/>
  <c r="AD33" i="75" s="1"/>
  <c r="U33" i="75"/>
  <c r="AB28" i="75"/>
  <c r="N33" i="75"/>
  <c r="K28" i="75"/>
  <c r="E3" i="77"/>
  <c r="E9" i="77" s="1"/>
  <c r="F20" i="36" s="1"/>
  <c r="D33" i="75"/>
  <c r="F142" i="75"/>
  <c r="F147" i="75" s="1"/>
  <c r="H125" i="75"/>
  <c r="AE13" i="76"/>
  <c r="AE30" i="90"/>
  <c r="AC13" i="76"/>
  <c r="AC30" i="90"/>
  <c r="AA13" i="76"/>
  <c r="AA30" i="90"/>
  <c r="Z13" i="76"/>
  <c r="Z30" i="90"/>
  <c r="Y13" i="76"/>
  <c r="Y30" i="90"/>
  <c r="X13" i="76"/>
  <c r="X30" i="90"/>
  <c r="W13" i="76"/>
  <c r="W30" i="90"/>
  <c r="V13" i="76"/>
  <c r="V30" i="90"/>
  <c r="U108" i="75"/>
  <c r="N108" i="75"/>
  <c r="AB13" i="75"/>
  <c r="I13" i="76"/>
  <c r="I30" i="90"/>
  <c r="H13" i="76"/>
  <c r="H30" i="90"/>
  <c r="G13" i="76"/>
  <c r="G30" i="90"/>
  <c r="F13" i="76"/>
  <c r="F30" i="90"/>
  <c r="E13" i="76"/>
  <c r="E30" i="90"/>
  <c r="K13" i="75"/>
  <c r="M13" i="75" s="1"/>
  <c r="O13" i="75" s="1"/>
  <c r="D108" i="75"/>
  <c r="Z12" i="76"/>
  <c r="Z29" i="90"/>
  <c r="AB12" i="75"/>
  <c r="AF12" i="75" s="1"/>
  <c r="K12" i="75"/>
  <c r="M12" i="75" s="1"/>
  <c r="O12" i="75" s="1"/>
  <c r="AE11" i="76"/>
  <c r="AE28" i="90"/>
  <c r="AC11" i="76"/>
  <c r="AC28" i="90"/>
  <c r="AA11" i="76"/>
  <c r="AA28" i="90"/>
  <c r="Z11" i="76"/>
  <c r="Z28" i="90"/>
  <c r="Y11" i="76"/>
  <c r="Y28" i="90"/>
  <c r="X11" i="76"/>
  <c r="X28" i="90"/>
  <c r="W11" i="76"/>
  <c r="W28" i="90"/>
  <c r="V11" i="76"/>
  <c r="V28" i="90"/>
  <c r="U106" i="75"/>
  <c r="N106" i="75"/>
  <c r="AB11" i="75"/>
  <c r="I11" i="76"/>
  <c r="I28" i="90"/>
  <c r="H11" i="76"/>
  <c r="H28" i="90"/>
  <c r="G11" i="76"/>
  <c r="G28" i="90"/>
  <c r="F11" i="76"/>
  <c r="F28" i="90"/>
  <c r="E11" i="76"/>
  <c r="E28" i="90"/>
  <c r="D106" i="75"/>
  <c r="K11" i="75"/>
  <c r="M11" i="75" s="1"/>
  <c r="O11" i="75" s="1"/>
  <c r="AD10" i="75"/>
  <c r="AC10" i="76"/>
  <c r="AC27" i="90"/>
  <c r="Z10" i="76"/>
  <c r="Z27" i="90"/>
  <c r="AB10" i="75"/>
  <c r="AF10" i="75" s="1"/>
  <c r="K10" i="75"/>
  <c r="M10" i="75" s="1"/>
  <c r="O10" i="75" s="1"/>
  <c r="AD9" i="75"/>
  <c r="AD14" i="75" s="1"/>
  <c r="AE14" i="75"/>
  <c r="AE104" i="75"/>
  <c r="AC104" i="75"/>
  <c r="AC14" i="75"/>
  <c r="AA104" i="75"/>
  <c r="AA14" i="75"/>
  <c r="Z14" i="75"/>
  <c r="Z104" i="75"/>
  <c r="Y14" i="75"/>
  <c r="Y104" i="75"/>
  <c r="X104" i="75"/>
  <c r="X14" i="75"/>
  <c r="W104" i="75"/>
  <c r="W14" i="75"/>
  <c r="V104" i="75"/>
  <c r="V14" i="75"/>
  <c r="U104" i="75"/>
  <c r="U14" i="75"/>
  <c r="Y16" i="75" s="1"/>
  <c r="N104" i="75"/>
  <c r="AB9" i="75"/>
  <c r="AF9" i="75" s="1"/>
  <c r="N14" i="75"/>
  <c r="I104" i="75"/>
  <c r="I14" i="75"/>
  <c r="H104" i="75"/>
  <c r="H14" i="75"/>
  <c r="G104" i="75"/>
  <c r="G14" i="75"/>
  <c r="F104" i="75"/>
  <c r="F14" i="75"/>
  <c r="E104" i="75"/>
  <c r="E14" i="75"/>
  <c r="K9" i="75"/>
  <c r="D104" i="75"/>
  <c r="D14" i="75"/>
  <c r="K122" i="75"/>
  <c r="K27" i="76" s="1"/>
  <c r="K102" i="75"/>
  <c r="K83" i="75"/>
  <c r="Y83" i="75" s="1"/>
  <c r="K64" i="75"/>
  <c r="Y64" i="75" s="1"/>
  <c r="K26" i="75"/>
  <c r="Y26" i="75" s="1"/>
  <c r="Y7" i="75"/>
  <c r="K45" i="75"/>
  <c r="Y45" i="75" s="1"/>
  <c r="G64" i="75"/>
  <c r="V64" i="75" s="1"/>
  <c r="G26" i="75"/>
  <c r="V26" i="75" s="1"/>
  <c r="V7" i="75"/>
  <c r="G102" i="75"/>
  <c r="G83" i="75"/>
  <c r="V83" i="75" s="1"/>
  <c r="G45" i="75"/>
  <c r="V45" i="75" s="1"/>
  <c r="G122" i="75"/>
  <c r="H27" i="76" s="1"/>
  <c r="D26" i="75"/>
  <c r="D83" i="75"/>
  <c r="D45" i="75"/>
  <c r="D102" i="75"/>
  <c r="D7" i="76" s="1"/>
  <c r="D64" i="75"/>
  <c r="D25" i="75"/>
  <c r="D63" i="75"/>
  <c r="D44" i="75"/>
  <c r="D101" i="75"/>
  <c r="D6" i="76" s="1"/>
  <c r="D82" i="75"/>
  <c r="N98" i="75"/>
  <c r="N22" i="75"/>
  <c r="AD22" i="75" s="1"/>
  <c r="AD3" i="75"/>
  <c r="N60" i="75"/>
  <c r="AD60" i="75" s="1"/>
  <c r="M117" i="75"/>
  <c r="N22" i="76" s="1"/>
  <c r="N79" i="75"/>
  <c r="AD79" i="75" s="1"/>
  <c r="N41" i="75"/>
  <c r="AD41" i="75" s="1"/>
  <c r="C9" i="36"/>
  <c r="C15" i="36" s="1"/>
  <c r="K32" i="95"/>
  <c r="O31" i="95"/>
  <c r="J52" i="69"/>
  <c r="J85" i="22"/>
  <c r="J104" i="22" s="1"/>
  <c r="K26" i="69"/>
  <c r="Y26" i="69" s="1"/>
  <c r="Y7" i="69"/>
  <c r="K45" i="69"/>
  <c r="Y45" i="69" s="1"/>
  <c r="V7" i="69"/>
  <c r="H26" i="69"/>
  <c r="V26" i="69" s="1"/>
  <c r="H45" i="69"/>
  <c r="V45" i="69" s="1"/>
  <c r="D26" i="69"/>
  <c r="D45" i="69"/>
  <c r="D25" i="69"/>
  <c r="D44" i="69"/>
  <c r="N22" i="69"/>
  <c r="AC22" i="69" s="1"/>
  <c r="N41" i="69"/>
  <c r="AC41" i="69" s="1"/>
  <c r="AC3" i="69"/>
  <c r="AD33" i="69"/>
  <c r="AC28" i="69"/>
  <c r="AC33" i="69" s="1"/>
  <c r="U33" i="69"/>
  <c r="Y35" i="69" s="1"/>
  <c r="AB28" i="69"/>
  <c r="N33" i="69"/>
  <c r="K28" i="69"/>
  <c r="D33" i="69"/>
  <c r="AD51" i="69"/>
  <c r="AC13" i="69"/>
  <c r="AC51" i="69" s="1"/>
  <c r="U51" i="69"/>
  <c r="AB13" i="69"/>
  <c r="N51" i="69"/>
  <c r="K13" i="69"/>
  <c r="M13" i="69" s="1"/>
  <c r="O13" i="69" s="1"/>
  <c r="D51" i="69"/>
  <c r="AD50" i="69"/>
  <c r="AC12" i="69"/>
  <c r="AC50" i="69" s="1"/>
  <c r="AA88" i="75"/>
  <c r="AA107" i="75" s="1"/>
  <c r="AA88" i="22"/>
  <c r="AA107" i="22" s="1"/>
  <c r="Y88" i="75"/>
  <c r="Y107" i="75" s="1"/>
  <c r="Y88" i="22"/>
  <c r="Y107" i="22" s="1"/>
  <c r="X88" i="75"/>
  <c r="X107" i="75" s="1"/>
  <c r="X88" i="22"/>
  <c r="X107" i="22" s="1"/>
  <c r="W88" i="75"/>
  <c r="W107" i="75" s="1"/>
  <c r="W88" i="22"/>
  <c r="W107" i="22" s="1"/>
  <c r="V88" i="75"/>
  <c r="V107" i="75" s="1"/>
  <c r="V88" i="22"/>
  <c r="V107" i="22" s="1"/>
  <c r="U50" i="69"/>
  <c r="AB12" i="69"/>
  <c r="N50" i="69"/>
  <c r="I88" i="75"/>
  <c r="I107" i="75" s="1"/>
  <c r="I88" i="22"/>
  <c r="I107" i="22" s="1"/>
  <c r="H88" i="75"/>
  <c r="H107" i="75" s="1"/>
  <c r="H88" i="22"/>
  <c r="H107" i="22" s="1"/>
  <c r="G88" i="75"/>
  <c r="G107" i="75" s="1"/>
  <c r="G88" i="22"/>
  <c r="G107" i="22" s="1"/>
  <c r="F88" i="75"/>
  <c r="F107" i="75" s="1"/>
  <c r="F88" i="22"/>
  <c r="F107" i="22" s="1"/>
  <c r="E88" i="75"/>
  <c r="E107" i="75" s="1"/>
  <c r="E88" i="22"/>
  <c r="E107" i="22" s="1"/>
  <c r="K12" i="69"/>
  <c r="M12" i="69" s="1"/>
  <c r="O12" i="69" s="1"/>
  <c r="D50" i="69"/>
  <c r="AD49" i="69"/>
  <c r="AC11" i="69"/>
  <c r="AC49" i="69" s="1"/>
  <c r="AD87" i="79" s="1"/>
  <c r="AA87" i="79"/>
  <c r="AA106" i="79" s="1"/>
  <c r="AA87" i="97"/>
  <c r="AA87" i="22"/>
  <c r="AA106" i="22" s="1"/>
  <c r="Y87" i="79"/>
  <c r="Y106" i="79" s="1"/>
  <c r="Y87" i="22"/>
  <c r="Y106" i="22" s="1"/>
  <c r="X87" i="79"/>
  <c r="X106" i="79" s="1"/>
  <c r="X87" i="22"/>
  <c r="X106" i="22" s="1"/>
  <c r="W87" i="79"/>
  <c r="W106" i="79" s="1"/>
  <c r="W87" i="22"/>
  <c r="W106" i="22" s="1"/>
  <c r="V87" i="79"/>
  <c r="V106" i="79" s="1"/>
  <c r="V87" i="22"/>
  <c r="V106" i="22" s="1"/>
  <c r="U49" i="69"/>
  <c r="AB11" i="69"/>
  <c r="N49" i="69"/>
  <c r="I87" i="79"/>
  <c r="I106" i="79" s="1"/>
  <c r="I87" i="22"/>
  <c r="I106" i="22" s="1"/>
  <c r="H87" i="79"/>
  <c r="H106" i="79" s="1"/>
  <c r="H87" i="22"/>
  <c r="H106" i="22" s="1"/>
  <c r="G87" i="79"/>
  <c r="G106" i="79" s="1"/>
  <c r="G87" i="22"/>
  <c r="G106" i="22" s="1"/>
  <c r="F87" i="79"/>
  <c r="F106" i="79" s="1"/>
  <c r="F87" i="22"/>
  <c r="F106" i="22" s="1"/>
  <c r="E87" i="79"/>
  <c r="E106" i="79" s="1"/>
  <c r="E87" i="22"/>
  <c r="E106" i="22" s="1"/>
  <c r="K11" i="69"/>
  <c r="M11" i="69" s="1"/>
  <c r="O11" i="69" s="1"/>
  <c r="D49" i="69"/>
  <c r="AD48" i="69"/>
  <c r="AC10" i="69"/>
  <c r="AC48" i="69" s="1"/>
  <c r="AA86" i="75"/>
  <c r="AA86" i="22"/>
  <c r="AA105" i="22" s="1"/>
  <c r="Y86" i="75"/>
  <c r="Y86" i="22"/>
  <c r="Y105" i="22" s="1"/>
  <c r="X86" i="75"/>
  <c r="X86" i="22"/>
  <c r="X105" i="22" s="1"/>
  <c r="W86" i="75"/>
  <c r="W86" i="22"/>
  <c r="W105" i="22" s="1"/>
  <c r="V86" i="75"/>
  <c r="V86" i="22"/>
  <c r="V105" i="22" s="1"/>
  <c r="U48" i="69"/>
  <c r="AB10" i="69"/>
  <c r="N48" i="69"/>
  <c r="I86" i="75"/>
  <c r="I86" i="22"/>
  <c r="I105" i="22" s="1"/>
  <c r="H86" i="75"/>
  <c r="H86" i="22"/>
  <c r="H105" i="22" s="1"/>
  <c r="G86" i="75"/>
  <c r="G86" i="22"/>
  <c r="G105" i="22" s="1"/>
  <c r="F86" i="75"/>
  <c r="F86" i="22"/>
  <c r="F105" i="22" s="1"/>
  <c r="E86" i="75"/>
  <c r="E86" i="22"/>
  <c r="E105" i="22" s="1"/>
  <c r="K10" i="69"/>
  <c r="M10" i="69" s="1"/>
  <c r="O10" i="69" s="1"/>
  <c r="D48" i="69"/>
  <c r="AD14" i="69"/>
  <c r="AD47" i="69"/>
  <c r="AC9" i="69"/>
  <c r="AA14" i="69"/>
  <c r="AA47" i="69"/>
  <c r="Y14" i="69"/>
  <c r="Y47" i="69"/>
  <c r="X14" i="69"/>
  <c r="X47" i="69"/>
  <c r="W14" i="69"/>
  <c r="W47" i="69"/>
  <c r="V14" i="69"/>
  <c r="V47" i="69"/>
  <c r="U14" i="69"/>
  <c r="Y16" i="69" s="1"/>
  <c r="U47" i="69"/>
  <c r="AB9" i="69"/>
  <c r="AE9" i="69" s="1"/>
  <c r="N14" i="69"/>
  <c r="N47" i="69"/>
  <c r="I14" i="69"/>
  <c r="I47" i="69"/>
  <c r="H14" i="69"/>
  <c r="H47" i="69"/>
  <c r="G14" i="69"/>
  <c r="G47" i="69"/>
  <c r="F14" i="69"/>
  <c r="F47" i="69"/>
  <c r="E14" i="69"/>
  <c r="E47" i="69"/>
  <c r="K9" i="69"/>
  <c r="D14" i="69"/>
  <c r="D47" i="69"/>
  <c r="K70" i="85"/>
  <c r="M70" i="85" s="1"/>
  <c r="O70" i="85" s="1"/>
  <c r="AG70" i="85" s="1"/>
  <c r="AH70" i="85" s="1"/>
  <c r="J129" i="85"/>
  <c r="G146" i="85"/>
  <c r="M7" i="83"/>
  <c r="K70" i="97"/>
  <c r="M70" i="97" s="1"/>
  <c r="O70" i="97" s="1"/>
  <c r="AG70" i="97" s="1"/>
  <c r="AH70" i="97" s="1"/>
  <c r="J129" i="97"/>
  <c r="G146" i="97"/>
  <c r="M7" i="98"/>
  <c r="K70" i="79"/>
  <c r="M70" i="79" s="1"/>
  <c r="O70" i="79" s="1"/>
  <c r="AG70" i="79" s="1"/>
  <c r="AH70" i="79" s="1"/>
  <c r="M7" i="80"/>
  <c r="J129" i="79"/>
  <c r="G146" i="79"/>
  <c r="K70" i="22"/>
  <c r="M70" i="22" s="1"/>
  <c r="O70" i="22" s="1"/>
  <c r="AG70" i="22" s="1"/>
  <c r="AH70" i="22" s="1"/>
  <c r="J129" i="22"/>
  <c r="G146" i="22"/>
  <c r="M7" i="36"/>
  <c r="K69" i="85"/>
  <c r="M69" i="85" s="1"/>
  <c r="O69" i="85" s="1"/>
  <c r="AG69" i="85" s="1"/>
  <c r="AH69" i="85" s="1"/>
  <c r="J128" i="85"/>
  <c r="G145" i="85"/>
  <c r="M6" i="83"/>
  <c r="K69" i="79"/>
  <c r="M69" i="79" s="1"/>
  <c r="O69" i="79" s="1"/>
  <c r="AG69" i="79" s="1"/>
  <c r="AH69" i="79" s="1"/>
  <c r="M6" i="80"/>
  <c r="J128" i="79"/>
  <c r="G145" i="79"/>
  <c r="K69" i="75"/>
  <c r="M69" i="75" s="1"/>
  <c r="O69" i="75" s="1"/>
  <c r="AG69" i="75" s="1"/>
  <c r="AH69" i="75" s="1"/>
  <c r="J128" i="75"/>
  <c r="G145" i="75"/>
  <c r="M6" i="77"/>
  <c r="K69" i="22"/>
  <c r="M69" i="22" s="1"/>
  <c r="O69" i="22" s="1"/>
  <c r="AG69" i="22" s="1"/>
  <c r="AH69" i="22" s="1"/>
  <c r="G145" i="22"/>
  <c r="J128" i="22"/>
  <c r="M6" i="36"/>
  <c r="K68" i="85"/>
  <c r="M68" i="85" s="1"/>
  <c r="O68" i="85" s="1"/>
  <c r="AG68" i="85" s="1"/>
  <c r="AH68" i="85" s="1"/>
  <c r="J127" i="85"/>
  <c r="G144" i="85"/>
  <c r="M5" i="83"/>
  <c r="K68" i="79"/>
  <c r="M68" i="79" s="1"/>
  <c r="O68" i="79" s="1"/>
  <c r="AG68" i="79" s="1"/>
  <c r="AH68" i="79" s="1"/>
  <c r="M5" i="80"/>
  <c r="J127" i="79"/>
  <c r="G144" i="79"/>
  <c r="K68" i="22"/>
  <c r="M68" i="22" s="1"/>
  <c r="O68" i="22" s="1"/>
  <c r="AG68" i="22" s="1"/>
  <c r="AH68" i="22" s="1"/>
  <c r="J127" i="22"/>
  <c r="G144" i="22"/>
  <c r="M5" i="36"/>
  <c r="K67" i="85"/>
  <c r="M67" i="85" s="1"/>
  <c r="O67" i="85" s="1"/>
  <c r="AG67" i="85" s="1"/>
  <c r="AH67" i="85" s="1"/>
  <c r="J126" i="85"/>
  <c r="G143" i="85"/>
  <c r="M4" i="83"/>
  <c r="K67" i="79"/>
  <c r="M67" i="79" s="1"/>
  <c r="O67" i="79" s="1"/>
  <c r="AG67" i="79" s="1"/>
  <c r="AH67" i="79" s="1"/>
  <c r="J126" i="79"/>
  <c r="G143" i="79"/>
  <c r="M4" i="80"/>
  <c r="K67" i="75"/>
  <c r="M67" i="75" s="1"/>
  <c r="O67" i="75" s="1"/>
  <c r="AG67" i="75" s="1"/>
  <c r="AH67" i="75" s="1"/>
  <c r="J126" i="75"/>
  <c r="G143" i="75"/>
  <c r="M4" i="77"/>
  <c r="K67" i="22"/>
  <c r="M67" i="22" s="1"/>
  <c r="O67" i="22" s="1"/>
  <c r="AG67" i="22" s="1"/>
  <c r="AH67" i="22" s="1"/>
  <c r="J126" i="22"/>
  <c r="G143" i="22"/>
  <c r="M4" i="36"/>
  <c r="AD66" i="85"/>
  <c r="AD71" i="85" s="1"/>
  <c r="AE71" i="85"/>
  <c r="N71" i="85"/>
  <c r="AB66" i="85"/>
  <c r="AB71" i="85" s="1"/>
  <c r="AF66" i="85"/>
  <c r="U71" i="85"/>
  <c r="Y73" i="85" s="1"/>
  <c r="D71" i="85"/>
  <c r="J125" i="85"/>
  <c r="G142" i="85"/>
  <c r="G147" i="85" s="1"/>
  <c r="M3" i="83"/>
  <c r="M9" i="83" s="1"/>
  <c r="N23" i="36" s="1"/>
  <c r="K66" i="85"/>
  <c r="AE71" i="97"/>
  <c r="AD66" i="97"/>
  <c r="AD71" i="97" s="1"/>
  <c r="AB66" i="97"/>
  <c r="AB71" i="97" s="1"/>
  <c r="N71" i="97"/>
  <c r="AF66" i="97"/>
  <c r="U71" i="97"/>
  <c r="Y73" i="97" s="1"/>
  <c r="K66" i="97"/>
  <c r="D71" i="97"/>
  <c r="J125" i="97"/>
  <c r="G142" i="97"/>
  <c r="G147" i="97" s="1"/>
  <c r="M3" i="98"/>
  <c r="M9" i="98" s="1"/>
  <c r="N22" i="36" s="1"/>
  <c r="AE71" i="79"/>
  <c r="AD66" i="79"/>
  <c r="AD71" i="79" s="1"/>
  <c r="AB66" i="79"/>
  <c r="AB71" i="79" s="1"/>
  <c r="N71" i="79"/>
  <c r="AF66" i="79"/>
  <c r="U71" i="79"/>
  <c r="Y73" i="79" s="1"/>
  <c r="K66" i="79"/>
  <c r="D71" i="79"/>
  <c r="J125" i="79"/>
  <c r="G142" i="79"/>
  <c r="G147" i="79" s="1"/>
  <c r="M3" i="80"/>
  <c r="M9" i="80" s="1"/>
  <c r="N21" i="36" s="1"/>
  <c r="AE66" i="22"/>
  <c r="D394" i="61"/>
  <c r="AC66" i="22"/>
  <c r="Q393" i="61"/>
  <c r="P393" i="61"/>
  <c r="N66" i="22"/>
  <c r="AA66" i="22"/>
  <c r="O393" i="61"/>
  <c r="Y66" i="22"/>
  <c r="N393" i="61"/>
  <c r="X66" i="22"/>
  <c r="M393" i="61"/>
  <c r="W66" i="22"/>
  <c r="L393" i="61"/>
  <c r="V66" i="22"/>
  <c r="K393" i="61"/>
  <c r="U66" i="22"/>
  <c r="J393" i="61"/>
  <c r="I66" i="22"/>
  <c r="I393" i="61"/>
  <c r="H66" i="22"/>
  <c r="H393" i="61"/>
  <c r="G66" i="22"/>
  <c r="G393" i="61"/>
  <c r="F66" i="22"/>
  <c r="F71" i="22" s="1"/>
  <c r="F393" i="61"/>
  <c r="E393" i="61"/>
  <c r="E66" i="22"/>
  <c r="E71" i="22" s="1"/>
  <c r="D66" i="22"/>
  <c r="D393" i="61"/>
  <c r="K32" i="85"/>
  <c r="M32" i="85" s="1"/>
  <c r="O32" i="85" s="1"/>
  <c r="AG32" i="85" s="1"/>
  <c r="AH32" i="85" s="1"/>
  <c r="H129" i="85"/>
  <c r="F146" i="85"/>
  <c r="E7" i="83"/>
  <c r="K32" i="97"/>
  <c r="M32" i="97" s="1"/>
  <c r="O32" i="97" s="1"/>
  <c r="H129" i="97"/>
  <c r="F146" i="97"/>
  <c r="E7" i="98"/>
  <c r="K32" i="79"/>
  <c r="M32" i="79" s="1"/>
  <c r="O32" i="79" s="1"/>
  <c r="H129" i="79"/>
  <c r="F146" i="79"/>
  <c r="E7" i="80"/>
  <c r="K32" i="22"/>
  <c r="M32" i="22" s="1"/>
  <c r="O32" i="22" s="1"/>
  <c r="H129" i="22"/>
  <c r="F146" i="22"/>
  <c r="E7" i="36"/>
  <c r="K31" i="85"/>
  <c r="M31" i="85" s="1"/>
  <c r="O31" i="85" s="1"/>
  <c r="H128" i="85"/>
  <c r="F145" i="85"/>
  <c r="E6" i="83"/>
  <c r="K31" i="79"/>
  <c r="M31" i="79" s="1"/>
  <c r="O31" i="79" s="1"/>
  <c r="H128" i="79"/>
  <c r="F145" i="79"/>
  <c r="E6" i="80"/>
  <c r="K31" i="75"/>
  <c r="M31" i="75" s="1"/>
  <c r="O31" i="75" s="1"/>
  <c r="AG31" i="75" s="1"/>
  <c r="AH31" i="75" s="1"/>
  <c r="H128" i="75"/>
  <c r="F145" i="75"/>
  <c r="E6" i="77"/>
  <c r="AD31" i="22"/>
  <c r="AC12" i="39"/>
  <c r="AC12" i="90"/>
  <c r="K31" i="22"/>
  <c r="M31" i="22" s="1"/>
  <c r="O31" i="22" s="1"/>
  <c r="H128" i="22"/>
  <c r="F145" i="22"/>
  <c r="E6" i="36"/>
  <c r="K30" i="85"/>
  <c r="M30" i="85" s="1"/>
  <c r="O30" i="85" s="1"/>
  <c r="AG30" i="85" s="1"/>
  <c r="AH30" i="85" s="1"/>
  <c r="H127" i="85"/>
  <c r="F144" i="85"/>
  <c r="E5" i="83"/>
  <c r="K30" i="79"/>
  <c r="M30" i="79" s="1"/>
  <c r="O30" i="79" s="1"/>
  <c r="H127" i="79"/>
  <c r="F144" i="79"/>
  <c r="E5" i="80"/>
  <c r="K30" i="22"/>
  <c r="M30" i="22" s="1"/>
  <c r="O30" i="22" s="1"/>
  <c r="F144" i="22"/>
  <c r="H127" i="22"/>
  <c r="E5" i="36"/>
  <c r="K29" i="85"/>
  <c r="M29" i="85" s="1"/>
  <c r="O29" i="85" s="1"/>
  <c r="H126" i="85"/>
  <c r="F143" i="85"/>
  <c r="E4" i="83"/>
  <c r="K29" i="79"/>
  <c r="M29" i="79" s="1"/>
  <c r="O29" i="79" s="1"/>
  <c r="H126" i="79"/>
  <c r="F143" i="79"/>
  <c r="E4" i="80"/>
  <c r="K29" i="75"/>
  <c r="M29" i="75" s="1"/>
  <c r="O29" i="75" s="1"/>
  <c r="H126" i="75"/>
  <c r="F143" i="75"/>
  <c r="E4" i="77"/>
  <c r="K29" i="22"/>
  <c r="M29" i="22" s="1"/>
  <c r="O29" i="22" s="1"/>
  <c r="H126" i="22"/>
  <c r="F143" i="22"/>
  <c r="E4" i="36"/>
  <c r="AE33" i="85"/>
  <c r="AD28" i="85"/>
  <c r="AD33" i="85" s="1"/>
  <c r="U33" i="85"/>
  <c r="AB28" i="85"/>
  <c r="N33" i="85"/>
  <c r="K28" i="85"/>
  <c r="D33" i="85"/>
  <c r="H125" i="85"/>
  <c r="F142" i="85"/>
  <c r="E3" i="83"/>
  <c r="AE33" i="97"/>
  <c r="AD28" i="97"/>
  <c r="AD33" i="97" s="1"/>
  <c r="K28" i="97"/>
  <c r="D33" i="97"/>
  <c r="H125" i="97"/>
  <c r="F142" i="97"/>
  <c r="E3" i="98"/>
  <c r="AE33" i="79"/>
  <c r="AD28" i="79"/>
  <c r="AD33" i="79" s="1"/>
  <c r="U33" i="79"/>
  <c r="AB28" i="79"/>
  <c r="N33" i="79"/>
  <c r="K28" i="79"/>
  <c r="D33" i="79"/>
  <c r="H125" i="79"/>
  <c r="F142" i="79"/>
  <c r="E3" i="80"/>
  <c r="AE33" i="22"/>
  <c r="AD28" i="22"/>
  <c r="AD33" i="22" s="1"/>
  <c r="U33" i="22"/>
  <c r="AB28" i="22"/>
  <c r="N33" i="22"/>
  <c r="K28" i="22"/>
  <c r="D33" i="22"/>
  <c r="F142" i="22"/>
  <c r="H125" i="22"/>
  <c r="E3" i="36"/>
  <c r="G129" i="85"/>
  <c r="K51" i="85"/>
  <c r="M51" i="85" s="1"/>
  <c r="O51" i="85" s="1"/>
  <c r="AE108" i="85"/>
  <c r="AD13" i="85"/>
  <c r="U108" i="85"/>
  <c r="AB13" i="85"/>
  <c r="N108" i="85"/>
  <c r="K13" i="85"/>
  <c r="M13" i="85" s="1"/>
  <c r="O13" i="85" s="1"/>
  <c r="D108" i="85"/>
  <c r="K51" i="97"/>
  <c r="M51" i="97" s="1"/>
  <c r="O51" i="97" s="1"/>
  <c r="G129" i="97"/>
  <c r="AD13" i="97"/>
  <c r="AB13" i="97"/>
  <c r="AF13" i="97" s="1"/>
  <c r="K13" i="97"/>
  <c r="M13" i="97" s="1"/>
  <c r="O13" i="97" s="1"/>
  <c r="K51" i="79"/>
  <c r="M51" i="79" s="1"/>
  <c r="O51" i="79" s="1"/>
  <c r="G129" i="79"/>
  <c r="AB13" i="79"/>
  <c r="K51" i="22"/>
  <c r="M51" i="22" s="1"/>
  <c r="O51" i="22" s="1"/>
  <c r="G129" i="22"/>
  <c r="AE13" i="22"/>
  <c r="AA13" i="22"/>
  <c r="AA14" i="22" s="1"/>
  <c r="Y13" i="22"/>
  <c r="Y14" i="22" s="1"/>
  <c r="X13" i="22"/>
  <c r="X14" i="22" s="1"/>
  <c r="W13" i="22"/>
  <c r="W14" i="22" s="1"/>
  <c r="V13" i="22"/>
  <c r="V14" i="22" s="1"/>
  <c r="U13" i="22"/>
  <c r="U14" i="22" s="1"/>
  <c r="N13" i="22"/>
  <c r="N14" i="22" s="1"/>
  <c r="D13" i="22"/>
  <c r="D14" i="22" s="1"/>
  <c r="G128" i="85"/>
  <c r="K50" i="85"/>
  <c r="M50" i="85" s="1"/>
  <c r="O50" i="85" s="1"/>
  <c r="AG50" i="85" s="1"/>
  <c r="AH50" i="85" s="1"/>
  <c r="AE107" i="85"/>
  <c r="AD107" i="85" s="1"/>
  <c r="AD12" i="85"/>
  <c r="AD14" i="85" s="1"/>
  <c r="U107" i="85"/>
  <c r="AB12" i="85"/>
  <c r="N107" i="85"/>
  <c r="K12" i="85"/>
  <c r="M12" i="85" s="1"/>
  <c r="O12" i="85" s="1"/>
  <c r="D107" i="85"/>
  <c r="G128" i="79"/>
  <c r="K50" i="79"/>
  <c r="M50" i="79" s="1"/>
  <c r="O50" i="79" s="1"/>
  <c r="U107" i="79"/>
  <c r="AB12" i="79"/>
  <c r="AB107" i="79" s="1"/>
  <c r="N107" i="79"/>
  <c r="K12" i="79"/>
  <c r="M12" i="79" s="1"/>
  <c r="O12" i="79" s="1"/>
  <c r="D107" i="79"/>
  <c r="K49" i="79"/>
  <c r="M49" i="79" s="1"/>
  <c r="O49" i="79" s="1"/>
  <c r="AG49" i="79" s="1"/>
  <c r="AH49" i="79" s="1"/>
  <c r="G127" i="79"/>
  <c r="AB11" i="79"/>
  <c r="K49" i="22"/>
  <c r="M49" i="22" s="1"/>
  <c r="O49" i="22" s="1"/>
  <c r="G127" i="22"/>
  <c r="G126" i="85"/>
  <c r="K48" i="85"/>
  <c r="M48" i="85" s="1"/>
  <c r="O48" i="85" s="1"/>
  <c r="K48" i="79"/>
  <c r="M48" i="79" s="1"/>
  <c r="O48" i="79" s="1"/>
  <c r="G126" i="79"/>
  <c r="U105" i="79"/>
  <c r="AB10" i="79"/>
  <c r="AB105" i="79" s="1"/>
  <c r="N105" i="79"/>
  <c r="D105" i="79"/>
  <c r="K48" i="22"/>
  <c r="M48" i="22" s="1"/>
  <c r="O48" i="22" s="1"/>
  <c r="G126" i="22"/>
  <c r="G131" i="22" s="1"/>
  <c r="G12" i="91" s="1"/>
  <c r="U12" i="89"/>
  <c r="U17" i="89" s="1"/>
  <c r="P17" i="89"/>
  <c r="J12" i="89"/>
  <c r="D17" i="89"/>
  <c r="AE52" i="85"/>
  <c r="AD47" i="85"/>
  <c r="AD52" i="85" s="1"/>
  <c r="U52" i="85"/>
  <c r="Y54" i="85" s="1"/>
  <c r="AB47" i="85"/>
  <c r="N52" i="85"/>
  <c r="K47" i="85"/>
  <c r="G125" i="85"/>
  <c r="D52" i="85"/>
  <c r="AE52" i="97"/>
  <c r="AD47" i="97"/>
  <c r="AD52" i="97" s="1"/>
  <c r="U52" i="97"/>
  <c r="Y54" i="97" s="1"/>
  <c r="AB47" i="97"/>
  <c r="N52" i="97"/>
  <c r="K47" i="97"/>
  <c r="D52" i="97"/>
  <c r="G125" i="97"/>
  <c r="AE14" i="97"/>
  <c r="AE104" i="97"/>
  <c r="AD9" i="97"/>
  <c r="AD14" i="97" s="1"/>
  <c r="AC14" i="97"/>
  <c r="AC104" i="97"/>
  <c r="AA14" i="97"/>
  <c r="AA104" i="97"/>
  <c r="Y14" i="97"/>
  <c r="Y104" i="97"/>
  <c r="X14" i="97"/>
  <c r="X104" i="97"/>
  <c r="W14" i="97"/>
  <c r="W104" i="97"/>
  <c r="V14" i="97"/>
  <c r="V104" i="97"/>
  <c r="U14" i="97"/>
  <c r="Y16" i="97" s="1"/>
  <c r="U104" i="97"/>
  <c r="AB9" i="97"/>
  <c r="AF9" i="97" s="1"/>
  <c r="N14" i="97"/>
  <c r="I14" i="97"/>
  <c r="I104" i="97"/>
  <c r="H14" i="97"/>
  <c r="H104" i="97"/>
  <c r="G14" i="97"/>
  <c r="G104" i="97"/>
  <c r="F14" i="97"/>
  <c r="F104" i="97"/>
  <c r="E14" i="97"/>
  <c r="E104" i="97"/>
  <c r="K9" i="97"/>
  <c r="D14" i="97"/>
  <c r="D104" i="97"/>
  <c r="AE52" i="79"/>
  <c r="AD47" i="79"/>
  <c r="AD52" i="79" s="1"/>
  <c r="U52" i="79"/>
  <c r="Y54" i="79" s="1"/>
  <c r="AB47" i="79"/>
  <c r="N52" i="79"/>
  <c r="K47" i="79"/>
  <c r="G125" i="79"/>
  <c r="D52" i="79"/>
  <c r="AE14" i="79"/>
  <c r="AC14" i="79"/>
  <c r="AC104" i="79"/>
  <c r="AA14" i="79"/>
  <c r="Y14" i="79"/>
  <c r="X14" i="79"/>
  <c r="W14" i="79"/>
  <c r="V14" i="79"/>
  <c r="U14" i="79"/>
  <c r="Y16" i="79" s="1"/>
  <c r="AB9" i="79"/>
  <c r="N14" i="79"/>
  <c r="I14" i="79"/>
  <c r="H14" i="79"/>
  <c r="G14" i="79"/>
  <c r="F14" i="79"/>
  <c r="E14" i="79"/>
  <c r="D14" i="79"/>
  <c r="I7" i="64"/>
  <c r="I6" i="64"/>
  <c r="I5" i="64"/>
  <c r="I4" i="64"/>
  <c r="I3" i="64"/>
  <c r="F9" i="64"/>
  <c r="L34" i="88"/>
  <c r="L81" i="91"/>
  <c r="L34" i="82"/>
  <c r="L67" i="91"/>
  <c r="L34" i="99"/>
  <c r="L53" i="91"/>
  <c r="L34" i="81"/>
  <c r="L39" i="91"/>
  <c r="L34" i="76"/>
  <c r="L25" i="91"/>
  <c r="L33" i="88"/>
  <c r="L80" i="91"/>
  <c r="L33" i="82"/>
  <c r="L66" i="91"/>
  <c r="L33" i="99"/>
  <c r="L52" i="91"/>
  <c r="L33" i="81"/>
  <c r="L38" i="91"/>
  <c r="L33" i="76"/>
  <c r="L24" i="91"/>
  <c r="L32" i="88"/>
  <c r="L79" i="91"/>
  <c r="L32" i="82"/>
  <c r="L65" i="91"/>
  <c r="L32" i="99"/>
  <c r="L51" i="91"/>
  <c r="L32" i="81"/>
  <c r="L37" i="91"/>
  <c r="L32" i="76"/>
  <c r="L23" i="91"/>
  <c r="L31" i="88"/>
  <c r="L78" i="91"/>
  <c r="L31" i="82"/>
  <c r="L64" i="91"/>
  <c r="L31" i="99"/>
  <c r="L50" i="91"/>
  <c r="L31" i="81"/>
  <c r="L36" i="91"/>
  <c r="L31" i="76"/>
  <c r="L22" i="91"/>
  <c r="L93" i="91" s="1"/>
  <c r="L125" i="86"/>
  <c r="R26" i="56"/>
  <c r="R27" i="56" s="1"/>
  <c r="O26" i="56"/>
  <c r="O27" i="56" s="1"/>
  <c r="L125" i="85"/>
  <c r="L26" i="56"/>
  <c r="L27" i="56" s="1"/>
  <c r="L125" i="97"/>
  <c r="L125" i="79"/>
  <c r="I26" i="56"/>
  <c r="I27" i="56" s="1"/>
  <c r="L125" i="75"/>
  <c r="F26" i="56"/>
  <c r="F27" i="56" s="1"/>
  <c r="K34" i="88"/>
  <c r="K81" i="91"/>
  <c r="K34" i="82"/>
  <c r="K67" i="91"/>
  <c r="K34" i="99"/>
  <c r="K53" i="91"/>
  <c r="K34" i="81"/>
  <c r="K39" i="91"/>
  <c r="K34" i="76"/>
  <c r="K25" i="91"/>
  <c r="K33" i="88"/>
  <c r="K80" i="91"/>
  <c r="K33" i="82"/>
  <c r="K66" i="91"/>
  <c r="K33" i="99"/>
  <c r="K52" i="91"/>
  <c r="K33" i="81"/>
  <c r="K38" i="91"/>
  <c r="K33" i="76"/>
  <c r="K24" i="91"/>
  <c r="K32" i="88"/>
  <c r="K79" i="91"/>
  <c r="K32" i="82"/>
  <c r="K65" i="91"/>
  <c r="K32" i="99"/>
  <c r="K51" i="91"/>
  <c r="K32" i="81"/>
  <c r="K37" i="91"/>
  <c r="K32" i="76"/>
  <c r="K23" i="91"/>
  <c r="K31" i="88"/>
  <c r="K78" i="91"/>
  <c r="K31" i="82"/>
  <c r="K64" i="91"/>
  <c r="K31" i="99"/>
  <c r="K50" i="91"/>
  <c r="K31" i="81"/>
  <c r="K36" i="91"/>
  <c r="K31" i="76"/>
  <c r="K22" i="91"/>
  <c r="K93" i="91" s="1"/>
  <c r="R17" i="56"/>
  <c r="R18" i="56" s="1"/>
  <c r="K125" i="86"/>
  <c r="O17" i="56"/>
  <c r="O18" i="56" s="1"/>
  <c r="K125" i="85"/>
  <c r="L17" i="56"/>
  <c r="L18" i="56" s="1"/>
  <c r="K125" i="97"/>
  <c r="K125" i="79"/>
  <c r="I17" i="56"/>
  <c r="I18" i="56" s="1"/>
  <c r="F17" i="56"/>
  <c r="F18" i="56" s="1"/>
  <c r="K125" i="75"/>
  <c r="K7" i="87"/>
  <c r="D34" i="88"/>
  <c r="D81" i="91"/>
  <c r="D34" i="82"/>
  <c r="K7" i="83"/>
  <c r="D67" i="91"/>
  <c r="D34" i="99"/>
  <c r="D53" i="91"/>
  <c r="K7" i="98"/>
  <c r="K7" i="80"/>
  <c r="D34" i="81"/>
  <c r="D39" i="91"/>
  <c r="K7" i="77"/>
  <c r="D34" i="76"/>
  <c r="D25" i="91"/>
  <c r="K6" i="87"/>
  <c r="D33" i="88"/>
  <c r="D80" i="91"/>
  <c r="D33" i="82"/>
  <c r="K6" i="83"/>
  <c r="D66" i="91"/>
  <c r="D145" i="97"/>
  <c r="D33" i="99"/>
  <c r="K6" i="98"/>
  <c r="D52" i="91"/>
  <c r="K6" i="80"/>
  <c r="D33" i="81"/>
  <c r="D38" i="91"/>
  <c r="K6" i="77"/>
  <c r="D33" i="76"/>
  <c r="D24" i="91"/>
  <c r="K5" i="87"/>
  <c r="D32" i="88"/>
  <c r="D79" i="91"/>
  <c r="K5" i="83"/>
  <c r="D32" i="82"/>
  <c r="D65" i="91"/>
  <c r="D32" i="99"/>
  <c r="K5" i="98"/>
  <c r="D51" i="91"/>
  <c r="K5" i="80"/>
  <c r="D32" i="81"/>
  <c r="D37" i="91"/>
  <c r="K5" i="77"/>
  <c r="D32" i="76"/>
  <c r="D23" i="91"/>
  <c r="K4" i="87"/>
  <c r="D31" i="88"/>
  <c r="D78" i="91"/>
  <c r="K4" i="83"/>
  <c r="D31" i="82"/>
  <c r="D64" i="91"/>
  <c r="K4" i="98"/>
  <c r="D31" i="99"/>
  <c r="D50" i="91"/>
  <c r="K4" i="80"/>
  <c r="D31" i="81"/>
  <c r="D36" i="91"/>
  <c r="K4" i="77"/>
  <c r="D31" i="76"/>
  <c r="D22" i="91"/>
  <c r="D125" i="86"/>
  <c r="R8" i="56"/>
  <c r="R9" i="56" s="1"/>
  <c r="D125" i="85"/>
  <c r="O8" i="56"/>
  <c r="O9" i="56" s="1"/>
  <c r="L8" i="56"/>
  <c r="L9" i="56" s="1"/>
  <c r="D125" i="97"/>
  <c r="D125" i="79"/>
  <c r="I8" i="56"/>
  <c r="I9" i="56" s="1"/>
  <c r="D125" i="75"/>
  <c r="F8" i="56"/>
  <c r="F9" i="56" s="1"/>
  <c r="L5" i="70"/>
  <c r="L6" i="70" s="1"/>
  <c r="C25" i="56"/>
  <c r="L129" i="22" s="1"/>
  <c r="K5" i="70"/>
  <c r="K6" i="70" s="1"/>
  <c r="C16" i="56"/>
  <c r="K129" i="22" s="1"/>
  <c r="C24" i="56"/>
  <c r="L128" i="22" s="1"/>
  <c r="J5" i="70"/>
  <c r="J6" i="70" s="1"/>
  <c r="I5" i="70"/>
  <c r="I6" i="70" s="1"/>
  <c r="C15" i="56"/>
  <c r="K128" i="22" s="1"/>
  <c r="C23" i="56"/>
  <c r="H5" i="70"/>
  <c r="H6" i="70" s="1"/>
  <c r="N4" i="70"/>
  <c r="G5" i="70"/>
  <c r="G6" i="70" s="1"/>
  <c r="C14" i="56"/>
  <c r="M4" i="70"/>
  <c r="M5" i="70" s="1"/>
  <c r="M6" i="70" s="1"/>
  <c r="N5" i="70"/>
  <c r="N6" i="70" s="1"/>
  <c r="E79" i="62"/>
  <c r="I146" i="85" s="1"/>
  <c r="F7" i="83" s="1"/>
  <c r="D79" i="62"/>
  <c r="D78" i="62"/>
  <c r="E78" i="62"/>
  <c r="I145" i="85" s="1"/>
  <c r="F6" i="83" s="1"/>
  <c r="E77" i="62"/>
  <c r="I144" i="85" s="1"/>
  <c r="F5" i="83" s="1"/>
  <c r="D77" i="62"/>
  <c r="E76" i="62"/>
  <c r="I143" i="85" s="1"/>
  <c r="F4" i="83" s="1"/>
  <c r="D76" i="62"/>
  <c r="E75" i="62"/>
  <c r="I142" i="85" s="1"/>
  <c r="D75" i="62"/>
  <c r="E73" i="62"/>
  <c r="I146" i="97" s="1"/>
  <c r="F7" i="98" s="1"/>
  <c r="D73" i="62"/>
  <c r="D72" i="62"/>
  <c r="E72" i="62"/>
  <c r="I55" i="62"/>
  <c r="J55" i="62" s="1"/>
  <c r="J51" i="62"/>
  <c r="D71" i="62"/>
  <c r="E71" i="62"/>
  <c r="I145" i="97" s="1"/>
  <c r="F6" i="98" s="1"/>
  <c r="E69" i="62"/>
  <c r="D69" i="62"/>
  <c r="E70" i="62"/>
  <c r="I145" i="79" s="1"/>
  <c r="F6" i="80" s="1"/>
  <c r="D70" i="62"/>
  <c r="J41" i="62"/>
  <c r="I45" i="62"/>
  <c r="J45" i="62" s="1"/>
  <c r="D68" i="62"/>
  <c r="E68" i="62"/>
  <c r="I144" i="97" s="1"/>
  <c r="F5" i="98" s="1"/>
  <c r="D67" i="62"/>
  <c r="E67" i="62"/>
  <c r="C5" i="56"/>
  <c r="D127" i="22" s="1"/>
  <c r="J33" i="62"/>
  <c r="J32" i="62"/>
  <c r="I36" i="62"/>
  <c r="J36" i="62" s="1"/>
  <c r="D66" i="62"/>
  <c r="E66" i="62"/>
  <c r="I143" i="97" s="1"/>
  <c r="F4" i="98" s="1"/>
  <c r="D64" i="62"/>
  <c r="E64" i="62"/>
  <c r="D65" i="62"/>
  <c r="E65" i="62"/>
  <c r="I143" i="79" s="1"/>
  <c r="F4" i="80" s="1"/>
  <c r="J24" i="62"/>
  <c r="C4" i="56"/>
  <c r="D126" i="22" s="1"/>
  <c r="I27" i="62"/>
  <c r="J27" i="62" s="1"/>
  <c r="J23" i="62"/>
  <c r="D63" i="62"/>
  <c r="E63" i="62"/>
  <c r="I142" i="97" s="1"/>
  <c r="E62" i="62"/>
  <c r="D62" i="62"/>
  <c r="J14" i="62"/>
  <c r="C3" i="56"/>
  <c r="I17" i="62"/>
  <c r="J17" i="62" s="1"/>
  <c r="J13" i="62"/>
  <c r="C6" i="62"/>
  <c r="C7" i="62" s="1"/>
  <c r="I2" i="62"/>
  <c r="I6" i="62" s="1"/>
  <c r="E11" i="91"/>
  <c r="L8" i="36"/>
  <c r="E131" i="22"/>
  <c r="L6" i="91"/>
  <c r="K6" i="91"/>
  <c r="G6" i="91"/>
  <c r="D3" i="36"/>
  <c r="J142" i="22"/>
  <c r="Q30" i="95"/>
  <c r="S30" i="95" s="1"/>
  <c r="L13" i="90"/>
  <c r="L27" i="93"/>
  <c r="L36" i="93" s="1"/>
  <c r="I10" i="89"/>
  <c r="K7" i="88"/>
  <c r="Y7" i="88" s="1"/>
  <c r="Y102" i="22"/>
  <c r="K7" i="39"/>
  <c r="Y7" i="39" s="1"/>
  <c r="F10" i="89"/>
  <c r="V102" i="22"/>
  <c r="G7" i="39"/>
  <c r="V7" i="39" s="1"/>
  <c r="G7" i="88"/>
  <c r="V7" i="88" s="1"/>
  <c r="D7" i="39"/>
  <c r="D7" i="88"/>
  <c r="D6" i="39"/>
  <c r="D6" i="88"/>
  <c r="N3" i="39"/>
  <c r="AD3" i="39" s="1"/>
  <c r="AD98" i="22"/>
  <c r="N3" i="88"/>
  <c r="AD3" i="88" s="1"/>
  <c r="J108" i="22"/>
  <c r="U52" i="22"/>
  <c r="N52" i="22"/>
  <c r="AB47" i="22"/>
  <c r="D52" i="22"/>
  <c r="K47" i="22"/>
  <c r="L13" i="79"/>
  <c r="Z13" i="22"/>
  <c r="Z108" i="22" s="1"/>
  <c r="J13" i="79"/>
  <c r="K13" i="79" s="1"/>
  <c r="M13" i="79" s="1"/>
  <c r="O13" i="79" s="1"/>
  <c r="AB12" i="22"/>
  <c r="L12" i="79"/>
  <c r="Z12" i="22"/>
  <c r="L107" i="22"/>
  <c r="J12" i="79"/>
  <c r="AD12" i="22"/>
  <c r="J107" i="22"/>
  <c r="K12" i="22"/>
  <c r="M12" i="22" s="1"/>
  <c r="O12" i="22" s="1"/>
  <c r="AB11" i="22"/>
  <c r="L106" i="22"/>
  <c r="L11" i="79"/>
  <c r="Z11" i="22"/>
  <c r="J106" i="22"/>
  <c r="J11" i="79"/>
  <c r="K11" i="79" s="1"/>
  <c r="M11" i="79" s="1"/>
  <c r="O11" i="79" s="1"/>
  <c r="AD11" i="22"/>
  <c r="K11" i="22"/>
  <c r="M11" i="22" s="1"/>
  <c r="O11" i="22" s="1"/>
  <c r="AB10" i="22"/>
  <c r="L10" i="79"/>
  <c r="L105" i="22"/>
  <c r="Z10" i="22"/>
  <c r="J10" i="79"/>
  <c r="K10" i="79" s="1"/>
  <c r="M10" i="79" s="1"/>
  <c r="O10" i="79" s="1"/>
  <c r="J105" i="22"/>
  <c r="AD10" i="22"/>
  <c r="K10" i="22"/>
  <c r="M10" i="22" s="1"/>
  <c r="O10" i="22" s="1"/>
  <c r="AC14" i="22"/>
  <c r="AB9" i="22"/>
  <c r="L9" i="79"/>
  <c r="L104" i="22"/>
  <c r="L14" i="22"/>
  <c r="Z9" i="22"/>
  <c r="J9" i="79"/>
  <c r="K9" i="79" s="1"/>
  <c r="J14" i="22"/>
  <c r="AD9" i="22"/>
  <c r="I14" i="22"/>
  <c r="H14" i="22"/>
  <c r="G14" i="22"/>
  <c r="F14" i="22"/>
  <c r="E14" i="22"/>
  <c r="K9" i="22"/>
  <c r="AG89" i="86"/>
  <c r="AH89" i="86" s="1"/>
  <c r="AG88" i="86"/>
  <c r="AH88" i="86" s="1"/>
  <c r="AG87" i="86"/>
  <c r="AH87" i="86" s="1"/>
  <c r="AG86" i="86"/>
  <c r="AH86" i="86" s="1"/>
  <c r="AF70" i="86"/>
  <c r="AF69" i="86"/>
  <c r="AF68" i="86"/>
  <c r="AF67" i="86"/>
  <c r="AF51" i="86"/>
  <c r="AF48" i="86"/>
  <c r="AF47" i="86"/>
  <c r="AF32" i="86"/>
  <c r="AF31" i="86"/>
  <c r="AF30" i="86"/>
  <c r="AF29" i="86"/>
  <c r="AG88" i="85"/>
  <c r="AH88" i="85" s="1"/>
  <c r="AG87" i="85"/>
  <c r="AH87" i="85" s="1"/>
  <c r="AF48" i="85"/>
  <c r="AE106" i="85"/>
  <c r="AA106" i="85"/>
  <c r="Y106" i="85"/>
  <c r="I106" i="85"/>
  <c r="G106" i="85"/>
  <c r="E106" i="85"/>
  <c r="AC105" i="85"/>
  <c r="V105" i="85"/>
  <c r="G105" i="85"/>
  <c r="F105" i="85"/>
  <c r="AF69" i="97"/>
  <c r="AD108" i="75"/>
  <c r="AE71" i="75"/>
  <c r="AA71" i="75"/>
  <c r="X71" i="75"/>
  <c r="G71" i="75"/>
  <c r="AA33" i="75"/>
  <c r="X33" i="75"/>
  <c r="I33" i="75"/>
  <c r="AC107" i="75"/>
  <c r="E71" i="75"/>
  <c r="W33" i="75"/>
  <c r="AF31" i="97"/>
  <c r="AF30" i="97"/>
  <c r="AF29" i="97"/>
  <c r="AC33" i="97"/>
  <c r="AA33" i="97"/>
  <c r="Y33" i="97"/>
  <c r="X33" i="97"/>
  <c r="W33" i="97"/>
  <c r="V33" i="97"/>
  <c r="I33" i="97"/>
  <c r="H33" i="97"/>
  <c r="G33" i="97"/>
  <c r="F33" i="97"/>
  <c r="AF12" i="97"/>
  <c r="AG12" i="97" s="1"/>
  <c r="AH12" i="97" s="1"/>
  <c r="AF11" i="97"/>
  <c r="AG11" i="97" s="1"/>
  <c r="AH11" i="97" s="1"/>
  <c r="AF10" i="97"/>
  <c r="AG10" i="97" s="1"/>
  <c r="AH10" i="97" s="1"/>
  <c r="AG88" i="79"/>
  <c r="AH88" i="79" s="1"/>
  <c r="AG86" i="79"/>
  <c r="AH86" i="79" s="1"/>
  <c r="AE31" i="69"/>
  <c r="AF31" i="69" s="1"/>
  <c r="AG31" i="69" s="1"/>
  <c r="AE30" i="69"/>
  <c r="AE29" i="69"/>
  <c r="AF29" i="69" s="1"/>
  <c r="AG29" i="69" s="1"/>
  <c r="AA33" i="69"/>
  <c r="Y33" i="69"/>
  <c r="X33" i="69"/>
  <c r="W33" i="69"/>
  <c r="V33" i="69"/>
  <c r="I33" i="69"/>
  <c r="H33" i="69"/>
  <c r="G33" i="69"/>
  <c r="F33" i="69"/>
  <c r="E33" i="69"/>
  <c r="AA51" i="69"/>
  <c r="Y51" i="69"/>
  <c r="X51" i="69"/>
  <c r="W51" i="69"/>
  <c r="V51" i="69"/>
  <c r="I51" i="69"/>
  <c r="H51" i="69"/>
  <c r="G51" i="69"/>
  <c r="F51" i="69"/>
  <c r="E51" i="69"/>
  <c r="AF31" i="85"/>
  <c r="AF31" i="79"/>
  <c r="AF31" i="22"/>
  <c r="AG31" i="22" s="1"/>
  <c r="AH31" i="22" s="1"/>
  <c r="AF30" i="79"/>
  <c r="AG30" i="79" s="1"/>
  <c r="AH30" i="79" s="1"/>
  <c r="AF32" i="97"/>
  <c r="AF32" i="79"/>
  <c r="AF32" i="22"/>
  <c r="AF30" i="22"/>
  <c r="AG30" i="22" s="1"/>
  <c r="AH30" i="22" s="1"/>
  <c r="AF29" i="85"/>
  <c r="AF29" i="79"/>
  <c r="AF29" i="75"/>
  <c r="AF29" i="22"/>
  <c r="AC33" i="85"/>
  <c r="AA33" i="85"/>
  <c r="Y33" i="85"/>
  <c r="X33" i="85"/>
  <c r="W33" i="85"/>
  <c r="V33" i="85"/>
  <c r="I33" i="85"/>
  <c r="H33" i="85"/>
  <c r="G33" i="85"/>
  <c r="F33" i="85"/>
  <c r="E33" i="85"/>
  <c r="E33" i="97"/>
  <c r="AC33" i="79"/>
  <c r="AA33" i="79"/>
  <c r="Y33" i="79"/>
  <c r="X33" i="79"/>
  <c r="W33" i="79"/>
  <c r="V33" i="79"/>
  <c r="I33" i="79"/>
  <c r="H33" i="79"/>
  <c r="G33" i="79"/>
  <c r="F33" i="79"/>
  <c r="E33" i="79"/>
  <c r="AC33" i="22"/>
  <c r="AA33" i="22"/>
  <c r="Y33" i="22"/>
  <c r="X33" i="22"/>
  <c r="W33" i="22"/>
  <c r="V33" i="22"/>
  <c r="I33" i="22"/>
  <c r="H33" i="22"/>
  <c r="G33" i="22"/>
  <c r="F33" i="22"/>
  <c r="E33" i="22"/>
  <c r="AF51" i="85"/>
  <c r="AC108" i="85"/>
  <c r="AA108" i="85"/>
  <c r="Y108" i="85"/>
  <c r="X108" i="85"/>
  <c r="W108" i="85"/>
  <c r="V108" i="85"/>
  <c r="I108" i="85"/>
  <c r="H108" i="85"/>
  <c r="G108" i="85"/>
  <c r="F108" i="85"/>
  <c r="E108" i="85"/>
  <c r="AF51" i="97"/>
  <c r="AC108" i="97"/>
  <c r="AF51" i="79"/>
  <c r="AC108" i="79"/>
  <c r="AF51" i="22"/>
  <c r="AC108" i="22"/>
  <c r="AC107" i="85"/>
  <c r="AA107" i="85"/>
  <c r="X107" i="85"/>
  <c r="V107" i="85"/>
  <c r="I107" i="85"/>
  <c r="F107" i="85"/>
  <c r="AF50" i="79"/>
  <c r="AA107" i="79"/>
  <c r="Y107" i="79"/>
  <c r="X107" i="79"/>
  <c r="I107" i="79"/>
  <c r="F107" i="79"/>
  <c r="Y107" i="85"/>
  <c r="G107" i="85"/>
  <c r="AE107" i="79"/>
  <c r="V107" i="79"/>
  <c r="G107" i="79"/>
  <c r="W107" i="85"/>
  <c r="H107" i="85"/>
  <c r="E107" i="85"/>
  <c r="AC107" i="79"/>
  <c r="W107" i="79"/>
  <c r="H107" i="79"/>
  <c r="E107" i="79"/>
  <c r="AC106" i="79"/>
  <c r="AF49" i="22"/>
  <c r="AF48" i="79"/>
  <c r="AE105" i="79"/>
  <c r="AC105" i="79"/>
  <c r="AA105" i="79"/>
  <c r="Y105" i="79"/>
  <c r="X105" i="79"/>
  <c r="W105" i="79"/>
  <c r="V105" i="79"/>
  <c r="I105" i="79"/>
  <c r="H105" i="79"/>
  <c r="G105" i="79"/>
  <c r="F105" i="79"/>
  <c r="E105" i="79"/>
  <c r="G33" i="75"/>
  <c r="AF48" i="22"/>
  <c r="T17" i="89"/>
  <c r="S17" i="89"/>
  <c r="R17" i="89"/>
  <c r="Q17" i="89"/>
  <c r="I17" i="89"/>
  <c r="H17" i="89"/>
  <c r="G17" i="89"/>
  <c r="F17" i="89"/>
  <c r="E17" i="89"/>
  <c r="AC52" i="85"/>
  <c r="AA52" i="85"/>
  <c r="Y52" i="85"/>
  <c r="X52" i="85"/>
  <c r="W52" i="85"/>
  <c r="V52" i="85"/>
  <c r="I52" i="85"/>
  <c r="H52" i="85"/>
  <c r="G52" i="85"/>
  <c r="F52" i="85"/>
  <c r="E52" i="85"/>
  <c r="AE52" i="22"/>
  <c r="AD52" i="22"/>
  <c r="AA52" i="22"/>
  <c r="Y52" i="22"/>
  <c r="W52" i="22"/>
  <c r="H52" i="22"/>
  <c r="E52" i="22"/>
  <c r="X106" i="85"/>
  <c r="V106" i="85"/>
  <c r="H106" i="85"/>
  <c r="AA105" i="85"/>
  <c r="X105" i="85"/>
  <c r="I105" i="85"/>
  <c r="E105" i="85"/>
  <c r="AD105" i="97"/>
  <c r="AC71" i="75"/>
  <c r="Y71" i="75"/>
  <c r="H71" i="75"/>
  <c r="AF51" i="75"/>
  <c r="AF49" i="75"/>
  <c r="F33" i="75"/>
  <c r="AE32" i="69"/>
  <c r="AF32" i="69" s="1"/>
  <c r="AG32" i="69" s="1"/>
  <c r="AC52" i="97"/>
  <c r="AA52" i="97"/>
  <c r="Y52" i="97"/>
  <c r="X52" i="97"/>
  <c r="W52" i="97"/>
  <c r="V52" i="97"/>
  <c r="I52" i="97"/>
  <c r="H52" i="97"/>
  <c r="G52" i="97"/>
  <c r="F52" i="97"/>
  <c r="E52" i="97"/>
  <c r="AC52" i="79"/>
  <c r="AA52" i="79"/>
  <c r="Y52" i="79"/>
  <c r="X52" i="79"/>
  <c r="W52" i="79"/>
  <c r="V52" i="79"/>
  <c r="I52" i="79"/>
  <c r="H52" i="79"/>
  <c r="G52" i="79"/>
  <c r="F52" i="79"/>
  <c r="E52" i="79"/>
  <c r="AF50" i="22"/>
  <c r="AG50" i="22" s="1"/>
  <c r="AH50" i="22" s="1"/>
  <c r="AC52" i="22"/>
  <c r="X52" i="22"/>
  <c r="V52" i="22"/>
  <c r="I52" i="22"/>
  <c r="G52" i="22"/>
  <c r="F52" i="22"/>
  <c r="AC106" i="22"/>
  <c r="AC105" i="22"/>
  <c r="AG89" i="85"/>
  <c r="AH89" i="85" s="1"/>
  <c r="AG86" i="85"/>
  <c r="AH86" i="85" s="1"/>
  <c r="AC106" i="85"/>
  <c r="W106" i="85"/>
  <c r="F106" i="85"/>
  <c r="AE105" i="85"/>
  <c r="Y105" i="85"/>
  <c r="W105" i="85"/>
  <c r="H105" i="85"/>
  <c r="AD106" i="75"/>
  <c r="AF70" i="75"/>
  <c r="AF68" i="75"/>
  <c r="AD71" i="75"/>
  <c r="W71" i="75"/>
  <c r="I71" i="75"/>
  <c r="F71" i="75"/>
  <c r="AF50" i="75"/>
  <c r="AF48" i="75"/>
  <c r="AF32" i="75"/>
  <c r="AC33" i="75"/>
  <c r="Y33" i="75"/>
  <c r="V33" i="75"/>
  <c r="H33" i="75"/>
  <c r="E33" i="75"/>
  <c r="V71" i="75"/>
  <c r="L44" i="88" l="1"/>
  <c r="J44" i="88"/>
  <c r="F147" i="85"/>
  <c r="E9" i="83"/>
  <c r="F23" i="36" s="1"/>
  <c r="F147" i="79"/>
  <c r="E9" i="80"/>
  <c r="F21" i="36" s="1"/>
  <c r="F147" i="22"/>
  <c r="E9" i="36"/>
  <c r="AG13" i="97"/>
  <c r="AH13" i="97" s="1"/>
  <c r="AG32" i="79"/>
  <c r="AH32" i="79" s="1"/>
  <c r="AG29" i="85"/>
  <c r="AH29" i="85" s="1"/>
  <c r="AG29" i="75"/>
  <c r="AH29" i="75" s="1"/>
  <c r="AG51" i="97"/>
  <c r="AH51" i="97" s="1"/>
  <c r="AG48" i="22"/>
  <c r="AH48" i="22" s="1"/>
  <c r="AG68" i="75"/>
  <c r="AH68" i="75" s="1"/>
  <c r="AG48" i="75"/>
  <c r="AH48" i="75" s="1"/>
  <c r="AG12" i="75"/>
  <c r="AH12" i="75" s="1"/>
  <c r="I7" i="62"/>
  <c r="E97" i="91"/>
  <c r="Y54" i="22"/>
  <c r="AG29" i="79"/>
  <c r="AH29" i="79" s="1"/>
  <c r="AG49" i="22"/>
  <c r="AH49" i="22" s="1"/>
  <c r="AG50" i="75"/>
  <c r="AH50" i="75" s="1"/>
  <c r="AG12" i="86"/>
  <c r="AH12" i="86" s="1"/>
  <c r="AG10" i="85"/>
  <c r="AH10" i="85" s="1"/>
  <c r="AG10" i="75"/>
  <c r="AH10" i="75" s="1"/>
  <c r="AF9" i="22"/>
  <c r="AG70" i="86"/>
  <c r="AH70" i="86" s="1"/>
  <c r="AG69" i="86"/>
  <c r="AH69" i="86" s="1"/>
  <c r="AG68" i="86"/>
  <c r="AH68" i="86" s="1"/>
  <c r="AG67" i="86"/>
  <c r="AH67" i="86" s="1"/>
  <c r="AF30" i="69"/>
  <c r="AG30" i="69" s="1"/>
  <c r="AG31" i="85"/>
  <c r="AH31" i="85" s="1"/>
  <c r="AG31" i="79"/>
  <c r="AH31" i="79" s="1"/>
  <c r="AG32" i="97"/>
  <c r="AH32" i="97" s="1"/>
  <c r="AG32" i="22"/>
  <c r="AH32" i="22" s="1"/>
  <c r="AG29" i="22"/>
  <c r="AH29" i="22" s="1"/>
  <c r="AG51" i="85"/>
  <c r="AH51" i="85" s="1"/>
  <c r="AG51" i="79"/>
  <c r="AH51" i="79" s="1"/>
  <c r="AG51" i="22"/>
  <c r="AH51" i="22" s="1"/>
  <c r="AG48" i="79"/>
  <c r="AH48" i="79" s="1"/>
  <c r="AG70" i="75"/>
  <c r="AH70" i="75" s="1"/>
  <c r="AG32" i="75"/>
  <c r="AH32" i="75" s="1"/>
  <c r="AG49" i="97"/>
  <c r="AH49" i="97" s="1"/>
  <c r="N8" i="83"/>
  <c r="O8" i="83" s="1"/>
  <c r="P8" i="83" s="1"/>
  <c r="L9" i="83"/>
  <c r="M23" i="36" s="1"/>
  <c r="N8" i="98"/>
  <c r="O8" i="98" s="1"/>
  <c r="P8" i="98" s="1"/>
  <c r="L9" i="98"/>
  <c r="M22" i="36" s="1"/>
  <c r="N8" i="80"/>
  <c r="O8" i="80" s="1"/>
  <c r="P8" i="80" s="1"/>
  <c r="L9" i="80"/>
  <c r="M21" i="36" s="1"/>
  <c r="D34" i="39"/>
  <c r="D10" i="91"/>
  <c r="D96" i="91" s="1"/>
  <c r="K7" i="36"/>
  <c r="D33" i="39"/>
  <c r="D9" i="91"/>
  <c r="D95" i="91" s="1"/>
  <c r="K6" i="36"/>
  <c r="G33" i="39"/>
  <c r="J145" i="22"/>
  <c r="G9" i="91"/>
  <c r="D6" i="36"/>
  <c r="AD13" i="22"/>
  <c r="AD14" i="22" s="1"/>
  <c r="AE14" i="22"/>
  <c r="Y16" i="22"/>
  <c r="E45" i="88"/>
  <c r="E83" i="91"/>
  <c r="N8" i="87"/>
  <c r="O8" i="87" s="1"/>
  <c r="P8" i="87" s="1"/>
  <c r="L9" i="87"/>
  <c r="AD13" i="88"/>
  <c r="AD97" i="90"/>
  <c r="AD12" i="88"/>
  <c r="AD96" i="90"/>
  <c r="AD11" i="88"/>
  <c r="AD95" i="90"/>
  <c r="AD10" i="88"/>
  <c r="AD94" i="90"/>
  <c r="AD109" i="86"/>
  <c r="AD98" i="90" s="1"/>
  <c r="AD9" i="88"/>
  <c r="AD14" i="88" s="1"/>
  <c r="AD93" i="90"/>
  <c r="AF90" i="86"/>
  <c r="M90" i="86"/>
  <c r="O85" i="86"/>
  <c r="J34" i="88"/>
  <c r="J81" i="91"/>
  <c r="J33" i="88"/>
  <c r="J80" i="91"/>
  <c r="J32" i="88"/>
  <c r="J79" i="91"/>
  <c r="J31" i="88"/>
  <c r="J78" i="91"/>
  <c r="J131" i="86"/>
  <c r="J83" i="91" s="1"/>
  <c r="J30" i="88"/>
  <c r="J36" i="88" s="1"/>
  <c r="J45" i="88" s="1"/>
  <c r="J77" i="91"/>
  <c r="K71" i="86"/>
  <c r="M66" i="86"/>
  <c r="J146" i="86"/>
  <c r="D7" i="87"/>
  <c r="G34" i="88"/>
  <c r="G81" i="91"/>
  <c r="AB52" i="86"/>
  <c r="AF50" i="86"/>
  <c r="AG50" i="86" s="1"/>
  <c r="AH50" i="86" s="1"/>
  <c r="J145" i="86"/>
  <c r="D6" i="87"/>
  <c r="G33" i="88"/>
  <c r="G80" i="91"/>
  <c r="J144" i="86"/>
  <c r="D5" i="87"/>
  <c r="G32" i="88"/>
  <c r="G79" i="91"/>
  <c r="J143" i="86"/>
  <c r="D4" i="87"/>
  <c r="G31" i="88"/>
  <c r="G78" i="91"/>
  <c r="M47" i="86"/>
  <c r="K52" i="86"/>
  <c r="G131" i="86"/>
  <c r="G83" i="91" s="1"/>
  <c r="J142" i="86"/>
  <c r="J147" i="86" s="1"/>
  <c r="D3" i="87"/>
  <c r="G30" i="88"/>
  <c r="G36" i="88" s="1"/>
  <c r="G45" i="88" s="1"/>
  <c r="G77" i="91"/>
  <c r="K146" i="86"/>
  <c r="E7" i="87"/>
  <c r="H34" i="88"/>
  <c r="H81" i="91"/>
  <c r="K145" i="86"/>
  <c r="E6" i="87"/>
  <c r="H33" i="88"/>
  <c r="H80" i="91"/>
  <c r="K144" i="86"/>
  <c r="E5" i="87"/>
  <c r="H32" i="88"/>
  <c r="H79" i="91"/>
  <c r="K143" i="86"/>
  <c r="E4" i="87"/>
  <c r="H31" i="88"/>
  <c r="H78" i="91"/>
  <c r="M28" i="86"/>
  <c r="K33" i="86"/>
  <c r="H131" i="86"/>
  <c r="H83" i="91" s="1"/>
  <c r="K142" i="86"/>
  <c r="K147" i="86" s="1"/>
  <c r="E3" i="87"/>
  <c r="E9" i="87" s="1"/>
  <c r="H30" i="88"/>
  <c r="H36" i="88" s="1"/>
  <c r="H45" i="88" s="1"/>
  <c r="H77" i="91"/>
  <c r="U13" i="88"/>
  <c r="U97" i="90"/>
  <c r="AF108" i="86"/>
  <c r="J7" i="87"/>
  <c r="N13" i="88"/>
  <c r="N97" i="90"/>
  <c r="K108" i="86"/>
  <c r="D13" i="88"/>
  <c r="K13" i="88" s="1"/>
  <c r="M13" i="88" s="1"/>
  <c r="O13" i="88" s="1"/>
  <c r="D97" i="90"/>
  <c r="D146" i="86"/>
  <c r="L146" i="86" s="1"/>
  <c r="M146" i="86" s="1"/>
  <c r="I7" i="87"/>
  <c r="N7" i="87" s="1"/>
  <c r="AE12" i="88"/>
  <c r="AE96" i="90"/>
  <c r="U12" i="88"/>
  <c r="U96" i="90"/>
  <c r="J6" i="87"/>
  <c r="N12" i="88"/>
  <c r="N96" i="90"/>
  <c r="D12" i="88"/>
  <c r="K12" i="88" s="1"/>
  <c r="M12" i="88" s="1"/>
  <c r="O12" i="88" s="1"/>
  <c r="D96" i="90"/>
  <c r="K107" i="86"/>
  <c r="D145" i="86"/>
  <c r="L145" i="86" s="1"/>
  <c r="M145" i="86" s="1"/>
  <c r="I6" i="87"/>
  <c r="N6" i="87" s="1"/>
  <c r="AE11" i="88"/>
  <c r="AE95" i="90"/>
  <c r="AF106" i="86"/>
  <c r="U11" i="88"/>
  <c r="U95" i="90"/>
  <c r="J5" i="87"/>
  <c r="N11" i="88"/>
  <c r="N95" i="90"/>
  <c r="D11" i="88"/>
  <c r="K11" i="88" s="1"/>
  <c r="M11" i="88" s="1"/>
  <c r="O11" i="88" s="1"/>
  <c r="D95" i="90"/>
  <c r="K106" i="86"/>
  <c r="D144" i="86"/>
  <c r="L144" i="86" s="1"/>
  <c r="M144" i="86" s="1"/>
  <c r="I5" i="87"/>
  <c r="N5" i="87" s="1"/>
  <c r="AE10" i="88"/>
  <c r="AE94" i="90"/>
  <c r="AF105" i="86"/>
  <c r="U10" i="88"/>
  <c r="U94" i="90"/>
  <c r="J4" i="87"/>
  <c r="N10" i="88"/>
  <c r="N94" i="90"/>
  <c r="K105" i="86"/>
  <c r="D10" i="88"/>
  <c r="K10" i="88" s="1"/>
  <c r="M10" i="88" s="1"/>
  <c r="O10" i="88" s="1"/>
  <c r="D94" i="90"/>
  <c r="D143" i="86"/>
  <c r="L143" i="86" s="1"/>
  <c r="M143" i="86" s="1"/>
  <c r="I4" i="87"/>
  <c r="N4" i="87" s="1"/>
  <c r="AE9" i="88"/>
  <c r="AE14" i="88" s="1"/>
  <c r="AE93" i="90"/>
  <c r="AE109" i="86"/>
  <c r="AE98" i="90" s="1"/>
  <c r="AC9" i="88"/>
  <c r="AC14" i="88" s="1"/>
  <c r="AC93" i="90"/>
  <c r="AC109" i="86"/>
  <c r="AC98" i="90" s="1"/>
  <c r="AA9" i="88"/>
  <c r="AA14" i="88" s="1"/>
  <c r="AA93" i="90"/>
  <c r="AA109" i="86"/>
  <c r="AA98" i="90" s="1"/>
  <c r="Z109" i="86"/>
  <c r="Z98" i="90" s="1"/>
  <c r="Z9" i="88"/>
  <c r="Z14" i="88" s="1"/>
  <c r="Z93" i="90"/>
  <c r="Y9" i="88"/>
  <c r="Y14" i="88" s="1"/>
  <c r="Y93" i="90"/>
  <c r="Y109" i="86"/>
  <c r="Y98" i="90" s="1"/>
  <c r="X9" i="88"/>
  <c r="X14" i="88" s="1"/>
  <c r="X93" i="90"/>
  <c r="X109" i="86"/>
  <c r="X98" i="90" s="1"/>
  <c r="W109" i="86"/>
  <c r="W98" i="90" s="1"/>
  <c r="W9" i="88"/>
  <c r="W14" i="88" s="1"/>
  <c r="W93" i="90"/>
  <c r="V9" i="88"/>
  <c r="V14" i="88" s="1"/>
  <c r="V93" i="90"/>
  <c r="V109" i="86"/>
  <c r="V98" i="90" s="1"/>
  <c r="U109" i="86"/>
  <c r="U9" i="88"/>
  <c r="U93" i="90"/>
  <c r="N9" i="88"/>
  <c r="N14" i="88" s="1"/>
  <c r="N93" i="90"/>
  <c r="N109" i="86"/>
  <c r="N98" i="90" s="1"/>
  <c r="J3" i="87"/>
  <c r="J9" i="87" s="1"/>
  <c r="AB14" i="86"/>
  <c r="AB104" i="86"/>
  <c r="AF104" i="86" s="1"/>
  <c r="I9" i="88"/>
  <c r="I14" i="88" s="1"/>
  <c r="I93" i="90"/>
  <c r="I109" i="86"/>
  <c r="I98" i="90" s="1"/>
  <c r="H9" i="88"/>
  <c r="H14" i="88" s="1"/>
  <c r="H93" i="90"/>
  <c r="H109" i="86"/>
  <c r="H98" i="90" s="1"/>
  <c r="G109" i="86"/>
  <c r="G98" i="90" s="1"/>
  <c r="G9" i="88"/>
  <c r="G14" i="88" s="1"/>
  <c r="G44" i="88" s="1"/>
  <c r="G93" i="90"/>
  <c r="F9" i="88"/>
  <c r="F14" i="88" s="1"/>
  <c r="F93" i="90"/>
  <c r="F109" i="86"/>
  <c r="F98" i="90" s="1"/>
  <c r="E9" i="88"/>
  <c r="E14" i="88" s="1"/>
  <c r="E93" i="90"/>
  <c r="E109" i="86"/>
  <c r="E98" i="90" s="1"/>
  <c r="K14" i="86"/>
  <c r="M9" i="86"/>
  <c r="K104" i="86"/>
  <c r="D109" i="86"/>
  <c r="D98" i="90" s="1"/>
  <c r="D142" i="86"/>
  <c r="I3" i="87"/>
  <c r="D9" i="88"/>
  <c r="D93" i="90"/>
  <c r="K125" i="90"/>
  <c r="Y102" i="86"/>
  <c r="Y125" i="90" s="1"/>
  <c r="G125" i="90"/>
  <c r="V102" i="86"/>
  <c r="V125" i="90" s="1"/>
  <c r="AD98" i="86"/>
  <c r="AD121" i="90" s="1"/>
  <c r="N121" i="90"/>
  <c r="C15" i="83"/>
  <c r="D23" i="36"/>
  <c r="E36" i="82"/>
  <c r="E45" i="82" s="1"/>
  <c r="E69" i="91"/>
  <c r="I45" i="82"/>
  <c r="I69" i="91"/>
  <c r="M32" i="36"/>
  <c r="AD13" i="82"/>
  <c r="AD80" i="90"/>
  <c r="AD12" i="82"/>
  <c r="AD79" i="90"/>
  <c r="AD11" i="82"/>
  <c r="AD78" i="90"/>
  <c r="AD10" i="82"/>
  <c r="AD77" i="90"/>
  <c r="L44" i="82"/>
  <c r="L81" i="90"/>
  <c r="J44" i="82"/>
  <c r="J81" i="90"/>
  <c r="AD109" i="85"/>
  <c r="AD81" i="90" s="1"/>
  <c r="AD9" i="82"/>
  <c r="AD14" i="82" s="1"/>
  <c r="AD76" i="90"/>
  <c r="O85" i="85"/>
  <c r="M90" i="85"/>
  <c r="J144" i="85"/>
  <c r="D5" i="83"/>
  <c r="H5" i="83" s="1"/>
  <c r="G32" i="82"/>
  <c r="G65" i="91"/>
  <c r="AF106" i="85"/>
  <c r="U11" i="82"/>
  <c r="U78" i="90"/>
  <c r="J5" i="83"/>
  <c r="N11" i="82"/>
  <c r="N78" i="90"/>
  <c r="K106" i="85"/>
  <c r="D144" i="85"/>
  <c r="L144" i="85" s="1"/>
  <c r="M144" i="85" s="1"/>
  <c r="I5" i="83"/>
  <c r="N5" i="83" s="1"/>
  <c r="D11" i="82"/>
  <c r="K11" i="82" s="1"/>
  <c r="M11" i="82" s="1"/>
  <c r="O11" i="82" s="1"/>
  <c r="D78" i="90"/>
  <c r="AF105" i="85"/>
  <c r="U10" i="82"/>
  <c r="AF10" i="82" s="1"/>
  <c r="U77" i="90"/>
  <c r="AB10" i="82"/>
  <c r="AB77" i="90"/>
  <c r="J4" i="83"/>
  <c r="N10" i="82"/>
  <c r="N77" i="90"/>
  <c r="K105" i="85"/>
  <c r="D143" i="85"/>
  <c r="I4" i="83"/>
  <c r="N4" i="83" s="1"/>
  <c r="D10" i="82"/>
  <c r="D77" i="90"/>
  <c r="AE109" i="85"/>
  <c r="AE81" i="90" s="1"/>
  <c r="AE9" i="82"/>
  <c r="AE76" i="90"/>
  <c r="AC109" i="85"/>
  <c r="AC81" i="90" s="1"/>
  <c r="AC9" i="82"/>
  <c r="AC76" i="90"/>
  <c r="AA109" i="85"/>
  <c r="AA81" i="90" s="1"/>
  <c r="AA9" i="82"/>
  <c r="AA76" i="90"/>
  <c r="Z109" i="85"/>
  <c r="Z81" i="90" s="1"/>
  <c r="Z9" i="82"/>
  <c r="Z14" i="82" s="1"/>
  <c r="Z76" i="90"/>
  <c r="Y109" i="85"/>
  <c r="Y81" i="90" s="1"/>
  <c r="Y9" i="82"/>
  <c r="Y76" i="90"/>
  <c r="X109" i="85"/>
  <c r="X81" i="90" s="1"/>
  <c r="X9" i="82"/>
  <c r="X76" i="90"/>
  <c r="W109" i="85"/>
  <c r="W81" i="90" s="1"/>
  <c r="W9" i="82"/>
  <c r="W76" i="90"/>
  <c r="V109" i="85"/>
  <c r="V81" i="90" s="1"/>
  <c r="V9" i="82"/>
  <c r="V76" i="90"/>
  <c r="U109" i="85"/>
  <c r="U9" i="82"/>
  <c r="U76" i="90"/>
  <c r="N109" i="85"/>
  <c r="J3" i="83"/>
  <c r="N9" i="82"/>
  <c r="N76" i="90"/>
  <c r="AB14" i="85"/>
  <c r="AB104" i="85"/>
  <c r="AF104" i="85" s="1"/>
  <c r="I109" i="85"/>
  <c r="I81" i="90" s="1"/>
  <c r="I9" i="82"/>
  <c r="I76" i="90"/>
  <c r="H109" i="85"/>
  <c r="H81" i="90" s="1"/>
  <c r="H9" i="82"/>
  <c r="H76" i="90"/>
  <c r="G109" i="85"/>
  <c r="G81" i="90" s="1"/>
  <c r="G9" i="82"/>
  <c r="G76" i="90"/>
  <c r="F109" i="85"/>
  <c r="F81" i="90" s="1"/>
  <c r="F9" i="82"/>
  <c r="F76" i="90"/>
  <c r="E109" i="85"/>
  <c r="E81" i="90" s="1"/>
  <c r="E9" i="82"/>
  <c r="E76" i="90"/>
  <c r="M9" i="85"/>
  <c r="K14" i="85"/>
  <c r="K104" i="85"/>
  <c r="D109" i="85"/>
  <c r="D142" i="85"/>
  <c r="I3" i="83"/>
  <c r="D9" i="82"/>
  <c r="D76" i="90"/>
  <c r="Y102" i="85"/>
  <c r="K7" i="82"/>
  <c r="Y7" i="82" s="1"/>
  <c r="V102" i="85"/>
  <c r="G7" i="82"/>
  <c r="V7" i="82" s="1"/>
  <c r="AD98" i="85"/>
  <c r="N3" i="82"/>
  <c r="AD3" i="82" s="1"/>
  <c r="C15" i="98"/>
  <c r="D22" i="36"/>
  <c r="E36" i="99"/>
  <c r="E46" i="99" s="1"/>
  <c r="E55" i="91"/>
  <c r="AD106" i="97"/>
  <c r="J11" i="99"/>
  <c r="J62" i="90"/>
  <c r="M85" i="97"/>
  <c r="AD104" i="97"/>
  <c r="J109" i="97"/>
  <c r="J65" i="90" s="1"/>
  <c r="J60" i="90"/>
  <c r="J9" i="99"/>
  <c r="J14" i="99" s="1"/>
  <c r="J45" i="99" s="1"/>
  <c r="J33" i="99"/>
  <c r="J52" i="91"/>
  <c r="J32" i="99"/>
  <c r="J51" i="91"/>
  <c r="AF105" i="97"/>
  <c r="U10" i="99"/>
  <c r="U61" i="90"/>
  <c r="J4" i="98"/>
  <c r="N10" i="99"/>
  <c r="N61" i="90"/>
  <c r="K105" i="97"/>
  <c r="D143" i="97"/>
  <c r="L143" i="97" s="1"/>
  <c r="M143" i="97" s="1"/>
  <c r="I4" i="98"/>
  <c r="N4" i="98" s="1"/>
  <c r="D10" i="99"/>
  <c r="K10" i="99" s="1"/>
  <c r="M10" i="99" s="1"/>
  <c r="O10" i="99" s="1"/>
  <c r="D61" i="90"/>
  <c r="J31" i="99"/>
  <c r="J50" i="91"/>
  <c r="Z109" i="97"/>
  <c r="Z65" i="90" s="1"/>
  <c r="Z60" i="90"/>
  <c r="Z9" i="99"/>
  <c r="U12" i="99"/>
  <c r="U63" i="90"/>
  <c r="N12" i="99"/>
  <c r="J6" i="98"/>
  <c r="N63" i="90"/>
  <c r="J145" i="97"/>
  <c r="L145" i="97" s="1"/>
  <c r="M145" i="97" s="1"/>
  <c r="G33" i="99"/>
  <c r="D6" i="98"/>
  <c r="H6" i="98" s="1"/>
  <c r="G52" i="91"/>
  <c r="K107" i="97"/>
  <c r="D12" i="99"/>
  <c r="K12" i="99" s="1"/>
  <c r="M12" i="99" s="1"/>
  <c r="O12" i="99" s="1"/>
  <c r="D63" i="90"/>
  <c r="I6" i="98"/>
  <c r="N6" i="98" s="1"/>
  <c r="Z11" i="99"/>
  <c r="Z62" i="90"/>
  <c r="U11" i="99"/>
  <c r="U62" i="90"/>
  <c r="J144" i="97"/>
  <c r="G32" i="99"/>
  <c r="D5" i="98"/>
  <c r="G51" i="91"/>
  <c r="K106" i="97"/>
  <c r="D11" i="99"/>
  <c r="K11" i="99" s="1"/>
  <c r="M11" i="99" s="1"/>
  <c r="D62" i="90"/>
  <c r="I5" i="98"/>
  <c r="AA10" i="99"/>
  <c r="AA61" i="90"/>
  <c r="C15" i="80"/>
  <c r="D21" i="36"/>
  <c r="E36" i="81"/>
  <c r="E46" i="81" s="1"/>
  <c r="E41" i="91"/>
  <c r="C15" i="77"/>
  <c r="D20" i="36"/>
  <c r="L9" i="77"/>
  <c r="M20" i="36" s="1"/>
  <c r="M24" i="36" s="1"/>
  <c r="N8" i="77"/>
  <c r="O8" i="77" s="1"/>
  <c r="P8" i="77" s="1"/>
  <c r="E36" i="76"/>
  <c r="E45" i="76" s="1"/>
  <c r="E27" i="91"/>
  <c r="J12" i="76"/>
  <c r="J29" i="90"/>
  <c r="J10" i="76"/>
  <c r="J27" i="90"/>
  <c r="M85" i="75"/>
  <c r="AD104" i="75"/>
  <c r="J109" i="75"/>
  <c r="J31" i="90" s="1"/>
  <c r="J9" i="76"/>
  <c r="J14" i="76" s="1"/>
  <c r="J44" i="76" s="1"/>
  <c r="J26" i="90"/>
  <c r="J34" i="76"/>
  <c r="J25" i="91"/>
  <c r="J32" i="76"/>
  <c r="J23" i="91"/>
  <c r="M66" i="75"/>
  <c r="K71" i="75"/>
  <c r="J131" i="75"/>
  <c r="J30" i="76"/>
  <c r="J21" i="91"/>
  <c r="J146" i="75"/>
  <c r="D7" i="77"/>
  <c r="H7" i="77" s="1"/>
  <c r="G34" i="76"/>
  <c r="G25" i="91"/>
  <c r="J145" i="75"/>
  <c r="D6" i="77"/>
  <c r="G33" i="76"/>
  <c r="G24" i="91"/>
  <c r="J144" i="75"/>
  <c r="D5" i="77"/>
  <c r="H5" i="77" s="1"/>
  <c r="G32" i="76"/>
  <c r="G23" i="91"/>
  <c r="J143" i="75"/>
  <c r="D4" i="77"/>
  <c r="G31" i="76"/>
  <c r="G22" i="91"/>
  <c r="G131" i="75"/>
  <c r="J142" i="75"/>
  <c r="J147" i="75" s="1"/>
  <c r="D3" i="77"/>
  <c r="G30" i="76"/>
  <c r="G21" i="91"/>
  <c r="M47" i="75"/>
  <c r="K52" i="75"/>
  <c r="K146" i="75"/>
  <c r="H34" i="76"/>
  <c r="H25" i="91"/>
  <c r="K144" i="75"/>
  <c r="H32" i="76"/>
  <c r="H23" i="91"/>
  <c r="K33" i="75"/>
  <c r="M28" i="75"/>
  <c r="H131" i="75"/>
  <c r="K142" i="75"/>
  <c r="H30" i="76"/>
  <c r="H21" i="91"/>
  <c r="AF108" i="75"/>
  <c r="U13" i="76"/>
  <c r="U30" i="90"/>
  <c r="J7" i="77"/>
  <c r="N13" i="76"/>
  <c r="N30" i="90"/>
  <c r="K108" i="75"/>
  <c r="D146" i="75"/>
  <c r="L146" i="75" s="1"/>
  <c r="M146" i="75" s="1"/>
  <c r="I7" i="77"/>
  <c r="N7" i="77" s="1"/>
  <c r="D13" i="76"/>
  <c r="K13" i="76" s="1"/>
  <c r="M13" i="76" s="1"/>
  <c r="O13" i="76" s="1"/>
  <c r="D30" i="90"/>
  <c r="AF106" i="75"/>
  <c r="U11" i="76"/>
  <c r="U28" i="90"/>
  <c r="J5" i="77"/>
  <c r="N11" i="76"/>
  <c r="N28" i="90"/>
  <c r="K106" i="75"/>
  <c r="D144" i="75"/>
  <c r="L144" i="75" s="1"/>
  <c r="M144" i="75" s="1"/>
  <c r="I5" i="77"/>
  <c r="N5" i="77" s="1"/>
  <c r="D11" i="76"/>
  <c r="K11" i="76" s="1"/>
  <c r="M11" i="76" s="1"/>
  <c r="O11" i="76" s="1"/>
  <c r="D28" i="90"/>
  <c r="AE9" i="76"/>
  <c r="AE26" i="90"/>
  <c r="AC109" i="75"/>
  <c r="AC31" i="90" s="1"/>
  <c r="AC9" i="76"/>
  <c r="AC26" i="90"/>
  <c r="AA9" i="76"/>
  <c r="AA26" i="90"/>
  <c r="Z109" i="75"/>
  <c r="Z31" i="90" s="1"/>
  <c r="Z9" i="76"/>
  <c r="Z14" i="76" s="1"/>
  <c r="Z26" i="90"/>
  <c r="Y9" i="76"/>
  <c r="Y26" i="90"/>
  <c r="X9" i="76"/>
  <c r="X26" i="90"/>
  <c r="W9" i="76"/>
  <c r="W26" i="90"/>
  <c r="V9" i="76"/>
  <c r="V26" i="90"/>
  <c r="U9" i="76"/>
  <c r="U26" i="90"/>
  <c r="J3" i="77"/>
  <c r="N9" i="76"/>
  <c r="N26" i="90"/>
  <c r="AB14" i="75"/>
  <c r="AB104" i="75"/>
  <c r="AF104" i="75" s="1"/>
  <c r="I9" i="76"/>
  <c r="I26" i="90"/>
  <c r="H9" i="76"/>
  <c r="H26" i="90"/>
  <c r="G9" i="76"/>
  <c r="G26" i="90"/>
  <c r="F9" i="76"/>
  <c r="F26" i="90"/>
  <c r="E9" i="76"/>
  <c r="E26" i="90"/>
  <c r="M9" i="75"/>
  <c r="K14" i="75"/>
  <c r="K104" i="75"/>
  <c r="D142" i="75"/>
  <c r="I3" i="77"/>
  <c r="D9" i="76"/>
  <c r="D26" i="90"/>
  <c r="Y102" i="75"/>
  <c r="K7" i="76"/>
  <c r="Y7" i="76" s="1"/>
  <c r="V102" i="75"/>
  <c r="G7" i="76"/>
  <c r="V7" i="76" s="1"/>
  <c r="AD98" i="75"/>
  <c r="N3" i="76"/>
  <c r="AD3" i="76" s="1"/>
  <c r="J90" i="22"/>
  <c r="M28" i="69"/>
  <c r="K33" i="69"/>
  <c r="AE89" i="79"/>
  <c r="AE108" i="79" s="1"/>
  <c r="AE89" i="97"/>
  <c r="AE89" i="22"/>
  <c r="AD89" i="79"/>
  <c r="AD89" i="97"/>
  <c r="AD90" i="97" s="1"/>
  <c r="AE51" i="69"/>
  <c r="U89" i="79"/>
  <c r="U89" i="97"/>
  <c r="U89" i="22"/>
  <c r="U108" i="22" s="1"/>
  <c r="N89" i="79"/>
  <c r="N108" i="79" s="1"/>
  <c r="N89" i="97"/>
  <c r="N108" i="97" s="1"/>
  <c r="N89" i="22"/>
  <c r="K51" i="69"/>
  <c r="M51" i="69" s="1"/>
  <c r="O51" i="69" s="1"/>
  <c r="D89" i="79"/>
  <c r="D89" i="97"/>
  <c r="D89" i="22"/>
  <c r="D108" i="22" s="1"/>
  <c r="AE88" i="75"/>
  <c r="AE88" i="22"/>
  <c r="AE50" i="69"/>
  <c r="U88" i="75"/>
  <c r="U88" i="22"/>
  <c r="N88" i="75"/>
  <c r="N88" i="22"/>
  <c r="K50" i="69"/>
  <c r="M50" i="69" s="1"/>
  <c r="O50" i="69" s="1"/>
  <c r="D88" i="75"/>
  <c r="D88" i="22"/>
  <c r="AE87" i="79"/>
  <c r="AE106" i="79" s="1"/>
  <c r="AE87" i="22"/>
  <c r="AA106" i="97"/>
  <c r="AE49" i="69"/>
  <c r="U87" i="79"/>
  <c r="U87" i="22"/>
  <c r="N87" i="79"/>
  <c r="N106" i="79" s="1"/>
  <c r="N87" i="97"/>
  <c r="N87" i="22"/>
  <c r="K49" i="69"/>
  <c r="M49" i="69" s="1"/>
  <c r="O49" i="69" s="1"/>
  <c r="D87" i="79"/>
  <c r="D87" i="22"/>
  <c r="AE86" i="75"/>
  <c r="AE86" i="22"/>
  <c r="AA105" i="75"/>
  <c r="AA109" i="75" s="1"/>
  <c r="AA31" i="90" s="1"/>
  <c r="AA90" i="75"/>
  <c r="Y105" i="75"/>
  <c r="Y109" i="75" s="1"/>
  <c r="Y31" i="90" s="1"/>
  <c r="Y90" i="75"/>
  <c r="X105" i="75"/>
  <c r="X109" i="75" s="1"/>
  <c r="X31" i="90" s="1"/>
  <c r="X90" i="75"/>
  <c r="W105" i="75"/>
  <c r="W109" i="75" s="1"/>
  <c r="W31" i="90" s="1"/>
  <c r="W90" i="75"/>
  <c r="V105" i="75"/>
  <c r="V109" i="75" s="1"/>
  <c r="V31" i="90" s="1"/>
  <c r="V90" i="75"/>
  <c r="AE48" i="69"/>
  <c r="U86" i="75"/>
  <c r="U86" i="22"/>
  <c r="N86" i="75"/>
  <c r="N86" i="22"/>
  <c r="I105" i="75"/>
  <c r="I109" i="75" s="1"/>
  <c r="I31" i="90" s="1"/>
  <c r="I90" i="75"/>
  <c r="H105" i="75"/>
  <c r="H109" i="75" s="1"/>
  <c r="H31" i="90" s="1"/>
  <c r="H90" i="75"/>
  <c r="G105" i="75"/>
  <c r="G109" i="75" s="1"/>
  <c r="G31" i="90" s="1"/>
  <c r="G90" i="75"/>
  <c r="F105" i="75"/>
  <c r="F109" i="75" s="1"/>
  <c r="F31" i="90" s="1"/>
  <c r="F90" i="75"/>
  <c r="E105" i="75"/>
  <c r="E109" i="75" s="1"/>
  <c r="E31" i="90" s="1"/>
  <c r="E90" i="75"/>
  <c r="K48" i="69"/>
  <c r="M48" i="69" s="1"/>
  <c r="O48" i="69" s="1"/>
  <c r="D86" i="75"/>
  <c r="D86" i="22"/>
  <c r="AD52" i="69"/>
  <c r="AE85" i="79"/>
  <c r="AE85" i="22"/>
  <c r="AD85" i="22" s="1"/>
  <c r="AC14" i="69"/>
  <c r="AC47" i="69"/>
  <c r="AA52" i="69"/>
  <c r="AA85" i="79"/>
  <c r="AA85" i="22"/>
  <c r="AA104" i="22" s="1"/>
  <c r="Y52" i="69"/>
  <c r="Y85" i="79"/>
  <c r="Y85" i="22"/>
  <c r="Y104" i="22" s="1"/>
  <c r="X52" i="69"/>
  <c r="X85" i="79"/>
  <c r="X85" i="22"/>
  <c r="X104" i="22" s="1"/>
  <c r="W52" i="69"/>
  <c r="W85" i="79"/>
  <c r="W85" i="22"/>
  <c r="W104" i="22" s="1"/>
  <c r="V52" i="69"/>
  <c r="V85" i="79"/>
  <c r="V85" i="22"/>
  <c r="V104" i="22" s="1"/>
  <c r="U52" i="69"/>
  <c r="Y54" i="69" s="1"/>
  <c r="U85" i="79"/>
  <c r="U85" i="22"/>
  <c r="AB14" i="69"/>
  <c r="AB47" i="69"/>
  <c r="AE47" i="69" s="1"/>
  <c r="N52" i="69"/>
  <c r="N85" i="79"/>
  <c r="N85" i="97"/>
  <c r="N85" i="22"/>
  <c r="I52" i="69"/>
  <c r="I85" i="79"/>
  <c r="I85" i="22"/>
  <c r="I104" i="22" s="1"/>
  <c r="H52" i="69"/>
  <c r="H85" i="79"/>
  <c r="H85" i="22"/>
  <c r="H104" i="22" s="1"/>
  <c r="G52" i="69"/>
  <c r="G85" i="79"/>
  <c r="G85" i="22"/>
  <c r="G104" i="22" s="1"/>
  <c r="F52" i="69"/>
  <c r="F85" i="79"/>
  <c r="F85" i="22"/>
  <c r="E52" i="69"/>
  <c r="E85" i="79"/>
  <c r="E85" i="22"/>
  <c r="M9" i="69"/>
  <c r="K14" i="69"/>
  <c r="K47" i="69"/>
  <c r="D52" i="69"/>
  <c r="D85" i="79"/>
  <c r="D85" i="22"/>
  <c r="J34" i="82"/>
  <c r="J67" i="91"/>
  <c r="J34" i="99"/>
  <c r="J53" i="91"/>
  <c r="J34" i="81"/>
  <c r="J39" i="91"/>
  <c r="J10" i="91"/>
  <c r="J96" i="91" s="1"/>
  <c r="J34" i="39"/>
  <c r="J33" i="82"/>
  <c r="J66" i="91"/>
  <c r="J33" i="81"/>
  <c r="J38" i="91"/>
  <c r="J33" i="76"/>
  <c r="J24" i="91"/>
  <c r="J33" i="39"/>
  <c r="J9" i="91"/>
  <c r="J95" i="91" s="1"/>
  <c r="J32" i="82"/>
  <c r="J65" i="91"/>
  <c r="J32" i="81"/>
  <c r="J37" i="91"/>
  <c r="J32" i="39"/>
  <c r="J8" i="91"/>
  <c r="J31" i="82"/>
  <c r="J64" i="91"/>
  <c r="J31" i="81"/>
  <c r="J36" i="91"/>
  <c r="J31" i="76"/>
  <c r="J22" i="91"/>
  <c r="J31" i="39"/>
  <c r="J7" i="91"/>
  <c r="J93" i="91" s="1"/>
  <c r="AF71" i="85"/>
  <c r="J131" i="85"/>
  <c r="J30" i="82"/>
  <c r="J36" i="82" s="1"/>
  <c r="J45" i="82" s="1"/>
  <c r="J63" i="91"/>
  <c r="M66" i="85"/>
  <c r="K71" i="85"/>
  <c r="AF71" i="97"/>
  <c r="M66" i="97"/>
  <c r="K71" i="97"/>
  <c r="J131" i="97"/>
  <c r="J30" i="99"/>
  <c r="J36" i="99" s="1"/>
  <c r="J46" i="99" s="1"/>
  <c r="J49" i="91"/>
  <c r="AF71" i="79"/>
  <c r="M66" i="79"/>
  <c r="K71" i="79"/>
  <c r="J131" i="79"/>
  <c r="J30" i="81"/>
  <c r="J36" i="81" s="1"/>
  <c r="J46" i="81" s="1"/>
  <c r="J35" i="91"/>
  <c r="AE71" i="22"/>
  <c r="AD66" i="22"/>
  <c r="AD71" i="22" s="1"/>
  <c r="AB66" i="22"/>
  <c r="AB71" i="22" s="1"/>
  <c r="N71" i="22"/>
  <c r="AF66" i="22"/>
  <c r="U71" i="22"/>
  <c r="Y73" i="22" s="1"/>
  <c r="K66" i="22"/>
  <c r="D71" i="22"/>
  <c r="J125" i="22"/>
  <c r="G142" i="22"/>
  <c r="G147" i="22" s="1"/>
  <c r="M3" i="36"/>
  <c r="M9" i="36" s="1"/>
  <c r="P3" i="70" s="1"/>
  <c r="K146" i="85"/>
  <c r="H34" i="82"/>
  <c r="H67" i="91"/>
  <c r="K146" i="97"/>
  <c r="H34" i="99"/>
  <c r="H53" i="91"/>
  <c r="K146" i="79"/>
  <c r="H34" i="81"/>
  <c r="H39" i="91"/>
  <c r="K146" i="22"/>
  <c r="H34" i="39"/>
  <c r="H10" i="91"/>
  <c r="K145" i="85"/>
  <c r="H33" i="82"/>
  <c r="H66" i="91"/>
  <c r="K145" i="79"/>
  <c r="H33" i="81"/>
  <c r="H38" i="91"/>
  <c r="K145" i="75"/>
  <c r="H33" i="76"/>
  <c r="H24" i="91"/>
  <c r="K145" i="22"/>
  <c r="H33" i="39"/>
  <c r="H9" i="91"/>
  <c r="K144" i="85"/>
  <c r="H32" i="82"/>
  <c r="H65" i="91"/>
  <c r="K144" i="79"/>
  <c r="H32" i="81"/>
  <c r="H37" i="91"/>
  <c r="H32" i="39"/>
  <c r="H8" i="91"/>
  <c r="K144" i="22"/>
  <c r="K143" i="85"/>
  <c r="H31" i="82"/>
  <c r="H64" i="91"/>
  <c r="K143" i="79"/>
  <c r="H31" i="81"/>
  <c r="H36" i="91"/>
  <c r="K143" i="75"/>
  <c r="H31" i="76"/>
  <c r="H22" i="91"/>
  <c r="K143" i="22"/>
  <c r="H31" i="39"/>
  <c r="H7" i="91"/>
  <c r="M28" i="85"/>
  <c r="K33" i="85"/>
  <c r="H131" i="85"/>
  <c r="K142" i="85"/>
  <c r="H30" i="82"/>
  <c r="H63" i="91"/>
  <c r="M28" i="97"/>
  <c r="K33" i="97"/>
  <c r="H131" i="97"/>
  <c r="K142" i="97"/>
  <c r="H30" i="99"/>
  <c r="H49" i="91"/>
  <c r="M28" i="79"/>
  <c r="K33" i="79"/>
  <c r="H131" i="79"/>
  <c r="K142" i="79"/>
  <c r="H30" i="81"/>
  <c r="H35" i="91"/>
  <c r="M28" i="22"/>
  <c r="K33" i="22"/>
  <c r="H6" i="91"/>
  <c r="H131" i="22"/>
  <c r="H12" i="91" s="1"/>
  <c r="K142" i="22"/>
  <c r="H30" i="39"/>
  <c r="J146" i="85"/>
  <c r="G34" i="82"/>
  <c r="D7" i="83"/>
  <c r="H7" i="83" s="1"/>
  <c r="G67" i="91"/>
  <c r="AE13" i="82"/>
  <c r="AE80" i="90"/>
  <c r="U13" i="82"/>
  <c r="U80" i="90"/>
  <c r="J7" i="83"/>
  <c r="N13" i="82"/>
  <c r="N80" i="90"/>
  <c r="K108" i="85"/>
  <c r="D146" i="85"/>
  <c r="L146" i="85" s="1"/>
  <c r="M146" i="85" s="1"/>
  <c r="I7" i="83"/>
  <c r="N7" i="83" s="1"/>
  <c r="D13" i="82"/>
  <c r="D80" i="90"/>
  <c r="J146" i="97"/>
  <c r="G34" i="99"/>
  <c r="G53" i="91"/>
  <c r="D7" i="98"/>
  <c r="J146" i="79"/>
  <c r="D7" i="80"/>
  <c r="G34" i="81"/>
  <c r="G39" i="91"/>
  <c r="J146" i="22"/>
  <c r="D7" i="36"/>
  <c r="G34" i="39"/>
  <c r="G10" i="91"/>
  <c r="AB13" i="22"/>
  <c r="K13" i="22"/>
  <c r="M13" i="22" s="1"/>
  <c r="O13" i="22" s="1"/>
  <c r="J145" i="85"/>
  <c r="D6" i="83"/>
  <c r="H6" i="83" s="1"/>
  <c r="G33" i="82"/>
  <c r="G66" i="91"/>
  <c r="AE12" i="82"/>
  <c r="AE79" i="90"/>
  <c r="U12" i="82"/>
  <c r="U79" i="90"/>
  <c r="N12" i="82"/>
  <c r="J6" i="83"/>
  <c r="N79" i="90"/>
  <c r="K107" i="85"/>
  <c r="D145" i="85"/>
  <c r="L145" i="85" s="1"/>
  <c r="M145" i="85" s="1"/>
  <c r="I6" i="83"/>
  <c r="N6" i="83" s="1"/>
  <c r="D12" i="82"/>
  <c r="D79" i="90"/>
  <c r="J145" i="79"/>
  <c r="D6" i="80"/>
  <c r="H6" i="80" s="1"/>
  <c r="G33" i="81"/>
  <c r="G38" i="91"/>
  <c r="U12" i="81"/>
  <c r="U46" i="90"/>
  <c r="AB12" i="81"/>
  <c r="AB46" i="90"/>
  <c r="J6" i="80"/>
  <c r="N12" i="81"/>
  <c r="N46" i="90"/>
  <c r="I6" i="80"/>
  <c r="D12" i="81"/>
  <c r="D46" i="90"/>
  <c r="D145" i="79"/>
  <c r="J144" i="79"/>
  <c r="D5" i="80"/>
  <c r="G32" i="81"/>
  <c r="G37" i="91"/>
  <c r="J144" i="22"/>
  <c r="D5" i="36"/>
  <c r="G32" i="39"/>
  <c r="G8" i="91"/>
  <c r="J143" i="85"/>
  <c r="D4" i="83"/>
  <c r="H4" i="83" s="1"/>
  <c r="G31" i="82"/>
  <c r="G64" i="91"/>
  <c r="J143" i="79"/>
  <c r="D4" i="80"/>
  <c r="H4" i="80" s="1"/>
  <c r="G31" i="81"/>
  <c r="G36" i="91"/>
  <c r="U10" i="81"/>
  <c r="U44" i="90"/>
  <c r="AB10" i="81"/>
  <c r="AB44" i="90"/>
  <c r="N10" i="81"/>
  <c r="N44" i="90"/>
  <c r="J4" i="80"/>
  <c r="D10" i="81"/>
  <c r="D44" i="90"/>
  <c r="D143" i="79"/>
  <c r="L143" i="79" s="1"/>
  <c r="M143" i="79" s="1"/>
  <c r="I4" i="80"/>
  <c r="N4" i="80" s="1"/>
  <c r="D4" i="36"/>
  <c r="G31" i="39"/>
  <c r="G7" i="91"/>
  <c r="J143" i="22"/>
  <c r="V12" i="89"/>
  <c r="J17" i="89"/>
  <c r="J20" i="89"/>
  <c r="M47" i="85"/>
  <c r="K52" i="85"/>
  <c r="G131" i="85"/>
  <c r="J142" i="85"/>
  <c r="D3" i="83"/>
  <c r="G30" i="82"/>
  <c r="G63" i="91"/>
  <c r="M47" i="97"/>
  <c r="K52" i="97"/>
  <c r="G131" i="97"/>
  <c r="J142" i="97"/>
  <c r="D3" i="98"/>
  <c r="G30" i="99"/>
  <c r="G49" i="91"/>
  <c r="AE60" i="90"/>
  <c r="AE9" i="99"/>
  <c r="AC109" i="97"/>
  <c r="AC65" i="90" s="1"/>
  <c r="AC9" i="99"/>
  <c r="AC60" i="90"/>
  <c r="AA9" i="99"/>
  <c r="AA60" i="90"/>
  <c r="Y9" i="99"/>
  <c r="Y60" i="90"/>
  <c r="X60" i="90"/>
  <c r="X9" i="99"/>
  <c r="W9" i="99"/>
  <c r="W60" i="90"/>
  <c r="V60" i="90"/>
  <c r="V9" i="99"/>
  <c r="AF14" i="97"/>
  <c r="U9" i="99"/>
  <c r="U60" i="90"/>
  <c r="AB14" i="97"/>
  <c r="I60" i="90"/>
  <c r="I9" i="99"/>
  <c r="H9" i="99"/>
  <c r="H60" i="90"/>
  <c r="G9" i="99"/>
  <c r="G60" i="90"/>
  <c r="F9" i="99"/>
  <c r="F60" i="90"/>
  <c r="E9" i="99"/>
  <c r="E60" i="90"/>
  <c r="M9" i="97"/>
  <c r="K14" i="97"/>
  <c r="K104" i="97"/>
  <c r="I3" i="98"/>
  <c r="D60" i="90"/>
  <c r="D9" i="99"/>
  <c r="M47" i="79"/>
  <c r="K52" i="79"/>
  <c r="G131" i="79"/>
  <c r="J142" i="79"/>
  <c r="J147" i="79" s="1"/>
  <c r="D3" i="80"/>
  <c r="G30" i="81"/>
  <c r="G36" i="81" s="1"/>
  <c r="G46" i="81" s="1"/>
  <c r="G35" i="91"/>
  <c r="AC9" i="81"/>
  <c r="AC43" i="90"/>
  <c r="AC109" i="79"/>
  <c r="AC48" i="90" s="1"/>
  <c r="AB14" i="79"/>
  <c r="M9" i="79"/>
  <c r="K14" i="79"/>
  <c r="L131" i="86"/>
  <c r="L83" i="91" s="1"/>
  <c r="L30" i="88"/>
  <c r="L36" i="88" s="1"/>
  <c r="L45" i="88" s="1"/>
  <c r="L77" i="91"/>
  <c r="L131" i="85"/>
  <c r="L69" i="91" s="1"/>
  <c r="L30" i="82"/>
  <c r="L36" i="82" s="1"/>
  <c r="L45" i="82" s="1"/>
  <c r="L63" i="91"/>
  <c r="L131" i="97"/>
  <c r="L55" i="91" s="1"/>
  <c r="L30" i="99"/>
  <c r="L36" i="99" s="1"/>
  <c r="L49" i="91"/>
  <c r="L131" i="79"/>
  <c r="L41" i="91" s="1"/>
  <c r="L30" i="81"/>
  <c r="L36" i="81" s="1"/>
  <c r="L35" i="91"/>
  <c r="L131" i="75"/>
  <c r="L27" i="91" s="1"/>
  <c r="L30" i="76"/>
  <c r="L36" i="76" s="1"/>
  <c r="L45" i="76" s="1"/>
  <c r="L21" i="91"/>
  <c r="L92" i="91" s="1"/>
  <c r="K131" i="86"/>
  <c r="K83" i="91" s="1"/>
  <c r="K30" i="88"/>
  <c r="K36" i="88" s="1"/>
  <c r="K45" i="88" s="1"/>
  <c r="K77" i="91"/>
  <c r="K131" i="85"/>
  <c r="K69" i="91" s="1"/>
  <c r="K30" i="82"/>
  <c r="K36" i="82" s="1"/>
  <c r="K45" i="82" s="1"/>
  <c r="K63" i="91"/>
  <c r="K131" i="97"/>
  <c r="K30" i="99"/>
  <c r="K36" i="99" s="1"/>
  <c r="K46" i="99" s="1"/>
  <c r="K49" i="91"/>
  <c r="K131" i="79"/>
  <c r="K41" i="91" s="1"/>
  <c r="K30" i="81"/>
  <c r="K36" i="81" s="1"/>
  <c r="K46" i="81" s="1"/>
  <c r="K35" i="91"/>
  <c r="K131" i="75"/>
  <c r="K27" i="91" s="1"/>
  <c r="K30" i="76"/>
  <c r="K36" i="76" s="1"/>
  <c r="K45" i="76" s="1"/>
  <c r="K21" i="91"/>
  <c r="K92" i="91" s="1"/>
  <c r="D131" i="86"/>
  <c r="D83" i="91" s="1"/>
  <c r="K3" i="87"/>
  <c r="K9" i="87" s="1"/>
  <c r="D30" i="88"/>
  <c r="D36" i="88" s="1"/>
  <c r="D45" i="88" s="1"/>
  <c r="D77" i="91"/>
  <c r="D131" i="85"/>
  <c r="K3" i="83"/>
  <c r="K9" i="83" s="1"/>
  <c r="L23" i="36" s="1"/>
  <c r="D30" i="82"/>
  <c r="D36" i="82" s="1"/>
  <c r="D45" i="82" s="1"/>
  <c r="D63" i="91"/>
  <c r="D131" i="97"/>
  <c r="K3" i="98"/>
  <c r="K9" i="98" s="1"/>
  <c r="L22" i="36" s="1"/>
  <c r="D30" i="99"/>
  <c r="D36" i="99" s="1"/>
  <c r="D46" i="99" s="1"/>
  <c r="D49" i="91"/>
  <c r="D131" i="79"/>
  <c r="K3" i="80"/>
  <c r="K9" i="80" s="1"/>
  <c r="L21" i="36" s="1"/>
  <c r="D30" i="81"/>
  <c r="D36" i="81" s="1"/>
  <c r="D46" i="81" s="1"/>
  <c r="D35" i="91"/>
  <c r="D131" i="75"/>
  <c r="K3" i="77"/>
  <c r="K9" i="77" s="1"/>
  <c r="L20" i="36" s="1"/>
  <c r="D30" i="76"/>
  <c r="D36" i="76" s="1"/>
  <c r="D45" i="76" s="1"/>
  <c r="D21" i="91"/>
  <c r="L34" i="39"/>
  <c r="L10" i="91"/>
  <c r="L96" i="91" s="1"/>
  <c r="K34" i="39"/>
  <c r="K10" i="91"/>
  <c r="K96" i="91" s="1"/>
  <c r="L33" i="39"/>
  <c r="L9" i="91"/>
  <c r="L95" i="91" s="1"/>
  <c r="K9" i="91"/>
  <c r="K95" i="91" s="1"/>
  <c r="K33" i="39"/>
  <c r="C26" i="56"/>
  <c r="C27" i="56" s="1"/>
  <c r="L127" i="22"/>
  <c r="C17" i="56"/>
  <c r="C18" i="56" s="1"/>
  <c r="K127" i="22"/>
  <c r="I147" i="85"/>
  <c r="O32" i="36" s="1"/>
  <c r="F3" i="83"/>
  <c r="F9" i="83" s="1"/>
  <c r="G23" i="36" s="1"/>
  <c r="I146" i="79"/>
  <c r="F7" i="80" s="1"/>
  <c r="I146" i="22"/>
  <c r="F7" i="36" s="1"/>
  <c r="I145" i="22"/>
  <c r="F6" i="36" s="1"/>
  <c r="I145" i="75"/>
  <c r="F6" i="77" s="1"/>
  <c r="I144" i="22"/>
  <c r="F5" i="36" s="1"/>
  <c r="I144" i="79"/>
  <c r="F5" i="80" s="1"/>
  <c r="D32" i="39"/>
  <c r="K5" i="36"/>
  <c r="D8" i="91"/>
  <c r="D94" i="91" s="1"/>
  <c r="I143" i="22"/>
  <c r="F4" i="36" s="1"/>
  <c r="I143" i="75"/>
  <c r="K4" i="36"/>
  <c r="D31" i="39"/>
  <c r="D7" i="91"/>
  <c r="D93" i="91" s="1"/>
  <c r="I147" i="97"/>
  <c r="F3" i="98"/>
  <c r="F9" i="98" s="1"/>
  <c r="G22" i="36" s="1"/>
  <c r="I142" i="79"/>
  <c r="I142" i="22"/>
  <c r="C8" i="56"/>
  <c r="C9" i="56" s="1"/>
  <c r="D125" i="22"/>
  <c r="L9" i="36"/>
  <c r="N8" i="36"/>
  <c r="O8" i="36" s="1"/>
  <c r="P8" i="36" s="1"/>
  <c r="E36" i="39"/>
  <c r="E45" i="39" s="1"/>
  <c r="J32" i="36"/>
  <c r="J33" i="36" s="1"/>
  <c r="E12" i="91"/>
  <c r="E23" i="64"/>
  <c r="J13" i="39"/>
  <c r="J27" i="93"/>
  <c r="J36" i="93" s="1"/>
  <c r="J13" i="90"/>
  <c r="M47" i="22"/>
  <c r="K52" i="22"/>
  <c r="Z13" i="79"/>
  <c r="L108" i="79"/>
  <c r="Z13" i="39"/>
  <c r="I20" i="94"/>
  <c r="I28" i="94" s="1"/>
  <c r="Z13" i="90"/>
  <c r="AD13" i="79"/>
  <c r="J108" i="79"/>
  <c r="Z12" i="79"/>
  <c r="L107" i="79"/>
  <c r="Q29" i="95"/>
  <c r="S29" i="95" s="1"/>
  <c r="L12" i="39"/>
  <c r="L26" i="93"/>
  <c r="L35" i="93" s="1"/>
  <c r="L12" i="90"/>
  <c r="AD12" i="79"/>
  <c r="J107" i="79"/>
  <c r="K107" i="79" s="1"/>
  <c r="E22" i="64"/>
  <c r="J26" i="93"/>
  <c r="J35" i="93" s="1"/>
  <c r="J12" i="90"/>
  <c r="J12" i="39"/>
  <c r="L11" i="39"/>
  <c r="Q28" i="95"/>
  <c r="S28" i="95" s="1"/>
  <c r="L25" i="93"/>
  <c r="L34" i="93" s="1"/>
  <c r="L11" i="90"/>
  <c r="Z11" i="79"/>
  <c r="L106" i="79"/>
  <c r="E21" i="64"/>
  <c r="J25" i="93"/>
  <c r="J34" i="93" s="1"/>
  <c r="J11" i="90"/>
  <c r="J11" i="39"/>
  <c r="AD11" i="79"/>
  <c r="J106" i="79"/>
  <c r="Z10" i="79"/>
  <c r="L105" i="79"/>
  <c r="Q27" i="95"/>
  <c r="S27" i="95" s="1"/>
  <c r="L24" i="93"/>
  <c r="L33" i="93" s="1"/>
  <c r="L10" i="90"/>
  <c r="L10" i="39"/>
  <c r="AD10" i="79"/>
  <c r="J105" i="79"/>
  <c r="K105" i="79" s="1"/>
  <c r="E20" i="64"/>
  <c r="J24" i="93"/>
  <c r="J33" i="93" s="1"/>
  <c r="J10" i="90"/>
  <c r="J10" i="39"/>
  <c r="AB14" i="22"/>
  <c r="Z9" i="79"/>
  <c r="L14" i="79"/>
  <c r="L104" i="79"/>
  <c r="L109" i="22"/>
  <c r="Q26" i="95"/>
  <c r="S26" i="95" s="1"/>
  <c r="L9" i="39"/>
  <c r="L14" i="39" s="1"/>
  <c r="L44" i="39" s="1"/>
  <c r="L23" i="93"/>
  <c r="L32" i="93" s="1"/>
  <c r="L9" i="90"/>
  <c r="Z14" i="22"/>
  <c r="Z104" i="22"/>
  <c r="AD9" i="79"/>
  <c r="AD14" i="79" s="1"/>
  <c r="J14" i="79"/>
  <c r="J104" i="79"/>
  <c r="E19" i="64"/>
  <c r="J109" i="22"/>
  <c r="J9" i="39"/>
  <c r="J14" i="39" s="1"/>
  <c r="J44" i="39" s="1"/>
  <c r="J23" i="93"/>
  <c r="J32" i="93" s="1"/>
  <c r="J9" i="90"/>
  <c r="M9" i="22"/>
  <c r="K14" i="22"/>
  <c r="AF52" i="86"/>
  <c r="AE78" i="90"/>
  <c r="AE11" i="82"/>
  <c r="AA78" i="90"/>
  <c r="AA11" i="82"/>
  <c r="Y78" i="90"/>
  <c r="Y11" i="82"/>
  <c r="I78" i="90"/>
  <c r="I11" i="82"/>
  <c r="G78" i="90"/>
  <c r="G11" i="82"/>
  <c r="E78" i="90"/>
  <c r="E11" i="82"/>
  <c r="AC77" i="90"/>
  <c r="AC10" i="82"/>
  <c r="V77" i="90"/>
  <c r="V10" i="82"/>
  <c r="G77" i="90"/>
  <c r="G10" i="82"/>
  <c r="F77" i="90"/>
  <c r="F10" i="82"/>
  <c r="AD30" i="90"/>
  <c r="AD13" i="76"/>
  <c r="AC29" i="90"/>
  <c r="AC12" i="76"/>
  <c r="AA29" i="90"/>
  <c r="AA12" i="76"/>
  <c r="Y29" i="90"/>
  <c r="Y12" i="76"/>
  <c r="W29" i="90"/>
  <c r="W12" i="76"/>
  <c r="F29" i="90"/>
  <c r="F12" i="76"/>
  <c r="AA89" i="22"/>
  <c r="AA108" i="22" s="1"/>
  <c r="AA89" i="97"/>
  <c r="AA89" i="79"/>
  <c r="AA108" i="79" s="1"/>
  <c r="Y89" i="22"/>
  <c r="Y108" i="22" s="1"/>
  <c r="Y89" i="97"/>
  <c r="Y89" i="79"/>
  <c r="Y108" i="79" s="1"/>
  <c r="X89" i="22"/>
  <c r="X108" i="22" s="1"/>
  <c r="X89" i="97"/>
  <c r="X89" i="79"/>
  <c r="X108" i="79" s="1"/>
  <c r="W89" i="22"/>
  <c r="W108" i="22" s="1"/>
  <c r="W89" i="97"/>
  <c r="W89" i="79"/>
  <c r="W108" i="79" s="1"/>
  <c r="V89" i="22"/>
  <c r="V108" i="22" s="1"/>
  <c r="V89" i="97"/>
  <c r="V89" i="79"/>
  <c r="V108" i="79" s="1"/>
  <c r="I89" i="22"/>
  <c r="I108" i="22" s="1"/>
  <c r="I89" i="97"/>
  <c r="I89" i="79"/>
  <c r="I108" i="79" s="1"/>
  <c r="H89" i="22"/>
  <c r="H108" i="22" s="1"/>
  <c r="H89" i="97"/>
  <c r="H89" i="79"/>
  <c r="H108" i="79" s="1"/>
  <c r="G89" i="22"/>
  <c r="G108" i="22" s="1"/>
  <c r="G89" i="97"/>
  <c r="G89" i="79"/>
  <c r="G108" i="79" s="1"/>
  <c r="F89" i="22"/>
  <c r="F108" i="22" s="1"/>
  <c r="F89" i="97"/>
  <c r="F89" i="79"/>
  <c r="F108" i="79" s="1"/>
  <c r="E89" i="22"/>
  <c r="E108" i="22" s="1"/>
  <c r="E89" i="97"/>
  <c r="E89" i="79"/>
  <c r="E108" i="79" s="1"/>
  <c r="AC80" i="90"/>
  <c r="AC13" i="82"/>
  <c r="AA80" i="90"/>
  <c r="AA13" i="82"/>
  <c r="Y80" i="90"/>
  <c r="Y13" i="82"/>
  <c r="X80" i="90"/>
  <c r="X13" i="82"/>
  <c r="W80" i="90"/>
  <c r="W13" i="82"/>
  <c r="V80" i="90"/>
  <c r="V13" i="82"/>
  <c r="I80" i="90"/>
  <c r="I13" i="82"/>
  <c r="H80" i="90"/>
  <c r="H13" i="82"/>
  <c r="G80" i="90"/>
  <c r="G13" i="82"/>
  <c r="F80" i="90"/>
  <c r="F13" i="82"/>
  <c r="E80" i="90"/>
  <c r="E13" i="82"/>
  <c r="AC64" i="90"/>
  <c r="AC13" i="99"/>
  <c r="AC47" i="90"/>
  <c r="AC13" i="81"/>
  <c r="X47" i="90"/>
  <c r="X13" i="81"/>
  <c r="W47" i="90"/>
  <c r="W13" i="81"/>
  <c r="V47" i="90"/>
  <c r="V13" i="81"/>
  <c r="I47" i="90"/>
  <c r="I13" i="81"/>
  <c r="H47" i="90"/>
  <c r="H13" i="81"/>
  <c r="G47" i="90"/>
  <c r="G13" i="81"/>
  <c r="F47" i="90"/>
  <c r="F13" i="81"/>
  <c r="E47" i="90"/>
  <c r="E13" i="81"/>
  <c r="AC13" i="90"/>
  <c r="AC114" i="90" s="1"/>
  <c r="AC13" i="39"/>
  <c r="H13" i="90"/>
  <c r="H27" i="93"/>
  <c r="H36" i="93" s="1"/>
  <c r="H13" i="39"/>
  <c r="G13" i="39"/>
  <c r="G13" i="90"/>
  <c r="G27" i="93"/>
  <c r="G36" i="93" s="1"/>
  <c r="F13" i="39"/>
  <c r="F13" i="90"/>
  <c r="F27" i="93"/>
  <c r="F36" i="93" s="1"/>
  <c r="AC79" i="90"/>
  <c r="AC12" i="82"/>
  <c r="AA79" i="90"/>
  <c r="AA12" i="82"/>
  <c r="X79" i="90"/>
  <c r="X12" i="82"/>
  <c r="V79" i="90"/>
  <c r="V12" i="82"/>
  <c r="I79" i="90"/>
  <c r="I12" i="82"/>
  <c r="F79" i="90"/>
  <c r="F12" i="82"/>
  <c r="AA46" i="90"/>
  <c r="AA12" i="81"/>
  <c r="Y46" i="90"/>
  <c r="Y12" i="81"/>
  <c r="X46" i="90"/>
  <c r="X12" i="81"/>
  <c r="I46" i="90"/>
  <c r="I12" i="81"/>
  <c r="F46" i="90"/>
  <c r="F12" i="81"/>
  <c r="Y45" i="90"/>
  <c r="Y11" i="81"/>
  <c r="W45" i="90"/>
  <c r="W11" i="81"/>
  <c r="Y79" i="90"/>
  <c r="Y12" i="82"/>
  <c r="G79" i="90"/>
  <c r="G12" i="82"/>
  <c r="AE46" i="90"/>
  <c r="AE12" i="81"/>
  <c r="V46" i="90"/>
  <c r="V12" i="81"/>
  <c r="G46" i="90"/>
  <c r="G12" i="81"/>
  <c r="AA45" i="90"/>
  <c r="AA11" i="81"/>
  <c r="H45" i="90"/>
  <c r="H11" i="81"/>
  <c r="W79" i="90"/>
  <c r="W12" i="82"/>
  <c r="H79" i="90"/>
  <c r="H12" i="82"/>
  <c r="E79" i="90"/>
  <c r="E12" i="82"/>
  <c r="AC46" i="90"/>
  <c r="AC12" i="81"/>
  <c r="W46" i="90"/>
  <c r="W12" i="81"/>
  <c r="H46" i="90"/>
  <c r="H12" i="81"/>
  <c r="E46" i="90"/>
  <c r="E12" i="81"/>
  <c r="AC45" i="90"/>
  <c r="AC11" i="81"/>
  <c r="X45" i="90"/>
  <c r="X11" i="81"/>
  <c r="V45" i="90"/>
  <c r="V11" i="81"/>
  <c r="I45" i="90"/>
  <c r="I11" i="81"/>
  <c r="G45" i="90"/>
  <c r="G11" i="81"/>
  <c r="F45" i="90"/>
  <c r="F11" i="81"/>
  <c r="E45" i="90"/>
  <c r="E11" i="81"/>
  <c r="AE44" i="90"/>
  <c r="AE10" i="81"/>
  <c r="AC44" i="90"/>
  <c r="AC10" i="81"/>
  <c r="AA44" i="90"/>
  <c r="AA10" i="81"/>
  <c r="Y44" i="90"/>
  <c r="Y10" i="81"/>
  <c r="X44" i="90"/>
  <c r="X10" i="81"/>
  <c r="W44" i="90"/>
  <c r="W10" i="81"/>
  <c r="V44" i="90"/>
  <c r="V10" i="81"/>
  <c r="I44" i="90"/>
  <c r="I10" i="81"/>
  <c r="H44" i="90"/>
  <c r="H10" i="81"/>
  <c r="G44" i="90"/>
  <c r="G10" i="81"/>
  <c r="F44" i="90"/>
  <c r="F10" i="81"/>
  <c r="E44" i="90"/>
  <c r="E10" i="81"/>
  <c r="G29" i="90"/>
  <c r="G12" i="76"/>
  <c r="AA12" i="39"/>
  <c r="AA12" i="90"/>
  <c r="J19" i="94"/>
  <c r="J27" i="94" s="1"/>
  <c r="X12" i="90"/>
  <c r="G19" i="94"/>
  <c r="G27" i="94" s="1"/>
  <c r="X12" i="39"/>
  <c r="I12" i="39"/>
  <c r="I12" i="90"/>
  <c r="I26" i="93"/>
  <c r="I35" i="93" s="1"/>
  <c r="AA11" i="39"/>
  <c r="AA11" i="90"/>
  <c r="J18" i="94"/>
  <c r="J26" i="94" s="1"/>
  <c r="I11" i="90"/>
  <c r="I25" i="93"/>
  <c r="I34" i="93" s="1"/>
  <c r="I11" i="39"/>
  <c r="E11" i="39"/>
  <c r="E11" i="90"/>
  <c r="E25" i="93"/>
  <c r="E34" i="93" s="1"/>
  <c r="AA10" i="39"/>
  <c r="AA10" i="90"/>
  <c r="J17" i="94"/>
  <c r="J25" i="94" s="1"/>
  <c r="V10" i="90"/>
  <c r="E17" i="94"/>
  <c r="E25" i="94" s="1"/>
  <c r="V10" i="39"/>
  <c r="F10" i="39"/>
  <c r="F10" i="90"/>
  <c r="F24" i="93"/>
  <c r="F33" i="93" s="1"/>
  <c r="X78" i="90"/>
  <c r="X11" i="82"/>
  <c r="V78" i="90"/>
  <c r="V11" i="82"/>
  <c r="H78" i="90"/>
  <c r="H11" i="82"/>
  <c r="AA77" i="90"/>
  <c r="AA10" i="82"/>
  <c r="X77" i="90"/>
  <c r="X10" i="82"/>
  <c r="I77" i="90"/>
  <c r="I10" i="82"/>
  <c r="E77" i="90"/>
  <c r="E10" i="82"/>
  <c r="AD10" i="99"/>
  <c r="AD61" i="90"/>
  <c r="I29" i="90"/>
  <c r="I12" i="76"/>
  <c r="Y12" i="39"/>
  <c r="Y12" i="90"/>
  <c r="H19" i="94"/>
  <c r="H27" i="94" s="1"/>
  <c r="W12" i="90"/>
  <c r="F19" i="94"/>
  <c r="F27" i="94" s="1"/>
  <c r="W12" i="39"/>
  <c r="V12" i="39"/>
  <c r="V12" i="90"/>
  <c r="E19" i="94"/>
  <c r="E27" i="94" s="1"/>
  <c r="H12" i="39"/>
  <c r="H12" i="90"/>
  <c r="H26" i="93"/>
  <c r="H35" i="93" s="1"/>
  <c r="G12" i="90"/>
  <c r="G113" i="90" s="1"/>
  <c r="G26" i="93"/>
  <c r="G35" i="93" s="1"/>
  <c r="G12" i="39"/>
  <c r="F12" i="39"/>
  <c r="F12" i="90"/>
  <c r="F26" i="93"/>
  <c r="F35" i="93" s="1"/>
  <c r="E12" i="90"/>
  <c r="E26" i="93"/>
  <c r="E35" i="93" s="1"/>
  <c r="E12" i="39"/>
  <c r="AC11" i="90"/>
  <c r="AC11" i="39"/>
  <c r="Y11" i="39"/>
  <c r="Y11" i="90"/>
  <c r="H18" i="94"/>
  <c r="H26" i="94" s="1"/>
  <c r="X11" i="90"/>
  <c r="X112" i="90" s="1"/>
  <c r="G18" i="94"/>
  <c r="G26" i="94" s="1"/>
  <c r="X11" i="39"/>
  <c r="W11" i="90"/>
  <c r="F18" i="94"/>
  <c r="F26" i="94" s="1"/>
  <c r="W11" i="39"/>
  <c r="V11" i="90"/>
  <c r="V112" i="90" s="1"/>
  <c r="E18" i="94"/>
  <c r="E26" i="94" s="1"/>
  <c r="V11" i="39"/>
  <c r="H11" i="39"/>
  <c r="H11" i="90"/>
  <c r="H112" i="90" s="1"/>
  <c r="H25" i="93"/>
  <c r="H34" i="93" s="1"/>
  <c r="G11" i="39"/>
  <c r="G11" i="90"/>
  <c r="G25" i="93"/>
  <c r="G34" i="93" s="1"/>
  <c r="F11" i="90"/>
  <c r="F25" i="93"/>
  <c r="F34" i="93" s="1"/>
  <c r="F11" i="39"/>
  <c r="AC10" i="90"/>
  <c r="AC10" i="39"/>
  <c r="Y10" i="39"/>
  <c r="Y10" i="90"/>
  <c r="H17" i="94"/>
  <c r="H25" i="94" s="1"/>
  <c r="X10" i="39"/>
  <c r="X10" i="90"/>
  <c r="G17" i="94"/>
  <c r="G25" i="94" s="1"/>
  <c r="W10" i="39"/>
  <c r="W10" i="90"/>
  <c r="F17" i="94"/>
  <c r="F25" i="94" s="1"/>
  <c r="I10" i="39"/>
  <c r="I10" i="90"/>
  <c r="I24" i="93"/>
  <c r="I33" i="93" s="1"/>
  <c r="H10" i="90"/>
  <c r="H24" i="93"/>
  <c r="H33" i="93" s="1"/>
  <c r="H10" i="39"/>
  <c r="G10" i="90"/>
  <c r="G24" i="93"/>
  <c r="G33" i="93" s="1"/>
  <c r="G10" i="39"/>
  <c r="E10" i="39"/>
  <c r="E10" i="90"/>
  <c r="E24" i="93"/>
  <c r="E33" i="93" s="1"/>
  <c r="AC78" i="90"/>
  <c r="AC11" i="82"/>
  <c r="W78" i="90"/>
  <c r="W11" i="82"/>
  <c r="F78" i="90"/>
  <c r="F11" i="82"/>
  <c r="AE77" i="90"/>
  <c r="AE10" i="82"/>
  <c r="Y77" i="90"/>
  <c r="Y10" i="82"/>
  <c r="W77" i="90"/>
  <c r="W10" i="82"/>
  <c r="H77" i="90"/>
  <c r="H10" i="82"/>
  <c r="AD28" i="90"/>
  <c r="AD11" i="76"/>
  <c r="V29" i="90"/>
  <c r="V12" i="76"/>
  <c r="H29" i="90"/>
  <c r="H12" i="76"/>
  <c r="E29" i="90"/>
  <c r="E12" i="76"/>
  <c r="X29" i="90"/>
  <c r="X12" i="76"/>
  <c r="F147" i="86"/>
  <c r="AB107" i="86"/>
  <c r="AF107" i="86" s="1"/>
  <c r="H4" i="98"/>
  <c r="Y73" i="75"/>
  <c r="M9" i="77"/>
  <c r="N20" i="36" s="1"/>
  <c r="N24" i="36" s="1"/>
  <c r="G147" i="75"/>
  <c r="Y35" i="75"/>
  <c r="Y35" i="85"/>
  <c r="F147" i="97"/>
  <c r="E9" i="98"/>
  <c r="F22" i="36" s="1"/>
  <c r="F24" i="36" s="1"/>
  <c r="F25" i="36" s="1"/>
  <c r="Y35" i="79"/>
  <c r="Y35" i="22"/>
  <c r="T19" i="89"/>
  <c r="AG51" i="86"/>
  <c r="AH51" i="86" s="1"/>
  <c r="AG48" i="86"/>
  <c r="AH48" i="86" s="1"/>
  <c r="AG32" i="86"/>
  <c r="AH32" i="86" s="1"/>
  <c r="AG31" i="86"/>
  <c r="AH31" i="86" s="1"/>
  <c r="AG30" i="86"/>
  <c r="AH30" i="86" s="1"/>
  <c r="AG29" i="86"/>
  <c r="AH29" i="86" s="1"/>
  <c r="AG48" i="85"/>
  <c r="AH48" i="85" s="1"/>
  <c r="AG69" i="97"/>
  <c r="AH69" i="97" s="1"/>
  <c r="AG31" i="97"/>
  <c r="AH31" i="97" s="1"/>
  <c r="AG30" i="97"/>
  <c r="AH30" i="97" s="1"/>
  <c r="AG29" i="97"/>
  <c r="AH29" i="97" s="1"/>
  <c r="AG50" i="79"/>
  <c r="AH50" i="79" s="1"/>
  <c r="AG49" i="86"/>
  <c r="AH49" i="86" s="1"/>
  <c r="AG51" i="75"/>
  <c r="AH51" i="75" s="1"/>
  <c r="AG49" i="75"/>
  <c r="AH49" i="75" s="1"/>
  <c r="AB71" i="86"/>
  <c r="AF66" i="86"/>
  <c r="AB33" i="86"/>
  <c r="AF28" i="86"/>
  <c r="AB108" i="86"/>
  <c r="AF13" i="86"/>
  <c r="AG13" i="86" s="1"/>
  <c r="AH13" i="86" s="1"/>
  <c r="AB106" i="86"/>
  <c r="AF11" i="86"/>
  <c r="AG11" i="86" s="1"/>
  <c r="AH11" i="86" s="1"/>
  <c r="AB105" i="86"/>
  <c r="AF10" i="86"/>
  <c r="AB106" i="85"/>
  <c r="AF11" i="85"/>
  <c r="AG11" i="85" s="1"/>
  <c r="AH11" i="85" s="1"/>
  <c r="AB105" i="97"/>
  <c r="AF67" i="97"/>
  <c r="AG67" i="97" s="1"/>
  <c r="AH67" i="97" s="1"/>
  <c r="AB107" i="97"/>
  <c r="AF50" i="97"/>
  <c r="AG50" i="97" s="1"/>
  <c r="AH50" i="97" s="1"/>
  <c r="AB33" i="97"/>
  <c r="AF28" i="97"/>
  <c r="AB71" i="75"/>
  <c r="AF66" i="75"/>
  <c r="AB52" i="75"/>
  <c r="AF47" i="75"/>
  <c r="AB33" i="75"/>
  <c r="AF28" i="75"/>
  <c r="AB108" i="75"/>
  <c r="AF13" i="75"/>
  <c r="AG13" i="75" s="1"/>
  <c r="AH13" i="75" s="1"/>
  <c r="AB106" i="75"/>
  <c r="AF11" i="75"/>
  <c r="AB33" i="69"/>
  <c r="AE28" i="69"/>
  <c r="AB51" i="69"/>
  <c r="AE13" i="69"/>
  <c r="AF13" i="69" s="1"/>
  <c r="AG13" i="69" s="1"/>
  <c r="AB50" i="69"/>
  <c r="AE12" i="69"/>
  <c r="AF12" i="69" s="1"/>
  <c r="AG12" i="69" s="1"/>
  <c r="AB49" i="69"/>
  <c r="AE11" i="69"/>
  <c r="AF11" i="69" s="1"/>
  <c r="AG11" i="69" s="1"/>
  <c r="AB48" i="69"/>
  <c r="AE10" i="69"/>
  <c r="AC71" i="22"/>
  <c r="AC104" i="22"/>
  <c r="AA71" i="22"/>
  <c r="Y71" i="22"/>
  <c r="X71" i="22"/>
  <c r="W71" i="22"/>
  <c r="V71" i="22"/>
  <c r="I71" i="22"/>
  <c r="H71" i="22"/>
  <c r="G71" i="22"/>
  <c r="AB33" i="85"/>
  <c r="AF28" i="85"/>
  <c r="AB33" i="79"/>
  <c r="AF28" i="79"/>
  <c r="AB33" i="22"/>
  <c r="AF28" i="22"/>
  <c r="AB108" i="85"/>
  <c r="AF108" i="85" s="1"/>
  <c r="AF13" i="85"/>
  <c r="AG13" i="85" s="1"/>
  <c r="AH13" i="85" s="1"/>
  <c r="AB107" i="85"/>
  <c r="AF107" i="85" s="1"/>
  <c r="AF12" i="85"/>
  <c r="AB52" i="85"/>
  <c r="AF47" i="85"/>
  <c r="AB52" i="97"/>
  <c r="AF47" i="97"/>
  <c r="AB52" i="79"/>
  <c r="AF47" i="79"/>
  <c r="I9" i="64"/>
  <c r="F12" i="64"/>
  <c r="F13" i="64"/>
  <c r="AB52" i="22"/>
  <c r="AF47" i="22"/>
  <c r="Z107" i="22"/>
  <c r="AF12" i="22"/>
  <c r="AG12" i="22" s="1"/>
  <c r="AH12" i="22" s="1"/>
  <c r="Z106" i="22"/>
  <c r="AF11" i="22"/>
  <c r="AG11" i="22" s="1"/>
  <c r="AH11" i="22" s="1"/>
  <c r="Z105" i="22"/>
  <c r="AF10" i="22"/>
  <c r="K147" i="97" l="1"/>
  <c r="H36" i="99"/>
  <c r="H46" i="99" s="1"/>
  <c r="K147" i="79"/>
  <c r="H36" i="81"/>
  <c r="H46" i="81" s="1"/>
  <c r="K147" i="22"/>
  <c r="H36" i="39"/>
  <c r="H45" i="39" s="1"/>
  <c r="G96" i="91"/>
  <c r="H36" i="76"/>
  <c r="H45" i="76" s="1"/>
  <c r="N6" i="80"/>
  <c r="O6" i="80" s="1"/>
  <c r="P6" i="80" s="1"/>
  <c r="L145" i="79"/>
  <c r="M145" i="79" s="1"/>
  <c r="O4" i="83"/>
  <c r="P4" i="83" s="1"/>
  <c r="G36" i="39"/>
  <c r="G45" i="39" s="1"/>
  <c r="G93" i="91"/>
  <c r="J147" i="22"/>
  <c r="J147" i="97"/>
  <c r="G36" i="99"/>
  <c r="G46" i="99" s="1"/>
  <c r="N25" i="36"/>
  <c r="O4" i="98"/>
  <c r="P4" i="98" s="1"/>
  <c r="K147" i="75"/>
  <c r="AE13" i="81"/>
  <c r="AE47" i="90"/>
  <c r="N47" i="90"/>
  <c r="J7" i="80"/>
  <c r="N13" i="81"/>
  <c r="N64" i="90"/>
  <c r="J7" i="98"/>
  <c r="N13" i="99"/>
  <c r="AB89" i="22"/>
  <c r="N108" i="22"/>
  <c r="AE11" i="81"/>
  <c r="AE45" i="90"/>
  <c r="N11" i="81"/>
  <c r="N45" i="90"/>
  <c r="J5" i="80"/>
  <c r="AA47" i="90"/>
  <c r="AA13" i="81"/>
  <c r="Y47" i="90"/>
  <c r="Y13" i="81"/>
  <c r="AB61" i="90"/>
  <c r="AB10" i="99"/>
  <c r="AF10" i="99" s="1"/>
  <c r="AG10" i="99" s="1"/>
  <c r="AH10" i="99" s="1"/>
  <c r="AB12" i="99"/>
  <c r="AF12" i="99" s="1"/>
  <c r="AG12" i="99" s="1"/>
  <c r="AH12" i="99" s="1"/>
  <c r="AB63" i="90"/>
  <c r="M71" i="86"/>
  <c r="O66" i="86"/>
  <c r="O47" i="86"/>
  <c r="M52" i="86"/>
  <c r="H3" i="87"/>
  <c r="D9" i="87"/>
  <c r="O28" i="86"/>
  <c r="M33" i="86"/>
  <c r="AF97" i="90"/>
  <c r="M108" i="86"/>
  <c r="K97" i="90"/>
  <c r="AF96" i="90"/>
  <c r="M107" i="86"/>
  <c r="K96" i="90"/>
  <c r="AF95" i="90"/>
  <c r="M106" i="86"/>
  <c r="K95" i="90"/>
  <c r="AF94" i="90"/>
  <c r="M105" i="86"/>
  <c r="K94" i="90"/>
  <c r="Y111" i="86"/>
  <c r="U98" i="90"/>
  <c r="AF93" i="90"/>
  <c r="AF109" i="86"/>
  <c r="AF98" i="90" s="1"/>
  <c r="U14" i="88"/>
  <c r="Y16" i="88" s="1"/>
  <c r="AB109" i="86"/>
  <c r="AB98" i="90" s="1"/>
  <c r="AB9" i="88"/>
  <c r="AB93" i="90"/>
  <c r="O9" i="86"/>
  <c r="M14" i="86"/>
  <c r="M104" i="86"/>
  <c r="K109" i="86"/>
  <c r="K98" i="90" s="1"/>
  <c r="K93" i="90"/>
  <c r="L142" i="86"/>
  <c r="D147" i="86"/>
  <c r="N3" i="87"/>
  <c r="N9" i="87" s="1"/>
  <c r="I9" i="87"/>
  <c r="K9" i="88"/>
  <c r="D14" i="88"/>
  <c r="D44" i="88" s="1"/>
  <c r="AG85" i="85"/>
  <c r="O90" i="85"/>
  <c r="AF78" i="90"/>
  <c r="M106" i="85"/>
  <c r="K78" i="90"/>
  <c r="AF77" i="90"/>
  <c r="M105" i="85"/>
  <c r="K77" i="90"/>
  <c r="AF109" i="85"/>
  <c r="AF81" i="90" s="1"/>
  <c r="AF76" i="90"/>
  <c r="Y111" i="85"/>
  <c r="U81" i="90"/>
  <c r="U14" i="82"/>
  <c r="Y16" i="82" s="1"/>
  <c r="N81" i="90"/>
  <c r="E32" i="36"/>
  <c r="AB109" i="85"/>
  <c r="AB81" i="90" s="1"/>
  <c r="AB9" i="82"/>
  <c r="AB76" i="90"/>
  <c r="O9" i="85"/>
  <c r="M14" i="85"/>
  <c r="M104" i="85"/>
  <c r="K109" i="85"/>
  <c r="K81" i="90" s="1"/>
  <c r="K76" i="90"/>
  <c r="D81" i="90"/>
  <c r="D32" i="36"/>
  <c r="F32" i="36" s="1"/>
  <c r="G32" i="36" s="1"/>
  <c r="L142" i="85"/>
  <c r="D147" i="85"/>
  <c r="N3" i="83"/>
  <c r="N9" i="83" s="1"/>
  <c r="O23" i="36" s="1"/>
  <c r="I9" i="83"/>
  <c r="J23" i="36" s="1"/>
  <c r="K9" i="82"/>
  <c r="D14" i="82"/>
  <c r="D44" i="82" s="1"/>
  <c r="AD62" i="90"/>
  <c r="AD11" i="99"/>
  <c r="O85" i="97"/>
  <c r="AD9" i="99"/>
  <c r="AD60" i="90"/>
  <c r="AF61" i="90"/>
  <c r="M105" i="97"/>
  <c r="K61" i="90"/>
  <c r="M107" i="97"/>
  <c r="K63" i="90"/>
  <c r="M106" i="97"/>
  <c r="K62" i="90"/>
  <c r="D24" i="36"/>
  <c r="O85" i="75"/>
  <c r="AD9" i="76"/>
  <c r="AD26" i="90"/>
  <c r="O66" i="75"/>
  <c r="M71" i="75"/>
  <c r="J27" i="91"/>
  <c r="N29" i="36"/>
  <c r="G27" i="91"/>
  <c r="K29" i="36"/>
  <c r="H3" i="77"/>
  <c r="D9" i="77"/>
  <c r="E20" i="36" s="1"/>
  <c r="O47" i="75"/>
  <c r="M52" i="75"/>
  <c r="O28" i="75"/>
  <c r="M33" i="75"/>
  <c r="H27" i="91"/>
  <c r="L29" i="36"/>
  <c r="AF30" i="90"/>
  <c r="M108" i="75"/>
  <c r="K30" i="90"/>
  <c r="AF28" i="90"/>
  <c r="M106" i="75"/>
  <c r="K28" i="90"/>
  <c r="AF26" i="90"/>
  <c r="AB9" i="76"/>
  <c r="AF9" i="76" s="1"/>
  <c r="AB26" i="90"/>
  <c r="O9" i="75"/>
  <c r="M14" i="75"/>
  <c r="M104" i="75"/>
  <c r="K26" i="90"/>
  <c r="L142" i="75"/>
  <c r="N3" i="77"/>
  <c r="K9" i="76"/>
  <c r="O28" i="69"/>
  <c r="AF28" i="69" s="1"/>
  <c r="M33" i="69"/>
  <c r="AE108" i="97"/>
  <c r="AE90" i="97"/>
  <c r="AE108" i="22"/>
  <c r="AD89" i="22"/>
  <c r="AF89" i="22" s="1"/>
  <c r="AG89" i="22" s="1"/>
  <c r="AH89" i="22" s="1"/>
  <c r="U108" i="79"/>
  <c r="U108" i="97"/>
  <c r="U90" i="97"/>
  <c r="Y92" i="97" s="1"/>
  <c r="D108" i="79"/>
  <c r="K89" i="79"/>
  <c r="M89" i="79" s="1"/>
  <c r="O89" i="79" s="1"/>
  <c r="I129" i="79"/>
  <c r="H146" i="79"/>
  <c r="G7" i="80" s="1"/>
  <c r="H7" i="80" s="1"/>
  <c r="D108" i="97"/>
  <c r="K89" i="97"/>
  <c r="D90" i="97"/>
  <c r="I129" i="97"/>
  <c r="H146" i="97"/>
  <c r="G7" i="98" s="1"/>
  <c r="H7" i="98" s="1"/>
  <c r="I129" i="22"/>
  <c r="K89" i="22"/>
  <c r="M89" i="22" s="1"/>
  <c r="O89" i="22" s="1"/>
  <c r="H146" i="22"/>
  <c r="G7" i="36" s="1"/>
  <c r="H7" i="36" s="1"/>
  <c r="AE107" i="75"/>
  <c r="AD88" i="75"/>
  <c r="AE107" i="22"/>
  <c r="AD88" i="22"/>
  <c r="U107" i="75"/>
  <c r="U107" i="22"/>
  <c r="N107" i="75"/>
  <c r="AB88" i="75"/>
  <c r="N107" i="22"/>
  <c r="AB88" i="22"/>
  <c r="D107" i="75"/>
  <c r="K88" i="75"/>
  <c r="M88" i="75" s="1"/>
  <c r="O88" i="75" s="1"/>
  <c r="I128" i="75"/>
  <c r="H145" i="75"/>
  <c r="G6" i="77" s="1"/>
  <c r="H6" i="77" s="1"/>
  <c r="D107" i="22"/>
  <c r="K88" i="22"/>
  <c r="M88" i="22" s="1"/>
  <c r="O88" i="22" s="1"/>
  <c r="I128" i="22"/>
  <c r="H145" i="22"/>
  <c r="G6" i="36" s="1"/>
  <c r="H6" i="36" s="1"/>
  <c r="AE106" i="22"/>
  <c r="AD87" i="22"/>
  <c r="AA62" i="90"/>
  <c r="AA112" i="90" s="1"/>
  <c r="AA11" i="99"/>
  <c r="U106" i="79"/>
  <c r="U106" i="22"/>
  <c r="N106" i="97"/>
  <c r="O87" i="97"/>
  <c r="I127" i="97"/>
  <c r="H144" i="97"/>
  <c r="G5" i="98" s="1"/>
  <c r="H5" i="98" s="1"/>
  <c r="N106" i="22"/>
  <c r="AB87" i="22"/>
  <c r="D106" i="79"/>
  <c r="K87" i="79"/>
  <c r="M87" i="79" s="1"/>
  <c r="O87" i="79" s="1"/>
  <c r="I127" i="79"/>
  <c r="H144" i="79"/>
  <c r="G5" i="80" s="1"/>
  <c r="H5" i="80" s="1"/>
  <c r="D106" i="22"/>
  <c r="K87" i="22"/>
  <c r="M87" i="22" s="1"/>
  <c r="O87" i="22" s="1"/>
  <c r="I127" i="22"/>
  <c r="H144" i="22"/>
  <c r="G5" i="36" s="1"/>
  <c r="H5" i="36" s="1"/>
  <c r="AE105" i="75"/>
  <c r="AD86" i="75"/>
  <c r="AE90" i="75"/>
  <c r="AE105" i="22"/>
  <c r="AD86" i="22"/>
  <c r="AA27" i="90"/>
  <c r="AA111" i="90" s="1"/>
  <c r="AA10" i="76"/>
  <c r="AA14" i="76" s="1"/>
  <c r="Y27" i="90"/>
  <c r="Y111" i="90" s="1"/>
  <c r="Y10" i="76"/>
  <c r="Y14" i="76" s="1"/>
  <c r="X27" i="90"/>
  <c r="X111" i="90" s="1"/>
  <c r="X10" i="76"/>
  <c r="X14" i="76" s="1"/>
  <c r="W27" i="90"/>
  <c r="W111" i="90" s="1"/>
  <c r="W10" i="76"/>
  <c r="W14" i="76" s="1"/>
  <c r="V27" i="90"/>
  <c r="V111" i="90" s="1"/>
  <c r="V10" i="76"/>
  <c r="V14" i="76" s="1"/>
  <c r="U105" i="75"/>
  <c r="U90" i="75"/>
  <c r="Y92" i="75" s="1"/>
  <c r="U105" i="22"/>
  <c r="N105" i="75"/>
  <c r="AB86" i="75"/>
  <c r="AF86" i="75" s="1"/>
  <c r="N90" i="75"/>
  <c r="N105" i="22"/>
  <c r="AB86" i="22"/>
  <c r="I27" i="90"/>
  <c r="I111" i="90" s="1"/>
  <c r="I10" i="76"/>
  <c r="I14" i="76" s="1"/>
  <c r="I44" i="76" s="1"/>
  <c r="H27" i="90"/>
  <c r="H111" i="90" s="1"/>
  <c r="H10" i="76"/>
  <c r="H14" i="76" s="1"/>
  <c r="H44" i="76" s="1"/>
  <c r="G27" i="90"/>
  <c r="G111" i="90" s="1"/>
  <c r="G10" i="76"/>
  <c r="G14" i="76" s="1"/>
  <c r="G44" i="76" s="1"/>
  <c r="F27" i="90"/>
  <c r="F111" i="90" s="1"/>
  <c r="F10" i="76"/>
  <c r="F14" i="76" s="1"/>
  <c r="F44" i="76" s="1"/>
  <c r="E27" i="90"/>
  <c r="E111" i="90" s="1"/>
  <c r="E10" i="76"/>
  <c r="E14" i="76" s="1"/>
  <c r="E44" i="76" s="1"/>
  <c r="D105" i="75"/>
  <c r="K86" i="75"/>
  <c r="D90" i="75"/>
  <c r="I126" i="75"/>
  <c r="H143" i="75"/>
  <c r="D105" i="22"/>
  <c r="K86" i="22"/>
  <c r="M86" i="22" s="1"/>
  <c r="O86" i="22" s="1"/>
  <c r="I126" i="22"/>
  <c r="H143" i="22"/>
  <c r="G4" i="36" s="1"/>
  <c r="H4" i="36" s="1"/>
  <c r="AE104" i="79"/>
  <c r="AE90" i="79"/>
  <c r="AE104" i="22"/>
  <c r="AE90" i="22"/>
  <c r="AC52" i="69"/>
  <c r="AD85" i="79"/>
  <c r="AD90" i="79" s="1"/>
  <c r="AA104" i="79"/>
  <c r="AA90" i="79"/>
  <c r="Y104" i="79"/>
  <c r="Y90" i="79"/>
  <c r="X104" i="79"/>
  <c r="X90" i="79"/>
  <c r="W104" i="79"/>
  <c r="W90" i="79"/>
  <c r="V104" i="79"/>
  <c r="V90" i="79"/>
  <c r="AE52" i="69"/>
  <c r="U104" i="79"/>
  <c r="U90" i="79"/>
  <c r="Y92" i="79" s="1"/>
  <c r="U104" i="22"/>
  <c r="U90" i="22"/>
  <c r="AB52" i="69"/>
  <c r="AB85" i="79"/>
  <c r="AF85" i="79" s="1"/>
  <c r="AB85" i="97"/>
  <c r="N104" i="79"/>
  <c r="N90" i="79"/>
  <c r="N104" i="97"/>
  <c r="N90" i="97"/>
  <c r="I125" i="97"/>
  <c r="H142" i="97"/>
  <c r="N104" i="22"/>
  <c r="AB85" i="22"/>
  <c r="AF85" i="22" s="1"/>
  <c r="N90" i="22"/>
  <c r="I104" i="79"/>
  <c r="I90" i="79"/>
  <c r="H104" i="79"/>
  <c r="H90" i="79"/>
  <c r="G104" i="79"/>
  <c r="G90" i="79"/>
  <c r="F104" i="79"/>
  <c r="F90" i="79"/>
  <c r="F104" i="22"/>
  <c r="F90" i="22"/>
  <c r="E104" i="79"/>
  <c r="E90" i="79"/>
  <c r="E104" i="22"/>
  <c r="E90" i="22"/>
  <c r="O9" i="69"/>
  <c r="M14" i="69"/>
  <c r="M47" i="69"/>
  <c r="K52" i="69"/>
  <c r="D104" i="79"/>
  <c r="K85" i="79"/>
  <c r="D90" i="79"/>
  <c r="I125" i="79"/>
  <c r="H142" i="79"/>
  <c r="D104" i="22"/>
  <c r="K85" i="22"/>
  <c r="H142" i="22"/>
  <c r="D90" i="22"/>
  <c r="I125" i="22"/>
  <c r="J69" i="91"/>
  <c r="N32" i="36"/>
  <c r="O66" i="85"/>
  <c r="M71" i="85"/>
  <c r="O66" i="97"/>
  <c r="M71" i="97"/>
  <c r="J55" i="91"/>
  <c r="N31" i="36"/>
  <c r="O66" i="79"/>
  <c r="M71" i="79"/>
  <c r="J41" i="91"/>
  <c r="N30" i="36"/>
  <c r="AF71" i="22"/>
  <c r="M66" i="22"/>
  <c r="K71" i="22"/>
  <c r="J6" i="91"/>
  <c r="J92" i="91" s="1"/>
  <c r="J30" i="39"/>
  <c r="J36" i="39" s="1"/>
  <c r="J131" i="22"/>
  <c r="J12" i="91" s="1"/>
  <c r="O28" i="85"/>
  <c r="M33" i="85"/>
  <c r="H69" i="91"/>
  <c r="L32" i="36"/>
  <c r="O28" i="97"/>
  <c r="M33" i="97"/>
  <c r="H55" i="91"/>
  <c r="L31" i="36"/>
  <c r="O28" i="79"/>
  <c r="M33" i="79"/>
  <c r="H41" i="91"/>
  <c r="L30" i="36"/>
  <c r="O28" i="22"/>
  <c r="M33" i="22"/>
  <c r="AF80" i="90"/>
  <c r="M108" i="85"/>
  <c r="K80" i="90"/>
  <c r="D20" i="94"/>
  <c r="D28" i="94" s="1"/>
  <c r="U13" i="90"/>
  <c r="U13" i="39"/>
  <c r="J7" i="36"/>
  <c r="N27" i="93"/>
  <c r="N36" i="93" s="1"/>
  <c r="K28" i="94" s="1"/>
  <c r="N13" i="90"/>
  <c r="N114" i="90" s="1"/>
  <c r="N13" i="39"/>
  <c r="K108" i="22"/>
  <c r="D146" i="22"/>
  <c r="I7" i="36"/>
  <c r="N7" i="36" s="1"/>
  <c r="D27" i="93"/>
  <c r="D36" i="93" s="1"/>
  <c r="D13" i="90"/>
  <c r="D13" i="39"/>
  <c r="AF79" i="90"/>
  <c r="M107" i="85"/>
  <c r="K79" i="90"/>
  <c r="M107" i="79"/>
  <c r="K46" i="90"/>
  <c r="M105" i="79"/>
  <c r="K44" i="90"/>
  <c r="D9" i="36"/>
  <c r="W12" i="89"/>
  <c r="V17" i="89"/>
  <c r="W17" i="89" s="1"/>
  <c r="O47" i="85"/>
  <c r="M52" i="85"/>
  <c r="G69" i="91"/>
  <c r="K32" i="36"/>
  <c r="H3" i="83"/>
  <c r="D9" i="83"/>
  <c r="E23" i="36" s="1"/>
  <c r="O47" i="97"/>
  <c r="M52" i="97"/>
  <c r="G55" i="91"/>
  <c r="K31" i="36"/>
  <c r="D9" i="98"/>
  <c r="E22" i="36" s="1"/>
  <c r="O9" i="97"/>
  <c r="M14" i="97"/>
  <c r="M104" i="97"/>
  <c r="K60" i="90"/>
  <c r="K9" i="99"/>
  <c r="O47" i="79"/>
  <c r="M52" i="79"/>
  <c r="G41" i="91"/>
  <c r="K30" i="36"/>
  <c r="D9" i="80"/>
  <c r="E21" i="36" s="1"/>
  <c r="O9" i="79"/>
  <c r="O14" i="79" s="1"/>
  <c r="M14" i="79"/>
  <c r="K55" i="91"/>
  <c r="O31" i="36"/>
  <c r="D69" i="91"/>
  <c r="I32" i="36"/>
  <c r="P32" i="36" s="1"/>
  <c r="D55" i="91"/>
  <c r="I31" i="36"/>
  <c r="D41" i="91"/>
  <c r="I30" i="36"/>
  <c r="D27" i="91"/>
  <c r="I29" i="36"/>
  <c r="L131" i="22"/>
  <c r="L32" i="39"/>
  <c r="L36" i="39" s="1"/>
  <c r="L45" i="39" s="1"/>
  <c r="L8" i="91"/>
  <c r="L94" i="91" s="1"/>
  <c r="K131" i="22"/>
  <c r="K12" i="91" s="1"/>
  <c r="K98" i="91" s="1"/>
  <c r="K8" i="91"/>
  <c r="K94" i="91" s="1"/>
  <c r="K32" i="39"/>
  <c r="K36" i="39" s="1"/>
  <c r="I147" i="75"/>
  <c r="O29" i="36" s="1"/>
  <c r="F4" i="77"/>
  <c r="I147" i="79"/>
  <c r="O30" i="36" s="1"/>
  <c r="F3" i="80"/>
  <c r="F9" i="80" s="1"/>
  <c r="G21" i="36" s="1"/>
  <c r="I147" i="22"/>
  <c r="F3" i="36"/>
  <c r="K3" i="36"/>
  <c r="K9" i="36" s="1"/>
  <c r="D30" i="39"/>
  <c r="D36" i="39" s="1"/>
  <c r="D6" i="91"/>
  <c r="D92" i="91" s="1"/>
  <c r="D131" i="22"/>
  <c r="D12" i="91" s="1"/>
  <c r="F23" i="64"/>
  <c r="G23" i="64"/>
  <c r="H23" i="64"/>
  <c r="O47" i="22"/>
  <c r="M52" i="22"/>
  <c r="AF13" i="79"/>
  <c r="AG13" i="79" s="1"/>
  <c r="AH13" i="79" s="1"/>
  <c r="Z108" i="79"/>
  <c r="L13" i="81"/>
  <c r="L47" i="90"/>
  <c r="L114" i="90" s="1"/>
  <c r="J13" i="81"/>
  <c r="J47" i="90"/>
  <c r="J114" i="90" s="1"/>
  <c r="AD108" i="79"/>
  <c r="AF12" i="79"/>
  <c r="AG12" i="79" s="1"/>
  <c r="AH12" i="79" s="1"/>
  <c r="Z107" i="79"/>
  <c r="L12" i="81"/>
  <c r="L46" i="90"/>
  <c r="L113" i="90" s="1"/>
  <c r="AD107" i="79"/>
  <c r="J12" i="81"/>
  <c r="K12" i="81" s="1"/>
  <c r="M12" i="81" s="1"/>
  <c r="O12" i="81" s="1"/>
  <c r="J46" i="90"/>
  <c r="J113" i="90" s="1"/>
  <c r="F22" i="64"/>
  <c r="G22" i="64"/>
  <c r="H22" i="64"/>
  <c r="AF11" i="79"/>
  <c r="AG11" i="79" s="1"/>
  <c r="AH11" i="79" s="1"/>
  <c r="Z106" i="79"/>
  <c r="L11" i="81"/>
  <c r="L45" i="90"/>
  <c r="L112" i="90" s="1"/>
  <c r="F21" i="64"/>
  <c r="G21" i="64"/>
  <c r="H21" i="64"/>
  <c r="AD106" i="79"/>
  <c r="J11" i="81"/>
  <c r="J45" i="90"/>
  <c r="J112" i="90" s="1"/>
  <c r="AF10" i="79"/>
  <c r="AG10" i="79" s="1"/>
  <c r="AH10" i="79" s="1"/>
  <c r="Z105" i="79"/>
  <c r="L10" i="81"/>
  <c r="L44" i="90"/>
  <c r="L111" i="90" s="1"/>
  <c r="AD105" i="79"/>
  <c r="J10" i="81"/>
  <c r="K10" i="81" s="1"/>
  <c r="M10" i="81" s="1"/>
  <c r="O10" i="81" s="1"/>
  <c r="J44" i="90"/>
  <c r="J111" i="90" s="1"/>
  <c r="F20" i="64"/>
  <c r="G20" i="64"/>
  <c r="H20" i="64"/>
  <c r="AF9" i="79"/>
  <c r="Z14" i="79"/>
  <c r="Z104" i="79"/>
  <c r="L9" i="81"/>
  <c r="L43" i="90"/>
  <c r="L110" i="90" s="1"/>
  <c r="L109" i="79"/>
  <c r="L48" i="90" s="1"/>
  <c r="Q31" i="95"/>
  <c r="S31" i="95" s="1"/>
  <c r="L28" i="93"/>
  <c r="L14" i="90"/>
  <c r="L115" i="90" s="1"/>
  <c r="Z109" i="22"/>
  <c r="I16" i="94"/>
  <c r="I24" i="94" s="1"/>
  <c r="Z9" i="90"/>
  <c r="Z9" i="39"/>
  <c r="AD104" i="79"/>
  <c r="J9" i="81"/>
  <c r="J43" i="90"/>
  <c r="J110" i="90" s="1"/>
  <c r="J109" i="79"/>
  <c r="J48" i="90" s="1"/>
  <c r="F19" i="64"/>
  <c r="G19" i="64"/>
  <c r="H19" i="64"/>
  <c r="E24" i="64"/>
  <c r="J28" i="93"/>
  <c r="J14" i="90"/>
  <c r="O9" i="22"/>
  <c r="M14" i="22"/>
  <c r="AA13" i="90"/>
  <c r="J20" i="94"/>
  <c r="J28" i="94" s="1"/>
  <c r="AA13" i="39"/>
  <c r="Y13" i="90"/>
  <c r="H20" i="94"/>
  <c r="H28" i="94" s="1"/>
  <c r="Y13" i="39"/>
  <c r="Y108" i="97"/>
  <c r="Y90" i="97"/>
  <c r="X13" i="90"/>
  <c r="G20" i="94"/>
  <c r="G28" i="94" s="1"/>
  <c r="X13" i="39"/>
  <c r="X108" i="97"/>
  <c r="X90" i="97"/>
  <c r="W13" i="90"/>
  <c r="F20" i="94"/>
  <c r="F28" i="94" s="1"/>
  <c r="W13" i="39"/>
  <c r="W108" i="97"/>
  <c r="W90" i="97"/>
  <c r="V13" i="39"/>
  <c r="V13" i="90"/>
  <c r="E20" i="94"/>
  <c r="E28" i="94" s="1"/>
  <c r="V108" i="97"/>
  <c r="V90" i="97"/>
  <c r="I108" i="97"/>
  <c r="I90" i="97"/>
  <c r="H108" i="97"/>
  <c r="H90" i="97"/>
  <c r="G108" i="97"/>
  <c r="G90" i="97"/>
  <c r="F108" i="97"/>
  <c r="F90" i="97"/>
  <c r="E108" i="97"/>
  <c r="E90" i="97"/>
  <c r="AB96" i="90"/>
  <c r="AB12" i="88"/>
  <c r="AF12" i="88" s="1"/>
  <c r="AG12" i="88" s="1"/>
  <c r="AH12" i="88" s="1"/>
  <c r="AF71" i="86"/>
  <c r="AF33" i="86"/>
  <c r="AB97" i="90"/>
  <c r="AB13" i="88"/>
  <c r="AF13" i="88" s="1"/>
  <c r="AG13" i="88" s="1"/>
  <c r="AH13" i="88" s="1"/>
  <c r="AB95" i="90"/>
  <c r="AB11" i="88"/>
  <c r="AF11" i="88" s="1"/>
  <c r="AG11" i="88" s="1"/>
  <c r="AH11" i="88" s="1"/>
  <c r="AB94" i="90"/>
  <c r="AB10" i="88"/>
  <c r="AF10" i="88" s="1"/>
  <c r="AG10" i="88" s="1"/>
  <c r="AH10" i="88" s="1"/>
  <c r="AB78" i="90"/>
  <c r="AB11" i="82"/>
  <c r="AF11" i="82" s="1"/>
  <c r="AG11" i="82" s="1"/>
  <c r="AH11" i="82" s="1"/>
  <c r="AF33" i="97"/>
  <c r="AF71" i="75"/>
  <c r="AF52" i="75"/>
  <c r="AF33" i="75"/>
  <c r="AB30" i="90"/>
  <c r="AB13" i="76"/>
  <c r="AF13" i="76" s="1"/>
  <c r="AG13" i="76" s="1"/>
  <c r="AH13" i="76" s="1"/>
  <c r="AB28" i="90"/>
  <c r="AB11" i="76"/>
  <c r="AF11" i="76" s="1"/>
  <c r="AG11" i="76" s="1"/>
  <c r="AH11" i="76" s="1"/>
  <c r="AE33" i="69"/>
  <c r="AB89" i="97"/>
  <c r="AB89" i="79"/>
  <c r="AB87" i="97"/>
  <c r="AB87" i="79"/>
  <c r="AC9" i="39"/>
  <c r="AC14" i="39" s="1"/>
  <c r="AC9" i="90"/>
  <c r="AC110" i="90" s="1"/>
  <c r="AC109" i="22"/>
  <c r="AC14" i="90" s="1"/>
  <c r="AC115" i="90" s="1"/>
  <c r="AA9" i="90"/>
  <c r="J16" i="94"/>
  <c r="J24" i="94" s="1"/>
  <c r="AA9" i="39"/>
  <c r="AA109" i="22"/>
  <c r="Y9" i="90"/>
  <c r="H16" i="94"/>
  <c r="H24" i="94" s="1"/>
  <c r="Y9" i="39"/>
  <c r="Y14" i="39" s="1"/>
  <c r="Y109" i="22"/>
  <c r="X9" i="39"/>
  <c r="X109" i="22"/>
  <c r="X9" i="90"/>
  <c r="G16" i="94"/>
  <c r="G24" i="94" s="1"/>
  <c r="W9" i="39"/>
  <c r="W14" i="39" s="1"/>
  <c r="W9" i="90"/>
  <c r="F16" i="94"/>
  <c r="F24" i="94" s="1"/>
  <c r="W109" i="22"/>
  <c r="V9" i="90"/>
  <c r="E16" i="94"/>
  <c r="E24" i="94" s="1"/>
  <c r="V109" i="22"/>
  <c r="V9" i="39"/>
  <c r="V14" i="39" s="1"/>
  <c r="I109" i="22"/>
  <c r="I9" i="90"/>
  <c r="I23" i="93"/>
  <c r="I32" i="93" s="1"/>
  <c r="I9" i="39"/>
  <c r="H9" i="90"/>
  <c r="H23" i="93"/>
  <c r="H32" i="93" s="1"/>
  <c r="H109" i="22"/>
  <c r="H9" i="39"/>
  <c r="H14" i="39" s="1"/>
  <c r="H44" i="39" s="1"/>
  <c r="G109" i="22"/>
  <c r="G9" i="39"/>
  <c r="G14" i="39" s="1"/>
  <c r="G44" i="39" s="1"/>
  <c r="G9" i="90"/>
  <c r="G23" i="93"/>
  <c r="G32" i="93" s="1"/>
  <c r="AF33" i="85"/>
  <c r="AF33" i="79"/>
  <c r="AF33" i="22"/>
  <c r="AB80" i="90"/>
  <c r="AB13" i="82"/>
  <c r="AB79" i="90"/>
  <c r="AB12" i="82"/>
  <c r="AF52" i="85"/>
  <c r="AF52" i="97"/>
  <c r="AF52" i="79"/>
  <c r="AF52" i="22"/>
  <c r="Z12" i="39"/>
  <c r="Z12" i="90"/>
  <c r="I19" i="94"/>
  <c r="I27" i="94" s="1"/>
  <c r="Z11" i="90"/>
  <c r="I18" i="94"/>
  <c r="I26" i="94" s="1"/>
  <c r="Z11" i="39"/>
  <c r="Z10" i="90"/>
  <c r="I17" i="94"/>
  <c r="I25" i="94" s="1"/>
  <c r="Z10" i="39"/>
  <c r="H7" i="87"/>
  <c r="O7" i="87" s="1"/>
  <c r="P7" i="87" s="1"/>
  <c r="H6" i="87"/>
  <c r="O6" i="87" s="1"/>
  <c r="P6" i="87" s="1"/>
  <c r="H5" i="87"/>
  <c r="O5" i="87" s="1"/>
  <c r="P5" i="87" s="1"/>
  <c r="H4" i="87"/>
  <c r="O4" i="87" s="1"/>
  <c r="P4" i="87" s="1"/>
  <c r="N44" i="88"/>
  <c r="I44" i="88"/>
  <c r="H44" i="88"/>
  <c r="F44" i="88"/>
  <c r="E44" i="88"/>
  <c r="L143" i="85"/>
  <c r="M143" i="85" s="1"/>
  <c r="K10" i="82"/>
  <c r="M10" i="82" s="1"/>
  <c r="O10" i="82" s="1"/>
  <c r="AG10" i="82" s="1"/>
  <c r="AH10" i="82" s="1"/>
  <c r="AE14" i="82"/>
  <c r="AC14" i="82"/>
  <c r="AA14" i="82"/>
  <c r="Y14" i="82"/>
  <c r="X14" i="82"/>
  <c r="W14" i="82"/>
  <c r="V14" i="82"/>
  <c r="J9" i="83"/>
  <c r="K23" i="36" s="1"/>
  <c r="N14" i="82"/>
  <c r="N44" i="82" s="1"/>
  <c r="I14" i="82"/>
  <c r="I44" i="82" s="1"/>
  <c r="H14" i="82"/>
  <c r="H44" i="82" s="1"/>
  <c r="G14" i="82"/>
  <c r="G44" i="82" s="1"/>
  <c r="F14" i="82"/>
  <c r="F44" i="82" s="1"/>
  <c r="E14" i="82"/>
  <c r="E44" i="82" s="1"/>
  <c r="Z14" i="99"/>
  <c r="O6" i="98"/>
  <c r="P6" i="98" s="1"/>
  <c r="M25" i="36"/>
  <c r="J36" i="76"/>
  <c r="J45" i="76" s="1"/>
  <c r="O7" i="77"/>
  <c r="P7" i="77" s="1"/>
  <c r="G95" i="91"/>
  <c r="O5" i="77"/>
  <c r="P5" i="77" s="1"/>
  <c r="G36" i="76"/>
  <c r="G45" i="76" s="1"/>
  <c r="G92" i="91"/>
  <c r="AC14" i="76"/>
  <c r="J94" i="91"/>
  <c r="L46" i="99"/>
  <c r="L46" i="81"/>
  <c r="G36" i="82"/>
  <c r="G45" i="82" s="1"/>
  <c r="AC14" i="99"/>
  <c r="O5" i="83"/>
  <c r="P5" i="83" s="1"/>
  <c r="AC14" i="81"/>
  <c r="AF51" i="69"/>
  <c r="AG51" i="69" s="1"/>
  <c r="AF50" i="69"/>
  <c r="AG50" i="69" s="1"/>
  <c r="AF49" i="69"/>
  <c r="AG49" i="69" s="1"/>
  <c r="AF48" i="69"/>
  <c r="AG48" i="69" s="1"/>
  <c r="AA90" i="22"/>
  <c r="Y90" i="22"/>
  <c r="X90" i="22"/>
  <c r="W90" i="22"/>
  <c r="V90" i="22"/>
  <c r="I90" i="22"/>
  <c r="H90" i="22"/>
  <c r="G90" i="22"/>
  <c r="H96" i="91"/>
  <c r="H95" i="91"/>
  <c r="H94" i="91"/>
  <c r="H93" i="91"/>
  <c r="K147" i="85"/>
  <c r="H36" i="82"/>
  <c r="H45" i="82" s="1"/>
  <c r="H92" i="91"/>
  <c r="O7" i="83"/>
  <c r="P7" i="83" s="1"/>
  <c r="AF13" i="82"/>
  <c r="K13" i="82"/>
  <c r="M13" i="82" s="1"/>
  <c r="O13" i="82" s="1"/>
  <c r="O6" i="83"/>
  <c r="P6" i="83" s="1"/>
  <c r="AF12" i="82"/>
  <c r="K12" i="82"/>
  <c r="M12" i="82" s="1"/>
  <c r="O12" i="82" s="1"/>
  <c r="G94" i="91"/>
  <c r="O4" i="80"/>
  <c r="P4" i="80" s="1"/>
  <c r="J147" i="85"/>
  <c r="L24" i="36"/>
  <c r="E98" i="91"/>
  <c r="AC113" i="90"/>
  <c r="AA113" i="90"/>
  <c r="X113" i="90"/>
  <c r="I113" i="90"/>
  <c r="I112" i="90"/>
  <c r="E112" i="90"/>
  <c r="Y113" i="90"/>
  <c r="W113" i="90"/>
  <c r="V113" i="90"/>
  <c r="H113" i="90"/>
  <c r="F113" i="90"/>
  <c r="E113" i="90"/>
  <c r="AC112" i="90"/>
  <c r="Y112" i="90"/>
  <c r="W112" i="90"/>
  <c r="G112" i="90"/>
  <c r="F112" i="90"/>
  <c r="AC111" i="90"/>
  <c r="O90" i="86"/>
  <c r="AG85" i="86"/>
  <c r="AB108" i="22"/>
  <c r="AF13" i="22"/>
  <c r="AG13" i="22" s="1"/>
  <c r="AH13" i="22" s="1"/>
  <c r="AA108" i="97"/>
  <c r="AA90" i="97"/>
  <c r="I13" i="39"/>
  <c r="I13" i="90"/>
  <c r="I27" i="93"/>
  <c r="I36" i="93" s="1"/>
  <c r="E13" i="39"/>
  <c r="E13" i="90"/>
  <c r="E27" i="93"/>
  <c r="E36" i="93" s="1"/>
  <c r="AG10" i="86"/>
  <c r="AH10" i="86" s="1"/>
  <c r="AF14" i="86"/>
  <c r="AG11" i="75"/>
  <c r="AH11" i="75" s="1"/>
  <c r="AF14" i="75"/>
  <c r="AF10" i="69"/>
  <c r="AG10" i="69" s="1"/>
  <c r="AE14" i="69"/>
  <c r="AG12" i="85"/>
  <c r="AH12" i="85" s="1"/>
  <c r="AF14" i="85"/>
  <c r="AG10" i="22"/>
  <c r="AH10" i="22" s="1"/>
  <c r="AF14" i="22"/>
  <c r="Q32" i="36" l="1"/>
  <c r="N33" i="36"/>
  <c r="G98" i="91"/>
  <c r="K33" i="36"/>
  <c r="E24" i="36"/>
  <c r="E25" i="36" s="1"/>
  <c r="H98" i="91"/>
  <c r="L33" i="36"/>
  <c r="J115" i="90"/>
  <c r="AA14" i="39"/>
  <c r="X14" i="39"/>
  <c r="AG12" i="82"/>
  <c r="AH12" i="82" s="1"/>
  <c r="L25" i="36"/>
  <c r="O7" i="36"/>
  <c r="P7" i="36" s="1"/>
  <c r="O33" i="97"/>
  <c r="AG28" i="97"/>
  <c r="O52" i="22"/>
  <c r="AG47" i="22"/>
  <c r="AB106" i="79"/>
  <c r="AF87" i="79"/>
  <c r="AG87" i="79" s="1"/>
  <c r="AH87" i="79" s="1"/>
  <c r="AG47" i="86"/>
  <c r="O52" i="86"/>
  <c r="H9" i="87"/>
  <c r="O3" i="87"/>
  <c r="O108" i="86"/>
  <c r="M97" i="90"/>
  <c r="O107" i="86"/>
  <c r="M96" i="90"/>
  <c r="O106" i="86"/>
  <c r="M95" i="90"/>
  <c r="O105" i="86"/>
  <c r="M94" i="90"/>
  <c r="AG9" i="86"/>
  <c r="O14" i="86"/>
  <c r="M109" i="86"/>
  <c r="M98" i="90" s="1"/>
  <c r="O104" i="86"/>
  <c r="M93" i="90"/>
  <c r="M142" i="86"/>
  <c r="L147" i="86"/>
  <c r="M147" i="86" s="1"/>
  <c r="M9" i="88"/>
  <c r="K14" i="88"/>
  <c r="K44" i="88" s="1"/>
  <c r="AG90" i="85"/>
  <c r="AH90" i="85" s="1"/>
  <c r="AH85" i="85"/>
  <c r="O106" i="85"/>
  <c r="M78" i="90"/>
  <c r="O105" i="85"/>
  <c r="M77" i="90"/>
  <c r="AG9" i="85"/>
  <c r="O14" i="85"/>
  <c r="O104" i="85"/>
  <c r="M109" i="85"/>
  <c r="M81" i="90" s="1"/>
  <c r="M76" i="90"/>
  <c r="M142" i="85"/>
  <c r="L147" i="85"/>
  <c r="M147" i="85" s="1"/>
  <c r="M9" i="82"/>
  <c r="K14" i="82"/>
  <c r="K44" i="82" s="1"/>
  <c r="O105" i="97"/>
  <c r="M61" i="90"/>
  <c r="O107" i="97"/>
  <c r="O63" i="90" s="1"/>
  <c r="M63" i="90"/>
  <c r="O106" i="97"/>
  <c r="O62" i="90" s="1"/>
  <c r="M62" i="90"/>
  <c r="D25" i="36"/>
  <c r="AG85" i="75"/>
  <c r="O3" i="77"/>
  <c r="O108" i="75"/>
  <c r="M30" i="90"/>
  <c r="O106" i="75"/>
  <c r="M28" i="90"/>
  <c r="AG9" i="75"/>
  <c r="O14" i="75"/>
  <c r="O104" i="75"/>
  <c r="M26" i="90"/>
  <c r="M142" i="75"/>
  <c r="M9" i="76"/>
  <c r="AE109" i="97"/>
  <c r="AE65" i="90" s="1"/>
  <c r="AE64" i="90"/>
  <c r="AE13" i="99"/>
  <c r="AE14" i="99" s="1"/>
  <c r="AD108" i="97"/>
  <c r="AF108" i="97" s="1"/>
  <c r="AD108" i="22"/>
  <c r="AE13" i="39"/>
  <c r="AE13" i="90"/>
  <c r="L20" i="94"/>
  <c r="U47" i="90"/>
  <c r="U13" i="81"/>
  <c r="AF108" i="79"/>
  <c r="U109" i="97"/>
  <c r="U64" i="90"/>
  <c r="U13" i="99"/>
  <c r="D146" i="79"/>
  <c r="L146" i="79" s="1"/>
  <c r="M146" i="79" s="1"/>
  <c r="D47" i="90"/>
  <c r="D13" i="81"/>
  <c r="K13" i="81" s="1"/>
  <c r="M13" i="81" s="1"/>
  <c r="O13" i="81" s="1"/>
  <c r="I7" i="80"/>
  <c r="N7" i="80" s="1"/>
  <c r="O7" i="80" s="1"/>
  <c r="P7" i="80" s="1"/>
  <c r="K108" i="79"/>
  <c r="I34" i="81"/>
  <c r="I39" i="91"/>
  <c r="D109" i="97"/>
  <c r="I7" i="98"/>
  <c r="D64" i="90"/>
  <c r="D114" i="90" s="1"/>
  <c r="D13" i="99"/>
  <c r="D146" i="97"/>
  <c r="L146" i="97" s="1"/>
  <c r="M146" i="97" s="1"/>
  <c r="K108" i="97"/>
  <c r="K90" i="97"/>
  <c r="M89" i="97"/>
  <c r="I34" i="99"/>
  <c r="I53" i="91"/>
  <c r="I34" i="39"/>
  <c r="I10" i="91"/>
  <c r="AD107" i="75"/>
  <c r="AE12" i="76"/>
  <c r="AE29" i="90"/>
  <c r="AD107" i="22"/>
  <c r="AE12" i="90"/>
  <c r="AE113" i="90" s="1"/>
  <c r="L19" i="94"/>
  <c r="AE12" i="39"/>
  <c r="U29" i="90"/>
  <c r="U12" i="76"/>
  <c r="AF107" i="75"/>
  <c r="U12" i="39"/>
  <c r="U12" i="90"/>
  <c r="U113" i="90" s="1"/>
  <c r="D19" i="94"/>
  <c r="D27" i="94" s="1"/>
  <c r="AF107" i="22"/>
  <c r="N29" i="90"/>
  <c r="N12" i="76"/>
  <c r="J6" i="77"/>
  <c r="N12" i="39"/>
  <c r="N12" i="90"/>
  <c r="N113" i="90" s="1"/>
  <c r="N26" i="93"/>
  <c r="N35" i="93" s="1"/>
  <c r="K27" i="94" s="1"/>
  <c r="J6" i="36"/>
  <c r="D29" i="90"/>
  <c r="D12" i="76"/>
  <c r="K12" i="76" s="1"/>
  <c r="M12" i="76" s="1"/>
  <c r="O12" i="76" s="1"/>
  <c r="I6" i="77"/>
  <c r="N6" i="77" s="1"/>
  <c r="O6" i="77" s="1"/>
  <c r="P6" i="77" s="1"/>
  <c r="D145" i="75"/>
  <c r="L145" i="75" s="1"/>
  <c r="M145" i="75" s="1"/>
  <c r="K107" i="75"/>
  <c r="I33" i="76"/>
  <c r="I24" i="91"/>
  <c r="D12" i="90"/>
  <c r="D113" i="90" s="1"/>
  <c r="D26" i="93"/>
  <c r="D35" i="93" s="1"/>
  <c r="D12" i="39"/>
  <c r="K12" i="39" s="1"/>
  <c r="M12" i="39" s="1"/>
  <c r="O12" i="39" s="1"/>
  <c r="I6" i="36"/>
  <c r="N6" i="36" s="1"/>
  <c r="O6" i="36" s="1"/>
  <c r="P6" i="36" s="1"/>
  <c r="D145" i="22"/>
  <c r="L145" i="22" s="1"/>
  <c r="M145" i="22" s="1"/>
  <c r="K107" i="22"/>
  <c r="I33" i="39"/>
  <c r="I9" i="91"/>
  <c r="I95" i="91" s="1"/>
  <c r="AD106" i="22"/>
  <c r="AE11" i="39"/>
  <c r="L18" i="94"/>
  <c r="AE11" i="90"/>
  <c r="AE112" i="90" s="1"/>
  <c r="U45" i="90"/>
  <c r="U11" i="81"/>
  <c r="AF106" i="79"/>
  <c r="U11" i="39"/>
  <c r="U11" i="90"/>
  <c r="U112" i="90" s="1"/>
  <c r="D18" i="94"/>
  <c r="D26" i="94" s="1"/>
  <c r="AF106" i="22"/>
  <c r="D144" i="97"/>
  <c r="L144" i="97" s="1"/>
  <c r="M144" i="97" s="1"/>
  <c r="J5" i="98"/>
  <c r="N5" i="98" s="1"/>
  <c r="O5" i="98" s="1"/>
  <c r="P5" i="98" s="1"/>
  <c r="N62" i="90"/>
  <c r="N11" i="99"/>
  <c r="O11" i="99" s="1"/>
  <c r="I32" i="99"/>
  <c r="I51" i="91"/>
  <c r="N11" i="90"/>
  <c r="N112" i="90" s="1"/>
  <c r="N25" i="93"/>
  <c r="N34" i="93" s="1"/>
  <c r="K26" i="94" s="1"/>
  <c r="N11" i="39"/>
  <c r="J5" i="36"/>
  <c r="I5" i="80"/>
  <c r="N5" i="80" s="1"/>
  <c r="O5" i="80" s="1"/>
  <c r="P5" i="80" s="1"/>
  <c r="D144" i="79"/>
  <c r="L144" i="79" s="1"/>
  <c r="M144" i="79" s="1"/>
  <c r="D45" i="90"/>
  <c r="D11" i="81"/>
  <c r="K11" i="81" s="1"/>
  <c r="M11" i="81" s="1"/>
  <c r="O11" i="81" s="1"/>
  <c r="K106" i="79"/>
  <c r="I32" i="81"/>
  <c r="I37" i="91"/>
  <c r="D144" i="22"/>
  <c r="L144" i="22" s="1"/>
  <c r="M144" i="22" s="1"/>
  <c r="D11" i="90"/>
  <c r="D25" i="93"/>
  <c r="D34" i="93" s="1"/>
  <c r="D11" i="39"/>
  <c r="K11" i="39" s="1"/>
  <c r="M11" i="39" s="1"/>
  <c r="I5" i="36"/>
  <c r="K106" i="22"/>
  <c r="I32" i="39"/>
  <c r="I8" i="91"/>
  <c r="AE109" i="75"/>
  <c r="AE31" i="90" s="1"/>
  <c r="AD105" i="75"/>
  <c r="AE27" i="90"/>
  <c r="AE10" i="76"/>
  <c r="AD105" i="22"/>
  <c r="AE10" i="39"/>
  <c r="L17" i="94"/>
  <c r="AE10" i="90"/>
  <c r="AE111" i="90" s="1"/>
  <c r="U109" i="75"/>
  <c r="U27" i="90"/>
  <c r="U10" i="76"/>
  <c r="AF105" i="22"/>
  <c r="U10" i="90"/>
  <c r="U111" i="90" s="1"/>
  <c r="D17" i="94"/>
  <c r="D25" i="94" s="1"/>
  <c r="U10" i="39"/>
  <c r="N109" i="75"/>
  <c r="N27" i="90"/>
  <c r="N10" i="76"/>
  <c r="J4" i="77"/>
  <c r="AB105" i="75"/>
  <c r="AF105" i="75" s="1"/>
  <c r="AB90" i="75"/>
  <c r="N10" i="90"/>
  <c r="N111" i="90" s="1"/>
  <c r="N24" i="93"/>
  <c r="N33" i="93" s="1"/>
  <c r="K25" i="94" s="1"/>
  <c r="N10" i="39"/>
  <c r="J4" i="36"/>
  <c r="D109" i="75"/>
  <c r="D27" i="90"/>
  <c r="D10" i="76"/>
  <c r="I4" i="77"/>
  <c r="D143" i="75"/>
  <c r="K105" i="75"/>
  <c r="K90" i="75"/>
  <c r="M86" i="75"/>
  <c r="I131" i="75"/>
  <c r="I31" i="76"/>
  <c r="I22" i="91"/>
  <c r="H147" i="75"/>
  <c r="G4" i="77"/>
  <c r="K105" i="22"/>
  <c r="D10" i="39"/>
  <c r="K10" i="39" s="1"/>
  <c r="M10" i="39" s="1"/>
  <c r="O10" i="39" s="1"/>
  <c r="D10" i="90"/>
  <c r="D111" i="90" s="1"/>
  <c r="D24" i="93"/>
  <c r="D33" i="93" s="1"/>
  <c r="I4" i="36"/>
  <c r="N4" i="36" s="1"/>
  <c r="O4" i="36" s="1"/>
  <c r="P4" i="36" s="1"/>
  <c r="D143" i="22"/>
  <c r="L143" i="22" s="1"/>
  <c r="M143" i="22" s="1"/>
  <c r="I7" i="91"/>
  <c r="I93" i="91" s="1"/>
  <c r="I31" i="39"/>
  <c r="AE109" i="79"/>
  <c r="AE48" i="90" s="1"/>
  <c r="AE43" i="90"/>
  <c r="AE9" i="81"/>
  <c r="AE14" i="81" s="1"/>
  <c r="AD104" i="22"/>
  <c r="AE9" i="90"/>
  <c r="AE110" i="90" s="1"/>
  <c r="L16" i="94"/>
  <c r="AE9" i="39"/>
  <c r="AE109" i="22"/>
  <c r="AA109" i="79"/>
  <c r="AA48" i="90" s="1"/>
  <c r="AA43" i="90"/>
  <c r="AA110" i="90" s="1"/>
  <c r="AA9" i="81"/>
  <c r="AA14" i="81" s="1"/>
  <c r="Y109" i="79"/>
  <c r="Y48" i="90" s="1"/>
  <c r="Y43" i="90"/>
  <c r="Y110" i="90" s="1"/>
  <c r="Y9" i="81"/>
  <c r="Y14" i="81" s="1"/>
  <c r="X109" i="79"/>
  <c r="X48" i="90" s="1"/>
  <c r="X43" i="90"/>
  <c r="X110" i="90" s="1"/>
  <c r="X9" i="81"/>
  <c r="X14" i="81" s="1"/>
  <c r="W109" i="79"/>
  <c r="W48" i="90" s="1"/>
  <c r="W43" i="90"/>
  <c r="W110" i="90" s="1"/>
  <c r="W9" i="81"/>
  <c r="W14" i="81" s="1"/>
  <c r="V109" i="79"/>
  <c r="V48" i="90" s="1"/>
  <c r="V43" i="90"/>
  <c r="V110" i="90" s="1"/>
  <c r="V9" i="81"/>
  <c r="V14" i="81" s="1"/>
  <c r="U109" i="79"/>
  <c r="U43" i="90"/>
  <c r="U9" i="81"/>
  <c r="U9" i="90"/>
  <c r="U110" i="90" s="1"/>
  <c r="D16" i="94"/>
  <c r="D24" i="94" s="1"/>
  <c r="U9" i="39"/>
  <c r="U109" i="22"/>
  <c r="AB104" i="79"/>
  <c r="AF104" i="79" s="1"/>
  <c r="AB90" i="79"/>
  <c r="AB104" i="97"/>
  <c r="AF85" i="97"/>
  <c r="AB90" i="97"/>
  <c r="J3" i="80"/>
  <c r="J9" i="80" s="1"/>
  <c r="K21" i="36" s="1"/>
  <c r="N109" i="79"/>
  <c r="N43" i="90"/>
  <c r="N9" i="81"/>
  <c r="N14" i="81" s="1"/>
  <c r="N45" i="81" s="1"/>
  <c r="D142" i="97"/>
  <c r="N9" i="99"/>
  <c r="N60" i="90"/>
  <c r="J3" i="98"/>
  <c r="N109" i="97"/>
  <c r="I131" i="97"/>
  <c r="I30" i="99"/>
  <c r="I49" i="91"/>
  <c r="H147" i="97"/>
  <c r="G3" i="98"/>
  <c r="N9" i="39"/>
  <c r="N9" i="90"/>
  <c r="N110" i="90" s="1"/>
  <c r="N23" i="93"/>
  <c r="N32" i="93" s="1"/>
  <c r="K24" i="94" s="1"/>
  <c r="J3" i="36"/>
  <c r="N109" i="22"/>
  <c r="AB104" i="22"/>
  <c r="AF104" i="22" s="1"/>
  <c r="AB90" i="22"/>
  <c r="I109" i="79"/>
  <c r="I48" i="90" s="1"/>
  <c r="I43" i="90"/>
  <c r="I110" i="90" s="1"/>
  <c r="I9" i="81"/>
  <c r="I14" i="81" s="1"/>
  <c r="I45" i="81" s="1"/>
  <c r="H109" i="79"/>
  <c r="H48" i="90" s="1"/>
  <c r="H43" i="90"/>
  <c r="H110" i="90" s="1"/>
  <c r="H9" i="81"/>
  <c r="H14" i="81" s="1"/>
  <c r="H45" i="81" s="1"/>
  <c r="G109" i="79"/>
  <c r="G48" i="90" s="1"/>
  <c r="G43" i="90"/>
  <c r="G110" i="90" s="1"/>
  <c r="G9" i="81"/>
  <c r="G14" i="81" s="1"/>
  <c r="G45" i="81" s="1"/>
  <c r="F109" i="79"/>
  <c r="F48" i="90" s="1"/>
  <c r="F43" i="90"/>
  <c r="F9" i="81"/>
  <c r="F14" i="81" s="1"/>
  <c r="F45" i="81" s="1"/>
  <c r="F9" i="90"/>
  <c r="F110" i="90" s="1"/>
  <c r="F23" i="93"/>
  <c r="F32" i="93" s="1"/>
  <c r="F9" i="39"/>
  <c r="F14" i="39" s="1"/>
  <c r="F109" i="22"/>
  <c r="E109" i="79"/>
  <c r="E48" i="90" s="1"/>
  <c r="E43" i="90"/>
  <c r="E9" i="81"/>
  <c r="E14" i="81" s="1"/>
  <c r="E45" i="81" s="1"/>
  <c r="E9" i="39"/>
  <c r="E14" i="39" s="1"/>
  <c r="E9" i="90"/>
  <c r="E110" i="90" s="1"/>
  <c r="E23" i="93"/>
  <c r="E32" i="93" s="1"/>
  <c r="E109" i="22"/>
  <c r="AF9" i="69"/>
  <c r="O14" i="69"/>
  <c r="O47" i="69"/>
  <c r="M52" i="69"/>
  <c r="I3" i="80"/>
  <c r="D142" i="79"/>
  <c r="D109" i="79"/>
  <c r="D43" i="90"/>
  <c r="D9" i="81"/>
  <c r="K104" i="79"/>
  <c r="M85" i="79"/>
  <c r="K90" i="79"/>
  <c r="I131" i="79"/>
  <c r="I30" i="81"/>
  <c r="I35" i="91"/>
  <c r="H147" i="79"/>
  <c r="G3" i="80"/>
  <c r="D109" i="22"/>
  <c r="D142" i="22"/>
  <c r="D9" i="90"/>
  <c r="D110" i="90" s="1"/>
  <c r="D23" i="93"/>
  <c r="D32" i="93" s="1"/>
  <c r="D9" i="39"/>
  <c r="I3" i="36"/>
  <c r="K104" i="22"/>
  <c r="M85" i="22"/>
  <c r="K90" i="22"/>
  <c r="H147" i="22"/>
  <c r="G3" i="36"/>
  <c r="I131" i="22"/>
  <c r="I12" i="91" s="1"/>
  <c r="I6" i="91"/>
  <c r="I92" i="91" s="1"/>
  <c r="I30" i="39"/>
  <c r="AG66" i="85"/>
  <c r="O71" i="85"/>
  <c r="AG66" i="97"/>
  <c r="O71" i="97"/>
  <c r="AG66" i="79"/>
  <c r="O71" i="79"/>
  <c r="O66" i="22"/>
  <c r="M71" i="22"/>
  <c r="O108" i="85"/>
  <c r="M80" i="90"/>
  <c r="M108" i="22"/>
  <c r="K27" i="93"/>
  <c r="K36" i="93" s="1"/>
  <c r="K13" i="90"/>
  <c r="O107" i="85"/>
  <c r="M79" i="90"/>
  <c r="O107" i="79"/>
  <c r="O46" i="90" s="1"/>
  <c r="M46" i="90"/>
  <c r="O105" i="79"/>
  <c r="O44" i="90" s="1"/>
  <c r="M44" i="90"/>
  <c r="H9" i="83"/>
  <c r="I23" i="36" s="1"/>
  <c r="O3" i="83"/>
  <c r="AG9" i="97"/>
  <c r="O14" i="97"/>
  <c r="O104" i="97"/>
  <c r="M60" i="90"/>
  <c r="M9" i="99"/>
  <c r="I33" i="36"/>
  <c r="P4" i="70"/>
  <c r="L12" i="91"/>
  <c r="L98" i="91" s="1"/>
  <c r="K45" i="39"/>
  <c r="J45" i="39"/>
  <c r="F9" i="77"/>
  <c r="G20" i="36" s="1"/>
  <c r="G24" i="36" s="1"/>
  <c r="F9" i="36"/>
  <c r="Z13" i="81"/>
  <c r="Z47" i="90"/>
  <c r="Z114" i="90" s="1"/>
  <c r="AD13" i="81"/>
  <c r="AD47" i="90"/>
  <c r="AF107" i="79"/>
  <c r="AF46" i="90" s="1"/>
  <c r="Z12" i="81"/>
  <c r="Z46" i="90"/>
  <c r="Z113" i="90" s="1"/>
  <c r="AD12" i="81"/>
  <c r="AD46" i="90"/>
  <c r="Z11" i="81"/>
  <c r="Z45" i="90"/>
  <c r="Z112" i="90" s="1"/>
  <c r="AD11" i="81"/>
  <c r="AD45" i="90"/>
  <c r="AF105" i="79"/>
  <c r="Z10" i="81"/>
  <c r="Z44" i="90"/>
  <c r="Z111" i="90" s="1"/>
  <c r="AD10" i="81"/>
  <c r="AD44" i="90"/>
  <c r="AF14" i="79"/>
  <c r="AG9" i="79"/>
  <c r="Z9" i="81"/>
  <c r="Z14" i="81" s="1"/>
  <c r="Z43" i="90"/>
  <c r="Z110" i="90" s="1"/>
  <c r="Z109" i="79"/>
  <c r="Z48" i="90" s="1"/>
  <c r="I21" i="94"/>
  <c r="I29" i="94" s="1"/>
  <c r="Z14" i="90"/>
  <c r="Z115" i="90" s="1"/>
  <c r="AD9" i="81"/>
  <c r="AD14" i="81" s="1"/>
  <c r="AD43" i="90"/>
  <c r="AD109" i="79"/>
  <c r="AD48" i="90" s="1"/>
  <c r="F24" i="64"/>
  <c r="G24" i="64"/>
  <c r="H24" i="64"/>
  <c r="AG9" i="22"/>
  <c r="O14" i="22"/>
  <c r="Y109" i="97"/>
  <c r="Y65" i="90" s="1"/>
  <c r="Y13" i="99"/>
  <c r="Y14" i="99" s="1"/>
  <c r="Y64" i="90"/>
  <c r="Y114" i="90" s="1"/>
  <c r="X109" i="97"/>
  <c r="X65" i="90" s="1"/>
  <c r="X13" i="99"/>
  <c r="X14" i="99" s="1"/>
  <c r="X64" i="90"/>
  <c r="X114" i="90" s="1"/>
  <c r="W109" i="97"/>
  <c r="W65" i="90" s="1"/>
  <c r="W13" i="99"/>
  <c r="W14" i="99" s="1"/>
  <c r="W64" i="90"/>
  <c r="W114" i="90" s="1"/>
  <c r="V109" i="97"/>
  <c r="V65" i="90" s="1"/>
  <c r="V13" i="99"/>
  <c r="V14" i="99" s="1"/>
  <c r="V64" i="90"/>
  <c r="V114" i="90" s="1"/>
  <c r="I109" i="97"/>
  <c r="I65" i="90" s="1"/>
  <c r="I13" i="99"/>
  <c r="I14" i="99" s="1"/>
  <c r="I45" i="99" s="1"/>
  <c r="I64" i="90"/>
  <c r="I114" i="90" s="1"/>
  <c r="H109" i="97"/>
  <c r="H65" i="90" s="1"/>
  <c r="H13" i="99"/>
  <c r="H14" i="99" s="1"/>
  <c r="H45" i="99" s="1"/>
  <c r="H64" i="90"/>
  <c r="H114" i="90" s="1"/>
  <c r="G109" i="97"/>
  <c r="G65" i="90" s="1"/>
  <c r="G13" i="99"/>
  <c r="G14" i="99" s="1"/>
  <c r="G45" i="99" s="1"/>
  <c r="G64" i="90"/>
  <c r="G114" i="90" s="1"/>
  <c r="F109" i="97"/>
  <c r="F65" i="90" s="1"/>
  <c r="F13" i="99"/>
  <c r="F14" i="99" s="1"/>
  <c r="F45" i="99" s="1"/>
  <c r="F64" i="90"/>
  <c r="F114" i="90" s="1"/>
  <c r="E109" i="97"/>
  <c r="E65" i="90" s="1"/>
  <c r="E13" i="99"/>
  <c r="E14" i="99" s="1"/>
  <c r="E45" i="99" s="1"/>
  <c r="E64" i="90"/>
  <c r="E114" i="90" s="1"/>
  <c r="AH28" i="97"/>
  <c r="AG33" i="97"/>
  <c r="AH33" i="97" s="1"/>
  <c r="AG28" i="69"/>
  <c r="AF33" i="69"/>
  <c r="AG33" i="69" s="1"/>
  <c r="AF87" i="97"/>
  <c r="AG87" i="97" s="1"/>
  <c r="AH87" i="97" s="1"/>
  <c r="AB106" i="97"/>
  <c r="AB45" i="90"/>
  <c r="AB11" i="81"/>
  <c r="J21" i="94"/>
  <c r="J29" i="94" s="1"/>
  <c r="AA14" i="90"/>
  <c r="H21" i="94"/>
  <c r="H29" i="94" s="1"/>
  <c r="Y14" i="90"/>
  <c r="G21" i="94"/>
  <c r="G29" i="94" s="1"/>
  <c r="X14" i="90"/>
  <c r="X115" i="90" s="1"/>
  <c r="F21" i="94"/>
  <c r="F29" i="94" s="1"/>
  <c r="W14" i="90"/>
  <c r="W115" i="90" s="1"/>
  <c r="E21" i="94"/>
  <c r="E29" i="94" s="1"/>
  <c r="V14" i="90"/>
  <c r="V115" i="90" s="1"/>
  <c r="I28" i="93"/>
  <c r="I14" i="90"/>
  <c r="I115" i="90" s="1"/>
  <c r="H28" i="93"/>
  <c r="H14" i="90"/>
  <c r="H115" i="90" s="1"/>
  <c r="G28" i="93"/>
  <c r="G14" i="90"/>
  <c r="G115" i="90" s="1"/>
  <c r="AH47" i="22"/>
  <c r="AG52" i="22"/>
  <c r="AH52" i="22" s="1"/>
  <c r="AG90" i="86"/>
  <c r="AH90" i="86" s="1"/>
  <c r="AH85" i="86"/>
  <c r="AB13" i="39"/>
  <c r="AB13" i="90"/>
  <c r="K20" i="94"/>
  <c r="AA13" i="99"/>
  <c r="AA14" i="99" s="1"/>
  <c r="AA64" i="90"/>
  <c r="AA114" i="90" s="1"/>
  <c r="AA109" i="97"/>
  <c r="AA65" i="90" s="1"/>
  <c r="AD90" i="75"/>
  <c r="AD90" i="22"/>
  <c r="Y92" i="22"/>
  <c r="L146" i="22"/>
  <c r="M146" i="22" s="1"/>
  <c r="K13" i="39"/>
  <c r="M13" i="39" s="1"/>
  <c r="O13" i="39" s="1"/>
  <c r="J98" i="91"/>
  <c r="O33" i="36"/>
  <c r="D45" i="39"/>
  <c r="D98" i="91"/>
  <c r="I14" i="39"/>
  <c r="I44" i="39" s="1"/>
  <c r="AG13" i="82"/>
  <c r="AH13" i="82" s="1"/>
  <c r="L14" i="81"/>
  <c r="L45" i="81" s="1"/>
  <c r="Z14" i="39"/>
  <c r="J14" i="81"/>
  <c r="J45" i="81" s="1"/>
  <c r="O71" i="86"/>
  <c r="AG66" i="86"/>
  <c r="O33" i="86"/>
  <c r="AG28" i="86"/>
  <c r="AB14" i="88"/>
  <c r="AF9" i="88"/>
  <c r="AB14" i="82"/>
  <c r="AF9" i="82"/>
  <c r="O71" i="75"/>
  <c r="AG66" i="75"/>
  <c r="O52" i="75"/>
  <c r="AG47" i="75"/>
  <c r="O33" i="75"/>
  <c r="AG28" i="75"/>
  <c r="O33" i="69"/>
  <c r="M35" i="69"/>
  <c r="AB107" i="75"/>
  <c r="AF88" i="75"/>
  <c r="AB107" i="22"/>
  <c r="AF88" i="22"/>
  <c r="AG88" i="22" s="1"/>
  <c r="AH88" i="22" s="1"/>
  <c r="AB106" i="22"/>
  <c r="AF87" i="22"/>
  <c r="AG87" i="22" s="1"/>
  <c r="AH87" i="22" s="1"/>
  <c r="AB105" i="22"/>
  <c r="AF86" i="22"/>
  <c r="O33" i="85"/>
  <c r="AG28" i="85"/>
  <c r="O33" i="79"/>
  <c r="AG28" i="79"/>
  <c r="O33" i="22"/>
  <c r="AG28" i="22"/>
  <c r="O52" i="85"/>
  <c r="AG47" i="85"/>
  <c r="O52" i="97"/>
  <c r="AG47" i="97"/>
  <c r="O52" i="79"/>
  <c r="AG47" i="79"/>
  <c r="AB108" i="97"/>
  <c r="AF89" i="97"/>
  <c r="AB108" i="79"/>
  <c r="AF89" i="79"/>
  <c r="AF11" i="81" l="1"/>
  <c r="AG11" i="81" s="1"/>
  <c r="AH11" i="81" s="1"/>
  <c r="AG52" i="86"/>
  <c r="AH52" i="86" s="1"/>
  <c r="AH47" i="86"/>
  <c r="P3" i="87"/>
  <c r="O9" i="87"/>
  <c r="P9" i="87" s="1"/>
  <c r="AG108" i="86"/>
  <c r="O97" i="90"/>
  <c r="AG107" i="86"/>
  <c r="O96" i="90"/>
  <c r="AG106" i="86"/>
  <c r="O95" i="90"/>
  <c r="AG105" i="86"/>
  <c r="O94" i="90"/>
  <c r="AH9" i="86"/>
  <c r="AG14" i="86"/>
  <c r="AH14" i="86" s="1"/>
  <c r="AG104" i="86"/>
  <c r="O93" i="90"/>
  <c r="O109" i="86"/>
  <c r="O98" i="90" s="1"/>
  <c r="O9" i="88"/>
  <c r="M14" i="88"/>
  <c r="M44" i="88" s="1"/>
  <c r="AG106" i="85"/>
  <c r="O78" i="90"/>
  <c r="AG105" i="85"/>
  <c r="O77" i="90"/>
  <c r="AG14" i="85"/>
  <c r="AH14" i="85" s="1"/>
  <c r="AH9" i="85"/>
  <c r="AG104" i="85"/>
  <c r="O109" i="85"/>
  <c r="O81" i="90" s="1"/>
  <c r="O76" i="90"/>
  <c r="M14" i="82"/>
  <c r="M44" i="82" s="1"/>
  <c r="O9" i="82"/>
  <c r="AG105" i="97"/>
  <c r="AH105" i="97" s="1"/>
  <c r="O61" i="90"/>
  <c r="AH85" i="75"/>
  <c r="P3" i="77"/>
  <c r="AG108" i="75"/>
  <c r="O30" i="90"/>
  <c r="AG106" i="75"/>
  <c r="O28" i="90"/>
  <c r="AG14" i="75"/>
  <c r="AH14" i="75" s="1"/>
  <c r="AH9" i="75"/>
  <c r="AG104" i="75"/>
  <c r="O26" i="90"/>
  <c r="O9" i="76"/>
  <c r="AD109" i="97"/>
  <c r="AD65" i="90" s="1"/>
  <c r="AD64" i="90"/>
  <c r="AD13" i="99"/>
  <c r="AD14" i="99" s="1"/>
  <c r="AF108" i="22"/>
  <c r="AF109" i="22" s="1"/>
  <c r="AD13" i="39"/>
  <c r="AF13" i="39" s="1"/>
  <c r="AG13" i="39" s="1"/>
  <c r="AH13" i="39" s="1"/>
  <c r="AD13" i="90"/>
  <c r="AD114" i="90" s="1"/>
  <c r="M20" i="94"/>
  <c r="M28" i="94" s="1"/>
  <c r="N28" i="94"/>
  <c r="L28" i="94"/>
  <c r="AF47" i="90"/>
  <c r="U65" i="90"/>
  <c r="Y111" i="97"/>
  <c r="U14" i="99"/>
  <c r="Y16" i="99" s="1"/>
  <c r="AF64" i="90"/>
  <c r="M108" i="79"/>
  <c r="K47" i="90"/>
  <c r="D31" i="36"/>
  <c r="D65" i="90"/>
  <c r="I9" i="98"/>
  <c r="J22" i="36" s="1"/>
  <c r="N7" i="98"/>
  <c r="O7" i="98" s="1"/>
  <c r="P7" i="98" s="1"/>
  <c r="D14" i="99"/>
  <c r="D45" i="99" s="1"/>
  <c r="K13" i="99"/>
  <c r="K109" i="97"/>
  <c r="K65" i="90" s="1"/>
  <c r="M108" i="97"/>
  <c r="K64" i="90"/>
  <c r="M90" i="97"/>
  <c r="O89" i="97"/>
  <c r="AD29" i="90"/>
  <c r="AD12" i="76"/>
  <c r="AD12" i="90"/>
  <c r="AD113" i="90" s="1"/>
  <c r="M19" i="94"/>
  <c r="M27" i="94" s="1"/>
  <c r="AD12" i="39"/>
  <c r="L27" i="94"/>
  <c r="N27" i="94"/>
  <c r="AF29" i="90"/>
  <c r="N19" i="94"/>
  <c r="O27" i="94" s="1"/>
  <c r="AF12" i="90"/>
  <c r="AF113" i="90" s="1"/>
  <c r="M107" i="75"/>
  <c r="K29" i="90"/>
  <c r="K26" i="93"/>
  <c r="K35" i="93" s="1"/>
  <c r="K12" i="90"/>
  <c r="M107" i="22"/>
  <c r="AD11" i="90"/>
  <c r="AD112" i="90" s="1"/>
  <c r="M18" i="94"/>
  <c r="M26" i="94" s="1"/>
  <c r="AD11" i="39"/>
  <c r="L26" i="94"/>
  <c r="N26" i="94"/>
  <c r="AF45" i="90"/>
  <c r="N18" i="94"/>
  <c r="O26" i="94" s="1"/>
  <c r="AF11" i="90"/>
  <c r="M106" i="79"/>
  <c r="K45" i="90"/>
  <c r="M106" i="22"/>
  <c r="K25" i="93"/>
  <c r="K34" i="93" s="1"/>
  <c r="K11" i="90"/>
  <c r="K112" i="90" s="1"/>
  <c r="AD109" i="75"/>
  <c r="AD31" i="90" s="1"/>
  <c r="AD27" i="90"/>
  <c r="AD10" i="76"/>
  <c r="AD10" i="39"/>
  <c r="AD10" i="90"/>
  <c r="AD111" i="90" s="1"/>
  <c r="M17" i="94"/>
  <c r="M25" i="94" s="1"/>
  <c r="N25" i="94"/>
  <c r="L25" i="94"/>
  <c r="U31" i="90"/>
  <c r="Y111" i="75"/>
  <c r="U14" i="76"/>
  <c r="Y16" i="76" s="1"/>
  <c r="AF109" i="75"/>
  <c r="AF31" i="90" s="1"/>
  <c r="AF27" i="90"/>
  <c r="N17" i="94"/>
  <c r="O25" i="94" s="1"/>
  <c r="AF10" i="90"/>
  <c r="E29" i="36"/>
  <c r="N31" i="90"/>
  <c r="AB109" i="75"/>
  <c r="AB31" i="90" s="1"/>
  <c r="AB27" i="90"/>
  <c r="AB10" i="76"/>
  <c r="AF10" i="76" s="1"/>
  <c r="D29" i="36"/>
  <c r="D31" i="90"/>
  <c r="D14" i="76"/>
  <c r="D44" i="76" s="1"/>
  <c r="K10" i="76"/>
  <c r="I9" i="77"/>
  <c r="J20" i="36" s="1"/>
  <c r="N4" i="77"/>
  <c r="N9" i="77" s="1"/>
  <c r="O20" i="36" s="1"/>
  <c r="D147" i="75"/>
  <c r="L143" i="75"/>
  <c r="K109" i="75"/>
  <c r="K31" i="90" s="1"/>
  <c r="M105" i="75"/>
  <c r="K27" i="90"/>
  <c r="M90" i="75"/>
  <c r="O86" i="75"/>
  <c r="M29" i="36"/>
  <c r="I27" i="91"/>
  <c r="M105" i="22"/>
  <c r="K24" i="93"/>
  <c r="K33" i="93" s="1"/>
  <c r="K10" i="90"/>
  <c r="K111" i="90" s="1"/>
  <c r="AD9" i="90"/>
  <c r="AD110" i="90" s="1"/>
  <c r="M16" i="94"/>
  <c r="M24" i="94" s="1"/>
  <c r="AD9" i="39"/>
  <c r="AD109" i="22"/>
  <c r="N24" i="94"/>
  <c r="L24" i="94"/>
  <c r="L21" i="94"/>
  <c r="AE14" i="90"/>
  <c r="AE115" i="90" s="1"/>
  <c r="Y111" i="79"/>
  <c r="U48" i="90"/>
  <c r="U14" i="81"/>
  <c r="Y16" i="81" s="1"/>
  <c r="AF43" i="90"/>
  <c r="AF109" i="79"/>
  <c r="AF48" i="90" s="1"/>
  <c r="U14" i="39"/>
  <c r="Y16" i="39" s="1"/>
  <c r="D21" i="94"/>
  <c r="D29" i="94" s="1"/>
  <c r="U14" i="90"/>
  <c r="Y111" i="22"/>
  <c r="N16" i="94"/>
  <c r="O24" i="94" s="1"/>
  <c r="AF9" i="90"/>
  <c r="AB109" i="79"/>
  <c r="AB48" i="90" s="1"/>
  <c r="AB43" i="90"/>
  <c r="AB9" i="81"/>
  <c r="AF9" i="81" s="1"/>
  <c r="AB60" i="90"/>
  <c r="AB9" i="99"/>
  <c r="AB109" i="97"/>
  <c r="AB65" i="90" s="1"/>
  <c r="AF104" i="97"/>
  <c r="AF90" i="97"/>
  <c r="AG85" i="97"/>
  <c r="N48" i="90"/>
  <c r="E30" i="36"/>
  <c r="D147" i="97"/>
  <c r="L142" i="97"/>
  <c r="N3" i="98"/>
  <c r="J9" i="98"/>
  <c r="K22" i="36" s="1"/>
  <c r="N65" i="90"/>
  <c r="E31" i="36"/>
  <c r="I55" i="91"/>
  <c r="M31" i="36"/>
  <c r="P31" i="36" s="1"/>
  <c r="H3" i="98"/>
  <c r="G9" i="98"/>
  <c r="H22" i="36" s="1"/>
  <c r="N28" i="93"/>
  <c r="N14" i="90"/>
  <c r="AB9" i="90"/>
  <c r="K16" i="94"/>
  <c r="AB9" i="39"/>
  <c r="AF9" i="39" s="1"/>
  <c r="AB109" i="22"/>
  <c r="F28" i="93"/>
  <c r="F14" i="90"/>
  <c r="F115" i="90" s="1"/>
  <c r="E28" i="93"/>
  <c r="E14" i="90"/>
  <c r="E115" i="90" s="1"/>
  <c r="AF14" i="69"/>
  <c r="AG14" i="69" s="1"/>
  <c r="AG9" i="69"/>
  <c r="AF47" i="69"/>
  <c r="O52" i="69"/>
  <c r="N3" i="80"/>
  <c r="N9" i="80" s="1"/>
  <c r="O21" i="36" s="1"/>
  <c r="I9" i="80"/>
  <c r="J21" i="36" s="1"/>
  <c r="L142" i="79"/>
  <c r="D147" i="79"/>
  <c r="D48" i="90"/>
  <c r="D30" i="36"/>
  <c r="K9" i="81"/>
  <c r="D14" i="81"/>
  <c r="D45" i="81" s="1"/>
  <c r="M104" i="79"/>
  <c r="K43" i="90"/>
  <c r="K109" i="79"/>
  <c r="K48" i="90" s="1"/>
  <c r="O85" i="79"/>
  <c r="M90" i="79"/>
  <c r="I41" i="91"/>
  <c r="M30" i="36"/>
  <c r="P30" i="36" s="1"/>
  <c r="H3" i="80"/>
  <c r="G9" i="80"/>
  <c r="H21" i="36" s="1"/>
  <c r="D28" i="93"/>
  <c r="D14" i="90"/>
  <c r="D147" i="22"/>
  <c r="L147" i="22" s="1"/>
  <c r="M147" i="22" s="1"/>
  <c r="L142" i="22"/>
  <c r="M142" i="22" s="1"/>
  <c r="D14" i="39"/>
  <c r="D44" i="39" s="1"/>
  <c r="K9" i="39"/>
  <c r="N3" i="36"/>
  <c r="I9" i="36"/>
  <c r="M104" i="22"/>
  <c r="K23" i="93"/>
  <c r="K32" i="93" s="1"/>
  <c r="K9" i="90"/>
  <c r="K110" i="90" s="1"/>
  <c r="K109" i="22"/>
  <c r="O85" i="22"/>
  <c r="M90" i="22"/>
  <c r="AG71" i="85"/>
  <c r="AH71" i="85" s="1"/>
  <c r="AH66" i="85"/>
  <c r="AG71" i="97"/>
  <c r="AH71" i="97" s="1"/>
  <c r="AH66" i="97"/>
  <c r="AG71" i="79"/>
  <c r="AH71" i="79" s="1"/>
  <c r="AH66" i="79"/>
  <c r="AG66" i="22"/>
  <c r="O71" i="22"/>
  <c r="AG108" i="85"/>
  <c r="O80" i="90"/>
  <c r="M27" i="93"/>
  <c r="M36" i="93" s="1"/>
  <c r="M13" i="90"/>
  <c r="O108" i="22"/>
  <c r="AG107" i="85"/>
  <c r="O79" i="90"/>
  <c r="P3" i="83"/>
  <c r="O9" i="83"/>
  <c r="P9" i="83" s="1"/>
  <c r="AG14" i="97"/>
  <c r="AH14" i="97" s="1"/>
  <c r="AH9" i="97"/>
  <c r="O60" i="90"/>
  <c r="O9" i="99"/>
  <c r="AF44" i="90"/>
  <c r="AG105" i="79"/>
  <c r="AH9" i="79"/>
  <c r="AG14" i="79"/>
  <c r="AH14" i="79" s="1"/>
  <c r="AG14" i="22"/>
  <c r="AH14" i="22" s="1"/>
  <c r="AH9" i="22"/>
  <c r="AF106" i="97"/>
  <c r="AB11" i="99"/>
  <c r="AF11" i="99" s="1"/>
  <c r="AG11" i="99" s="1"/>
  <c r="AH11" i="99" s="1"/>
  <c r="AB62" i="90"/>
  <c r="AH66" i="86"/>
  <c r="AG71" i="86"/>
  <c r="AH71" i="86" s="1"/>
  <c r="AG33" i="86"/>
  <c r="AH33" i="86" s="1"/>
  <c r="AH28" i="86"/>
  <c r="AF14" i="88"/>
  <c r="AF14" i="82"/>
  <c r="AG71" i="75"/>
  <c r="AH71" i="75" s="1"/>
  <c r="AH66" i="75"/>
  <c r="AH47" i="75"/>
  <c r="AG52" i="75"/>
  <c r="AH52" i="75" s="1"/>
  <c r="AH28" i="75"/>
  <c r="AG33" i="75"/>
  <c r="AH33" i="75" s="1"/>
  <c r="AB12" i="76"/>
  <c r="AB29" i="90"/>
  <c r="K19" i="94"/>
  <c r="AB12" i="90"/>
  <c r="AB113" i="90" s="1"/>
  <c r="AB12" i="39"/>
  <c r="K18" i="94"/>
  <c r="AB11" i="90"/>
  <c r="AB11" i="39"/>
  <c r="AF11" i="39" s="1"/>
  <c r="AB10" i="39"/>
  <c r="AF10" i="39" s="1"/>
  <c r="AG10" i="39" s="1"/>
  <c r="AH10" i="39" s="1"/>
  <c r="K17" i="94"/>
  <c r="AB10" i="90"/>
  <c r="AB111" i="90" s="1"/>
  <c r="AG33" i="85"/>
  <c r="AH33" i="85" s="1"/>
  <c r="AH28" i="85"/>
  <c r="AG33" i="79"/>
  <c r="AH33" i="79" s="1"/>
  <c r="AH28" i="79"/>
  <c r="AG33" i="22"/>
  <c r="AH33" i="22" s="1"/>
  <c r="AH28" i="22"/>
  <c r="AG52" i="85"/>
  <c r="AH52" i="85" s="1"/>
  <c r="AH47" i="85"/>
  <c r="AG52" i="97"/>
  <c r="AH52" i="97" s="1"/>
  <c r="AH47" i="97"/>
  <c r="AG52" i="79"/>
  <c r="AH52" i="79" s="1"/>
  <c r="AH47" i="79"/>
  <c r="AB13" i="99"/>
  <c r="AF13" i="99" s="1"/>
  <c r="AB64" i="90"/>
  <c r="AB13" i="81"/>
  <c r="AF13" i="81" s="1"/>
  <c r="AG13" i="81" s="1"/>
  <c r="AH13" i="81" s="1"/>
  <c r="AB47" i="90"/>
  <c r="AB114" i="90" s="1"/>
  <c r="AE114" i="90"/>
  <c r="U114" i="90"/>
  <c r="I96" i="91"/>
  <c r="D112" i="90"/>
  <c r="O11" i="39"/>
  <c r="N5" i="36"/>
  <c r="O5" i="36" s="1"/>
  <c r="P5" i="36" s="1"/>
  <c r="I94" i="91"/>
  <c r="AE14" i="76"/>
  <c r="N14" i="76"/>
  <c r="N44" i="76" s="1"/>
  <c r="J9" i="77"/>
  <c r="K20" i="36" s="1"/>
  <c r="K24" i="36" s="1"/>
  <c r="I36" i="76"/>
  <c r="I45" i="76" s="1"/>
  <c r="AE14" i="39"/>
  <c r="N14" i="99"/>
  <c r="N45" i="99" s="1"/>
  <c r="I36" i="99"/>
  <c r="I46" i="99" s="1"/>
  <c r="N14" i="39"/>
  <c r="N44" i="39" s="1"/>
  <c r="J9" i="36"/>
  <c r="F44" i="39"/>
  <c r="E44" i="39"/>
  <c r="I36" i="81"/>
  <c r="I46" i="81" s="1"/>
  <c r="I36" i="39"/>
  <c r="I45" i="39" s="1"/>
  <c r="AA115" i="90"/>
  <c r="G25" i="36"/>
  <c r="AF12" i="81"/>
  <c r="AG12" i="81" s="1"/>
  <c r="AH12" i="81" s="1"/>
  <c r="AF10" i="81"/>
  <c r="AG10" i="81" s="1"/>
  <c r="AH10" i="81" s="1"/>
  <c r="Y115" i="90"/>
  <c r="G9" i="77"/>
  <c r="H20" i="36" s="1"/>
  <c r="H4" i="77"/>
  <c r="G9" i="36"/>
  <c r="H3" i="36"/>
  <c r="AG88" i="75"/>
  <c r="AH88" i="75" s="1"/>
  <c r="AF90" i="75"/>
  <c r="AG86" i="22"/>
  <c r="AH86" i="22" s="1"/>
  <c r="AF90" i="22"/>
  <c r="AG89" i="79"/>
  <c r="AH89" i="79" s="1"/>
  <c r="AF90" i="79"/>
  <c r="F31" i="36" l="1"/>
  <c r="G31" i="36" s="1"/>
  <c r="Q31" i="36" s="1"/>
  <c r="E33" i="36"/>
  <c r="E34" i="36" s="1"/>
  <c r="AF111" i="90"/>
  <c r="I98" i="91"/>
  <c r="F30" i="36"/>
  <c r="G30" i="36" s="1"/>
  <c r="H24" i="36"/>
  <c r="H25" i="36" s="1"/>
  <c r="AB112" i="90"/>
  <c r="AG97" i="90"/>
  <c r="AH108" i="86"/>
  <c r="AG96" i="90"/>
  <c r="AH107" i="86"/>
  <c r="AH106" i="86"/>
  <c r="AG95" i="90"/>
  <c r="AH105" i="86"/>
  <c r="AG94" i="90"/>
  <c r="AG109" i="86"/>
  <c r="AH104" i="86"/>
  <c r="AG93" i="90"/>
  <c r="AG78" i="90"/>
  <c r="AH106" i="85"/>
  <c r="AG77" i="90"/>
  <c r="AH105" i="85"/>
  <c r="AG76" i="90"/>
  <c r="AG109" i="85"/>
  <c r="AH104" i="85"/>
  <c r="AG30" i="90"/>
  <c r="AH108" i="75"/>
  <c r="AG28" i="90"/>
  <c r="AH106" i="75"/>
  <c r="AG26" i="90"/>
  <c r="AH104" i="75"/>
  <c r="AG9" i="76"/>
  <c r="AG108" i="22"/>
  <c r="AF13" i="90"/>
  <c r="AF114" i="90" s="1"/>
  <c r="N20" i="94"/>
  <c r="O28" i="94" s="1"/>
  <c r="M47" i="90"/>
  <c r="O108" i="79"/>
  <c r="K14" i="99"/>
  <c r="K45" i="99" s="1"/>
  <c r="M13" i="99"/>
  <c r="M109" i="97"/>
  <c r="M65" i="90" s="1"/>
  <c r="O108" i="97"/>
  <c r="M64" i="90"/>
  <c r="M114" i="90" s="1"/>
  <c r="AG89" i="97"/>
  <c r="AH89" i="97" s="1"/>
  <c r="O90" i="97"/>
  <c r="O107" i="75"/>
  <c r="M29" i="90"/>
  <c r="M26" i="93"/>
  <c r="M35" i="93" s="1"/>
  <c r="M12" i="90"/>
  <c r="M113" i="90" s="1"/>
  <c r="O107" i="22"/>
  <c r="O106" i="79"/>
  <c r="M45" i="90"/>
  <c r="O106" i="22"/>
  <c r="M25" i="93"/>
  <c r="M34" i="93" s="1"/>
  <c r="M11" i="90"/>
  <c r="M112" i="90" s="1"/>
  <c r="F29" i="36"/>
  <c r="D33" i="36"/>
  <c r="D34" i="36" s="1"/>
  <c r="K14" i="76"/>
  <c r="K44" i="76" s="1"/>
  <c r="M10" i="76"/>
  <c r="L147" i="75"/>
  <c r="M147" i="75" s="1"/>
  <c r="M143" i="75"/>
  <c r="M109" i="75"/>
  <c r="M31" i="90" s="1"/>
  <c r="O105" i="75"/>
  <c r="M27" i="90"/>
  <c r="O90" i="75"/>
  <c r="AG86" i="75"/>
  <c r="P29" i="36"/>
  <c r="P33" i="36" s="1"/>
  <c r="M33" i="36"/>
  <c r="O105" i="22"/>
  <c r="M24" i="93"/>
  <c r="M33" i="93" s="1"/>
  <c r="M10" i="90"/>
  <c r="M111" i="90" s="1"/>
  <c r="M21" i="94"/>
  <c r="M29" i="94" s="1"/>
  <c r="AD14" i="90"/>
  <c r="AD115" i="90" s="1"/>
  <c r="N29" i="94"/>
  <c r="L29" i="94"/>
  <c r="AF14" i="81"/>
  <c r="N21" i="94"/>
  <c r="O29" i="94" s="1"/>
  <c r="AF14" i="90"/>
  <c r="AF9" i="99"/>
  <c r="AB14" i="99"/>
  <c r="AF60" i="90"/>
  <c r="AF110" i="90" s="1"/>
  <c r="AF109" i="97"/>
  <c r="AF65" i="90" s="1"/>
  <c r="AG104" i="97"/>
  <c r="AH85" i="97"/>
  <c r="AG90" i="97"/>
  <c r="AH90" i="97" s="1"/>
  <c r="M142" i="97"/>
  <c r="L147" i="97"/>
  <c r="M147" i="97" s="1"/>
  <c r="O3" i="98"/>
  <c r="H9" i="98"/>
  <c r="I22" i="36" s="1"/>
  <c r="K21" i="94"/>
  <c r="K29" i="94" s="1"/>
  <c r="AB14" i="90"/>
  <c r="AB115" i="90" s="1"/>
  <c r="AF52" i="69"/>
  <c r="AG52" i="69" s="1"/>
  <c r="AG47" i="69"/>
  <c r="M142" i="79"/>
  <c r="L147" i="79"/>
  <c r="M147" i="79" s="1"/>
  <c r="M9" i="81"/>
  <c r="K14" i="81"/>
  <c r="K45" i="81" s="1"/>
  <c r="O104" i="79"/>
  <c r="M43" i="90"/>
  <c r="M109" i="79"/>
  <c r="M48" i="90" s="1"/>
  <c r="AG85" i="79"/>
  <c r="O90" i="79"/>
  <c r="O3" i="80"/>
  <c r="H9" i="80"/>
  <c r="I21" i="36" s="1"/>
  <c r="M9" i="39"/>
  <c r="K14" i="39"/>
  <c r="K44" i="39" s="1"/>
  <c r="O104" i="22"/>
  <c r="M23" i="93"/>
  <c r="M32" i="93" s="1"/>
  <c r="M9" i="90"/>
  <c r="M109" i="22"/>
  <c r="K28" i="93"/>
  <c r="K14" i="90"/>
  <c r="K115" i="90" s="1"/>
  <c r="AG85" i="22"/>
  <c r="O90" i="22"/>
  <c r="AG71" i="22"/>
  <c r="AH71" i="22" s="1"/>
  <c r="AH66" i="22"/>
  <c r="AG80" i="90"/>
  <c r="AH108" i="85"/>
  <c r="O27" i="93"/>
  <c r="O36" i="93" s="1"/>
  <c r="O13" i="90"/>
  <c r="AG79" i="90"/>
  <c r="AH107" i="85"/>
  <c r="AH105" i="79"/>
  <c r="AG44" i="90"/>
  <c r="AF62" i="90"/>
  <c r="AF112" i="90" s="1"/>
  <c r="AG106" i="97"/>
  <c r="AH106" i="97" s="1"/>
  <c r="H9" i="77"/>
  <c r="I20" i="36" s="1"/>
  <c r="O4" i="77"/>
  <c r="O3" i="36"/>
  <c r="H9" i="36"/>
  <c r="K114" i="90"/>
  <c r="K113" i="90"/>
  <c r="AD14" i="76"/>
  <c r="AB14" i="76"/>
  <c r="J24" i="36"/>
  <c r="J25" i="36" s="1"/>
  <c r="AD14" i="39"/>
  <c r="AB14" i="81"/>
  <c r="U115" i="90"/>
  <c r="N9" i="98"/>
  <c r="O22" i="36" s="1"/>
  <c r="O24" i="36" s="1"/>
  <c r="N115" i="90"/>
  <c r="AB110" i="90"/>
  <c r="AB14" i="39"/>
  <c r="Q30" i="36"/>
  <c r="D115" i="90"/>
  <c r="N9" i="36"/>
  <c r="AF12" i="76"/>
  <c r="AG11" i="39"/>
  <c r="AH11" i="39" s="1"/>
  <c r="K25" i="36"/>
  <c r="AF12" i="39"/>
  <c r="O14" i="88"/>
  <c r="O44" i="88" s="1"/>
  <c r="AG9" i="88"/>
  <c r="O14" i="82"/>
  <c r="O44" i="82" s="1"/>
  <c r="AG9" i="82"/>
  <c r="M110" i="90" l="1"/>
  <c r="O25" i="36"/>
  <c r="AG12" i="76"/>
  <c r="AH12" i="76" s="1"/>
  <c r="AF14" i="76"/>
  <c r="AG12" i="39"/>
  <c r="AH12" i="39" s="1"/>
  <c r="AF14" i="39"/>
  <c r="AH109" i="86"/>
  <c r="AG98" i="90"/>
  <c r="AH109" i="85"/>
  <c r="AG81" i="90"/>
  <c r="AH9" i="76"/>
  <c r="O20" i="94"/>
  <c r="AG13" i="90"/>
  <c r="AH108" i="22"/>
  <c r="AG108" i="79"/>
  <c r="O47" i="90"/>
  <c r="M14" i="99"/>
  <c r="M45" i="99" s="1"/>
  <c r="O13" i="99"/>
  <c r="AG108" i="97"/>
  <c r="O109" i="97"/>
  <c r="O65" i="90" s="1"/>
  <c r="O64" i="90"/>
  <c r="AG107" i="75"/>
  <c r="O29" i="90"/>
  <c r="AG107" i="22"/>
  <c r="O26" i="93"/>
  <c r="O35" i="93" s="1"/>
  <c r="O12" i="90"/>
  <c r="O113" i="90" s="1"/>
  <c r="AG106" i="79"/>
  <c r="O45" i="90"/>
  <c r="AG106" i="22"/>
  <c r="O25" i="93"/>
  <c r="O34" i="93" s="1"/>
  <c r="O11" i="90"/>
  <c r="O112" i="90" s="1"/>
  <c r="G29" i="36"/>
  <c r="Q29" i="36" s="1"/>
  <c r="Q33" i="36" s="1"/>
  <c r="F33" i="36"/>
  <c r="M14" i="76"/>
  <c r="M44" i="76" s="1"/>
  <c r="O10" i="76"/>
  <c r="O109" i="75"/>
  <c r="O31" i="90" s="1"/>
  <c r="AG105" i="75"/>
  <c r="O27" i="90"/>
  <c r="AG90" i="75"/>
  <c r="AH90" i="75" s="1"/>
  <c r="AH86" i="75"/>
  <c r="AG105" i="22"/>
  <c r="O24" i="93"/>
  <c r="O33" i="93" s="1"/>
  <c r="O10" i="90"/>
  <c r="O111" i="90" s="1"/>
  <c r="AG9" i="99"/>
  <c r="AF14" i="99"/>
  <c r="AH104" i="97"/>
  <c r="P3" i="98"/>
  <c r="O9" i="98"/>
  <c r="P9" i="98" s="1"/>
  <c r="O9" i="81"/>
  <c r="M14" i="81"/>
  <c r="M45" i="81" s="1"/>
  <c r="AG104" i="79"/>
  <c r="O43" i="90"/>
  <c r="O109" i="79"/>
  <c r="O48" i="90" s="1"/>
  <c r="AG90" i="79"/>
  <c r="AH90" i="79" s="1"/>
  <c r="AH85" i="79"/>
  <c r="P3" i="80"/>
  <c r="O9" i="80"/>
  <c r="P9" i="80" s="1"/>
  <c r="M14" i="39"/>
  <c r="M44" i="39" s="1"/>
  <c r="O9" i="39"/>
  <c r="AG104" i="22"/>
  <c r="O23" i="93"/>
  <c r="O32" i="93" s="1"/>
  <c r="O9" i="90"/>
  <c r="O110" i="90" s="1"/>
  <c r="O109" i="22"/>
  <c r="M28" i="93"/>
  <c r="M14" i="90"/>
  <c r="M115" i="90" s="1"/>
  <c r="AG90" i="22"/>
  <c r="AH90" i="22" s="1"/>
  <c r="AH85" i="22"/>
  <c r="O9" i="77"/>
  <c r="P9" i="77" s="1"/>
  <c r="P4" i="77"/>
  <c r="P3" i="36"/>
  <c r="O9" i="36"/>
  <c r="P9" i="36" s="1"/>
  <c r="AG14" i="88"/>
  <c r="AH14" i="88" s="1"/>
  <c r="AH9" i="88"/>
  <c r="AG14" i="82"/>
  <c r="AH14" i="82" s="1"/>
  <c r="AH9" i="82"/>
  <c r="I24" i="36"/>
  <c r="I25" i="36" s="1"/>
  <c r="AF115" i="90"/>
  <c r="O114" i="90" l="1"/>
  <c r="AG47" i="90"/>
  <c r="AG114" i="90" s="1"/>
  <c r="AH108" i="79"/>
  <c r="O14" i="99"/>
  <c r="O45" i="99" s="1"/>
  <c r="AG13" i="99"/>
  <c r="AG29" i="90"/>
  <c r="AH107" i="75"/>
  <c r="AH107" i="22"/>
  <c r="AG12" i="90"/>
  <c r="O19" i="94"/>
  <c r="AG45" i="90"/>
  <c r="AH106" i="79"/>
  <c r="AH106" i="22"/>
  <c r="AG11" i="90"/>
  <c r="AG112" i="90" s="1"/>
  <c r="O18" i="94"/>
  <c r="G33" i="36"/>
  <c r="P35" i="36" s="1"/>
  <c r="F34" i="36"/>
  <c r="AG10" i="76"/>
  <c r="O14" i="76"/>
  <c r="O44" i="76" s="1"/>
  <c r="AG109" i="75"/>
  <c r="AG27" i="90"/>
  <c r="AH105" i="75"/>
  <c r="AG10" i="90"/>
  <c r="O17" i="94"/>
  <c r="AH105" i="22"/>
  <c r="AH9" i="99"/>
  <c r="AG9" i="81"/>
  <c r="O14" i="81"/>
  <c r="O45" i="81" s="1"/>
  <c r="AG109" i="79"/>
  <c r="AG43" i="90"/>
  <c r="AH104" i="79"/>
  <c r="AG9" i="39"/>
  <c r="O14" i="39"/>
  <c r="O44" i="39" s="1"/>
  <c r="AH104" i="22"/>
  <c r="AG9" i="90"/>
  <c r="AG110" i="90" s="1"/>
  <c r="O16" i="94"/>
  <c r="AG109" i="22"/>
  <c r="O28" i="93"/>
  <c r="O14" i="90"/>
  <c r="O115" i="90" s="1"/>
  <c r="AH108" i="97"/>
  <c r="AG109" i="97"/>
  <c r="AH109" i="97" s="1"/>
  <c r="AG113" i="90" l="1"/>
  <c r="AH13" i="99"/>
  <c r="AG14" i="99"/>
  <c r="AH14" i="99" s="1"/>
  <c r="AG14" i="76"/>
  <c r="AH14" i="76" s="1"/>
  <c r="AH10" i="76"/>
  <c r="AG31" i="90"/>
  <c r="AH109" i="75"/>
  <c r="AG14" i="81"/>
  <c r="AH14" i="81" s="1"/>
  <c r="AH9" i="81"/>
  <c r="AH109" i="79"/>
  <c r="AG48" i="90"/>
  <c r="AG14" i="39"/>
  <c r="AH14" i="39" s="1"/>
  <c r="AH9" i="39"/>
  <c r="O21" i="94"/>
  <c r="AG14" i="90"/>
  <c r="AH109" i="22"/>
  <c r="AG111" i="90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<sst xmlns="http://schemas.openxmlformats.org/spreadsheetml/2006/main" count="7997" uniqueCount="345">
  <si>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</si>
  <si>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</si>
  <si>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</si>
  <si>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</si>
  <si>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</si>
  <si>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</si>
  <si>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</si>
  <si>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</si>
  <si>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</si>
  <si>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</si>
  <si>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</si>
  <si>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</si>
  <si>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</si>
  <si>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</si>
  <si>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</si>
  <si>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</si>
  <si>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</si>
  <si>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</si>
  <si>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</si>
  <si>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</si>
  <si>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</si>
  <si>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</si>
  <si>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</si>
  <si>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</si>
  <si>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</si>
  <si>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</si>
  <si>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</si>
  <si>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</si>
  <si>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</si>
  <si>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</si>
  <si>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</si>
  <si>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</si>
  <si>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</si>
  <si>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</si>
  <si>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</si>
  <si>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</si>
  <si>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</si>
  <si>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</si>
  <si>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</si>
  <si>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</si>
  <si>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</si>
  <si>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</si>
  <si>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</si>
  <si>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</si>
  <si>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</si>
  <si>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</si>
  <si>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</si>
  <si>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</si>
  <si>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</si>
  <si>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</si>
  <si>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</si>
  <si>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</si>
  <si>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</si>
  <si>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</si>
  <si>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</si>
  <si>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</si>
  <si>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</si>
  <si>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</si>
  <si>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</si>
  <si>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</si>
  <si>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</si>
  <si>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</si>
  <si>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</si>
  <si>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</si>
  <si>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</si>
  <si>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</si>
  <si>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</si>
  <si>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</si>
  <si>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</si>
  <si>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</si>
  <si>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</si>
  <si>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</si>
  <si>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</si>
  <si>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</si>
  <si>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</si>
  <si>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</si>
  <si>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</si>
  <si>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</si>
  <si>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</si>
  <si>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</si>
  <si>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</si>
  <si>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</si>
  <si>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</si>
  <si>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</si>
  <si>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</si>
  <si>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</si>
  <si>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</si>
  <si>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</si>
  <si>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</si>
  <si>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</si>
  <si>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</si>
  <si>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</si>
  <si>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</si>
  <si>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</si>
  <si>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</si>
  <si>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</si>
  <si>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</si>
  <si>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</si>
  <si>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</si>
  <si>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</si>
  <si>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</si>
  <si>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</si>
  <si>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</si>
  <si>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</si>
  <si>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</si>
  <si>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</si>
  <si>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</si>
  <si>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</si>
  <si>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</si>
  <si>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</si>
  <si>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</si>
  <si>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</si>
  <si>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</si>
  <si>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</si>
  <si>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</si>
  <si>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</si>
  <si>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</si>
  <si>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</si>
  <si>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</si>
  <si>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</si>
  <si>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</si>
  <si>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</si>
  <si>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</si>
  <si>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</si>
  <si>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</si>
  <si>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</si>
  <si>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</si>
  <si>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</si>
  <si>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</si>
  <si>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</si>
  <si>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</si>
  <si>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</si>
  <si>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</si>
  <si>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</si>
  <si>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</si>
  <si>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</si>
  <si>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</si>
  <si>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</si>
  <si>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</si>
  <si>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</si>
  <si>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</si>
  <si>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</si>
  <si>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</si>
  <si>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</si>
  <si>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</si>
  <si>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</si>
  <si>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</si>
  <si>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</si>
  <si>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</si>
  <si>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</si>
  <si>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</si>
  <si>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</si>
  <si>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</si>
  <si>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</si>
  <si>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</si>
  <si>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</si>
  <si>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</si>
  <si>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</si>
  <si>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</si>
  <si>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</si>
  <si>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</si>
  <si>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</si>
  <si>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</si>
  <si>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</si>
  <si>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</si>
  <si>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</si>
  <si>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</si>
  <si>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</si>
  <si>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</si>
  <si>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</si>
  <si>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</si>
  <si>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</si>
  <si>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</si>
  <si>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</si>
  <si>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</si>
  <si>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</si>
  <si>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</si>
  <si>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</si>
  <si>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</si>
  <si>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</si>
  <si>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</si>
  <si>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</si>
  <si>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</si>
  <si>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</si>
  <si>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</si>
  <si>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</si>
  <si>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</si>
  <si>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</si>
  <si>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</si>
  <si>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</si>
  <si>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</si>
  <si>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</si>
  <si>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</si>
  <si>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</si>
  <si>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</si>
  <si>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</si>
  <si>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</si>
  <si>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</si>
  <si>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</si>
  <si>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</si>
  <si>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</si>
  <si>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</si>
  <si>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</si>
  <si>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</si>
  <si>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</si>
  <si>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</si>
  <si>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</si>
  <si>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</si>
  <si>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</si>
  <si>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</si>
  <si>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</si>
  <si>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</si>
  <si>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</si>
  <si>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</si>
  <si>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</si>
  <si>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</si>
  <si>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</si>
  <si>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</si>
  <si>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</si>
  <si>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</si>
  <si>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</si>
  <si>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</si>
  <si>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</si>
  <si>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</si>
  <si>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</si>
  <si>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</si>
  <si>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</si>
  <si>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</si>
  <si>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</si>
  <si>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</si>
  <si>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</si>
  <si>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</si>
  <si>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</si>
  <si>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</si>
  <si>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</si>
  <si>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</si>
  <si>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</si>
  <si>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</si>
  <si>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</si>
  <si>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</si>
  <si>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</si>
  <si>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</si>
  <si>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</si>
  <si>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</si>
  <si>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</si>
  <si>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</si>
  <si>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</si>
  <si>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</si>
  <si>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</si>
  <si>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</si>
  <si>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</si>
  <si>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</si>
  <si>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</si>
  <si>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</si>
  <si>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</si>
  <si>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</si>
  <si>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</si>
  <si>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</si>
  <si>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</si>
  <si>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</si>
  <si>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</si>
  <si>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</si>
  <si>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</si>
  <si>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</si>
  <si>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</si>
  <si>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</si>
  <si>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</si>
  <si>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</si>
  <si>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</si>
  <si>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</si>
  <si>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</si>
  <si>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</si>
  <si>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</si>
  <si>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</si>
  <si>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</si>
  <si>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</si>
  <si>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</si>
  <si>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</si>
  <si>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</si>
  <si>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</si>
  <si>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</si>
  <si>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</si>
  <si>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</si>
  <si>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</si>
  <si>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</si>
  <si>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</si>
  <si>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</si>
  <si>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</si>
  <si>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</si>
  <si>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</si>
  <si>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</si>
  <si>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</si>
  <si>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</si>
  <si>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</si>
  <si>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</si>
  <si>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</si>
  <si>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</si>
  <si>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</si>
  <si>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</si>
  <si>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</si>
  <si>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</si>
  <si>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</si>
  <si>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</si>
  <si>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</si>
  <si>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</si>
  <si>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</si>
  <si>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</si>
  <si>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</si>
  <si>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</si>
  <si>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</si>
  <si>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</si>
  <si>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</si>
  <si>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</si>
  <si>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</si>
  <si>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</si>
  <si>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</si>
  <si>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</si>
  <si>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</si>
  <si>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</si>
  <si>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</si>
  <si>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</si>
  <si>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</si>
  <si>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</si>
  <si>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</si>
  <si>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</si>
  <si>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</si>
  <si>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</si>
  <si>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</si>
  <si>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</si>
  <si>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</si>
  <si>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</si>
  <si>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</si>
  <si>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</si>
  <si>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</si>
  <si>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</si>
  <si>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</si>
  <si>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</si>
  <si>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</si>
  <si>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</si>
  <si>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2026072</t>
  </si>
  <si>
    <t>04/08/2026</t>
  </si>
  <si>
    <t>10:15 AM</t>
  </si>
  <si>
    <t>16/07/2026</t>
  </si>
  <si>
    <t>31/07/2026</t>
  </si>
  <si>
    <t>* Costos de Interventoría: REMUNERACIÓN 2026072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</si>
</sst>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0</v>
      </c>
      <c r="E4" s="180">
        <v>0</v>
      </c>
      <c r="F4" s="180">
        <v>24173030</v>
      </c>
      <c r="G4" s="181">
        <v>330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0</v>
      </c>
      <c r="E6" s="180">
        <v>0</v>
      </c>
      <c r="F6" s="180">
        <v>15822520</v>
      </c>
      <c r="G6" s="181">
        <v>133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0</v>
      </c>
      <c r="E9" s="186">
        <v>0</v>
      </c>
      <c r="F9" s="186">
        <v>39995550</v>
      </c>
      <c r="G9" s="186">
        <v>463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58730</v>
      </c>
      <c r="G13" s="181">
        <v>1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63120</v>
      </c>
      <c r="G15" s="181">
        <v>1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121850</v>
      </c>
      <c r="G18" s="186">
        <v>2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0</v>
      </c>
      <c r="E22" s="180">
        <v>0</v>
      </c>
      <c r="F22" s="180">
        <v>24231760</v>
      </c>
      <c r="G22" s="181">
        <v>331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0</v>
      </c>
      <c r="E24" s="180">
        <v>0</v>
      </c>
      <c r="F24" s="180">
        <v>15885640</v>
      </c>
      <c r="G24" s="181">
        <v>134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0</v>
      </c>
      <c r="E27" s="186">
        <v>0</v>
      </c>
      <c r="F27" s="186">
        <v>40117400</v>
      </c>
      <c r="G27" s="186">
        <v>465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16467129562</v>
      </c>
      <c r="G3" s="177">
        <v>273797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19037496395</v>
      </c>
      <c r="G4" s="181">
        <v>406215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13952517350</v>
      </c>
      <c r="G5" s="181">
        <v>269668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6579568126</v>
      </c>
      <c r="G6" s="181">
        <v>120492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11684535987</v>
      </c>
      <c r="G7" s="181">
        <v>242618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67721247420</v>
      </c>
      <c r="G9" s="186">
        <v>1312790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193558629</v>
      </c>
      <c r="G12" s="177">
        <v>3299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53213747</v>
      </c>
      <c r="G13" s="181">
        <v>918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74684472</v>
      </c>
      <c r="G14" s="181">
        <v>1206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60823284</v>
      </c>
      <c r="G15" s="181">
        <v>1331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41090640</v>
      </c>
      <c r="G16" s="181">
        <v>830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423370772</v>
      </c>
      <c r="G18" s="186">
        <v>7584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16660688191</v>
      </c>
      <c r="G21" s="177">
        <v>277096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19090710142</v>
      </c>
      <c r="G22" s="181">
        <v>407133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14027201822</v>
      </c>
      <c r="G23" s="181">
        <v>270874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6640391410</v>
      </c>
      <c r="G24" s="181">
        <v>121823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11725626627</v>
      </c>
      <c r="G25" s="181">
        <v>243448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68144618192</v>
      </c>
      <c r="G27" s="186">
        <v>1320374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28645323</v>
      </c>
      <c r="G7" s="181">
        <v>545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28645323</v>
      </c>
      <c r="G9" s="186">
        <v>545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28645323</v>
      </c>
      <c r="G25" s="181">
        <v>545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28645323</v>
      </c>
      <c r="G27" s="186">
        <v>545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0</v>
      </c>
      <c r="E3" s="176">
        <v>0</v>
      </c>
      <c r="F3" s="176">
        <v>644977472</v>
      </c>
      <c r="G3" s="177">
        <v>2386</v>
      </c>
      <c r="J3" s="728"/>
    </row>
    <row r="4" spans="2:13" x14ac:dyDescent="0.25">
      <c r="C4" s="178">
        <v>2</v>
      </c>
      <c r="D4" s="278">
        <v>0</v>
      </c>
      <c r="E4" s="180">
        <v>0</v>
      </c>
      <c r="F4" s="180">
        <v>1127716979</v>
      </c>
      <c r="G4" s="181">
        <v>9079</v>
      </c>
      <c r="J4" s="728"/>
    </row>
    <row r="5" spans="2:13" x14ac:dyDescent="0.25">
      <c r="C5" s="178">
        <v>3</v>
      </c>
      <c r="D5" s="278">
        <v>0</v>
      </c>
      <c r="E5" s="180">
        <v>0</v>
      </c>
      <c r="F5" s="180">
        <v>858037220</v>
      </c>
      <c r="G5" s="181">
        <v>2287</v>
      </c>
      <c r="J5" s="728"/>
    </row>
    <row r="6" spans="2:13" x14ac:dyDescent="0.25">
      <c r="C6" s="178">
        <v>4</v>
      </c>
      <c r="D6" s="278">
        <v>0</v>
      </c>
      <c r="E6" s="180">
        <v>0</v>
      </c>
      <c r="F6" s="180">
        <v>362907055</v>
      </c>
      <c r="G6" s="181">
        <v>2213</v>
      </c>
    </row>
    <row r="7" spans="2:13" x14ac:dyDescent="0.25">
      <c r="C7" s="178">
        <v>5</v>
      </c>
      <c r="D7" s="278">
        <v>0</v>
      </c>
      <c r="E7" s="180">
        <v>0</v>
      </c>
      <c r="F7" s="180">
        <v>271576031</v>
      </c>
      <c r="G7" s="181">
        <v>1257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0</v>
      </c>
      <c r="E9" s="186">
        <v>0</v>
      </c>
      <c r="F9" s="186">
        <v>3265214757</v>
      </c>
      <c r="G9" s="186">
        <v>17222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0</v>
      </c>
      <c r="E12" s="191">
        <v>0</v>
      </c>
      <c r="F12" s="191">
        <v>160336245</v>
      </c>
      <c r="G12" s="192">
        <v>481</v>
      </c>
    </row>
    <row r="13" spans="2:13" x14ac:dyDescent="0.25">
      <c r="C13" s="193">
        <v>2</v>
      </c>
      <c r="D13" s="278">
        <v>0</v>
      </c>
      <c r="E13" s="180">
        <v>0</v>
      </c>
      <c r="F13" s="180">
        <v>298229199</v>
      </c>
      <c r="G13" s="181">
        <v>665</v>
      </c>
    </row>
    <row r="14" spans="2:13" x14ac:dyDescent="0.25">
      <c r="C14" s="193">
        <v>3</v>
      </c>
      <c r="D14" s="278">
        <v>0</v>
      </c>
      <c r="E14" s="180">
        <v>0</v>
      </c>
      <c r="F14" s="180">
        <v>387133299</v>
      </c>
      <c r="G14" s="181">
        <v>251</v>
      </c>
    </row>
    <row r="15" spans="2:13" x14ac:dyDescent="0.25">
      <c r="C15" s="193">
        <v>4</v>
      </c>
      <c r="D15" s="278">
        <v>0</v>
      </c>
      <c r="E15" s="180">
        <v>0</v>
      </c>
      <c r="F15" s="180">
        <v>123732462</v>
      </c>
      <c r="G15" s="181">
        <v>270</v>
      </c>
    </row>
    <row r="16" spans="2:13" x14ac:dyDescent="0.25">
      <c r="C16" s="193">
        <v>5</v>
      </c>
      <c r="D16" s="278">
        <v>0</v>
      </c>
      <c r="E16" s="180">
        <v>0</v>
      </c>
      <c r="F16" s="180">
        <v>49923090</v>
      </c>
      <c r="G16" s="181">
        <v>176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0</v>
      </c>
      <c r="E18" s="198">
        <v>0</v>
      </c>
      <c r="F18" s="198">
        <v>1019354295</v>
      </c>
      <c r="G18" s="198">
        <v>1843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0</v>
      </c>
      <c r="E21" s="282">
        <v>0</v>
      </c>
      <c r="F21" s="176">
        <v>805313717</v>
      </c>
      <c r="G21" s="177">
        <v>2867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0</v>
      </c>
      <c r="E22" s="283">
        <v>0</v>
      </c>
      <c r="F22" s="180">
        <v>1425946178</v>
      </c>
      <c r="G22" s="181">
        <v>9744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0</v>
      </c>
      <c r="E23" s="283">
        <v>0</v>
      </c>
      <c r="F23" s="180">
        <v>1245170519</v>
      </c>
      <c r="G23" s="181">
        <v>2538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0</v>
      </c>
      <c r="E24" s="283">
        <v>0</v>
      </c>
      <c r="F24" s="180">
        <v>486639517</v>
      </c>
      <c r="G24" s="181">
        <v>2483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0</v>
      </c>
      <c r="E25" s="283">
        <v>0</v>
      </c>
      <c r="F25" s="180">
        <v>321499121</v>
      </c>
      <c r="G25" s="181">
        <v>1433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4284569052</v>
      </c>
      <c r="G27" s="186">
        <v>19065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325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67949267697.75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17028090</v>
      </c>
      <c r="G2" s="249">
        <f t="shared" si="0"/>
        <v>26864220</v>
      </c>
      <c r="H2" s="249">
        <f t="shared" si="0"/>
        <v>4106855179.5799994</v>
      </c>
      <c r="I2" s="250">
        <f>SUM(C2:H2)</f>
        <v>72100015187.330002</v>
      </c>
    </row>
    <row r="3" spans="1:10" x14ac:dyDescent="0.25">
      <c r="B3" t="s">
        <v>98</v>
      </c>
      <c r="C3" s="249">
        <f>C14+C24+C33+C42+C52</f>
        <v>236717169.25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23089310</v>
      </c>
      <c r="G3" s="249">
        <f t="shared" ref="G3" si="2">G14+G24+G33+G42+G52</f>
        <v>1781103</v>
      </c>
      <c r="H3" s="249">
        <f t="shared" si="1"/>
        <v>136872738.84999999</v>
      </c>
      <c r="I3" s="250">
        <f>SUM(C3:H3)</f>
        <v>398460321.10000002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40841133.569999993</v>
      </c>
      <c r="I4" s="250">
        <f>SUM(C4:H4)</f>
        <v>40841133.569999993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68185984867</v>
      </c>
      <c r="D6" s="250">
        <f t="shared" ref="D6:H6" si="5">SUM(D2:D5)</f>
        <v>0</v>
      </c>
      <c r="E6" s="250">
        <f t="shared" si="5"/>
        <v>0</v>
      </c>
      <c r="F6" s="250">
        <f t="shared" si="5"/>
        <v>40117400</v>
      </c>
      <c r="G6" s="250">
        <f t="shared" si="5"/>
        <v>28645323</v>
      </c>
      <c r="H6" s="250">
        <f t="shared" si="5"/>
        <v>4284569051.9999995</v>
      </c>
      <c r="I6" s="250">
        <f>SUM(I2:I5)</f>
        <v>72539316642.000015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325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16577115642.75</v>
      </c>
      <c r="D13" s="244">
        <v>0</v>
      </c>
      <c r="E13" s="244">
        <v>0</v>
      </c>
      <c r="F13" s="244">
        <v>0</v>
      </c>
      <c r="G13" s="244">
        <v>0</v>
      </c>
      <c r="H13" s="244">
        <v>776222233.37</v>
      </c>
      <c r="I13" s="246">
        <f>SUM(C13:H13)</f>
        <v>17353337876.119999</v>
      </c>
      <c r="J13" s="251" t="b">
        <f>SUM(C13:H13)=I13</f>
        <v>1</v>
      </c>
    </row>
    <row r="14" spans="1:10" x14ac:dyDescent="0.25">
      <c r="B14" s="89" t="s">
        <v>98</v>
      </c>
      <c r="C14" s="244">
        <v>83572548.25</v>
      </c>
      <c r="D14" s="244">
        <v>0</v>
      </c>
      <c r="E14" s="244">
        <v>0</v>
      </c>
      <c r="F14" s="244">
        <v>0</v>
      </c>
      <c r="G14" s="244">
        <v>0</v>
      </c>
      <c r="H14" s="244">
        <v>17358483.629999999</v>
      </c>
      <c r="I14" s="246">
        <f t="shared" ref="I14:I16" si="7">SUM(C14:H14)</f>
        <v>100931031.88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11733000</v>
      </c>
      <c r="I15" s="246">
        <f t="shared" si="7"/>
        <v>11733000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16660688191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805313717</v>
      </c>
      <c r="I17" s="247">
        <f t="shared" si="9"/>
        <v>17466001908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325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19047798453</v>
      </c>
      <c r="D23" s="244">
        <v>0</v>
      </c>
      <c r="E23" s="244">
        <v>0</v>
      </c>
      <c r="F23" s="244">
        <v>11411240</v>
      </c>
      <c r="G23" s="244">
        <v>0</v>
      </c>
      <c r="H23" s="244">
        <v>1346513069</v>
      </c>
      <c r="I23" s="246">
        <f>SUM(C23:H23)</f>
        <v>20405722762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44281124</v>
      </c>
      <c r="D24" s="244">
        <v>0</v>
      </c>
      <c r="E24" s="244">
        <v>0</v>
      </c>
      <c r="F24" s="244">
        <v>12820520</v>
      </c>
      <c r="G24" s="244">
        <v>0</v>
      </c>
      <c r="H24" s="244">
        <v>79433109</v>
      </c>
      <c r="I24" s="246">
        <f t="shared" ref="I24:I26" si="11">SUM(C24:H24)</f>
        <v>136534753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19092079577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24231760</v>
      </c>
      <c r="G27" s="244">
        <f>SUM(G23:G26)</f>
        <v>0</v>
      </c>
      <c r="H27" s="244">
        <f>SUM(H23:H26)</f>
        <v>1425946178</v>
      </c>
      <c r="I27" s="247">
        <f>SUM(I23:I26)</f>
        <v>20542257515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325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14010202412</v>
      </c>
      <c r="D32" s="244">
        <v>0</v>
      </c>
      <c r="E32" s="244">
        <v>0</v>
      </c>
      <c r="F32" s="244">
        <v>0</v>
      </c>
      <c r="G32" s="244">
        <v>0</v>
      </c>
      <c r="H32" s="244">
        <v>1227843817.3499999</v>
      </c>
      <c r="I32" s="246">
        <f>SUM(C32:H32)</f>
        <v>15238046229.35</v>
      </c>
      <c r="J32" s="251" t="b">
        <f>SUM(C32:H32)=I32</f>
        <v>1</v>
      </c>
    </row>
    <row r="33" spans="2:10" x14ac:dyDescent="0.25">
      <c r="B33" s="89" t="s">
        <v>98</v>
      </c>
      <c r="C33" s="244">
        <v>44039530</v>
      </c>
      <c r="D33" s="244">
        <v>0</v>
      </c>
      <c r="E33" s="244">
        <v>0</v>
      </c>
      <c r="F33" s="244">
        <v>0</v>
      </c>
      <c r="G33" s="244">
        <v>0</v>
      </c>
      <c r="H33" s="244">
        <v>14844502.92</v>
      </c>
      <c r="I33" s="246">
        <f>SUM(C33:H33)</f>
        <v>58884032.920000002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2482198.73</v>
      </c>
      <c r="I34" s="246">
        <f t="shared" ref="I34:I35" si="14">SUM(C34:H34)</f>
        <v>2482198.73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14054241942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1245170519</v>
      </c>
      <c r="I36" s="247">
        <f>SUM(I32:I35)</f>
        <v>15299412461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325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6603996268</v>
      </c>
      <c r="D41" s="244">
        <v>0</v>
      </c>
      <c r="E41" s="244">
        <v>0</v>
      </c>
      <c r="F41" s="244">
        <v>5616850</v>
      </c>
      <c r="G41" s="244">
        <v>0</v>
      </c>
      <c r="H41" s="244">
        <v>446040213.25999999</v>
      </c>
      <c r="I41" s="246">
        <f t="shared" ref="I41:I44" si="16">SUM(C41:H41)</f>
        <v>7055653331.2600002</v>
      </c>
      <c r="J41" s="251" t="b">
        <f>SUM(C41:H41)=I41</f>
        <v>1</v>
      </c>
    </row>
    <row r="42" spans="2:10" x14ac:dyDescent="0.25">
      <c r="B42" s="89" t="s">
        <v>98</v>
      </c>
      <c r="C42" s="244">
        <v>48826052</v>
      </c>
      <c r="D42" s="244">
        <v>0</v>
      </c>
      <c r="E42" s="244">
        <v>0</v>
      </c>
      <c r="F42" s="244">
        <v>10268790</v>
      </c>
      <c r="G42" s="244">
        <v>0</v>
      </c>
      <c r="H42" s="244">
        <v>14631795.34</v>
      </c>
      <c r="I42" s="246">
        <f t="shared" si="16"/>
        <v>73726637.340000004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25967508.399999999</v>
      </c>
      <c r="I43" s="246">
        <f t="shared" si="16"/>
        <v>25967508.399999999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6652822320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15885640</v>
      </c>
      <c r="G45" s="244">
        <f>SUM(G41:G44)</f>
        <v>0</v>
      </c>
      <c r="H45" s="244">
        <f>SUM(H41:H44)</f>
        <v>486639516.99999994</v>
      </c>
      <c r="I45" s="247">
        <f>SUM(I41:I44)</f>
        <v>7155347477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325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11710154922</v>
      </c>
      <c r="D51" s="244">
        <v>0</v>
      </c>
      <c r="E51" s="244">
        <v>0</v>
      </c>
      <c r="F51" s="244">
        <v>0</v>
      </c>
      <c r="G51" s="244">
        <v>26864220</v>
      </c>
      <c r="H51" s="590">
        <v>310235846.60000002</v>
      </c>
      <c r="I51" s="246">
        <f t="shared" ref="I51:I54" si="19">SUM(C51:H51)</f>
        <v>12047254988.6</v>
      </c>
      <c r="J51" s="251" t="b">
        <f>SUM(C51:H51)=I51</f>
        <v>1</v>
      </c>
    </row>
    <row r="52" spans="2:10" x14ac:dyDescent="0.25">
      <c r="B52" s="89" t="s">
        <v>98</v>
      </c>
      <c r="C52" s="590">
        <v>15997915</v>
      </c>
      <c r="D52" s="244">
        <v>0</v>
      </c>
      <c r="E52" s="244">
        <v>0</v>
      </c>
      <c r="F52" s="244">
        <v>0</v>
      </c>
      <c r="G52" s="244">
        <v>1781103</v>
      </c>
      <c r="H52" s="590">
        <v>10604847.960000001</v>
      </c>
      <c r="I52" s="246">
        <f>SUM(C52:H52)</f>
        <v>28383865.960000001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658426.43999999994</v>
      </c>
      <c r="I53" s="246">
        <f t="shared" si="19"/>
        <v>658426.43999999994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11726152837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28645323</v>
      </c>
      <c r="H55" s="244">
        <f>SUM(H51:H54)</f>
        <v>321499121</v>
      </c>
      <c r="I55" s="247">
        <f>SUM(I51:I54)</f>
        <v>12076297281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332</v>
      </c>
      <c r="C59" s="209">
        <v>2</v>
      </c>
      <c r="D59" s="744" t="s">
        <v>333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16660688191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334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24231760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323</v>
      </c>
      <c r="C65" s="749">
        <f>IF($C$59=1,'Recaudo ENEL'!D22,'Recaudo ENEL'!F22)</f>
        <v>19090710142</v>
      </c>
      <c r="D65" s="748" t="b">
        <f>C27=C65</f>
        <v>0</v>
      </c>
      <c r="E65" s="750">
        <f>C27-C65</f>
        <v>1369435</v>
      </c>
      <c r="F65" s="142"/>
    </row>
    <row r="66" spans="2:7" x14ac:dyDescent="0.25">
      <c r="B66" s="748" t="s">
        <v>335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14027201822</v>
      </c>
      <c r="D67" s="745" t="b">
        <f>C36=C67</f>
        <v>0</v>
      </c>
      <c r="E67" s="747">
        <f>C36-C67</f>
        <v>27040120</v>
      </c>
      <c r="F67" s="760"/>
    </row>
    <row r="68" spans="2:7" x14ac:dyDescent="0.25">
      <c r="B68" s="745" t="s">
        <v>336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15885640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324</v>
      </c>
      <c r="C70" s="749">
        <f>IF($C$59=1,'Recaudo ENEL'!D24,'Recaudo ENEL'!F24)</f>
        <v>6640391410</v>
      </c>
      <c r="D70" s="748" t="b">
        <f>C45=C70</f>
        <v>0</v>
      </c>
      <c r="E70" s="750">
        <f>C45-C70</f>
        <v>12430910</v>
      </c>
      <c r="F70" s="142"/>
    </row>
    <row r="71" spans="2:7" x14ac:dyDescent="0.25">
      <c r="B71" s="748" t="s">
        <v>337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11725626627</v>
      </c>
      <c r="D72" s="745" t="b">
        <f>C55=C72</f>
        <v>0</v>
      </c>
      <c r="E72" s="747">
        <f>C55-C72</f>
        <v>526210</v>
      </c>
      <c r="F72" s="142"/>
    </row>
    <row r="73" spans="2:7" x14ac:dyDescent="0.25">
      <c r="B73" s="745" t="s">
        <v>326</v>
      </c>
      <c r="C73" s="746">
        <f>IF($C$59=1,'Recaudo ENERBIT'!D25,'Recaudo ENERBIT'!F25)</f>
        <v>28645323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805313717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1425946178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1245170519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486639517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321499121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325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325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100931031.88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83572548.25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17358483.629999999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136534753</v>
      </c>
      <c r="E4" s="16">
        <v>2</v>
      </c>
      <c r="F4" s="15">
        <f>'REPORTE RECAUDO x BANCO'!F24</f>
        <v>12820520</v>
      </c>
      <c r="H4" s="16">
        <v>2</v>
      </c>
      <c r="I4" s="15">
        <f>'REPORTE RECAUDO x BANCO'!C24</f>
        <v>44281124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79433109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58884032.920000002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44039530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14844502.92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73726637.340000004</v>
      </c>
      <c r="E6" s="16">
        <v>4</v>
      </c>
      <c r="F6" s="15">
        <f>'REPORTE RECAUDO x BANCO'!F42</f>
        <v>10268790</v>
      </c>
      <c r="H6" s="16">
        <v>4</v>
      </c>
      <c r="I6" s="15">
        <f>'REPORTE RECAUDO x BANCO'!C42</f>
        <v>48826052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14631795.34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28383865.960000001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15997915</v>
      </c>
      <c r="K7" s="19">
        <v>5</v>
      </c>
      <c r="L7" s="15">
        <f>'REPORTE RECAUDO x BANCO'!G52</f>
        <v>1781103</v>
      </c>
      <c r="N7" s="19">
        <v>5</v>
      </c>
      <c r="O7" s="15">
        <f>'REPORTE RECAUDO x BANCO'!H52</f>
        <v>10604847.960000001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398460321.09999996</v>
      </c>
      <c r="E8" s="21"/>
      <c r="F8" s="47">
        <f>SUM(F3:F7)</f>
        <v>23089310</v>
      </c>
      <c r="H8" s="21"/>
      <c r="I8" s="47">
        <f>SUM(I3:I7)</f>
        <v>236717169.25</v>
      </c>
      <c r="K8" s="21"/>
      <c r="L8" s="47">
        <f>SUM(L3:L7)</f>
        <v>1781103</v>
      </c>
      <c r="N8" s="21"/>
      <c r="O8" s="47">
        <f>SUM(O3:O7)</f>
        <v>136872738.84999999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-6041512320.7799997</v>
      </c>
      <c r="E3" s="592">
        <v>2452057655.23</v>
      </c>
      <c r="F3" s="593">
        <f>D3+E3</f>
        <v>-3589454665.5499997</v>
      </c>
      <c r="G3" s="499"/>
      <c r="H3" s="612">
        <f>DetRetri2026072!J9</f>
        <v>-3589454666</v>
      </c>
      <c r="I3" s="276">
        <f>F3-H3</f>
        <v>0.45000028610229492</v>
      </c>
    </row>
    <row r="4" spans="1:17" x14ac:dyDescent="0.25">
      <c r="C4" s="124">
        <v>2</v>
      </c>
      <c r="D4" s="602">
        <v>-5502672255.04</v>
      </c>
      <c r="E4" s="602">
        <v>2261478540.9299998</v>
      </c>
      <c r="F4" s="593">
        <f>D4+E4</f>
        <v>-3241193714.1100001</v>
      </c>
      <c r="G4" s="499"/>
      <c r="H4" s="613">
        <f>DetRetri2026072!J10</f>
        <v>-3241193714</v>
      </c>
      <c r="I4" s="276">
        <f t="shared" ref="I4:I7" si="0">F4-H4</f>
        <v>-0.1100001335144043</v>
      </c>
    </row>
    <row r="5" spans="1:17" x14ac:dyDescent="0.25">
      <c r="C5" s="124">
        <v>3</v>
      </c>
      <c r="D5" s="602">
        <v>-2115966220.24</v>
      </c>
      <c r="E5" s="602">
        <v>1262721655.73</v>
      </c>
      <c r="F5" s="593">
        <f>D5+E5</f>
        <v>-853244564.50999999</v>
      </c>
      <c r="G5" s="499"/>
      <c r="H5" s="613">
        <f>DetRetri2026072!J11</f>
        <v>-853244565</v>
      </c>
      <c r="I5" s="276">
        <f t="shared" si="0"/>
        <v>0.49000000953674316</v>
      </c>
    </row>
    <row r="6" spans="1:17" x14ac:dyDescent="0.25">
      <c r="C6" s="124">
        <v>4</v>
      </c>
      <c r="D6" s="602">
        <v>-2467805725.1100001</v>
      </c>
      <c r="E6" s="602">
        <v>1767923011.74</v>
      </c>
      <c r="F6" s="593">
        <f>D6+E6</f>
        <v>-699882713.37000012</v>
      </c>
      <c r="G6" s="499"/>
      <c r="H6" s="613">
        <f>DetRetri2026072!J12</f>
        <v>-699882713</v>
      </c>
      <c r="I6" s="276">
        <f t="shared" si="0"/>
        <v>-0.37000012397766113</v>
      </c>
    </row>
    <row r="7" spans="1:17" ht="13.8" thickBot="1" x14ac:dyDescent="0.3">
      <c r="C7" s="125">
        <v>5</v>
      </c>
      <c r="D7" s="603">
        <v>-1138650714.6700001</v>
      </c>
      <c r="E7" s="603">
        <v>1055691691.01</v>
      </c>
      <c r="F7" s="594">
        <f>D7+E7</f>
        <v>-82959023.660000086</v>
      </c>
      <c r="G7" s="499"/>
      <c r="H7" s="614">
        <f>DetRetri2026072!J13</f>
        <v>-82959024</v>
      </c>
      <c r="I7" s="276">
        <f t="shared" si="0"/>
        <v>0.33999991416931152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-8466734681.1999998</v>
      </c>
      <c r="G9" s="499"/>
      <c r="H9" s="615">
        <f>SUM(H3:H7)</f>
        <v>-8466734682</v>
      </c>
      <c r="I9" s="276">
        <f>F9-H9</f>
        <v>0.80000019073486328</v>
      </c>
    </row>
    <row r="10" spans="1:17" ht="13.8" thickBot="1" x14ac:dyDescent="0.3">
      <c r="D10" s="144"/>
      <c r="E10" s="144"/>
      <c r="F10" s="144"/>
      <c r="G10" s="500"/>
      <c r="H10" s="265" t="b">
        <f>H9=DetRetri2026072!J14</f>
        <v>1</v>
      </c>
    </row>
    <row r="11" spans="1:17" ht="13.8" thickBot="1" x14ac:dyDescent="0.3">
      <c r="D11" s="264">
        <f>SUM(D3:D7)</f>
        <v>-17266607235.84</v>
      </c>
      <c r="E11" s="264">
        <f t="shared" ref="E11" si="1">SUM(E3:E7)</f>
        <v>8799872554.6399994</v>
      </c>
      <c r="F11" s="264">
        <f>SUM(D3:E7)</f>
        <v>-8466734681.2000008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-3589454665.5499997</v>
      </c>
      <c r="F19" s="514" t="b">
        <f>E19=F3</f>
        <v>1</v>
      </c>
      <c r="G19" s="514" t="b">
        <f>E19=H3</f>
        <v>0</v>
      </c>
      <c r="H19" s="515">
        <f>E19-H3</f>
        <v>0.45000028610229492</v>
      </c>
      <c r="I19" s="137"/>
    </row>
    <row r="20" spans="4:9" x14ac:dyDescent="0.25">
      <c r="D20" s="511">
        <v>2</v>
      </c>
      <c r="E20" s="516">
        <f>'CONSOLIDADO_TOTAL RECAUDO'!J105</f>
        <v>-3241193714.1100001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-0.1100001335144043</v>
      </c>
      <c r="I20" s="137"/>
    </row>
    <row r="21" spans="4:9" x14ac:dyDescent="0.25">
      <c r="D21" s="511">
        <v>3</v>
      </c>
      <c r="E21" s="516">
        <f>'CONSOLIDADO_TOTAL RECAUDO'!J106</f>
        <v>-853244564.50999999</v>
      </c>
      <c r="F21" s="505" t="b">
        <f t="shared" si="2"/>
        <v>1</v>
      </c>
      <c r="G21" s="505" t="b">
        <f t="shared" si="3"/>
        <v>0</v>
      </c>
      <c r="H21" s="261">
        <f t="shared" si="4"/>
        <v>0.49000000953674316</v>
      </c>
    </row>
    <row r="22" spans="4:9" x14ac:dyDescent="0.25">
      <c r="D22" s="511">
        <v>4</v>
      </c>
      <c r="E22" s="516">
        <f>'CONSOLIDADO_TOTAL RECAUDO'!J107</f>
        <v>-699882713.37000012</v>
      </c>
      <c r="F22" s="505" t="b">
        <f t="shared" si="2"/>
        <v>1</v>
      </c>
      <c r="G22" s="505" t="b">
        <f t="shared" si="3"/>
        <v>0</v>
      </c>
      <c r="H22" s="261">
        <f t="shared" si="4"/>
        <v>-0.37000012397766113</v>
      </c>
    </row>
    <row r="23" spans="4:9" ht="13.8" thickBot="1" x14ac:dyDescent="0.3">
      <c r="D23" s="512">
        <v>5</v>
      </c>
      <c r="E23" s="517">
        <f>'CONSOLIDADO_TOTAL RECAUDO'!J108</f>
        <v>-82959023.660000086</v>
      </c>
      <c r="F23" s="518" t="b">
        <f t="shared" si="2"/>
        <v>1</v>
      </c>
      <c r="G23" s="518" t="b">
        <f t="shared" si="3"/>
        <v>0</v>
      </c>
      <c r="H23" s="262">
        <f t="shared" si="4"/>
        <v>0.33999991416931152</v>
      </c>
    </row>
    <row r="24" spans="4:9" ht="13.8" thickBot="1" x14ac:dyDescent="0.3">
      <c r="E24" s="264">
        <f>SUM(E19:E23)</f>
        <v>-8466734681.1999998</v>
      </c>
      <c r="F24" s="506" t="b">
        <f>E24=F9</f>
        <v>1</v>
      </c>
      <c r="G24" s="507" t="b">
        <f>E24=H9</f>
        <v>0</v>
      </c>
      <c r="H24" s="263">
        <f>E24-H9</f>
        <v>0.80000019073486328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-7108.82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-79.569999999999993</v>
      </c>
      <c r="L6" s="90">
        <v>0</v>
      </c>
      <c r="M6" s="90">
        <v>-698.02</v>
      </c>
      <c r="N6" s="90">
        <v>-584.16999999999996</v>
      </c>
      <c r="O6" s="90">
        <v>-2331.79</v>
      </c>
      <c r="P6" s="90">
        <v>-1243.99</v>
      </c>
      <c r="Q6" s="90">
        <v>-129.83000000000001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-7108.82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-79.569999999999993</v>
      </c>
      <c r="L7" s="90">
        <v>0</v>
      </c>
      <c r="M7" s="90">
        <v>-698.02</v>
      </c>
      <c r="N7" s="90">
        <v>-584.16999999999996</v>
      </c>
      <c r="O7" s="90">
        <v>-2331.79</v>
      </c>
      <c r="P7" s="90">
        <v>-1243.99</v>
      </c>
      <c r="Q7" s="90">
        <v>-129.83000000000001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-7108.82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-79.569999999999993</v>
      </c>
      <c r="L8" s="230">
        <v>0</v>
      </c>
      <c r="M8" s="230">
        <v>-698.02</v>
      </c>
      <c r="N8" s="230">
        <v>-584.16999999999996</v>
      </c>
      <c r="O8" s="230">
        <v>-2331.79</v>
      </c>
      <c r="P8" s="230">
        <v>-1243.99</v>
      </c>
      <c r="Q8" s="230">
        <v>-129.83000000000001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-4108.55</v>
      </c>
      <c r="G11" s="90">
        <v>-263.39999999999998</v>
      </c>
      <c r="H11" s="90">
        <v>-111.9</v>
      </c>
      <c r="I11" s="90">
        <v>-48.87</v>
      </c>
      <c r="J11" s="90">
        <v>-738.89</v>
      </c>
      <c r="K11" s="90">
        <v>-47.75</v>
      </c>
      <c r="L11" s="90">
        <v>0</v>
      </c>
      <c r="M11" s="90">
        <v>-418.8</v>
      </c>
      <c r="N11" s="90">
        <v>-350.5</v>
      </c>
      <c r="O11" s="90">
        <v>-1399.09</v>
      </c>
      <c r="P11" s="90">
        <v>-651.44000000000005</v>
      </c>
      <c r="Q11" s="90">
        <v>-77.91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-4108.55</v>
      </c>
      <c r="G12" s="90">
        <v>-263.39999999999998</v>
      </c>
      <c r="H12" s="90">
        <v>-111.9</v>
      </c>
      <c r="I12" s="90">
        <v>-48.87</v>
      </c>
      <c r="J12" s="90">
        <v>-738.89</v>
      </c>
      <c r="K12" s="90">
        <v>-47.75</v>
      </c>
      <c r="L12" s="90">
        <v>0</v>
      </c>
      <c r="M12" s="90">
        <v>-418.8</v>
      </c>
      <c r="N12" s="90">
        <v>-350.5</v>
      </c>
      <c r="O12" s="90">
        <v>-1399.09</v>
      </c>
      <c r="P12" s="90">
        <v>-651.44000000000005</v>
      </c>
      <c r="Q12" s="90">
        <v>-77.91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-4108.55</v>
      </c>
      <c r="G15" s="93">
        <v>-263.39999999999998</v>
      </c>
      <c r="H15" s="93">
        <v>-111.9</v>
      </c>
      <c r="I15" s="93">
        <v>-48.87</v>
      </c>
      <c r="J15" s="93">
        <v>-738.89</v>
      </c>
      <c r="K15" s="93">
        <v>-47.75</v>
      </c>
      <c r="L15" s="93">
        <v>0</v>
      </c>
      <c r="M15" s="93">
        <v>-418.8</v>
      </c>
      <c r="N15" s="93">
        <v>-350.5</v>
      </c>
      <c r="O15" s="93">
        <v>-1399.09</v>
      </c>
      <c r="P15" s="93">
        <v>-651.44000000000005</v>
      </c>
      <c r="Q15" s="93">
        <v>-77.91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-11217.37</v>
      </c>
      <c r="G16" s="90">
        <v>-766.38</v>
      </c>
      <c r="H16" s="90">
        <v>-325.58999999999997</v>
      </c>
      <c r="I16" s="90">
        <v>-142.16999999999999</v>
      </c>
      <c r="J16" s="90">
        <v>-1970.37</v>
      </c>
      <c r="K16" s="90">
        <v>-127.32</v>
      </c>
      <c r="L16" s="90">
        <v>0</v>
      </c>
      <c r="M16" s="90">
        <v>-1116.82</v>
      </c>
      <c r="N16" s="90">
        <v>-934.67</v>
      </c>
      <c r="O16" s="90">
        <v>-3730.88</v>
      </c>
      <c r="P16" s="90">
        <v>-1895.43</v>
      </c>
      <c r="Q16" s="90">
        <v>-207.74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-11217.37</v>
      </c>
      <c r="G17" s="458">
        <v>-766.38</v>
      </c>
      <c r="H17" s="458">
        <v>-325.58999999999997</v>
      </c>
      <c r="I17" s="458">
        <v>-142.16999999999999</v>
      </c>
      <c r="J17" s="458">
        <v>-1970.37</v>
      </c>
      <c r="K17" s="458">
        <v>-127.32</v>
      </c>
      <c r="L17" s="458">
        <v>0</v>
      </c>
      <c r="M17" s="458">
        <v>-1116.82</v>
      </c>
      <c r="N17" s="458">
        <v>-934.67</v>
      </c>
      <c r="O17" s="458">
        <v>-3730.88</v>
      </c>
      <c r="P17" s="458">
        <v>-1895.43</v>
      </c>
      <c r="Q17" s="458">
        <v>-207.74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9215.69</v>
      </c>
      <c r="G18" s="90">
        <v>2007.44</v>
      </c>
      <c r="H18" s="90">
        <v>1133.3800000000001</v>
      </c>
      <c r="I18" s="90">
        <v>594.88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5482.6</v>
      </c>
      <c r="Q18" s="90">
        <v>0</v>
      </c>
      <c r="R18" s="90">
        <v>-2.61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9215.69</v>
      </c>
      <c r="G20" s="90">
        <v>2007.44</v>
      </c>
      <c r="H20" s="90">
        <v>1133.3800000000001</v>
      </c>
      <c r="I20" s="90">
        <v>594.88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5482.6</v>
      </c>
      <c r="Q20" s="90">
        <v>0</v>
      </c>
      <c r="R20" s="90">
        <v>-2.61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9215.69</v>
      </c>
      <c r="G21" s="230">
        <v>2007.44</v>
      </c>
      <c r="H21" s="230">
        <v>1133.3800000000001</v>
      </c>
      <c r="I21" s="230">
        <v>594.88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5482.6</v>
      </c>
      <c r="Q21" s="230">
        <v>0</v>
      </c>
      <c r="R21" s="230">
        <v>-2.61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325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0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9215.69</v>
      </c>
      <c r="G36" s="377">
        <v>2007.44</v>
      </c>
      <c r="H36" s="377">
        <v>1133.3800000000001</v>
      </c>
      <c r="I36" s="377">
        <v>594.88</v>
      </c>
      <c r="J36" s="377">
        <v>0</v>
      </c>
      <c r="K36" s="377">
        <v>0</v>
      </c>
      <c r="L36" s="377">
        <v>0</v>
      </c>
      <c r="M36" s="377">
        <v>0</v>
      </c>
      <c r="N36" s="377">
        <v>0</v>
      </c>
      <c r="O36" s="377">
        <v>0</v>
      </c>
      <c r="P36" s="377">
        <v>5482.6</v>
      </c>
      <c r="Q36" s="377">
        <v>0</v>
      </c>
      <c r="R36" s="377">
        <v>-2.61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15311909420.24</v>
      </c>
      <c r="G37" s="90">
        <v>801363799.01999998</v>
      </c>
      <c r="H37" s="90">
        <v>452181651.88999999</v>
      </c>
      <c r="I37" s="90">
        <v>237576696.13999999</v>
      </c>
      <c r="J37" s="90">
        <v>3742603268.77</v>
      </c>
      <c r="K37" s="90">
        <v>131872455.84</v>
      </c>
      <c r="L37" s="90">
        <v>16515975.939999999</v>
      </c>
      <c r="M37" s="90">
        <v>1160229364.5799999</v>
      </c>
      <c r="N37" s="90">
        <v>1113178184.5</v>
      </c>
      <c r="O37" s="90">
        <v>5269855575.6800003</v>
      </c>
      <c r="P37" s="90">
        <v>2171371078.0700002</v>
      </c>
      <c r="Q37" s="90">
        <v>215178442.49000001</v>
      </c>
      <c r="R37" s="90">
        <v>-17072.68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4090440.92</v>
      </c>
      <c r="G38" s="90">
        <v>281733.24</v>
      </c>
      <c r="H38" s="90">
        <v>147454.73000000001</v>
      </c>
      <c r="I38" s="90">
        <v>76550.039999999994</v>
      </c>
      <c r="J38" s="90">
        <v>796420.04</v>
      </c>
      <c r="K38" s="90">
        <v>36830.11</v>
      </c>
      <c r="L38" s="90">
        <v>516.30999999999995</v>
      </c>
      <c r="M38" s="90">
        <v>325736.63</v>
      </c>
      <c r="N38" s="90">
        <v>292484.52</v>
      </c>
      <c r="O38" s="90">
        <v>1313250.69</v>
      </c>
      <c r="P38" s="90">
        <v>758517.98</v>
      </c>
      <c r="Q38" s="90">
        <v>60116.44</v>
      </c>
      <c r="R38" s="90">
        <v>308.42</v>
      </c>
      <c r="S38" s="90">
        <v>0</v>
      </c>
      <c r="T38" s="90">
        <v>521.79999999999995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-0.03</v>
      </c>
    </row>
    <row r="39" spans="2:26" ht="12.75" customHeight="1" x14ac:dyDescent="0.25">
      <c r="D39" t="s">
        <v>156</v>
      </c>
      <c r="E39" s="89" t="s">
        <v>70</v>
      </c>
      <c r="F39" s="89">
        <v>15315999861.16</v>
      </c>
      <c r="G39" s="90">
        <v>801645532.25999999</v>
      </c>
      <c r="H39" s="90">
        <v>452329106.62</v>
      </c>
      <c r="I39" s="90">
        <v>237653246.18000001</v>
      </c>
      <c r="J39" s="90">
        <v>3743399688.8099999</v>
      </c>
      <c r="K39" s="90">
        <v>131909285.95</v>
      </c>
      <c r="L39" s="90">
        <v>16516492.25</v>
      </c>
      <c r="M39" s="90">
        <v>1160555101.21</v>
      </c>
      <c r="N39" s="90">
        <v>1113470669.02</v>
      </c>
      <c r="O39" s="90">
        <v>5271168826.3699999</v>
      </c>
      <c r="P39" s="90">
        <v>2172129596.0500002</v>
      </c>
      <c r="Q39" s="90">
        <v>215238558.93000001</v>
      </c>
      <c r="R39" s="90">
        <v>-16764.259999999998</v>
      </c>
      <c r="S39" s="90">
        <v>0</v>
      </c>
      <c r="T39" s="90">
        <v>521.79999999999995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-0.03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15315999861.16</v>
      </c>
      <c r="G40" s="230">
        <v>801645532.25999999</v>
      </c>
      <c r="H40" s="230">
        <v>452329106.62</v>
      </c>
      <c r="I40" s="230">
        <v>237653246.18000001</v>
      </c>
      <c r="J40" s="230">
        <v>3743399688.8099999</v>
      </c>
      <c r="K40" s="230">
        <v>131909285.95</v>
      </c>
      <c r="L40" s="230">
        <v>16516492.25</v>
      </c>
      <c r="M40" s="230">
        <v>1160555101.21</v>
      </c>
      <c r="N40" s="230">
        <v>1113470669.02</v>
      </c>
      <c r="O40" s="230">
        <v>5271168826.3699999</v>
      </c>
      <c r="P40" s="230">
        <v>2172129596.0500002</v>
      </c>
      <c r="Q40" s="230">
        <v>215238558.93000001</v>
      </c>
      <c r="R40" s="230">
        <v>-16764.259999999998</v>
      </c>
      <c r="S40" s="230">
        <v>0</v>
      </c>
      <c r="T40" s="230">
        <v>521.79999999999995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-0.03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325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32531853.02</v>
      </c>
      <c r="G45" s="90">
        <v>2591273.87</v>
      </c>
      <c r="H45" s="90">
        <v>1444146.45</v>
      </c>
      <c r="I45" s="90">
        <v>758108.3</v>
      </c>
      <c r="J45" s="90">
        <v>6042578.8099999996</v>
      </c>
      <c r="K45" s="90">
        <v>205824.68</v>
      </c>
      <c r="L45" s="90">
        <v>0</v>
      </c>
      <c r="M45" s="90">
        <v>1805861.64</v>
      </c>
      <c r="N45" s="90">
        <v>2163115.5299999998</v>
      </c>
      <c r="O45" s="90">
        <v>10120979.77</v>
      </c>
      <c r="P45" s="90">
        <v>7063994.1200000001</v>
      </c>
      <c r="Q45" s="90">
        <v>335853.33</v>
      </c>
      <c r="R45" s="90">
        <v>116.52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70410.78</v>
      </c>
      <c r="G46" s="90">
        <v>4075.34</v>
      </c>
      <c r="H46" s="90">
        <v>2009.42</v>
      </c>
      <c r="I46" s="90">
        <v>1036.19</v>
      </c>
      <c r="J46" s="90">
        <v>14956.08</v>
      </c>
      <c r="K46" s="90">
        <v>634.41999999999996</v>
      </c>
      <c r="L46" s="90">
        <v>0</v>
      </c>
      <c r="M46" s="90">
        <v>5556.36</v>
      </c>
      <c r="N46" s="90">
        <v>5429.24</v>
      </c>
      <c r="O46" s="90">
        <v>24704.76</v>
      </c>
      <c r="P46" s="90">
        <v>10925.02</v>
      </c>
      <c r="Q46" s="90">
        <v>1033.93</v>
      </c>
      <c r="R46" s="90">
        <v>49.75</v>
      </c>
      <c r="S46" s="90">
        <v>0</v>
      </c>
      <c r="T46" s="90">
        <v>0.27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32602263.800000001</v>
      </c>
      <c r="G47" s="90">
        <v>2595349.21</v>
      </c>
      <c r="H47" s="90">
        <v>1446155.87</v>
      </c>
      <c r="I47" s="90">
        <v>759144.49</v>
      </c>
      <c r="J47" s="90">
        <v>6057534.8899999997</v>
      </c>
      <c r="K47" s="90">
        <v>206459.1</v>
      </c>
      <c r="L47" s="90">
        <v>0</v>
      </c>
      <c r="M47" s="90">
        <v>1811418</v>
      </c>
      <c r="N47" s="90">
        <v>2168544.77</v>
      </c>
      <c r="O47" s="90">
        <v>10145684.529999999</v>
      </c>
      <c r="P47" s="90">
        <v>7074919.1399999997</v>
      </c>
      <c r="Q47" s="90">
        <v>336887.26</v>
      </c>
      <c r="R47" s="90">
        <v>166.27</v>
      </c>
      <c r="S47" s="90">
        <v>0</v>
      </c>
      <c r="T47" s="90">
        <v>0.27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142718615.59</v>
      </c>
      <c r="G48" s="90">
        <v>16226922.74</v>
      </c>
      <c r="H48" s="90">
        <v>8978685.1099999994</v>
      </c>
      <c r="I48" s="90">
        <v>4682686.13</v>
      </c>
      <c r="J48" s="90">
        <v>17356715.969999999</v>
      </c>
      <c r="K48" s="90">
        <v>717148.94</v>
      </c>
      <c r="L48" s="90">
        <v>4122672</v>
      </c>
      <c r="M48" s="90">
        <v>6303944.3300000001</v>
      </c>
      <c r="N48" s="90">
        <v>6897057.04</v>
      </c>
      <c r="O48" s="90">
        <v>32134628.149999999</v>
      </c>
      <c r="P48" s="90">
        <v>44127363.810000002</v>
      </c>
      <c r="Q48" s="90">
        <v>1171009.75</v>
      </c>
      <c r="R48" s="90">
        <v>-218.38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700269.72</v>
      </c>
      <c r="G49" s="90">
        <v>40116.699999999997</v>
      </c>
      <c r="H49" s="90">
        <v>19139.89</v>
      </c>
      <c r="I49" s="90">
        <v>10101.16</v>
      </c>
      <c r="J49" s="90">
        <v>153132.53</v>
      </c>
      <c r="K49" s="90">
        <v>7303.27</v>
      </c>
      <c r="L49" s="90">
        <v>0</v>
      </c>
      <c r="M49" s="90">
        <v>64029.13</v>
      </c>
      <c r="N49" s="90">
        <v>56965.87</v>
      </c>
      <c r="O49" s="90">
        <v>230260.01</v>
      </c>
      <c r="P49" s="90">
        <v>107283.27</v>
      </c>
      <c r="Q49" s="90">
        <v>11912.73</v>
      </c>
      <c r="R49" s="90">
        <v>27.3</v>
      </c>
      <c r="S49" s="90">
        <v>-2.3199999999999998</v>
      </c>
      <c r="T49" s="90">
        <v>0.18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143418885.31</v>
      </c>
      <c r="G50" s="90">
        <v>16267039.439999999</v>
      </c>
      <c r="H50" s="90">
        <v>8997825</v>
      </c>
      <c r="I50" s="90">
        <v>4692787.29</v>
      </c>
      <c r="J50" s="90">
        <v>17509848.5</v>
      </c>
      <c r="K50" s="90">
        <v>724452.21</v>
      </c>
      <c r="L50" s="90">
        <v>4122672</v>
      </c>
      <c r="M50" s="90">
        <v>6367973.46</v>
      </c>
      <c r="N50" s="90">
        <v>6954022.9100000001</v>
      </c>
      <c r="O50" s="90">
        <v>32364888.16</v>
      </c>
      <c r="P50" s="90">
        <v>44234647.079999998</v>
      </c>
      <c r="Q50" s="90">
        <v>1182922.48</v>
      </c>
      <c r="R50" s="90">
        <v>-191.08</v>
      </c>
      <c r="S50" s="90">
        <v>-2.3199999999999998</v>
      </c>
      <c r="T50" s="90">
        <v>0.18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443299915.67000002</v>
      </c>
      <c r="G51" s="90">
        <v>77621929.120000005</v>
      </c>
      <c r="H51" s="90">
        <v>43739696.539999999</v>
      </c>
      <c r="I51" s="90">
        <v>23002911.079999998</v>
      </c>
      <c r="J51" s="90">
        <v>27531678.219999999</v>
      </c>
      <c r="K51" s="90">
        <v>700778.07</v>
      </c>
      <c r="L51" s="90">
        <v>4638006</v>
      </c>
      <c r="M51" s="90">
        <v>6178734.5199999996</v>
      </c>
      <c r="N51" s="90">
        <v>8275304.75</v>
      </c>
      <c r="O51" s="90">
        <v>38410843.780000001</v>
      </c>
      <c r="P51" s="90">
        <v>212057412.16999999</v>
      </c>
      <c r="Q51" s="90">
        <v>1143387.6599999999</v>
      </c>
      <c r="R51" s="90">
        <v>-766.24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613877.44999999995</v>
      </c>
      <c r="G52" s="90">
        <v>94058.21</v>
      </c>
      <c r="H52" s="90">
        <v>48331.99</v>
      </c>
      <c r="I52" s="90">
        <v>26441.83</v>
      </c>
      <c r="J52" s="90">
        <v>61251.38</v>
      </c>
      <c r="K52" s="90">
        <v>1855.3</v>
      </c>
      <c r="L52" s="90">
        <v>146.01</v>
      </c>
      <c r="M52" s="90">
        <v>16384.73</v>
      </c>
      <c r="N52" s="90">
        <v>20507.080000000002</v>
      </c>
      <c r="O52" s="90">
        <v>89016.81</v>
      </c>
      <c r="P52" s="90">
        <v>254956.79</v>
      </c>
      <c r="Q52" s="90">
        <v>3029.72</v>
      </c>
      <c r="R52" s="90">
        <v>10.11</v>
      </c>
      <c r="S52" s="90">
        <v>-2112.5100000000002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443913793.12</v>
      </c>
      <c r="G53" s="90">
        <v>77715987.329999998</v>
      </c>
      <c r="H53" s="90">
        <v>43788028.530000001</v>
      </c>
      <c r="I53" s="90">
        <v>23029352.91</v>
      </c>
      <c r="J53" s="90">
        <v>27592929.600000001</v>
      </c>
      <c r="K53" s="90">
        <v>702633.37</v>
      </c>
      <c r="L53" s="90">
        <v>4638152.01</v>
      </c>
      <c r="M53" s="90">
        <v>6195119.25</v>
      </c>
      <c r="N53" s="90">
        <v>8295811.8300000001</v>
      </c>
      <c r="O53" s="90">
        <v>38499860.590000004</v>
      </c>
      <c r="P53" s="90">
        <v>212312368.96000001</v>
      </c>
      <c r="Q53" s="90">
        <v>1146417.3799999999</v>
      </c>
      <c r="R53" s="90">
        <v>-756.13</v>
      </c>
      <c r="S53" s="90">
        <v>-2112.5100000000002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619934942.23000002</v>
      </c>
      <c r="G54" s="93">
        <v>96578375.980000004</v>
      </c>
      <c r="H54" s="93">
        <v>54232009.399999999</v>
      </c>
      <c r="I54" s="93">
        <v>28481284.690000001</v>
      </c>
      <c r="J54" s="93">
        <v>51160312.990000002</v>
      </c>
      <c r="K54" s="93">
        <v>1633544.68</v>
      </c>
      <c r="L54" s="93">
        <v>8760824.0099999998</v>
      </c>
      <c r="M54" s="93">
        <v>14374510.710000001</v>
      </c>
      <c r="N54" s="93">
        <v>17418379.510000002</v>
      </c>
      <c r="O54" s="93">
        <v>81010433.280000001</v>
      </c>
      <c r="P54" s="93">
        <v>263621935.18000001</v>
      </c>
      <c r="Q54" s="93">
        <v>2666227.12</v>
      </c>
      <c r="R54" s="93">
        <v>-780.94</v>
      </c>
      <c r="S54" s="93">
        <v>-2114.83</v>
      </c>
      <c r="T54" s="93">
        <v>0.45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15935934803.389999</v>
      </c>
      <c r="G55" s="100">
        <v>898223908.24000001</v>
      </c>
      <c r="H55" s="100">
        <v>506561116.01999998</v>
      </c>
      <c r="I55" s="100">
        <v>266134530.87</v>
      </c>
      <c r="J55" s="100">
        <v>3794560001.8000002</v>
      </c>
      <c r="K55" s="100">
        <v>133542830.63</v>
      </c>
      <c r="L55" s="100">
        <v>25277316.260000002</v>
      </c>
      <c r="M55" s="100">
        <v>1174929611.9200001</v>
      </c>
      <c r="N55" s="100">
        <v>1130889048.53</v>
      </c>
      <c r="O55" s="100">
        <v>5352179259.6499996</v>
      </c>
      <c r="P55" s="100">
        <v>2435751531.23</v>
      </c>
      <c r="Q55" s="100">
        <v>217904786.05000001</v>
      </c>
      <c r="R55" s="100">
        <v>-17545.2</v>
      </c>
      <c r="S55" s="100">
        <v>-2114.83</v>
      </c>
      <c r="T55" s="100">
        <v>522.25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-0.03</v>
      </c>
    </row>
    <row r="56" spans="1:26" ht="12.6" customHeight="1" x14ac:dyDescent="0.25">
      <c r="A56" t="s">
        <v>78</v>
      </c>
      <c r="B56" t="s">
        <v>70</v>
      </c>
      <c r="E56" s="89"/>
      <c r="F56" s="89">
        <v>15935944019.08</v>
      </c>
      <c r="G56" s="90">
        <v>898225915.67999995</v>
      </c>
      <c r="H56" s="90">
        <v>506562249.39999998</v>
      </c>
      <c r="I56" s="90">
        <v>266135125.75</v>
      </c>
      <c r="J56" s="90">
        <v>3794560001.8000002</v>
      </c>
      <c r="K56" s="90">
        <v>133542830.63</v>
      </c>
      <c r="L56" s="90">
        <v>25277316.260000002</v>
      </c>
      <c r="M56" s="90">
        <v>1174929611.9200001</v>
      </c>
      <c r="N56" s="90">
        <v>1130889048.53</v>
      </c>
      <c r="O56" s="90">
        <v>5352179259.6499996</v>
      </c>
      <c r="P56" s="90">
        <v>2435757013.8299999</v>
      </c>
      <c r="Q56" s="90">
        <v>217904786.05000001</v>
      </c>
      <c r="R56" s="90">
        <v>-17547.810000000001</v>
      </c>
      <c r="S56" s="90">
        <v>-2114.83</v>
      </c>
      <c r="T56" s="90">
        <v>522.25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-0.03</v>
      </c>
    </row>
    <row r="57" spans="1:26" x14ac:dyDescent="0.25">
      <c r="E57" t="s">
        <v>73</v>
      </c>
      <c r="F57" s="90">
        <v>40364.31</v>
      </c>
      <c r="G57" s="90">
        <v>1974.08</v>
      </c>
      <c r="H57" s="90">
        <v>1114.56</v>
      </c>
      <c r="I57" s="90">
        <v>585</v>
      </c>
      <c r="J57" s="90">
        <v>9457.65</v>
      </c>
      <c r="K57" s="90">
        <v>361.03</v>
      </c>
      <c r="L57" s="90">
        <v>0</v>
      </c>
      <c r="M57" s="90">
        <v>3166.94</v>
      </c>
      <c r="N57" s="90">
        <v>3091.65</v>
      </c>
      <c r="O57" s="90">
        <v>14632.85</v>
      </c>
      <c r="P57" s="90">
        <v>5391.5</v>
      </c>
      <c r="Q57" s="90">
        <v>589.04999999999995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40364.31</v>
      </c>
      <c r="G58" s="90">
        <v>1974.08</v>
      </c>
      <c r="H58" s="90">
        <v>1114.56</v>
      </c>
      <c r="I58" s="90">
        <v>585</v>
      </c>
      <c r="J58" s="90">
        <v>9457.65</v>
      </c>
      <c r="K58" s="90">
        <v>361.03</v>
      </c>
      <c r="L58" s="90">
        <v>0</v>
      </c>
      <c r="M58" s="90">
        <v>3166.94</v>
      </c>
      <c r="N58" s="90">
        <v>3091.65</v>
      </c>
      <c r="O58" s="90">
        <v>14632.85</v>
      </c>
      <c r="P58" s="90">
        <v>5391.5</v>
      </c>
      <c r="Q58" s="90">
        <v>589.04999999999995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40364.31</v>
      </c>
      <c r="G59" s="230">
        <v>1974.08</v>
      </c>
      <c r="H59" s="230">
        <v>1114.56</v>
      </c>
      <c r="I59" s="230">
        <v>585</v>
      </c>
      <c r="J59" s="230">
        <v>9457.65</v>
      </c>
      <c r="K59" s="230">
        <v>361.03</v>
      </c>
      <c r="L59" s="230">
        <v>0</v>
      </c>
      <c r="M59" s="230">
        <v>3166.94</v>
      </c>
      <c r="N59" s="230">
        <v>3091.65</v>
      </c>
      <c r="O59" s="230">
        <v>14632.85</v>
      </c>
      <c r="P59" s="230">
        <v>5391.5</v>
      </c>
      <c r="Q59" s="230">
        <v>589.04999999999995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325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40364.31</v>
      </c>
      <c r="G70" s="377">
        <v>1974.08</v>
      </c>
      <c r="H70" s="377">
        <v>1114.56</v>
      </c>
      <c r="I70" s="377">
        <v>585</v>
      </c>
      <c r="J70" s="377">
        <v>9457.65</v>
      </c>
      <c r="K70" s="377">
        <v>361.03</v>
      </c>
      <c r="L70" s="377">
        <v>0</v>
      </c>
      <c r="M70" s="377">
        <v>3166.94</v>
      </c>
      <c r="N70" s="377">
        <v>3091.65</v>
      </c>
      <c r="O70" s="377">
        <v>14632.85</v>
      </c>
      <c r="P70" s="377">
        <v>5391.5</v>
      </c>
      <c r="Q70" s="377">
        <v>589.04999999999995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1261122890.4100001</v>
      </c>
      <c r="G71" s="90">
        <v>145017642.28999999</v>
      </c>
      <c r="H71" s="90">
        <v>81882191.680000007</v>
      </c>
      <c r="I71" s="90">
        <v>42987613.009999998</v>
      </c>
      <c r="J71" s="90">
        <v>181283966.80000001</v>
      </c>
      <c r="K71" s="90">
        <v>6932108.75</v>
      </c>
      <c r="L71" s="90">
        <v>0</v>
      </c>
      <c r="M71" s="90">
        <v>59431479.549999997</v>
      </c>
      <c r="N71" s="90">
        <v>58073052.670000002</v>
      </c>
      <c r="O71" s="90">
        <v>274861035.99000001</v>
      </c>
      <c r="P71" s="90">
        <v>399343193.25</v>
      </c>
      <c r="Q71" s="90">
        <v>11310606.42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1261122890.4100001</v>
      </c>
      <c r="G72" s="90">
        <v>145017642.28999999</v>
      </c>
      <c r="H72" s="90">
        <v>81882191.680000007</v>
      </c>
      <c r="I72" s="90">
        <v>42987613.009999998</v>
      </c>
      <c r="J72" s="90">
        <v>181283966.80000001</v>
      </c>
      <c r="K72" s="90">
        <v>6932108.75</v>
      </c>
      <c r="L72" s="90">
        <v>0</v>
      </c>
      <c r="M72" s="90">
        <v>59431479.549999997</v>
      </c>
      <c r="N72" s="90">
        <v>58073052.670000002</v>
      </c>
      <c r="O72" s="90">
        <v>274861035.99000001</v>
      </c>
      <c r="P72" s="90">
        <v>399343193.25</v>
      </c>
      <c r="Q72" s="90">
        <v>11310606.42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1261122890.4100001</v>
      </c>
      <c r="G73" s="230">
        <v>145017642.28999999</v>
      </c>
      <c r="H73" s="230">
        <v>81882191.680000007</v>
      </c>
      <c r="I73" s="230">
        <v>42987613.009999998</v>
      </c>
      <c r="J73" s="230">
        <v>181283966.80000001</v>
      </c>
      <c r="K73" s="230">
        <v>6932108.75</v>
      </c>
      <c r="L73" s="230">
        <v>0</v>
      </c>
      <c r="M73" s="230">
        <v>59431479.549999997</v>
      </c>
      <c r="N73" s="230">
        <v>58073052.670000002</v>
      </c>
      <c r="O73" s="230">
        <v>274861035.99000001</v>
      </c>
      <c r="P73" s="230">
        <v>399343193.25</v>
      </c>
      <c r="Q73" s="230">
        <v>11310606.42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325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6082566.2000000002</v>
      </c>
      <c r="G77" s="90">
        <v>1209162.83</v>
      </c>
      <c r="H77" s="90">
        <v>679361.72</v>
      </c>
      <c r="I77" s="90">
        <v>354481.28</v>
      </c>
      <c r="J77" s="90">
        <v>358187.27</v>
      </c>
      <c r="K77" s="90">
        <v>-4705.5600000000004</v>
      </c>
      <c r="L77" s="90">
        <v>0</v>
      </c>
      <c r="M77" s="90">
        <v>-42042.77</v>
      </c>
      <c r="N77" s="90">
        <v>41264.06</v>
      </c>
      <c r="O77" s="90">
        <v>193736.04</v>
      </c>
      <c r="P77" s="90">
        <v>3300638.3</v>
      </c>
      <c r="Q77" s="90">
        <v>-7516.97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6082566.2000000002</v>
      </c>
      <c r="G78" s="90">
        <v>1209162.83</v>
      </c>
      <c r="H78" s="90">
        <v>679361.72</v>
      </c>
      <c r="I78" s="90">
        <v>354481.28</v>
      </c>
      <c r="J78" s="90">
        <v>358187.27</v>
      </c>
      <c r="K78" s="90">
        <v>-4705.5600000000004</v>
      </c>
      <c r="L78" s="90">
        <v>0</v>
      </c>
      <c r="M78" s="90">
        <v>-42042.77</v>
      </c>
      <c r="N78" s="90">
        <v>41264.06</v>
      </c>
      <c r="O78" s="90">
        <v>193736.04</v>
      </c>
      <c r="P78" s="90">
        <v>3300638.3</v>
      </c>
      <c r="Q78" s="90">
        <v>-7516.97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29193363.239999998</v>
      </c>
      <c r="G79" s="90">
        <v>5503604.9000000004</v>
      </c>
      <c r="H79" s="90">
        <v>3036599.6</v>
      </c>
      <c r="I79" s="90">
        <v>1564692.21</v>
      </c>
      <c r="J79" s="90">
        <v>1181412.52</v>
      </c>
      <c r="K79" s="90">
        <v>26083.53</v>
      </c>
      <c r="L79" s="90">
        <v>0</v>
      </c>
      <c r="M79" s="90">
        <v>217934.27</v>
      </c>
      <c r="N79" s="90">
        <v>473929.76</v>
      </c>
      <c r="O79" s="90">
        <v>2182082.4900000002</v>
      </c>
      <c r="P79" s="90">
        <v>14964294.189999999</v>
      </c>
      <c r="Q79" s="90">
        <v>42729.77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29193363.239999998</v>
      </c>
      <c r="G80" s="90">
        <v>5503604.9000000004</v>
      </c>
      <c r="H80" s="90">
        <v>3036599.6</v>
      </c>
      <c r="I80" s="90">
        <v>1564692.21</v>
      </c>
      <c r="J80" s="90">
        <v>1181412.52</v>
      </c>
      <c r="K80" s="90">
        <v>26083.53</v>
      </c>
      <c r="L80" s="90">
        <v>0</v>
      </c>
      <c r="M80" s="90">
        <v>217934.27</v>
      </c>
      <c r="N80" s="90">
        <v>473929.76</v>
      </c>
      <c r="O80" s="90">
        <v>2182082.4900000002</v>
      </c>
      <c r="P80" s="90">
        <v>14964294.189999999</v>
      </c>
      <c r="Q80" s="90">
        <v>42729.77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132748470.25</v>
      </c>
      <c r="G81" s="90">
        <v>23581040.41</v>
      </c>
      <c r="H81" s="90">
        <v>13134900.380000001</v>
      </c>
      <c r="I81" s="90">
        <v>6932117.9699999997</v>
      </c>
      <c r="J81" s="90">
        <v>8421230.2699999996</v>
      </c>
      <c r="K81" s="90">
        <v>204893.95</v>
      </c>
      <c r="L81" s="90">
        <v>0</v>
      </c>
      <c r="M81" s="90">
        <v>1822856.43</v>
      </c>
      <c r="N81" s="90">
        <v>2503084.31</v>
      </c>
      <c r="O81" s="90">
        <v>11686632.25</v>
      </c>
      <c r="P81" s="90">
        <v>64127779.719999999</v>
      </c>
      <c r="Q81" s="90">
        <v>333934.56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132748470.25</v>
      </c>
      <c r="G82" s="90">
        <v>23581040.41</v>
      </c>
      <c r="H82" s="90">
        <v>13134900.380000001</v>
      </c>
      <c r="I82" s="90">
        <v>6932117.9699999997</v>
      </c>
      <c r="J82" s="90">
        <v>8421230.2699999996</v>
      </c>
      <c r="K82" s="90">
        <v>204893.95</v>
      </c>
      <c r="L82" s="90">
        <v>0</v>
      </c>
      <c r="M82" s="90">
        <v>1822856.43</v>
      </c>
      <c r="N82" s="90">
        <v>2503084.31</v>
      </c>
      <c r="O82" s="90">
        <v>11686632.25</v>
      </c>
      <c r="P82" s="90">
        <v>64127779.719999999</v>
      </c>
      <c r="Q82" s="90">
        <v>333934.56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168024399.69</v>
      </c>
      <c r="G83" s="93">
        <v>30293808.140000001</v>
      </c>
      <c r="H83" s="93">
        <v>16850861.699999999</v>
      </c>
      <c r="I83" s="93">
        <v>8851291.4600000009</v>
      </c>
      <c r="J83" s="93">
        <v>9960830.0600000005</v>
      </c>
      <c r="K83" s="93">
        <v>226271.92</v>
      </c>
      <c r="L83" s="93">
        <v>0</v>
      </c>
      <c r="M83" s="93">
        <v>1998747.93</v>
      </c>
      <c r="N83" s="93">
        <v>3018278.13</v>
      </c>
      <c r="O83" s="93">
        <v>14062450.779999999</v>
      </c>
      <c r="P83" s="93">
        <v>82392712.209999993</v>
      </c>
      <c r="Q83" s="93">
        <v>369147.36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1429147290.0999999</v>
      </c>
      <c r="G84" s="100">
        <v>175311450.43000001</v>
      </c>
      <c r="H84" s="100">
        <v>98733053.379999995</v>
      </c>
      <c r="I84" s="100">
        <v>51838904.469999999</v>
      </c>
      <c r="J84" s="100">
        <v>191244796.86000001</v>
      </c>
      <c r="K84" s="100">
        <v>7158380.6699999999</v>
      </c>
      <c r="L84" s="100">
        <v>0</v>
      </c>
      <c r="M84" s="100">
        <v>61430227.479999997</v>
      </c>
      <c r="N84" s="100">
        <v>61091330.799999997</v>
      </c>
      <c r="O84" s="100">
        <v>288923486.76999998</v>
      </c>
      <c r="P84" s="100">
        <v>481735905.45999998</v>
      </c>
      <c r="Q84" s="100">
        <v>11679753.779999999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1429187654.4100001</v>
      </c>
      <c r="G85" s="90">
        <v>175313424.50999999</v>
      </c>
      <c r="H85" s="90">
        <v>98734167.939999998</v>
      </c>
      <c r="I85" s="90">
        <v>51839489.469999999</v>
      </c>
      <c r="J85" s="90">
        <v>191254254.50999999</v>
      </c>
      <c r="K85" s="90">
        <v>7158741.7000000002</v>
      </c>
      <c r="L85" s="90">
        <v>0</v>
      </c>
      <c r="M85" s="90">
        <v>61433394.420000002</v>
      </c>
      <c r="N85" s="90">
        <v>61094422.450000003</v>
      </c>
      <c r="O85" s="90">
        <v>288938119.62</v>
      </c>
      <c r="P85" s="90">
        <v>481741296.95999998</v>
      </c>
      <c r="Q85" s="90">
        <v>11680342.83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17365120456.119999</v>
      </c>
      <c r="G86" s="90">
        <v>1073538573.8099999</v>
      </c>
      <c r="H86" s="90">
        <v>605296091.75</v>
      </c>
      <c r="I86" s="90">
        <v>317974473.05000001</v>
      </c>
      <c r="J86" s="90">
        <v>3985812285.9400001</v>
      </c>
      <c r="K86" s="90">
        <v>140701445.00999999</v>
      </c>
      <c r="L86" s="90">
        <v>25277316.260000002</v>
      </c>
      <c r="M86" s="90">
        <v>1236361889.52</v>
      </c>
      <c r="N86" s="90">
        <v>1191982536.3099999</v>
      </c>
      <c r="O86" s="90">
        <v>5641113648.3900003</v>
      </c>
      <c r="P86" s="90">
        <v>2917496415.3600001</v>
      </c>
      <c r="Q86" s="90">
        <v>229584921.13999999</v>
      </c>
      <c r="R86" s="90">
        <v>-17547.810000000001</v>
      </c>
      <c r="S86" s="90">
        <v>-2114.83</v>
      </c>
      <c r="T86">
        <v>522.25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-0.03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9" t="s">
        <v>2</v>
      </c>
      <c r="D89" s="776" t="s">
        <v>132</v>
      </c>
      <c r="E89" s="98" t="s">
        <v>70</v>
      </c>
      <c r="F89" s="100">
        <f>F55+F84+F16-L16-L55</f>
        <v>17339793559.860001</v>
      </c>
      <c r="G89" s="100">
        <f t="shared" ref="G89:AP89" si="0">G55+G16</f>
        <v>898223141.86000001</v>
      </c>
      <c r="H89" s="100">
        <f t="shared" si="0"/>
        <v>506560790.43000001</v>
      </c>
      <c r="I89" s="100">
        <f t="shared" si="0"/>
        <v>266134388.70000002</v>
      </c>
      <c r="J89" s="100">
        <f t="shared" si="0"/>
        <v>3794558031.4300003</v>
      </c>
      <c r="K89" s="100">
        <f t="shared" si="0"/>
        <v>133542703.31</v>
      </c>
      <c r="L89" s="100">
        <f t="shared" si="0"/>
        <v>25277316.260000002</v>
      </c>
      <c r="M89" s="100">
        <f t="shared" si="0"/>
        <v>1174928495.1000001</v>
      </c>
      <c r="N89" s="100">
        <f t="shared" si="0"/>
        <v>1130888113.8599999</v>
      </c>
      <c r="O89" s="100">
        <f t="shared" si="0"/>
        <v>5352175528.7699995</v>
      </c>
      <c r="P89" s="100">
        <f t="shared" si="0"/>
        <v>2435749635.8000002</v>
      </c>
      <c r="Q89" s="100">
        <f t="shared" si="0"/>
        <v>217904578.31</v>
      </c>
      <c r="R89" s="100">
        <f t="shared" si="0"/>
        <v>-17545.2</v>
      </c>
      <c r="S89" s="100">
        <f t="shared" si="0"/>
        <v>-2114.83</v>
      </c>
      <c r="T89" s="100">
        <f t="shared" si="0"/>
        <v>522.25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-0.03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9"/>
      <c r="D90" s="776"/>
      <c r="E90" s="98" t="s">
        <v>73</v>
      </c>
      <c r="F90" s="100">
        <f>F84</f>
        <v>1429147290.0999999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9"/>
      <c r="D91" s="776" t="s">
        <v>133</v>
      </c>
      <c r="E91" s="233" t="s">
        <v>70</v>
      </c>
      <c r="F91" s="234">
        <f>F70+F36-L36</f>
        <v>49580</v>
      </c>
      <c r="G91" s="234">
        <f t="shared" ref="G91:AP91" si="1">G36</f>
        <v>2007.44</v>
      </c>
      <c r="H91" s="234">
        <f t="shared" si="1"/>
        <v>1133.3800000000001</v>
      </c>
      <c r="I91" s="234">
        <f t="shared" si="1"/>
        <v>594.88</v>
      </c>
      <c r="J91" s="234">
        <f t="shared" si="1"/>
        <v>0</v>
      </c>
      <c r="K91" s="234">
        <f t="shared" si="1"/>
        <v>0</v>
      </c>
      <c r="L91" s="234">
        <f t="shared" si="1"/>
        <v>0</v>
      </c>
      <c r="M91" s="234">
        <f t="shared" si="1"/>
        <v>0</v>
      </c>
      <c r="N91" s="234">
        <f t="shared" si="1"/>
        <v>0</v>
      </c>
      <c r="O91" s="234">
        <f t="shared" si="1"/>
        <v>0</v>
      </c>
      <c r="P91" s="234">
        <f t="shared" si="1"/>
        <v>5482.6</v>
      </c>
      <c r="Q91" s="234">
        <f t="shared" si="1"/>
        <v>0</v>
      </c>
      <c r="R91" s="234">
        <f t="shared" si="1"/>
        <v>-2.61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9"/>
      <c r="D92" s="776"/>
      <c r="E92" s="233" t="s">
        <v>73</v>
      </c>
      <c r="F92" s="234">
        <f>F70</f>
        <v>40364.31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9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9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9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9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9" t="s">
        <v>155</v>
      </c>
      <c r="D99" s="776" t="s">
        <v>132</v>
      </c>
      <c r="E99" s="221" t="s">
        <v>70</v>
      </c>
      <c r="F99" s="222">
        <f>F73+F40+F8-L8-L40</f>
        <v>16560599150.5</v>
      </c>
      <c r="G99" s="222">
        <f t="shared" ref="G99:AP99" si="2">G40+G8</f>
        <v>801645029.27999997</v>
      </c>
      <c r="H99" s="222">
        <f t="shared" si="2"/>
        <v>452328892.93000001</v>
      </c>
      <c r="I99" s="222">
        <f t="shared" si="2"/>
        <v>237653152.88</v>
      </c>
      <c r="J99" s="222">
        <f t="shared" si="2"/>
        <v>3743398457.3299999</v>
      </c>
      <c r="K99" s="222">
        <f t="shared" si="2"/>
        <v>131909206.38000001</v>
      </c>
      <c r="L99" s="222">
        <f t="shared" si="2"/>
        <v>16516492.25</v>
      </c>
      <c r="M99" s="222">
        <f t="shared" si="2"/>
        <v>1160554403.1900001</v>
      </c>
      <c r="N99" s="222">
        <f t="shared" si="2"/>
        <v>1113470084.8499999</v>
      </c>
      <c r="O99" s="222">
        <f t="shared" si="2"/>
        <v>5271166494.5799999</v>
      </c>
      <c r="P99" s="222">
        <f t="shared" si="2"/>
        <v>2172128352.0600004</v>
      </c>
      <c r="Q99" s="222">
        <f t="shared" si="2"/>
        <v>215238429.09999999</v>
      </c>
      <c r="R99" s="222">
        <f t="shared" si="2"/>
        <v>-16764.259999999998</v>
      </c>
      <c r="S99" s="222">
        <f t="shared" si="2"/>
        <v>0</v>
      </c>
      <c r="T99" s="222">
        <f t="shared" si="2"/>
        <v>521.79999999999995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-0.03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9"/>
      <c r="D100" s="776"/>
      <c r="E100" s="221" t="s">
        <v>73</v>
      </c>
      <c r="F100" s="222">
        <f>F73</f>
        <v>1261122890.4100001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9"/>
      <c r="D101" s="776" t="s">
        <v>133</v>
      </c>
      <c r="E101" s="229" t="s">
        <v>70</v>
      </c>
      <c r="F101" s="230">
        <f>F59+F21-L21</f>
        <v>49580</v>
      </c>
      <c r="G101" s="230">
        <f>G21</f>
        <v>2007.44</v>
      </c>
      <c r="H101" s="230">
        <f t="shared" ref="H101:AP101" si="3">H21</f>
        <v>1133.3800000000001</v>
      </c>
      <c r="I101" s="230">
        <f t="shared" si="3"/>
        <v>594.88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5482.6</v>
      </c>
      <c r="Q101" s="230">
        <f t="shared" si="3"/>
        <v>0</v>
      </c>
      <c r="R101" s="230">
        <f t="shared" si="3"/>
        <v>-2.61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9"/>
      <c r="D102" s="776"/>
      <c r="E102" s="229" t="s">
        <v>73</v>
      </c>
      <c r="F102" s="230">
        <f>F59</f>
        <v>40364.31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7" t="s">
        <v>325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7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7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7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9" t="s">
        <v>119</v>
      </c>
      <c r="D109" s="776" t="s">
        <v>132</v>
      </c>
      <c r="E109" s="101" t="s">
        <v>70</v>
      </c>
      <c r="F109" s="93">
        <f>F83+F54+F15-L15-L54</f>
        <v>779194409.36000013</v>
      </c>
      <c r="G109" s="93">
        <f t="shared" ref="G109:AP109" si="6">G54+G15</f>
        <v>96578112.579999998</v>
      </c>
      <c r="H109" s="93">
        <f t="shared" si="6"/>
        <v>54231897.5</v>
      </c>
      <c r="I109" s="93">
        <f t="shared" si="6"/>
        <v>28481235.82</v>
      </c>
      <c r="J109" s="93">
        <f t="shared" si="6"/>
        <v>51159574.100000001</v>
      </c>
      <c r="K109" s="93">
        <f t="shared" si="6"/>
        <v>1633496.93</v>
      </c>
      <c r="L109" s="93">
        <f t="shared" si="6"/>
        <v>8760824.0099999998</v>
      </c>
      <c r="M109" s="93">
        <f t="shared" si="6"/>
        <v>14374091.91</v>
      </c>
      <c r="N109" s="93">
        <f t="shared" si="6"/>
        <v>17418029.010000002</v>
      </c>
      <c r="O109" s="93">
        <f t="shared" si="6"/>
        <v>81009034.189999998</v>
      </c>
      <c r="P109" s="93">
        <f t="shared" si="6"/>
        <v>263621283.74000001</v>
      </c>
      <c r="Q109" s="93">
        <f t="shared" si="6"/>
        <v>2666149.21</v>
      </c>
      <c r="R109" s="93">
        <f t="shared" si="6"/>
        <v>-780.94</v>
      </c>
      <c r="S109" s="93">
        <f t="shared" si="6"/>
        <v>-2114.83</v>
      </c>
      <c r="T109" s="93">
        <f t="shared" si="6"/>
        <v>0.45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9"/>
      <c r="D110" s="776"/>
      <c r="E110" s="101" t="s">
        <v>73</v>
      </c>
      <c r="F110" s="93">
        <f>F83</f>
        <v>168024399.69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9"/>
      <c r="D111" s="776" t="s">
        <v>133</v>
      </c>
      <c r="E111" s="235" t="s">
        <v>70</v>
      </c>
      <c r="F111" s="236">
        <f>F69+F35-L35</f>
        <v>0</v>
      </c>
      <c r="G111" s="236">
        <f t="shared" ref="G111:AP111" si="7">G35</f>
        <v>0</v>
      </c>
      <c r="H111" s="236">
        <f t="shared" si="7"/>
        <v>0</v>
      </c>
      <c r="I111" s="236">
        <f t="shared" si="7"/>
        <v>0</v>
      </c>
      <c r="J111" s="236">
        <f t="shared" si="7"/>
        <v>0</v>
      </c>
      <c r="K111" s="236">
        <f t="shared" si="7"/>
        <v>0</v>
      </c>
      <c r="L111" s="236">
        <f t="shared" si="7"/>
        <v>0</v>
      </c>
      <c r="M111" s="236">
        <f t="shared" si="7"/>
        <v>0</v>
      </c>
      <c r="N111" s="236">
        <f t="shared" si="7"/>
        <v>0</v>
      </c>
      <c r="O111" s="236">
        <f t="shared" si="7"/>
        <v>0</v>
      </c>
      <c r="P111" s="236">
        <f t="shared" si="7"/>
        <v>0</v>
      </c>
      <c r="Q111" s="236">
        <f t="shared" si="7"/>
        <v>0</v>
      </c>
      <c r="R111" s="236">
        <f t="shared" si="7"/>
        <v>0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9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8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8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8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8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-11217.37</v>
      </c>
      <c r="G119" s="460">
        <f t="shared" ref="G119:AP119" si="8">G16</f>
        <v>-766.38</v>
      </c>
      <c r="H119" s="460">
        <f t="shared" si="8"/>
        <v>-325.58999999999997</v>
      </c>
      <c r="I119" s="460">
        <f t="shared" si="8"/>
        <v>-142.16999999999999</v>
      </c>
      <c r="J119" s="460">
        <f t="shared" si="8"/>
        <v>-1970.37</v>
      </c>
      <c r="K119" s="460">
        <f t="shared" si="8"/>
        <v>-127.32</v>
      </c>
      <c r="L119" s="460">
        <f t="shared" si="8"/>
        <v>0</v>
      </c>
      <c r="M119" s="460">
        <f t="shared" si="8"/>
        <v>-1116.82</v>
      </c>
      <c r="N119" s="460">
        <f t="shared" si="8"/>
        <v>-934.67</v>
      </c>
      <c r="O119" s="460">
        <f t="shared" si="8"/>
        <v>-3730.88</v>
      </c>
      <c r="P119" s="460">
        <f t="shared" si="8"/>
        <v>-1895.43</v>
      </c>
      <c r="Q119" s="460">
        <f t="shared" si="8"/>
        <v>-207.74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-381705.66</v>
      </c>
      <c r="G124" s="89">
        <v>-34085.26</v>
      </c>
      <c r="H124" s="89">
        <v>-14480.34</v>
      </c>
      <c r="I124" s="664">
        <v>-6323.59</v>
      </c>
      <c r="J124" s="89">
        <v>-75196.47</v>
      </c>
      <c r="K124" s="89">
        <v>-3165.32</v>
      </c>
      <c r="L124" s="89">
        <v>0</v>
      </c>
      <c r="M124" s="89">
        <v>-27767.22</v>
      </c>
      <c r="N124" s="89">
        <v>-34797.83</v>
      </c>
      <c r="O124" s="89">
        <v>-116911.93</v>
      </c>
      <c r="P124" s="89">
        <v>-63812.98</v>
      </c>
      <c r="Q124" s="89">
        <v>-5164.72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-381705.66</v>
      </c>
      <c r="G125" s="89">
        <v>-34085.26</v>
      </c>
      <c r="H125" s="89">
        <v>-14480.34</v>
      </c>
      <c r="I125" s="664">
        <v>-6323.59</v>
      </c>
      <c r="J125" s="89">
        <v>-75196.47</v>
      </c>
      <c r="K125" s="89">
        <v>-3165.32</v>
      </c>
      <c r="L125" s="89">
        <v>0</v>
      </c>
      <c r="M125" s="89">
        <v>-27767.22</v>
      </c>
      <c r="N125" s="89">
        <v>-34797.83</v>
      </c>
      <c r="O125" s="89">
        <v>-116911.93</v>
      </c>
      <c r="P125" s="89">
        <v>-63812.98</v>
      </c>
      <c r="Q125" s="89">
        <v>-5164.72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-381705.66</v>
      </c>
      <c r="G126" s="657">
        <v>-34085.26</v>
      </c>
      <c r="H126" s="657">
        <v>-14480.34</v>
      </c>
      <c r="I126" s="737">
        <v>-6323.59</v>
      </c>
      <c r="J126" s="657">
        <v>-75196.47</v>
      </c>
      <c r="K126" s="657">
        <v>-3165.32</v>
      </c>
      <c r="L126" s="657">
        <v>0</v>
      </c>
      <c r="M126" s="657">
        <v>-27767.22</v>
      </c>
      <c r="N126" s="657">
        <v>-34797.83</v>
      </c>
      <c r="O126" s="657">
        <v>-116911.93</v>
      </c>
      <c r="P126" s="657">
        <v>-63812.98</v>
      </c>
      <c r="Q126" s="657">
        <v>-5164.72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-24201.09</v>
      </c>
      <c r="G144" s="90">
        <v>-2167.98</v>
      </c>
      <c r="H144" s="90">
        <v>-921.01</v>
      </c>
      <c r="I144" s="90">
        <v>-402.21</v>
      </c>
      <c r="J144" s="90">
        <v>-4825.8900000000003</v>
      </c>
      <c r="K144" s="90">
        <v>-199.14</v>
      </c>
      <c r="L144" s="90">
        <v>0</v>
      </c>
      <c r="M144" s="90">
        <v>-1746.78</v>
      </c>
      <c r="N144" s="90">
        <v>-2190.0700000000002</v>
      </c>
      <c r="O144" s="90">
        <v>-7354.7</v>
      </c>
      <c r="P144" s="90">
        <v>-4068.42</v>
      </c>
      <c r="Q144" s="90">
        <v>-324.89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-24201.09</v>
      </c>
      <c r="G145" s="90">
        <v>-2167.98</v>
      </c>
      <c r="H145" s="90">
        <v>-921.01</v>
      </c>
      <c r="I145" s="90">
        <v>-402.21</v>
      </c>
      <c r="J145" s="90">
        <v>-4825.8900000000003</v>
      </c>
      <c r="K145" s="90">
        <v>-199.14</v>
      </c>
      <c r="L145" s="90">
        <v>0</v>
      </c>
      <c r="M145" s="90">
        <v>-1746.78</v>
      </c>
      <c r="N145" s="90">
        <v>-2190.0700000000002</v>
      </c>
      <c r="O145" s="90">
        <v>-7354.7</v>
      </c>
      <c r="P145" s="90">
        <v>-4068.42</v>
      </c>
      <c r="Q145" s="90">
        <v>-324.89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-24201.09</v>
      </c>
      <c r="G148" s="93">
        <v>-2167.98</v>
      </c>
      <c r="H148" s="93">
        <v>-921.01</v>
      </c>
      <c r="I148" s="93">
        <v>-402.21</v>
      </c>
      <c r="J148" s="93">
        <v>-4825.8900000000003</v>
      </c>
      <c r="K148" s="93">
        <v>-199.14</v>
      </c>
      <c r="L148" s="93">
        <v>0</v>
      </c>
      <c r="M148" s="93">
        <v>-1746.78</v>
      </c>
      <c r="N148" s="93">
        <v>-2190.0700000000002</v>
      </c>
      <c r="O148" s="93">
        <v>-7354.7</v>
      </c>
      <c r="P148" s="93">
        <v>-4068.42</v>
      </c>
      <c r="Q148" s="93">
        <v>-324.89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-405906.75</v>
      </c>
      <c r="G149" s="90">
        <v>-36253.24</v>
      </c>
      <c r="H149" s="90">
        <v>-15401.35</v>
      </c>
      <c r="I149" s="90">
        <v>-6725.8</v>
      </c>
      <c r="J149" s="90">
        <v>-80022.36</v>
      </c>
      <c r="K149" s="90">
        <v>-3364.46</v>
      </c>
      <c r="L149" s="90">
        <v>0</v>
      </c>
      <c r="M149" s="90">
        <v>-29514</v>
      </c>
      <c r="N149" s="90">
        <v>-36987.9</v>
      </c>
      <c r="O149" s="90">
        <v>-124266.63</v>
      </c>
      <c r="P149" s="90">
        <v>-67881.399999999994</v>
      </c>
      <c r="Q149" s="90">
        <v>-5489.61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-405906.75</v>
      </c>
      <c r="G150" s="460">
        <v>-36253.24</v>
      </c>
      <c r="H150" s="460">
        <v>-15401.35</v>
      </c>
      <c r="I150" s="460">
        <v>-6725.8</v>
      </c>
      <c r="J150" s="460">
        <v>-80022.36</v>
      </c>
      <c r="K150" s="460">
        <v>-3364.46</v>
      </c>
      <c r="L150" s="460">
        <v>0</v>
      </c>
      <c r="M150" s="460">
        <v>-29514</v>
      </c>
      <c r="N150" s="460">
        <v>-36987.9</v>
      </c>
      <c r="O150" s="460">
        <v>-124266.63</v>
      </c>
      <c r="P150" s="460">
        <v>-67881.399999999994</v>
      </c>
      <c r="Q150" s="460">
        <v>-5489.61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29151843.969999999</v>
      </c>
      <c r="G151" s="90">
        <v>7443854.0199999996</v>
      </c>
      <c r="H151" s="90">
        <v>4208102.8600000003</v>
      </c>
      <c r="I151" s="90">
        <v>2229592.12</v>
      </c>
      <c r="J151" s="90">
        <v>106030.3</v>
      </c>
      <c r="K151" s="90">
        <v>3346.71</v>
      </c>
      <c r="L151" s="90">
        <v>0</v>
      </c>
      <c r="M151" s="90">
        <v>29357.040000000001</v>
      </c>
      <c r="N151" s="90">
        <v>33413.22</v>
      </c>
      <c r="O151" s="90">
        <v>155851.47</v>
      </c>
      <c r="P151" s="90">
        <v>14936833.09</v>
      </c>
      <c r="Q151" s="90">
        <v>5460.42</v>
      </c>
      <c r="R151" s="90">
        <v>2.72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992415.4</v>
      </c>
      <c r="G152" s="90">
        <v>253115.22</v>
      </c>
      <c r="H152" s="90">
        <v>143337.73000000001</v>
      </c>
      <c r="I152" s="90">
        <v>76924.179999999993</v>
      </c>
      <c r="J152" s="90">
        <v>1233.3900000000001</v>
      </c>
      <c r="K152" s="90">
        <v>29.74</v>
      </c>
      <c r="L152" s="90">
        <v>0</v>
      </c>
      <c r="M152" s="90">
        <v>260.94</v>
      </c>
      <c r="N152" s="90">
        <v>382.11</v>
      </c>
      <c r="O152" s="90">
        <v>1741.16</v>
      </c>
      <c r="P152" s="90">
        <v>515342.29</v>
      </c>
      <c r="Q152" s="90">
        <v>48.53</v>
      </c>
      <c r="R152" s="90">
        <v>0.11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30144259.370000001</v>
      </c>
      <c r="G153" s="89">
        <v>7696969.2400000002</v>
      </c>
      <c r="H153" s="89">
        <v>4351440.59</v>
      </c>
      <c r="I153" s="664">
        <v>2306516.2999999998</v>
      </c>
      <c r="J153" s="89">
        <v>107263.69</v>
      </c>
      <c r="K153" s="89">
        <v>3376.45</v>
      </c>
      <c r="L153" s="89">
        <v>0</v>
      </c>
      <c r="M153" s="89">
        <v>29617.98</v>
      </c>
      <c r="N153" s="89">
        <v>33795.33</v>
      </c>
      <c r="O153" s="89">
        <v>157592.63</v>
      </c>
      <c r="P153" s="89">
        <v>15452175.380000001</v>
      </c>
      <c r="Q153" s="89">
        <v>5508.95</v>
      </c>
      <c r="R153" s="89">
        <v>2.83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30144259.370000001</v>
      </c>
      <c r="G154" s="657">
        <v>7696969.2400000002</v>
      </c>
      <c r="H154" s="657">
        <v>4351440.59</v>
      </c>
      <c r="I154" s="737">
        <v>2306516.2999999998</v>
      </c>
      <c r="J154" s="657">
        <v>107263.69</v>
      </c>
      <c r="K154" s="657">
        <v>3376.45</v>
      </c>
      <c r="L154" s="657">
        <v>0</v>
      </c>
      <c r="M154" s="657">
        <v>29617.98</v>
      </c>
      <c r="N154" s="657">
        <v>33795.33</v>
      </c>
      <c r="O154" s="657">
        <v>157592.63</v>
      </c>
      <c r="P154" s="657">
        <v>15452175.380000001</v>
      </c>
      <c r="Q154" s="657">
        <v>5508.95</v>
      </c>
      <c r="R154" s="657">
        <v>2.83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188747.7</v>
      </c>
      <c r="G180" s="90">
        <v>8807.75</v>
      </c>
      <c r="H180" s="90">
        <v>4981.6000000000004</v>
      </c>
      <c r="I180" s="90">
        <v>2648.47</v>
      </c>
      <c r="J180" s="90">
        <v>50746.9</v>
      </c>
      <c r="K180" s="90">
        <v>1551.38</v>
      </c>
      <c r="L180" s="90">
        <v>0</v>
      </c>
      <c r="M180" s="90">
        <v>13608.5</v>
      </c>
      <c r="N180" s="90">
        <v>15187.5</v>
      </c>
      <c r="O180" s="90">
        <v>70935.25</v>
      </c>
      <c r="P180" s="90">
        <v>17748.099999999999</v>
      </c>
      <c r="Q180" s="90">
        <v>2531.1799999999998</v>
      </c>
      <c r="R180" s="90">
        <v>1.07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529.66999999999996</v>
      </c>
      <c r="G181" s="90">
        <v>26.68</v>
      </c>
      <c r="H181" s="90">
        <v>15.11</v>
      </c>
      <c r="I181" s="90">
        <v>8.09</v>
      </c>
      <c r="J181" s="90">
        <v>141.21</v>
      </c>
      <c r="K181" s="90">
        <v>3.52</v>
      </c>
      <c r="L181" s="90">
        <v>0</v>
      </c>
      <c r="M181" s="90">
        <v>30.82</v>
      </c>
      <c r="N181" s="90">
        <v>43.87</v>
      </c>
      <c r="O181" s="90">
        <v>200.36</v>
      </c>
      <c r="P181" s="90">
        <v>54.25</v>
      </c>
      <c r="Q181" s="90">
        <v>5.73</v>
      </c>
      <c r="R181" s="90">
        <v>0.03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189277.37</v>
      </c>
      <c r="G182" s="90">
        <v>8834.43</v>
      </c>
      <c r="H182" s="90">
        <v>4996.71</v>
      </c>
      <c r="I182" s="90">
        <v>2656.56</v>
      </c>
      <c r="J182" s="90">
        <v>50888.11</v>
      </c>
      <c r="K182" s="90">
        <v>1554.9</v>
      </c>
      <c r="L182" s="90">
        <v>0</v>
      </c>
      <c r="M182" s="90">
        <v>13639.32</v>
      </c>
      <c r="N182" s="90">
        <v>15231.37</v>
      </c>
      <c r="O182" s="90">
        <v>71135.61</v>
      </c>
      <c r="P182" s="90">
        <v>17802.349999999999</v>
      </c>
      <c r="Q182" s="90">
        <v>2536.91</v>
      </c>
      <c r="R182" s="90">
        <v>1.1000000000000001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59523.21</v>
      </c>
      <c r="G183" s="90">
        <v>3111.79</v>
      </c>
      <c r="H183" s="90">
        <v>1764.74</v>
      </c>
      <c r="I183" s="90">
        <v>956.87</v>
      </c>
      <c r="J183" s="90">
        <v>15677.68</v>
      </c>
      <c r="K183" s="90">
        <v>377.39</v>
      </c>
      <c r="L183" s="90">
        <v>0</v>
      </c>
      <c r="M183" s="90">
        <v>3310.46</v>
      </c>
      <c r="N183" s="90">
        <v>4880.88</v>
      </c>
      <c r="O183" s="90">
        <v>22562.400000000001</v>
      </c>
      <c r="P183" s="90">
        <v>6269.57</v>
      </c>
      <c r="Q183" s="90">
        <v>615.74</v>
      </c>
      <c r="R183" s="90">
        <v>-4.3099999999999996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371.68</v>
      </c>
      <c r="G184" s="90">
        <v>19.440000000000001</v>
      </c>
      <c r="H184" s="90">
        <v>11.01</v>
      </c>
      <c r="I184" s="90">
        <v>5.98</v>
      </c>
      <c r="J184" s="90">
        <v>97.9</v>
      </c>
      <c r="K184" s="90">
        <v>2.35</v>
      </c>
      <c r="L184" s="90">
        <v>0</v>
      </c>
      <c r="M184" s="90">
        <v>20.67</v>
      </c>
      <c r="N184" s="90">
        <v>30.48</v>
      </c>
      <c r="O184" s="90">
        <v>140.88</v>
      </c>
      <c r="P184" s="90">
        <v>39.15</v>
      </c>
      <c r="Q184" s="90">
        <v>3.85</v>
      </c>
      <c r="R184" s="90">
        <v>-0.03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59894.89</v>
      </c>
      <c r="G185" s="90">
        <v>3131.23</v>
      </c>
      <c r="H185" s="90">
        <v>1775.75</v>
      </c>
      <c r="I185" s="90">
        <v>962.85</v>
      </c>
      <c r="J185" s="90">
        <v>15775.58</v>
      </c>
      <c r="K185" s="90">
        <v>379.74</v>
      </c>
      <c r="L185" s="90">
        <v>0</v>
      </c>
      <c r="M185" s="90">
        <v>3331.13</v>
      </c>
      <c r="N185" s="90">
        <v>4911.3599999999997</v>
      </c>
      <c r="O185" s="90">
        <v>22703.279999999999</v>
      </c>
      <c r="P185" s="90">
        <v>6308.72</v>
      </c>
      <c r="Q185" s="90">
        <v>619.59</v>
      </c>
      <c r="R185" s="90">
        <v>-4.34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249172.26</v>
      </c>
      <c r="G186" s="93">
        <v>11965.66</v>
      </c>
      <c r="H186" s="93">
        <v>6772.46</v>
      </c>
      <c r="I186" s="93">
        <v>3619.41</v>
      </c>
      <c r="J186" s="93">
        <v>66663.69</v>
      </c>
      <c r="K186" s="93">
        <v>1934.64</v>
      </c>
      <c r="L186" s="93">
        <v>0</v>
      </c>
      <c r="M186" s="93">
        <v>16970.45</v>
      </c>
      <c r="N186" s="93">
        <v>20142.73</v>
      </c>
      <c r="O186" s="93">
        <v>93838.89</v>
      </c>
      <c r="P186" s="93">
        <v>24111.07</v>
      </c>
      <c r="Q186" s="93">
        <v>3156.5</v>
      </c>
      <c r="R186" s="93">
        <v>-3.24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30393431.629999999</v>
      </c>
      <c r="G187" s="377">
        <v>7708934.9000000004</v>
      </c>
      <c r="H187" s="377">
        <v>4358213.05</v>
      </c>
      <c r="I187" s="377">
        <v>2310135.71</v>
      </c>
      <c r="J187" s="377">
        <v>173927.38</v>
      </c>
      <c r="K187" s="377">
        <v>5311.09</v>
      </c>
      <c r="L187" s="377">
        <v>0</v>
      </c>
      <c r="M187" s="377">
        <v>46588.43</v>
      </c>
      <c r="N187" s="377">
        <v>53938.06</v>
      </c>
      <c r="O187" s="377">
        <v>251431.52</v>
      </c>
      <c r="P187" s="377">
        <v>15476286.449999999</v>
      </c>
      <c r="Q187" s="377">
        <v>8665.4500000000007</v>
      </c>
      <c r="R187" s="377">
        <v>-0.40999999999999898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23902898063.380001</v>
      </c>
      <c r="G188" s="90">
        <v>1381350603.3199999</v>
      </c>
      <c r="H188" s="90">
        <v>776537530.45000005</v>
      </c>
      <c r="I188" s="90">
        <v>407911355.66000003</v>
      </c>
      <c r="J188" s="90">
        <v>5537035232.2399998</v>
      </c>
      <c r="K188" s="90">
        <v>214461078.68000001</v>
      </c>
      <c r="L188" s="90">
        <v>24255269.25</v>
      </c>
      <c r="M188" s="90">
        <v>1879555764.02</v>
      </c>
      <c r="N188" s="90">
        <v>1854401852.3499999</v>
      </c>
      <c r="O188" s="90">
        <v>8755909642.4699993</v>
      </c>
      <c r="P188" s="90">
        <v>2720975584.04</v>
      </c>
      <c r="Q188" s="90">
        <v>350419003.25999999</v>
      </c>
      <c r="R188" s="90">
        <v>85147.64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161922359.94999999</v>
      </c>
      <c r="G189" s="90">
        <v>18825772.870000001</v>
      </c>
      <c r="H189" s="90">
        <v>8911778.5600000005</v>
      </c>
      <c r="I189" s="90">
        <v>4071687.82</v>
      </c>
      <c r="J189" s="90">
        <v>30018521.530000001</v>
      </c>
      <c r="K189" s="90">
        <v>1044885.63</v>
      </c>
      <c r="L189" s="90">
        <v>17960.64</v>
      </c>
      <c r="M189" s="90">
        <v>9163599.0999999996</v>
      </c>
      <c r="N189" s="90">
        <v>10764552.539999999</v>
      </c>
      <c r="O189" s="90">
        <v>40397442.390000001</v>
      </c>
      <c r="P189" s="90">
        <v>36995764.229999997</v>
      </c>
      <c r="Q189" s="90">
        <v>1705687.47</v>
      </c>
      <c r="R189" s="90">
        <v>4816.78</v>
      </c>
      <c r="S189" s="90">
        <v>-70.86</v>
      </c>
      <c r="T189" s="90">
        <v>4.1399999999999997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-42.89</v>
      </c>
    </row>
    <row r="190" spans="2:26" ht="12.75" customHeight="1" x14ac:dyDescent="0.25">
      <c r="D190" t="s">
        <v>156</v>
      </c>
      <c r="E190" s="89" t="s">
        <v>70</v>
      </c>
      <c r="F190" s="90">
        <v>24064820423.330002</v>
      </c>
      <c r="G190" s="90">
        <v>1400176376.1900001</v>
      </c>
      <c r="H190" s="90">
        <v>785449309.00999999</v>
      </c>
      <c r="I190" s="90">
        <v>411983043.48000002</v>
      </c>
      <c r="J190" s="90">
        <v>5567053753.7700005</v>
      </c>
      <c r="K190" s="90">
        <v>215505964.31</v>
      </c>
      <c r="L190" s="90">
        <v>24273229.890000001</v>
      </c>
      <c r="M190" s="90">
        <v>1888719363.1199999</v>
      </c>
      <c r="N190" s="90">
        <v>1865166404.8900001</v>
      </c>
      <c r="O190" s="90">
        <v>8796307084.8600006</v>
      </c>
      <c r="P190" s="90">
        <v>2757971348.27</v>
      </c>
      <c r="Q190" s="90">
        <v>352124690.73000002</v>
      </c>
      <c r="R190" s="90">
        <v>89964.42</v>
      </c>
      <c r="S190" s="90">
        <v>-70.86</v>
      </c>
      <c r="T190" s="90">
        <v>4.1399999999999997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-42.89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24064820423.330002</v>
      </c>
      <c r="G191" s="658">
        <v>1400176376.1900001</v>
      </c>
      <c r="H191" s="658">
        <v>785449309.00999999</v>
      </c>
      <c r="I191" s="658">
        <v>411983043.48000002</v>
      </c>
      <c r="J191" s="658">
        <v>5567053753.7700005</v>
      </c>
      <c r="K191" s="658">
        <v>215505964.31</v>
      </c>
      <c r="L191" s="658">
        <v>24273229.890000001</v>
      </c>
      <c r="M191" s="658">
        <v>1888719363.1199999</v>
      </c>
      <c r="N191" s="658">
        <v>1865166404.8900001</v>
      </c>
      <c r="O191" s="658">
        <v>8796307084.8600006</v>
      </c>
      <c r="P191" s="658">
        <v>2757971348.27</v>
      </c>
      <c r="Q191" s="658">
        <v>352124690.73000002</v>
      </c>
      <c r="R191" s="658">
        <v>89964.42</v>
      </c>
      <c r="S191" s="658">
        <v>-70.86</v>
      </c>
      <c r="T191" s="658">
        <v>4.1399999999999997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-42.89</v>
      </c>
    </row>
    <row r="192" spans="2:26" ht="12.75" customHeight="1" x14ac:dyDescent="0.25">
      <c r="D192" s="89"/>
      <c r="E192" s="89" t="s">
        <v>72</v>
      </c>
      <c r="F192" s="371">
        <v>1971431.11</v>
      </c>
      <c r="G192" s="90">
        <v>107001.83</v>
      </c>
      <c r="H192" s="90">
        <v>51575.5</v>
      </c>
      <c r="I192" s="90">
        <v>29270.41</v>
      </c>
      <c r="J192" s="90">
        <v>520554.47</v>
      </c>
      <c r="K192" s="90">
        <v>14389.55</v>
      </c>
      <c r="L192" s="90">
        <v>0</v>
      </c>
      <c r="M192" s="90">
        <v>126225.52</v>
      </c>
      <c r="N192" s="90">
        <v>157541.67000000001</v>
      </c>
      <c r="O192" s="90">
        <v>726381.08</v>
      </c>
      <c r="P192" s="90">
        <v>215014.43</v>
      </c>
      <c r="Q192" s="90">
        <v>23478.09</v>
      </c>
      <c r="R192" s="90">
        <v>-1.44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45276.38</v>
      </c>
      <c r="G193" s="90">
        <v>3165.1</v>
      </c>
      <c r="H193" s="90">
        <v>1469.01</v>
      </c>
      <c r="I193" s="90">
        <v>833.37</v>
      </c>
      <c r="J193" s="90">
        <v>12201.77</v>
      </c>
      <c r="K193" s="90">
        <v>287.70999999999998</v>
      </c>
      <c r="L193" s="90">
        <v>0</v>
      </c>
      <c r="M193" s="90">
        <v>2524.3000000000002</v>
      </c>
      <c r="N193" s="90">
        <v>3179.87</v>
      </c>
      <c r="O193" s="90">
        <v>14776.64</v>
      </c>
      <c r="P193" s="90">
        <v>6369.21</v>
      </c>
      <c r="Q193" s="90">
        <v>469.35</v>
      </c>
      <c r="R193" s="90">
        <v>0.12</v>
      </c>
      <c r="S193" s="90">
        <v>0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-7.0000000000000007E-2</v>
      </c>
    </row>
    <row r="194" spans="4:26" ht="12.75" customHeight="1" x14ac:dyDescent="0.25">
      <c r="D194" s="89" t="s">
        <v>115</v>
      </c>
      <c r="E194" s="89" t="s">
        <v>70</v>
      </c>
      <c r="F194" s="371">
        <v>2016707.49</v>
      </c>
      <c r="G194" s="90">
        <v>110166.93</v>
      </c>
      <c r="H194" s="90">
        <v>53044.51</v>
      </c>
      <c r="I194" s="90">
        <v>30103.78</v>
      </c>
      <c r="J194" s="90">
        <v>532756.24</v>
      </c>
      <c r="K194" s="90">
        <v>14677.26</v>
      </c>
      <c r="L194" s="90">
        <v>0</v>
      </c>
      <c r="M194" s="90">
        <v>128749.82</v>
      </c>
      <c r="N194" s="90">
        <v>160721.54</v>
      </c>
      <c r="O194" s="90">
        <v>741157.72</v>
      </c>
      <c r="P194" s="90">
        <v>221383.64</v>
      </c>
      <c r="Q194" s="90">
        <v>23947.439999999999</v>
      </c>
      <c r="R194" s="90">
        <v>-1.32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-7.0000000000000007E-2</v>
      </c>
    </row>
    <row r="195" spans="4:26" ht="12.75" customHeight="1" x14ac:dyDescent="0.25">
      <c r="D195" s="89"/>
      <c r="E195" s="89" t="s">
        <v>72</v>
      </c>
      <c r="F195" s="371">
        <v>419516.23</v>
      </c>
      <c r="G195" s="90">
        <v>25972.880000000001</v>
      </c>
      <c r="H195" s="90">
        <v>12592.54</v>
      </c>
      <c r="I195" s="90">
        <v>6939.94</v>
      </c>
      <c r="J195" s="90">
        <v>120301.92</v>
      </c>
      <c r="K195" s="90">
        <v>2941.24</v>
      </c>
      <c r="L195" s="90">
        <v>0</v>
      </c>
      <c r="M195" s="90">
        <v>25800.7</v>
      </c>
      <c r="N195" s="90">
        <v>30113.79</v>
      </c>
      <c r="O195" s="90">
        <v>139376.88</v>
      </c>
      <c r="P195" s="90">
        <v>50670.06</v>
      </c>
      <c r="Q195" s="90">
        <v>4798.96</v>
      </c>
      <c r="R195" s="90">
        <v>7.32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7178.99</v>
      </c>
      <c r="G196" s="90">
        <v>374.66</v>
      </c>
      <c r="H196" s="90">
        <v>168.63</v>
      </c>
      <c r="I196" s="90">
        <v>100.33</v>
      </c>
      <c r="J196" s="90">
        <v>2116.0300000000002</v>
      </c>
      <c r="K196" s="90">
        <v>48.58</v>
      </c>
      <c r="L196" s="90">
        <v>0</v>
      </c>
      <c r="M196" s="90">
        <v>425.77</v>
      </c>
      <c r="N196" s="90">
        <v>547.15</v>
      </c>
      <c r="O196" s="90">
        <v>2568.6999999999998</v>
      </c>
      <c r="P196" s="90">
        <v>749.68</v>
      </c>
      <c r="Q196" s="90">
        <v>79.23</v>
      </c>
      <c r="R196" s="90">
        <v>0.23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426695.22</v>
      </c>
      <c r="G197" s="90">
        <v>26347.54</v>
      </c>
      <c r="H197" s="90">
        <v>12761.17</v>
      </c>
      <c r="I197" s="90">
        <v>7040.27</v>
      </c>
      <c r="J197" s="90">
        <v>122417.95</v>
      </c>
      <c r="K197" s="90">
        <v>2989.82</v>
      </c>
      <c r="L197" s="90">
        <v>0</v>
      </c>
      <c r="M197" s="90">
        <v>26226.47</v>
      </c>
      <c r="N197" s="90">
        <v>30660.94</v>
      </c>
      <c r="O197" s="90">
        <v>141945.57999999999</v>
      </c>
      <c r="P197" s="90">
        <v>51419.74</v>
      </c>
      <c r="Q197" s="90">
        <v>4878.1899999999996</v>
      </c>
      <c r="R197" s="90">
        <v>7.55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12785198.32</v>
      </c>
      <c r="G204" s="90">
        <v>703609.95</v>
      </c>
      <c r="H204" s="90">
        <v>387545.59999999998</v>
      </c>
      <c r="I204" s="90">
        <v>207630.35</v>
      </c>
      <c r="J204" s="90">
        <v>3187955.94</v>
      </c>
      <c r="K204" s="90">
        <v>106822.11</v>
      </c>
      <c r="L204" s="90">
        <v>0</v>
      </c>
      <c r="M204" s="90">
        <v>942031.97</v>
      </c>
      <c r="N204" s="90">
        <v>1002072.56</v>
      </c>
      <c r="O204" s="90">
        <v>4691016.74</v>
      </c>
      <c r="P204" s="90">
        <v>1381254.47</v>
      </c>
      <c r="Q204" s="90">
        <v>175192.74</v>
      </c>
      <c r="R204" s="90">
        <v>65.89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74732.160000000003</v>
      </c>
      <c r="G205" s="90">
        <v>6320.89</v>
      </c>
      <c r="H205" s="90">
        <v>3463.36</v>
      </c>
      <c r="I205" s="90">
        <v>1859.06</v>
      </c>
      <c r="J205" s="90">
        <v>16027.83</v>
      </c>
      <c r="K205" s="90">
        <v>531.94000000000005</v>
      </c>
      <c r="L205" s="90">
        <v>0</v>
      </c>
      <c r="M205" s="90">
        <v>4669.95</v>
      </c>
      <c r="N205" s="90">
        <v>5098.07</v>
      </c>
      <c r="O205" s="90">
        <v>23528.73</v>
      </c>
      <c r="P205" s="90">
        <v>12364.11</v>
      </c>
      <c r="Q205" s="90">
        <v>868.28</v>
      </c>
      <c r="R205" s="90">
        <v>-0.06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4:26" ht="12.75" customHeight="1" x14ac:dyDescent="0.25">
      <c r="D206" t="s">
        <v>118</v>
      </c>
      <c r="E206" s="89" t="s">
        <v>70</v>
      </c>
      <c r="F206" s="90">
        <v>12859930.48</v>
      </c>
      <c r="G206" s="90">
        <v>709930.84</v>
      </c>
      <c r="H206" s="90">
        <v>391008.96</v>
      </c>
      <c r="I206" s="90">
        <v>209489.41</v>
      </c>
      <c r="J206" s="90">
        <v>3203983.77</v>
      </c>
      <c r="K206" s="90">
        <v>107354.05</v>
      </c>
      <c r="L206" s="90">
        <v>0</v>
      </c>
      <c r="M206" s="90">
        <v>946701.92</v>
      </c>
      <c r="N206" s="90">
        <v>1007170.63</v>
      </c>
      <c r="O206" s="90">
        <v>4714545.47</v>
      </c>
      <c r="P206" s="90">
        <v>1393618.58</v>
      </c>
      <c r="Q206" s="90">
        <v>176061.02</v>
      </c>
      <c r="R206" s="90">
        <v>65.83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15303333.189999999</v>
      </c>
      <c r="G213" s="225">
        <v>846445.31</v>
      </c>
      <c r="H213" s="225">
        <v>456814.64</v>
      </c>
      <c r="I213" s="225">
        <v>246633.46</v>
      </c>
      <c r="J213" s="225">
        <v>3859157.96</v>
      </c>
      <c r="K213" s="225">
        <v>125021.13</v>
      </c>
      <c r="L213" s="225">
        <v>0</v>
      </c>
      <c r="M213" s="225">
        <v>1101678.21</v>
      </c>
      <c r="N213" s="225">
        <v>1198553.1100000001</v>
      </c>
      <c r="O213" s="225">
        <v>5597648.7699999996</v>
      </c>
      <c r="P213" s="225">
        <v>1666421.96</v>
      </c>
      <c r="Q213" s="225">
        <v>204886.65</v>
      </c>
      <c r="R213" s="225">
        <v>72.06</v>
      </c>
      <c r="S213" s="225">
        <v>0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-7.0000000000000007E-2</v>
      </c>
    </row>
    <row r="214" spans="2:26" ht="12.75" customHeight="1" x14ac:dyDescent="0.25">
      <c r="E214" s="89" t="s">
        <v>72</v>
      </c>
      <c r="F214" s="90">
        <v>455939001.99000001</v>
      </c>
      <c r="G214" s="90">
        <v>31166168.329999998</v>
      </c>
      <c r="H214" s="90">
        <v>17414261.350000001</v>
      </c>
      <c r="I214" s="90">
        <v>9320448.5600000005</v>
      </c>
      <c r="J214" s="90">
        <v>107716548.78</v>
      </c>
      <c r="K214" s="90">
        <v>2778581.48</v>
      </c>
      <c r="L214" s="90">
        <v>223000</v>
      </c>
      <c r="M214" s="90">
        <v>24356285.66</v>
      </c>
      <c r="N214" s="90">
        <v>34967660.869999997</v>
      </c>
      <c r="O214" s="90">
        <v>161072747.18000001</v>
      </c>
      <c r="P214" s="90">
        <v>62379437.009999998</v>
      </c>
      <c r="Q214" s="90">
        <v>4546029.75</v>
      </c>
      <c r="R214" s="90">
        <v>-2166.98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4505253.3899999997</v>
      </c>
      <c r="G215" s="90">
        <v>686613.92</v>
      </c>
      <c r="H215" s="90">
        <v>335505.83</v>
      </c>
      <c r="I215" s="90">
        <v>186385.59</v>
      </c>
      <c r="J215" s="90">
        <v>633051.63</v>
      </c>
      <c r="K215" s="90">
        <v>16253.71</v>
      </c>
      <c r="L215" s="90">
        <v>423.43</v>
      </c>
      <c r="M215" s="90">
        <v>141566.92000000001</v>
      </c>
      <c r="N215" s="90">
        <v>197973.31</v>
      </c>
      <c r="O215" s="90">
        <v>907304.36</v>
      </c>
      <c r="P215" s="90">
        <v>1373624.55</v>
      </c>
      <c r="Q215" s="90">
        <v>26555.9</v>
      </c>
      <c r="R215" s="90">
        <v>-5.38</v>
      </c>
      <c r="S215" s="90">
        <v>0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-0.38</v>
      </c>
    </row>
    <row r="216" spans="2:26" ht="12.75" customHeight="1" x14ac:dyDescent="0.25">
      <c r="D216" t="s">
        <v>82</v>
      </c>
      <c r="E216" s="89" t="s">
        <v>70</v>
      </c>
      <c r="F216" s="90">
        <v>460444255.38</v>
      </c>
      <c r="G216" s="90">
        <v>31852782.25</v>
      </c>
      <c r="H216" s="90">
        <v>17749767.18</v>
      </c>
      <c r="I216" s="90">
        <v>9506834.1500000004</v>
      </c>
      <c r="J216" s="90">
        <v>108349600.41</v>
      </c>
      <c r="K216" s="90">
        <v>2794835.19</v>
      </c>
      <c r="L216" s="90">
        <v>223423.43</v>
      </c>
      <c r="M216" s="90">
        <v>24497852.579999998</v>
      </c>
      <c r="N216" s="90">
        <v>35165634.18</v>
      </c>
      <c r="O216" s="90">
        <v>161980051.53999999</v>
      </c>
      <c r="P216" s="90">
        <v>63753061.560000002</v>
      </c>
      <c r="Q216" s="90">
        <v>4572585.6500000004</v>
      </c>
      <c r="R216" s="90">
        <v>-2172.36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-0.38</v>
      </c>
    </row>
    <row r="217" spans="2:26" ht="12.75" customHeight="1" x14ac:dyDescent="0.25">
      <c r="E217" s="89" t="s">
        <v>72</v>
      </c>
      <c r="F217" s="90">
        <v>193966389.72999999</v>
      </c>
      <c r="G217" s="90">
        <v>18753395.739999998</v>
      </c>
      <c r="H217" s="90">
        <v>10057409.18</v>
      </c>
      <c r="I217" s="90">
        <v>5168574.8499999996</v>
      </c>
      <c r="J217" s="90">
        <v>37118799.350000001</v>
      </c>
      <c r="K217" s="90">
        <v>1216758.52</v>
      </c>
      <c r="L217" s="90">
        <v>1204189.42</v>
      </c>
      <c r="M217" s="90">
        <v>10633285.029999999</v>
      </c>
      <c r="N217" s="90">
        <v>12932629.939999999</v>
      </c>
      <c r="O217" s="90">
        <v>57515757.549999997</v>
      </c>
      <c r="P217" s="90">
        <v>37372824.68</v>
      </c>
      <c r="Q217" s="90">
        <v>1993046.78</v>
      </c>
      <c r="R217" s="90">
        <v>-281.31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9166147.2799999993</v>
      </c>
      <c r="G218" s="90">
        <v>1183506.74</v>
      </c>
      <c r="H218" s="90">
        <v>586131.57999999996</v>
      </c>
      <c r="I218" s="90">
        <v>271123.56</v>
      </c>
      <c r="J218" s="90">
        <v>1563968.47</v>
      </c>
      <c r="K218" s="90">
        <v>53802.28</v>
      </c>
      <c r="L218" s="90">
        <v>0</v>
      </c>
      <c r="M218" s="90">
        <v>473676.04</v>
      </c>
      <c r="N218" s="90">
        <v>570702.61</v>
      </c>
      <c r="O218" s="90">
        <v>2048592.22</v>
      </c>
      <c r="P218" s="90">
        <v>2326821.14</v>
      </c>
      <c r="Q218" s="90">
        <v>87828.33</v>
      </c>
      <c r="R218" s="90">
        <v>7.07</v>
      </c>
      <c r="S218" s="90">
        <v>-12.38</v>
      </c>
      <c r="T218" s="90">
        <v>0.04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-0.42</v>
      </c>
    </row>
    <row r="219" spans="2:26" ht="12.75" customHeight="1" x14ac:dyDescent="0.25">
      <c r="D219" t="s">
        <v>86</v>
      </c>
      <c r="E219" s="89" t="s">
        <v>70</v>
      </c>
      <c r="F219" s="90">
        <v>203132537.00999999</v>
      </c>
      <c r="G219" s="90">
        <v>19936902.48</v>
      </c>
      <c r="H219" s="90">
        <v>10643540.76</v>
      </c>
      <c r="I219" s="90">
        <v>5439698.4100000001</v>
      </c>
      <c r="J219" s="90">
        <v>38682767.82</v>
      </c>
      <c r="K219" s="90">
        <v>1270560.8</v>
      </c>
      <c r="L219" s="90">
        <v>1204189.42</v>
      </c>
      <c r="M219" s="90">
        <v>11106961.07</v>
      </c>
      <c r="N219" s="90">
        <v>13503332.550000001</v>
      </c>
      <c r="O219" s="90">
        <v>59564349.770000003</v>
      </c>
      <c r="P219" s="90">
        <v>39699645.82</v>
      </c>
      <c r="Q219" s="90">
        <v>2080875.11</v>
      </c>
      <c r="R219" s="90">
        <v>-274.24</v>
      </c>
      <c r="S219" s="90">
        <v>-12.38</v>
      </c>
      <c r="T219" s="90">
        <v>0.04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-0.42</v>
      </c>
    </row>
    <row r="220" spans="2:26" ht="12.75" customHeight="1" x14ac:dyDescent="0.25">
      <c r="E220" s="89" t="s">
        <v>72</v>
      </c>
      <c r="F220" s="90">
        <v>661355110.54999995</v>
      </c>
      <c r="G220" s="90">
        <v>121001900.95</v>
      </c>
      <c r="H220" s="90">
        <v>68302622.359999999</v>
      </c>
      <c r="I220" s="90">
        <v>36083615.549999997</v>
      </c>
      <c r="J220" s="90">
        <v>52633126.530000001</v>
      </c>
      <c r="K220" s="90">
        <v>1383826.41</v>
      </c>
      <c r="L220" s="90">
        <v>27689500</v>
      </c>
      <c r="M220" s="90">
        <v>12143895.779999999</v>
      </c>
      <c r="N220" s="90">
        <v>17276124.079999998</v>
      </c>
      <c r="O220" s="90">
        <v>82150350.079999998</v>
      </c>
      <c r="P220" s="90">
        <v>240422477.77000001</v>
      </c>
      <c r="Q220" s="90">
        <v>2268567.7400000002</v>
      </c>
      <c r="R220" s="90">
        <v>-896.7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6600836.2999999998</v>
      </c>
      <c r="G221" s="90">
        <v>1349445.39</v>
      </c>
      <c r="H221" s="90">
        <v>757512.17</v>
      </c>
      <c r="I221" s="90">
        <v>404376.25</v>
      </c>
      <c r="J221" s="90">
        <v>441370.36</v>
      </c>
      <c r="K221" s="90">
        <v>10958.07</v>
      </c>
      <c r="L221" s="90">
        <v>63878.54</v>
      </c>
      <c r="M221" s="90">
        <v>95989.48</v>
      </c>
      <c r="N221" s="90">
        <v>135954.56</v>
      </c>
      <c r="O221" s="90">
        <v>626871.1</v>
      </c>
      <c r="P221" s="90">
        <v>2696583.37</v>
      </c>
      <c r="Q221" s="90">
        <v>17899.55</v>
      </c>
      <c r="R221" s="90">
        <v>-2.15</v>
      </c>
      <c r="S221" s="90">
        <v>-0.39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0</v>
      </c>
    </row>
    <row r="222" spans="2:26" ht="12.75" customHeight="1" x14ac:dyDescent="0.25">
      <c r="D222" t="s">
        <v>87</v>
      </c>
      <c r="E222" s="89" t="s">
        <v>70</v>
      </c>
      <c r="F222" s="90">
        <v>667955946.85000002</v>
      </c>
      <c r="G222" s="90">
        <v>122351346.34</v>
      </c>
      <c r="H222" s="90">
        <v>69060134.530000001</v>
      </c>
      <c r="I222" s="90">
        <v>36487991.799999997</v>
      </c>
      <c r="J222" s="90">
        <v>53074496.890000001</v>
      </c>
      <c r="K222" s="90">
        <v>1394784.48</v>
      </c>
      <c r="L222" s="90">
        <v>27753378.539999999</v>
      </c>
      <c r="M222" s="90">
        <v>12239885.26</v>
      </c>
      <c r="N222" s="90">
        <v>17412078.640000001</v>
      </c>
      <c r="O222" s="90">
        <v>82777221.180000007</v>
      </c>
      <c r="P222" s="90">
        <v>243119061.13999999</v>
      </c>
      <c r="Q222" s="90">
        <v>2286467.29</v>
      </c>
      <c r="R222" s="90">
        <v>-898.85</v>
      </c>
      <c r="S222" s="90">
        <v>-0.39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0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1331532739.24</v>
      </c>
      <c r="G223" s="93">
        <v>174141031.06999999</v>
      </c>
      <c r="H223" s="93">
        <v>97453442.469999999</v>
      </c>
      <c r="I223" s="93">
        <v>51434524.359999999</v>
      </c>
      <c r="J223" s="93">
        <v>200106865.12</v>
      </c>
      <c r="K223" s="93">
        <v>5460180.4699999997</v>
      </c>
      <c r="L223" s="93">
        <v>29180991.390000001</v>
      </c>
      <c r="M223" s="93">
        <v>47844698.909999996</v>
      </c>
      <c r="N223" s="93">
        <v>66081045.369999997</v>
      </c>
      <c r="O223" s="93">
        <v>304321622.49000001</v>
      </c>
      <c r="P223" s="93">
        <v>346571768.51999998</v>
      </c>
      <c r="Q223" s="93">
        <v>8939928.0500000007</v>
      </c>
      <c r="R223" s="93">
        <v>-3345.45</v>
      </c>
      <c r="S223" s="93">
        <v>-12.77</v>
      </c>
      <c r="T223" s="93">
        <v>0.04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-0.8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25411656495.759998</v>
      </c>
      <c r="G224" s="100">
        <v>1575163852.5699999</v>
      </c>
      <c r="H224" s="100">
        <v>883359566.12</v>
      </c>
      <c r="I224" s="100">
        <v>463664201.30000001</v>
      </c>
      <c r="J224" s="100">
        <v>5771019776.8500004</v>
      </c>
      <c r="K224" s="100">
        <v>221091165.91</v>
      </c>
      <c r="L224" s="100">
        <v>53454221.280000001</v>
      </c>
      <c r="M224" s="100">
        <v>1937665740.24</v>
      </c>
      <c r="N224" s="100">
        <v>1932446003.3699999</v>
      </c>
      <c r="O224" s="100">
        <v>9106226356.1200008</v>
      </c>
      <c r="P224" s="100">
        <v>3106209538.75</v>
      </c>
      <c r="Q224" s="100">
        <v>361269505.43000001</v>
      </c>
      <c r="R224" s="100">
        <v>86691.03</v>
      </c>
      <c r="S224" s="100">
        <v>-83.63</v>
      </c>
      <c r="T224" s="100">
        <v>4.18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-43.76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25442049927.389999</v>
      </c>
      <c r="G225" s="90">
        <v>1582872787.47</v>
      </c>
      <c r="H225" s="90">
        <v>887717779.16999996</v>
      </c>
      <c r="I225" s="90">
        <v>465974337.00999999</v>
      </c>
      <c r="J225" s="90">
        <v>5771193704.2299995</v>
      </c>
      <c r="K225" s="90">
        <v>221096477</v>
      </c>
      <c r="L225" s="90">
        <v>53454221.280000001</v>
      </c>
      <c r="M225" s="90">
        <v>1937712328.6700001</v>
      </c>
      <c r="N225" s="90">
        <v>1932499941.4300001</v>
      </c>
      <c r="O225" s="90">
        <v>9106477787.6399994</v>
      </c>
      <c r="P225" s="90">
        <v>3121685825.1999998</v>
      </c>
      <c r="Q225" s="90">
        <v>361278170.88</v>
      </c>
      <c r="R225" s="90">
        <v>86690.62</v>
      </c>
      <c r="S225" s="90">
        <v>-83.63</v>
      </c>
      <c r="T225" s="90">
        <v>4.18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-43.76</v>
      </c>
    </row>
    <row r="226" spans="1:26" ht="12.75" customHeight="1" x14ac:dyDescent="0.25">
      <c r="B226" s="89"/>
      <c r="C226" s="89"/>
      <c r="E226" t="s">
        <v>73</v>
      </c>
      <c r="F226" s="90">
        <v>25934600.629999999</v>
      </c>
      <c r="G226" s="90">
        <v>6682708.8499999996</v>
      </c>
      <c r="H226" s="90">
        <v>3777829.13</v>
      </c>
      <c r="I226" s="90">
        <v>2001663.41</v>
      </c>
      <c r="J226" s="90">
        <v>21059.439999999999</v>
      </c>
      <c r="K226" s="90">
        <v>388.78</v>
      </c>
      <c r="L226" s="90">
        <v>0</v>
      </c>
      <c r="M226" s="90">
        <v>3410.32</v>
      </c>
      <c r="N226" s="90">
        <v>6455.7</v>
      </c>
      <c r="O226" s="90">
        <v>30601.34</v>
      </c>
      <c r="P226" s="90">
        <v>13409849.35</v>
      </c>
      <c r="Q226" s="90">
        <v>634.30999999999995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25934600.629999999</v>
      </c>
      <c r="G227" s="90">
        <v>6682708.8499999996</v>
      </c>
      <c r="H227" s="90">
        <v>3777829.13</v>
      </c>
      <c r="I227" s="90">
        <v>2001663.41</v>
      </c>
      <c r="J227" s="90">
        <v>21059.439999999999</v>
      </c>
      <c r="K227" s="90">
        <v>388.78</v>
      </c>
      <c r="L227" s="90">
        <v>0</v>
      </c>
      <c r="M227" s="90">
        <v>3410.32</v>
      </c>
      <c r="N227" s="90">
        <v>6455.7</v>
      </c>
      <c r="O227" s="90">
        <v>30601.34</v>
      </c>
      <c r="P227" s="90">
        <v>13409849.35</v>
      </c>
      <c r="Q227" s="90">
        <v>634.30999999999995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25934600.629999999</v>
      </c>
      <c r="G228" s="658">
        <v>6682708.8499999996</v>
      </c>
      <c r="H228" s="658">
        <v>3777829.13</v>
      </c>
      <c r="I228" s="658">
        <v>2001663.41</v>
      </c>
      <c r="J228" s="658">
        <v>21059.439999999999</v>
      </c>
      <c r="K228" s="658">
        <v>388.78</v>
      </c>
      <c r="L228" s="658">
        <v>0</v>
      </c>
      <c r="M228" s="658">
        <v>3410.32</v>
      </c>
      <c r="N228" s="658">
        <v>6455.7</v>
      </c>
      <c r="O228" s="658">
        <v>30601.34</v>
      </c>
      <c r="P228" s="658">
        <v>13409849.35</v>
      </c>
      <c r="Q228" s="658">
        <v>634.30999999999995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-128977.37</v>
      </c>
      <c r="G246" s="90">
        <v>-6033.92</v>
      </c>
      <c r="H246" s="90">
        <v>-3410.66</v>
      </c>
      <c r="I246" s="90">
        <v>-1805.06</v>
      </c>
      <c r="J246" s="90">
        <v>-34653.019999999997</v>
      </c>
      <c r="K246" s="90">
        <v>-1065.44</v>
      </c>
      <c r="L246" s="90">
        <v>0</v>
      </c>
      <c r="M246" s="90">
        <v>-9345.8799999999992</v>
      </c>
      <c r="N246" s="90">
        <v>-10375.780000000001</v>
      </c>
      <c r="O246" s="90">
        <v>-48453.07</v>
      </c>
      <c r="P246" s="90">
        <v>-12096.2</v>
      </c>
      <c r="Q246" s="90">
        <v>-1738.34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-128977.37</v>
      </c>
      <c r="G247" s="90">
        <v>-6033.92</v>
      </c>
      <c r="H247" s="90">
        <v>-3410.66</v>
      </c>
      <c r="I247" s="90">
        <v>-1805.06</v>
      </c>
      <c r="J247" s="90">
        <v>-34653.019999999997</v>
      </c>
      <c r="K247" s="90">
        <v>-1065.44</v>
      </c>
      <c r="L247" s="90">
        <v>0</v>
      </c>
      <c r="M247" s="90">
        <v>-9345.8799999999992</v>
      </c>
      <c r="N247" s="90">
        <v>-10375.780000000001</v>
      </c>
      <c r="O247" s="90">
        <v>-48453.07</v>
      </c>
      <c r="P247" s="90">
        <v>-12096.2</v>
      </c>
      <c r="Q247" s="90">
        <v>-1738.34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-8984.89</v>
      </c>
      <c r="G248" s="90">
        <v>-469.66</v>
      </c>
      <c r="H248" s="90">
        <v>-266.35000000000002</v>
      </c>
      <c r="I248" s="90">
        <v>-144.41999999999999</v>
      </c>
      <c r="J248" s="90">
        <v>-2366.48</v>
      </c>
      <c r="K248" s="90">
        <v>-56.96</v>
      </c>
      <c r="L248" s="90">
        <v>0</v>
      </c>
      <c r="M248" s="90">
        <v>-499.71</v>
      </c>
      <c r="N248" s="90">
        <v>-736.71</v>
      </c>
      <c r="O248" s="90">
        <v>-3405.27</v>
      </c>
      <c r="P248" s="90">
        <v>-946.38</v>
      </c>
      <c r="Q248" s="90">
        <v>-92.95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-8984.89</v>
      </c>
      <c r="G249" s="90">
        <v>-469.66</v>
      </c>
      <c r="H249" s="90">
        <v>-266.35000000000002</v>
      </c>
      <c r="I249" s="90">
        <v>-144.41999999999999</v>
      </c>
      <c r="J249" s="90">
        <v>-2366.48</v>
      </c>
      <c r="K249" s="90">
        <v>-56.96</v>
      </c>
      <c r="L249" s="90">
        <v>0</v>
      </c>
      <c r="M249" s="90">
        <v>-499.71</v>
      </c>
      <c r="N249" s="90">
        <v>-736.71</v>
      </c>
      <c r="O249" s="90">
        <v>-3405.27</v>
      </c>
      <c r="P249" s="90">
        <v>-946.38</v>
      </c>
      <c r="Q249" s="90">
        <v>-92.95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-137962.26</v>
      </c>
      <c r="G250" s="93">
        <v>-6503.58</v>
      </c>
      <c r="H250" s="93">
        <v>-3677.01</v>
      </c>
      <c r="I250" s="93">
        <v>-1949.48</v>
      </c>
      <c r="J250" s="93">
        <v>-37019.5</v>
      </c>
      <c r="K250" s="93">
        <v>-1122.4000000000001</v>
      </c>
      <c r="L250" s="93">
        <v>0</v>
      </c>
      <c r="M250" s="93">
        <v>-9845.59</v>
      </c>
      <c r="N250" s="93">
        <v>-11112.49</v>
      </c>
      <c r="O250" s="93">
        <v>-51858.34</v>
      </c>
      <c r="P250" s="93">
        <v>-13042.58</v>
      </c>
      <c r="Q250" s="93">
        <v>-1831.29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25796638.370000001</v>
      </c>
      <c r="G251" s="377">
        <v>6676205.2699999996</v>
      </c>
      <c r="H251" s="377">
        <v>3774152.12</v>
      </c>
      <c r="I251" s="377">
        <v>1999713.93</v>
      </c>
      <c r="J251" s="377">
        <v>-15960.06</v>
      </c>
      <c r="K251" s="377">
        <v>-733.62</v>
      </c>
      <c r="L251" s="377">
        <v>0</v>
      </c>
      <c r="M251" s="377">
        <v>-6435.27</v>
      </c>
      <c r="N251" s="377">
        <v>-4656.79</v>
      </c>
      <c r="O251" s="377">
        <v>-21257</v>
      </c>
      <c r="P251" s="377">
        <v>13396806.77</v>
      </c>
      <c r="Q251" s="377">
        <v>-1196.98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-5016640264.6700001</v>
      </c>
      <c r="G252" s="90">
        <v>-120615699.15000001</v>
      </c>
      <c r="H252" s="90">
        <v>-67567315.689999998</v>
      </c>
      <c r="I252" s="90">
        <v>-35149668.939999998</v>
      </c>
      <c r="J252" s="90">
        <v>-1363592731.79</v>
      </c>
      <c r="K252" s="90">
        <v>-52548443.060000002</v>
      </c>
      <c r="L252" s="90">
        <v>0</v>
      </c>
      <c r="M252" s="90">
        <v>-460998533.55000001</v>
      </c>
      <c r="N252" s="90">
        <v>-454669135.02999997</v>
      </c>
      <c r="O252" s="90">
        <v>-2143895846.29</v>
      </c>
      <c r="P252" s="90">
        <v>-231862522.75999999</v>
      </c>
      <c r="Q252" s="90">
        <v>-85740368.409999996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-5016640264.6700001</v>
      </c>
      <c r="G253" s="90">
        <v>-120615699.15000001</v>
      </c>
      <c r="H253" s="90">
        <v>-67567315.689999998</v>
      </c>
      <c r="I253" s="90">
        <v>-35149668.939999998</v>
      </c>
      <c r="J253" s="90">
        <v>-1363592731.79</v>
      </c>
      <c r="K253" s="90">
        <v>-52548443.060000002</v>
      </c>
      <c r="L253" s="90">
        <v>0</v>
      </c>
      <c r="M253" s="90">
        <v>-460998533.55000001</v>
      </c>
      <c r="N253" s="90">
        <v>-454669135.02999997</v>
      </c>
      <c r="O253" s="90">
        <v>-2143895846.29</v>
      </c>
      <c r="P253" s="90">
        <v>-231862522.75999999</v>
      </c>
      <c r="Q253" s="90">
        <v>-85740368.409999996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-5016640264.6700001</v>
      </c>
      <c r="G254" s="658">
        <v>-120615699.15000001</v>
      </c>
      <c r="H254" s="658">
        <v>-67567315.689999998</v>
      </c>
      <c r="I254" s="658">
        <v>-35149668.939999998</v>
      </c>
      <c r="J254" s="658">
        <v>-1363592731.79</v>
      </c>
      <c r="K254" s="658">
        <v>-52548443.060000002</v>
      </c>
      <c r="L254" s="658">
        <v>0</v>
      </c>
      <c r="M254" s="658">
        <v>-460998533.55000001</v>
      </c>
      <c r="N254" s="658">
        <v>-454669135.02999997</v>
      </c>
      <c r="O254" s="658">
        <v>-2143895846.29</v>
      </c>
      <c r="P254" s="658">
        <v>-231862522.75999999</v>
      </c>
      <c r="Q254" s="658">
        <v>-85740368.409999996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-328437.49</v>
      </c>
      <c r="G255" s="90">
        <v>-11613.87</v>
      </c>
      <c r="H255" s="90">
        <v>-5643.65</v>
      </c>
      <c r="I255" s="90">
        <v>-3115.56</v>
      </c>
      <c r="J255" s="90">
        <v>-94908.85</v>
      </c>
      <c r="K255" s="90">
        <v>-2649.28</v>
      </c>
      <c r="L255" s="90">
        <v>0</v>
      </c>
      <c r="M255" s="90">
        <v>-23240.44</v>
      </c>
      <c r="N255" s="90">
        <v>-28376.91</v>
      </c>
      <c r="O255" s="90">
        <v>-131234.69</v>
      </c>
      <c r="P255" s="90">
        <v>-23331.45</v>
      </c>
      <c r="Q255" s="90">
        <v>-4322.79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-328437.49</v>
      </c>
      <c r="G256" s="90">
        <v>-11613.87</v>
      </c>
      <c r="H256" s="90">
        <v>-5643.65</v>
      </c>
      <c r="I256" s="90">
        <v>-3115.56</v>
      </c>
      <c r="J256" s="90">
        <v>-94908.85</v>
      </c>
      <c r="K256" s="90">
        <v>-2649.28</v>
      </c>
      <c r="L256" s="90">
        <v>0</v>
      </c>
      <c r="M256" s="90">
        <v>-23240.44</v>
      </c>
      <c r="N256" s="90">
        <v>-28376.91</v>
      </c>
      <c r="O256" s="90">
        <v>-131234.69</v>
      </c>
      <c r="P256" s="90">
        <v>-23331.45</v>
      </c>
      <c r="Q256" s="90">
        <v>-4322.79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-112415.22</v>
      </c>
      <c r="G257" s="90">
        <v>-4551.45</v>
      </c>
      <c r="H257" s="90">
        <v>-1756.71</v>
      </c>
      <c r="I257" s="90">
        <v>-1018.9</v>
      </c>
      <c r="J257" s="90">
        <v>-37031.17</v>
      </c>
      <c r="K257" s="90">
        <v>-812.03</v>
      </c>
      <c r="L257" s="90">
        <v>0</v>
      </c>
      <c r="M257" s="90">
        <v>-7123.15</v>
      </c>
      <c r="N257" s="90">
        <v>-9135.7099999999991</v>
      </c>
      <c r="O257" s="90">
        <v>-41432.519999999997</v>
      </c>
      <c r="P257" s="90">
        <v>-8228.67</v>
      </c>
      <c r="Q257" s="90">
        <v>-1324.91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-112415.22</v>
      </c>
      <c r="G258" s="90">
        <v>-4551.45</v>
      </c>
      <c r="H258" s="90">
        <v>-1756.71</v>
      </c>
      <c r="I258" s="90">
        <v>-1018.9</v>
      </c>
      <c r="J258" s="90">
        <v>-37031.17</v>
      </c>
      <c r="K258" s="90">
        <v>-812.03</v>
      </c>
      <c r="L258" s="90">
        <v>0</v>
      </c>
      <c r="M258" s="90">
        <v>-7123.15</v>
      </c>
      <c r="N258" s="90">
        <v>-9135.7099999999991</v>
      </c>
      <c r="O258" s="90">
        <v>-41432.519999999997</v>
      </c>
      <c r="P258" s="90">
        <v>-8228.67</v>
      </c>
      <c r="Q258" s="90">
        <v>-1324.91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-3451240.48</v>
      </c>
      <c r="G263" s="90">
        <v>-135031.01999999999</v>
      </c>
      <c r="H263" s="90">
        <v>-72868.27</v>
      </c>
      <c r="I263" s="90">
        <v>-38986.629999999997</v>
      </c>
      <c r="J263" s="90">
        <v>-945786.81</v>
      </c>
      <c r="K263" s="90">
        <v>-30905.95</v>
      </c>
      <c r="L263" s="90">
        <v>0</v>
      </c>
      <c r="M263" s="90">
        <v>-271103.17</v>
      </c>
      <c r="N263" s="90">
        <v>-289542.81</v>
      </c>
      <c r="O263" s="90">
        <v>-1357719.27</v>
      </c>
      <c r="P263" s="90">
        <v>-258871.15</v>
      </c>
      <c r="Q263" s="90">
        <v>-50425.4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-3451240.48</v>
      </c>
      <c r="G264" s="90">
        <v>-135031.01999999999</v>
      </c>
      <c r="H264" s="90">
        <v>-72868.27</v>
      </c>
      <c r="I264" s="90">
        <v>-38986.629999999997</v>
      </c>
      <c r="J264" s="90">
        <v>-945786.81</v>
      </c>
      <c r="K264" s="90">
        <v>-30905.95</v>
      </c>
      <c r="L264" s="90">
        <v>0</v>
      </c>
      <c r="M264" s="90">
        <v>-271103.17</v>
      </c>
      <c r="N264" s="90">
        <v>-289542.81</v>
      </c>
      <c r="O264" s="90">
        <v>-1357719.27</v>
      </c>
      <c r="P264" s="90">
        <v>-258871.15</v>
      </c>
      <c r="Q264" s="90">
        <v>-50425.4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-3892093.19</v>
      </c>
      <c r="G269" s="225">
        <v>-151196.34</v>
      </c>
      <c r="H269" s="225">
        <v>-80268.63</v>
      </c>
      <c r="I269" s="225">
        <v>-43121.09</v>
      </c>
      <c r="J269" s="225">
        <v>-1077726.83</v>
      </c>
      <c r="K269" s="225">
        <v>-34367.26</v>
      </c>
      <c r="L269" s="225">
        <v>0</v>
      </c>
      <c r="M269" s="225">
        <v>-301466.76</v>
      </c>
      <c r="N269" s="225">
        <v>-327055.43</v>
      </c>
      <c r="O269" s="225">
        <v>-1530386.48</v>
      </c>
      <c r="P269" s="225">
        <v>-290431.27</v>
      </c>
      <c r="Q269" s="225">
        <v>-56073.1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-42013168.380000003</v>
      </c>
      <c r="G270" s="90">
        <v>1551885.63</v>
      </c>
      <c r="H270" s="90">
        <v>903751.08</v>
      </c>
      <c r="I270" s="90">
        <v>494344.81</v>
      </c>
      <c r="J270" s="90">
        <v>-15659485.85</v>
      </c>
      <c r="K270" s="90">
        <v>-397964.69</v>
      </c>
      <c r="L270" s="90">
        <v>0</v>
      </c>
      <c r="M270" s="90">
        <v>-3500779.72</v>
      </c>
      <c r="N270" s="90">
        <v>-5014588.16</v>
      </c>
      <c r="O270" s="90">
        <v>-23024162.739999998</v>
      </c>
      <c r="P270" s="90">
        <v>3283440.05</v>
      </c>
      <c r="Q270" s="90">
        <v>-649608.79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-42013168.380000003</v>
      </c>
      <c r="G271" s="90">
        <v>1551885.63</v>
      </c>
      <c r="H271" s="90">
        <v>903751.08</v>
      </c>
      <c r="I271" s="90">
        <v>494344.81</v>
      </c>
      <c r="J271" s="90">
        <v>-15659485.85</v>
      </c>
      <c r="K271" s="90">
        <v>-397964.69</v>
      </c>
      <c r="L271" s="90">
        <v>0</v>
      </c>
      <c r="M271" s="90">
        <v>-3500779.72</v>
      </c>
      <c r="N271" s="90">
        <v>-5014588.16</v>
      </c>
      <c r="O271" s="90">
        <v>-23024162.739999998</v>
      </c>
      <c r="P271" s="90">
        <v>3283440.05</v>
      </c>
      <c r="Q271" s="90">
        <v>-649608.79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5200539.08</v>
      </c>
      <c r="G272" s="90">
        <v>4284652.66</v>
      </c>
      <c r="H272" s="90">
        <v>2271169.16</v>
      </c>
      <c r="I272" s="90">
        <v>1160829.6000000001</v>
      </c>
      <c r="J272" s="90">
        <v>-3512101.13</v>
      </c>
      <c r="K272" s="90">
        <v>-95526.76</v>
      </c>
      <c r="L272" s="90">
        <v>0</v>
      </c>
      <c r="M272" s="90">
        <v>-838541.47</v>
      </c>
      <c r="N272" s="90">
        <v>-1042638.62</v>
      </c>
      <c r="O272" s="90">
        <v>-5481137.8099999996</v>
      </c>
      <c r="P272" s="90">
        <v>8609797.8800000008</v>
      </c>
      <c r="Q272" s="90">
        <v>-155964.43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5200539.08</v>
      </c>
      <c r="G273" s="90">
        <v>4284652.66</v>
      </c>
      <c r="H273" s="90">
        <v>2271169.16</v>
      </c>
      <c r="I273" s="90">
        <v>1160829.6000000001</v>
      </c>
      <c r="J273" s="90">
        <v>-3512101.13</v>
      </c>
      <c r="K273" s="90">
        <v>-95526.76</v>
      </c>
      <c r="L273" s="90">
        <v>0</v>
      </c>
      <c r="M273" s="90">
        <v>-838541.47</v>
      </c>
      <c r="N273" s="90">
        <v>-1042638.62</v>
      </c>
      <c r="O273" s="90">
        <v>-5481137.8099999996</v>
      </c>
      <c r="P273" s="90">
        <v>8609797.8800000008</v>
      </c>
      <c r="Q273" s="90">
        <v>-155964.43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51817160.149999999</v>
      </c>
      <c r="G274" s="90">
        <v>15021525.93</v>
      </c>
      <c r="H274" s="90">
        <v>8504894.6899999995</v>
      </c>
      <c r="I274" s="90">
        <v>4570984.68</v>
      </c>
      <c r="J274" s="90">
        <v>-1718924.16</v>
      </c>
      <c r="K274" s="90">
        <v>-58626.77</v>
      </c>
      <c r="L274" s="90">
        <v>0</v>
      </c>
      <c r="M274" s="90">
        <v>-521631.88</v>
      </c>
      <c r="N274" s="90">
        <v>-773257.11</v>
      </c>
      <c r="O274" s="90">
        <v>-3589904.61</v>
      </c>
      <c r="P274" s="90">
        <v>30477829.460000001</v>
      </c>
      <c r="Q274" s="90">
        <v>-95730.08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51817160.149999999</v>
      </c>
      <c r="G275" s="90">
        <v>15021525.93</v>
      </c>
      <c r="H275" s="90">
        <v>8504894.6899999995</v>
      </c>
      <c r="I275" s="90">
        <v>4570984.68</v>
      </c>
      <c r="J275" s="90">
        <v>-1718924.16</v>
      </c>
      <c r="K275" s="90">
        <v>-58626.77</v>
      </c>
      <c r="L275" s="90">
        <v>0</v>
      </c>
      <c r="M275" s="90">
        <v>-521631.88</v>
      </c>
      <c r="N275" s="90">
        <v>-773257.11</v>
      </c>
      <c r="O275" s="90">
        <v>-3589904.61</v>
      </c>
      <c r="P275" s="90">
        <v>30477829.460000001</v>
      </c>
      <c r="Q275" s="90">
        <v>-95730.08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15004530.85</v>
      </c>
      <c r="G276" s="93">
        <v>20858064.219999999</v>
      </c>
      <c r="H276" s="93">
        <v>11679814.93</v>
      </c>
      <c r="I276" s="93">
        <v>6226159.0899999999</v>
      </c>
      <c r="J276" s="93">
        <v>-20890511.140000001</v>
      </c>
      <c r="K276" s="93">
        <v>-552118.22</v>
      </c>
      <c r="L276" s="93">
        <v>0</v>
      </c>
      <c r="M276" s="93">
        <v>-4860953.07</v>
      </c>
      <c r="N276" s="93">
        <v>-6830483.8899999997</v>
      </c>
      <c r="O276" s="93">
        <v>-32095205.16</v>
      </c>
      <c r="P276" s="93">
        <v>42371067.390000001</v>
      </c>
      <c r="Q276" s="93">
        <v>-901303.3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-5005527827.0100002</v>
      </c>
      <c r="G277" s="100">
        <v>-99908831.269999996</v>
      </c>
      <c r="H277" s="100">
        <v>-55967769.390000001</v>
      </c>
      <c r="I277" s="100">
        <v>-28966630.940000001</v>
      </c>
      <c r="J277" s="100">
        <v>-1385560969.76</v>
      </c>
      <c r="K277" s="100">
        <v>-53134928.539999999</v>
      </c>
      <c r="L277" s="100">
        <v>0</v>
      </c>
      <c r="M277" s="100">
        <v>-466160953.38</v>
      </c>
      <c r="N277" s="100">
        <v>-461826674.35000002</v>
      </c>
      <c r="O277" s="100">
        <v>-2177521437.9299998</v>
      </c>
      <c r="P277" s="100">
        <v>-189781886.63999999</v>
      </c>
      <c r="Q277" s="100">
        <v>-86697744.810000002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-4979731188.6400003</v>
      </c>
      <c r="G278" s="90">
        <v>-93232626</v>
      </c>
      <c r="H278" s="90">
        <v>-52193617.270000003</v>
      </c>
      <c r="I278" s="90">
        <v>-26966917.010000002</v>
      </c>
      <c r="J278" s="90">
        <v>-1385576929.8199999</v>
      </c>
      <c r="K278" s="90">
        <v>-53135662.159999996</v>
      </c>
      <c r="L278" s="90">
        <v>0</v>
      </c>
      <c r="M278" s="90">
        <v>-466167388.64999998</v>
      </c>
      <c r="N278" s="90">
        <v>-461831331.13999999</v>
      </c>
      <c r="O278" s="90">
        <v>-2177542694.9299998</v>
      </c>
      <c r="P278" s="90">
        <v>-176385079.87</v>
      </c>
      <c r="Q278" s="90">
        <v>-86698941.790000007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20461912832</v>
      </c>
      <c r="G279" s="90">
        <v>1489603908.23</v>
      </c>
      <c r="H279" s="90">
        <v>835508760.54999995</v>
      </c>
      <c r="I279" s="90">
        <v>439000694.19999999</v>
      </c>
      <c r="J279" s="90">
        <v>4385536752.0500002</v>
      </c>
      <c r="K279" s="90">
        <v>167957450.38</v>
      </c>
      <c r="L279" s="90">
        <v>53454221.280000001</v>
      </c>
      <c r="M279" s="90">
        <v>1471515426.02</v>
      </c>
      <c r="N279" s="90">
        <v>1470631622.3900001</v>
      </c>
      <c r="O279" s="90">
        <v>6928810826.0799999</v>
      </c>
      <c r="P279" s="90">
        <v>2945232863.9299998</v>
      </c>
      <c r="Q279" s="90">
        <v>274573739.48000002</v>
      </c>
      <c r="R279" s="90">
        <v>86690.62</v>
      </c>
      <c r="S279" s="90">
        <v>-83.63</v>
      </c>
      <c r="T279" s="90">
        <v>4.18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-43.76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9" t="s">
        <v>2</v>
      </c>
      <c r="D323" s="776" t="s">
        <v>132</v>
      </c>
      <c r="E323" s="98" t="s">
        <v>70</v>
      </c>
      <c r="F323" s="100">
        <f>F224+F277-L224+F149-L149</f>
        <v>20352268540.720001</v>
      </c>
      <c r="G323" s="100">
        <f>G224+G149</f>
        <v>1575127599.3299999</v>
      </c>
      <c r="H323" s="100">
        <f t="shared" ref="H323:AP323" si="9">H224+H149</f>
        <v>883344164.76999998</v>
      </c>
      <c r="I323" s="100">
        <f t="shared" si="9"/>
        <v>463657475.5</v>
      </c>
      <c r="J323" s="100">
        <f t="shared" si="9"/>
        <v>5770939754.4900007</v>
      </c>
      <c r="K323" s="100">
        <f t="shared" si="9"/>
        <v>221087801.44999999</v>
      </c>
      <c r="L323" s="100">
        <f t="shared" si="9"/>
        <v>53454221.280000001</v>
      </c>
      <c r="M323" s="100">
        <f t="shared" si="9"/>
        <v>1937636226.24</v>
      </c>
      <c r="N323" s="100">
        <f t="shared" si="9"/>
        <v>1932409015.4699998</v>
      </c>
      <c r="O323" s="100">
        <f t="shared" si="9"/>
        <v>9106102089.4900017</v>
      </c>
      <c r="P323" s="100">
        <f t="shared" si="9"/>
        <v>3106141657.3499999</v>
      </c>
      <c r="Q323" s="100">
        <f t="shared" si="9"/>
        <v>361264015.81999999</v>
      </c>
      <c r="R323" s="100">
        <f t="shared" si="9"/>
        <v>86691.03</v>
      </c>
      <c r="S323" s="100">
        <f t="shared" si="9"/>
        <v>-83.63</v>
      </c>
      <c r="T323" s="100">
        <f t="shared" si="9"/>
        <v>4.18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-43.76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9"/>
      <c r="D324" s="776"/>
      <c r="E324" s="98" t="s">
        <v>73</v>
      </c>
      <c r="F324" s="100">
        <f>F277</f>
        <v>-5005527827.0100002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9"/>
      <c r="D325" s="776" t="s">
        <v>133</v>
      </c>
      <c r="E325" s="233" t="s">
        <v>70</v>
      </c>
      <c r="F325" s="234">
        <f>F251+F187-L187</f>
        <v>56190070</v>
      </c>
      <c r="G325" s="234">
        <f>G187</f>
        <v>7708934.9000000004</v>
      </c>
      <c r="H325" s="234">
        <f t="shared" ref="H325:AP325" si="10">H187</f>
        <v>4358213.05</v>
      </c>
      <c r="I325" s="234">
        <f t="shared" si="10"/>
        <v>2310135.71</v>
      </c>
      <c r="J325" s="234">
        <f t="shared" si="10"/>
        <v>173927.38</v>
      </c>
      <c r="K325" s="234">
        <f t="shared" si="10"/>
        <v>5311.09</v>
      </c>
      <c r="L325" s="234">
        <f t="shared" si="10"/>
        <v>0</v>
      </c>
      <c r="M325" s="234">
        <f t="shared" si="10"/>
        <v>46588.43</v>
      </c>
      <c r="N325" s="234">
        <f t="shared" si="10"/>
        <v>53938.06</v>
      </c>
      <c r="O325" s="234">
        <f t="shared" si="10"/>
        <v>251431.52</v>
      </c>
      <c r="P325" s="234">
        <f t="shared" si="10"/>
        <v>15476286.449999999</v>
      </c>
      <c r="Q325" s="234">
        <f t="shared" si="10"/>
        <v>8665.4500000000007</v>
      </c>
      <c r="R325" s="234">
        <f t="shared" si="10"/>
        <v>-0.40999999999999898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9"/>
      <c r="D326" s="776"/>
      <c r="E326" s="233" t="s">
        <v>73</v>
      </c>
      <c r="F326" s="234">
        <f>F251</f>
        <v>25796638.370000001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9" t="s">
        <v>160</v>
      </c>
      <c r="D328" s="776" t="s">
        <v>132</v>
      </c>
      <c r="E328" s="223" t="s">
        <v>70</v>
      </c>
      <c r="F328" s="225">
        <f>F269+F213+F141-L141-L213</f>
        <v>11411240</v>
      </c>
      <c r="G328" s="225">
        <f>G213+G141</f>
        <v>846445.31</v>
      </c>
      <c r="H328" s="225">
        <f t="shared" ref="H328:AP328" si="11">H213+H141</f>
        <v>456814.64</v>
      </c>
      <c r="I328" s="225">
        <f t="shared" si="11"/>
        <v>246633.46</v>
      </c>
      <c r="J328" s="225">
        <f t="shared" si="11"/>
        <v>3859157.96</v>
      </c>
      <c r="K328" s="225">
        <f t="shared" si="11"/>
        <v>125021.13</v>
      </c>
      <c r="L328" s="225">
        <f t="shared" si="11"/>
        <v>0</v>
      </c>
      <c r="M328" s="225">
        <f t="shared" si="11"/>
        <v>1101678.21</v>
      </c>
      <c r="N328" s="225">
        <f t="shared" si="11"/>
        <v>1198553.1100000001</v>
      </c>
      <c r="O328" s="225">
        <f t="shared" si="11"/>
        <v>5597648.7699999996</v>
      </c>
      <c r="P328" s="225">
        <f t="shared" si="11"/>
        <v>1666421.96</v>
      </c>
      <c r="Q328" s="225">
        <f t="shared" si="11"/>
        <v>204886.65</v>
      </c>
      <c r="R328" s="225">
        <f t="shared" si="11"/>
        <v>72.06</v>
      </c>
      <c r="S328" s="225">
        <f t="shared" si="11"/>
        <v>0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-7.0000000000000007E-2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9"/>
      <c r="D329" s="776"/>
      <c r="E329" s="223" t="s">
        <v>73</v>
      </c>
      <c r="F329" s="225">
        <f>F269</f>
        <v>-3892093.19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9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9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9" t="s">
        <v>155</v>
      </c>
      <c r="D333" s="776" t="s">
        <v>132</v>
      </c>
      <c r="E333" s="221" t="s">
        <v>70</v>
      </c>
      <c r="F333" s="222">
        <f>F254+F191+F126-L126-L191</f>
        <v>19023525223.110004</v>
      </c>
      <c r="G333" s="222">
        <f t="shared" ref="G333:AA333" si="13">G191+G126</f>
        <v>1400142290.9300001</v>
      </c>
      <c r="H333" s="222">
        <f t="shared" si="13"/>
        <v>785434828.66999996</v>
      </c>
      <c r="I333" s="222">
        <f t="shared" si="13"/>
        <v>411976719.89000005</v>
      </c>
      <c r="J333" s="222">
        <f t="shared" si="13"/>
        <v>5566978557.3000002</v>
      </c>
      <c r="K333" s="222">
        <f t="shared" si="13"/>
        <v>215502798.99000001</v>
      </c>
      <c r="L333" s="222">
        <f t="shared" si="13"/>
        <v>24273229.890000001</v>
      </c>
      <c r="M333" s="222">
        <f t="shared" si="13"/>
        <v>1888691595.8999999</v>
      </c>
      <c r="N333" s="222">
        <f t="shared" si="13"/>
        <v>1865131607.0600002</v>
      </c>
      <c r="O333" s="222">
        <f t="shared" si="13"/>
        <v>8796190172.9300003</v>
      </c>
      <c r="P333" s="222">
        <f t="shared" si="13"/>
        <v>2757907535.29</v>
      </c>
      <c r="Q333" s="222">
        <f t="shared" si="13"/>
        <v>352119526.00999999</v>
      </c>
      <c r="R333" s="222">
        <f t="shared" si="13"/>
        <v>89964.42</v>
      </c>
      <c r="S333" s="222">
        <f t="shared" si="13"/>
        <v>-70.86</v>
      </c>
      <c r="T333" s="222">
        <f t="shared" si="13"/>
        <v>4.1399999999999997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-42.89</v>
      </c>
      <c r="AA333" s="222">
        <f t="shared" si="13"/>
        <v>0</v>
      </c>
    </row>
    <row r="334" spans="1:42" ht="12.75" customHeight="1" x14ac:dyDescent="0.25">
      <c r="C334" s="779"/>
      <c r="D334" s="776"/>
      <c r="E334" s="221" t="s">
        <v>73</v>
      </c>
      <c r="F334" s="222">
        <f>F254</f>
        <v>-5016640264.6700001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9"/>
      <c r="D335" s="776" t="s">
        <v>133</v>
      </c>
      <c r="E335" s="229" t="s">
        <v>70</v>
      </c>
      <c r="F335" s="230">
        <f>F228+F154-L154</f>
        <v>56078860</v>
      </c>
      <c r="G335" s="230">
        <f>G154</f>
        <v>7696969.2400000002</v>
      </c>
      <c r="H335" s="230">
        <f t="shared" ref="H335:AP335" si="14">H154</f>
        <v>4351440.59</v>
      </c>
      <c r="I335" s="230">
        <f t="shared" si="14"/>
        <v>2306516.2999999998</v>
      </c>
      <c r="J335" s="230">
        <f t="shared" si="14"/>
        <v>107263.69</v>
      </c>
      <c r="K335" s="230">
        <f t="shared" si="14"/>
        <v>3376.45</v>
      </c>
      <c r="L335" s="230">
        <f t="shared" si="14"/>
        <v>0</v>
      </c>
      <c r="M335" s="230">
        <f t="shared" si="14"/>
        <v>29617.98</v>
      </c>
      <c r="N335" s="230">
        <f t="shared" si="14"/>
        <v>33795.33</v>
      </c>
      <c r="O335" s="230">
        <f t="shared" si="14"/>
        <v>157592.63</v>
      </c>
      <c r="P335" s="230">
        <f t="shared" si="14"/>
        <v>15452175.380000001</v>
      </c>
      <c r="Q335" s="230">
        <f t="shared" si="14"/>
        <v>5508.95</v>
      </c>
      <c r="R335" s="230">
        <f t="shared" si="14"/>
        <v>2.83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9"/>
      <c r="D336" s="776"/>
      <c r="E336" s="229" t="s">
        <v>73</v>
      </c>
      <c r="F336" s="230">
        <f>F228</f>
        <v>25934600.629999999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7" t="s">
        <v>325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7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7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7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9" t="s">
        <v>119</v>
      </c>
      <c r="D343" s="776" t="s">
        <v>132</v>
      </c>
      <c r="E343" s="101" t="s">
        <v>70</v>
      </c>
      <c r="F343" s="93">
        <f>F276+F223+F148-L148-L223</f>
        <v>1317332077.6099999</v>
      </c>
      <c r="G343" s="93">
        <f t="shared" ref="G343:AP343" si="15">G223+G148</f>
        <v>174138863.09</v>
      </c>
      <c r="H343" s="93">
        <f t="shared" si="15"/>
        <v>97452521.459999993</v>
      </c>
      <c r="I343" s="93">
        <f t="shared" si="15"/>
        <v>51434122.149999999</v>
      </c>
      <c r="J343" s="93">
        <f t="shared" si="15"/>
        <v>200102039.23000002</v>
      </c>
      <c r="K343" s="93">
        <f t="shared" si="15"/>
        <v>5459981.3300000001</v>
      </c>
      <c r="L343" s="93">
        <f t="shared" si="15"/>
        <v>29180991.390000001</v>
      </c>
      <c r="M343" s="93">
        <f t="shared" si="15"/>
        <v>47842952.129999995</v>
      </c>
      <c r="N343" s="93">
        <f t="shared" si="15"/>
        <v>66078855.299999997</v>
      </c>
      <c r="O343" s="93">
        <f t="shared" si="15"/>
        <v>304314267.79000002</v>
      </c>
      <c r="P343" s="93">
        <f t="shared" si="15"/>
        <v>346567700.09999996</v>
      </c>
      <c r="Q343" s="93">
        <f t="shared" si="15"/>
        <v>8939603.1600000001</v>
      </c>
      <c r="R343" s="93">
        <f t="shared" si="15"/>
        <v>-3345.45</v>
      </c>
      <c r="S343" s="93">
        <f t="shared" si="15"/>
        <v>-12.77</v>
      </c>
      <c r="T343" s="93">
        <f t="shared" si="15"/>
        <v>0.04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-0.8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9"/>
      <c r="D344" s="776"/>
      <c r="E344" s="101" t="s">
        <v>73</v>
      </c>
      <c r="F344" s="93">
        <f>F276</f>
        <v>15004530.85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9"/>
      <c r="D345" s="776" t="s">
        <v>133</v>
      </c>
      <c r="E345" s="235" t="s">
        <v>70</v>
      </c>
      <c r="F345" s="236">
        <f>F250+F186-L186</f>
        <v>111210</v>
      </c>
      <c r="G345" s="236">
        <f>G186</f>
        <v>11965.66</v>
      </c>
      <c r="H345" s="236">
        <f t="shared" ref="H345:AP345" si="16">H186</f>
        <v>6772.46</v>
      </c>
      <c r="I345" s="236">
        <f t="shared" si="16"/>
        <v>3619.41</v>
      </c>
      <c r="J345" s="236">
        <f t="shared" si="16"/>
        <v>66663.69</v>
      </c>
      <c r="K345" s="236">
        <f t="shared" si="16"/>
        <v>1934.64</v>
      </c>
      <c r="L345" s="236">
        <f t="shared" si="16"/>
        <v>0</v>
      </c>
      <c r="M345" s="236">
        <f t="shared" si="16"/>
        <v>16970.45</v>
      </c>
      <c r="N345" s="236">
        <f t="shared" si="16"/>
        <v>20142.73</v>
      </c>
      <c r="O345" s="236">
        <f t="shared" si="16"/>
        <v>93838.89</v>
      </c>
      <c r="P345" s="236">
        <f t="shared" si="16"/>
        <v>24111.07</v>
      </c>
      <c r="Q345" s="236">
        <f t="shared" si="16"/>
        <v>3156.5</v>
      </c>
      <c r="R345" s="236">
        <f t="shared" si="16"/>
        <v>-3.24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9"/>
      <c r="D346" s="776"/>
      <c r="E346" s="235" t="s">
        <v>73</v>
      </c>
      <c r="F346" s="236">
        <f>F250</f>
        <v>-137962.26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8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8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8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8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-405906.75</v>
      </c>
      <c r="G353" s="460">
        <f t="shared" ref="G353:AA353" si="17">G149</f>
        <v>-36253.24</v>
      </c>
      <c r="H353" s="460">
        <f t="shared" si="17"/>
        <v>-15401.35</v>
      </c>
      <c r="I353" s="460">
        <f t="shared" si="17"/>
        <v>-6725.8</v>
      </c>
      <c r="J353" s="460">
        <f t="shared" si="17"/>
        <v>-80022.36</v>
      </c>
      <c r="K353" s="460">
        <f t="shared" si="17"/>
        <v>-3364.46</v>
      </c>
      <c r="L353" s="460">
        <f t="shared" si="17"/>
        <v>0</v>
      </c>
      <c r="M353" s="460">
        <f t="shared" si="17"/>
        <v>-29514</v>
      </c>
      <c r="N353" s="460">
        <f t="shared" si="17"/>
        <v>-36987.9</v>
      </c>
      <c r="O353" s="460">
        <f t="shared" si="17"/>
        <v>-124266.63</v>
      </c>
      <c r="P353" s="460">
        <f t="shared" si="17"/>
        <v>-67881.399999999994</v>
      </c>
      <c r="Q353" s="460">
        <f t="shared" si="17"/>
        <v>-5489.61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-16458.46</v>
      </c>
      <c r="G363" s="90">
        <v>-1490.88</v>
      </c>
      <c r="H363" s="90">
        <v>-633.39</v>
      </c>
      <c r="I363" s="90">
        <v>-276.60000000000002</v>
      </c>
      <c r="J363" s="90">
        <v>-3142.56</v>
      </c>
      <c r="K363" s="90">
        <v>-129.47999999999999</v>
      </c>
      <c r="L363" s="90">
        <v>0</v>
      </c>
      <c r="M363" s="90">
        <v>-1135.68</v>
      </c>
      <c r="N363" s="90">
        <v>-1423.48</v>
      </c>
      <c r="O363" s="90">
        <v>-4781.43</v>
      </c>
      <c r="P363" s="90">
        <v>-3233.73</v>
      </c>
      <c r="Q363" s="90">
        <v>-211.23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-16458.46</v>
      </c>
      <c r="G364" s="90">
        <v>-1490.88</v>
      </c>
      <c r="H364" s="90">
        <v>-633.39</v>
      </c>
      <c r="I364" s="90">
        <v>-276.60000000000002</v>
      </c>
      <c r="J364" s="90">
        <v>-3142.56</v>
      </c>
      <c r="K364" s="90">
        <v>-129.47999999999999</v>
      </c>
      <c r="L364" s="90">
        <v>0</v>
      </c>
      <c r="M364" s="90">
        <v>-1135.68</v>
      </c>
      <c r="N364" s="90">
        <v>-1423.48</v>
      </c>
      <c r="O364" s="90">
        <v>-4781.43</v>
      </c>
      <c r="P364" s="90">
        <v>-3233.73</v>
      </c>
      <c r="Q364" s="90">
        <v>-211.23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-16458.46</v>
      </c>
      <c r="G367" s="93">
        <v>-1490.88</v>
      </c>
      <c r="H367" s="93">
        <v>-633.39</v>
      </c>
      <c r="I367" s="93">
        <v>-276.60000000000002</v>
      </c>
      <c r="J367" s="93">
        <v>-3142.56</v>
      </c>
      <c r="K367" s="93">
        <v>-129.47999999999999</v>
      </c>
      <c r="L367" s="93">
        <v>0</v>
      </c>
      <c r="M367" s="93">
        <v>-1135.68</v>
      </c>
      <c r="N367" s="93">
        <v>-1423.48</v>
      </c>
      <c r="O367" s="93">
        <v>-4781.43</v>
      </c>
      <c r="P367" s="93">
        <v>-3233.73</v>
      </c>
      <c r="Q367" s="93">
        <v>-211.23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-16458.46</v>
      </c>
      <c r="G368" s="90">
        <v>-1490.88</v>
      </c>
      <c r="H368" s="90">
        <v>-633.39</v>
      </c>
      <c r="I368" s="90">
        <v>-276.60000000000002</v>
      </c>
      <c r="J368" s="90">
        <v>-3142.56</v>
      </c>
      <c r="K368" s="90">
        <v>-129.47999999999999</v>
      </c>
      <c r="L368" s="90">
        <v>0</v>
      </c>
      <c r="M368" s="90">
        <v>-1135.68</v>
      </c>
      <c r="N368" s="90">
        <v>-1423.48</v>
      </c>
      <c r="O368" s="90">
        <v>-4781.43</v>
      </c>
      <c r="P368" s="90">
        <v>-3233.73</v>
      </c>
      <c r="Q368" s="90">
        <v>-211.23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-16458.46</v>
      </c>
      <c r="G369" s="458">
        <v>-1490.88</v>
      </c>
      <c r="H369" s="458">
        <v>-633.39</v>
      </c>
      <c r="I369" s="458">
        <v>-276.60000000000002</v>
      </c>
      <c r="J369" s="458">
        <v>-3142.56</v>
      </c>
      <c r="K369" s="458">
        <v>-129.47999999999999</v>
      </c>
      <c r="L369" s="458">
        <v>0</v>
      </c>
      <c r="M369" s="458">
        <v>-1135.68</v>
      </c>
      <c r="N369" s="458">
        <v>-1423.48</v>
      </c>
      <c r="O369" s="458">
        <v>-4781.43</v>
      </c>
      <c r="P369" s="458">
        <v>-3233.73</v>
      </c>
      <c r="Q369" s="458">
        <v>-211.23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708630.34</v>
      </c>
      <c r="G370" s="90">
        <v>154391.82</v>
      </c>
      <c r="H370" s="90">
        <v>67732.479999999996</v>
      </c>
      <c r="I370" s="90">
        <v>38607.32</v>
      </c>
      <c r="J370" s="90">
        <v>34161.949999999997</v>
      </c>
      <c r="K370" s="90">
        <v>712.93</v>
      </c>
      <c r="L370" s="90">
        <v>0</v>
      </c>
      <c r="M370" s="90">
        <v>6253.82</v>
      </c>
      <c r="N370" s="90">
        <v>7559.81</v>
      </c>
      <c r="O370" s="90">
        <v>35312.699999999997</v>
      </c>
      <c r="P370" s="90">
        <v>362741.55</v>
      </c>
      <c r="Q370" s="90">
        <v>1163.2</v>
      </c>
      <c r="R370" s="90">
        <v>-7.24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-28092.31</v>
      </c>
      <c r="G371" s="90">
        <v>-6793.44</v>
      </c>
      <c r="H371" s="90">
        <v>-1591.52</v>
      </c>
      <c r="I371" s="90">
        <v>-1315.75</v>
      </c>
      <c r="J371" s="90">
        <v>-589.87</v>
      </c>
      <c r="K371" s="90">
        <v>-30.48</v>
      </c>
      <c r="L371" s="90">
        <v>0</v>
      </c>
      <c r="M371" s="90">
        <v>-262.58999999999997</v>
      </c>
      <c r="N371" s="90">
        <v>-266.56</v>
      </c>
      <c r="O371" s="90">
        <v>-1393.61</v>
      </c>
      <c r="P371" s="90">
        <v>-15798.65</v>
      </c>
      <c r="Q371" s="90">
        <v>-49.83</v>
      </c>
      <c r="R371" s="90">
        <v>-0.71</v>
      </c>
      <c r="S371" s="90">
        <v>0.7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680538.03</v>
      </c>
      <c r="G372" s="90">
        <v>147598.38</v>
      </c>
      <c r="H372" s="90">
        <v>66140.960000000006</v>
      </c>
      <c r="I372" s="90">
        <v>37291.57</v>
      </c>
      <c r="J372" s="90">
        <v>33572.080000000002</v>
      </c>
      <c r="K372" s="90">
        <v>682.45</v>
      </c>
      <c r="L372" s="90">
        <v>0</v>
      </c>
      <c r="M372" s="90">
        <v>5991.23</v>
      </c>
      <c r="N372" s="90">
        <v>7293.25</v>
      </c>
      <c r="O372" s="90">
        <v>33919.089999999997</v>
      </c>
      <c r="P372" s="90">
        <v>346942.9</v>
      </c>
      <c r="Q372" s="90">
        <v>1113.3699999999999</v>
      </c>
      <c r="R372" s="90">
        <v>-7.95</v>
      </c>
      <c r="S372" s="90">
        <v>0.7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680538.03</v>
      </c>
      <c r="G373" s="230">
        <v>147598.38</v>
      </c>
      <c r="H373" s="230">
        <v>66140.960000000006</v>
      </c>
      <c r="I373" s="230">
        <v>37291.57</v>
      </c>
      <c r="J373" s="230">
        <v>33572.080000000002</v>
      </c>
      <c r="K373" s="230">
        <v>682.45</v>
      </c>
      <c r="L373" s="230">
        <v>0</v>
      </c>
      <c r="M373" s="230">
        <v>5991.23</v>
      </c>
      <c r="N373" s="230">
        <v>7293.25</v>
      </c>
      <c r="O373" s="230">
        <v>33919.089999999997</v>
      </c>
      <c r="P373" s="230">
        <v>346942.9</v>
      </c>
      <c r="Q373" s="230">
        <v>1113.3699999999999</v>
      </c>
      <c r="R373" s="230">
        <v>-7.95</v>
      </c>
      <c r="S373" s="230">
        <v>0.7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0</v>
      </c>
      <c r="G374" s="90">
        <v>0</v>
      </c>
      <c r="H374" s="90">
        <v>0</v>
      </c>
      <c r="I374" s="90">
        <v>0</v>
      </c>
      <c r="J374" s="90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0</v>
      </c>
      <c r="Q374" s="90">
        <v>370.08</v>
      </c>
      <c r="R374" s="90">
        <v>-1.95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0</v>
      </c>
      <c r="G375" s="90">
        <v>0</v>
      </c>
      <c r="H375" s="90">
        <v>0</v>
      </c>
      <c r="I375" s="90">
        <v>0</v>
      </c>
      <c r="J375" s="90">
        <v>0</v>
      </c>
      <c r="K375" s="90">
        <v>0</v>
      </c>
      <c r="L375" s="90">
        <v>0</v>
      </c>
      <c r="M375" s="90">
        <v>0</v>
      </c>
      <c r="N375" s="90">
        <v>0</v>
      </c>
      <c r="O375" s="90">
        <v>0</v>
      </c>
      <c r="P375" s="90">
        <v>0</v>
      </c>
      <c r="Q375" s="90">
        <v>7.0000000000000007E-2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370.15</v>
      </c>
      <c r="R376" s="90">
        <v>-1.95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0</v>
      </c>
      <c r="G383" s="93">
        <v>0</v>
      </c>
      <c r="H383" s="93">
        <v>0</v>
      </c>
      <c r="I383" s="93">
        <v>0</v>
      </c>
      <c r="J383" s="93">
        <v>0</v>
      </c>
      <c r="K383" s="93">
        <v>0</v>
      </c>
      <c r="L383" s="93">
        <v>0</v>
      </c>
      <c r="M383" s="93">
        <v>0</v>
      </c>
      <c r="N383" s="93">
        <v>0</v>
      </c>
      <c r="O383" s="93">
        <v>0</v>
      </c>
      <c r="P383" s="93">
        <v>0</v>
      </c>
      <c r="Q383" s="93">
        <v>0</v>
      </c>
      <c r="R383" s="93">
        <v>0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680538.03</v>
      </c>
      <c r="G384" s="377">
        <v>147598.38</v>
      </c>
      <c r="H384" s="377">
        <v>66140.960000000006</v>
      </c>
      <c r="I384" s="377">
        <v>37291.57</v>
      </c>
      <c r="J384" s="377">
        <v>33572.080000000002</v>
      </c>
      <c r="K384" s="377">
        <v>682.45</v>
      </c>
      <c r="L384" s="377">
        <v>0</v>
      </c>
      <c r="M384" s="377">
        <v>5991.23</v>
      </c>
      <c r="N384" s="377">
        <v>7293.25</v>
      </c>
      <c r="O384" s="377">
        <v>33919.089999999997</v>
      </c>
      <c r="P384" s="377">
        <v>346942.9</v>
      </c>
      <c r="Q384" s="377">
        <v>1113.3699999999999</v>
      </c>
      <c r="R384" s="377">
        <v>-7.95</v>
      </c>
      <c r="S384" s="377">
        <v>0.7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15096517648.35</v>
      </c>
      <c r="G385" s="90">
        <v>986083820.58000004</v>
      </c>
      <c r="H385" s="90">
        <v>556264737.84000003</v>
      </c>
      <c r="I385" s="90">
        <v>292216144.64999998</v>
      </c>
      <c r="J385" s="90">
        <v>3383033480.6900001</v>
      </c>
      <c r="K385" s="90">
        <v>124575730.62</v>
      </c>
      <c r="L385" s="90">
        <v>13002955.74</v>
      </c>
      <c r="M385" s="90">
        <v>1092560714.0799999</v>
      </c>
      <c r="N385" s="90">
        <v>1073084147.96</v>
      </c>
      <c r="O385" s="90">
        <v>5079136809.4099998</v>
      </c>
      <c r="P385" s="90">
        <v>2292957176.7800002</v>
      </c>
      <c r="Q385" s="90">
        <v>203354446.13999999</v>
      </c>
      <c r="R385" s="90">
        <v>247483.86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10545941.32</v>
      </c>
      <c r="G386" s="90">
        <v>1038362.66</v>
      </c>
      <c r="H386" s="90">
        <v>533249.21</v>
      </c>
      <c r="I386" s="90">
        <v>288289.95</v>
      </c>
      <c r="J386" s="90">
        <v>1924110.4</v>
      </c>
      <c r="K386" s="90">
        <v>76933.02</v>
      </c>
      <c r="L386" s="90">
        <v>4877.3900000000003</v>
      </c>
      <c r="M386" s="90">
        <v>673575.76</v>
      </c>
      <c r="N386" s="90">
        <v>623833.91</v>
      </c>
      <c r="O386" s="90">
        <v>2833518.84</v>
      </c>
      <c r="P386" s="90">
        <v>2423341.0699999998</v>
      </c>
      <c r="Q386" s="90">
        <v>125834.39</v>
      </c>
      <c r="R386" s="90">
        <v>14.48</v>
      </c>
      <c r="S386" s="90">
        <v>-0.27</v>
      </c>
      <c r="T386">
        <v>0.51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15107063589.67</v>
      </c>
      <c r="G387" s="90">
        <v>987122183.24000001</v>
      </c>
      <c r="H387" s="90">
        <v>556797987.04999995</v>
      </c>
      <c r="I387" s="90">
        <v>292504434.60000002</v>
      </c>
      <c r="J387" s="90">
        <v>3384957591.0900002</v>
      </c>
      <c r="K387" s="90">
        <v>124652663.64</v>
      </c>
      <c r="L387" s="90">
        <v>13007833.130000001</v>
      </c>
      <c r="M387" s="90">
        <v>1093234289.8399999</v>
      </c>
      <c r="N387" s="90">
        <v>1073707981.87</v>
      </c>
      <c r="O387" s="90">
        <v>5081970328.25</v>
      </c>
      <c r="P387" s="90">
        <v>2295380517.8499999</v>
      </c>
      <c r="Q387" s="90">
        <v>203480280.53</v>
      </c>
      <c r="R387" s="90">
        <v>247498.34</v>
      </c>
      <c r="S387" s="90">
        <v>-0.27</v>
      </c>
      <c r="T387">
        <v>0.51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15107063589.67</v>
      </c>
      <c r="G388" s="230">
        <v>987122183.24000001</v>
      </c>
      <c r="H388" s="230">
        <v>556797987.04999995</v>
      </c>
      <c r="I388" s="230">
        <v>292504434.60000002</v>
      </c>
      <c r="J388" s="230">
        <v>3384957591.0900002</v>
      </c>
      <c r="K388" s="230">
        <v>124652663.64</v>
      </c>
      <c r="L388" s="230">
        <v>13007833.130000001</v>
      </c>
      <c r="M388" s="230">
        <v>1093234289.8399999</v>
      </c>
      <c r="N388" s="230">
        <v>1073707981.87</v>
      </c>
      <c r="O388" s="230">
        <v>5081970328.25</v>
      </c>
      <c r="P388" s="230">
        <v>2295380517.8499999</v>
      </c>
      <c r="Q388" s="230">
        <v>203480280.53</v>
      </c>
      <c r="R388" s="230">
        <v>247498.34</v>
      </c>
      <c r="S388" s="230">
        <v>-0.27</v>
      </c>
      <c r="T388" s="230">
        <v>0.51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40878487.189999998</v>
      </c>
      <c r="G389" s="90">
        <v>3446945.39</v>
      </c>
      <c r="H389" s="90">
        <v>1924005.87</v>
      </c>
      <c r="I389" s="90">
        <v>1015077.18</v>
      </c>
      <c r="J389" s="90">
        <v>7716071.4400000004</v>
      </c>
      <c r="K389" s="90">
        <v>227005.61</v>
      </c>
      <c r="L389" s="90">
        <v>555000</v>
      </c>
      <c r="M389" s="90">
        <v>1990701.79</v>
      </c>
      <c r="N389" s="90">
        <v>2736789.58</v>
      </c>
      <c r="O389" s="90">
        <v>12873670.359999999</v>
      </c>
      <c r="P389" s="90">
        <v>8021200.3700000001</v>
      </c>
      <c r="Q389" s="90">
        <v>372120.69</v>
      </c>
      <c r="R389" s="90">
        <v>-101.09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318692.2</v>
      </c>
      <c r="G390" s="90">
        <v>30211.23</v>
      </c>
      <c r="H390" s="90">
        <v>15701.33</v>
      </c>
      <c r="I390" s="90">
        <v>8539.9</v>
      </c>
      <c r="J390" s="90">
        <v>63724.63</v>
      </c>
      <c r="K390" s="90">
        <v>1745.16</v>
      </c>
      <c r="L390" s="90">
        <v>0</v>
      </c>
      <c r="M390" s="90">
        <v>15287.35</v>
      </c>
      <c r="N390" s="90">
        <v>19445.400000000001</v>
      </c>
      <c r="O390" s="90">
        <v>90300.09</v>
      </c>
      <c r="P390" s="90">
        <v>70877.490000000005</v>
      </c>
      <c r="Q390" s="90">
        <v>2859.23</v>
      </c>
      <c r="R390" s="90">
        <v>0.39</v>
      </c>
      <c r="S390" s="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41197179.390000001</v>
      </c>
      <c r="G391" s="90">
        <v>3477156.62</v>
      </c>
      <c r="H391" s="90">
        <v>1939707.2</v>
      </c>
      <c r="I391" s="90">
        <v>1023617.08</v>
      </c>
      <c r="J391" s="90">
        <v>7779796.0700000003</v>
      </c>
      <c r="K391" s="90">
        <v>228750.77</v>
      </c>
      <c r="L391" s="90">
        <v>555000</v>
      </c>
      <c r="M391" s="90">
        <v>2005989.14</v>
      </c>
      <c r="N391" s="90">
        <v>2756234.98</v>
      </c>
      <c r="O391" s="90">
        <v>12963970.449999999</v>
      </c>
      <c r="P391" s="90">
        <v>8092077.8600000003</v>
      </c>
      <c r="Q391" s="90">
        <v>374979.92</v>
      </c>
      <c r="R391" s="90">
        <v>-100.7</v>
      </c>
      <c r="S391" s="90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69209800.260000005</v>
      </c>
      <c r="G392" s="90">
        <v>12538530.859999999</v>
      </c>
      <c r="H392" s="90">
        <v>6965189.5899999999</v>
      </c>
      <c r="I392" s="90">
        <v>3652599.34</v>
      </c>
      <c r="J392" s="90">
        <v>4324043.1399999997</v>
      </c>
      <c r="K392" s="90">
        <v>206038.85</v>
      </c>
      <c r="L392" s="90">
        <v>214446.82</v>
      </c>
      <c r="M392" s="90">
        <v>1800327.92</v>
      </c>
      <c r="N392" s="90">
        <v>1917677.87</v>
      </c>
      <c r="O392" s="90">
        <v>8540445.0099999998</v>
      </c>
      <c r="P392" s="90">
        <v>28714805.34</v>
      </c>
      <c r="Q392" s="90">
        <v>336169.51</v>
      </c>
      <c r="R392" s="90">
        <v>-473.99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2078878.19</v>
      </c>
      <c r="G393" s="90">
        <v>322796.84000000003</v>
      </c>
      <c r="H393" s="90">
        <v>165004.04</v>
      </c>
      <c r="I393" s="90">
        <v>84856.97</v>
      </c>
      <c r="J393" s="90">
        <v>232240.7</v>
      </c>
      <c r="K393" s="90">
        <v>9929.08</v>
      </c>
      <c r="L393" s="90">
        <v>0</v>
      </c>
      <c r="M393" s="90">
        <v>86388.39</v>
      </c>
      <c r="N393" s="90">
        <v>85933.46</v>
      </c>
      <c r="O393" s="90">
        <v>322999.21999999997</v>
      </c>
      <c r="P393" s="90">
        <v>752531.93</v>
      </c>
      <c r="Q393" s="90">
        <v>16197.29</v>
      </c>
      <c r="R393" s="90">
        <v>0.93</v>
      </c>
      <c r="S393" s="90">
        <v>-0.66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71288678.450000003</v>
      </c>
      <c r="G394" s="90">
        <v>12861327.699999999</v>
      </c>
      <c r="H394" s="90">
        <v>7130193.6299999999</v>
      </c>
      <c r="I394" s="90">
        <v>3737456.31</v>
      </c>
      <c r="J394" s="90">
        <v>4556283.84</v>
      </c>
      <c r="K394" s="90">
        <v>215967.93</v>
      </c>
      <c r="L394" s="90">
        <v>214446.82</v>
      </c>
      <c r="M394" s="90">
        <v>1886716.31</v>
      </c>
      <c r="N394" s="90">
        <v>2003611.33</v>
      </c>
      <c r="O394" s="90">
        <v>8863444.2300000004</v>
      </c>
      <c r="P394" s="90">
        <v>29467337.27</v>
      </c>
      <c r="Q394" s="90">
        <v>352366.8</v>
      </c>
      <c r="R394" s="90">
        <v>-473.06</v>
      </c>
      <c r="S394" s="90">
        <v>-0.66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697315197.22000003</v>
      </c>
      <c r="G395" s="90">
        <v>147363354.47</v>
      </c>
      <c r="H395" s="90">
        <v>82950302.140000001</v>
      </c>
      <c r="I395" s="90">
        <v>43752954.450000003</v>
      </c>
      <c r="J395" s="90">
        <v>23778087.100000001</v>
      </c>
      <c r="K395" s="90">
        <v>672978.69</v>
      </c>
      <c r="L395" s="90">
        <v>528735</v>
      </c>
      <c r="M395" s="90">
        <v>5885001.1100000003</v>
      </c>
      <c r="N395" s="90">
        <v>8402534.6999999993</v>
      </c>
      <c r="O395" s="90">
        <v>39649711.490000002</v>
      </c>
      <c r="P395" s="90">
        <v>343233860.38999999</v>
      </c>
      <c r="Q395" s="90">
        <v>1098102.23</v>
      </c>
      <c r="R395" s="90">
        <v>-424.55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15792661.470000001</v>
      </c>
      <c r="G396" s="90">
        <v>3529982.76</v>
      </c>
      <c r="H396" s="90">
        <v>1952902.6</v>
      </c>
      <c r="I396" s="90">
        <v>1038005.52</v>
      </c>
      <c r="J396" s="90">
        <v>340224.1</v>
      </c>
      <c r="K396" s="90">
        <v>9325.17</v>
      </c>
      <c r="L396" s="90">
        <v>13206</v>
      </c>
      <c r="M396" s="90">
        <v>80647.009999999995</v>
      </c>
      <c r="N396" s="90">
        <v>103044.79</v>
      </c>
      <c r="O396" s="90">
        <v>469740.14</v>
      </c>
      <c r="P396" s="90">
        <v>8252253.9100000001</v>
      </c>
      <c r="Q396" s="90">
        <v>15220.52</v>
      </c>
      <c r="R396" s="90">
        <v>-5.15</v>
      </c>
      <c r="S396" s="90">
        <v>-11885.9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713107858.69000006</v>
      </c>
      <c r="G397" s="90">
        <v>150893337.22999999</v>
      </c>
      <c r="H397" s="90">
        <v>84903204.739999995</v>
      </c>
      <c r="I397" s="90">
        <v>44790959.969999999</v>
      </c>
      <c r="J397" s="90">
        <v>24118311.199999999</v>
      </c>
      <c r="K397" s="90">
        <v>682303.86</v>
      </c>
      <c r="L397" s="90">
        <v>541941</v>
      </c>
      <c r="M397" s="90">
        <v>5965648.1200000001</v>
      </c>
      <c r="N397" s="90">
        <v>8505579.4900000002</v>
      </c>
      <c r="O397" s="90">
        <v>40119451.630000003</v>
      </c>
      <c r="P397" s="90">
        <v>351486114.30000001</v>
      </c>
      <c r="Q397" s="90">
        <v>1113322.75</v>
      </c>
      <c r="R397" s="90">
        <v>-429.7</v>
      </c>
      <c r="S397" s="90">
        <v>-11885.9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825593716.52999997</v>
      </c>
      <c r="G398" s="93">
        <v>167231821.55000001</v>
      </c>
      <c r="H398" s="93">
        <v>93973105.569999993</v>
      </c>
      <c r="I398" s="93">
        <v>49552033.359999999</v>
      </c>
      <c r="J398" s="93">
        <v>36454391.109999999</v>
      </c>
      <c r="K398" s="93">
        <v>1127022.56</v>
      </c>
      <c r="L398" s="93">
        <v>1311387.82</v>
      </c>
      <c r="M398" s="93">
        <v>9858353.5700000003</v>
      </c>
      <c r="N398" s="93">
        <v>13265425.800000001</v>
      </c>
      <c r="O398" s="93">
        <v>61946866.310000002</v>
      </c>
      <c r="P398" s="93">
        <v>389045529.43000001</v>
      </c>
      <c r="Q398" s="93">
        <v>1840669.47</v>
      </c>
      <c r="R398" s="93">
        <v>-1003.46</v>
      </c>
      <c r="S398" s="93">
        <v>-11886.56</v>
      </c>
      <c r="T398" s="94">
        <v>0</v>
      </c>
      <c r="U398" s="94">
        <v>0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15932657306.200001</v>
      </c>
      <c r="G399" s="100">
        <v>1154354004.79</v>
      </c>
      <c r="H399" s="100">
        <v>650771092.62</v>
      </c>
      <c r="I399" s="100">
        <v>342056467.95999998</v>
      </c>
      <c r="J399" s="100">
        <v>3421411982.1999998</v>
      </c>
      <c r="K399" s="100">
        <v>125779686.2</v>
      </c>
      <c r="L399" s="100">
        <v>14319220.949999999</v>
      </c>
      <c r="M399" s="100">
        <v>1103092643.4100001</v>
      </c>
      <c r="N399" s="100">
        <v>1086973407.6700001</v>
      </c>
      <c r="O399" s="100">
        <v>5143917194.5600004</v>
      </c>
      <c r="P399" s="100">
        <v>2684426047.2800002</v>
      </c>
      <c r="Q399" s="100">
        <v>205320950</v>
      </c>
      <c r="R399" s="100">
        <v>246494.88</v>
      </c>
      <c r="S399" s="100">
        <v>-11886.83</v>
      </c>
      <c r="T399" s="226">
        <v>0.51</v>
      </c>
      <c r="U399" s="226">
        <v>0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15933337844.23</v>
      </c>
      <c r="G400" s="90">
        <v>1154501603.1700001</v>
      </c>
      <c r="H400" s="90">
        <v>650837233.58000004</v>
      </c>
      <c r="I400" s="90">
        <v>342093759.52999997</v>
      </c>
      <c r="J400" s="90">
        <v>3421445554.2800002</v>
      </c>
      <c r="K400" s="90">
        <v>125780368.65000001</v>
      </c>
      <c r="L400" s="90">
        <v>14319220.949999999</v>
      </c>
      <c r="M400" s="90">
        <v>1103098634.6400001</v>
      </c>
      <c r="N400" s="90">
        <v>1086980700.9200001</v>
      </c>
      <c r="O400" s="90">
        <v>5143951113.6499996</v>
      </c>
      <c r="P400" s="90">
        <v>2684772990.1799998</v>
      </c>
      <c r="Q400" s="90">
        <v>205322063.37</v>
      </c>
      <c r="R400" s="90">
        <v>246486.93</v>
      </c>
      <c r="S400" s="90">
        <v>-11886.13</v>
      </c>
      <c r="T400">
        <v>0.51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627141.97</v>
      </c>
      <c r="G401" s="90">
        <v>136851.94</v>
      </c>
      <c r="H401" s="90">
        <v>59636.73</v>
      </c>
      <c r="I401" s="90">
        <v>34221.29</v>
      </c>
      <c r="J401" s="90">
        <v>30320.48</v>
      </c>
      <c r="K401" s="90">
        <v>630.69000000000005</v>
      </c>
      <c r="L401" s="90">
        <v>0</v>
      </c>
      <c r="M401" s="90">
        <v>5532.39</v>
      </c>
      <c r="N401" s="90">
        <v>6675.34</v>
      </c>
      <c r="O401" s="90">
        <v>31361.45</v>
      </c>
      <c r="P401" s="90">
        <v>320882.65999999997</v>
      </c>
      <c r="Q401" s="90">
        <v>1029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627141.97</v>
      </c>
      <c r="G402" s="90">
        <v>136851.94</v>
      </c>
      <c r="H402" s="90">
        <v>59636.73</v>
      </c>
      <c r="I402" s="90">
        <v>34221.29</v>
      </c>
      <c r="J402" s="90">
        <v>30320.48</v>
      </c>
      <c r="K402" s="90">
        <v>630.69000000000005</v>
      </c>
      <c r="L402" s="90">
        <v>0</v>
      </c>
      <c r="M402" s="90">
        <v>5532.39</v>
      </c>
      <c r="N402" s="90">
        <v>6675.34</v>
      </c>
      <c r="O402" s="90">
        <v>31361.45</v>
      </c>
      <c r="P402" s="90">
        <v>320882.65999999997</v>
      </c>
      <c r="Q402" s="90">
        <v>1029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627141.97</v>
      </c>
      <c r="G403" s="230">
        <v>136851.94</v>
      </c>
      <c r="H403" s="230">
        <v>59636.73</v>
      </c>
      <c r="I403" s="230">
        <v>34221.29</v>
      </c>
      <c r="J403" s="230">
        <v>30320.48</v>
      </c>
      <c r="K403" s="230">
        <v>630.69000000000005</v>
      </c>
      <c r="L403" s="230">
        <v>0</v>
      </c>
      <c r="M403" s="230">
        <v>5532.39</v>
      </c>
      <c r="N403" s="230">
        <v>6675.34</v>
      </c>
      <c r="O403" s="230">
        <v>31361.45</v>
      </c>
      <c r="P403" s="230">
        <v>320882.65999999997</v>
      </c>
      <c r="Q403" s="230">
        <v>1029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0</v>
      </c>
      <c r="G404" s="90">
        <v>0</v>
      </c>
      <c r="H404" s="90">
        <v>0</v>
      </c>
      <c r="I404" s="90">
        <v>0</v>
      </c>
      <c r="J404" s="90">
        <v>0</v>
      </c>
      <c r="K404" s="90">
        <v>0</v>
      </c>
      <c r="L404" s="90">
        <v>0</v>
      </c>
      <c r="M404" s="90">
        <v>0</v>
      </c>
      <c r="N404" s="90">
        <v>0</v>
      </c>
      <c r="O404" s="90">
        <v>0</v>
      </c>
      <c r="P404" s="90">
        <v>0</v>
      </c>
      <c r="Q404" s="90">
        <v>0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0</v>
      </c>
      <c r="G405" s="90">
        <v>0</v>
      </c>
      <c r="H405" s="90">
        <v>0</v>
      </c>
      <c r="I405" s="90">
        <v>0</v>
      </c>
      <c r="J405" s="90">
        <v>0</v>
      </c>
      <c r="K405" s="90">
        <v>0</v>
      </c>
      <c r="L405" s="90">
        <v>0</v>
      </c>
      <c r="M405" s="90">
        <v>0</v>
      </c>
      <c r="N405" s="90">
        <v>0</v>
      </c>
      <c r="O405" s="90">
        <v>0</v>
      </c>
      <c r="P405" s="90">
        <v>0</v>
      </c>
      <c r="Q405" s="90">
        <v>0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0</v>
      </c>
      <c r="G410" s="93">
        <v>0</v>
      </c>
      <c r="H410" s="93">
        <v>0</v>
      </c>
      <c r="I410" s="93">
        <v>0</v>
      </c>
      <c r="J410" s="93">
        <v>0</v>
      </c>
      <c r="K410" s="93">
        <v>0</v>
      </c>
      <c r="L410" s="93">
        <v>0</v>
      </c>
      <c r="M410" s="93">
        <v>0</v>
      </c>
      <c r="N410" s="93">
        <v>0</v>
      </c>
      <c r="O410" s="93">
        <v>0</v>
      </c>
      <c r="P410" s="93">
        <v>0</v>
      </c>
      <c r="Q410" s="93">
        <v>0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627141.97</v>
      </c>
      <c r="G411" s="377">
        <v>136851.94</v>
      </c>
      <c r="H411" s="377">
        <v>59636.73</v>
      </c>
      <c r="I411" s="377">
        <v>34221.29</v>
      </c>
      <c r="J411" s="377">
        <v>30320.48</v>
      </c>
      <c r="K411" s="377">
        <v>630.69000000000005</v>
      </c>
      <c r="L411" s="377">
        <v>0</v>
      </c>
      <c r="M411" s="377">
        <v>5532.39</v>
      </c>
      <c r="N411" s="377">
        <v>6675.34</v>
      </c>
      <c r="O411" s="377">
        <v>31361.45</v>
      </c>
      <c r="P411" s="377">
        <v>320882.65999999997</v>
      </c>
      <c r="Q411" s="377">
        <v>1029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-1096861177.6700001</v>
      </c>
      <c r="G412" s="90">
        <v>177691694.13</v>
      </c>
      <c r="H412" s="90">
        <v>100212148.13</v>
      </c>
      <c r="I412" s="90">
        <v>52624447.82</v>
      </c>
      <c r="J412" s="90">
        <v>-572254890.49000001</v>
      </c>
      <c r="K412" s="90">
        <v>-20850568.850000001</v>
      </c>
      <c r="L412" s="90">
        <v>0</v>
      </c>
      <c r="M412" s="90">
        <v>-182915508.68000001</v>
      </c>
      <c r="N412" s="90">
        <v>-179688481.86000001</v>
      </c>
      <c r="O412" s="90">
        <v>-850631532.47000003</v>
      </c>
      <c r="P412" s="90">
        <v>412971085.38</v>
      </c>
      <c r="Q412" s="90">
        <v>-34019570.780000001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-1096861177.6700001</v>
      </c>
      <c r="G413" s="90">
        <v>177691694.13</v>
      </c>
      <c r="H413" s="90">
        <v>100212148.13</v>
      </c>
      <c r="I413" s="90">
        <v>52624447.82</v>
      </c>
      <c r="J413" s="90">
        <v>-572254890.49000001</v>
      </c>
      <c r="K413" s="90">
        <v>-20850568.850000001</v>
      </c>
      <c r="L413" s="90">
        <v>0</v>
      </c>
      <c r="M413" s="90">
        <v>-182915508.68000001</v>
      </c>
      <c r="N413" s="90">
        <v>-179688481.86000001</v>
      </c>
      <c r="O413" s="90">
        <v>-850631532.47000003</v>
      </c>
      <c r="P413" s="90">
        <v>412971085.38</v>
      </c>
      <c r="Q413" s="90">
        <v>-34019570.780000001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-1096861177.6700001</v>
      </c>
      <c r="G414" s="230">
        <v>177691694.13</v>
      </c>
      <c r="H414" s="230">
        <v>100212148.13</v>
      </c>
      <c r="I414" s="230">
        <v>52624447.82</v>
      </c>
      <c r="J414" s="230">
        <v>-572254890.49000001</v>
      </c>
      <c r="K414" s="230">
        <v>-20850568.850000001</v>
      </c>
      <c r="L414" s="230">
        <v>0</v>
      </c>
      <c r="M414" s="230">
        <v>-182915508.68000001</v>
      </c>
      <c r="N414" s="230">
        <v>-179688481.86000001</v>
      </c>
      <c r="O414" s="230">
        <v>-850631532.47000003</v>
      </c>
      <c r="P414" s="230">
        <v>412971085.38</v>
      </c>
      <c r="Q414" s="230">
        <v>-34019570.780000001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5881980.6100000003</v>
      </c>
      <c r="G415" s="90">
        <v>1458341.69</v>
      </c>
      <c r="H415" s="90">
        <v>821336.04</v>
      </c>
      <c r="I415" s="90">
        <v>430495.38</v>
      </c>
      <c r="J415" s="90">
        <v>-89992.43</v>
      </c>
      <c r="K415" s="90">
        <v>-1656.46</v>
      </c>
      <c r="L415" s="90">
        <v>0</v>
      </c>
      <c r="M415" s="90">
        <v>-14532.38</v>
      </c>
      <c r="N415" s="90">
        <v>-17796.23</v>
      </c>
      <c r="O415" s="90">
        <v>-85250.46</v>
      </c>
      <c r="P415" s="90">
        <v>3383738.4</v>
      </c>
      <c r="Q415" s="90">
        <v>-2702.94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5881980.6100000003</v>
      </c>
      <c r="G416" s="90">
        <v>1458341.69</v>
      </c>
      <c r="H416" s="90">
        <v>821336.04</v>
      </c>
      <c r="I416" s="90">
        <v>430495.38</v>
      </c>
      <c r="J416" s="90">
        <v>-89992.43</v>
      </c>
      <c r="K416" s="90">
        <v>-1656.46</v>
      </c>
      <c r="L416" s="90">
        <v>0</v>
      </c>
      <c r="M416" s="90">
        <v>-14532.38</v>
      </c>
      <c r="N416" s="90">
        <v>-17796.23</v>
      </c>
      <c r="O416" s="90">
        <v>-85250.46</v>
      </c>
      <c r="P416" s="90">
        <v>3383738.4</v>
      </c>
      <c r="Q416" s="90">
        <v>-2702.94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41448273.229999997</v>
      </c>
      <c r="G417" s="90">
        <v>9799067.8399999999</v>
      </c>
      <c r="H417" s="90">
        <v>5514666.5800000001</v>
      </c>
      <c r="I417" s="90">
        <v>2910510.96</v>
      </c>
      <c r="J417" s="90">
        <v>43956.11</v>
      </c>
      <c r="K417" s="90">
        <v>-3831.58</v>
      </c>
      <c r="L417" s="90">
        <v>0</v>
      </c>
      <c r="M417" s="90">
        <v>-33238.42</v>
      </c>
      <c r="N417" s="90">
        <v>51690.03</v>
      </c>
      <c r="O417" s="90">
        <v>379225.18</v>
      </c>
      <c r="P417" s="90">
        <v>22792493.52</v>
      </c>
      <c r="Q417" s="90">
        <v>-6266.99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41448273.229999997</v>
      </c>
      <c r="G418" s="90">
        <v>9799067.8399999999</v>
      </c>
      <c r="H418" s="90">
        <v>5514666.5800000001</v>
      </c>
      <c r="I418" s="90">
        <v>2910510.96</v>
      </c>
      <c r="J418" s="90">
        <v>43956.11</v>
      </c>
      <c r="K418" s="90">
        <v>-3831.58</v>
      </c>
      <c r="L418" s="90">
        <v>0</v>
      </c>
      <c r="M418" s="90">
        <v>-33238.42</v>
      </c>
      <c r="N418" s="90">
        <v>51690.03</v>
      </c>
      <c r="O418" s="90">
        <v>379225.18</v>
      </c>
      <c r="P418" s="90">
        <v>22792493.52</v>
      </c>
      <c r="Q418" s="90">
        <v>-6266.99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357418504.17000002</v>
      </c>
      <c r="G419" s="90">
        <v>82262358.890000001</v>
      </c>
      <c r="H419" s="90">
        <v>46499187.439999998</v>
      </c>
      <c r="I419" s="90">
        <v>24589080.510000002</v>
      </c>
      <c r="J419" s="90">
        <v>3357839.2</v>
      </c>
      <c r="K419" s="90">
        <v>107100.09</v>
      </c>
      <c r="L419" s="90">
        <v>0</v>
      </c>
      <c r="M419" s="90">
        <v>927675.41</v>
      </c>
      <c r="N419" s="90">
        <v>1328839.5900000001</v>
      </c>
      <c r="O419" s="90">
        <v>6237531.6299999999</v>
      </c>
      <c r="P419" s="90">
        <v>191934234.59</v>
      </c>
      <c r="Q419" s="90">
        <v>174656.82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357418504.17000002</v>
      </c>
      <c r="G420" s="90">
        <v>82262358.890000001</v>
      </c>
      <c r="H420" s="90">
        <v>46499187.439999998</v>
      </c>
      <c r="I420" s="90">
        <v>24589080.510000002</v>
      </c>
      <c r="J420" s="90">
        <v>3357839.2</v>
      </c>
      <c r="K420" s="90">
        <v>107100.09</v>
      </c>
      <c r="L420" s="90">
        <v>0</v>
      </c>
      <c r="M420" s="90">
        <v>927675.41</v>
      </c>
      <c r="N420" s="90">
        <v>1328839.5900000001</v>
      </c>
      <c r="O420" s="90">
        <v>6237531.6299999999</v>
      </c>
      <c r="P420" s="90">
        <v>191934234.59</v>
      </c>
      <c r="Q420" s="90">
        <v>174656.82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404748758.00999999</v>
      </c>
      <c r="G421" s="93">
        <v>93519768.420000002</v>
      </c>
      <c r="H421" s="93">
        <v>52835190.060000002</v>
      </c>
      <c r="I421" s="93">
        <v>27930086.850000001</v>
      </c>
      <c r="J421" s="93">
        <v>3311802.88</v>
      </c>
      <c r="K421" s="93">
        <v>101612.05</v>
      </c>
      <c r="L421" s="93">
        <v>0</v>
      </c>
      <c r="M421" s="93">
        <v>879904.61</v>
      </c>
      <c r="N421" s="93">
        <v>1362733.39</v>
      </c>
      <c r="O421" s="93">
        <v>6531506.3499999996</v>
      </c>
      <c r="P421" s="93">
        <v>218110466.50999999</v>
      </c>
      <c r="Q421" s="93">
        <v>165686.89000000001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-692112419.65999997</v>
      </c>
      <c r="G422" s="100">
        <v>271211462.55000001</v>
      </c>
      <c r="H422" s="100">
        <v>153047338.19</v>
      </c>
      <c r="I422" s="100">
        <v>80554534.670000002</v>
      </c>
      <c r="J422" s="100">
        <v>-568943087.61000001</v>
      </c>
      <c r="K422" s="100">
        <v>-20748956.800000001</v>
      </c>
      <c r="L422" s="100">
        <v>0</v>
      </c>
      <c r="M422" s="100">
        <v>-182035604.06999999</v>
      </c>
      <c r="N422" s="100">
        <v>-178325748.47</v>
      </c>
      <c r="O422" s="100">
        <v>-844100026.12</v>
      </c>
      <c r="P422" s="100">
        <v>631081551.88999999</v>
      </c>
      <c r="Q422" s="100">
        <v>-33853883.890000001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-691485277.69000006</v>
      </c>
      <c r="G423" s="90">
        <v>271348314.49000001</v>
      </c>
      <c r="H423" s="90">
        <v>153106974.91999999</v>
      </c>
      <c r="I423" s="90">
        <v>80588755.959999993</v>
      </c>
      <c r="J423" s="90">
        <v>-568912767.13</v>
      </c>
      <c r="K423" s="90">
        <v>-20748326.109999999</v>
      </c>
      <c r="L423" s="90">
        <v>0</v>
      </c>
      <c r="M423" s="90">
        <v>-182030071.68000001</v>
      </c>
      <c r="N423" s="90">
        <v>-178319073.13</v>
      </c>
      <c r="O423" s="90">
        <v>-844068664.66999996</v>
      </c>
      <c r="P423" s="90">
        <v>631402434.54999995</v>
      </c>
      <c r="Q423" s="90">
        <v>-33852854.890000001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15241836108.08</v>
      </c>
      <c r="G424" s="90">
        <v>1425848426.78</v>
      </c>
      <c r="H424" s="90">
        <v>803943575.11000001</v>
      </c>
      <c r="I424" s="90">
        <v>422682238.88999999</v>
      </c>
      <c r="J424" s="90">
        <v>2852529644.5900002</v>
      </c>
      <c r="K424" s="90">
        <v>105031913.06</v>
      </c>
      <c r="L424" s="90">
        <v>14319220.949999999</v>
      </c>
      <c r="M424" s="90">
        <v>921067427.27999997</v>
      </c>
      <c r="N424" s="90">
        <v>908660204.30999994</v>
      </c>
      <c r="O424" s="90">
        <v>4299877667.5500002</v>
      </c>
      <c r="P424" s="90">
        <v>3316172191</v>
      </c>
      <c r="Q424" s="90">
        <v>171468997.25</v>
      </c>
      <c r="R424" s="90">
        <v>246486.93</v>
      </c>
      <c r="S424" s="90">
        <v>-11886.13</v>
      </c>
      <c r="T424" s="150">
        <v>0.51</v>
      </c>
      <c r="U424" s="150">
        <v>0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9" t="s">
        <v>2</v>
      </c>
      <c r="D484" s="776" t="s">
        <v>132</v>
      </c>
      <c r="E484" s="98" t="s">
        <v>70</v>
      </c>
      <c r="F484" s="100">
        <f>F399+F422+F368-L368-L399</f>
        <v>15226209207.130001</v>
      </c>
      <c r="G484" s="100">
        <f t="shared" ref="G484:AO484" si="18">G399+G368</f>
        <v>1154352513.9099998</v>
      </c>
      <c r="H484" s="100">
        <f t="shared" si="18"/>
        <v>650770459.23000002</v>
      </c>
      <c r="I484" s="100">
        <f t="shared" si="18"/>
        <v>342056191.35999995</v>
      </c>
      <c r="J484" s="100">
        <f t="shared" si="18"/>
        <v>3421408839.6399999</v>
      </c>
      <c r="K484" s="100">
        <f t="shared" si="18"/>
        <v>125779556.72</v>
      </c>
      <c r="L484" s="100">
        <f t="shared" si="18"/>
        <v>14319220.949999999</v>
      </c>
      <c r="M484" s="100">
        <f t="shared" si="18"/>
        <v>1103091507.73</v>
      </c>
      <c r="N484" s="100">
        <f t="shared" si="18"/>
        <v>1086971984.1900001</v>
      </c>
      <c r="O484" s="100">
        <f t="shared" si="18"/>
        <v>5143912413.1300001</v>
      </c>
      <c r="P484" s="100">
        <f t="shared" si="18"/>
        <v>2684422813.5500002</v>
      </c>
      <c r="Q484" s="100">
        <f t="shared" si="18"/>
        <v>205320738.77000001</v>
      </c>
      <c r="R484" s="100">
        <f t="shared" si="18"/>
        <v>246494.88</v>
      </c>
      <c r="S484" s="100">
        <f t="shared" si="18"/>
        <v>-11886.83</v>
      </c>
      <c r="T484" s="100">
        <f t="shared" si="18"/>
        <v>0.51</v>
      </c>
      <c r="U484" s="100">
        <f t="shared" si="18"/>
        <v>0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9"/>
      <c r="D485" s="776"/>
      <c r="E485" s="98" t="s">
        <v>73</v>
      </c>
      <c r="F485" s="100">
        <f>F422</f>
        <v>-692112419.65999997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9"/>
      <c r="D486" s="776" t="s">
        <v>133</v>
      </c>
      <c r="E486" s="233" t="s">
        <v>70</v>
      </c>
      <c r="F486" s="234">
        <f>F411+F384-L384</f>
        <v>1307680</v>
      </c>
      <c r="G486" s="234">
        <f>G384</f>
        <v>147598.38</v>
      </c>
      <c r="H486" s="234">
        <f t="shared" ref="H486:AO486" si="19">H384</f>
        <v>66140.960000000006</v>
      </c>
      <c r="I486" s="234">
        <f t="shared" si="19"/>
        <v>37291.57</v>
      </c>
      <c r="J486" s="234">
        <f t="shared" si="19"/>
        <v>33572.080000000002</v>
      </c>
      <c r="K486" s="234">
        <f t="shared" si="19"/>
        <v>682.45</v>
      </c>
      <c r="L486" s="234">
        <f t="shared" si="19"/>
        <v>0</v>
      </c>
      <c r="M486" s="234">
        <f t="shared" si="19"/>
        <v>5991.23</v>
      </c>
      <c r="N486" s="234">
        <f t="shared" si="19"/>
        <v>7293.25</v>
      </c>
      <c r="O486" s="234">
        <f t="shared" si="19"/>
        <v>33919.089999999997</v>
      </c>
      <c r="P486" s="234">
        <f t="shared" si="19"/>
        <v>346942.9</v>
      </c>
      <c r="Q486" s="234">
        <f t="shared" si="19"/>
        <v>1113.3699999999999</v>
      </c>
      <c r="R486" s="234">
        <f t="shared" si="19"/>
        <v>-7.95</v>
      </c>
      <c r="S486" s="234">
        <f t="shared" si="19"/>
        <v>0.7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9"/>
      <c r="D487" s="776"/>
      <c r="E487" s="233" t="s">
        <v>73</v>
      </c>
      <c r="F487" s="234">
        <f>F411</f>
        <v>627141.97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9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9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9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9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9" t="s">
        <v>155</v>
      </c>
      <c r="D494" s="776" t="s">
        <v>132</v>
      </c>
      <c r="E494" s="221" t="s">
        <v>70</v>
      </c>
      <c r="F494" s="222">
        <f>F414+F388+F360-L360-L388</f>
        <v>13997194578.870001</v>
      </c>
      <c r="G494" s="222">
        <f t="shared" ref="G494:AO494" si="20">G388+G360</f>
        <v>987122183.24000001</v>
      </c>
      <c r="H494" s="222">
        <f t="shared" si="20"/>
        <v>556797987.04999995</v>
      </c>
      <c r="I494" s="222">
        <f t="shared" si="20"/>
        <v>292504434.60000002</v>
      </c>
      <c r="J494" s="222">
        <f t="shared" si="20"/>
        <v>3384957591.0900002</v>
      </c>
      <c r="K494" s="222">
        <f t="shared" si="20"/>
        <v>124652663.64</v>
      </c>
      <c r="L494" s="222">
        <f t="shared" si="20"/>
        <v>13007833.130000001</v>
      </c>
      <c r="M494" s="222">
        <f t="shared" si="20"/>
        <v>1093234289.8399999</v>
      </c>
      <c r="N494" s="222">
        <f t="shared" si="20"/>
        <v>1073707981.87</v>
      </c>
      <c r="O494" s="222">
        <f t="shared" si="20"/>
        <v>5081970328.25</v>
      </c>
      <c r="P494" s="222">
        <f t="shared" si="20"/>
        <v>2295380517.8499999</v>
      </c>
      <c r="Q494" s="222">
        <f t="shared" si="20"/>
        <v>203480280.53</v>
      </c>
      <c r="R494" s="222">
        <f t="shared" si="20"/>
        <v>247498.34</v>
      </c>
      <c r="S494" s="222">
        <f t="shared" si="20"/>
        <v>-0.27</v>
      </c>
      <c r="T494" s="222">
        <f t="shared" si="20"/>
        <v>0.51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9"/>
      <c r="D495" s="776"/>
      <c r="E495" s="221" t="s">
        <v>73</v>
      </c>
      <c r="F495" s="222">
        <f>F414</f>
        <v>-1096861177.6700001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9"/>
      <c r="D496" s="776" t="s">
        <v>133</v>
      </c>
      <c r="E496" s="229" t="s">
        <v>70</v>
      </c>
      <c r="F496" s="230">
        <f>F403+F373-L373</f>
        <v>1307680</v>
      </c>
      <c r="G496" s="230">
        <f>G373</f>
        <v>147598.38</v>
      </c>
      <c r="H496" s="230">
        <f t="shared" ref="H496:AO496" si="21">H373</f>
        <v>66140.960000000006</v>
      </c>
      <c r="I496" s="230">
        <f t="shared" si="21"/>
        <v>37291.57</v>
      </c>
      <c r="J496" s="230">
        <f t="shared" si="21"/>
        <v>33572.080000000002</v>
      </c>
      <c r="K496" s="230">
        <f t="shared" si="21"/>
        <v>682.45</v>
      </c>
      <c r="L496" s="230">
        <f t="shared" si="21"/>
        <v>0</v>
      </c>
      <c r="M496" s="230">
        <f t="shared" si="21"/>
        <v>5991.23</v>
      </c>
      <c r="N496" s="230">
        <f t="shared" si="21"/>
        <v>7293.25</v>
      </c>
      <c r="O496" s="230">
        <f t="shared" si="21"/>
        <v>33919.089999999997</v>
      </c>
      <c r="P496" s="230">
        <f t="shared" si="21"/>
        <v>346942.9</v>
      </c>
      <c r="Q496" s="230">
        <f t="shared" si="21"/>
        <v>1113.3699999999999</v>
      </c>
      <c r="R496" s="230">
        <f t="shared" si="21"/>
        <v>-7.95</v>
      </c>
      <c r="S496" s="230">
        <f t="shared" si="21"/>
        <v>0.7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9"/>
      <c r="D497" s="776"/>
      <c r="E497" s="229" t="s">
        <v>73</v>
      </c>
      <c r="F497" s="230">
        <f>F403</f>
        <v>627141.97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7" t="s">
        <v>325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7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7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7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9" t="s">
        <v>119</v>
      </c>
      <c r="D504" s="776" t="s">
        <v>132</v>
      </c>
      <c r="E504" s="101" t="s">
        <v>70</v>
      </c>
      <c r="F504" s="93">
        <f>F421+F398+F367-L367-L398</f>
        <v>1229014628.26</v>
      </c>
      <c r="G504" s="93">
        <f t="shared" ref="G504:AO504" si="22">G398+G367</f>
        <v>167230330.67000002</v>
      </c>
      <c r="H504" s="93">
        <f t="shared" si="22"/>
        <v>93972472.179999992</v>
      </c>
      <c r="I504" s="93">
        <f t="shared" si="22"/>
        <v>49551756.759999998</v>
      </c>
      <c r="J504" s="93">
        <f t="shared" si="22"/>
        <v>36451248.549999997</v>
      </c>
      <c r="K504" s="93">
        <f t="shared" si="22"/>
        <v>1126893.08</v>
      </c>
      <c r="L504" s="93">
        <f t="shared" si="22"/>
        <v>1311387.82</v>
      </c>
      <c r="M504" s="93">
        <f t="shared" si="22"/>
        <v>9857217.8900000006</v>
      </c>
      <c r="N504" s="93">
        <f t="shared" si="22"/>
        <v>13264002.32</v>
      </c>
      <c r="O504" s="93">
        <f t="shared" si="22"/>
        <v>61942084.880000003</v>
      </c>
      <c r="P504" s="93">
        <f t="shared" si="22"/>
        <v>389042295.69999999</v>
      </c>
      <c r="Q504" s="93">
        <f t="shared" si="22"/>
        <v>1840458.24</v>
      </c>
      <c r="R504" s="93">
        <f t="shared" si="22"/>
        <v>-1003.46</v>
      </c>
      <c r="S504" s="93">
        <f t="shared" si="22"/>
        <v>-11886.56</v>
      </c>
      <c r="T504" s="93">
        <f t="shared" si="22"/>
        <v>0</v>
      </c>
      <c r="U504" s="93">
        <f t="shared" si="22"/>
        <v>0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9"/>
      <c r="D505" s="776"/>
      <c r="E505" s="101" t="s">
        <v>73</v>
      </c>
      <c r="F505" s="93">
        <f>F421</f>
        <v>404748758.00999999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9"/>
      <c r="D506" s="776" t="s">
        <v>133</v>
      </c>
      <c r="E506" s="235" t="s">
        <v>70</v>
      </c>
      <c r="F506" s="236">
        <f>F410+F383-L383</f>
        <v>0</v>
      </c>
      <c r="G506" s="236">
        <f>G383</f>
        <v>0</v>
      </c>
      <c r="H506" s="236">
        <f t="shared" ref="H506:AO506" si="23">H383</f>
        <v>0</v>
      </c>
      <c r="I506" s="236">
        <f t="shared" si="23"/>
        <v>0</v>
      </c>
      <c r="J506" s="236">
        <f t="shared" si="23"/>
        <v>0</v>
      </c>
      <c r="K506" s="236">
        <f t="shared" si="23"/>
        <v>0</v>
      </c>
      <c r="L506" s="236">
        <f t="shared" si="23"/>
        <v>0</v>
      </c>
      <c r="M506" s="236">
        <f t="shared" si="23"/>
        <v>0</v>
      </c>
      <c r="N506" s="236">
        <f t="shared" si="23"/>
        <v>0</v>
      </c>
      <c r="O506" s="236">
        <f t="shared" si="23"/>
        <v>0</v>
      </c>
      <c r="P506" s="236">
        <f t="shared" si="23"/>
        <v>0</v>
      </c>
      <c r="Q506" s="236">
        <f t="shared" si="23"/>
        <v>0</v>
      </c>
      <c r="R506" s="236">
        <f t="shared" si="23"/>
        <v>0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9"/>
      <c r="D507" s="776"/>
      <c r="E507" s="235" t="s">
        <v>73</v>
      </c>
      <c r="F507" s="236">
        <f>F410</f>
        <v>0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8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8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8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8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-16458.46</v>
      </c>
      <c r="G514" s="460">
        <f t="shared" ref="G514:Z514" si="24">G368</f>
        <v>-1490.88</v>
      </c>
      <c r="H514" s="460">
        <f t="shared" si="24"/>
        <v>-633.39</v>
      </c>
      <c r="I514" s="460">
        <f t="shared" si="24"/>
        <v>-276.60000000000002</v>
      </c>
      <c r="J514" s="460">
        <f t="shared" si="24"/>
        <v>-3142.56</v>
      </c>
      <c r="K514" s="460">
        <f t="shared" si="24"/>
        <v>-129.47999999999999</v>
      </c>
      <c r="L514" s="460">
        <f t="shared" si="24"/>
        <v>0</v>
      </c>
      <c r="M514" s="460">
        <f t="shared" si="24"/>
        <v>-1135.68</v>
      </c>
      <c r="N514" s="460">
        <f t="shared" si="24"/>
        <v>-1423.48</v>
      </c>
      <c r="O514" s="460">
        <f t="shared" si="24"/>
        <v>-4781.43</v>
      </c>
      <c r="P514" s="460">
        <f t="shared" si="24"/>
        <v>-3233.73</v>
      </c>
      <c r="Q514" s="460">
        <f t="shared" si="24"/>
        <v>-211.23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-280784.65000000002</v>
      </c>
      <c r="G519" s="89">
        <v>-22556.67</v>
      </c>
      <c r="H519" s="89">
        <v>-9582.84</v>
      </c>
      <c r="I519" s="664">
        <v>-4184.76</v>
      </c>
      <c r="J519" s="89">
        <v>-52204.81</v>
      </c>
      <c r="K519" s="89">
        <v>-2126.02</v>
      </c>
      <c r="L519" s="89">
        <v>0</v>
      </c>
      <c r="M519" s="89">
        <v>-18648.64</v>
      </c>
      <c r="N519" s="89">
        <v>-23713.72</v>
      </c>
      <c r="O519" s="89">
        <v>-87072.87</v>
      </c>
      <c r="P519" s="89">
        <v>-57225.48</v>
      </c>
      <c r="Q519" s="89">
        <v>-3468.84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-280784.65000000002</v>
      </c>
      <c r="G520" s="89">
        <v>-22556.67</v>
      </c>
      <c r="H520" s="89">
        <v>-9582.84</v>
      </c>
      <c r="I520" s="664">
        <v>-4184.76</v>
      </c>
      <c r="J520" s="89">
        <v>-52204.81</v>
      </c>
      <c r="K520" s="89">
        <v>-2126.02</v>
      </c>
      <c r="L520" s="89">
        <v>0</v>
      </c>
      <c r="M520" s="89">
        <v>-18648.64</v>
      </c>
      <c r="N520" s="89">
        <v>-23713.72</v>
      </c>
      <c r="O520" s="89">
        <v>-87072.87</v>
      </c>
      <c r="P520" s="89">
        <v>-57225.48</v>
      </c>
      <c r="Q520" s="89">
        <v>-3468.84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-280784.65000000002</v>
      </c>
      <c r="G521" s="657">
        <v>-22556.67</v>
      </c>
      <c r="H521" s="657">
        <v>-9582.84</v>
      </c>
      <c r="I521" s="737">
        <v>-4184.76</v>
      </c>
      <c r="J521" s="657">
        <v>-52204.81</v>
      </c>
      <c r="K521" s="657">
        <v>-2126.02</v>
      </c>
      <c r="L521" s="657">
        <v>0</v>
      </c>
      <c r="M521" s="657">
        <v>-18648.64</v>
      </c>
      <c r="N521" s="657">
        <v>-23713.72</v>
      </c>
      <c r="O521" s="657">
        <v>-87072.87</v>
      </c>
      <c r="P521" s="657">
        <v>-57225.48</v>
      </c>
      <c r="Q521" s="657">
        <v>-3468.84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-159171.87</v>
      </c>
      <c r="G539" s="90">
        <v>-12887.74</v>
      </c>
      <c r="H539" s="90">
        <v>-5475.2</v>
      </c>
      <c r="I539" s="90">
        <v>-2390.9699999999998</v>
      </c>
      <c r="J539" s="90">
        <v>-29437.37</v>
      </c>
      <c r="K539" s="90">
        <v>-1198.82</v>
      </c>
      <c r="L539" s="90">
        <v>0</v>
      </c>
      <c r="M539" s="90">
        <v>-10515.66</v>
      </c>
      <c r="N539" s="90">
        <v>-13371.77</v>
      </c>
      <c r="O539" s="90">
        <v>-49098.82</v>
      </c>
      <c r="P539" s="90">
        <v>-32839.51</v>
      </c>
      <c r="Q539" s="90">
        <v>-1956.01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-159171.87</v>
      </c>
      <c r="G540" s="90">
        <v>-12887.74</v>
      </c>
      <c r="H540" s="90">
        <v>-5475.2</v>
      </c>
      <c r="I540" s="90">
        <v>-2390.9699999999998</v>
      </c>
      <c r="J540" s="90">
        <v>-29437.37</v>
      </c>
      <c r="K540" s="90">
        <v>-1198.82</v>
      </c>
      <c r="L540" s="90">
        <v>0</v>
      </c>
      <c r="M540" s="90">
        <v>-10515.66</v>
      </c>
      <c r="N540" s="90">
        <v>-13371.77</v>
      </c>
      <c r="O540" s="90">
        <v>-49098.82</v>
      </c>
      <c r="P540" s="90">
        <v>-32839.51</v>
      </c>
      <c r="Q540" s="90">
        <v>-1956.01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-159171.87</v>
      </c>
      <c r="G543" s="93">
        <v>-12887.74</v>
      </c>
      <c r="H543" s="93">
        <v>-5475.2</v>
      </c>
      <c r="I543" s="93">
        <v>-2390.9699999999998</v>
      </c>
      <c r="J543" s="93">
        <v>-29437.37</v>
      </c>
      <c r="K543" s="93">
        <v>-1198.82</v>
      </c>
      <c r="L543" s="93">
        <v>0</v>
      </c>
      <c r="M543" s="93">
        <v>-10515.66</v>
      </c>
      <c r="N543" s="93">
        <v>-13371.77</v>
      </c>
      <c r="O543" s="93">
        <v>-49098.82</v>
      </c>
      <c r="P543" s="93">
        <v>-32839.51</v>
      </c>
      <c r="Q543" s="93">
        <v>-1956.01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-439956.52</v>
      </c>
      <c r="G544" s="90">
        <v>-35444.410000000003</v>
      </c>
      <c r="H544" s="90">
        <v>-15058.04</v>
      </c>
      <c r="I544" s="90">
        <v>-6575.73</v>
      </c>
      <c r="J544" s="90">
        <v>-81642.179999999993</v>
      </c>
      <c r="K544" s="90">
        <v>-3324.84</v>
      </c>
      <c r="L544" s="90">
        <v>0</v>
      </c>
      <c r="M544" s="90">
        <v>-29164.3</v>
      </c>
      <c r="N544" s="90">
        <v>-37085.49</v>
      </c>
      <c r="O544" s="90">
        <v>-136171.69</v>
      </c>
      <c r="P544" s="90">
        <v>-90064.99</v>
      </c>
      <c r="Q544" s="90">
        <v>-5424.85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-439956.52</v>
      </c>
      <c r="G545" s="460">
        <v>-35444.410000000003</v>
      </c>
      <c r="H545" s="460">
        <v>-15058.04</v>
      </c>
      <c r="I545" s="460">
        <v>-6575.73</v>
      </c>
      <c r="J545" s="460">
        <v>-81642.179999999993</v>
      </c>
      <c r="K545" s="460">
        <v>-3324.84</v>
      </c>
      <c r="L545" s="460">
        <v>0</v>
      </c>
      <c r="M545" s="460">
        <v>-29164.3</v>
      </c>
      <c r="N545" s="460">
        <v>-37085.49</v>
      </c>
      <c r="O545" s="460">
        <v>-136171.69</v>
      </c>
      <c r="P545" s="460">
        <v>-90064.99</v>
      </c>
      <c r="Q545" s="460">
        <v>-5424.85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3729263.65</v>
      </c>
      <c r="G546" s="90">
        <v>250278.18</v>
      </c>
      <c r="H546" s="90">
        <v>140595.42000000001</v>
      </c>
      <c r="I546" s="90">
        <v>76572.039999999994</v>
      </c>
      <c r="J546" s="90">
        <v>773694.76</v>
      </c>
      <c r="K546" s="90">
        <v>25330.799999999999</v>
      </c>
      <c r="L546" s="90">
        <v>0</v>
      </c>
      <c r="M546" s="90">
        <v>222200.58</v>
      </c>
      <c r="N546" s="90">
        <v>246950.82</v>
      </c>
      <c r="O546" s="90">
        <v>1283227.56</v>
      </c>
      <c r="P546" s="90">
        <v>667208.65</v>
      </c>
      <c r="Q546" s="90">
        <v>43201.16</v>
      </c>
      <c r="R546" s="90">
        <v>3.68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107021.42</v>
      </c>
      <c r="G547" s="90">
        <v>6984.57</v>
      </c>
      <c r="H547" s="90">
        <v>3522.1</v>
      </c>
      <c r="I547" s="90">
        <v>1746.51</v>
      </c>
      <c r="J547" s="90">
        <v>23447.8</v>
      </c>
      <c r="K547" s="90">
        <v>972.85</v>
      </c>
      <c r="L547" s="90">
        <v>0</v>
      </c>
      <c r="M547" s="90">
        <v>8540.6200000000008</v>
      </c>
      <c r="N547" s="90">
        <v>10602.78</v>
      </c>
      <c r="O547" s="90">
        <v>33967.61</v>
      </c>
      <c r="P547" s="90">
        <v>15735.59</v>
      </c>
      <c r="Q547" s="90">
        <v>1588.7</v>
      </c>
      <c r="R547" s="90">
        <v>1.03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-88.74</v>
      </c>
    </row>
    <row r="548" spans="1:26" ht="12.75" customHeight="1" x14ac:dyDescent="0.25">
      <c r="D548" t="s">
        <v>156</v>
      </c>
      <c r="E548" s="89" t="s">
        <v>70</v>
      </c>
      <c r="F548" s="90">
        <v>3836285.07</v>
      </c>
      <c r="G548" s="90">
        <v>257262.75</v>
      </c>
      <c r="H548" s="90">
        <v>144117.51999999999</v>
      </c>
      <c r="I548" s="90">
        <v>78318.55</v>
      </c>
      <c r="J548" s="90">
        <v>797142.56</v>
      </c>
      <c r="K548" s="90">
        <v>26303.65</v>
      </c>
      <c r="L548" s="90">
        <v>0</v>
      </c>
      <c r="M548" s="90">
        <v>230741.2</v>
      </c>
      <c r="N548" s="90">
        <v>257553.6</v>
      </c>
      <c r="O548" s="90">
        <v>1317195.17</v>
      </c>
      <c r="P548" s="90">
        <v>682944.24</v>
      </c>
      <c r="Q548" s="90">
        <v>44789.86</v>
      </c>
      <c r="R548" s="90">
        <v>4.71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-88.74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3836285.07</v>
      </c>
      <c r="G549" s="658">
        <v>257262.75</v>
      </c>
      <c r="H549" s="658">
        <v>144117.51999999999</v>
      </c>
      <c r="I549" s="658">
        <v>78318.55</v>
      </c>
      <c r="J549" s="658">
        <v>797142.56</v>
      </c>
      <c r="K549" s="658">
        <v>26303.65</v>
      </c>
      <c r="L549" s="658">
        <v>0</v>
      </c>
      <c r="M549" s="658">
        <v>230741.2</v>
      </c>
      <c r="N549" s="658">
        <v>257553.6</v>
      </c>
      <c r="O549" s="658">
        <v>1317195.17</v>
      </c>
      <c r="P549" s="658">
        <v>682944.24</v>
      </c>
      <c r="Q549" s="658">
        <v>44789.86</v>
      </c>
      <c r="R549" s="658">
        <v>4.71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-88.74</v>
      </c>
    </row>
    <row r="550" spans="1:26" ht="12.75" customHeight="1" x14ac:dyDescent="0.25">
      <c r="D550" s="89"/>
      <c r="E550" s="89" t="s">
        <v>72</v>
      </c>
      <c r="F550" s="371">
        <v>41900</v>
      </c>
      <c r="G550" s="90">
        <v>2593.4699999999998</v>
      </c>
      <c r="H550" s="90">
        <v>1464.28</v>
      </c>
      <c r="I550" s="90">
        <v>768.54</v>
      </c>
      <c r="J550" s="90">
        <v>8475</v>
      </c>
      <c r="K550" s="90">
        <v>336.82</v>
      </c>
      <c r="L550" s="90">
        <v>0</v>
      </c>
      <c r="M550" s="90">
        <v>2954.55</v>
      </c>
      <c r="N550" s="90">
        <v>2903.79</v>
      </c>
      <c r="O550" s="90">
        <v>14989.18</v>
      </c>
      <c r="P550" s="90">
        <v>6864.83</v>
      </c>
      <c r="Q550" s="90">
        <v>549.54</v>
      </c>
      <c r="R550" s="90">
        <v>0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41900</v>
      </c>
      <c r="G552" s="90">
        <v>2593.4699999999998</v>
      </c>
      <c r="H552" s="90">
        <v>1464.28</v>
      </c>
      <c r="I552" s="90">
        <v>768.54</v>
      </c>
      <c r="J552" s="90">
        <v>8475</v>
      </c>
      <c r="K552" s="90">
        <v>336.82</v>
      </c>
      <c r="L552" s="90">
        <v>0</v>
      </c>
      <c r="M552" s="90">
        <v>2954.55</v>
      </c>
      <c r="N552" s="90">
        <v>2903.79</v>
      </c>
      <c r="O552" s="90">
        <v>14989.18</v>
      </c>
      <c r="P552" s="90">
        <v>6864.83</v>
      </c>
      <c r="Q552" s="90">
        <v>549.54</v>
      </c>
      <c r="R552" s="90">
        <v>0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0</v>
      </c>
      <c r="G553" s="90">
        <v>0</v>
      </c>
      <c r="H553" s="90">
        <v>0</v>
      </c>
      <c r="I553" s="90">
        <v>0</v>
      </c>
      <c r="J553" s="90">
        <v>0</v>
      </c>
      <c r="K553" s="90">
        <v>0</v>
      </c>
      <c r="L553" s="90">
        <v>0</v>
      </c>
      <c r="M553" s="90">
        <v>0</v>
      </c>
      <c r="N553" s="90">
        <v>0</v>
      </c>
      <c r="O553" s="90">
        <v>0</v>
      </c>
      <c r="P553" s="90">
        <v>0</v>
      </c>
      <c r="Q553" s="90">
        <v>0</v>
      </c>
      <c r="R553" s="90">
        <v>0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0</v>
      </c>
      <c r="G554" s="90">
        <v>0</v>
      </c>
      <c r="H554" s="90">
        <v>0</v>
      </c>
      <c r="I554" s="90">
        <v>0</v>
      </c>
      <c r="J554" s="90">
        <v>0</v>
      </c>
      <c r="K554" s="90">
        <v>0</v>
      </c>
      <c r="L554" s="90">
        <v>0</v>
      </c>
      <c r="M554" s="90">
        <v>0</v>
      </c>
      <c r="N554" s="90">
        <v>0</v>
      </c>
      <c r="O554" s="90">
        <v>0</v>
      </c>
      <c r="P554" s="90">
        <v>0</v>
      </c>
      <c r="Q554" s="90">
        <v>0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0</v>
      </c>
      <c r="G555" s="90">
        <v>0</v>
      </c>
      <c r="H555" s="90">
        <v>0</v>
      </c>
      <c r="I555" s="90">
        <v>0</v>
      </c>
      <c r="J555" s="90">
        <v>0</v>
      </c>
      <c r="K555" s="90">
        <v>0</v>
      </c>
      <c r="L555" s="90">
        <v>0</v>
      </c>
      <c r="M555" s="90">
        <v>0</v>
      </c>
      <c r="N555" s="90">
        <v>0</v>
      </c>
      <c r="O555" s="90">
        <v>0</v>
      </c>
      <c r="P555" s="90">
        <v>0</v>
      </c>
      <c r="Q555" s="90">
        <v>0</v>
      </c>
      <c r="R555" s="90">
        <v>0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0</v>
      </c>
      <c r="G562" s="90">
        <v>0</v>
      </c>
      <c r="H562" s="90">
        <v>0</v>
      </c>
      <c r="I562" s="90">
        <v>0</v>
      </c>
      <c r="J562" s="90">
        <v>0</v>
      </c>
      <c r="K562" s="90">
        <v>0</v>
      </c>
      <c r="L562" s="90">
        <v>0</v>
      </c>
      <c r="M562" s="90">
        <v>0</v>
      </c>
      <c r="N562" s="90">
        <v>0</v>
      </c>
      <c r="O562" s="90">
        <v>0</v>
      </c>
      <c r="P562" s="90">
        <v>0</v>
      </c>
      <c r="Q562" s="90">
        <v>0</v>
      </c>
      <c r="R562" s="90">
        <v>0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0</v>
      </c>
      <c r="G563" s="90">
        <v>0</v>
      </c>
      <c r="H563" s="90">
        <v>0</v>
      </c>
      <c r="I563" s="90">
        <v>0</v>
      </c>
      <c r="J563" s="90">
        <v>0</v>
      </c>
      <c r="K563" s="90">
        <v>0</v>
      </c>
      <c r="L563" s="90">
        <v>0</v>
      </c>
      <c r="M563" s="90">
        <v>0</v>
      </c>
      <c r="N563" s="90">
        <v>0</v>
      </c>
      <c r="O563" s="90">
        <v>0</v>
      </c>
      <c r="P563" s="90">
        <v>0</v>
      </c>
      <c r="Q563" s="90">
        <v>0</v>
      </c>
      <c r="R563" s="90">
        <v>0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0</v>
      </c>
      <c r="G564" s="90">
        <v>0</v>
      </c>
      <c r="H564" s="90">
        <v>0</v>
      </c>
      <c r="I564" s="90">
        <v>0</v>
      </c>
      <c r="J564" s="90">
        <v>0</v>
      </c>
      <c r="K564" s="90">
        <v>0</v>
      </c>
      <c r="L564" s="90">
        <v>0</v>
      </c>
      <c r="M564" s="90">
        <v>0</v>
      </c>
      <c r="N564" s="90">
        <v>0</v>
      </c>
      <c r="O564" s="90">
        <v>0</v>
      </c>
      <c r="P564" s="90">
        <v>0</v>
      </c>
      <c r="Q564" s="90">
        <v>0</v>
      </c>
      <c r="R564" s="90">
        <v>0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41900</v>
      </c>
      <c r="G571" s="225">
        <v>2593.4699999999998</v>
      </c>
      <c r="H571" s="225">
        <v>1464.28</v>
      </c>
      <c r="I571" s="225">
        <v>768.54</v>
      </c>
      <c r="J571" s="225">
        <v>8475</v>
      </c>
      <c r="K571" s="225">
        <v>336.82</v>
      </c>
      <c r="L571" s="225">
        <v>0</v>
      </c>
      <c r="M571" s="225">
        <v>2954.55</v>
      </c>
      <c r="N571" s="225">
        <v>2903.79</v>
      </c>
      <c r="O571" s="225">
        <v>14989.18</v>
      </c>
      <c r="P571" s="225">
        <v>6864.83</v>
      </c>
      <c r="Q571" s="225">
        <v>549.54</v>
      </c>
      <c r="R571" s="225">
        <v>0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724954.55</v>
      </c>
      <c r="G575" s="90">
        <v>51580.59</v>
      </c>
      <c r="H575" s="90">
        <v>29162.67</v>
      </c>
      <c r="I575" s="90">
        <v>15465.11</v>
      </c>
      <c r="J575" s="90">
        <v>165856.16</v>
      </c>
      <c r="K575" s="90">
        <v>4891.8999999999996</v>
      </c>
      <c r="L575" s="90">
        <v>0</v>
      </c>
      <c r="M575" s="90">
        <v>46423.44</v>
      </c>
      <c r="N575" s="90">
        <v>49444.99</v>
      </c>
      <c r="O575" s="90">
        <v>213489.65</v>
      </c>
      <c r="P575" s="90">
        <v>140652.25</v>
      </c>
      <c r="Q575" s="90">
        <v>7981.52</v>
      </c>
      <c r="R575" s="90">
        <v>6.27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-2564.46</v>
      </c>
      <c r="G576" s="90">
        <v>1.25</v>
      </c>
      <c r="H576" s="90">
        <v>0.72</v>
      </c>
      <c r="I576" s="90">
        <v>0.37</v>
      </c>
      <c r="J576" s="90">
        <v>2.2200000000000002</v>
      </c>
      <c r="K576" s="90">
        <v>0.15</v>
      </c>
      <c r="L576" s="90">
        <v>0</v>
      </c>
      <c r="M576" s="90">
        <v>1.27</v>
      </c>
      <c r="N576" s="90">
        <v>1.25</v>
      </c>
      <c r="O576" s="90">
        <v>-2575.25</v>
      </c>
      <c r="P576" s="90">
        <v>3.32</v>
      </c>
      <c r="Q576" s="90">
        <v>0.24</v>
      </c>
      <c r="R576" s="90">
        <v>0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722390.09</v>
      </c>
      <c r="G577" s="90">
        <v>51581.84</v>
      </c>
      <c r="H577" s="90">
        <v>29163.39</v>
      </c>
      <c r="I577" s="90">
        <v>15465.48</v>
      </c>
      <c r="J577" s="90">
        <v>165858.38</v>
      </c>
      <c r="K577" s="90">
        <v>4892.05</v>
      </c>
      <c r="L577" s="90">
        <v>0</v>
      </c>
      <c r="M577" s="90">
        <v>46424.71</v>
      </c>
      <c r="N577" s="90">
        <v>49446.239999999998</v>
      </c>
      <c r="O577" s="90">
        <v>210914.4</v>
      </c>
      <c r="P577" s="90">
        <v>140655.57</v>
      </c>
      <c r="Q577" s="90">
        <v>7981.76</v>
      </c>
      <c r="R577" s="90">
        <v>6.27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722390.09</v>
      </c>
      <c r="G581" s="93">
        <v>51581.84</v>
      </c>
      <c r="H581" s="93">
        <v>29163.39</v>
      </c>
      <c r="I581" s="93">
        <v>15465.48</v>
      </c>
      <c r="J581" s="93">
        <v>165858.38</v>
      </c>
      <c r="K581" s="93">
        <v>4892.05</v>
      </c>
      <c r="L581" s="93">
        <v>0</v>
      </c>
      <c r="M581" s="93">
        <v>46424.71</v>
      </c>
      <c r="N581" s="93">
        <v>49446.239999999998</v>
      </c>
      <c r="O581" s="93">
        <v>210914.4</v>
      </c>
      <c r="P581" s="93">
        <v>140655.57</v>
      </c>
      <c r="Q581" s="93">
        <v>7981.76</v>
      </c>
      <c r="R581" s="93">
        <v>6.27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4600575.16</v>
      </c>
      <c r="G582" s="377">
        <v>311438.06</v>
      </c>
      <c r="H582" s="377">
        <v>174745.19</v>
      </c>
      <c r="I582" s="377">
        <v>94552.57</v>
      </c>
      <c r="J582" s="377">
        <v>971475.94</v>
      </c>
      <c r="K582" s="377">
        <v>31532.52</v>
      </c>
      <c r="L582" s="377">
        <v>0</v>
      </c>
      <c r="M582" s="377">
        <v>280120.46000000002</v>
      </c>
      <c r="N582" s="377">
        <v>309903.63</v>
      </c>
      <c r="O582" s="377">
        <v>1543098.75</v>
      </c>
      <c r="P582" s="377">
        <v>830464.64</v>
      </c>
      <c r="Q582" s="377">
        <v>53321.16</v>
      </c>
      <c r="R582" s="377">
        <v>10.98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-88.74</v>
      </c>
    </row>
    <row r="583" spans="2:26" ht="12.75" customHeight="1" x14ac:dyDescent="0.25">
      <c r="E583" s="89" t="s">
        <v>72</v>
      </c>
      <c r="F583" s="90">
        <v>7194058961.6599998</v>
      </c>
      <c r="G583" s="90">
        <v>402608765.89999998</v>
      </c>
      <c r="H583" s="90">
        <v>225742966.46000001</v>
      </c>
      <c r="I583" s="90">
        <v>118610711.23999999</v>
      </c>
      <c r="J583" s="90">
        <v>1517323419.8900001</v>
      </c>
      <c r="K583" s="90">
        <v>59618340.229999997</v>
      </c>
      <c r="L583" s="90">
        <v>19205690.579999998</v>
      </c>
      <c r="M583" s="90">
        <v>521948830.88999999</v>
      </c>
      <c r="N583" s="90">
        <v>515744857.08999997</v>
      </c>
      <c r="O583" s="90">
        <v>2650384910.21</v>
      </c>
      <c r="P583" s="90">
        <v>1065418621.53</v>
      </c>
      <c r="Q583" s="90">
        <v>97483095.069999993</v>
      </c>
      <c r="R583" s="90">
        <v>-31247.43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44029984.259999998</v>
      </c>
      <c r="G584" s="90">
        <v>5558443.2599999998</v>
      </c>
      <c r="H584" s="90">
        <v>2499011.4700000002</v>
      </c>
      <c r="I584" s="90">
        <v>975568.45</v>
      </c>
      <c r="J584" s="90">
        <v>7323304.4000000004</v>
      </c>
      <c r="K584" s="90">
        <v>281514.84000000003</v>
      </c>
      <c r="L584" s="90">
        <v>3196.95</v>
      </c>
      <c r="M584" s="90">
        <v>2467651.7999999998</v>
      </c>
      <c r="N584" s="90">
        <v>2968352.29</v>
      </c>
      <c r="O584" s="90">
        <v>6873310.4000000004</v>
      </c>
      <c r="P584" s="90">
        <v>14605987.130000001</v>
      </c>
      <c r="Q584" s="90">
        <v>459571.29</v>
      </c>
      <c r="R584" s="90">
        <v>14431.48</v>
      </c>
      <c r="S584" s="90">
        <v>0.02</v>
      </c>
      <c r="T584">
        <v>4.0599999999999996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-363.58</v>
      </c>
    </row>
    <row r="585" spans="2:26" ht="12.75" customHeight="1" x14ac:dyDescent="0.25">
      <c r="D585" t="s">
        <v>156</v>
      </c>
      <c r="E585" s="89" t="s">
        <v>70</v>
      </c>
      <c r="F585" s="90">
        <v>7238088945.9200001</v>
      </c>
      <c r="G585" s="90">
        <v>408167209.16000003</v>
      </c>
      <c r="H585" s="90">
        <v>228241977.93000001</v>
      </c>
      <c r="I585" s="90">
        <v>119586279.69</v>
      </c>
      <c r="J585" s="90">
        <v>1524646724.29</v>
      </c>
      <c r="K585" s="90">
        <v>59899855.07</v>
      </c>
      <c r="L585" s="90">
        <v>19208887.530000001</v>
      </c>
      <c r="M585" s="90">
        <v>524416482.69</v>
      </c>
      <c r="N585" s="90">
        <v>518713209.38</v>
      </c>
      <c r="O585" s="90">
        <v>2657258220.6100001</v>
      </c>
      <c r="P585" s="90">
        <v>1080024608.6600001</v>
      </c>
      <c r="Q585" s="90">
        <v>97942666.359999999</v>
      </c>
      <c r="R585" s="90">
        <v>-16815.95</v>
      </c>
      <c r="S585" s="90">
        <v>0.02</v>
      </c>
      <c r="T585">
        <v>4.0599999999999996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-363.58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7238088945.9200001</v>
      </c>
      <c r="G586" s="658">
        <v>408167209.16000003</v>
      </c>
      <c r="H586" s="658">
        <v>228241977.93000001</v>
      </c>
      <c r="I586" s="658">
        <v>119586279.69</v>
      </c>
      <c r="J586" s="658">
        <v>1524646724.29</v>
      </c>
      <c r="K586" s="658">
        <v>59899855.07</v>
      </c>
      <c r="L586" s="658">
        <v>19208887.530000001</v>
      </c>
      <c r="M586" s="658">
        <v>524416482.69</v>
      </c>
      <c r="N586" s="658">
        <v>518713209.38</v>
      </c>
      <c r="O586" s="658">
        <v>2657258220.6100001</v>
      </c>
      <c r="P586" s="658">
        <v>1080024608.6600001</v>
      </c>
      <c r="Q586" s="658">
        <v>97942666.359999999</v>
      </c>
      <c r="R586" s="658">
        <v>-16815.95</v>
      </c>
      <c r="S586" s="658">
        <v>0.02</v>
      </c>
      <c r="T586" s="656">
        <v>4.0599999999999996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-363.58</v>
      </c>
    </row>
    <row r="587" spans="2:26" ht="12.75" customHeight="1" x14ac:dyDescent="0.25">
      <c r="D587" s="89"/>
      <c r="E587" s="89" t="s">
        <v>72</v>
      </c>
      <c r="F587" s="371">
        <v>1922958</v>
      </c>
      <c r="G587" s="90">
        <v>159319.16</v>
      </c>
      <c r="H587" s="90">
        <v>77548.72</v>
      </c>
      <c r="I587" s="90">
        <v>42986.6</v>
      </c>
      <c r="J587" s="90">
        <v>351264.11</v>
      </c>
      <c r="K587" s="90">
        <v>11893.99</v>
      </c>
      <c r="L587" s="90">
        <v>0</v>
      </c>
      <c r="M587" s="90">
        <v>104494.99</v>
      </c>
      <c r="N587" s="90">
        <v>120498.04</v>
      </c>
      <c r="O587" s="90">
        <v>609717.11</v>
      </c>
      <c r="P587" s="90">
        <v>425799.3</v>
      </c>
      <c r="Q587" s="90">
        <v>19451.580000000002</v>
      </c>
      <c r="R587" s="90">
        <v>-15.6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31695.39</v>
      </c>
      <c r="G588" s="90">
        <v>2440.0500000000002</v>
      </c>
      <c r="H588" s="90">
        <v>1077.78</v>
      </c>
      <c r="I588" s="90">
        <v>590.11</v>
      </c>
      <c r="J588" s="90">
        <v>5061.17</v>
      </c>
      <c r="K588" s="90">
        <v>200.49</v>
      </c>
      <c r="L588" s="90">
        <v>0</v>
      </c>
      <c r="M588" s="90">
        <v>1825.33</v>
      </c>
      <c r="N588" s="90">
        <v>2262.81</v>
      </c>
      <c r="O588" s="90">
        <v>11418.11</v>
      </c>
      <c r="P588" s="90">
        <v>6482.7</v>
      </c>
      <c r="Q588" s="90">
        <v>336.81</v>
      </c>
      <c r="R588" s="90">
        <v>0.03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1954653.39</v>
      </c>
      <c r="G589" s="90">
        <v>161759.21</v>
      </c>
      <c r="H589" s="90">
        <v>78626.5</v>
      </c>
      <c r="I589" s="90">
        <v>43576.71</v>
      </c>
      <c r="J589" s="90">
        <v>356325.28</v>
      </c>
      <c r="K589" s="90">
        <v>12094.48</v>
      </c>
      <c r="L589" s="90">
        <v>0</v>
      </c>
      <c r="M589" s="90">
        <v>106320.32000000001</v>
      </c>
      <c r="N589" s="90">
        <v>122760.85</v>
      </c>
      <c r="O589" s="90">
        <v>621135.22</v>
      </c>
      <c r="P589" s="90">
        <v>432282</v>
      </c>
      <c r="Q589" s="90">
        <v>19788.39</v>
      </c>
      <c r="R589" s="90">
        <v>-15.57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74289.789999999994</v>
      </c>
      <c r="G590" s="90">
        <v>4022.86</v>
      </c>
      <c r="H590" s="90">
        <v>1850.83</v>
      </c>
      <c r="I590" s="90">
        <v>1005.97</v>
      </c>
      <c r="J590" s="90">
        <v>19690.830000000002</v>
      </c>
      <c r="K590" s="90">
        <v>487.51</v>
      </c>
      <c r="L590" s="90">
        <v>0</v>
      </c>
      <c r="M590" s="90">
        <v>4276.5</v>
      </c>
      <c r="N590" s="90">
        <v>5295.45</v>
      </c>
      <c r="O590" s="90">
        <v>25967.599999999999</v>
      </c>
      <c r="P590" s="90">
        <v>10897.84</v>
      </c>
      <c r="Q590" s="90">
        <v>795.43</v>
      </c>
      <c r="R590" s="90">
        <v>-1.03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326.05</v>
      </c>
      <c r="G591" s="90">
        <v>31.66</v>
      </c>
      <c r="H591" s="90">
        <v>16.84</v>
      </c>
      <c r="I591" s="90">
        <v>9.14</v>
      </c>
      <c r="J591" s="90">
        <v>155.9</v>
      </c>
      <c r="K591" s="90">
        <v>5.0599999999999996</v>
      </c>
      <c r="L591" s="90">
        <v>0</v>
      </c>
      <c r="M591" s="90">
        <v>44.21</v>
      </c>
      <c r="N591" s="90">
        <v>46.71</v>
      </c>
      <c r="O591" s="90">
        <v>-76.52</v>
      </c>
      <c r="P591" s="90">
        <v>84.83</v>
      </c>
      <c r="Q591" s="90">
        <v>8.2100000000000009</v>
      </c>
      <c r="R591" s="90">
        <v>0.01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74615.839999999997</v>
      </c>
      <c r="G592" s="90">
        <v>4054.52</v>
      </c>
      <c r="H592" s="90">
        <v>1867.67</v>
      </c>
      <c r="I592" s="90">
        <v>1015.11</v>
      </c>
      <c r="J592" s="90">
        <v>19846.73</v>
      </c>
      <c r="K592" s="90">
        <v>492.57</v>
      </c>
      <c r="L592" s="90">
        <v>0</v>
      </c>
      <c r="M592" s="90">
        <v>4320.71</v>
      </c>
      <c r="N592" s="90">
        <v>5342.16</v>
      </c>
      <c r="O592" s="90">
        <v>25891.08</v>
      </c>
      <c r="P592" s="90">
        <v>10982.67</v>
      </c>
      <c r="Q592" s="90">
        <v>803.64</v>
      </c>
      <c r="R592" s="90">
        <v>-1.02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3331549.61</v>
      </c>
      <c r="G599" s="90">
        <v>182192.21</v>
      </c>
      <c r="H599" s="90">
        <v>102153.37</v>
      </c>
      <c r="I599" s="90">
        <v>54175.39</v>
      </c>
      <c r="J599" s="90">
        <v>745643.89</v>
      </c>
      <c r="K599" s="90">
        <v>26606.11</v>
      </c>
      <c r="L599" s="90">
        <v>0</v>
      </c>
      <c r="M599" s="90">
        <v>233387.39</v>
      </c>
      <c r="N599" s="90">
        <v>238637.89</v>
      </c>
      <c r="O599" s="90">
        <v>1220767.3899999999</v>
      </c>
      <c r="P599" s="90">
        <v>484597.6</v>
      </c>
      <c r="Q599" s="90">
        <v>43409.91</v>
      </c>
      <c r="R599" s="90">
        <v>-21.54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-6870.16</v>
      </c>
      <c r="G600" s="90">
        <v>20.28</v>
      </c>
      <c r="H600" s="90">
        <v>11.42</v>
      </c>
      <c r="I600" s="90">
        <v>6.22</v>
      </c>
      <c r="J600" s="90">
        <v>95.64</v>
      </c>
      <c r="K600" s="90">
        <v>2.91</v>
      </c>
      <c r="L600" s="90">
        <v>0</v>
      </c>
      <c r="M600" s="90">
        <v>25.68</v>
      </c>
      <c r="N600" s="90">
        <v>29.91</v>
      </c>
      <c r="O600" s="90">
        <v>-7121.32</v>
      </c>
      <c r="P600" s="90">
        <v>54.28</v>
      </c>
      <c r="Q600" s="90">
        <v>4.82</v>
      </c>
      <c r="R600" s="90">
        <v>0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3324679.45</v>
      </c>
      <c r="G601" s="90">
        <v>182212.49</v>
      </c>
      <c r="H601" s="90">
        <v>102164.79</v>
      </c>
      <c r="I601" s="90">
        <v>54181.61</v>
      </c>
      <c r="J601" s="90">
        <v>745739.53</v>
      </c>
      <c r="K601" s="90">
        <v>26609.02</v>
      </c>
      <c r="L601" s="90">
        <v>0</v>
      </c>
      <c r="M601" s="90">
        <v>233413.07</v>
      </c>
      <c r="N601" s="90">
        <v>238667.8</v>
      </c>
      <c r="O601" s="90">
        <v>1213646.07</v>
      </c>
      <c r="P601" s="90">
        <v>484651.88</v>
      </c>
      <c r="Q601" s="90">
        <v>43414.73</v>
      </c>
      <c r="R601" s="90">
        <v>-21.54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5353948.68</v>
      </c>
      <c r="G608" s="225">
        <v>348026.22</v>
      </c>
      <c r="H608" s="225">
        <v>182658.96</v>
      </c>
      <c r="I608" s="225">
        <v>98773.43</v>
      </c>
      <c r="J608" s="225">
        <v>1121911.54</v>
      </c>
      <c r="K608" s="225">
        <v>39196.07</v>
      </c>
      <c r="L608" s="225">
        <v>0</v>
      </c>
      <c r="M608" s="225">
        <v>344054.1</v>
      </c>
      <c r="N608" s="225">
        <v>366770.81</v>
      </c>
      <c r="O608" s="225">
        <v>1860672.37</v>
      </c>
      <c r="P608" s="225">
        <v>927916.55</v>
      </c>
      <c r="Q608" s="225">
        <v>64006.76</v>
      </c>
      <c r="R608" s="225">
        <v>-38.130000000000003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48847452.5</v>
      </c>
      <c r="G609" s="90">
        <v>2956898.65</v>
      </c>
      <c r="H609" s="90">
        <v>1670858.56</v>
      </c>
      <c r="I609" s="90">
        <v>890663.49</v>
      </c>
      <c r="J609" s="90">
        <v>10650539.58</v>
      </c>
      <c r="K609" s="90">
        <v>289194.06</v>
      </c>
      <c r="L609" s="90">
        <v>0</v>
      </c>
      <c r="M609" s="90">
        <v>2525057.5099999998</v>
      </c>
      <c r="N609" s="90">
        <v>3504369.81</v>
      </c>
      <c r="O609" s="90">
        <v>18008545.390000001</v>
      </c>
      <c r="P609" s="90">
        <v>7877853.0899999999</v>
      </c>
      <c r="Q609" s="90">
        <v>473033.96</v>
      </c>
      <c r="R609" s="90">
        <v>438.4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-4501.92</v>
      </c>
      <c r="G610" s="90">
        <v>1047.21</v>
      </c>
      <c r="H610" s="90">
        <v>565.67999999999995</v>
      </c>
      <c r="I610" s="90">
        <v>302.85000000000002</v>
      </c>
      <c r="J610" s="90">
        <v>3704.93</v>
      </c>
      <c r="K610" s="90">
        <v>98.85</v>
      </c>
      <c r="L610" s="90">
        <v>0</v>
      </c>
      <c r="M610" s="90">
        <v>865.38</v>
      </c>
      <c r="N610" s="90">
        <v>1214.32</v>
      </c>
      <c r="O610" s="90">
        <v>-15273.45</v>
      </c>
      <c r="P610" s="90">
        <v>2811.97</v>
      </c>
      <c r="Q610" s="90">
        <v>160.66</v>
      </c>
      <c r="R610" s="90">
        <v>-0.44</v>
      </c>
      <c r="S610" s="90">
        <v>0.12</v>
      </c>
      <c r="T610">
        <v>0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48842950.579999998</v>
      </c>
      <c r="G611" s="90">
        <v>2957945.86</v>
      </c>
      <c r="H611" s="90">
        <v>1671424.24</v>
      </c>
      <c r="I611" s="90">
        <v>890966.34</v>
      </c>
      <c r="J611" s="90">
        <v>10654244.51</v>
      </c>
      <c r="K611" s="90">
        <v>289292.90999999997</v>
      </c>
      <c r="L611" s="90">
        <v>0</v>
      </c>
      <c r="M611" s="90">
        <v>2525922.89</v>
      </c>
      <c r="N611" s="90">
        <v>3505584.13</v>
      </c>
      <c r="O611" s="90">
        <v>17993271.940000001</v>
      </c>
      <c r="P611" s="90">
        <v>7880665.0599999996</v>
      </c>
      <c r="Q611" s="90">
        <v>473194.62</v>
      </c>
      <c r="R611" s="90">
        <v>437.96</v>
      </c>
      <c r="S611" s="90">
        <v>0.12</v>
      </c>
      <c r="T611">
        <v>0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137467523.91</v>
      </c>
      <c r="G612" s="90">
        <v>8663269.4000000004</v>
      </c>
      <c r="H612" s="90">
        <v>4412110.42</v>
      </c>
      <c r="I612" s="90">
        <v>2001839.24</v>
      </c>
      <c r="J612" s="90">
        <v>22410734.670000002</v>
      </c>
      <c r="K612" s="90">
        <v>875496.56</v>
      </c>
      <c r="L612" s="90">
        <v>1472893.34</v>
      </c>
      <c r="M612" s="90">
        <v>9306214.4800000004</v>
      </c>
      <c r="N612" s="90">
        <v>10653553.699999999</v>
      </c>
      <c r="O612" s="90">
        <v>52243121.200000003</v>
      </c>
      <c r="P612" s="90">
        <v>23995973.789999999</v>
      </c>
      <c r="Q612" s="90">
        <v>1432482.64</v>
      </c>
      <c r="R612" s="90">
        <v>-165.53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18712430.98</v>
      </c>
      <c r="G613" s="90">
        <v>2019789.4</v>
      </c>
      <c r="H613" s="90">
        <v>879794.96</v>
      </c>
      <c r="I613" s="90">
        <v>335545.4</v>
      </c>
      <c r="J613" s="90">
        <v>3041356.19</v>
      </c>
      <c r="K613" s="90">
        <v>124932.99</v>
      </c>
      <c r="L613" s="90">
        <v>0</v>
      </c>
      <c r="M613" s="90">
        <v>1095367.92</v>
      </c>
      <c r="N613" s="90">
        <v>1290315.49</v>
      </c>
      <c r="O613" s="90">
        <v>4393356.75</v>
      </c>
      <c r="P613" s="90">
        <v>5328262.13</v>
      </c>
      <c r="Q613" s="90">
        <v>203881.06</v>
      </c>
      <c r="R613" s="90">
        <v>-90.62</v>
      </c>
      <c r="S613" s="90">
        <v>0</v>
      </c>
      <c r="T613">
        <v>2.35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-83.04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156179954.88999999</v>
      </c>
      <c r="G614" s="90">
        <v>10683058.800000001</v>
      </c>
      <c r="H614" s="90">
        <v>5291905.38</v>
      </c>
      <c r="I614" s="90">
        <v>2337384.64</v>
      </c>
      <c r="J614" s="90">
        <v>25452090.859999999</v>
      </c>
      <c r="K614" s="90">
        <v>1000429.55</v>
      </c>
      <c r="L614" s="90">
        <v>1472893.34</v>
      </c>
      <c r="M614" s="90">
        <v>10401582.4</v>
      </c>
      <c r="N614" s="90">
        <v>11943869.189999999</v>
      </c>
      <c r="O614" s="90">
        <v>56636477.950000003</v>
      </c>
      <c r="P614" s="90">
        <v>29324235.920000002</v>
      </c>
      <c r="Q614" s="90">
        <v>1636363.7</v>
      </c>
      <c r="R614" s="90">
        <v>-256.14999999999998</v>
      </c>
      <c r="S614" s="90">
        <v>0</v>
      </c>
      <c r="T614">
        <v>2.35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-83.04</v>
      </c>
    </row>
    <row r="615" spans="1:26" ht="12.75" customHeight="1" x14ac:dyDescent="0.25">
      <c r="B615" s="89"/>
      <c r="C615" s="89"/>
      <c r="E615" t="s">
        <v>72</v>
      </c>
      <c r="F615" s="90">
        <v>241323099.81</v>
      </c>
      <c r="G615" s="90">
        <v>38330997.579999998</v>
      </c>
      <c r="H615" s="90">
        <v>21631334.390000001</v>
      </c>
      <c r="I615" s="90">
        <v>11395580.82</v>
      </c>
      <c r="J615" s="90">
        <v>17111977.149999999</v>
      </c>
      <c r="K615" s="90">
        <v>446892.78</v>
      </c>
      <c r="L615" s="90">
        <v>13442000</v>
      </c>
      <c r="M615" s="90">
        <v>3889784.64</v>
      </c>
      <c r="N615" s="90">
        <v>5545916.4000000004</v>
      </c>
      <c r="O615" s="90">
        <v>28257377.93</v>
      </c>
      <c r="P615" s="90">
        <v>100541636.90000001</v>
      </c>
      <c r="Q615" s="90">
        <v>729204.82</v>
      </c>
      <c r="R615" s="90">
        <v>396.4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123717.69</v>
      </c>
      <c r="G616" s="90">
        <v>22646.3</v>
      </c>
      <c r="H616" s="90">
        <v>9129.34</v>
      </c>
      <c r="I616" s="90">
        <v>3521.77</v>
      </c>
      <c r="J616" s="90">
        <v>18601.310000000001</v>
      </c>
      <c r="K616" s="90">
        <v>733.66</v>
      </c>
      <c r="L616" s="90">
        <v>4564.0600000000004</v>
      </c>
      <c r="M616" s="90">
        <v>6361.15</v>
      </c>
      <c r="N616" s="90">
        <v>7389.75</v>
      </c>
      <c r="O616" s="90">
        <v>-13914.1</v>
      </c>
      <c r="P616" s="90">
        <v>63487.55</v>
      </c>
      <c r="Q616" s="90">
        <v>1198.46</v>
      </c>
      <c r="R616" s="90">
        <v>-1.56</v>
      </c>
      <c r="S616" s="90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241446817.5</v>
      </c>
      <c r="G617" s="90">
        <v>38353643.880000003</v>
      </c>
      <c r="H617" s="90">
        <v>21640463.73</v>
      </c>
      <c r="I617" s="90">
        <v>11399102.59</v>
      </c>
      <c r="J617" s="90">
        <v>17130578.460000001</v>
      </c>
      <c r="K617" s="90">
        <v>447626.44</v>
      </c>
      <c r="L617" s="90">
        <v>13446564.060000001</v>
      </c>
      <c r="M617" s="90">
        <v>3896145.79</v>
      </c>
      <c r="N617" s="90">
        <v>5553306.1500000004</v>
      </c>
      <c r="O617" s="90">
        <v>28243463.829999998</v>
      </c>
      <c r="P617" s="90">
        <v>100605124.45</v>
      </c>
      <c r="Q617" s="90">
        <v>730403.28</v>
      </c>
      <c r="R617" s="90">
        <v>394.84</v>
      </c>
      <c r="S617" s="90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446469722.97000003</v>
      </c>
      <c r="G618" s="93">
        <v>51994648.539999999</v>
      </c>
      <c r="H618" s="93">
        <v>28603793.350000001</v>
      </c>
      <c r="I618" s="93">
        <v>14627453.57</v>
      </c>
      <c r="J618" s="93">
        <v>53236913.829999998</v>
      </c>
      <c r="K618" s="93">
        <v>1737348.9</v>
      </c>
      <c r="L618" s="93">
        <v>14919457.4</v>
      </c>
      <c r="M618" s="93">
        <v>16823651.079999998</v>
      </c>
      <c r="N618" s="93">
        <v>21002759.469999999</v>
      </c>
      <c r="O618" s="93">
        <v>102873213.72</v>
      </c>
      <c r="P618" s="93">
        <v>137810025.43000001</v>
      </c>
      <c r="Q618" s="93">
        <v>2839961.6000000001</v>
      </c>
      <c r="R618" s="93">
        <v>576.65</v>
      </c>
      <c r="S618" s="93">
        <v>0.12</v>
      </c>
      <c r="T618" s="94">
        <v>2.35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-83.04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7689912617.5699997</v>
      </c>
      <c r="G619" s="100">
        <v>460509883.92000002</v>
      </c>
      <c r="H619" s="100">
        <v>257028430.24000001</v>
      </c>
      <c r="I619" s="100">
        <v>134312506.69</v>
      </c>
      <c r="J619" s="100">
        <v>1579005549.6600001</v>
      </c>
      <c r="K619" s="100">
        <v>61676400.039999999</v>
      </c>
      <c r="L619" s="100">
        <v>34128344.93</v>
      </c>
      <c r="M619" s="100">
        <v>541584187.87</v>
      </c>
      <c r="N619" s="100">
        <v>540082739.65999997</v>
      </c>
      <c r="O619" s="100">
        <v>2761992106.6999998</v>
      </c>
      <c r="P619" s="100">
        <v>1218762550.6400001</v>
      </c>
      <c r="Q619" s="100">
        <v>100846634.72</v>
      </c>
      <c r="R619" s="100">
        <v>-16277.43</v>
      </c>
      <c r="S619" s="100">
        <v>0.14000000000000001</v>
      </c>
      <c r="T619" s="226">
        <v>6.41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-446.62</v>
      </c>
    </row>
    <row r="620" spans="1:26" ht="12" customHeight="1" x14ac:dyDescent="0.25">
      <c r="A620" s="89" t="s">
        <v>78</v>
      </c>
      <c r="B620" s="89" t="s">
        <v>70</v>
      </c>
      <c r="F620" s="371">
        <v>7694513192.7299995</v>
      </c>
      <c r="G620" s="90">
        <v>460821321.98000002</v>
      </c>
      <c r="H620" s="90">
        <v>257203175.43000001</v>
      </c>
      <c r="I620" s="90">
        <v>134407059.25999999</v>
      </c>
      <c r="J620" s="90">
        <v>1579977025.5999999</v>
      </c>
      <c r="K620" s="90">
        <v>61707932.560000002</v>
      </c>
      <c r="L620" s="90">
        <v>34128344.93</v>
      </c>
      <c r="M620" s="90">
        <v>541864308.33000004</v>
      </c>
      <c r="N620" s="90">
        <v>540392643.28999996</v>
      </c>
      <c r="O620" s="90">
        <v>2763535205.4499998</v>
      </c>
      <c r="P620" s="90">
        <v>1219593015.28</v>
      </c>
      <c r="Q620" s="90">
        <v>100899955.88</v>
      </c>
      <c r="R620" s="90">
        <v>-16266.45</v>
      </c>
      <c r="S620" s="90">
        <v>0.14000000000000001</v>
      </c>
      <c r="T620">
        <v>6.41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-535.36</v>
      </c>
    </row>
    <row r="621" spans="1:26" ht="12.75" customHeight="1" x14ac:dyDescent="0.25">
      <c r="B621" s="89"/>
      <c r="C621" s="89"/>
      <c r="E621" t="s">
        <v>73</v>
      </c>
      <c r="F621" s="90">
        <v>-226278.07</v>
      </c>
      <c r="G621" s="90">
        <v>26896.68</v>
      </c>
      <c r="H621" s="90">
        <v>15292.29</v>
      </c>
      <c r="I621" s="90">
        <v>7987.79</v>
      </c>
      <c r="J621" s="90">
        <v>-105125.62</v>
      </c>
      <c r="K621" s="90">
        <v>-3487.78</v>
      </c>
      <c r="L621" s="90">
        <v>0</v>
      </c>
      <c r="M621" s="90">
        <v>-30596.02</v>
      </c>
      <c r="N621" s="90">
        <v>-33825.99</v>
      </c>
      <c r="O621" s="90">
        <v>-169274.83</v>
      </c>
      <c r="P621" s="90">
        <v>71546.22</v>
      </c>
      <c r="Q621" s="90">
        <v>-5690.81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-226278.07</v>
      </c>
      <c r="G622" s="90">
        <v>26896.68</v>
      </c>
      <c r="H622" s="90">
        <v>15292.29</v>
      </c>
      <c r="I622" s="90">
        <v>7987.79</v>
      </c>
      <c r="J622" s="90">
        <v>-105125.62</v>
      </c>
      <c r="K622" s="90">
        <v>-3487.78</v>
      </c>
      <c r="L622" s="90">
        <v>0</v>
      </c>
      <c r="M622" s="90">
        <v>-30596.02</v>
      </c>
      <c r="N622" s="90">
        <v>-33825.99</v>
      </c>
      <c r="O622" s="90">
        <v>-169274.83</v>
      </c>
      <c r="P622" s="90">
        <v>71546.22</v>
      </c>
      <c r="Q622" s="90">
        <v>-5690.81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-226278.07</v>
      </c>
      <c r="G623" s="658">
        <v>26896.68</v>
      </c>
      <c r="H623" s="658">
        <v>15292.29</v>
      </c>
      <c r="I623" s="658">
        <v>7987.79</v>
      </c>
      <c r="J623" s="658">
        <v>-105125.62</v>
      </c>
      <c r="K623" s="658">
        <v>-3487.78</v>
      </c>
      <c r="L623" s="658">
        <v>0</v>
      </c>
      <c r="M623" s="658">
        <v>-30596.02</v>
      </c>
      <c r="N623" s="658">
        <v>-33825.99</v>
      </c>
      <c r="O623" s="658">
        <v>-169274.83</v>
      </c>
      <c r="P623" s="658">
        <v>71546.22</v>
      </c>
      <c r="Q623" s="658">
        <v>-5690.81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0</v>
      </c>
      <c r="G624" s="90">
        <v>0</v>
      </c>
      <c r="H624" s="90">
        <v>0</v>
      </c>
      <c r="I624" s="90">
        <v>0</v>
      </c>
      <c r="J624" s="90">
        <v>0</v>
      </c>
      <c r="K624" s="90">
        <v>0</v>
      </c>
      <c r="L624" s="90">
        <v>0</v>
      </c>
      <c r="M624" s="90">
        <v>0</v>
      </c>
      <c r="N624" s="90">
        <v>0</v>
      </c>
      <c r="O624" s="90">
        <v>0</v>
      </c>
      <c r="P624" s="90">
        <v>0</v>
      </c>
      <c r="Q624" s="90">
        <v>0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0</v>
      </c>
      <c r="G625" s="90">
        <v>0</v>
      </c>
      <c r="H625" s="90">
        <v>0</v>
      </c>
      <c r="I625" s="90">
        <v>0</v>
      </c>
      <c r="J625" s="90">
        <v>0</v>
      </c>
      <c r="K625" s="90">
        <v>0</v>
      </c>
      <c r="L625" s="90">
        <v>0</v>
      </c>
      <c r="M625" s="90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0</v>
      </c>
      <c r="G633" s="90">
        <v>0</v>
      </c>
      <c r="H633" s="90">
        <v>0</v>
      </c>
      <c r="I633" s="90">
        <v>0</v>
      </c>
      <c r="J633" s="90">
        <v>0</v>
      </c>
      <c r="K633" s="90">
        <v>0</v>
      </c>
      <c r="L633" s="90">
        <v>0</v>
      </c>
      <c r="M633" s="90">
        <v>0</v>
      </c>
      <c r="N633" s="90">
        <v>0</v>
      </c>
      <c r="O633" s="90">
        <v>0</v>
      </c>
      <c r="P633" s="90">
        <v>0</v>
      </c>
      <c r="Q633" s="90">
        <v>0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0</v>
      </c>
      <c r="G638" s="225">
        <v>0</v>
      </c>
      <c r="H638" s="225">
        <v>0</v>
      </c>
      <c r="I638" s="225">
        <v>0</v>
      </c>
      <c r="J638" s="225">
        <v>0</v>
      </c>
      <c r="K638" s="225">
        <v>0</v>
      </c>
      <c r="L638" s="225">
        <v>0</v>
      </c>
      <c r="M638" s="225">
        <v>0</v>
      </c>
      <c r="N638" s="225">
        <v>0</v>
      </c>
      <c r="O638" s="225">
        <v>0</v>
      </c>
      <c r="P638" s="225">
        <v>0</v>
      </c>
      <c r="Q638" s="225">
        <v>0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-31196.09</v>
      </c>
      <c r="G641" s="90">
        <v>2454.39</v>
      </c>
      <c r="H641" s="90">
        <v>1386.66</v>
      </c>
      <c r="I641" s="90">
        <v>731.55</v>
      </c>
      <c r="J641" s="90">
        <v>-14691.57</v>
      </c>
      <c r="K641" s="90">
        <v>-406.98</v>
      </c>
      <c r="L641" s="90">
        <v>0</v>
      </c>
      <c r="M641" s="90">
        <v>-3570.02</v>
      </c>
      <c r="N641" s="90">
        <v>-3811.48</v>
      </c>
      <c r="O641" s="90">
        <v>-19139.53</v>
      </c>
      <c r="P641" s="90">
        <v>6514.92</v>
      </c>
      <c r="Q641" s="90">
        <v>-664.03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-31196.09</v>
      </c>
      <c r="G642" s="90">
        <v>2454.39</v>
      </c>
      <c r="H642" s="90">
        <v>1386.66</v>
      </c>
      <c r="I642" s="90">
        <v>731.55</v>
      </c>
      <c r="J642" s="90">
        <v>-14691.57</v>
      </c>
      <c r="K642" s="90">
        <v>-406.98</v>
      </c>
      <c r="L642" s="90">
        <v>0</v>
      </c>
      <c r="M642" s="90">
        <v>-3570.02</v>
      </c>
      <c r="N642" s="90">
        <v>-3811.48</v>
      </c>
      <c r="O642" s="90">
        <v>-19139.53</v>
      </c>
      <c r="P642" s="90">
        <v>6514.92</v>
      </c>
      <c r="Q642" s="90">
        <v>-664.03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-31196.09</v>
      </c>
      <c r="G645" s="93">
        <v>2454.39</v>
      </c>
      <c r="H645" s="93">
        <v>1386.66</v>
      </c>
      <c r="I645" s="93">
        <v>731.55</v>
      </c>
      <c r="J645" s="93">
        <v>-14691.57</v>
      </c>
      <c r="K645" s="93">
        <v>-406.98</v>
      </c>
      <c r="L645" s="93">
        <v>0</v>
      </c>
      <c r="M645" s="93">
        <v>-3570.02</v>
      </c>
      <c r="N645" s="93">
        <v>-3811.48</v>
      </c>
      <c r="O645" s="93">
        <v>-19139.53</v>
      </c>
      <c r="P645" s="93">
        <v>6514.92</v>
      </c>
      <c r="Q645" s="93">
        <v>-664.03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-257474.16</v>
      </c>
      <c r="G646" s="377">
        <v>29351.07</v>
      </c>
      <c r="H646" s="377">
        <v>16678.95</v>
      </c>
      <c r="I646" s="377">
        <v>8719.34</v>
      </c>
      <c r="J646" s="377">
        <v>-119817.19</v>
      </c>
      <c r="K646" s="377">
        <v>-3894.76</v>
      </c>
      <c r="L646" s="377">
        <v>0</v>
      </c>
      <c r="M646" s="377">
        <v>-34166.04</v>
      </c>
      <c r="N646" s="377">
        <v>-37637.47</v>
      </c>
      <c r="O646" s="377">
        <v>-188414.36</v>
      </c>
      <c r="P646" s="377">
        <v>78061.14</v>
      </c>
      <c r="Q646" s="377">
        <v>-6354.84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-633811893.26999998</v>
      </c>
      <c r="G647" s="90">
        <v>10445313.449999999</v>
      </c>
      <c r="H647" s="90">
        <v>6043668.3499999996</v>
      </c>
      <c r="I647" s="90">
        <v>3225979.12</v>
      </c>
      <c r="J647" s="90">
        <v>-194493967.5</v>
      </c>
      <c r="K647" s="90">
        <v>-7524083.8399999999</v>
      </c>
      <c r="L647" s="90">
        <v>0</v>
      </c>
      <c r="M647" s="90">
        <v>-66004810.5</v>
      </c>
      <c r="N647" s="90">
        <v>-65630053.07</v>
      </c>
      <c r="O647" s="90">
        <v>-335335691.50999999</v>
      </c>
      <c r="P647" s="90">
        <v>27741086.859999999</v>
      </c>
      <c r="Q647" s="90">
        <v>-12279334.630000001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-633811893.26999998</v>
      </c>
      <c r="G648" s="90">
        <v>10445313.449999999</v>
      </c>
      <c r="H648" s="90">
        <v>6043668.3499999996</v>
      </c>
      <c r="I648" s="90">
        <v>3225979.12</v>
      </c>
      <c r="J648" s="90">
        <v>-194493967.5</v>
      </c>
      <c r="K648" s="90">
        <v>-7524083.8399999999</v>
      </c>
      <c r="L648" s="90">
        <v>0</v>
      </c>
      <c r="M648" s="90">
        <v>-66004810.5</v>
      </c>
      <c r="N648" s="90">
        <v>-65630053.07</v>
      </c>
      <c r="O648" s="90">
        <v>-335335691.50999999</v>
      </c>
      <c r="P648" s="90">
        <v>27741086.859999999</v>
      </c>
      <c r="Q648" s="90">
        <v>-12279334.630000001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-633811893.26999998</v>
      </c>
      <c r="G649" s="658">
        <v>10445313.449999999</v>
      </c>
      <c r="H649" s="658">
        <v>6043668.3499999996</v>
      </c>
      <c r="I649" s="658">
        <v>3225979.12</v>
      </c>
      <c r="J649" s="658">
        <v>-194493967.5</v>
      </c>
      <c r="K649" s="658">
        <v>-7524083.8399999999</v>
      </c>
      <c r="L649" s="658">
        <v>0</v>
      </c>
      <c r="M649" s="658">
        <v>-66004810.5</v>
      </c>
      <c r="N649" s="658">
        <v>-65630053.07</v>
      </c>
      <c r="O649" s="658">
        <v>-335335691.50999999</v>
      </c>
      <c r="P649" s="658">
        <v>27741086.859999999</v>
      </c>
      <c r="Q649" s="658">
        <v>-12279334.630000001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572676.61</v>
      </c>
      <c r="G650" s="90">
        <v>54198.01</v>
      </c>
      <c r="H650" s="90">
        <v>26146.59</v>
      </c>
      <c r="I650" s="90">
        <v>14647.13</v>
      </c>
      <c r="J650" s="90">
        <v>98253.74</v>
      </c>
      <c r="K650" s="90">
        <v>3141.26</v>
      </c>
      <c r="L650" s="90">
        <v>0</v>
      </c>
      <c r="M650" s="90">
        <v>27604.79</v>
      </c>
      <c r="N650" s="90">
        <v>32810.74</v>
      </c>
      <c r="O650" s="90">
        <v>165741.59</v>
      </c>
      <c r="P650" s="90">
        <v>144992.38</v>
      </c>
      <c r="Q650" s="90">
        <v>5140.38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572676.61</v>
      </c>
      <c r="G651" s="90">
        <v>54198.01</v>
      </c>
      <c r="H651" s="90">
        <v>26146.59</v>
      </c>
      <c r="I651" s="90">
        <v>14647.13</v>
      </c>
      <c r="J651" s="90">
        <v>98253.74</v>
      </c>
      <c r="K651" s="90">
        <v>3141.26</v>
      </c>
      <c r="L651" s="90">
        <v>0</v>
      </c>
      <c r="M651" s="90">
        <v>27604.79</v>
      </c>
      <c r="N651" s="90">
        <v>32810.74</v>
      </c>
      <c r="O651" s="90">
        <v>165741.59</v>
      </c>
      <c r="P651" s="90">
        <v>144992.38</v>
      </c>
      <c r="Q651" s="90">
        <v>5140.38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-11495.84</v>
      </c>
      <c r="G652" s="90">
        <v>-603.07000000000005</v>
      </c>
      <c r="H652" s="90">
        <v>-277.45999999999998</v>
      </c>
      <c r="I652" s="90">
        <v>-168.37</v>
      </c>
      <c r="J652" s="90">
        <v>-2860.6</v>
      </c>
      <c r="K652" s="90">
        <v>-72.14</v>
      </c>
      <c r="L652" s="90">
        <v>0</v>
      </c>
      <c r="M652" s="90">
        <v>-632.82000000000005</v>
      </c>
      <c r="N652" s="90">
        <v>-848.15</v>
      </c>
      <c r="O652" s="90">
        <v>-4298.83</v>
      </c>
      <c r="P652" s="90">
        <v>-1616.7</v>
      </c>
      <c r="Q652" s="90">
        <v>-117.7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-11495.84</v>
      </c>
      <c r="G653" s="90">
        <v>-603.07000000000005</v>
      </c>
      <c r="H653" s="90">
        <v>-277.45999999999998</v>
      </c>
      <c r="I653" s="90">
        <v>-168.37</v>
      </c>
      <c r="J653" s="90">
        <v>-2860.6</v>
      </c>
      <c r="K653" s="90">
        <v>-72.14</v>
      </c>
      <c r="L653" s="90">
        <v>0</v>
      </c>
      <c r="M653" s="90">
        <v>-632.82000000000005</v>
      </c>
      <c r="N653" s="90">
        <v>-848.15</v>
      </c>
      <c r="O653" s="90">
        <v>-4298.83</v>
      </c>
      <c r="P653" s="90">
        <v>-1616.7</v>
      </c>
      <c r="Q653" s="90">
        <v>-117.7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-298279.45</v>
      </c>
      <c r="G658" s="90">
        <v>-728.17</v>
      </c>
      <c r="H658" s="90">
        <v>-809.31</v>
      </c>
      <c r="I658" s="90">
        <v>-376.02</v>
      </c>
      <c r="J658" s="90">
        <v>-85680.91</v>
      </c>
      <c r="K658" s="90">
        <v>-3328.71</v>
      </c>
      <c r="L658" s="90">
        <v>0</v>
      </c>
      <c r="M658" s="90">
        <v>-29199.66</v>
      </c>
      <c r="N658" s="90">
        <v>-27733.040000000001</v>
      </c>
      <c r="O658" s="90">
        <v>-143587.22</v>
      </c>
      <c r="P658" s="90">
        <v>-1405.26</v>
      </c>
      <c r="Q658" s="90">
        <v>-5431.15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-298279.45</v>
      </c>
      <c r="G659" s="90">
        <v>-728.17</v>
      </c>
      <c r="H659" s="90">
        <v>-809.31</v>
      </c>
      <c r="I659" s="90">
        <v>-376.02</v>
      </c>
      <c r="J659" s="90">
        <v>-85680.91</v>
      </c>
      <c r="K659" s="90">
        <v>-3328.71</v>
      </c>
      <c r="L659" s="90">
        <v>0</v>
      </c>
      <c r="M659" s="90">
        <v>-29199.66</v>
      </c>
      <c r="N659" s="90">
        <v>-27733.040000000001</v>
      </c>
      <c r="O659" s="90">
        <v>-143587.22</v>
      </c>
      <c r="P659" s="90">
        <v>-1405.26</v>
      </c>
      <c r="Q659" s="90">
        <v>-5431.15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262901.32</v>
      </c>
      <c r="G664" s="225">
        <v>52866.77</v>
      </c>
      <c r="H664" s="225">
        <v>25059.82</v>
      </c>
      <c r="I664" s="225">
        <v>14102.74</v>
      </c>
      <c r="J664" s="225">
        <v>9712.23</v>
      </c>
      <c r="K664" s="225">
        <v>-259.58999999999997</v>
      </c>
      <c r="L664" s="225">
        <v>0</v>
      </c>
      <c r="M664" s="225">
        <v>-2227.69</v>
      </c>
      <c r="N664" s="225">
        <v>4229.55</v>
      </c>
      <c r="O664" s="225">
        <v>17855.54</v>
      </c>
      <c r="P664" s="225">
        <v>141970.42000000001</v>
      </c>
      <c r="Q664" s="225">
        <v>-408.47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4631259.42</v>
      </c>
      <c r="G665" s="90">
        <v>558477.52</v>
      </c>
      <c r="H665" s="90">
        <v>316498.74</v>
      </c>
      <c r="I665" s="90">
        <v>167983.06</v>
      </c>
      <c r="J665" s="90">
        <v>664622.81999999995</v>
      </c>
      <c r="K665" s="90">
        <v>17733.669999999998</v>
      </c>
      <c r="L665" s="90">
        <v>0</v>
      </c>
      <c r="M665" s="90">
        <v>156640.94</v>
      </c>
      <c r="N665" s="90">
        <v>207558.96</v>
      </c>
      <c r="O665" s="90">
        <v>1018989.61</v>
      </c>
      <c r="P665" s="90">
        <v>1493820.31</v>
      </c>
      <c r="Q665" s="90">
        <v>28933.79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4631259.42</v>
      </c>
      <c r="G666" s="90">
        <v>558477.52</v>
      </c>
      <c r="H666" s="90">
        <v>316498.74</v>
      </c>
      <c r="I666" s="90">
        <v>167983.06</v>
      </c>
      <c r="J666" s="90">
        <v>664622.81999999995</v>
      </c>
      <c r="K666" s="90">
        <v>17733.669999999998</v>
      </c>
      <c r="L666" s="90">
        <v>0</v>
      </c>
      <c r="M666" s="90">
        <v>156640.94</v>
      </c>
      <c r="N666" s="90">
        <v>207558.96</v>
      </c>
      <c r="O666" s="90">
        <v>1018989.61</v>
      </c>
      <c r="P666" s="90">
        <v>1493820.31</v>
      </c>
      <c r="Q666" s="90">
        <v>28933.79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-24884555.57</v>
      </c>
      <c r="G667" s="90">
        <v>-576046.6</v>
      </c>
      <c r="H667" s="90">
        <v>-198940.76</v>
      </c>
      <c r="I667" s="90">
        <v>-60712.45</v>
      </c>
      <c r="J667" s="90">
        <v>-7153441.0499999998</v>
      </c>
      <c r="K667" s="90">
        <v>-233032.41</v>
      </c>
      <c r="L667" s="90">
        <v>0</v>
      </c>
      <c r="M667" s="90">
        <v>-2048680.17</v>
      </c>
      <c r="N667" s="90">
        <v>-2449168.17</v>
      </c>
      <c r="O667" s="90">
        <v>-10286515.01</v>
      </c>
      <c r="P667" s="90">
        <v>-1497871.91</v>
      </c>
      <c r="Q667" s="90">
        <v>-380147.04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-24884555.57</v>
      </c>
      <c r="G668" s="90">
        <v>-576046.6</v>
      </c>
      <c r="H668" s="90">
        <v>-198940.76</v>
      </c>
      <c r="I668" s="90">
        <v>-60712.45</v>
      </c>
      <c r="J668" s="90">
        <v>-7153441.0499999998</v>
      </c>
      <c r="K668" s="90">
        <v>-233032.41</v>
      </c>
      <c r="L668" s="90">
        <v>0</v>
      </c>
      <c r="M668" s="90">
        <v>-2048680.17</v>
      </c>
      <c r="N668" s="90">
        <v>-2449168.17</v>
      </c>
      <c r="O668" s="90">
        <v>-10286515.01</v>
      </c>
      <c r="P668" s="90">
        <v>-1497871.91</v>
      </c>
      <c r="Q668" s="90">
        <v>-380147.04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45950466.710000001</v>
      </c>
      <c r="G669" s="90">
        <v>8781115.8200000003</v>
      </c>
      <c r="H669" s="90">
        <v>4940851.97</v>
      </c>
      <c r="I669" s="90">
        <v>2611795.86</v>
      </c>
      <c r="J669" s="90">
        <v>1898372.42</v>
      </c>
      <c r="K669" s="90">
        <v>49151.99</v>
      </c>
      <c r="L669" s="90">
        <v>0</v>
      </c>
      <c r="M669" s="90">
        <v>431154.43</v>
      </c>
      <c r="N669" s="90">
        <v>619734.97</v>
      </c>
      <c r="O669" s="90">
        <v>3109869.82</v>
      </c>
      <c r="P669" s="90">
        <v>23428222.719999999</v>
      </c>
      <c r="Q669" s="90">
        <v>80196.710000000006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45950466.710000001</v>
      </c>
      <c r="G670" s="90">
        <v>8781115.8200000003</v>
      </c>
      <c r="H670" s="90">
        <v>4940851.97</v>
      </c>
      <c r="I670" s="90">
        <v>2611795.86</v>
      </c>
      <c r="J670" s="90">
        <v>1898372.42</v>
      </c>
      <c r="K670" s="90">
        <v>49151.99</v>
      </c>
      <c r="L670" s="90">
        <v>0</v>
      </c>
      <c r="M670" s="90">
        <v>431154.43</v>
      </c>
      <c r="N670" s="90">
        <v>619734.97</v>
      </c>
      <c r="O670" s="90">
        <v>3109869.82</v>
      </c>
      <c r="P670" s="90">
        <v>23428222.719999999</v>
      </c>
      <c r="Q670" s="90">
        <v>80196.710000000006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25697170.559999999</v>
      </c>
      <c r="G671" s="93">
        <v>8763546.7400000002</v>
      </c>
      <c r="H671" s="93">
        <v>5058409.95</v>
      </c>
      <c r="I671" s="93">
        <v>2719066.47</v>
      </c>
      <c r="J671" s="93">
        <v>-4590445.8099999996</v>
      </c>
      <c r="K671" s="93">
        <v>-166146.75</v>
      </c>
      <c r="L671" s="93">
        <v>0</v>
      </c>
      <c r="M671" s="93">
        <v>-1460884.8</v>
      </c>
      <c r="N671" s="93">
        <v>-1621874.24</v>
      </c>
      <c r="O671" s="93">
        <v>-6157655.5800000001</v>
      </c>
      <c r="P671" s="93">
        <v>23424171.120000001</v>
      </c>
      <c r="Q671" s="93">
        <v>-271016.53999999998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-607851821.38999999</v>
      </c>
      <c r="G672" s="100">
        <v>19261726.960000001</v>
      </c>
      <c r="H672" s="100">
        <v>11127138.119999999</v>
      </c>
      <c r="I672" s="100">
        <v>5959148.3300000001</v>
      </c>
      <c r="J672" s="100">
        <v>-199074701.08000001</v>
      </c>
      <c r="K672" s="100">
        <v>-7690490.1799999997</v>
      </c>
      <c r="L672" s="100">
        <v>0</v>
      </c>
      <c r="M672" s="100">
        <v>-67467922.989999995</v>
      </c>
      <c r="N672" s="100">
        <v>-67247697.760000005</v>
      </c>
      <c r="O672" s="100">
        <v>-341475491.55000001</v>
      </c>
      <c r="P672" s="100">
        <v>51307228.399999999</v>
      </c>
      <c r="Q672" s="100">
        <v>-12550759.640000001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-608109295.54999995</v>
      </c>
      <c r="G673" s="90">
        <v>19291078.030000001</v>
      </c>
      <c r="H673" s="90">
        <v>11143817.07</v>
      </c>
      <c r="I673" s="90">
        <v>5967867.6699999999</v>
      </c>
      <c r="J673" s="90">
        <v>-199194518.27000001</v>
      </c>
      <c r="K673" s="90">
        <v>-7694384.9400000004</v>
      </c>
      <c r="L673" s="90">
        <v>0</v>
      </c>
      <c r="M673" s="90">
        <v>-67502089.030000001</v>
      </c>
      <c r="N673" s="90">
        <v>-67285335.230000004</v>
      </c>
      <c r="O673" s="90">
        <v>-341663905.91000003</v>
      </c>
      <c r="P673" s="90">
        <v>51385289.539999999</v>
      </c>
      <c r="Q673" s="90">
        <v>-12557114.48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7085963940.6599998</v>
      </c>
      <c r="G674" s="90">
        <v>480076955.60000002</v>
      </c>
      <c r="H674" s="90">
        <v>268331934.46000001</v>
      </c>
      <c r="I674" s="90">
        <v>140368351.19999999</v>
      </c>
      <c r="J674" s="90">
        <v>1380700865.1500001</v>
      </c>
      <c r="K674" s="90">
        <v>54010222.780000001</v>
      </c>
      <c r="L674" s="90">
        <v>34128344.93</v>
      </c>
      <c r="M674" s="90">
        <v>474333055</v>
      </c>
      <c r="N674" s="90">
        <v>473070222.56999999</v>
      </c>
      <c r="O674" s="90">
        <v>2421735127.8499999</v>
      </c>
      <c r="P674" s="90">
        <v>1270888239.8299999</v>
      </c>
      <c r="Q674" s="90">
        <v>88337416.549999997</v>
      </c>
      <c r="R674" s="90">
        <v>-16266.45</v>
      </c>
      <c r="S674" s="90">
        <v>0.14000000000000001</v>
      </c>
      <c r="T674">
        <v>6.41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-535.36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9" t="s">
        <v>2</v>
      </c>
      <c r="D692" s="776" t="s">
        <v>132</v>
      </c>
      <c r="E692" s="98" t="s">
        <v>70</v>
      </c>
      <c r="F692" s="100">
        <f>F619+F672+F544-L544-L619</f>
        <v>7047492494.7299986</v>
      </c>
      <c r="G692" s="100">
        <f t="shared" ref="G692:AO692" si="25">G619+G544</f>
        <v>460474439.50999999</v>
      </c>
      <c r="H692" s="100">
        <f t="shared" si="25"/>
        <v>257013372.20000002</v>
      </c>
      <c r="I692" s="100">
        <f t="shared" si="25"/>
        <v>134305930.96000001</v>
      </c>
      <c r="J692" s="100">
        <f t="shared" si="25"/>
        <v>1578923907.48</v>
      </c>
      <c r="K692" s="100">
        <f t="shared" si="25"/>
        <v>61673075.199999996</v>
      </c>
      <c r="L692" s="100">
        <f t="shared" si="25"/>
        <v>34128344.93</v>
      </c>
      <c r="M692" s="100">
        <f t="shared" si="25"/>
        <v>541555023.57000005</v>
      </c>
      <c r="N692" s="100">
        <f t="shared" si="25"/>
        <v>540045654.16999996</v>
      </c>
      <c r="O692" s="100">
        <f t="shared" si="25"/>
        <v>2761855935.0099998</v>
      </c>
      <c r="P692" s="100">
        <f t="shared" si="25"/>
        <v>1218672485.6500001</v>
      </c>
      <c r="Q692" s="100">
        <f t="shared" si="25"/>
        <v>100841209.87</v>
      </c>
      <c r="R692" s="100">
        <f t="shared" si="25"/>
        <v>-16277.43</v>
      </c>
      <c r="S692" s="100">
        <f t="shared" si="25"/>
        <v>0.14000000000000001</v>
      </c>
      <c r="T692" s="100">
        <f t="shared" si="25"/>
        <v>6.41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-446.62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9"/>
      <c r="D693" s="776"/>
      <c r="E693" s="98" t="s">
        <v>73</v>
      </c>
      <c r="F693" s="100">
        <f>F672</f>
        <v>-607851821.38999999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9"/>
      <c r="D694" s="776" t="s">
        <v>133</v>
      </c>
      <c r="E694" s="233" t="s">
        <v>70</v>
      </c>
      <c r="F694" s="234">
        <f>F646+F582-L582</f>
        <v>4343101</v>
      </c>
      <c r="G694" s="234">
        <f t="shared" ref="G694:AA694" si="26">G582</f>
        <v>311438.06</v>
      </c>
      <c r="H694" s="234">
        <f t="shared" si="26"/>
        <v>174745.19</v>
      </c>
      <c r="I694" s="234">
        <f t="shared" si="26"/>
        <v>94552.57</v>
      </c>
      <c r="J694" s="234">
        <f t="shared" si="26"/>
        <v>971475.94</v>
      </c>
      <c r="K694" s="234">
        <f t="shared" si="26"/>
        <v>31532.52</v>
      </c>
      <c r="L694" s="234">
        <f t="shared" si="26"/>
        <v>0</v>
      </c>
      <c r="M694" s="234">
        <f t="shared" si="26"/>
        <v>280120.46000000002</v>
      </c>
      <c r="N694" s="234">
        <f t="shared" si="26"/>
        <v>309903.63</v>
      </c>
      <c r="O694" s="234">
        <f t="shared" si="26"/>
        <v>1543098.75</v>
      </c>
      <c r="P694" s="234">
        <f t="shared" si="26"/>
        <v>830464.64</v>
      </c>
      <c r="Q694" s="234">
        <f t="shared" si="26"/>
        <v>53321.16</v>
      </c>
      <c r="R694" s="234">
        <f t="shared" si="26"/>
        <v>10.98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-88.74</v>
      </c>
      <c r="AA694" s="234">
        <f t="shared" si="26"/>
        <v>0</v>
      </c>
    </row>
    <row r="695" spans="1:41" ht="12.75" customHeight="1" x14ac:dyDescent="0.25">
      <c r="C695" s="779"/>
      <c r="D695" s="776"/>
      <c r="E695" s="233" t="s">
        <v>73</v>
      </c>
      <c r="F695" s="234">
        <f>F646</f>
        <v>-257474.16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9" t="s">
        <v>160</v>
      </c>
      <c r="D697" s="776" t="s">
        <v>132</v>
      </c>
      <c r="E697" s="223" t="s">
        <v>70</v>
      </c>
      <c r="F697" s="225">
        <f>F664+F608+F536-L536-L608</f>
        <v>5616850</v>
      </c>
      <c r="G697" s="225">
        <f>G608+G536</f>
        <v>348026.22</v>
      </c>
      <c r="H697" s="225">
        <f t="shared" ref="H697:AO697" si="27">H608+H536</f>
        <v>182658.96</v>
      </c>
      <c r="I697" s="225">
        <f t="shared" si="27"/>
        <v>98773.43</v>
      </c>
      <c r="J697" s="225">
        <f t="shared" si="27"/>
        <v>1121911.54</v>
      </c>
      <c r="K697" s="225">
        <f t="shared" si="27"/>
        <v>39196.07</v>
      </c>
      <c r="L697" s="225">
        <f t="shared" si="27"/>
        <v>0</v>
      </c>
      <c r="M697" s="225">
        <f t="shared" si="27"/>
        <v>344054.1</v>
      </c>
      <c r="N697" s="225">
        <f t="shared" si="27"/>
        <v>366770.81</v>
      </c>
      <c r="O697" s="225">
        <f t="shared" si="27"/>
        <v>1860672.37</v>
      </c>
      <c r="P697" s="225">
        <f t="shared" si="27"/>
        <v>927916.55</v>
      </c>
      <c r="Q697" s="225">
        <f t="shared" si="27"/>
        <v>64006.76</v>
      </c>
      <c r="R697" s="225">
        <f t="shared" si="27"/>
        <v>-38.130000000000003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9"/>
      <c r="D698" s="776"/>
      <c r="E698" s="223" t="s">
        <v>73</v>
      </c>
      <c r="F698" s="225">
        <f>F664</f>
        <v>262901.32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9"/>
      <c r="D699" s="776" t="s">
        <v>133</v>
      </c>
      <c r="E699" s="227" t="s">
        <v>70</v>
      </c>
      <c r="F699" s="228">
        <f>F638+F571-L571</f>
        <v>41900</v>
      </c>
      <c r="G699" s="228">
        <f t="shared" ref="G699:Z699" si="28">G571</f>
        <v>2593.4699999999998</v>
      </c>
      <c r="H699" s="228">
        <f t="shared" si="28"/>
        <v>1464.28</v>
      </c>
      <c r="I699" s="228">
        <f t="shared" si="28"/>
        <v>768.54</v>
      </c>
      <c r="J699" s="228">
        <f t="shared" si="28"/>
        <v>8475</v>
      </c>
      <c r="K699" s="228">
        <f t="shared" si="28"/>
        <v>336.82</v>
      </c>
      <c r="L699" s="228">
        <f t="shared" si="28"/>
        <v>0</v>
      </c>
      <c r="M699" s="228">
        <f t="shared" si="28"/>
        <v>2954.55</v>
      </c>
      <c r="N699" s="228">
        <f t="shared" si="28"/>
        <v>2903.79</v>
      </c>
      <c r="O699" s="228">
        <f t="shared" si="28"/>
        <v>14989.18</v>
      </c>
      <c r="P699" s="228">
        <f t="shared" si="28"/>
        <v>6864.83</v>
      </c>
      <c r="Q699" s="228">
        <f t="shared" si="28"/>
        <v>549.54</v>
      </c>
      <c r="R699" s="228">
        <f t="shared" si="28"/>
        <v>0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9"/>
      <c r="D700" s="776"/>
      <c r="E700" s="227" t="s">
        <v>73</v>
      </c>
      <c r="F700" s="228">
        <f>F638</f>
        <v>0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9" t="s">
        <v>155</v>
      </c>
      <c r="D702" s="776" t="s">
        <v>132</v>
      </c>
      <c r="E702" s="221" t="s">
        <v>70</v>
      </c>
      <c r="F702" s="222">
        <f>F649+F586+F521-L521-L586</f>
        <v>6584787380.4700003</v>
      </c>
      <c r="G702" s="222">
        <f t="shared" ref="G702:Z702" si="29">G586+G521</f>
        <v>408144652.49000001</v>
      </c>
      <c r="H702" s="222">
        <f t="shared" si="29"/>
        <v>228232395.09</v>
      </c>
      <c r="I702" s="222">
        <f t="shared" si="29"/>
        <v>119582094.92999999</v>
      </c>
      <c r="J702" s="222">
        <f t="shared" si="29"/>
        <v>1524594519.48</v>
      </c>
      <c r="K702" s="222">
        <f t="shared" si="29"/>
        <v>59897729.049999997</v>
      </c>
      <c r="L702" s="222">
        <f t="shared" si="29"/>
        <v>19208887.530000001</v>
      </c>
      <c r="M702" s="222">
        <f t="shared" si="29"/>
        <v>524397834.05000001</v>
      </c>
      <c r="N702" s="222">
        <f t="shared" si="29"/>
        <v>518689495.65999997</v>
      </c>
      <c r="O702" s="222">
        <f t="shared" si="29"/>
        <v>2657171147.7400002</v>
      </c>
      <c r="P702" s="222">
        <f t="shared" si="29"/>
        <v>1079967383.1800001</v>
      </c>
      <c r="Q702" s="222">
        <f t="shared" si="29"/>
        <v>97939197.519999996</v>
      </c>
      <c r="R702" s="222">
        <f t="shared" si="29"/>
        <v>-16815.95</v>
      </c>
      <c r="S702" s="222">
        <f t="shared" si="29"/>
        <v>0.02</v>
      </c>
      <c r="T702" s="222">
        <f t="shared" si="29"/>
        <v>4.0599999999999996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-363.58</v>
      </c>
    </row>
    <row r="703" spans="1:41" ht="12.75" customHeight="1" x14ac:dyDescent="0.25">
      <c r="C703" s="779"/>
      <c r="D703" s="776"/>
      <c r="E703" s="221" t="s">
        <v>73</v>
      </c>
      <c r="F703" s="222">
        <f>F649</f>
        <v>-633811893.26999998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9"/>
      <c r="D704" s="776" t="s">
        <v>133</v>
      </c>
      <c r="E704" s="229" t="s">
        <v>70</v>
      </c>
      <c r="F704" s="230">
        <f>F623+F549-L549</f>
        <v>3610007</v>
      </c>
      <c r="G704" s="230">
        <f t="shared" ref="G704:Z704" si="30">G549</f>
        <v>257262.75</v>
      </c>
      <c r="H704" s="230">
        <f t="shared" si="30"/>
        <v>144117.51999999999</v>
      </c>
      <c r="I704" s="230">
        <f t="shared" si="30"/>
        <v>78318.55</v>
      </c>
      <c r="J704" s="230">
        <f t="shared" si="30"/>
        <v>797142.56</v>
      </c>
      <c r="K704" s="230">
        <f t="shared" si="30"/>
        <v>26303.65</v>
      </c>
      <c r="L704" s="230">
        <f t="shared" si="30"/>
        <v>0</v>
      </c>
      <c r="M704" s="230">
        <f t="shared" si="30"/>
        <v>230741.2</v>
      </c>
      <c r="N704" s="230">
        <f t="shared" si="30"/>
        <v>257553.6</v>
      </c>
      <c r="O704" s="230">
        <f t="shared" si="30"/>
        <v>1317195.17</v>
      </c>
      <c r="P704" s="230">
        <f t="shared" si="30"/>
        <v>682944.24</v>
      </c>
      <c r="Q704" s="230">
        <f t="shared" si="30"/>
        <v>44789.86</v>
      </c>
      <c r="R704" s="230">
        <f t="shared" si="30"/>
        <v>4.71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-88.74</v>
      </c>
    </row>
    <row r="705" spans="1:41" ht="12.75" customHeight="1" x14ac:dyDescent="0.25">
      <c r="C705" s="779"/>
      <c r="D705" s="776"/>
      <c r="E705" s="229" t="s">
        <v>73</v>
      </c>
      <c r="F705" s="230">
        <f>F623</f>
        <v>-226278.07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7" t="s">
        <v>325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7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7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7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9" t="s">
        <v>119</v>
      </c>
      <c r="D712" s="776" t="s">
        <v>132</v>
      </c>
      <c r="E712" s="101" t="s">
        <v>70</v>
      </c>
      <c r="F712" s="93">
        <f>F671+F618+F543-L543-L618</f>
        <v>457088264.26000005</v>
      </c>
      <c r="G712" s="93">
        <f t="shared" ref="G712:AO712" si="31">G618+G543</f>
        <v>51981760.799999997</v>
      </c>
      <c r="H712" s="93">
        <f t="shared" si="31"/>
        <v>28598318.150000002</v>
      </c>
      <c r="I712" s="93">
        <f t="shared" si="31"/>
        <v>14625062.6</v>
      </c>
      <c r="J712" s="93">
        <f t="shared" si="31"/>
        <v>53207476.460000001</v>
      </c>
      <c r="K712" s="93">
        <f t="shared" si="31"/>
        <v>1736150.0799999998</v>
      </c>
      <c r="L712" s="93">
        <f t="shared" si="31"/>
        <v>14919457.4</v>
      </c>
      <c r="M712" s="93">
        <f t="shared" si="31"/>
        <v>16813135.419999998</v>
      </c>
      <c r="N712" s="93">
        <f t="shared" si="31"/>
        <v>20989387.699999999</v>
      </c>
      <c r="O712" s="93">
        <f t="shared" si="31"/>
        <v>102824114.90000001</v>
      </c>
      <c r="P712" s="93">
        <f t="shared" si="31"/>
        <v>137777185.92000002</v>
      </c>
      <c r="Q712" s="93">
        <f t="shared" si="31"/>
        <v>2838005.5900000003</v>
      </c>
      <c r="R712" s="93">
        <f t="shared" si="31"/>
        <v>576.65</v>
      </c>
      <c r="S712" s="93">
        <f t="shared" si="31"/>
        <v>0.12</v>
      </c>
      <c r="T712" s="93">
        <f t="shared" si="31"/>
        <v>2.35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-83.04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9"/>
      <c r="D713" s="776"/>
      <c r="E713" s="101" t="s">
        <v>73</v>
      </c>
      <c r="F713" s="93">
        <f>F671</f>
        <v>25697170.559999999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9"/>
      <c r="D714" s="776" t="s">
        <v>133</v>
      </c>
      <c r="E714" s="235" t="s">
        <v>70</v>
      </c>
      <c r="F714" s="236">
        <f>F645+F581-L581</f>
        <v>691194</v>
      </c>
      <c r="G714" s="236">
        <f t="shared" ref="G714:Z714" si="32">G581</f>
        <v>51581.84</v>
      </c>
      <c r="H714" s="236">
        <f t="shared" si="32"/>
        <v>29163.39</v>
      </c>
      <c r="I714" s="236">
        <f t="shared" si="32"/>
        <v>15465.48</v>
      </c>
      <c r="J714" s="236">
        <f t="shared" si="32"/>
        <v>165858.38</v>
      </c>
      <c r="K714" s="236">
        <f t="shared" si="32"/>
        <v>4892.05</v>
      </c>
      <c r="L714" s="236">
        <f t="shared" si="32"/>
        <v>0</v>
      </c>
      <c r="M714" s="236">
        <f t="shared" si="32"/>
        <v>46424.71</v>
      </c>
      <c r="N714" s="236">
        <f t="shared" si="32"/>
        <v>49446.239999999998</v>
      </c>
      <c r="O714" s="236">
        <f t="shared" si="32"/>
        <v>210914.4</v>
      </c>
      <c r="P714" s="236">
        <f t="shared" si="32"/>
        <v>140655.57</v>
      </c>
      <c r="Q714" s="236">
        <f t="shared" si="32"/>
        <v>7981.76</v>
      </c>
      <c r="R714" s="236">
        <f t="shared" si="32"/>
        <v>6.27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9"/>
      <c r="D715" s="776"/>
      <c r="E715" s="235" t="s">
        <v>73</v>
      </c>
      <c r="F715" s="236">
        <f>F645</f>
        <v>-31196.09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8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8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8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8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-439956.52</v>
      </c>
      <c r="G722" s="460">
        <f t="shared" si="33"/>
        <v>-35444.410000000003</v>
      </c>
      <c r="H722" s="460">
        <f t="shared" si="33"/>
        <v>-15058.04</v>
      </c>
      <c r="I722" s="460">
        <f t="shared" si="33"/>
        <v>-6575.73</v>
      </c>
      <c r="J722" s="460">
        <f t="shared" si="33"/>
        <v>-81642.179999999993</v>
      </c>
      <c r="K722" s="460">
        <f t="shared" si="33"/>
        <v>-3324.84</v>
      </c>
      <c r="L722" s="460">
        <f t="shared" si="33"/>
        <v>0</v>
      </c>
      <c r="M722" s="460">
        <f t="shared" si="33"/>
        <v>-29164.3</v>
      </c>
      <c r="N722" s="460">
        <f t="shared" si="33"/>
        <v>-37085.49</v>
      </c>
      <c r="O722" s="460">
        <f t="shared" si="33"/>
        <v>-136171.69</v>
      </c>
      <c r="P722" s="460">
        <f t="shared" si="33"/>
        <v>-90064.99</v>
      </c>
      <c r="Q722" s="460">
        <f t="shared" si="33"/>
        <v>-5424.85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0</v>
      </c>
      <c r="G727" s="90">
        <v>0</v>
      </c>
      <c r="H727" s="90">
        <v>0</v>
      </c>
      <c r="I727" s="90">
        <v>0</v>
      </c>
      <c r="J727" s="90">
        <v>0</v>
      </c>
      <c r="K727" s="90">
        <v>0</v>
      </c>
      <c r="L727" s="90">
        <v>0</v>
      </c>
      <c r="M727" s="90">
        <v>0</v>
      </c>
      <c r="N727" s="90">
        <v>0</v>
      </c>
      <c r="O727" s="90">
        <v>0</v>
      </c>
      <c r="P727" s="90">
        <v>0</v>
      </c>
      <c r="Q727" s="90">
        <v>0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90">
        <v>0</v>
      </c>
      <c r="L728" s="90">
        <v>0</v>
      </c>
      <c r="M728" s="90">
        <v>0</v>
      </c>
      <c r="N728" s="90">
        <v>0</v>
      </c>
      <c r="O728" s="90">
        <v>0</v>
      </c>
      <c r="P728" s="90">
        <v>0</v>
      </c>
      <c r="Q728" s="90">
        <v>0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0</v>
      </c>
      <c r="G729" s="230">
        <v>0</v>
      </c>
      <c r="H729" s="230">
        <v>0</v>
      </c>
      <c r="I729" s="230">
        <v>0</v>
      </c>
      <c r="J729" s="230">
        <v>0</v>
      </c>
      <c r="K729" s="230">
        <v>0</v>
      </c>
      <c r="L729" s="230">
        <v>0</v>
      </c>
      <c r="M729" s="230">
        <v>0</v>
      </c>
      <c r="N729" s="230">
        <v>0</v>
      </c>
      <c r="O729" s="230">
        <v>0</v>
      </c>
      <c r="P729" s="230">
        <v>0</v>
      </c>
      <c r="Q729" s="230">
        <v>0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0</v>
      </c>
      <c r="G732" s="90">
        <v>0</v>
      </c>
      <c r="H732" s="90">
        <v>0</v>
      </c>
      <c r="I732" s="90">
        <v>0</v>
      </c>
      <c r="J732" s="90">
        <v>0</v>
      </c>
      <c r="K732" s="90">
        <v>0</v>
      </c>
      <c r="L732" s="90">
        <v>0</v>
      </c>
      <c r="M732" s="90">
        <v>0</v>
      </c>
      <c r="N732" s="90">
        <v>0</v>
      </c>
      <c r="O732" s="90">
        <v>0</v>
      </c>
      <c r="P732" s="90">
        <v>0</v>
      </c>
      <c r="Q732" s="90">
        <v>0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0</v>
      </c>
      <c r="G733" s="90">
        <v>0</v>
      </c>
      <c r="H733" s="90">
        <v>0</v>
      </c>
      <c r="I733" s="90">
        <v>0</v>
      </c>
      <c r="J733" s="90">
        <v>0</v>
      </c>
      <c r="K733" s="90">
        <v>0</v>
      </c>
      <c r="L733" s="90">
        <v>0</v>
      </c>
      <c r="M733" s="90">
        <v>0</v>
      </c>
      <c r="N733" s="90">
        <v>0</v>
      </c>
      <c r="O733" s="90">
        <v>0</v>
      </c>
      <c r="P733" s="90">
        <v>0</v>
      </c>
      <c r="Q733" s="90">
        <v>0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0</v>
      </c>
      <c r="G736" s="93">
        <v>0</v>
      </c>
      <c r="H736" s="93">
        <v>0</v>
      </c>
      <c r="I736" s="93">
        <v>0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0</v>
      </c>
      <c r="G737" s="90">
        <v>0</v>
      </c>
      <c r="H737" s="90">
        <v>0</v>
      </c>
      <c r="I737" s="90">
        <v>0</v>
      </c>
      <c r="J737" s="90">
        <v>0</v>
      </c>
      <c r="K737" s="90">
        <v>0</v>
      </c>
      <c r="L737" s="90">
        <v>0</v>
      </c>
      <c r="M737" s="90">
        <v>0</v>
      </c>
      <c r="N737" s="90">
        <v>0</v>
      </c>
      <c r="O737" s="90">
        <v>0</v>
      </c>
      <c r="P737" s="90">
        <v>0</v>
      </c>
      <c r="Q737" s="90">
        <v>0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0</v>
      </c>
      <c r="G738" s="458">
        <v>0</v>
      </c>
      <c r="H738" s="458">
        <v>0</v>
      </c>
      <c r="I738" s="458">
        <v>0</v>
      </c>
      <c r="J738" s="458">
        <v>0</v>
      </c>
      <c r="K738" s="458">
        <v>0</v>
      </c>
      <c r="L738" s="458">
        <v>0</v>
      </c>
      <c r="M738" s="458">
        <v>0</v>
      </c>
      <c r="N738" s="458">
        <v>0</v>
      </c>
      <c r="O738" s="458">
        <v>0</v>
      </c>
      <c r="P738" s="458">
        <v>0</v>
      </c>
      <c r="Q738" s="458">
        <v>0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325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52706.16</v>
      </c>
      <c r="G747" s="90">
        <v>3111.59</v>
      </c>
      <c r="H747" s="90">
        <v>1751.34</v>
      </c>
      <c r="I747" s="90">
        <v>897.63</v>
      </c>
      <c r="J747" s="90">
        <v>11377.58</v>
      </c>
      <c r="K747" s="90">
        <v>312.11</v>
      </c>
      <c r="L747" s="90">
        <v>0</v>
      </c>
      <c r="M747" s="90">
        <v>2737.85</v>
      </c>
      <c r="N747" s="90">
        <v>3754.56</v>
      </c>
      <c r="O747" s="90">
        <v>19228.87</v>
      </c>
      <c r="P747" s="90">
        <v>9026.77</v>
      </c>
      <c r="Q747" s="90">
        <v>509.25</v>
      </c>
      <c r="R747" s="90">
        <v>-1.39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52706.16</v>
      </c>
      <c r="G749" s="90">
        <v>3111.59</v>
      </c>
      <c r="H749" s="90">
        <v>1751.34</v>
      </c>
      <c r="I749" s="90">
        <v>897.63</v>
      </c>
      <c r="J749" s="90">
        <v>11377.58</v>
      </c>
      <c r="K749" s="90">
        <v>312.11</v>
      </c>
      <c r="L749" s="90">
        <v>0</v>
      </c>
      <c r="M749" s="90">
        <v>2737.85</v>
      </c>
      <c r="N749" s="90">
        <v>3754.56</v>
      </c>
      <c r="O749" s="90">
        <v>19228.87</v>
      </c>
      <c r="P749" s="90">
        <v>9026.77</v>
      </c>
      <c r="Q749" s="90">
        <v>509.25</v>
      </c>
      <c r="R749" s="90">
        <v>-1.39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49921.06</v>
      </c>
      <c r="G750" s="90">
        <v>3993.69</v>
      </c>
      <c r="H750" s="90">
        <v>2254.83</v>
      </c>
      <c r="I750" s="90">
        <v>1183.5</v>
      </c>
      <c r="J750" s="90">
        <v>9237.34</v>
      </c>
      <c r="K750" s="90">
        <v>236.44</v>
      </c>
      <c r="L750" s="90">
        <v>0</v>
      </c>
      <c r="M750" s="90">
        <v>2074.09</v>
      </c>
      <c r="N750" s="90">
        <v>3047.22</v>
      </c>
      <c r="O750" s="90">
        <v>15606.67</v>
      </c>
      <c r="P750" s="90">
        <v>11901.49</v>
      </c>
      <c r="Q750" s="90">
        <v>385.79</v>
      </c>
      <c r="R750" s="90">
        <v>0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402.4</v>
      </c>
      <c r="G751" s="90">
        <v>32.54</v>
      </c>
      <c r="H751" s="90">
        <v>18.34</v>
      </c>
      <c r="I751" s="90">
        <v>9.5299999999999994</v>
      </c>
      <c r="J751" s="90">
        <v>74.319999999999993</v>
      </c>
      <c r="K751" s="90">
        <v>1.9</v>
      </c>
      <c r="L751" s="90">
        <v>0</v>
      </c>
      <c r="M751" s="90">
        <v>16.7</v>
      </c>
      <c r="N751" s="90">
        <v>24.53</v>
      </c>
      <c r="O751" s="90">
        <v>125.62</v>
      </c>
      <c r="P751" s="90">
        <v>95.81</v>
      </c>
      <c r="Q751" s="90">
        <v>3.11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50323.46</v>
      </c>
      <c r="G752" s="90">
        <v>4026.23</v>
      </c>
      <c r="H752" s="90">
        <v>2273.17</v>
      </c>
      <c r="I752" s="90">
        <v>1193.03</v>
      </c>
      <c r="J752" s="90">
        <v>9311.66</v>
      </c>
      <c r="K752" s="90">
        <v>238.34</v>
      </c>
      <c r="L752" s="90">
        <v>0</v>
      </c>
      <c r="M752" s="90">
        <v>2090.79</v>
      </c>
      <c r="N752" s="90">
        <v>3071.75</v>
      </c>
      <c r="O752" s="90">
        <v>15732.29</v>
      </c>
      <c r="P752" s="90">
        <v>11997.3</v>
      </c>
      <c r="Q752" s="90">
        <v>388.9</v>
      </c>
      <c r="R752" s="90">
        <v>0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306792.77</v>
      </c>
      <c r="G753" s="90">
        <v>19035.04</v>
      </c>
      <c r="H753" s="90">
        <v>9869.84</v>
      </c>
      <c r="I753" s="90">
        <v>5496.23</v>
      </c>
      <c r="J753" s="90">
        <v>71436.63</v>
      </c>
      <c r="K753" s="90">
        <v>1696.42</v>
      </c>
      <c r="L753" s="90">
        <v>0</v>
      </c>
      <c r="M753" s="90">
        <v>14880.73</v>
      </c>
      <c r="N753" s="90">
        <v>20748.09</v>
      </c>
      <c r="O753" s="90">
        <v>103786.58</v>
      </c>
      <c r="P753" s="90">
        <v>57071.46</v>
      </c>
      <c r="Q753" s="90">
        <v>2767.81</v>
      </c>
      <c r="R753" s="90">
        <v>3.94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7697.23</v>
      </c>
      <c r="G754" s="90">
        <v>484.57</v>
      </c>
      <c r="H754" s="90">
        <v>243.67</v>
      </c>
      <c r="I754" s="90">
        <v>136.38</v>
      </c>
      <c r="J754" s="90">
        <v>1785.86</v>
      </c>
      <c r="K754" s="90">
        <v>43.42</v>
      </c>
      <c r="L754" s="90">
        <v>0</v>
      </c>
      <c r="M754" s="90">
        <v>379.97</v>
      </c>
      <c r="N754" s="90">
        <v>517.96</v>
      </c>
      <c r="O754" s="90">
        <v>2585.2600000000002</v>
      </c>
      <c r="P754" s="90">
        <v>1449.26</v>
      </c>
      <c r="Q754" s="90">
        <v>70.739999999999995</v>
      </c>
      <c r="R754" s="90">
        <v>0.14000000000000001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314490</v>
      </c>
      <c r="G755" s="90">
        <v>19519.61</v>
      </c>
      <c r="H755" s="90">
        <v>10113.51</v>
      </c>
      <c r="I755" s="90">
        <v>5632.61</v>
      </c>
      <c r="J755" s="90">
        <v>73222.490000000005</v>
      </c>
      <c r="K755" s="90">
        <v>1739.84</v>
      </c>
      <c r="L755" s="90">
        <v>0</v>
      </c>
      <c r="M755" s="90">
        <v>15260.7</v>
      </c>
      <c r="N755" s="90">
        <v>21266.05</v>
      </c>
      <c r="O755" s="90">
        <v>106371.84</v>
      </c>
      <c r="P755" s="90">
        <v>58520.72</v>
      </c>
      <c r="Q755" s="90">
        <v>2838.55</v>
      </c>
      <c r="R755" s="90">
        <v>4.08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417519.62</v>
      </c>
      <c r="G756" s="93">
        <v>26657.43</v>
      </c>
      <c r="H756" s="93">
        <v>14138.02</v>
      </c>
      <c r="I756" s="93">
        <v>7723.27</v>
      </c>
      <c r="J756" s="93">
        <v>93911.73</v>
      </c>
      <c r="K756" s="93">
        <v>2290.29</v>
      </c>
      <c r="L756" s="93">
        <v>0</v>
      </c>
      <c r="M756" s="93">
        <v>20089.34</v>
      </c>
      <c r="N756" s="93">
        <v>28092.36</v>
      </c>
      <c r="O756" s="93">
        <v>141333</v>
      </c>
      <c r="P756" s="93">
        <v>79544.789999999994</v>
      </c>
      <c r="Q756" s="93">
        <v>3736.7</v>
      </c>
      <c r="R756" s="93">
        <v>2.69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417519.62</v>
      </c>
      <c r="G757" s="377">
        <v>26657.43</v>
      </c>
      <c r="H757" s="377">
        <v>14138.02</v>
      </c>
      <c r="I757" s="377">
        <v>7723.27</v>
      </c>
      <c r="J757" s="377">
        <v>93911.73</v>
      </c>
      <c r="K757" s="377">
        <v>2290.29</v>
      </c>
      <c r="L757" s="377">
        <v>0</v>
      </c>
      <c r="M757" s="377">
        <v>20089.34</v>
      </c>
      <c r="N757" s="377">
        <v>28092.36</v>
      </c>
      <c r="O757" s="377">
        <v>141333</v>
      </c>
      <c r="P757" s="377">
        <v>79544.789999999994</v>
      </c>
      <c r="Q757" s="377">
        <v>3736.7</v>
      </c>
      <c r="R757" s="377">
        <v>2.69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12815008425</v>
      </c>
      <c r="G758" s="90">
        <v>696132424.70000005</v>
      </c>
      <c r="H758" s="90">
        <v>392646983.91000003</v>
      </c>
      <c r="I758" s="90">
        <v>205894711.43000001</v>
      </c>
      <c r="J758" s="90">
        <v>2739311715.7199998</v>
      </c>
      <c r="K758" s="90">
        <v>104518413.20999999</v>
      </c>
      <c r="L758" s="90">
        <v>8994251.4000000004</v>
      </c>
      <c r="M758" s="90">
        <v>916374237.59000003</v>
      </c>
      <c r="N758" s="90">
        <v>897814237.13</v>
      </c>
      <c r="O758" s="90">
        <v>4614704417.4799995</v>
      </c>
      <c r="P758" s="90">
        <v>2068182494.3299999</v>
      </c>
      <c r="Q758" s="90">
        <v>170581693.38999999</v>
      </c>
      <c r="R758" s="90">
        <v>-147155.29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8188043.2599999998</v>
      </c>
      <c r="G759" s="90">
        <v>712370.33</v>
      </c>
      <c r="H759" s="90">
        <v>342656.4</v>
      </c>
      <c r="I759" s="90">
        <v>174871.02</v>
      </c>
      <c r="J759" s="90">
        <v>1410634.79</v>
      </c>
      <c r="K759" s="90">
        <v>60481.35</v>
      </c>
      <c r="L759" s="90">
        <v>2825.7</v>
      </c>
      <c r="M759" s="90">
        <v>530371.72</v>
      </c>
      <c r="N759" s="90">
        <v>474850.33</v>
      </c>
      <c r="O759" s="90">
        <v>2281402.9900000002</v>
      </c>
      <c r="P759" s="90">
        <v>2098966.4300000002</v>
      </c>
      <c r="Q759" s="90">
        <v>98638.71</v>
      </c>
      <c r="R759" s="90">
        <v>6.82</v>
      </c>
      <c r="S759" s="90">
        <v>0</v>
      </c>
      <c r="T759">
        <v>7.04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-40.369999999999997</v>
      </c>
    </row>
    <row r="760" spans="1:26" ht="12.75" customHeight="1" x14ac:dyDescent="0.25">
      <c r="D760" t="s">
        <v>156</v>
      </c>
      <c r="E760" s="89" t="s">
        <v>70</v>
      </c>
      <c r="F760" s="90">
        <v>12823196468.26</v>
      </c>
      <c r="G760" s="90">
        <v>696844795.02999997</v>
      </c>
      <c r="H760" s="90">
        <v>392989640.31</v>
      </c>
      <c r="I760" s="90">
        <v>206069582.44999999</v>
      </c>
      <c r="J760" s="90">
        <v>2740722350.5100002</v>
      </c>
      <c r="K760" s="90">
        <v>104578894.56</v>
      </c>
      <c r="L760" s="90">
        <v>8997077.0999999996</v>
      </c>
      <c r="M760" s="90">
        <v>916904609.30999994</v>
      </c>
      <c r="N760" s="90">
        <v>898289087.46000004</v>
      </c>
      <c r="O760" s="90">
        <v>4616985820.4700003</v>
      </c>
      <c r="P760" s="90">
        <v>2070281460.76</v>
      </c>
      <c r="Q760" s="90">
        <v>170680332.09999999</v>
      </c>
      <c r="R760" s="90">
        <v>-147148.47</v>
      </c>
      <c r="S760" s="90">
        <v>0</v>
      </c>
      <c r="T760">
        <v>7.04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-40.369999999999997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12823196468.26</v>
      </c>
      <c r="G761" s="658">
        <v>696844795.02999997</v>
      </c>
      <c r="H761" s="658">
        <v>392989640.31</v>
      </c>
      <c r="I761" s="658">
        <v>206069582.44999999</v>
      </c>
      <c r="J761" s="658">
        <v>2740722350.5100002</v>
      </c>
      <c r="K761" s="658">
        <v>104578894.56</v>
      </c>
      <c r="L761" s="658">
        <v>8997077.0999999996</v>
      </c>
      <c r="M761" s="658">
        <v>916904609.30999994</v>
      </c>
      <c r="N761" s="658">
        <v>898289087.46000004</v>
      </c>
      <c r="O761" s="658">
        <v>4616985820.4700003</v>
      </c>
      <c r="P761" s="658">
        <v>2070281460.76</v>
      </c>
      <c r="Q761" s="658">
        <v>170680332.09999999</v>
      </c>
      <c r="R761" s="658">
        <v>-147148.47</v>
      </c>
      <c r="S761" s="658">
        <v>0</v>
      </c>
      <c r="T761" s="656">
        <v>7.04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-40.369999999999997</v>
      </c>
    </row>
    <row r="762" spans="1:26" ht="12.75" customHeight="1" x14ac:dyDescent="0.25">
      <c r="E762" s="89" t="s">
        <v>72</v>
      </c>
      <c r="F762" s="90">
        <v>31744217.359999999</v>
      </c>
      <c r="G762" s="90">
        <v>1896011.44</v>
      </c>
      <c r="H762" s="90">
        <v>1043946.05</v>
      </c>
      <c r="I762" s="90">
        <v>566202.44999999995</v>
      </c>
      <c r="J762" s="90">
        <v>6825335.7800000003</v>
      </c>
      <c r="K762" s="90">
        <v>247149.67</v>
      </c>
      <c r="L762" s="90">
        <v>0</v>
      </c>
      <c r="M762" s="90">
        <v>2156364.29</v>
      </c>
      <c r="N762" s="90">
        <v>2123158.7400000002</v>
      </c>
      <c r="O762" s="90">
        <v>11056616.23</v>
      </c>
      <c r="P762" s="90">
        <v>5422637.6600000001</v>
      </c>
      <c r="Q762" s="90">
        <v>406705.98</v>
      </c>
      <c r="R762" s="90">
        <v>89.07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90800.2</v>
      </c>
      <c r="G763" s="90">
        <v>5476.81</v>
      </c>
      <c r="H763" s="90">
        <v>2878.22</v>
      </c>
      <c r="I763" s="90">
        <v>1571.13</v>
      </c>
      <c r="J763" s="90">
        <v>19966.919999999998</v>
      </c>
      <c r="K763" s="90">
        <v>645.25</v>
      </c>
      <c r="L763" s="90">
        <v>0</v>
      </c>
      <c r="M763" s="90">
        <v>5639.74</v>
      </c>
      <c r="N763" s="90">
        <v>6109.13</v>
      </c>
      <c r="O763" s="90">
        <v>31292.26</v>
      </c>
      <c r="P763" s="90">
        <v>16162.57</v>
      </c>
      <c r="Q763" s="90">
        <v>1059.69</v>
      </c>
      <c r="R763" s="90">
        <v>-1.52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31835017.559999999</v>
      </c>
      <c r="G764" s="90">
        <v>1901488.25</v>
      </c>
      <c r="H764" s="90">
        <v>1046824.27</v>
      </c>
      <c r="I764" s="90">
        <v>567773.57999999996</v>
      </c>
      <c r="J764" s="90">
        <v>6845302.7000000002</v>
      </c>
      <c r="K764" s="90">
        <v>247794.92</v>
      </c>
      <c r="L764" s="90">
        <v>0</v>
      </c>
      <c r="M764" s="90">
        <v>2162004.0299999998</v>
      </c>
      <c r="N764" s="90">
        <v>2129267.87</v>
      </c>
      <c r="O764" s="90">
        <v>11087908.49</v>
      </c>
      <c r="P764" s="90">
        <v>5438800.2300000004</v>
      </c>
      <c r="Q764" s="90">
        <v>407765.67</v>
      </c>
      <c r="R764" s="90">
        <v>87.55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325</v>
      </c>
      <c r="D765" s="739" t="s">
        <v>70</v>
      </c>
      <c r="E765" s="231"/>
      <c r="F765" s="740">
        <v>31835017.559999999</v>
      </c>
      <c r="G765" s="232">
        <v>1901488.25</v>
      </c>
      <c r="H765" s="232">
        <v>1046824.27</v>
      </c>
      <c r="I765" s="232">
        <v>567773.57999999996</v>
      </c>
      <c r="J765" s="232">
        <v>6845302.7000000002</v>
      </c>
      <c r="K765" s="232">
        <v>247794.92</v>
      </c>
      <c r="L765" s="232">
        <v>0</v>
      </c>
      <c r="M765" s="232">
        <v>2162004.0299999998</v>
      </c>
      <c r="N765" s="232">
        <v>2129267.87</v>
      </c>
      <c r="O765" s="232">
        <v>11087908.49</v>
      </c>
      <c r="P765" s="232">
        <v>5438800.2300000004</v>
      </c>
      <c r="Q765" s="232">
        <v>407765.67</v>
      </c>
      <c r="R765" s="232">
        <v>87.55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23681387.870000001</v>
      </c>
      <c r="G766" s="90">
        <v>1342192.95</v>
      </c>
      <c r="H766" s="90">
        <v>741594.96</v>
      </c>
      <c r="I766" s="90">
        <v>386605.36</v>
      </c>
      <c r="J766" s="90">
        <v>3574834.93</v>
      </c>
      <c r="K766" s="90">
        <v>163810.99</v>
      </c>
      <c r="L766" s="90">
        <v>0</v>
      </c>
      <c r="M766" s="90">
        <v>1432646.73</v>
      </c>
      <c r="N766" s="90">
        <v>1903396.27</v>
      </c>
      <c r="O766" s="90">
        <v>9913238.5800000001</v>
      </c>
      <c r="P766" s="90">
        <v>3949237.62</v>
      </c>
      <c r="Q766" s="90">
        <v>273858.43</v>
      </c>
      <c r="R766" s="90">
        <v>-28.95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203478.11</v>
      </c>
      <c r="G767" s="90">
        <v>12513.73</v>
      </c>
      <c r="H767" s="90">
        <v>6267.59</v>
      </c>
      <c r="I767" s="90">
        <v>3281.56</v>
      </c>
      <c r="J767" s="90">
        <v>40756.89</v>
      </c>
      <c r="K767" s="90">
        <v>1395.27</v>
      </c>
      <c r="L767" s="90">
        <v>0</v>
      </c>
      <c r="M767" s="90">
        <v>12103.55</v>
      </c>
      <c r="N767" s="90">
        <v>15375.27</v>
      </c>
      <c r="O767" s="90">
        <v>72617.7</v>
      </c>
      <c r="P767" s="90">
        <v>36833.599999999999</v>
      </c>
      <c r="Q767" s="90">
        <v>2332.77</v>
      </c>
      <c r="R767" s="90">
        <v>0.24</v>
      </c>
      <c r="S767" s="90">
        <v>-0.06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23884865.98</v>
      </c>
      <c r="G768" s="90">
        <v>1354706.68</v>
      </c>
      <c r="H768" s="90">
        <v>747862.55</v>
      </c>
      <c r="I768" s="90">
        <v>389886.92</v>
      </c>
      <c r="J768" s="90">
        <v>3615591.82</v>
      </c>
      <c r="K768" s="90">
        <v>165206.26</v>
      </c>
      <c r="L768" s="90">
        <v>0</v>
      </c>
      <c r="M768" s="90">
        <v>1444750.28</v>
      </c>
      <c r="N768" s="90">
        <v>1918771.54</v>
      </c>
      <c r="O768" s="90">
        <v>9985856.2799999993</v>
      </c>
      <c r="P768" s="90">
        <v>3986071.22</v>
      </c>
      <c r="Q768" s="90">
        <v>276191.2</v>
      </c>
      <c r="R768" s="90">
        <v>-28.71</v>
      </c>
      <c r="S768" s="90">
        <v>-0.06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37326194.020000003</v>
      </c>
      <c r="G769" s="90">
        <v>2341567.69</v>
      </c>
      <c r="H769" s="90">
        <v>1226225.5900000001</v>
      </c>
      <c r="I769" s="90">
        <v>646313.07999999996</v>
      </c>
      <c r="J769" s="90">
        <v>4830560.8899999997</v>
      </c>
      <c r="K769" s="90">
        <v>328790.96000000002</v>
      </c>
      <c r="L769" s="90">
        <v>10</v>
      </c>
      <c r="M769" s="90">
        <v>2887566.34</v>
      </c>
      <c r="N769" s="90">
        <v>2940701.95</v>
      </c>
      <c r="O769" s="90">
        <v>14675858.98</v>
      </c>
      <c r="P769" s="90">
        <v>6912081.8600000003</v>
      </c>
      <c r="Q769" s="90">
        <v>536760.03</v>
      </c>
      <c r="R769" s="90">
        <v>-243.35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1803780.95</v>
      </c>
      <c r="G770" s="90">
        <v>148635.04999999999</v>
      </c>
      <c r="H770" s="90">
        <v>70152.759999999995</v>
      </c>
      <c r="I770" s="90">
        <v>35493.919999999998</v>
      </c>
      <c r="J770" s="90">
        <v>325744.40000000002</v>
      </c>
      <c r="K770" s="90">
        <v>14357.08</v>
      </c>
      <c r="L770" s="90">
        <v>0</v>
      </c>
      <c r="M770" s="90">
        <v>125760.45</v>
      </c>
      <c r="N770" s="90">
        <v>115572.28</v>
      </c>
      <c r="O770" s="90">
        <v>509189.7</v>
      </c>
      <c r="P770" s="90">
        <v>435456.11</v>
      </c>
      <c r="Q770" s="90">
        <v>23424.97</v>
      </c>
      <c r="R770" s="90">
        <v>-6.29</v>
      </c>
      <c r="S770" s="90">
        <v>-0.02</v>
      </c>
      <c r="T770">
        <v>0.54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39129974.969999999</v>
      </c>
      <c r="G771" s="90">
        <v>2490202.7400000002</v>
      </c>
      <c r="H771" s="90">
        <v>1296378.3500000001</v>
      </c>
      <c r="I771" s="90">
        <v>681807</v>
      </c>
      <c r="J771" s="90">
        <v>5156305.29</v>
      </c>
      <c r="K771" s="90">
        <v>343148.04</v>
      </c>
      <c r="L771" s="90">
        <v>10</v>
      </c>
      <c r="M771" s="90">
        <v>3013326.79</v>
      </c>
      <c r="N771" s="90">
        <v>3056274.23</v>
      </c>
      <c r="O771" s="90">
        <v>15185048.68</v>
      </c>
      <c r="P771" s="90">
        <v>7347537.9699999997</v>
      </c>
      <c r="Q771" s="90">
        <v>560185</v>
      </c>
      <c r="R771" s="90">
        <v>-249.64</v>
      </c>
      <c r="S771" s="90">
        <v>-0.02</v>
      </c>
      <c r="T771">
        <v>0.54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ht="12.75" customHeight="1" x14ac:dyDescent="0.25">
      <c r="E772" s="89" t="s">
        <v>72</v>
      </c>
      <c r="F772" s="90">
        <v>165149724.53999999</v>
      </c>
      <c r="G772" s="90">
        <v>26075002.84</v>
      </c>
      <c r="H772" s="90">
        <v>14679186.140000001</v>
      </c>
      <c r="I772" s="90">
        <v>7710705.0300000003</v>
      </c>
      <c r="J772" s="90">
        <v>8226271.1699999999</v>
      </c>
      <c r="K772" s="90">
        <v>298707.28000000003</v>
      </c>
      <c r="L772" s="90">
        <v>5865000</v>
      </c>
      <c r="M772" s="90">
        <v>2614088.5499999998</v>
      </c>
      <c r="N772" s="90">
        <v>3478316.82</v>
      </c>
      <c r="O772" s="90">
        <v>18102958.870000001</v>
      </c>
      <c r="P772" s="90">
        <v>77609539.060000002</v>
      </c>
      <c r="Q772" s="90">
        <v>490342.43</v>
      </c>
      <c r="R772" s="90">
        <v>-393.65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1037886.13</v>
      </c>
      <c r="G773" s="90">
        <v>151445.04</v>
      </c>
      <c r="H773" s="90">
        <v>83302.720000000001</v>
      </c>
      <c r="I773" s="90">
        <v>44417.4</v>
      </c>
      <c r="J773" s="90">
        <v>83722.740000000005</v>
      </c>
      <c r="K773" s="90">
        <v>2286.4899999999998</v>
      </c>
      <c r="L773" s="90">
        <v>39642.230000000003</v>
      </c>
      <c r="M773" s="90">
        <v>20012.88</v>
      </c>
      <c r="N773" s="90">
        <v>25666.09</v>
      </c>
      <c r="O773" s="90">
        <v>131338.6</v>
      </c>
      <c r="P773" s="90">
        <v>452293.81</v>
      </c>
      <c r="Q773" s="90">
        <v>3759.65</v>
      </c>
      <c r="R773" s="90">
        <v>-1.41</v>
      </c>
      <c r="S773" s="90">
        <v>-0.11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166187610.66999999</v>
      </c>
      <c r="G774" s="90">
        <v>26226447.879999999</v>
      </c>
      <c r="H774" s="90">
        <v>14762488.859999999</v>
      </c>
      <c r="I774" s="90">
        <v>7755122.4299999997</v>
      </c>
      <c r="J774" s="90">
        <v>8309993.9100000001</v>
      </c>
      <c r="K774" s="90">
        <v>300993.77</v>
      </c>
      <c r="L774" s="90">
        <v>5904642.2300000004</v>
      </c>
      <c r="M774" s="90">
        <v>2634101.4300000002</v>
      </c>
      <c r="N774" s="90">
        <v>3503982.91</v>
      </c>
      <c r="O774" s="90">
        <v>18234297.469999999</v>
      </c>
      <c r="P774" s="90">
        <v>78061832.870000005</v>
      </c>
      <c r="Q774" s="90">
        <v>494102.08</v>
      </c>
      <c r="R774" s="90">
        <v>-395.06</v>
      </c>
      <c r="S774" s="90">
        <v>-0.11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229202451.62</v>
      </c>
      <c r="G775" s="93">
        <v>30071357.300000001</v>
      </c>
      <c r="H775" s="93">
        <v>16806729.760000002</v>
      </c>
      <c r="I775" s="93">
        <v>8826816.3499999996</v>
      </c>
      <c r="J775" s="93">
        <v>17081891.02</v>
      </c>
      <c r="K775" s="93">
        <v>809348.07</v>
      </c>
      <c r="L775" s="93">
        <v>5904652.2300000004</v>
      </c>
      <c r="M775" s="93">
        <v>7092178.5</v>
      </c>
      <c r="N775" s="93">
        <v>8479028.6799999997</v>
      </c>
      <c r="O775" s="93">
        <v>43405202.43</v>
      </c>
      <c r="P775" s="93">
        <v>89395442.060000002</v>
      </c>
      <c r="Q775" s="93">
        <v>1330478.28</v>
      </c>
      <c r="R775" s="93">
        <v>-673.41</v>
      </c>
      <c r="S775" s="93">
        <v>-0.19</v>
      </c>
      <c r="T775" s="94">
        <v>0.54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0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13084233937.440001</v>
      </c>
      <c r="G776" s="100">
        <v>728817640.58000004</v>
      </c>
      <c r="H776" s="100">
        <v>410843194.33999997</v>
      </c>
      <c r="I776" s="100">
        <v>215464172.38</v>
      </c>
      <c r="J776" s="100">
        <v>2764649544.23</v>
      </c>
      <c r="K776" s="100">
        <v>105636037.55</v>
      </c>
      <c r="L776" s="100">
        <v>14901729.33</v>
      </c>
      <c r="M776" s="100">
        <v>926158791.84000003</v>
      </c>
      <c r="N776" s="100">
        <v>908897384.00999999</v>
      </c>
      <c r="O776" s="100">
        <v>4671478931.3900003</v>
      </c>
      <c r="P776" s="100">
        <v>2165115703.0500002</v>
      </c>
      <c r="Q776" s="100">
        <v>172418576.05000001</v>
      </c>
      <c r="R776" s="100">
        <v>-147734.32999999999</v>
      </c>
      <c r="S776" s="100">
        <v>-0.19</v>
      </c>
      <c r="T776" s="226">
        <v>7.58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-40.369999999999997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13084651457.059999</v>
      </c>
      <c r="G777" s="90">
        <v>728844298.00999999</v>
      </c>
      <c r="H777" s="90">
        <v>410857332.36000001</v>
      </c>
      <c r="I777" s="90">
        <v>215471895.65000001</v>
      </c>
      <c r="J777" s="90">
        <v>2764743455.96</v>
      </c>
      <c r="K777" s="90">
        <v>105638327.84</v>
      </c>
      <c r="L777" s="90">
        <v>14901729.33</v>
      </c>
      <c r="M777" s="90">
        <v>926178881.17999995</v>
      </c>
      <c r="N777" s="90">
        <v>908925476.37</v>
      </c>
      <c r="O777" s="90">
        <v>4671620264.3900003</v>
      </c>
      <c r="P777" s="90">
        <v>2165195247.8400002</v>
      </c>
      <c r="Q777" s="90">
        <v>172422312.75</v>
      </c>
      <c r="R777" s="90">
        <v>-147731.64000000001</v>
      </c>
      <c r="S777" s="90">
        <v>-0.19</v>
      </c>
      <c r="T777">
        <v>7.58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-40.369999999999997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325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-7906.16</v>
      </c>
      <c r="G784" s="90">
        <v>-466.73</v>
      </c>
      <c r="H784" s="90">
        <v>-262.7</v>
      </c>
      <c r="I784" s="90">
        <v>-134.63999999999999</v>
      </c>
      <c r="J784" s="90">
        <v>-1706.65</v>
      </c>
      <c r="K784" s="90">
        <v>-46.82</v>
      </c>
      <c r="L784" s="90">
        <v>0</v>
      </c>
      <c r="M784" s="90">
        <v>-410.68</v>
      </c>
      <c r="N784" s="90">
        <v>-563.19000000000005</v>
      </c>
      <c r="O784" s="90">
        <v>-2884.34</v>
      </c>
      <c r="P784" s="90">
        <v>-1354.02</v>
      </c>
      <c r="Q784" s="90">
        <v>-76.39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-7906.16</v>
      </c>
      <c r="G785" s="90">
        <v>-466.73</v>
      </c>
      <c r="H785" s="90">
        <v>-262.7</v>
      </c>
      <c r="I785" s="90">
        <v>-134.63999999999999</v>
      </c>
      <c r="J785" s="90">
        <v>-1706.65</v>
      </c>
      <c r="K785" s="90">
        <v>-46.82</v>
      </c>
      <c r="L785" s="90">
        <v>0</v>
      </c>
      <c r="M785" s="90">
        <v>-410.68</v>
      </c>
      <c r="N785" s="90">
        <v>-563.19000000000005</v>
      </c>
      <c r="O785" s="90">
        <v>-2884.34</v>
      </c>
      <c r="P785" s="90">
        <v>-1354.02</v>
      </c>
      <c r="Q785" s="90">
        <v>-76.39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32235.54</v>
      </c>
      <c r="G786" s="90">
        <v>2648.41</v>
      </c>
      <c r="H786" s="90">
        <v>1490.18</v>
      </c>
      <c r="I786" s="90">
        <v>761.92</v>
      </c>
      <c r="J786" s="90">
        <v>5936.43</v>
      </c>
      <c r="K786" s="90">
        <v>152.22</v>
      </c>
      <c r="L786" s="90">
        <v>0</v>
      </c>
      <c r="M786" s="90">
        <v>1335.24</v>
      </c>
      <c r="N786" s="90">
        <v>1960.56</v>
      </c>
      <c r="O786" s="90">
        <v>10040.34</v>
      </c>
      <c r="P786" s="90">
        <v>7661.89</v>
      </c>
      <c r="Q786" s="90">
        <v>248.35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32235.54</v>
      </c>
      <c r="G787" s="90">
        <v>2648.41</v>
      </c>
      <c r="H787" s="90">
        <v>1490.18</v>
      </c>
      <c r="I787" s="90">
        <v>761.92</v>
      </c>
      <c r="J787" s="90">
        <v>5936.43</v>
      </c>
      <c r="K787" s="90">
        <v>152.22</v>
      </c>
      <c r="L787" s="90">
        <v>0</v>
      </c>
      <c r="M787" s="90">
        <v>1335.24</v>
      </c>
      <c r="N787" s="90">
        <v>1960.56</v>
      </c>
      <c r="O787" s="90">
        <v>10040.34</v>
      </c>
      <c r="P787" s="90">
        <v>7661.89</v>
      </c>
      <c r="Q787" s="90">
        <v>248.35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0</v>
      </c>
      <c r="G788" s="90">
        <v>0</v>
      </c>
      <c r="H788" s="90">
        <v>0</v>
      </c>
      <c r="I788" s="90">
        <v>0</v>
      </c>
      <c r="J788" s="90">
        <v>0</v>
      </c>
      <c r="K788" s="90">
        <v>0</v>
      </c>
      <c r="L788" s="90">
        <v>0</v>
      </c>
      <c r="M788" s="90">
        <v>0</v>
      </c>
      <c r="N788" s="90">
        <v>0</v>
      </c>
      <c r="O788" s="90">
        <v>0</v>
      </c>
      <c r="P788" s="90">
        <v>0</v>
      </c>
      <c r="Q788" s="90">
        <v>0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0</v>
      </c>
      <c r="G789" s="90">
        <v>0</v>
      </c>
      <c r="H789" s="90">
        <v>0</v>
      </c>
      <c r="I789" s="90">
        <v>0</v>
      </c>
      <c r="J789" s="90">
        <v>0</v>
      </c>
      <c r="K789" s="90">
        <v>0</v>
      </c>
      <c r="L789" s="90">
        <v>0</v>
      </c>
      <c r="M789" s="90">
        <v>0</v>
      </c>
      <c r="N789" s="90">
        <v>0</v>
      </c>
      <c r="O789" s="90">
        <v>0</v>
      </c>
      <c r="P789" s="90">
        <v>0</v>
      </c>
      <c r="Q789" s="90">
        <v>0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24329.38</v>
      </c>
      <c r="G790" s="93">
        <v>2181.6799999999998</v>
      </c>
      <c r="H790" s="93">
        <v>1227.48</v>
      </c>
      <c r="I790" s="93">
        <v>627.28</v>
      </c>
      <c r="J790" s="93">
        <v>4229.78</v>
      </c>
      <c r="K790" s="93">
        <v>105.4</v>
      </c>
      <c r="L790" s="93">
        <v>0</v>
      </c>
      <c r="M790" s="93">
        <v>924.56</v>
      </c>
      <c r="N790" s="93">
        <v>1397.37</v>
      </c>
      <c r="O790" s="93">
        <v>7156</v>
      </c>
      <c r="P790" s="93">
        <v>6307.87</v>
      </c>
      <c r="Q790" s="93">
        <v>171.96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24329.38</v>
      </c>
      <c r="G791" s="377">
        <v>2181.6799999999998</v>
      </c>
      <c r="H791" s="377">
        <v>1227.48</v>
      </c>
      <c r="I791" s="377">
        <v>627.28</v>
      </c>
      <c r="J791" s="377">
        <v>4229.78</v>
      </c>
      <c r="K791" s="377">
        <v>105.4</v>
      </c>
      <c r="L791" s="377">
        <v>0</v>
      </c>
      <c r="M791" s="377">
        <v>924.56</v>
      </c>
      <c r="N791" s="377">
        <v>1397.37</v>
      </c>
      <c r="O791" s="377">
        <v>7156</v>
      </c>
      <c r="P791" s="377">
        <v>6307.87</v>
      </c>
      <c r="Q791" s="377">
        <v>171.96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-1113041546.26</v>
      </c>
      <c r="G792" s="90">
        <v>-34176388.439999998</v>
      </c>
      <c r="H792" s="90">
        <v>-19324425.780000001</v>
      </c>
      <c r="I792" s="90">
        <v>-10114900.890000001</v>
      </c>
      <c r="J792" s="90">
        <v>-275747180.08999997</v>
      </c>
      <c r="K792" s="90">
        <v>-10481720.58</v>
      </c>
      <c r="L792" s="90">
        <v>0</v>
      </c>
      <c r="M792" s="90">
        <v>-91967934.269999996</v>
      </c>
      <c r="N792" s="90">
        <v>-91302320.329999998</v>
      </c>
      <c r="O792" s="90">
        <v>-463542591.24000001</v>
      </c>
      <c r="P792" s="90">
        <v>-99282901.75</v>
      </c>
      <c r="Q792" s="90">
        <v>-17101182.890000001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-1113041546.26</v>
      </c>
      <c r="G793" s="90">
        <v>-34176388.439999998</v>
      </c>
      <c r="H793" s="90">
        <v>-19324425.780000001</v>
      </c>
      <c r="I793" s="90">
        <v>-10114900.890000001</v>
      </c>
      <c r="J793" s="90">
        <v>-275747180.08999997</v>
      </c>
      <c r="K793" s="90">
        <v>-10481720.58</v>
      </c>
      <c r="L793" s="90">
        <v>0</v>
      </c>
      <c r="M793" s="90">
        <v>-91967934.269999996</v>
      </c>
      <c r="N793" s="90">
        <v>-91302320.329999998</v>
      </c>
      <c r="O793" s="90">
        <v>-463542591.24000001</v>
      </c>
      <c r="P793" s="90">
        <v>-99282901.75</v>
      </c>
      <c r="Q793" s="90">
        <v>-17101182.890000001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-1113041546.26</v>
      </c>
      <c r="G794" s="658">
        <v>-34176388.439999998</v>
      </c>
      <c r="H794" s="658">
        <v>-19324425.780000001</v>
      </c>
      <c r="I794" s="658">
        <v>-10114900.890000001</v>
      </c>
      <c r="J794" s="658">
        <v>-275747180.08999997</v>
      </c>
      <c r="K794" s="658">
        <v>-10481720.58</v>
      </c>
      <c r="L794" s="658">
        <v>0</v>
      </c>
      <c r="M794" s="658">
        <v>-91967934.269999996</v>
      </c>
      <c r="N794" s="658">
        <v>-91302320.329999998</v>
      </c>
      <c r="O794" s="658">
        <v>-463542591.24000001</v>
      </c>
      <c r="P794" s="658">
        <v>-99282901.75</v>
      </c>
      <c r="Q794" s="658">
        <v>-17101182.890000001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-4970797.5599999996</v>
      </c>
      <c r="G795" s="90">
        <v>-269325.89</v>
      </c>
      <c r="H795" s="90">
        <v>-149624.97</v>
      </c>
      <c r="I795" s="90">
        <v>-78121.59</v>
      </c>
      <c r="J795" s="90">
        <v>-1076036.6299999999</v>
      </c>
      <c r="K795" s="90">
        <v>-39426.57</v>
      </c>
      <c r="L795" s="90">
        <v>0</v>
      </c>
      <c r="M795" s="90">
        <v>-348506.58</v>
      </c>
      <c r="N795" s="90">
        <v>-354157.74</v>
      </c>
      <c r="O795" s="90">
        <v>-1798678.49</v>
      </c>
      <c r="P795" s="90">
        <v>-792592.58</v>
      </c>
      <c r="Q795" s="90">
        <v>-64326.52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-4970797.5599999996</v>
      </c>
      <c r="G796" s="90">
        <v>-269325.89</v>
      </c>
      <c r="H796" s="90">
        <v>-149624.97</v>
      </c>
      <c r="I796" s="90">
        <v>-78121.59</v>
      </c>
      <c r="J796" s="90">
        <v>-1076036.6299999999</v>
      </c>
      <c r="K796" s="90">
        <v>-39426.57</v>
      </c>
      <c r="L796" s="90">
        <v>0</v>
      </c>
      <c r="M796" s="90">
        <v>-348506.58</v>
      </c>
      <c r="N796" s="90">
        <v>-354157.74</v>
      </c>
      <c r="O796" s="90">
        <v>-1798678.49</v>
      </c>
      <c r="P796" s="90">
        <v>-792592.58</v>
      </c>
      <c r="Q796" s="90">
        <v>-64326.52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325</v>
      </c>
      <c r="D797" s="739" t="s">
        <v>70</v>
      </c>
      <c r="E797" s="231"/>
      <c r="F797" s="740">
        <v>-4970797.5599999996</v>
      </c>
      <c r="G797" s="232">
        <v>-269325.89</v>
      </c>
      <c r="H797" s="232">
        <v>-149624.97</v>
      </c>
      <c r="I797" s="232">
        <v>-78121.59</v>
      </c>
      <c r="J797" s="232">
        <v>-1076036.6299999999</v>
      </c>
      <c r="K797" s="232">
        <v>-39426.57</v>
      </c>
      <c r="L797" s="232">
        <v>0</v>
      </c>
      <c r="M797" s="232">
        <v>-348506.58</v>
      </c>
      <c r="N797" s="232">
        <v>-354157.74</v>
      </c>
      <c r="O797" s="232">
        <v>-1798678.49</v>
      </c>
      <c r="P797" s="232">
        <v>-792592.58</v>
      </c>
      <c r="Q797" s="232">
        <v>-64326.52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-187855.98</v>
      </c>
      <c r="G798" s="90">
        <v>203417.85</v>
      </c>
      <c r="H798" s="90">
        <v>118300.72</v>
      </c>
      <c r="I798" s="90">
        <v>61829.01</v>
      </c>
      <c r="J798" s="90">
        <v>-228807.34</v>
      </c>
      <c r="K798" s="90">
        <v>-10295.56</v>
      </c>
      <c r="L798" s="90">
        <v>0</v>
      </c>
      <c r="M798" s="90">
        <v>-90305.3</v>
      </c>
      <c r="N798" s="90">
        <v>-128220.63</v>
      </c>
      <c r="O798" s="90">
        <v>-702462.52</v>
      </c>
      <c r="P798" s="90">
        <v>605486.11</v>
      </c>
      <c r="Q798" s="90">
        <v>-16798.32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-187855.98</v>
      </c>
      <c r="G799" s="90">
        <v>203417.85</v>
      </c>
      <c r="H799" s="90">
        <v>118300.72</v>
      </c>
      <c r="I799" s="90">
        <v>61829.01</v>
      </c>
      <c r="J799" s="90">
        <v>-228807.34</v>
      </c>
      <c r="K799" s="90">
        <v>-10295.56</v>
      </c>
      <c r="L799" s="90">
        <v>0</v>
      </c>
      <c r="M799" s="90">
        <v>-90305.3</v>
      </c>
      <c r="N799" s="90">
        <v>-128220.63</v>
      </c>
      <c r="O799" s="90">
        <v>-702462.52</v>
      </c>
      <c r="P799" s="90">
        <v>605486.11</v>
      </c>
      <c r="Q799" s="90">
        <v>-16798.32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2459860.0299999998</v>
      </c>
      <c r="G800" s="90">
        <v>709867.57</v>
      </c>
      <c r="H800" s="90">
        <v>402138.38</v>
      </c>
      <c r="I800" s="90">
        <v>215517.65</v>
      </c>
      <c r="J800" s="90">
        <v>-244697.65</v>
      </c>
      <c r="K800" s="90">
        <v>-17630.91</v>
      </c>
      <c r="L800" s="90">
        <v>0</v>
      </c>
      <c r="M800" s="90">
        <v>-152005.54</v>
      </c>
      <c r="N800" s="90">
        <v>-109036.85</v>
      </c>
      <c r="O800" s="90">
        <v>-437383.69</v>
      </c>
      <c r="P800" s="90">
        <v>2121895.4</v>
      </c>
      <c r="Q800" s="90">
        <v>-28804.33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2459860.0299999998</v>
      </c>
      <c r="G801" s="90">
        <v>709867.57</v>
      </c>
      <c r="H801" s="90">
        <v>402138.38</v>
      </c>
      <c r="I801" s="90">
        <v>215517.65</v>
      </c>
      <c r="J801" s="90">
        <v>-244697.65</v>
      </c>
      <c r="K801" s="90">
        <v>-17630.91</v>
      </c>
      <c r="L801" s="90">
        <v>0</v>
      </c>
      <c r="M801" s="90">
        <v>-152005.54</v>
      </c>
      <c r="N801" s="90">
        <v>-109036.85</v>
      </c>
      <c r="O801" s="90">
        <v>-437383.69</v>
      </c>
      <c r="P801" s="90">
        <v>2121895.4</v>
      </c>
      <c r="Q801" s="90">
        <v>-28804.33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79419817.370000005</v>
      </c>
      <c r="G802" s="90">
        <v>15404559.300000001</v>
      </c>
      <c r="H802" s="90">
        <v>8757302.6400000006</v>
      </c>
      <c r="I802" s="90">
        <v>4758799.7300000004</v>
      </c>
      <c r="J802" s="90">
        <v>1342820.06</v>
      </c>
      <c r="K802" s="90">
        <v>41036.71</v>
      </c>
      <c r="L802" s="90">
        <v>0</v>
      </c>
      <c r="M802" s="90">
        <v>357948.17</v>
      </c>
      <c r="N802" s="90">
        <v>413932.09</v>
      </c>
      <c r="O802" s="90">
        <v>2225480.44</v>
      </c>
      <c r="P802" s="90">
        <v>46050982.399999999</v>
      </c>
      <c r="Q802" s="90">
        <v>66955.83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79419817.370000005</v>
      </c>
      <c r="G803" s="90">
        <v>15404559.300000001</v>
      </c>
      <c r="H803" s="90">
        <v>8757302.6400000006</v>
      </c>
      <c r="I803" s="90">
        <v>4758799.7300000004</v>
      </c>
      <c r="J803" s="90">
        <v>1342820.06</v>
      </c>
      <c r="K803" s="90">
        <v>41036.71</v>
      </c>
      <c r="L803" s="90">
        <v>0</v>
      </c>
      <c r="M803" s="90">
        <v>357948.17</v>
      </c>
      <c r="N803" s="90">
        <v>413932.09</v>
      </c>
      <c r="O803" s="90">
        <v>2225480.44</v>
      </c>
      <c r="P803" s="90">
        <v>46050982.399999999</v>
      </c>
      <c r="Q803" s="90">
        <v>66955.83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81691821.420000002</v>
      </c>
      <c r="G804" s="93">
        <v>16317844.720000001</v>
      </c>
      <c r="H804" s="93">
        <v>9277741.7400000002</v>
      </c>
      <c r="I804" s="93">
        <v>5036146.3899999997</v>
      </c>
      <c r="J804" s="93">
        <v>869315.07</v>
      </c>
      <c r="K804" s="93">
        <v>13110.24</v>
      </c>
      <c r="L804" s="93">
        <v>0</v>
      </c>
      <c r="M804" s="93">
        <v>115637.33</v>
      </c>
      <c r="N804" s="93">
        <v>176674.61</v>
      </c>
      <c r="O804" s="93">
        <v>1085634.23</v>
      </c>
      <c r="P804" s="93">
        <v>48778363.909999996</v>
      </c>
      <c r="Q804" s="93">
        <v>21353.18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-1036320522.4</v>
      </c>
      <c r="G805" s="100">
        <v>-18127869.609999999</v>
      </c>
      <c r="H805" s="100">
        <v>-10196309.01</v>
      </c>
      <c r="I805" s="100">
        <v>-5156876.09</v>
      </c>
      <c r="J805" s="100">
        <v>-275953901.64999998</v>
      </c>
      <c r="K805" s="100">
        <v>-10508036.91</v>
      </c>
      <c r="L805" s="100">
        <v>0</v>
      </c>
      <c r="M805" s="100">
        <v>-92200803.519999996</v>
      </c>
      <c r="N805" s="100">
        <v>-91479803.459999993</v>
      </c>
      <c r="O805" s="100">
        <v>-464255635.5</v>
      </c>
      <c r="P805" s="100">
        <v>-51297130.420000002</v>
      </c>
      <c r="Q805" s="100">
        <v>-17144156.23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-1036296193.02</v>
      </c>
      <c r="G806" s="90">
        <v>-18125687.93</v>
      </c>
      <c r="H806" s="90">
        <v>-10195081.529999999</v>
      </c>
      <c r="I806" s="90">
        <v>-5156248.8099999996</v>
      </c>
      <c r="J806" s="90">
        <v>-275949671.87</v>
      </c>
      <c r="K806" s="90">
        <v>-10507931.51</v>
      </c>
      <c r="L806" s="90">
        <v>0</v>
      </c>
      <c r="M806" s="90">
        <v>-92199878.959999993</v>
      </c>
      <c r="N806" s="90">
        <v>-91478406.090000004</v>
      </c>
      <c r="O806" s="90">
        <v>-464248479.5</v>
      </c>
      <c r="P806" s="90">
        <v>-51290822.549999997</v>
      </c>
      <c r="Q806" s="90">
        <v>-17143984.27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12048355264.040001</v>
      </c>
      <c r="G807" s="90">
        <v>710718610.08000004</v>
      </c>
      <c r="H807" s="90">
        <v>400662250.82999998</v>
      </c>
      <c r="I807" s="90">
        <v>210315646.84</v>
      </c>
      <c r="J807" s="90">
        <v>2488793784.0900002</v>
      </c>
      <c r="K807" s="90">
        <v>95130396.329999998</v>
      </c>
      <c r="L807" s="90">
        <v>14901729.33</v>
      </c>
      <c r="M807" s="90">
        <v>833979002.22000003</v>
      </c>
      <c r="N807" s="90">
        <v>817447070.27999997</v>
      </c>
      <c r="O807" s="90">
        <v>4207371784.8899999</v>
      </c>
      <c r="P807" s="90">
        <v>2113904425.29</v>
      </c>
      <c r="Q807" s="90">
        <v>155278328.47999999</v>
      </c>
      <c r="R807" s="90">
        <v>-147731.64000000001</v>
      </c>
      <c r="S807" s="90">
        <v>-0.19</v>
      </c>
      <c r="T807">
        <v>7.58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-40.369999999999997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9" t="s">
        <v>2</v>
      </c>
      <c r="D811" s="776" t="s">
        <v>132</v>
      </c>
      <c r="E811" s="98" t="s">
        <v>70</v>
      </c>
      <c r="F811" s="100">
        <f>F805+F776+F737-L737-L776</f>
        <v>12033011685.710001</v>
      </c>
      <c r="G811" s="100">
        <f>G776+G737</f>
        <v>728817640.58000004</v>
      </c>
      <c r="H811" s="100">
        <f t="shared" ref="H811:AO811" si="34">H776+H737</f>
        <v>410843194.33999997</v>
      </c>
      <c r="I811" s="100">
        <f t="shared" si="34"/>
        <v>215464172.38</v>
      </c>
      <c r="J811" s="100">
        <f t="shared" si="34"/>
        <v>2764649544.23</v>
      </c>
      <c r="K811" s="100">
        <f t="shared" si="34"/>
        <v>105636037.55</v>
      </c>
      <c r="L811" s="100">
        <f t="shared" si="34"/>
        <v>14901729.33</v>
      </c>
      <c r="M811" s="100">
        <f t="shared" si="34"/>
        <v>926158791.84000003</v>
      </c>
      <c r="N811" s="100">
        <f t="shared" si="34"/>
        <v>908897384.00999999</v>
      </c>
      <c r="O811" s="100">
        <f t="shared" si="34"/>
        <v>4671478931.3900003</v>
      </c>
      <c r="P811" s="100">
        <f t="shared" si="34"/>
        <v>2165115703.0500002</v>
      </c>
      <c r="Q811" s="100">
        <f t="shared" si="34"/>
        <v>172418576.05000001</v>
      </c>
      <c r="R811" s="100">
        <f t="shared" si="34"/>
        <v>-147734.32999999999</v>
      </c>
      <c r="S811" s="100">
        <f t="shared" si="34"/>
        <v>-0.19</v>
      </c>
      <c r="T811" s="100">
        <f t="shared" si="34"/>
        <v>7.58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-40.369999999999997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9"/>
      <c r="D812" s="776"/>
      <c r="E812" s="98" t="s">
        <v>73</v>
      </c>
      <c r="F812" s="100">
        <f>F805</f>
        <v>-1036320522.4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9"/>
      <c r="D813" s="776" t="s">
        <v>133</v>
      </c>
      <c r="E813" s="233" t="s">
        <v>70</v>
      </c>
      <c r="F813" s="234">
        <f>F791+F757-L757</f>
        <v>441849</v>
      </c>
      <c r="G813" s="234">
        <f>G757</f>
        <v>26657.43</v>
      </c>
      <c r="H813" s="234">
        <f t="shared" ref="H813:AO813" si="35">H757</f>
        <v>14138.02</v>
      </c>
      <c r="I813" s="234">
        <f t="shared" si="35"/>
        <v>7723.27</v>
      </c>
      <c r="J813" s="234">
        <f t="shared" si="35"/>
        <v>93911.73</v>
      </c>
      <c r="K813" s="234">
        <f t="shared" si="35"/>
        <v>2290.29</v>
      </c>
      <c r="L813" s="234">
        <f t="shared" si="35"/>
        <v>0</v>
      </c>
      <c r="M813" s="234">
        <f t="shared" si="35"/>
        <v>20089.34</v>
      </c>
      <c r="N813" s="234">
        <f t="shared" si="35"/>
        <v>28092.36</v>
      </c>
      <c r="O813" s="234">
        <f t="shared" si="35"/>
        <v>141333</v>
      </c>
      <c r="P813" s="234">
        <f t="shared" si="35"/>
        <v>79544.789999999994</v>
      </c>
      <c r="Q813" s="234">
        <f t="shared" si="35"/>
        <v>3736.7</v>
      </c>
      <c r="R813" s="234">
        <f t="shared" si="35"/>
        <v>2.69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9"/>
      <c r="D814" s="776"/>
      <c r="E814" s="233" t="s">
        <v>73</v>
      </c>
      <c r="F814" s="234">
        <f>F791</f>
        <v>24329.38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9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9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9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9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9" t="s">
        <v>155</v>
      </c>
      <c r="D821" s="776" t="s">
        <v>132</v>
      </c>
      <c r="E821" s="221" t="s">
        <v>70</v>
      </c>
      <c r="F821" s="222">
        <f>F794+F761+F729-L729-L761</f>
        <v>11701157844.9</v>
      </c>
      <c r="G821" s="222">
        <f>G761+G729</f>
        <v>696844795.02999997</v>
      </c>
      <c r="H821" s="222">
        <f t="shared" ref="H821:AO821" si="36">H761+H729</f>
        <v>392989640.31</v>
      </c>
      <c r="I821" s="222">
        <f t="shared" si="36"/>
        <v>206069582.44999999</v>
      </c>
      <c r="J821" s="222">
        <f t="shared" si="36"/>
        <v>2740722350.5100002</v>
      </c>
      <c r="K821" s="222">
        <f t="shared" si="36"/>
        <v>104578894.56</v>
      </c>
      <c r="L821" s="222">
        <f t="shared" si="36"/>
        <v>8997077.0999999996</v>
      </c>
      <c r="M821" s="222">
        <f t="shared" si="36"/>
        <v>916904609.30999994</v>
      </c>
      <c r="N821" s="222">
        <f t="shared" si="36"/>
        <v>898289087.46000004</v>
      </c>
      <c r="O821" s="222">
        <f t="shared" si="36"/>
        <v>4616985820.4700003</v>
      </c>
      <c r="P821" s="222">
        <f t="shared" si="36"/>
        <v>2070281460.76</v>
      </c>
      <c r="Q821" s="222">
        <f t="shared" si="36"/>
        <v>170680332.09999999</v>
      </c>
      <c r="R821" s="222">
        <f t="shared" si="36"/>
        <v>-147148.47</v>
      </c>
      <c r="S821" s="222">
        <f t="shared" si="36"/>
        <v>0</v>
      </c>
      <c r="T821" s="222">
        <f t="shared" si="36"/>
        <v>7.04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-40.369999999999997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9"/>
      <c r="D822" s="776"/>
      <c r="E822" s="221" t="s">
        <v>73</v>
      </c>
      <c r="F822" s="222">
        <f>F794</f>
        <v>-1113041546.26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9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9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7" t="s">
        <v>325</v>
      </c>
      <c r="D826" s="776" t="s">
        <v>132</v>
      </c>
      <c r="E826" s="373" t="s">
        <v>70</v>
      </c>
      <c r="F826" s="374">
        <f>F797+F765-L765</f>
        <v>26864220</v>
      </c>
      <c r="G826" s="374">
        <f>G765</f>
        <v>1901488.25</v>
      </c>
      <c r="H826" s="374">
        <f t="shared" ref="H826:AO826" si="38">H765</f>
        <v>1046824.27</v>
      </c>
      <c r="I826" s="374">
        <f t="shared" si="38"/>
        <v>567773.57999999996</v>
      </c>
      <c r="J826" s="374">
        <f t="shared" si="38"/>
        <v>6845302.7000000002</v>
      </c>
      <c r="K826" s="374">
        <f t="shared" si="38"/>
        <v>247794.92</v>
      </c>
      <c r="L826" s="374">
        <f>L765</f>
        <v>0</v>
      </c>
      <c r="M826" s="374">
        <f t="shared" si="38"/>
        <v>2162004.0299999998</v>
      </c>
      <c r="N826" s="374">
        <f t="shared" si="38"/>
        <v>2129267.87</v>
      </c>
      <c r="O826" s="374">
        <f t="shared" si="38"/>
        <v>11087908.49</v>
      </c>
      <c r="P826" s="374">
        <f t="shared" si="38"/>
        <v>5438800.2300000004</v>
      </c>
      <c r="Q826" s="374">
        <f t="shared" si="38"/>
        <v>407765.67</v>
      </c>
      <c r="R826" s="374">
        <f t="shared" si="38"/>
        <v>87.55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7"/>
      <c r="D827" s="776"/>
      <c r="E827" s="373" t="s">
        <v>73</v>
      </c>
      <c r="F827" s="374">
        <f>F797</f>
        <v>-4970797.5599999996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7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7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9" t="s">
        <v>119</v>
      </c>
      <c r="D831" s="776" t="s">
        <v>132</v>
      </c>
      <c r="E831" s="101" t="s">
        <v>70</v>
      </c>
      <c r="F831" s="93">
        <f>F775+F804+F736-L736-L775</f>
        <v>304989620.81</v>
      </c>
      <c r="G831" s="93">
        <f>G775+G736</f>
        <v>30071357.300000001</v>
      </c>
      <c r="H831" s="93">
        <f t="shared" ref="H831:AO831" si="40">H775+H736</f>
        <v>16806729.760000002</v>
      </c>
      <c r="I831" s="93">
        <f t="shared" si="40"/>
        <v>8826816.3499999996</v>
      </c>
      <c r="J831" s="93">
        <f t="shared" si="40"/>
        <v>17081891.02</v>
      </c>
      <c r="K831" s="93">
        <f t="shared" si="40"/>
        <v>809348.07</v>
      </c>
      <c r="L831" s="93">
        <f t="shared" si="40"/>
        <v>5904652.2300000004</v>
      </c>
      <c r="M831" s="93">
        <f t="shared" si="40"/>
        <v>7092178.5</v>
      </c>
      <c r="N831" s="93">
        <f t="shared" si="40"/>
        <v>8479028.6799999997</v>
      </c>
      <c r="O831" s="93">
        <f t="shared" si="40"/>
        <v>43405202.43</v>
      </c>
      <c r="P831" s="93">
        <f t="shared" si="40"/>
        <v>89395442.060000002</v>
      </c>
      <c r="Q831" s="93">
        <f t="shared" si="40"/>
        <v>1330478.28</v>
      </c>
      <c r="R831" s="93">
        <f t="shared" si="40"/>
        <v>-673.41</v>
      </c>
      <c r="S831" s="93">
        <f t="shared" si="40"/>
        <v>-0.19</v>
      </c>
      <c r="T831" s="93">
        <f t="shared" si="40"/>
        <v>0.54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0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9"/>
      <c r="D832" s="776"/>
      <c r="E832" s="101" t="s">
        <v>73</v>
      </c>
      <c r="F832" s="93">
        <f>F804</f>
        <v>81691821.420000002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9"/>
      <c r="D833" s="776" t="s">
        <v>133</v>
      </c>
      <c r="E833" s="235" t="s">
        <v>70</v>
      </c>
      <c r="F833" s="236">
        <f>F790+F756-L756</f>
        <v>441849</v>
      </c>
      <c r="G833" s="236">
        <f>G756</f>
        <v>26657.43</v>
      </c>
      <c r="H833" s="236">
        <f t="shared" ref="H833:AO833" si="41">H756</f>
        <v>14138.02</v>
      </c>
      <c r="I833" s="236">
        <f t="shared" si="41"/>
        <v>7723.27</v>
      </c>
      <c r="J833" s="236">
        <f t="shared" si="41"/>
        <v>93911.73</v>
      </c>
      <c r="K833" s="236">
        <f t="shared" si="41"/>
        <v>2290.29</v>
      </c>
      <c r="L833" s="236">
        <f t="shared" si="41"/>
        <v>0</v>
      </c>
      <c r="M833" s="236">
        <f t="shared" si="41"/>
        <v>20089.34</v>
      </c>
      <c r="N833" s="236">
        <f t="shared" si="41"/>
        <v>28092.36</v>
      </c>
      <c r="O833" s="236">
        <f t="shared" si="41"/>
        <v>141333</v>
      </c>
      <c r="P833" s="236">
        <f t="shared" si="41"/>
        <v>79544.789999999994</v>
      </c>
      <c r="Q833" s="236">
        <f t="shared" si="41"/>
        <v>3736.7</v>
      </c>
      <c r="R833" s="236">
        <f t="shared" si="41"/>
        <v>2.69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9"/>
      <c r="D834" s="776"/>
      <c r="E834" s="235" t="s">
        <v>73</v>
      </c>
      <c r="F834" s="236">
        <f>F790</f>
        <v>24329.38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8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8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8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8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0</v>
      </c>
      <c r="G841" s="460">
        <f t="shared" ref="G841:AA841" si="42">G738</f>
        <v>0</v>
      </c>
      <c r="H841" s="460">
        <f t="shared" si="42"/>
        <v>0</v>
      </c>
      <c r="I841" s="460">
        <f t="shared" si="42"/>
        <v>0</v>
      </c>
      <c r="J841" s="460">
        <f t="shared" si="42"/>
        <v>0</v>
      </c>
      <c r="K841" s="460">
        <f t="shared" si="42"/>
        <v>0</v>
      </c>
      <c r="L841" s="460">
        <f t="shared" si="42"/>
        <v>0</v>
      </c>
      <c r="M841" s="460">
        <f t="shared" si="42"/>
        <v>0</v>
      </c>
      <c r="N841" s="460">
        <f t="shared" si="42"/>
        <v>0</v>
      </c>
      <c r="O841" s="460">
        <f t="shared" si="42"/>
        <v>0</v>
      </c>
      <c r="P841" s="460">
        <f t="shared" si="42"/>
        <v>0</v>
      </c>
      <c r="Q841" s="460">
        <f t="shared" si="42"/>
        <v>0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331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104754634.94</v>
      </c>
      <c r="F7" s="89">
        <v>6975298.6900000004</v>
      </c>
      <c r="G7" s="89">
        <v>3988878.11</v>
      </c>
      <c r="H7" s="384">
        <v>1891710.46</v>
      </c>
      <c r="I7" s="89">
        <v>21813833.059999999</v>
      </c>
      <c r="J7" s="89">
        <v>885097.78</v>
      </c>
      <c r="K7" s="89">
        <v>0</v>
      </c>
      <c r="L7" s="89">
        <v>8065770.6100000003</v>
      </c>
      <c r="M7" s="89">
        <v>7536469.1200000001</v>
      </c>
      <c r="N7" s="89">
        <v>33213003.719999999</v>
      </c>
      <c r="O7" s="89">
        <v>19115514.460000001</v>
      </c>
      <c r="P7" s="89">
        <v>1269059.56</v>
      </c>
      <c r="Q7" s="89">
        <v>-0.63</v>
      </c>
      <c r="R7">
        <v>0</v>
      </c>
    </row>
    <row r="8" spans="2:19" ht="12.75" customHeight="1" x14ac:dyDescent="0.25">
      <c r="D8" t="s">
        <v>81</v>
      </c>
      <c r="E8">
        <v>15816.77</v>
      </c>
      <c r="F8">
        <v>1163.3800000000001</v>
      </c>
      <c r="G8">
        <v>642.32000000000005</v>
      </c>
      <c r="H8">
        <v>341.55</v>
      </c>
      <c r="I8">
        <v>3027.69</v>
      </c>
      <c r="J8">
        <v>126.06</v>
      </c>
      <c r="K8">
        <v>0</v>
      </c>
      <c r="L8">
        <v>1110.6099999999999</v>
      </c>
      <c r="M8">
        <v>1054.19</v>
      </c>
      <c r="N8">
        <v>4963.7299999999996</v>
      </c>
      <c r="O8">
        <v>3181.55</v>
      </c>
      <c r="P8">
        <v>205.61</v>
      </c>
      <c r="Q8">
        <v>0.08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104770451.70999999</v>
      </c>
      <c r="F9">
        <v>6976462.0700000003</v>
      </c>
      <c r="G9">
        <v>3989520.43</v>
      </c>
      <c r="H9">
        <v>1892052.01</v>
      </c>
      <c r="I9">
        <v>21816860.75</v>
      </c>
      <c r="J9">
        <v>885223.84</v>
      </c>
      <c r="K9">
        <v>0</v>
      </c>
      <c r="L9">
        <v>8066881.2199999997</v>
      </c>
      <c r="M9">
        <v>7537523.3099999996</v>
      </c>
      <c r="N9">
        <v>33217967.449999999</v>
      </c>
      <c r="O9">
        <v>19118696.010000002</v>
      </c>
      <c r="P9">
        <v>1269265.17</v>
      </c>
      <c r="Q9">
        <v>-0.55000000000000004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104770451.70999999</v>
      </c>
      <c r="F10" s="286">
        <v>6976462.0700000003</v>
      </c>
      <c r="G10" s="286">
        <v>3989520.43</v>
      </c>
      <c r="H10" s="286">
        <v>1892052.01</v>
      </c>
      <c r="I10" s="286">
        <v>21816860.75</v>
      </c>
      <c r="J10" s="286">
        <v>885223.84</v>
      </c>
      <c r="K10" s="286">
        <v>0</v>
      </c>
      <c r="L10" s="286">
        <v>8066881.2199999997</v>
      </c>
      <c r="M10" s="286">
        <v>7537523.3099999996</v>
      </c>
      <c r="N10" s="286">
        <v>33217967.449999999</v>
      </c>
      <c r="O10" s="286">
        <v>19118696.010000002</v>
      </c>
      <c r="P10" s="286">
        <v>1269265.17</v>
      </c>
      <c r="Q10" s="286">
        <v>-0.55000000000000004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325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2066328.15</v>
      </c>
      <c r="F15">
        <v>95509.13</v>
      </c>
      <c r="G15">
        <v>53786.6</v>
      </c>
      <c r="H15">
        <v>25807.38</v>
      </c>
      <c r="I15">
        <v>498516.51</v>
      </c>
      <c r="J15">
        <v>14869.65</v>
      </c>
      <c r="K15">
        <v>0</v>
      </c>
      <c r="L15">
        <v>154839.34</v>
      </c>
      <c r="M15">
        <v>178346.64</v>
      </c>
      <c r="N15">
        <v>760377.7</v>
      </c>
      <c r="O15">
        <v>261105.9</v>
      </c>
      <c r="P15">
        <v>23181.14</v>
      </c>
      <c r="Q15">
        <v>-11.84</v>
      </c>
      <c r="R15">
        <v>0</v>
      </c>
    </row>
    <row r="16" spans="2:19" ht="12.75" customHeight="1" x14ac:dyDescent="0.25">
      <c r="B16" s="142"/>
      <c r="D16" t="s">
        <v>81</v>
      </c>
      <c r="E16" s="142">
        <v>53.09</v>
      </c>
      <c r="F16">
        <v>2.2000000000000002</v>
      </c>
      <c r="G16">
        <v>1.21</v>
      </c>
      <c r="H16">
        <v>0.66</v>
      </c>
      <c r="I16">
        <v>13.81</v>
      </c>
      <c r="J16">
        <v>0.47</v>
      </c>
      <c r="K16">
        <v>0</v>
      </c>
      <c r="L16">
        <v>4.1100000000000003</v>
      </c>
      <c r="M16">
        <v>4.2</v>
      </c>
      <c r="N16">
        <v>19.61</v>
      </c>
      <c r="O16">
        <v>6.05</v>
      </c>
      <c r="P16">
        <v>0.77</v>
      </c>
      <c r="Q16">
        <v>0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2066381.24</v>
      </c>
      <c r="F17">
        <v>95511.33</v>
      </c>
      <c r="G17">
        <v>53787.81</v>
      </c>
      <c r="H17">
        <v>25808.04</v>
      </c>
      <c r="I17">
        <v>498530.32</v>
      </c>
      <c r="J17">
        <v>14870.12</v>
      </c>
      <c r="K17">
        <v>0</v>
      </c>
      <c r="L17">
        <v>154843.45000000001</v>
      </c>
      <c r="M17">
        <v>178350.84</v>
      </c>
      <c r="N17">
        <v>760397.31</v>
      </c>
      <c r="O17">
        <v>261111.95</v>
      </c>
      <c r="P17">
        <v>23181.91</v>
      </c>
      <c r="Q17">
        <v>-11.84</v>
      </c>
      <c r="R17">
        <v>0</v>
      </c>
    </row>
    <row r="18" spans="1:18" ht="12.75" customHeight="1" x14ac:dyDescent="0.25">
      <c r="B18" s="142"/>
      <c r="D18" t="s">
        <v>72</v>
      </c>
      <c r="E18">
        <v>1667705.29</v>
      </c>
      <c r="F18">
        <v>94831.21</v>
      </c>
      <c r="G18">
        <v>53653.37</v>
      </c>
      <c r="H18">
        <v>23974.41</v>
      </c>
      <c r="I18">
        <v>360931.98</v>
      </c>
      <c r="J18">
        <v>13656.23</v>
      </c>
      <c r="K18">
        <v>0</v>
      </c>
      <c r="L18">
        <v>118901.31</v>
      </c>
      <c r="M18">
        <v>135021.65</v>
      </c>
      <c r="N18">
        <v>589240.87</v>
      </c>
      <c r="O18">
        <v>258802.75</v>
      </c>
      <c r="P18">
        <v>18683.400000000001</v>
      </c>
      <c r="Q18">
        <v>8.11</v>
      </c>
      <c r="R18">
        <v>0</v>
      </c>
    </row>
    <row r="19" spans="1:18" ht="12.75" customHeight="1" x14ac:dyDescent="0.25">
      <c r="B19" s="142"/>
      <c r="D19" t="s">
        <v>81</v>
      </c>
      <c r="E19">
        <v>534.46</v>
      </c>
      <c r="F19">
        <v>31.52</v>
      </c>
      <c r="G19">
        <v>17.829999999999998</v>
      </c>
      <c r="H19">
        <v>9.34</v>
      </c>
      <c r="I19">
        <v>118.64</v>
      </c>
      <c r="J19">
        <v>4.45</v>
      </c>
      <c r="K19">
        <v>0</v>
      </c>
      <c r="L19">
        <v>39.04</v>
      </c>
      <c r="M19">
        <v>38.33</v>
      </c>
      <c r="N19">
        <v>181.9</v>
      </c>
      <c r="O19">
        <v>86.11</v>
      </c>
      <c r="P19">
        <v>7.3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1668239.75</v>
      </c>
      <c r="F20">
        <v>94862.73</v>
      </c>
      <c r="G20">
        <v>53671.199999999997</v>
      </c>
      <c r="H20">
        <v>23983.75</v>
      </c>
      <c r="I20">
        <v>361050.62</v>
      </c>
      <c r="J20">
        <v>13660.68</v>
      </c>
      <c r="K20">
        <v>0</v>
      </c>
      <c r="L20">
        <v>118940.35</v>
      </c>
      <c r="M20">
        <v>135059.98000000001</v>
      </c>
      <c r="N20">
        <v>589422.77</v>
      </c>
      <c r="O20">
        <v>258888.86</v>
      </c>
      <c r="P20">
        <v>18690.7</v>
      </c>
      <c r="Q20">
        <v>8.11</v>
      </c>
      <c r="R20">
        <v>0</v>
      </c>
    </row>
    <row r="21" spans="1:18" ht="12.75" customHeight="1" x14ac:dyDescent="0.25">
      <c r="B21" s="142"/>
      <c r="D21" t="s">
        <v>72</v>
      </c>
      <c r="E21" s="142">
        <v>18251249.02</v>
      </c>
      <c r="F21">
        <v>2466979.2999999998</v>
      </c>
      <c r="G21">
        <v>1389961.36</v>
      </c>
      <c r="H21">
        <v>841642.79</v>
      </c>
      <c r="I21">
        <v>1865966.03</v>
      </c>
      <c r="J21">
        <v>51082.32</v>
      </c>
      <c r="K21">
        <v>0</v>
      </c>
      <c r="L21">
        <v>482981.31</v>
      </c>
      <c r="M21">
        <v>671717.75</v>
      </c>
      <c r="N21">
        <v>3043351.32</v>
      </c>
      <c r="O21">
        <v>7354815.6399999997</v>
      </c>
      <c r="P21">
        <v>82820.66</v>
      </c>
      <c r="Q21">
        <v>-69.459999999999994</v>
      </c>
      <c r="R21">
        <v>0</v>
      </c>
    </row>
    <row r="22" spans="1:18" ht="12.75" customHeight="1" x14ac:dyDescent="0.25">
      <c r="B22" s="142"/>
      <c r="D22" t="s">
        <v>81</v>
      </c>
      <c r="E22" s="142">
        <v>35670.699999999997</v>
      </c>
      <c r="F22">
        <v>6587.48</v>
      </c>
      <c r="G22">
        <v>3721.93</v>
      </c>
      <c r="H22">
        <v>1963.44</v>
      </c>
      <c r="I22">
        <v>1660.15</v>
      </c>
      <c r="J22">
        <v>49.7</v>
      </c>
      <c r="K22">
        <v>0</v>
      </c>
      <c r="L22">
        <v>436.97</v>
      </c>
      <c r="M22">
        <v>541.21</v>
      </c>
      <c r="N22">
        <v>2526.1</v>
      </c>
      <c r="O22">
        <v>18102.54</v>
      </c>
      <c r="P22">
        <v>81.19</v>
      </c>
      <c r="Q22">
        <v>-0.01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18286919.719999999</v>
      </c>
      <c r="F23" s="90">
        <v>2473566.7799999998</v>
      </c>
      <c r="G23" s="90">
        <v>1393683.29</v>
      </c>
      <c r="H23" s="90">
        <v>843606.23</v>
      </c>
      <c r="I23" s="90">
        <v>1867626.18</v>
      </c>
      <c r="J23" s="90">
        <v>51132.02</v>
      </c>
      <c r="K23" s="90">
        <v>0</v>
      </c>
      <c r="L23" s="90">
        <v>483418.28</v>
      </c>
      <c r="M23" s="90">
        <v>672258.96</v>
      </c>
      <c r="N23" s="90">
        <v>3045877.42</v>
      </c>
      <c r="O23" s="90">
        <v>7372918.1799999997</v>
      </c>
      <c r="P23" s="90">
        <v>82901.850000000006</v>
      </c>
      <c r="Q23" s="90">
        <v>-69.47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22021540.710000001</v>
      </c>
      <c r="F24" s="93">
        <v>2663940.84</v>
      </c>
      <c r="G24" s="93">
        <v>1501142.3</v>
      </c>
      <c r="H24" s="93">
        <v>893398.02</v>
      </c>
      <c r="I24" s="93">
        <v>2727207.12</v>
      </c>
      <c r="J24" s="93">
        <v>79662.820000000007</v>
      </c>
      <c r="K24" s="93">
        <v>0</v>
      </c>
      <c r="L24" s="93">
        <v>757202.08</v>
      </c>
      <c r="M24" s="93">
        <v>985669.78</v>
      </c>
      <c r="N24" s="93">
        <v>4395697.5</v>
      </c>
      <c r="O24" s="93">
        <v>7892918.9900000002</v>
      </c>
      <c r="P24" s="93">
        <v>124774.46</v>
      </c>
      <c r="Q24" s="93">
        <v>-73.2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126791992.42</v>
      </c>
      <c r="F25" s="100">
        <v>9640402.9100000001</v>
      </c>
      <c r="G25" s="100">
        <v>5490662.7300000004</v>
      </c>
      <c r="H25" s="100">
        <v>2785450.03</v>
      </c>
      <c r="I25" s="100">
        <v>24544067.870000001</v>
      </c>
      <c r="J25" s="100">
        <v>964886.66</v>
      </c>
      <c r="K25" s="100">
        <v>0</v>
      </c>
      <c r="L25" s="100">
        <v>8824083.3000000007</v>
      </c>
      <c r="M25" s="100">
        <v>8523193.0899999999</v>
      </c>
      <c r="N25" s="100">
        <v>37613664.950000003</v>
      </c>
      <c r="O25" s="100">
        <v>27011615</v>
      </c>
      <c r="P25" s="100">
        <v>1394039.63</v>
      </c>
      <c r="Q25" s="100">
        <v>-73.75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331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-7679309.1900000004</v>
      </c>
      <c r="F29" s="90">
        <v>637875.65</v>
      </c>
      <c r="G29" s="90">
        <v>341985.27</v>
      </c>
      <c r="H29" s="90">
        <v>179997</v>
      </c>
      <c r="I29" s="90">
        <v>-2784147.34</v>
      </c>
      <c r="J29" s="90">
        <v>-136924.32</v>
      </c>
      <c r="K29" s="90">
        <v>0</v>
      </c>
      <c r="L29" s="90">
        <v>-1201987.1299999999</v>
      </c>
      <c r="M29" s="90">
        <v>-1088414.75</v>
      </c>
      <c r="N29" s="90">
        <v>-5141699.01</v>
      </c>
      <c r="O29" s="90">
        <v>1734349.59</v>
      </c>
      <c r="P29" s="90">
        <v>-220344.15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-7679309.1900000004</v>
      </c>
      <c r="F30" s="90">
        <v>637875.65</v>
      </c>
      <c r="G30" s="90">
        <v>341985.27</v>
      </c>
      <c r="H30" s="90">
        <v>179997</v>
      </c>
      <c r="I30" s="90">
        <v>-2784147.34</v>
      </c>
      <c r="J30" s="90">
        <v>-136924.32</v>
      </c>
      <c r="K30" s="90">
        <v>0</v>
      </c>
      <c r="L30" s="90">
        <v>-1201987.1299999999</v>
      </c>
      <c r="M30" s="90">
        <v>-1088414.75</v>
      </c>
      <c r="N30" s="90">
        <v>-5141699.01</v>
      </c>
      <c r="O30" s="90">
        <v>1734349.59</v>
      </c>
      <c r="P30" s="90">
        <v>-220344.15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-7679309.1900000004</v>
      </c>
      <c r="F31" s="286">
        <v>637875.65</v>
      </c>
      <c r="G31" s="286">
        <v>341985.27</v>
      </c>
      <c r="H31" s="286">
        <v>179997</v>
      </c>
      <c r="I31" s="286">
        <v>-2784147.34</v>
      </c>
      <c r="J31" s="286">
        <v>-136924.32</v>
      </c>
      <c r="K31" s="286">
        <v>0</v>
      </c>
      <c r="L31" s="286">
        <v>-1201987.1299999999</v>
      </c>
      <c r="M31" s="286">
        <v>-1088414.75</v>
      </c>
      <c r="N31" s="286">
        <v>-5141699.01</v>
      </c>
      <c r="O31" s="286">
        <v>1734349.59</v>
      </c>
      <c r="P31" s="286">
        <v>-220344.15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325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-50554.720000000001</v>
      </c>
      <c r="F35" s="90">
        <v>4736.1099999999997</v>
      </c>
      <c r="G35" s="90">
        <v>2674.07</v>
      </c>
      <c r="H35" s="90">
        <v>345.4</v>
      </c>
      <c r="I35" s="90">
        <v>-23429.040000000001</v>
      </c>
      <c r="J35" s="90">
        <v>-1776.06</v>
      </c>
      <c r="K35" s="90">
        <v>0</v>
      </c>
      <c r="L35" s="90">
        <v>-14634.19</v>
      </c>
      <c r="M35" s="90">
        <v>-5072.07</v>
      </c>
      <c r="N35" s="90">
        <v>-23919.85</v>
      </c>
      <c r="O35" s="90">
        <v>13249.96</v>
      </c>
      <c r="P35" s="90">
        <v>-2729.05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-50554.720000000001</v>
      </c>
      <c r="F36" s="90">
        <v>4736.1099999999997</v>
      </c>
      <c r="G36" s="90">
        <v>2674.07</v>
      </c>
      <c r="H36" s="90">
        <v>345.4</v>
      </c>
      <c r="I36" s="90">
        <v>-23429.040000000001</v>
      </c>
      <c r="J36" s="90">
        <v>-1776.06</v>
      </c>
      <c r="K36" s="90">
        <v>0</v>
      </c>
      <c r="L36" s="90">
        <v>-14634.19</v>
      </c>
      <c r="M36" s="90">
        <v>-5072.07</v>
      </c>
      <c r="N36" s="90">
        <v>-23919.85</v>
      </c>
      <c r="O36" s="90">
        <v>13249.96</v>
      </c>
      <c r="P36" s="90">
        <v>-2729.05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-41372.31</v>
      </c>
      <c r="F37" s="90">
        <v>12793.71</v>
      </c>
      <c r="G37" s="90">
        <v>7223.37</v>
      </c>
      <c r="H37" s="90">
        <v>821.96</v>
      </c>
      <c r="I37" s="90">
        <v>-13378.5</v>
      </c>
      <c r="J37" s="90">
        <v>-1510.5</v>
      </c>
      <c r="K37" s="90">
        <v>0</v>
      </c>
      <c r="L37" s="90">
        <v>-12344.21</v>
      </c>
      <c r="M37" s="90">
        <v>-12400.64</v>
      </c>
      <c r="N37" s="90">
        <v>-55249.52</v>
      </c>
      <c r="O37" s="90">
        <v>35136.410000000003</v>
      </c>
      <c r="P37" s="90">
        <v>-2464.39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-41372.31</v>
      </c>
      <c r="F38" s="90">
        <v>12793.71</v>
      </c>
      <c r="G38" s="90">
        <v>7223.37</v>
      </c>
      <c r="H38" s="90">
        <v>821.96</v>
      </c>
      <c r="I38" s="90">
        <v>-13378.5</v>
      </c>
      <c r="J38" s="90">
        <v>-1510.5</v>
      </c>
      <c r="K38" s="90">
        <v>0</v>
      </c>
      <c r="L38" s="90">
        <v>-12344.21</v>
      </c>
      <c r="M38" s="90">
        <v>-12400.64</v>
      </c>
      <c r="N38" s="90">
        <v>-55249.52</v>
      </c>
      <c r="O38" s="90">
        <v>35136.410000000003</v>
      </c>
      <c r="P38" s="90">
        <v>-2464.39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6927796.9199999999</v>
      </c>
      <c r="F39" s="90">
        <v>1130170.6499999999</v>
      </c>
      <c r="G39" s="90">
        <v>623361.6</v>
      </c>
      <c r="H39" s="90">
        <v>304609.90999999997</v>
      </c>
      <c r="I39" s="90">
        <v>533203.52</v>
      </c>
      <c r="J39" s="90">
        <v>13692.34</v>
      </c>
      <c r="K39" s="90">
        <v>0</v>
      </c>
      <c r="L39" s="90">
        <v>126469.3</v>
      </c>
      <c r="M39" s="90">
        <v>172463.37</v>
      </c>
      <c r="N39" s="90">
        <v>810419.93</v>
      </c>
      <c r="O39" s="90">
        <v>3191349.94</v>
      </c>
      <c r="P39" s="90">
        <v>22056.36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6927796.9199999999</v>
      </c>
      <c r="F40" s="90">
        <v>1130170.6499999999</v>
      </c>
      <c r="G40" s="90">
        <v>623361.6</v>
      </c>
      <c r="H40" s="90">
        <v>304609.90999999997</v>
      </c>
      <c r="I40" s="90">
        <v>533203.52</v>
      </c>
      <c r="J40" s="90">
        <v>13692.34</v>
      </c>
      <c r="K40" s="90">
        <v>0</v>
      </c>
      <c r="L40" s="90">
        <v>126469.3</v>
      </c>
      <c r="M40" s="90">
        <v>172463.37</v>
      </c>
      <c r="N40" s="90">
        <v>810419.93</v>
      </c>
      <c r="O40" s="90">
        <v>3191349.94</v>
      </c>
      <c r="P40" s="90">
        <v>22056.36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6835869.8899999997</v>
      </c>
      <c r="F41" s="93">
        <v>1147700.47</v>
      </c>
      <c r="G41" s="93">
        <v>633259.04</v>
      </c>
      <c r="H41" s="93">
        <v>305777.27</v>
      </c>
      <c r="I41" s="93">
        <v>496395.98</v>
      </c>
      <c r="J41" s="93">
        <v>10405.780000000001</v>
      </c>
      <c r="K41" s="93">
        <v>0</v>
      </c>
      <c r="L41" s="93">
        <v>99490.9</v>
      </c>
      <c r="M41" s="93">
        <v>154990.66</v>
      </c>
      <c r="N41" s="93">
        <v>731250.56</v>
      </c>
      <c r="O41" s="93">
        <v>3239736.31</v>
      </c>
      <c r="P41" s="93">
        <v>16862.919999999998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-843439.3</v>
      </c>
      <c r="F42" s="100">
        <v>1785576.12</v>
      </c>
      <c r="G42" s="100">
        <v>975244.31</v>
      </c>
      <c r="H42" s="100">
        <v>485774.27</v>
      </c>
      <c r="I42" s="100">
        <v>-2287751.36</v>
      </c>
      <c r="J42" s="100">
        <v>-126518.54</v>
      </c>
      <c r="K42" s="100">
        <v>0</v>
      </c>
      <c r="L42" s="100">
        <v>-1102496.23</v>
      </c>
      <c r="M42" s="100">
        <v>-933424.09</v>
      </c>
      <c r="N42" s="100">
        <v>-4410448.45</v>
      </c>
      <c r="O42" s="100">
        <v>4974085.9000000004</v>
      </c>
      <c r="P42" s="100">
        <v>-203481.23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125948553.12</v>
      </c>
      <c r="F43" s="90">
        <v>11425979.029999999</v>
      </c>
      <c r="G43" s="90">
        <v>6465907.04</v>
      </c>
      <c r="H43" s="90">
        <v>3271224.3</v>
      </c>
      <c r="I43" s="90">
        <v>22256316.510000002</v>
      </c>
      <c r="J43" s="90">
        <v>838368.12</v>
      </c>
      <c r="K43" s="90">
        <v>0</v>
      </c>
      <c r="L43" s="90">
        <v>7721587.0700000003</v>
      </c>
      <c r="M43" s="90">
        <v>7589769</v>
      </c>
      <c r="N43" s="90">
        <v>33203216.5</v>
      </c>
      <c r="O43" s="90">
        <v>31985700.899999999</v>
      </c>
      <c r="P43" s="90">
        <v>1190558.3999999999</v>
      </c>
      <c r="Q43" s="90">
        <v>-73.75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9" t="s">
        <v>2</v>
      </c>
      <c r="C57" s="776" t="s">
        <v>132</v>
      </c>
      <c r="D57" s="98" t="s">
        <v>70</v>
      </c>
      <c r="E57" s="100">
        <f>E25+E42-K25</f>
        <v>125948553.12</v>
      </c>
      <c r="F57" s="100">
        <f>F25</f>
        <v>9640402.9100000001</v>
      </c>
      <c r="G57" s="100">
        <f t="shared" ref="G57:S57" si="0">G25</f>
        <v>5490662.7300000004</v>
      </c>
      <c r="H57" s="100">
        <f t="shared" si="0"/>
        <v>2785450.03</v>
      </c>
      <c r="I57" s="100">
        <f t="shared" si="0"/>
        <v>24544067.870000001</v>
      </c>
      <c r="J57" s="100">
        <f t="shared" si="0"/>
        <v>964886.66</v>
      </c>
      <c r="K57" s="100">
        <f t="shared" si="0"/>
        <v>0</v>
      </c>
      <c r="L57" s="100">
        <f t="shared" si="0"/>
        <v>8824083.3000000007</v>
      </c>
      <c r="M57" s="100">
        <f t="shared" si="0"/>
        <v>8523193.0899999999</v>
      </c>
      <c r="N57" s="100">
        <f t="shared" si="0"/>
        <v>37613664.950000003</v>
      </c>
      <c r="O57" s="100">
        <f t="shared" si="0"/>
        <v>27011615</v>
      </c>
      <c r="P57" s="100">
        <f t="shared" si="0"/>
        <v>1394039.63</v>
      </c>
      <c r="Q57" s="100">
        <f t="shared" si="0"/>
        <v>-73.75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9"/>
      <c r="C58" s="776"/>
      <c r="D58" s="98" t="s">
        <v>73</v>
      </c>
      <c r="E58" s="100">
        <f>E42</f>
        <v>-843439.3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9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9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9" t="s">
        <v>155</v>
      </c>
      <c r="C63" s="776" t="s">
        <v>132</v>
      </c>
      <c r="D63" s="221" t="s">
        <v>70</v>
      </c>
      <c r="E63" s="222">
        <f>E31+E28+E10+E6-K6-K10</f>
        <v>97091142.519999996</v>
      </c>
      <c r="F63" s="222">
        <f>F10+F6</f>
        <v>6976462.0700000003</v>
      </c>
      <c r="G63" s="222">
        <f t="shared" ref="G63:S63" si="1">G10+G6</f>
        <v>3989520.43</v>
      </c>
      <c r="H63" s="222">
        <f t="shared" si="1"/>
        <v>1892052.01</v>
      </c>
      <c r="I63" s="222">
        <f t="shared" si="1"/>
        <v>21816860.75</v>
      </c>
      <c r="J63" s="222">
        <f t="shared" si="1"/>
        <v>885223.84</v>
      </c>
      <c r="K63" s="222">
        <f t="shared" si="1"/>
        <v>0</v>
      </c>
      <c r="L63" s="222">
        <f t="shared" si="1"/>
        <v>8066881.2199999997</v>
      </c>
      <c r="M63" s="222">
        <f t="shared" si="1"/>
        <v>7537523.3099999996</v>
      </c>
      <c r="N63" s="222">
        <f t="shared" si="1"/>
        <v>33217967.449999999</v>
      </c>
      <c r="O63" s="222">
        <f t="shared" si="1"/>
        <v>19118696.010000002</v>
      </c>
      <c r="P63" s="222">
        <f t="shared" si="1"/>
        <v>1269265.17</v>
      </c>
      <c r="Q63" s="222">
        <f t="shared" si="1"/>
        <v>-0.55000000000000004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9"/>
      <c r="C64" s="776"/>
      <c r="D64" s="221" t="s">
        <v>73</v>
      </c>
      <c r="E64" s="222">
        <f>E31+E28</f>
        <v>-7679309.1900000004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7" t="s">
        <v>325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7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9" t="s">
        <v>119</v>
      </c>
      <c r="C69" s="776" t="s">
        <v>132</v>
      </c>
      <c r="D69" s="101" t="s">
        <v>70</v>
      </c>
      <c r="E69" s="93">
        <f>E24+E41-K24</f>
        <v>28857410.600000001</v>
      </c>
      <c r="F69" s="93">
        <f>F24</f>
        <v>2663940.84</v>
      </c>
      <c r="G69" s="93">
        <f t="shared" ref="G69:S69" si="2">G24</f>
        <v>1501142.3</v>
      </c>
      <c r="H69" s="93">
        <f t="shared" si="2"/>
        <v>893398.02</v>
      </c>
      <c r="I69" s="93">
        <f t="shared" si="2"/>
        <v>2727207.12</v>
      </c>
      <c r="J69" s="93">
        <f t="shared" si="2"/>
        <v>79662.820000000007</v>
      </c>
      <c r="K69" s="93">
        <f t="shared" si="2"/>
        <v>0</v>
      </c>
      <c r="L69" s="93">
        <f t="shared" si="2"/>
        <v>757202.08</v>
      </c>
      <c r="M69" s="93">
        <f t="shared" si="2"/>
        <v>985669.78</v>
      </c>
      <c r="N69" s="93">
        <f t="shared" si="2"/>
        <v>4395697.5</v>
      </c>
      <c r="O69" s="93">
        <f t="shared" si="2"/>
        <v>7892918.9900000002</v>
      </c>
      <c r="P69" s="93">
        <f t="shared" si="2"/>
        <v>124774.46</v>
      </c>
      <c r="Q69" s="93">
        <f t="shared" si="2"/>
        <v>-73.2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9"/>
      <c r="C70" s="776"/>
      <c r="D70" s="101" t="s">
        <v>73</v>
      </c>
      <c r="E70" s="93">
        <f>E41</f>
        <v>6835869.8899999997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8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8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331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71702408.709999993</v>
      </c>
      <c r="F81" s="90">
        <v>4119196.88</v>
      </c>
      <c r="G81" s="90">
        <v>2445784.34</v>
      </c>
      <c r="H81" s="90">
        <v>988499.28</v>
      </c>
      <c r="I81" s="90">
        <v>18958221.460000001</v>
      </c>
      <c r="J81" s="90">
        <v>632942.16</v>
      </c>
      <c r="K81" s="90">
        <v>0</v>
      </c>
      <c r="L81" s="90">
        <v>5923929.5</v>
      </c>
      <c r="M81" s="90">
        <v>5752498.0499999998</v>
      </c>
      <c r="N81" s="90">
        <v>23264098.649999999</v>
      </c>
      <c r="O81" s="90">
        <v>8731555.5600000005</v>
      </c>
      <c r="P81" s="90">
        <v>885560.39</v>
      </c>
      <c r="Q81" s="90">
        <v>122.44</v>
      </c>
      <c r="R81">
        <v>0</v>
      </c>
    </row>
    <row r="82" spans="2:18" ht="12.75" customHeight="1" x14ac:dyDescent="0.25">
      <c r="B82" s="142"/>
      <c r="D82" s="89" t="s">
        <v>81</v>
      </c>
      <c r="E82" s="90">
        <v>95038.85</v>
      </c>
      <c r="F82" s="90">
        <v>9024.33</v>
      </c>
      <c r="G82" s="90">
        <v>4730.41</v>
      </c>
      <c r="H82" s="90">
        <v>2571.8200000000002</v>
      </c>
      <c r="I82" s="90">
        <v>19131.48</v>
      </c>
      <c r="J82" s="90">
        <v>648.99</v>
      </c>
      <c r="K82" s="90">
        <v>0</v>
      </c>
      <c r="L82" s="90">
        <v>5659.74</v>
      </c>
      <c r="M82" s="90">
        <v>6117.92</v>
      </c>
      <c r="N82" s="90">
        <v>28047</v>
      </c>
      <c r="O82" s="90">
        <v>18026.080000000002</v>
      </c>
      <c r="P82" s="90">
        <v>1059.27</v>
      </c>
      <c r="Q82" s="90">
        <v>21.81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71797447.560000002</v>
      </c>
      <c r="F83" s="90">
        <v>4128221.21</v>
      </c>
      <c r="G83" s="90">
        <v>2450514.75</v>
      </c>
      <c r="H83" s="90">
        <v>991071.1</v>
      </c>
      <c r="I83" s="90">
        <v>18977352.940000001</v>
      </c>
      <c r="J83" s="90">
        <v>633591.15</v>
      </c>
      <c r="K83" s="90">
        <v>0</v>
      </c>
      <c r="L83" s="90">
        <v>5929589.2400000002</v>
      </c>
      <c r="M83" s="90">
        <v>5758615.9699999997</v>
      </c>
      <c r="N83" s="90">
        <v>23292145.649999999</v>
      </c>
      <c r="O83" s="90">
        <v>8749581.6400000006</v>
      </c>
      <c r="P83" s="90">
        <v>886619.66</v>
      </c>
      <c r="Q83" s="90">
        <v>144.25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71797447.560000002</v>
      </c>
      <c r="F84" s="230">
        <v>4128221.21</v>
      </c>
      <c r="G84" s="230">
        <v>2450514.75</v>
      </c>
      <c r="H84" s="230">
        <v>991071.1</v>
      </c>
      <c r="I84" s="230">
        <v>18977352.940000001</v>
      </c>
      <c r="J84" s="230">
        <v>633591.15</v>
      </c>
      <c r="K84" s="230">
        <v>0</v>
      </c>
      <c r="L84" s="230">
        <v>5929589.2400000002</v>
      </c>
      <c r="M84" s="230">
        <v>5758615.9699999997</v>
      </c>
      <c r="N84" s="230">
        <v>23292145.649999999</v>
      </c>
      <c r="O84" s="230">
        <v>8749581.6400000006</v>
      </c>
      <c r="P84" s="230">
        <v>886619.66</v>
      </c>
      <c r="Q84" s="230">
        <v>144.25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22093258.93</v>
      </c>
      <c r="F85" s="90">
        <v>1421141.73</v>
      </c>
      <c r="G85" s="90">
        <v>778144.37</v>
      </c>
      <c r="H85" s="90">
        <v>342749</v>
      </c>
      <c r="I85" s="90">
        <v>6034872.3399999999</v>
      </c>
      <c r="J85" s="90">
        <v>158457.39000000001</v>
      </c>
      <c r="K85" s="90">
        <v>0</v>
      </c>
      <c r="L85" s="90">
        <v>1458906.22</v>
      </c>
      <c r="M85" s="90">
        <v>1770857.01</v>
      </c>
      <c r="N85" s="90">
        <v>5515356.04</v>
      </c>
      <c r="O85" s="90">
        <v>4418000.63</v>
      </c>
      <c r="P85" s="90">
        <v>194910.48</v>
      </c>
      <c r="Q85" s="90">
        <v>-136.28</v>
      </c>
      <c r="R85">
        <v>0</v>
      </c>
    </row>
    <row r="86" spans="2:18" ht="12.75" customHeight="1" x14ac:dyDescent="0.25">
      <c r="B86" s="142"/>
      <c r="D86" s="89" t="s">
        <v>81</v>
      </c>
      <c r="E86" s="371">
        <v>17021.45</v>
      </c>
      <c r="F86" s="90">
        <v>1413.33</v>
      </c>
      <c r="G86" s="90">
        <v>751.77</v>
      </c>
      <c r="H86" s="90">
        <v>431.98</v>
      </c>
      <c r="I86" s="90">
        <v>3886.9</v>
      </c>
      <c r="J86" s="90">
        <v>91.78</v>
      </c>
      <c r="K86" s="90">
        <v>0</v>
      </c>
      <c r="L86" s="90">
        <v>805.04</v>
      </c>
      <c r="M86" s="90">
        <v>1177.57</v>
      </c>
      <c r="N86" s="90">
        <v>5500.97</v>
      </c>
      <c r="O86" s="90">
        <v>2812.31</v>
      </c>
      <c r="P86" s="90">
        <v>149.78</v>
      </c>
      <c r="Q86" s="90">
        <v>0.02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22110280.379999999</v>
      </c>
      <c r="F87" s="90">
        <v>1422555.06</v>
      </c>
      <c r="G87" s="90">
        <v>778896.14</v>
      </c>
      <c r="H87" s="90">
        <v>343180.98</v>
      </c>
      <c r="I87" s="90">
        <v>6038759.2400000002</v>
      </c>
      <c r="J87" s="90">
        <v>158549.17000000001</v>
      </c>
      <c r="K87" s="90">
        <v>0</v>
      </c>
      <c r="L87" s="90">
        <v>1459711.26</v>
      </c>
      <c r="M87" s="90">
        <v>1772034.58</v>
      </c>
      <c r="N87" s="90">
        <v>5520857.0099999998</v>
      </c>
      <c r="O87" s="90">
        <v>4420812.9400000004</v>
      </c>
      <c r="P87" s="90">
        <v>195060.26</v>
      </c>
      <c r="Q87" s="90">
        <v>-136.26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1616173.63</v>
      </c>
      <c r="F88" s="90">
        <v>90529.5</v>
      </c>
      <c r="G88" s="90">
        <v>47826.83</v>
      </c>
      <c r="H88" s="90">
        <v>24108.87</v>
      </c>
      <c r="I88" s="90">
        <v>433611.64</v>
      </c>
      <c r="J88" s="90">
        <v>13309</v>
      </c>
      <c r="K88" s="90">
        <v>0</v>
      </c>
      <c r="L88" s="90">
        <v>100420.03</v>
      </c>
      <c r="M88" s="90">
        <v>121133.57</v>
      </c>
      <c r="N88" s="90">
        <v>423371.69</v>
      </c>
      <c r="O88" s="90">
        <v>346736.28</v>
      </c>
      <c r="P88" s="90">
        <v>15115.46</v>
      </c>
      <c r="Q88" s="90">
        <v>10.76</v>
      </c>
      <c r="R88">
        <v>0</v>
      </c>
    </row>
    <row r="89" spans="2:18" ht="12.75" customHeight="1" x14ac:dyDescent="0.25">
      <c r="B89" s="142"/>
      <c r="D89" s="89" t="s">
        <v>81</v>
      </c>
      <c r="E89" s="371">
        <v>406.42</v>
      </c>
      <c r="F89" s="90">
        <v>41.47</v>
      </c>
      <c r="G89" s="90">
        <v>21.23</v>
      </c>
      <c r="H89" s="90">
        <v>12.67</v>
      </c>
      <c r="I89" s="90">
        <v>83.96</v>
      </c>
      <c r="J89" s="90">
        <v>1.95</v>
      </c>
      <c r="K89" s="90">
        <v>0</v>
      </c>
      <c r="L89" s="90">
        <v>17.12</v>
      </c>
      <c r="M89" s="90">
        <v>25.02</v>
      </c>
      <c r="N89" s="90">
        <v>117.24</v>
      </c>
      <c r="O89" s="90">
        <v>82.58</v>
      </c>
      <c r="P89" s="90">
        <v>3.19</v>
      </c>
      <c r="Q89" s="90">
        <v>-0.01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1616580.05</v>
      </c>
      <c r="F90" s="90">
        <v>90570.97</v>
      </c>
      <c r="G90" s="90">
        <v>47848.06</v>
      </c>
      <c r="H90" s="90">
        <v>24121.54</v>
      </c>
      <c r="I90" s="90">
        <v>433695.6</v>
      </c>
      <c r="J90" s="90">
        <v>13310.95</v>
      </c>
      <c r="K90" s="90">
        <v>0</v>
      </c>
      <c r="L90" s="90">
        <v>100437.15</v>
      </c>
      <c r="M90" s="90">
        <v>121158.59</v>
      </c>
      <c r="N90" s="90">
        <v>423488.93</v>
      </c>
      <c r="O90" s="90">
        <v>346818.86</v>
      </c>
      <c r="P90" s="90">
        <v>15118.65</v>
      </c>
      <c r="Q90" s="90">
        <v>10.75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27690465.370000001</v>
      </c>
      <c r="F97" s="90">
        <v>1701572.26</v>
      </c>
      <c r="G97" s="90">
        <v>971553.65</v>
      </c>
      <c r="H97" s="90">
        <v>405189.21</v>
      </c>
      <c r="I97" s="90">
        <v>7839404.5700000003</v>
      </c>
      <c r="J97" s="90">
        <v>234550.49</v>
      </c>
      <c r="K97" s="90">
        <v>0</v>
      </c>
      <c r="L97" s="90">
        <v>2072653.22</v>
      </c>
      <c r="M97" s="90">
        <v>2236559.98</v>
      </c>
      <c r="N97" s="90">
        <v>8259845.4400000004</v>
      </c>
      <c r="O97" s="90">
        <v>3677240.61</v>
      </c>
      <c r="P97" s="90">
        <v>291796.3</v>
      </c>
      <c r="Q97" s="90">
        <v>99.64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220606.32</v>
      </c>
      <c r="F98" s="90">
        <v>2079.3000000000002</v>
      </c>
      <c r="G98" s="90">
        <v>1101.5999999999999</v>
      </c>
      <c r="H98" s="90">
        <v>634.08000000000004</v>
      </c>
      <c r="I98" s="90">
        <v>4056.19</v>
      </c>
      <c r="J98" s="90">
        <v>100.05</v>
      </c>
      <c r="K98" s="90">
        <v>0</v>
      </c>
      <c r="L98" s="90">
        <v>31497.06</v>
      </c>
      <c r="M98" s="90">
        <v>39422.949999999997</v>
      </c>
      <c r="N98" s="90">
        <v>118658.47</v>
      </c>
      <c r="O98" s="90">
        <v>22893.4</v>
      </c>
      <c r="P98" s="90">
        <v>163.27000000000001</v>
      </c>
      <c r="Q98" s="90">
        <v>-0.05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27911071.690000001</v>
      </c>
      <c r="F99" s="90">
        <v>1703651.56</v>
      </c>
      <c r="G99" s="90">
        <v>972655.25</v>
      </c>
      <c r="H99" s="90">
        <v>405823.29</v>
      </c>
      <c r="I99" s="90">
        <v>7843460.7599999998</v>
      </c>
      <c r="J99" s="90">
        <v>234650.54</v>
      </c>
      <c r="K99" s="90">
        <v>0</v>
      </c>
      <c r="L99" s="90">
        <v>2104150.2799999998</v>
      </c>
      <c r="M99" s="90">
        <v>2275982.9300000002</v>
      </c>
      <c r="N99" s="90">
        <v>8378503.9100000001</v>
      </c>
      <c r="O99" s="90">
        <v>3700134.01</v>
      </c>
      <c r="P99" s="90">
        <v>291959.57</v>
      </c>
      <c r="Q99" s="90">
        <v>99.59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831919.29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4321.1400000000003</v>
      </c>
      <c r="M103" s="90">
        <v>6126.52</v>
      </c>
      <c r="N103" s="90">
        <v>6629.52</v>
      </c>
      <c r="O103" s="90">
        <v>814845.14</v>
      </c>
      <c r="P103" s="90">
        <v>0</v>
      </c>
      <c r="Q103" s="90">
        <v>-3.03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831919.29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4321.1400000000003</v>
      </c>
      <c r="M105" s="90">
        <v>6126.52</v>
      </c>
      <c r="N105" s="90">
        <v>6629.52</v>
      </c>
      <c r="O105" s="90">
        <v>814845.14</v>
      </c>
      <c r="P105" s="90">
        <v>0</v>
      </c>
      <c r="Q105" s="90">
        <v>-3.03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52469851.409999996</v>
      </c>
      <c r="F106" s="224">
        <v>3216777.59</v>
      </c>
      <c r="G106" s="224">
        <v>1799399.45</v>
      </c>
      <c r="H106" s="224">
        <v>773125.81</v>
      </c>
      <c r="I106" s="224">
        <v>14315915.6</v>
      </c>
      <c r="J106" s="224">
        <v>406510.66</v>
      </c>
      <c r="K106" s="224">
        <v>0</v>
      </c>
      <c r="L106" s="224">
        <v>3668619.83</v>
      </c>
      <c r="M106" s="224">
        <v>4175302.62</v>
      </c>
      <c r="N106" s="224">
        <v>14329479.369999999</v>
      </c>
      <c r="O106" s="224">
        <v>9282610.9499999993</v>
      </c>
      <c r="P106" s="224">
        <v>502138.48</v>
      </c>
      <c r="Q106" s="224">
        <v>-28.95</v>
      </c>
      <c r="R106" s="224">
        <v>0</v>
      </c>
    </row>
    <row r="107" spans="2:18" ht="12.75" customHeight="1" x14ac:dyDescent="0.25">
      <c r="D107" t="s">
        <v>72</v>
      </c>
      <c r="E107" s="142">
        <v>11075334.51</v>
      </c>
      <c r="F107">
        <v>821378.55</v>
      </c>
      <c r="G107">
        <v>465927.35</v>
      </c>
      <c r="H107">
        <v>215214.87</v>
      </c>
      <c r="I107">
        <v>2963943.27</v>
      </c>
      <c r="J107">
        <v>82515.34</v>
      </c>
      <c r="K107">
        <v>0</v>
      </c>
      <c r="L107">
        <v>658290.51</v>
      </c>
      <c r="M107">
        <v>834824.5</v>
      </c>
      <c r="N107">
        <v>3348380.91</v>
      </c>
      <c r="O107">
        <v>1591238.38</v>
      </c>
      <c r="P107">
        <v>93600.37</v>
      </c>
      <c r="Q107">
        <v>20.46</v>
      </c>
      <c r="R107">
        <v>0</v>
      </c>
    </row>
    <row r="108" spans="2:18" ht="12.75" customHeight="1" x14ac:dyDescent="0.25">
      <c r="D108" t="s">
        <v>81</v>
      </c>
      <c r="E108" s="142">
        <v>20136.060000000001</v>
      </c>
      <c r="F108">
        <v>2455.33</v>
      </c>
      <c r="G108">
        <v>1132.97</v>
      </c>
      <c r="H108">
        <v>675.49</v>
      </c>
      <c r="I108">
        <v>3924.78</v>
      </c>
      <c r="J108">
        <v>92.44</v>
      </c>
      <c r="K108">
        <v>0</v>
      </c>
      <c r="L108">
        <v>810.75</v>
      </c>
      <c r="M108">
        <v>1058.05</v>
      </c>
      <c r="N108">
        <v>4906.9799999999996</v>
      </c>
      <c r="O108">
        <v>4928.45</v>
      </c>
      <c r="P108">
        <v>150.80000000000001</v>
      </c>
      <c r="Q108">
        <v>0.02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11095470.57</v>
      </c>
      <c r="F109">
        <v>823833.88</v>
      </c>
      <c r="G109">
        <v>467060.32</v>
      </c>
      <c r="H109">
        <v>215890.36</v>
      </c>
      <c r="I109">
        <v>2967868.05</v>
      </c>
      <c r="J109">
        <v>82607.78</v>
      </c>
      <c r="K109">
        <v>0</v>
      </c>
      <c r="L109">
        <v>659101.26</v>
      </c>
      <c r="M109">
        <v>835882.55</v>
      </c>
      <c r="N109">
        <v>3353287.89</v>
      </c>
      <c r="O109">
        <v>1596166.83</v>
      </c>
      <c r="P109">
        <v>93751.17</v>
      </c>
      <c r="Q109">
        <v>20.48</v>
      </c>
      <c r="R109">
        <v>0</v>
      </c>
    </row>
    <row r="110" spans="2:18" ht="12.75" customHeight="1" x14ac:dyDescent="0.25">
      <c r="D110" t="s">
        <v>72</v>
      </c>
      <c r="E110" s="142">
        <v>38346937.409999996</v>
      </c>
      <c r="F110">
        <v>3218428.18</v>
      </c>
      <c r="G110">
        <v>1802927.88</v>
      </c>
      <c r="H110">
        <v>864947.8</v>
      </c>
      <c r="I110">
        <v>8956303.5800000001</v>
      </c>
      <c r="J110">
        <v>272835.84999999998</v>
      </c>
      <c r="K110">
        <v>0</v>
      </c>
      <c r="L110">
        <v>2439524.5499999998</v>
      </c>
      <c r="M110">
        <v>2783253.06</v>
      </c>
      <c r="N110">
        <v>10966064.279999999</v>
      </c>
      <c r="O110">
        <v>6668396.54</v>
      </c>
      <c r="P110">
        <v>374240.28</v>
      </c>
      <c r="Q110">
        <v>15.41</v>
      </c>
      <c r="R110">
        <v>0</v>
      </c>
    </row>
    <row r="111" spans="2:18" ht="12.75" customHeight="1" x14ac:dyDescent="0.25">
      <c r="D111" t="s">
        <v>81</v>
      </c>
      <c r="E111" s="142">
        <v>435116.55</v>
      </c>
      <c r="F111">
        <v>47759.13</v>
      </c>
      <c r="G111">
        <v>22622.799999999999</v>
      </c>
      <c r="H111">
        <v>11464.99</v>
      </c>
      <c r="I111">
        <v>86745.59</v>
      </c>
      <c r="J111">
        <v>2665.2</v>
      </c>
      <c r="K111">
        <v>0</v>
      </c>
      <c r="L111">
        <v>22811.78</v>
      </c>
      <c r="M111">
        <v>28601.42</v>
      </c>
      <c r="N111">
        <v>113175.65</v>
      </c>
      <c r="O111">
        <v>94916.98</v>
      </c>
      <c r="P111">
        <v>4352.25</v>
      </c>
      <c r="Q111">
        <v>0.76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38782053.960000001</v>
      </c>
      <c r="F112">
        <v>3266187.31</v>
      </c>
      <c r="G112">
        <v>1825550.68</v>
      </c>
      <c r="H112">
        <v>876412.79</v>
      </c>
      <c r="I112">
        <v>9043049.1699999999</v>
      </c>
      <c r="J112">
        <v>275501.05</v>
      </c>
      <c r="K112">
        <v>0</v>
      </c>
      <c r="L112">
        <v>2462336.33</v>
      </c>
      <c r="M112">
        <v>2811854.48</v>
      </c>
      <c r="N112">
        <v>11079239.93</v>
      </c>
      <c r="O112">
        <v>6763313.5199999996</v>
      </c>
      <c r="P112">
        <v>378592.53</v>
      </c>
      <c r="Q112">
        <v>16.170000000000002</v>
      </c>
      <c r="R112">
        <v>0</v>
      </c>
    </row>
    <row r="113" spans="1:18" ht="12.75" customHeight="1" x14ac:dyDescent="0.25">
      <c r="D113" t="s">
        <v>72</v>
      </c>
      <c r="E113">
        <v>42498048.93</v>
      </c>
      <c r="F113">
        <v>5756619.9299999997</v>
      </c>
      <c r="G113">
        <v>3216233.52</v>
      </c>
      <c r="H113">
        <v>1817946.33</v>
      </c>
      <c r="I113">
        <v>1910670.24</v>
      </c>
      <c r="J113">
        <v>53108.69</v>
      </c>
      <c r="K113">
        <v>0</v>
      </c>
      <c r="L113">
        <v>473073.31</v>
      </c>
      <c r="M113">
        <v>611269.16</v>
      </c>
      <c r="N113">
        <v>2270384.89</v>
      </c>
      <c r="O113">
        <v>26329366.120000001</v>
      </c>
      <c r="P113">
        <v>59347.07</v>
      </c>
      <c r="Q113">
        <v>29.67</v>
      </c>
      <c r="R113">
        <v>0</v>
      </c>
    </row>
    <row r="114" spans="1:18" ht="12.75" customHeight="1" x14ac:dyDescent="0.25">
      <c r="D114" t="s">
        <v>81</v>
      </c>
      <c r="E114" s="142">
        <v>9526.39</v>
      </c>
      <c r="F114">
        <v>1485.4</v>
      </c>
      <c r="G114">
        <v>831.8</v>
      </c>
      <c r="H114">
        <v>440.06</v>
      </c>
      <c r="I114">
        <v>1225.21</v>
      </c>
      <c r="J114">
        <v>39.880000000000003</v>
      </c>
      <c r="K114">
        <v>0</v>
      </c>
      <c r="L114">
        <v>349.95</v>
      </c>
      <c r="M114">
        <v>378.78</v>
      </c>
      <c r="N114">
        <v>1754.01</v>
      </c>
      <c r="O114">
        <v>2956.22</v>
      </c>
      <c r="P114">
        <v>65.09</v>
      </c>
      <c r="Q114">
        <v>-0.01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42507575.32</v>
      </c>
      <c r="F115" s="90">
        <v>5758105.3300000001</v>
      </c>
      <c r="G115" s="90">
        <v>3217065.32</v>
      </c>
      <c r="H115" s="90">
        <v>1818386.39</v>
      </c>
      <c r="I115" s="90">
        <v>1911895.45</v>
      </c>
      <c r="J115" s="90">
        <v>53148.57</v>
      </c>
      <c r="K115" s="90">
        <v>0</v>
      </c>
      <c r="L115" s="90">
        <v>473423.26</v>
      </c>
      <c r="M115" s="90">
        <v>611647.93999999994</v>
      </c>
      <c r="N115" s="90">
        <v>2272138.9</v>
      </c>
      <c r="O115" s="90">
        <v>26332322.34</v>
      </c>
      <c r="P115" s="90">
        <v>59412.160000000003</v>
      </c>
      <c r="Q115" s="90">
        <v>29.66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92385099.849999994</v>
      </c>
      <c r="F116" s="93">
        <v>9848126.5199999996</v>
      </c>
      <c r="G116" s="93">
        <v>5509676.3200000003</v>
      </c>
      <c r="H116" s="93">
        <v>2910689.54</v>
      </c>
      <c r="I116" s="93">
        <v>13922812.67</v>
      </c>
      <c r="J116" s="93">
        <v>411257.4</v>
      </c>
      <c r="K116" s="93">
        <v>0</v>
      </c>
      <c r="L116" s="93">
        <v>3594860.85</v>
      </c>
      <c r="M116" s="93">
        <v>4259384.97</v>
      </c>
      <c r="N116" s="93">
        <v>16704666.720000001</v>
      </c>
      <c r="O116" s="93">
        <v>34691802.689999998</v>
      </c>
      <c r="P116" s="93">
        <v>531755.86</v>
      </c>
      <c r="Q116" s="93">
        <v>66.31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216652398.81999999</v>
      </c>
      <c r="F117" s="100">
        <v>17193125.32</v>
      </c>
      <c r="G117" s="100">
        <v>9759590.5199999996</v>
      </c>
      <c r="H117" s="100">
        <v>4674886.45</v>
      </c>
      <c r="I117" s="100">
        <v>47216081.210000001</v>
      </c>
      <c r="J117" s="100">
        <v>1451359.21</v>
      </c>
      <c r="K117" s="100">
        <v>0</v>
      </c>
      <c r="L117" s="100">
        <v>13193069.92</v>
      </c>
      <c r="M117" s="100">
        <v>14193303.560000001</v>
      </c>
      <c r="N117" s="100">
        <v>54326291.740000002</v>
      </c>
      <c r="O117" s="100">
        <v>52723995.280000001</v>
      </c>
      <c r="P117" s="100">
        <v>1920514</v>
      </c>
      <c r="Q117" s="100">
        <v>181.61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331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-16121294.859999999</v>
      </c>
      <c r="F121" s="90">
        <v>-535197.18999999994</v>
      </c>
      <c r="G121" s="90">
        <v>-315094.83</v>
      </c>
      <c r="H121" s="90">
        <v>-189104.93</v>
      </c>
      <c r="I121" s="90">
        <v>-4617623.13</v>
      </c>
      <c r="J121" s="90">
        <v>-160785.5</v>
      </c>
      <c r="K121" s="90">
        <v>0</v>
      </c>
      <c r="L121" s="90">
        <v>-1360058.01</v>
      </c>
      <c r="M121" s="90">
        <v>-1315487.9099999999</v>
      </c>
      <c r="N121" s="90">
        <v>-6434917.6900000004</v>
      </c>
      <c r="O121" s="90">
        <v>-931826.69</v>
      </c>
      <c r="P121" s="90">
        <v>-261198.98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-16121294.859999999</v>
      </c>
      <c r="F122" s="90">
        <v>-535197.18999999994</v>
      </c>
      <c r="G122" s="90">
        <v>-315094.83</v>
      </c>
      <c r="H122" s="90">
        <v>-189104.93</v>
      </c>
      <c r="I122" s="90">
        <v>-4617623.13</v>
      </c>
      <c r="J122" s="90">
        <v>-160785.5</v>
      </c>
      <c r="K122" s="90">
        <v>0</v>
      </c>
      <c r="L122" s="90">
        <v>-1360058.01</v>
      </c>
      <c r="M122" s="90">
        <v>-1315487.9099999999</v>
      </c>
      <c r="N122" s="90">
        <v>-6434917.6900000004</v>
      </c>
      <c r="O122" s="90">
        <v>-931826.69</v>
      </c>
      <c r="P122" s="90">
        <v>-261198.98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-16121294.859999999</v>
      </c>
      <c r="F123" s="230">
        <v>-535197.18999999994</v>
      </c>
      <c r="G123" s="230">
        <v>-315094.83</v>
      </c>
      <c r="H123" s="230">
        <v>-189104.93</v>
      </c>
      <c r="I123" s="230">
        <v>-4617623.13</v>
      </c>
      <c r="J123" s="230">
        <v>-160785.5</v>
      </c>
      <c r="K123" s="230">
        <v>0</v>
      </c>
      <c r="L123" s="230">
        <v>-1360058.01</v>
      </c>
      <c r="M123" s="230">
        <v>-1315487.9099999999</v>
      </c>
      <c r="N123" s="230">
        <v>-6434917.6900000004</v>
      </c>
      <c r="O123" s="230">
        <v>-931826.69</v>
      </c>
      <c r="P123" s="230">
        <v>-261198.98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-7006158.79</v>
      </c>
      <c r="F124" s="90">
        <v>-282130</v>
      </c>
      <c r="G124" s="90">
        <v>-165135.70000000001</v>
      </c>
      <c r="H124" s="90">
        <v>-90452.73</v>
      </c>
      <c r="I124" s="90">
        <v>-1975334.97</v>
      </c>
      <c r="J124" s="90">
        <v>-54298.01</v>
      </c>
      <c r="K124" s="90">
        <v>0</v>
      </c>
      <c r="L124" s="90">
        <v>-461440.15</v>
      </c>
      <c r="M124" s="90">
        <v>-581546.05000000005</v>
      </c>
      <c r="N124" s="90">
        <v>-2784117.01</v>
      </c>
      <c r="O124" s="90">
        <v>-524106.95</v>
      </c>
      <c r="P124" s="90">
        <v>-87597.22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-7006158.79</v>
      </c>
      <c r="F125" s="90">
        <v>-282130</v>
      </c>
      <c r="G125" s="90">
        <v>-165135.70000000001</v>
      </c>
      <c r="H125" s="90">
        <v>-90452.73</v>
      </c>
      <c r="I125" s="90">
        <v>-1975334.97</v>
      </c>
      <c r="J125" s="90">
        <v>-54298.01</v>
      </c>
      <c r="K125" s="90">
        <v>0</v>
      </c>
      <c r="L125" s="90">
        <v>-461440.15</v>
      </c>
      <c r="M125" s="90">
        <v>-581546.05000000005</v>
      </c>
      <c r="N125" s="90">
        <v>-2784117.01</v>
      </c>
      <c r="O125" s="90">
        <v>-524106.95</v>
      </c>
      <c r="P125" s="90">
        <v>-87597.22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-413701.38</v>
      </c>
      <c r="F126" s="90">
        <v>-13440.26</v>
      </c>
      <c r="G126" s="90">
        <v>-10533.25</v>
      </c>
      <c r="H126" s="90">
        <v>-5516.47</v>
      </c>
      <c r="I126" s="90">
        <v>-126463.9</v>
      </c>
      <c r="J126" s="90">
        <v>-3757.16</v>
      </c>
      <c r="K126" s="90">
        <v>0</v>
      </c>
      <c r="L126" s="90">
        <v>-30796.66</v>
      </c>
      <c r="M126" s="90">
        <v>-32644.48</v>
      </c>
      <c r="N126" s="90">
        <v>-158503.21</v>
      </c>
      <c r="O126" s="90">
        <v>-25915.95</v>
      </c>
      <c r="P126" s="90">
        <v>-6130.04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-413701.38</v>
      </c>
      <c r="F127" s="90">
        <v>-13440.26</v>
      </c>
      <c r="G127" s="90">
        <v>-10533.25</v>
      </c>
      <c r="H127" s="90">
        <v>-5516.47</v>
      </c>
      <c r="I127" s="90">
        <v>-126463.9</v>
      </c>
      <c r="J127" s="90">
        <v>-3757.16</v>
      </c>
      <c r="K127" s="90">
        <v>0</v>
      </c>
      <c r="L127" s="90">
        <v>-30796.66</v>
      </c>
      <c r="M127" s="90">
        <v>-32644.48</v>
      </c>
      <c r="N127" s="90">
        <v>-158503.21</v>
      </c>
      <c r="O127" s="90">
        <v>-25915.95</v>
      </c>
      <c r="P127" s="90">
        <v>-6130.04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-9635661.9499999993</v>
      </c>
      <c r="F132" s="90">
        <v>-380166.3</v>
      </c>
      <c r="G132" s="90">
        <v>-217737.2</v>
      </c>
      <c r="H132" s="90">
        <v>-115469.42</v>
      </c>
      <c r="I132" s="90">
        <v>-2737350.45</v>
      </c>
      <c r="J132" s="90">
        <v>-82659.66</v>
      </c>
      <c r="K132" s="90">
        <v>0</v>
      </c>
      <c r="L132" s="90">
        <v>-722316.87</v>
      </c>
      <c r="M132" s="90">
        <v>-795775.12</v>
      </c>
      <c r="N132" s="90">
        <v>-3736800.42</v>
      </c>
      <c r="O132" s="90">
        <v>-713130.36</v>
      </c>
      <c r="P132" s="90">
        <v>-134256.15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-9635661.9499999993</v>
      </c>
      <c r="F133" s="90">
        <v>-380166.3</v>
      </c>
      <c r="G133" s="90">
        <v>-217737.2</v>
      </c>
      <c r="H133" s="90">
        <v>-115469.42</v>
      </c>
      <c r="I133" s="90">
        <v>-2737350.45</v>
      </c>
      <c r="J133" s="90">
        <v>-82659.66</v>
      </c>
      <c r="K133" s="90">
        <v>0</v>
      </c>
      <c r="L133" s="90">
        <v>-722316.87</v>
      </c>
      <c r="M133" s="90">
        <v>-795775.12</v>
      </c>
      <c r="N133" s="90">
        <v>-3736800.42</v>
      </c>
      <c r="O133" s="90">
        <v>-713130.36</v>
      </c>
      <c r="P133" s="90">
        <v>-134256.15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-17055522.120000001</v>
      </c>
      <c r="F138" s="225">
        <v>-675736.56</v>
      </c>
      <c r="G138" s="225">
        <v>-393406.15</v>
      </c>
      <c r="H138" s="225">
        <v>-211438.62</v>
      </c>
      <c r="I138" s="225">
        <v>-4839149.32</v>
      </c>
      <c r="J138" s="225">
        <v>-140714.82999999999</v>
      </c>
      <c r="K138" s="225">
        <v>0</v>
      </c>
      <c r="L138" s="225">
        <v>-1214553.68</v>
      </c>
      <c r="M138" s="225">
        <v>-1409965.65</v>
      </c>
      <c r="N138" s="225">
        <v>-6679420.6399999997</v>
      </c>
      <c r="O138" s="225">
        <v>-1263153.26</v>
      </c>
      <c r="P138" s="225">
        <v>-227983.41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-2195603.12</v>
      </c>
      <c r="F139" s="90">
        <v>-15588.17</v>
      </c>
      <c r="G139" s="90">
        <v>-50720.73</v>
      </c>
      <c r="H139" s="90">
        <v>1774.73</v>
      </c>
      <c r="I139" s="90">
        <v>-677747.58</v>
      </c>
      <c r="J139" s="90">
        <v>-19775.439999999999</v>
      </c>
      <c r="K139" s="90">
        <v>0</v>
      </c>
      <c r="L139" s="90">
        <v>-165236.81</v>
      </c>
      <c r="M139" s="90">
        <v>-211413.62</v>
      </c>
      <c r="N139" s="90">
        <v>-1031747.22</v>
      </c>
      <c r="O139" s="90">
        <v>5802.43</v>
      </c>
      <c r="P139" s="90">
        <v>-30950.71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-2195603.12</v>
      </c>
      <c r="F140" s="90">
        <v>-15588.17</v>
      </c>
      <c r="G140" s="90">
        <v>-50720.73</v>
      </c>
      <c r="H140" s="90">
        <v>1774.73</v>
      </c>
      <c r="I140" s="90">
        <v>-677747.58</v>
      </c>
      <c r="J140" s="90">
        <v>-19775.439999999999</v>
      </c>
      <c r="K140" s="90">
        <v>0</v>
      </c>
      <c r="L140" s="90">
        <v>-165236.81</v>
      </c>
      <c r="M140" s="90">
        <v>-211413.62</v>
      </c>
      <c r="N140" s="90">
        <v>-1031747.22</v>
      </c>
      <c r="O140" s="90">
        <v>5802.43</v>
      </c>
      <c r="P140" s="90">
        <v>-30950.71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-3983459.54</v>
      </c>
      <c r="F141" s="90">
        <v>385104.44</v>
      </c>
      <c r="G141" s="90">
        <v>177913.53</v>
      </c>
      <c r="H141" s="90">
        <v>79365.09</v>
      </c>
      <c r="I141" s="90">
        <v>-1770775.18</v>
      </c>
      <c r="J141" s="90">
        <v>-54327.37</v>
      </c>
      <c r="K141" s="90">
        <v>0</v>
      </c>
      <c r="L141" s="90">
        <v>-463238.89</v>
      </c>
      <c r="M141" s="90">
        <v>-534634.66</v>
      </c>
      <c r="N141" s="90">
        <v>-2522494.73</v>
      </c>
      <c r="O141" s="90">
        <v>806737.08</v>
      </c>
      <c r="P141" s="90">
        <v>-87108.85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-3983459.54</v>
      </c>
      <c r="F142" s="90">
        <v>385104.44</v>
      </c>
      <c r="G142" s="90">
        <v>177913.53</v>
      </c>
      <c r="H142" s="90">
        <v>79365.09</v>
      </c>
      <c r="I142" s="90">
        <v>-1770775.18</v>
      </c>
      <c r="J142" s="90">
        <v>-54327.37</v>
      </c>
      <c r="K142" s="90">
        <v>0</v>
      </c>
      <c r="L142" s="90">
        <v>-463238.89</v>
      </c>
      <c r="M142" s="90">
        <v>-534634.66</v>
      </c>
      <c r="N142" s="90">
        <v>-2522494.73</v>
      </c>
      <c r="O142" s="90">
        <v>806737.08</v>
      </c>
      <c r="P142" s="90">
        <v>-87108.85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1242572.98</v>
      </c>
      <c r="F143" s="90">
        <v>343686.51</v>
      </c>
      <c r="G143" s="90">
        <v>192507.93</v>
      </c>
      <c r="H143" s="90">
        <v>97880.49</v>
      </c>
      <c r="I143" s="90">
        <v>-39549.620000000003</v>
      </c>
      <c r="J143" s="90">
        <v>-1348.98</v>
      </c>
      <c r="K143" s="90">
        <v>0</v>
      </c>
      <c r="L143" s="90">
        <v>-4691</v>
      </c>
      <c r="M143" s="90">
        <v>-3711.96</v>
      </c>
      <c r="N143" s="90">
        <v>-23147.87</v>
      </c>
      <c r="O143" s="90">
        <v>682556.78</v>
      </c>
      <c r="P143" s="90">
        <v>-1609.3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1242572.98</v>
      </c>
      <c r="F144" s="90">
        <v>343686.51</v>
      </c>
      <c r="G144" s="90">
        <v>192507.93</v>
      </c>
      <c r="H144" s="90">
        <v>97880.49</v>
      </c>
      <c r="I144" s="90">
        <v>-39549.620000000003</v>
      </c>
      <c r="J144" s="90">
        <v>-1348.98</v>
      </c>
      <c r="K144" s="90">
        <v>0</v>
      </c>
      <c r="L144" s="90">
        <v>-4691</v>
      </c>
      <c r="M144" s="90">
        <v>-3711.96</v>
      </c>
      <c r="N144" s="90">
        <v>-23147.87</v>
      </c>
      <c r="O144" s="90">
        <v>682556.78</v>
      </c>
      <c r="P144" s="90">
        <v>-1609.3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-4936489.68</v>
      </c>
      <c r="F145" s="93">
        <v>713202.78</v>
      </c>
      <c r="G145" s="93">
        <v>319700.73</v>
      </c>
      <c r="H145" s="93">
        <v>179020.31</v>
      </c>
      <c r="I145" s="93">
        <v>-2488072.38</v>
      </c>
      <c r="J145" s="93">
        <v>-75451.789999999994</v>
      </c>
      <c r="K145" s="93">
        <v>0</v>
      </c>
      <c r="L145" s="93">
        <v>-633166.69999999995</v>
      </c>
      <c r="M145" s="93">
        <v>-749760.24</v>
      </c>
      <c r="N145" s="93">
        <v>-3577389.82</v>
      </c>
      <c r="O145" s="93">
        <v>1495096.29</v>
      </c>
      <c r="P145" s="93">
        <v>-119668.86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-38113306.659999996</v>
      </c>
      <c r="F146" s="100">
        <v>-497730.97</v>
      </c>
      <c r="G146" s="100">
        <v>-388800.25</v>
      </c>
      <c r="H146" s="100">
        <v>-221523.24</v>
      </c>
      <c r="I146" s="100">
        <v>-11944844.83</v>
      </c>
      <c r="J146" s="100">
        <v>-376952.12</v>
      </c>
      <c r="K146" s="100">
        <v>0</v>
      </c>
      <c r="L146" s="100">
        <v>-3207778.39</v>
      </c>
      <c r="M146" s="100">
        <v>-3475213.8</v>
      </c>
      <c r="N146" s="100">
        <v>-16691728.15</v>
      </c>
      <c r="O146" s="100">
        <v>-699883.66</v>
      </c>
      <c r="P146" s="100">
        <v>-608851.25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178539092.16</v>
      </c>
      <c r="F147" s="90">
        <v>16695394.35</v>
      </c>
      <c r="G147" s="90">
        <v>9370790.2699999996</v>
      </c>
      <c r="H147" s="90">
        <v>4453363.21</v>
      </c>
      <c r="I147" s="90">
        <v>35271236.380000003</v>
      </c>
      <c r="J147" s="90">
        <v>1074407.0900000001</v>
      </c>
      <c r="K147" s="90">
        <v>0</v>
      </c>
      <c r="L147" s="90">
        <v>9985291.5299999993</v>
      </c>
      <c r="M147" s="90">
        <v>10718089.76</v>
      </c>
      <c r="N147" s="90">
        <v>37634563.590000004</v>
      </c>
      <c r="O147" s="90">
        <v>52024111.619999997</v>
      </c>
      <c r="P147" s="90">
        <v>1311662.75</v>
      </c>
      <c r="Q147" s="90">
        <v>181.61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9" t="s">
        <v>2</v>
      </c>
      <c r="C178" s="776" t="s">
        <v>132</v>
      </c>
      <c r="D178" s="98" t="s">
        <v>70</v>
      </c>
      <c r="E178" s="100">
        <f>E117+E146-K117</f>
        <v>178539092.16</v>
      </c>
      <c r="F178" s="100">
        <f t="shared" ref="F178:R178" si="3">F117</f>
        <v>17193125.32</v>
      </c>
      <c r="G178" s="100">
        <f t="shared" si="3"/>
        <v>9759590.5199999996</v>
      </c>
      <c r="H178" s="100">
        <f t="shared" si="3"/>
        <v>4674886.45</v>
      </c>
      <c r="I178" s="100">
        <f t="shared" si="3"/>
        <v>47216081.210000001</v>
      </c>
      <c r="J178" s="100">
        <f t="shared" si="3"/>
        <v>1451359.21</v>
      </c>
      <c r="K178" s="100">
        <f t="shared" si="3"/>
        <v>0</v>
      </c>
      <c r="L178" s="100">
        <f t="shared" si="3"/>
        <v>13193069.92</v>
      </c>
      <c r="M178" s="100">
        <f t="shared" si="3"/>
        <v>14193303.560000001</v>
      </c>
      <c r="N178" s="100">
        <f t="shared" si="3"/>
        <v>54326291.740000002</v>
      </c>
      <c r="O178" s="100">
        <f t="shared" si="3"/>
        <v>52723995.280000001</v>
      </c>
      <c r="P178" s="100">
        <f t="shared" si="3"/>
        <v>1920514</v>
      </c>
      <c r="Q178" s="100">
        <f t="shared" si="3"/>
        <v>181.61</v>
      </c>
      <c r="R178" s="100">
        <f t="shared" si="3"/>
        <v>0</v>
      </c>
    </row>
    <row r="179" spans="1:19" ht="12.75" customHeight="1" x14ac:dyDescent="0.25">
      <c r="B179" s="779"/>
      <c r="C179" s="776"/>
      <c r="D179" s="98" t="s">
        <v>73</v>
      </c>
      <c r="E179" s="100">
        <f>E146</f>
        <v>-38113306.659999996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9" t="s">
        <v>160</v>
      </c>
      <c r="C181" s="776" t="s">
        <v>132</v>
      </c>
      <c r="D181" s="223" t="s">
        <v>70</v>
      </c>
      <c r="E181" s="225">
        <f>E138+E120+E106+E80-K80-K106</f>
        <v>35414329.289999992</v>
      </c>
      <c r="F181" s="225">
        <f>F106+F80</f>
        <v>3216777.59</v>
      </c>
      <c r="G181" s="225">
        <f t="shared" ref="G181:R181" si="4">G106+G80</f>
        <v>1799399.45</v>
      </c>
      <c r="H181" s="225">
        <f t="shared" si="4"/>
        <v>773125.81</v>
      </c>
      <c r="I181" s="225">
        <f t="shared" si="4"/>
        <v>14315915.6</v>
      </c>
      <c r="J181" s="225">
        <f t="shared" si="4"/>
        <v>406510.66</v>
      </c>
      <c r="K181" s="225">
        <f t="shared" si="4"/>
        <v>0</v>
      </c>
      <c r="L181" s="225">
        <f t="shared" si="4"/>
        <v>3668619.83</v>
      </c>
      <c r="M181" s="225">
        <f t="shared" si="4"/>
        <v>4175302.62</v>
      </c>
      <c r="N181" s="225">
        <f t="shared" si="4"/>
        <v>14329479.369999999</v>
      </c>
      <c r="O181" s="225">
        <f t="shared" si="4"/>
        <v>9282610.9499999993</v>
      </c>
      <c r="P181" s="225">
        <f t="shared" si="4"/>
        <v>502138.48</v>
      </c>
      <c r="Q181" s="225">
        <f t="shared" si="4"/>
        <v>-28.95</v>
      </c>
      <c r="R181" s="225">
        <f t="shared" si="4"/>
        <v>0</v>
      </c>
    </row>
    <row r="182" spans="1:19" ht="12.75" customHeight="1" x14ac:dyDescent="0.25">
      <c r="B182" s="779"/>
      <c r="C182" s="776"/>
      <c r="D182" s="223" t="s">
        <v>73</v>
      </c>
      <c r="E182" s="225">
        <f>E138+E120</f>
        <v>-17055522.120000001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9" t="s">
        <v>155</v>
      </c>
      <c r="C184" s="776" t="s">
        <v>132</v>
      </c>
      <c r="D184" s="221" t="s">
        <v>70</v>
      </c>
      <c r="E184" s="222">
        <f>E123+E84-K84</f>
        <v>55676152.700000003</v>
      </c>
      <c r="F184" s="222">
        <f>F84</f>
        <v>4128221.21</v>
      </c>
      <c r="G184" s="222">
        <f t="shared" ref="G184:R184" si="5">G84</f>
        <v>2450514.75</v>
      </c>
      <c r="H184" s="222">
        <f t="shared" si="5"/>
        <v>991071.1</v>
      </c>
      <c r="I184" s="222">
        <f t="shared" si="5"/>
        <v>18977352.940000001</v>
      </c>
      <c r="J184" s="222">
        <f t="shared" si="5"/>
        <v>633591.15</v>
      </c>
      <c r="K184" s="222">
        <f t="shared" si="5"/>
        <v>0</v>
      </c>
      <c r="L184" s="222">
        <f t="shared" si="5"/>
        <v>5929589.2400000002</v>
      </c>
      <c r="M184" s="222">
        <f t="shared" si="5"/>
        <v>5758615.9699999997</v>
      </c>
      <c r="N184" s="222">
        <f t="shared" si="5"/>
        <v>23292145.649999999</v>
      </c>
      <c r="O184" s="222">
        <f t="shared" si="5"/>
        <v>8749581.6400000006</v>
      </c>
      <c r="P184" s="222">
        <f t="shared" si="5"/>
        <v>886619.66</v>
      </c>
      <c r="Q184" s="222">
        <f t="shared" si="5"/>
        <v>144.25</v>
      </c>
      <c r="R184" s="222">
        <f t="shared" si="5"/>
        <v>0</v>
      </c>
    </row>
    <row r="185" spans="1:19" ht="12.75" customHeight="1" x14ac:dyDescent="0.25">
      <c r="B185" s="779"/>
      <c r="C185" s="776"/>
      <c r="D185" s="221" t="s">
        <v>73</v>
      </c>
      <c r="E185" s="222">
        <f>E123</f>
        <v>-16121294.859999999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7" t="s">
        <v>325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7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9" t="s">
        <v>119</v>
      </c>
      <c r="C190" s="776" t="s">
        <v>132</v>
      </c>
      <c r="D190" s="101" t="s">
        <v>70</v>
      </c>
      <c r="E190" s="93">
        <f>E116+E145-K116</f>
        <v>87448610.169999987</v>
      </c>
      <c r="F190" s="93">
        <f t="shared" ref="F190:R190" si="6">F116</f>
        <v>9848126.5199999996</v>
      </c>
      <c r="G190" s="93">
        <f t="shared" si="6"/>
        <v>5509676.3200000003</v>
      </c>
      <c r="H190" s="93">
        <f t="shared" si="6"/>
        <v>2910689.54</v>
      </c>
      <c r="I190" s="93">
        <f t="shared" si="6"/>
        <v>13922812.67</v>
      </c>
      <c r="J190" s="93">
        <f t="shared" si="6"/>
        <v>411257.4</v>
      </c>
      <c r="K190" s="93">
        <f t="shared" si="6"/>
        <v>0</v>
      </c>
      <c r="L190" s="93">
        <f t="shared" si="6"/>
        <v>3594860.85</v>
      </c>
      <c r="M190" s="93">
        <f t="shared" si="6"/>
        <v>4259384.97</v>
      </c>
      <c r="N190" s="93">
        <f t="shared" si="6"/>
        <v>16704666.720000001</v>
      </c>
      <c r="O190" s="93">
        <f t="shared" si="6"/>
        <v>34691802.689999998</v>
      </c>
      <c r="P190" s="93">
        <f t="shared" si="6"/>
        <v>531755.86</v>
      </c>
      <c r="Q190" s="93">
        <f t="shared" si="6"/>
        <v>66.31</v>
      </c>
      <c r="R190" s="93">
        <f t="shared" si="6"/>
        <v>0</v>
      </c>
    </row>
    <row r="191" spans="1:19" ht="12.75" customHeight="1" x14ac:dyDescent="0.25">
      <c r="B191" s="779"/>
      <c r="C191" s="776"/>
      <c r="D191" s="101" t="s">
        <v>73</v>
      </c>
      <c r="E191" s="93">
        <f>E145</f>
        <v>-4936489.68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8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8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73523.100000000006</v>
      </c>
      <c r="F198" s="90">
        <v>9264.07</v>
      </c>
      <c r="G198" s="90">
        <v>5230.51</v>
      </c>
      <c r="H198" s="90">
        <v>2745.35</v>
      </c>
      <c r="I198" s="90">
        <v>13953.55</v>
      </c>
      <c r="J198" s="90">
        <v>241.72</v>
      </c>
      <c r="K198" s="90">
        <v>0</v>
      </c>
      <c r="L198" s="90">
        <v>2120.39</v>
      </c>
      <c r="M198" s="90">
        <v>3083.67</v>
      </c>
      <c r="N198" s="90">
        <v>14598.9</v>
      </c>
      <c r="O198" s="90">
        <v>21890.54</v>
      </c>
      <c r="P198" s="90">
        <v>394.4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331</v>
      </c>
      <c r="D200" s="89" t="s">
        <v>70</v>
      </c>
      <c r="E200" s="371">
        <v>73523.100000000006</v>
      </c>
      <c r="F200" s="90">
        <v>9264.07</v>
      </c>
      <c r="G200" s="90">
        <v>5230.51</v>
      </c>
      <c r="H200" s="90">
        <v>2745.35</v>
      </c>
      <c r="I200" s="90">
        <v>13953.55</v>
      </c>
      <c r="J200" s="90">
        <v>241.72</v>
      </c>
      <c r="K200" s="90">
        <v>0</v>
      </c>
      <c r="L200" s="90">
        <v>2120.39</v>
      </c>
      <c r="M200" s="90">
        <v>3083.67</v>
      </c>
      <c r="N200" s="90">
        <v>14598.9</v>
      </c>
      <c r="O200" s="90">
        <v>21890.54</v>
      </c>
      <c r="P200" s="90">
        <v>394.4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73523.100000000006</v>
      </c>
      <c r="F201" s="232">
        <v>9264.07</v>
      </c>
      <c r="G201" s="232">
        <v>5230.51</v>
      </c>
      <c r="H201" s="232">
        <v>2745.35</v>
      </c>
      <c r="I201" s="232">
        <v>13953.55</v>
      </c>
      <c r="J201" s="232">
        <v>241.72</v>
      </c>
      <c r="K201" s="232">
        <v>0</v>
      </c>
      <c r="L201" s="232">
        <v>2120.39</v>
      </c>
      <c r="M201" s="232">
        <v>3083.67</v>
      </c>
      <c r="N201" s="232">
        <v>14598.9</v>
      </c>
      <c r="O201" s="232">
        <v>21890.54</v>
      </c>
      <c r="P201" s="232">
        <v>394.4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10207291.73</v>
      </c>
      <c r="F202">
        <v>691727.66</v>
      </c>
      <c r="G202">
        <v>397192.92</v>
      </c>
      <c r="H202">
        <v>197980.04</v>
      </c>
      <c r="I202">
        <v>2063996.04</v>
      </c>
      <c r="J202">
        <v>75420.05</v>
      </c>
      <c r="K202">
        <v>22742.37</v>
      </c>
      <c r="L202">
        <v>669158.80000000005</v>
      </c>
      <c r="M202">
        <v>682630.8</v>
      </c>
      <c r="N202">
        <v>3576274.42</v>
      </c>
      <c r="O202">
        <v>1725169.95</v>
      </c>
      <c r="P202">
        <v>104984.24</v>
      </c>
      <c r="Q202">
        <v>14.44</v>
      </c>
      <c r="R202">
        <v>0</v>
      </c>
    </row>
    <row r="203" spans="2:18" ht="12.75" customHeight="1" x14ac:dyDescent="0.25">
      <c r="D203" t="s">
        <v>81</v>
      </c>
      <c r="E203">
        <v>10777.75</v>
      </c>
      <c r="F203">
        <v>739.4</v>
      </c>
      <c r="G203">
        <v>426.95</v>
      </c>
      <c r="H203">
        <v>220.46</v>
      </c>
      <c r="I203">
        <v>2409.2399999999998</v>
      </c>
      <c r="J203">
        <v>88.57</v>
      </c>
      <c r="K203">
        <v>0</v>
      </c>
      <c r="L203">
        <v>743.28</v>
      </c>
      <c r="M203">
        <v>730.41</v>
      </c>
      <c r="N203">
        <v>3555.68</v>
      </c>
      <c r="O203">
        <v>1718.33</v>
      </c>
      <c r="P203">
        <v>145.30000000000001</v>
      </c>
      <c r="Q203">
        <v>0.13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10218069.48</v>
      </c>
      <c r="F204" s="90">
        <v>692467.06</v>
      </c>
      <c r="G204" s="90">
        <v>397619.87</v>
      </c>
      <c r="H204" s="90">
        <v>198200.5</v>
      </c>
      <c r="I204" s="90">
        <v>2066405.28</v>
      </c>
      <c r="J204" s="90">
        <v>75508.62</v>
      </c>
      <c r="K204" s="90">
        <v>22742.37</v>
      </c>
      <c r="L204" s="90">
        <v>669902.07999999996</v>
      </c>
      <c r="M204" s="90">
        <v>683361.21</v>
      </c>
      <c r="N204" s="90">
        <v>3579830.1</v>
      </c>
      <c r="O204" s="90">
        <v>1726888.28</v>
      </c>
      <c r="P204" s="90">
        <v>105129.54</v>
      </c>
      <c r="Q204" s="90">
        <v>14.57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10218069.48</v>
      </c>
      <c r="F205" s="656">
        <v>692467.06</v>
      </c>
      <c r="G205" s="656">
        <v>397619.87</v>
      </c>
      <c r="H205" s="656">
        <v>198200.5</v>
      </c>
      <c r="I205" s="656">
        <v>2066405.28</v>
      </c>
      <c r="J205" s="656">
        <v>75508.62</v>
      </c>
      <c r="K205" s="656">
        <v>22742.37</v>
      </c>
      <c r="L205" s="656">
        <v>669902.07999999996</v>
      </c>
      <c r="M205" s="656">
        <v>683361.21</v>
      </c>
      <c r="N205" s="656">
        <v>3579830.1</v>
      </c>
      <c r="O205" s="656">
        <v>1726888.28</v>
      </c>
      <c r="P205" s="656">
        <v>105129.54</v>
      </c>
      <c r="Q205" s="656">
        <v>14.57</v>
      </c>
      <c r="R205" s="656">
        <v>0</v>
      </c>
    </row>
    <row r="206" spans="2:18" ht="12.75" customHeight="1" x14ac:dyDescent="0.25">
      <c r="D206" t="s">
        <v>72</v>
      </c>
      <c r="E206" s="142">
        <v>1272712.9099999999</v>
      </c>
      <c r="F206">
        <v>67036.89</v>
      </c>
      <c r="G206">
        <v>39501.06</v>
      </c>
      <c r="H206">
        <v>23477.74</v>
      </c>
      <c r="I206">
        <v>289895.21000000002</v>
      </c>
      <c r="J206">
        <v>8195.0499999999993</v>
      </c>
      <c r="K206">
        <v>0</v>
      </c>
      <c r="L206">
        <v>74764.14</v>
      </c>
      <c r="M206">
        <v>110184.35</v>
      </c>
      <c r="N206">
        <v>481645.44</v>
      </c>
      <c r="O206">
        <v>163596.31</v>
      </c>
      <c r="P206">
        <v>14405.04</v>
      </c>
      <c r="Q206">
        <v>11.68</v>
      </c>
      <c r="R206">
        <v>0</v>
      </c>
    </row>
    <row r="207" spans="2:18" ht="12.75" customHeight="1" x14ac:dyDescent="0.25">
      <c r="D207" t="s">
        <v>81</v>
      </c>
      <c r="E207" s="142">
        <v>12.81</v>
      </c>
      <c r="F207">
        <v>0.52</v>
      </c>
      <c r="G207">
        <v>0.28999999999999998</v>
      </c>
      <c r="H207">
        <v>0.15</v>
      </c>
      <c r="I207">
        <v>3.5</v>
      </c>
      <c r="J207">
        <v>0.08</v>
      </c>
      <c r="K207">
        <v>0</v>
      </c>
      <c r="L207">
        <v>0.73</v>
      </c>
      <c r="M207">
        <v>1.08</v>
      </c>
      <c r="N207">
        <v>5.1100000000000003</v>
      </c>
      <c r="O207">
        <v>1.21</v>
      </c>
      <c r="P207">
        <v>0.14000000000000001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1272725.72</v>
      </c>
      <c r="F208">
        <v>67037.41</v>
      </c>
      <c r="G208">
        <v>39501.35</v>
      </c>
      <c r="H208">
        <v>23477.89</v>
      </c>
      <c r="I208">
        <v>289898.71000000002</v>
      </c>
      <c r="J208">
        <v>8195.1299999999992</v>
      </c>
      <c r="K208">
        <v>0</v>
      </c>
      <c r="L208">
        <v>74764.87</v>
      </c>
      <c r="M208">
        <v>110185.43</v>
      </c>
      <c r="N208">
        <v>481650.55</v>
      </c>
      <c r="O208">
        <v>163597.51999999999</v>
      </c>
      <c r="P208">
        <v>14405.18</v>
      </c>
      <c r="Q208">
        <v>11.68</v>
      </c>
      <c r="R208">
        <v>0</v>
      </c>
    </row>
    <row r="209" spans="1:18" ht="12.75" customHeight="1" x14ac:dyDescent="0.25">
      <c r="D209" t="s">
        <v>72</v>
      </c>
      <c r="E209" s="142">
        <v>983440.41</v>
      </c>
      <c r="F209">
        <v>68653.41</v>
      </c>
      <c r="G209">
        <v>38553.57</v>
      </c>
      <c r="H209">
        <v>20740.34</v>
      </c>
      <c r="I209">
        <v>220594.68</v>
      </c>
      <c r="J209">
        <v>4977.4799999999996</v>
      </c>
      <c r="K209">
        <v>0</v>
      </c>
      <c r="L209">
        <v>53236.89</v>
      </c>
      <c r="M209">
        <v>65079.83</v>
      </c>
      <c r="N209">
        <v>340285.14</v>
      </c>
      <c r="O209">
        <v>162040.31</v>
      </c>
      <c r="P209">
        <v>9295.93</v>
      </c>
      <c r="Q209">
        <v>-17.170000000000002</v>
      </c>
      <c r="R209">
        <v>0</v>
      </c>
    </row>
    <row r="210" spans="1:18" ht="12.75" customHeight="1" x14ac:dyDescent="0.25">
      <c r="D210" t="s">
        <v>81</v>
      </c>
      <c r="E210" s="142">
        <v>593.62</v>
      </c>
      <c r="F210">
        <v>4.2</v>
      </c>
      <c r="G210">
        <v>2.37</v>
      </c>
      <c r="H210">
        <v>1.25</v>
      </c>
      <c r="I210">
        <v>0</v>
      </c>
      <c r="J210">
        <v>9.5399999999999991</v>
      </c>
      <c r="K210">
        <v>0</v>
      </c>
      <c r="L210">
        <v>83.75</v>
      </c>
      <c r="M210">
        <v>82.2</v>
      </c>
      <c r="N210">
        <v>385.01</v>
      </c>
      <c r="O210">
        <v>9.75</v>
      </c>
      <c r="P210">
        <v>15.58</v>
      </c>
      <c r="Q210">
        <v>-0.03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984034.03</v>
      </c>
      <c r="F211">
        <v>68657.61</v>
      </c>
      <c r="G211">
        <v>38555.94</v>
      </c>
      <c r="H211">
        <v>20741.59</v>
      </c>
      <c r="I211">
        <v>220594.68</v>
      </c>
      <c r="J211">
        <v>4987.0200000000004</v>
      </c>
      <c r="K211">
        <v>0</v>
      </c>
      <c r="L211">
        <v>53320.639999999999</v>
      </c>
      <c r="M211">
        <v>65162.03</v>
      </c>
      <c r="N211">
        <v>340670.15</v>
      </c>
      <c r="O211">
        <v>162050.06</v>
      </c>
      <c r="P211">
        <v>9311.51</v>
      </c>
      <c r="Q211">
        <v>-17.2</v>
      </c>
      <c r="R211">
        <v>0</v>
      </c>
    </row>
    <row r="212" spans="1:18" ht="12.75" customHeight="1" x14ac:dyDescent="0.25">
      <c r="D212" t="s">
        <v>72</v>
      </c>
      <c r="E212" s="142">
        <v>10889834.800000001</v>
      </c>
      <c r="F212">
        <v>1776974.67</v>
      </c>
      <c r="G212">
        <v>603192.44999999995</v>
      </c>
      <c r="H212">
        <v>505061.73</v>
      </c>
      <c r="I212">
        <v>1046769.67</v>
      </c>
      <c r="J212">
        <v>28744.59</v>
      </c>
      <c r="K212">
        <v>0</v>
      </c>
      <c r="L212">
        <v>266799.07</v>
      </c>
      <c r="M212">
        <v>384022.27</v>
      </c>
      <c r="N212">
        <v>1863093.08</v>
      </c>
      <c r="O212">
        <v>4364983.13</v>
      </c>
      <c r="P212">
        <v>50156.58</v>
      </c>
      <c r="Q212">
        <v>37.56</v>
      </c>
      <c r="R212">
        <v>0</v>
      </c>
    </row>
    <row r="213" spans="1:18" ht="12.75" customHeight="1" x14ac:dyDescent="0.25">
      <c r="D213" t="s">
        <v>81</v>
      </c>
      <c r="E213" s="142">
        <v>269071.07</v>
      </c>
      <c r="F213">
        <v>55015.17</v>
      </c>
      <c r="G213">
        <v>31018.76</v>
      </c>
      <c r="H213">
        <v>16363.81</v>
      </c>
      <c r="I213">
        <v>12244.44</v>
      </c>
      <c r="J213">
        <v>300.42</v>
      </c>
      <c r="K213">
        <v>0</v>
      </c>
      <c r="L213">
        <v>2679.67</v>
      </c>
      <c r="M213">
        <v>3831.33</v>
      </c>
      <c r="N213">
        <v>17411.71</v>
      </c>
      <c r="O213">
        <v>129718.24</v>
      </c>
      <c r="P213">
        <v>487.91</v>
      </c>
      <c r="Q213">
        <v>-0.39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11158905.869999999</v>
      </c>
      <c r="F214" s="90">
        <v>1831989.84</v>
      </c>
      <c r="G214" s="90">
        <v>634211.21</v>
      </c>
      <c r="H214" s="90">
        <v>521425.54</v>
      </c>
      <c r="I214" s="90">
        <v>1059014.1100000001</v>
      </c>
      <c r="J214" s="90">
        <v>29045.01</v>
      </c>
      <c r="K214" s="90">
        <v>0</v>
      </c>
      <c r="L214" s="90">
        <v>269478.74</v>
      </c>
      <c r="M214" s="90">
        <v>387853.6</v>
      </c>
      <c r="N214" s="90">
        <v>1880504.79</v>
      </c>
      <c r="O214" s="90">
        <v>4494701.37</v>
      </c>
      <c r="P214" s="90">
        <v>50644.49</v>
      </c>
      <c r="Q214" s="90">
        <v>37.17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13415665.619999999</v>
      </c>
      <c r="F215" s="93">
        <v>1967684.86</v>
      </c>
      <c r="G215" s="93">
        <v>712268.5</v>
      </c>
      <c r="H215" s="93">
        <v>565645.02</v>
      </c>
      <c r="I215" s="93">
        <v>1569507.5</v>
      </c>
      <c r="J215" s="93">
        <v>42227.16</v>
      </c>
      <c r="K215" s="93">
        <v>0</v>
      </c>
      <c r="L215" s="93">
        <v>397564.25</v>
      </c>
      <c r="M215" s="93">
        <v>563201.06000000006</v>
      </c>
      <c r="N215" s="93">
        <v>2702825.49</v>
      </c>
      <c r="O215" s="93">
        <v>4820348.95</v>
      </c>
      <c r="P215" s="93">
        <v>74361.179999999993</v>
      </c>
      <c r="Q215" s="93">
        <v>31.65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23707258.199999999</v>
      </c>
      <c r="F216" s="100">
        <v>2669415.9900000002</v>
      </c>
      <c r="G216" s="100">
        <v>1115118.8799999999</v>
      </c>
      <c r="H216" s="100">
        <v>766590.87</v>
      </c>
      <c r="I216" s="100">
        <v>3649866.33</v>
      </c>
      <c r="J216" s="100">
        <v>117977.5</v>
      </c>
      <c r="K216" s="100">
        <v>22742.37</v>
      </c>
      <c r="L216" s="100">
        <v>1069586.72</v>
      </c>
      <c r="M216" s="100">
        <v>1249645.94</v>
      </c>
      <c r="N216" s="100">
        <v>6297254.4900000002</v>
      </c>
      <c r="O216" s="100">
        <v>6569127.7699999996</v>
      </c>
      <c r="P216" s="100">
        <v>179885.12</v>
      </c>
      <c r="Q216" s="100">
        <v>46.22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331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-235930.54</v>
      </c>
      <c r="F220" s="90">
        <v>179509.93</v>
      </c>
      <c r="G220" s="90">
        <v>97518.46</v>
      </c>
      <c r="H220" s="90">
        <v>31515.45</v>
      </c>
      <c r="I220" s="90">
        <v>-494732.77</v>
      </c>
      <c r="J220" s="90">
        <v>-10768.31</v>
      </c>
      <c r="K220" s="90">
        <v>0</v>
      </c>
      <c r="L220" s="90">
        <v>-79292.72</v>
      </c>
      <c r="M220" s="90">
        <v>-76908.97</v>
      </c>
      <c r="N220" s="90">
        <v>-361796.09</v>
      </c>
      <c r="O220" s="90">
        <v>496533.67</v>
      </c>
      <c r="P220" s="90">
        <v>-17509.189999999999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-235930.54</v>
      </c>
      <c r="F221" s="90">
        <v>179509.93</v>
      </c>
      <c r="G221" s="90">
        <v>97518.46</v>
      </c>
      <c r="H221" s="90">
        <v>31515.45</v>
      </c>
      <c r="I221" s="90">
        <v>-494732.77</v>
      </c>
      <c r="J221" s="90">
        <v>-10768.31</v>
      </c>
      <c r="K221" s="90">
        <v>0</v>
      </c>
      <c r="L221" s="90">
        <v>-79292.72</v>
      </c>
      <c r="M221" s="90">
        <v>-76908.97</v>
      </c>
      <c r="N221" s="90">
        <v>-361796.09</v>
      </c>
      <c r="O221" s="90">
        <v>496533.67</v>
      </c>
      <c r="P221" s="90">
        <v>-17509.189999999999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-235930.54</v>
      </c>
      <c r="F222" s="222">
        <v>179509.93</v>
      </c>
      <c r="G222" s="222">
        <v>97518.46</v>
      </c>
      <c r="H222" s="222">
        <v>31515.45</v>
      </c>
      <c r="I222" s="222">
        <v>-494732.77</v>
      </c>
      <c r="J222" s="222">
        <v>-10768.31</v>
      </c>
      <c r="K222" s="222">
        <v>0</v>
      </c>
      <c r="L222" s="222">
        <v>-79292.72</v>
      </c>
      <c r="M222" s="222">
        <v>-76908.97</v>
      </c>
      <c r="N222" s="222">
        <v>-361796.09</v>
      </c>
      <c r="O222" s="222">
        <v>496533.67</v>
      </c>
      <c r="P222" s="222">
        <v>-17509.189999999999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64033.1</v>
      </c>
      <c r="F223" s="90">
        <v>7214.71</v>
      </c>
      <c r="G223" s="90">
        <v>4104.6000000000004</v>
      </c>
      <c r="H223" s="90">
        <v>2011.77</v>
      </c>
      <c r="I223" s="90">
        <v>10666.45</v>
      </c>
      <c r="J223" s="90">
        <v>222.72</v>
      </c>
      <c r="K223" s="90">
        <v>0</v>
      </c>
      <c r="L223" s="90">
        <v>1953.71</v>
      </c>
      <c r="M223" s="90">
        <v>3521.83</v>
      </c>
      <c r="N223" s="90">
        <v>16901.91</v>
      </c>
      <c r="O223" s="90">
        <v>17071.919999999998</v>
      </c>
      <c r="P223" s="90">
        <v>363.48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64033.1</v>
      </c>
      <c r="F224">
        <v>7214.71</v>
      </c>
      <c r="G224">
        <v>4104.6000000000004</v>
      </c>
      <c r="H224">
        <v>2011.77</v>
      </c>
      <c r="I224">
        <v>10666.45</v>
      </c>
      <c r="J224">
        <v>222.72</v>
      </c>
      <c r="K224">
        <v>0</v>
      </c>
      <c r="L224">
        <v>1953.71</v>
      </c>
      <c r="M224">
        <v>3521.83</v>
      </c>
      <c r="N224">
        <v>16901.91</v>
      </c>
      <c r="O224">
        <v>17071.919999999998</v>
      </c>
      <c r="P224">
        <v>363.48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143391.71</v>
      </c>
      <c r="F225">
        <v>17683.3</v>
      </c>
      <c r="G225">
        <v>9483.69</v>
      </c>
      <c r="H225">
        <v>4051.59</v>
      </c>
      <c r="I225">
        <v>19388.95</v>
      </c>
      <c r="J225">
        <v>458.99</v>
      </c>
      <c r="K225">
        <v>0</v>
      </c>
      <c r="L225">
        <v>4524.54</v>
      </c>
      <c r="M225">
        <v>8575.41</v>
      </c>
      <c r="N225">
        <v>33527.4</v>
      </c>
      <c r="O225">
        <v>44872.41</v>
      </c>
      <c r="P225">
        <v>825.43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143391.71</v>
      </c>
      <c r="F226">
        <v>17683.3</v>
      </c>
      <c r="G226">
        <v>9483.69</v>
      </c>
      <c r="H226">
        <v>4051.59</v>
      </c>
      <c r="I226">
        <v>19388.95</v>
      </c>
      <c r="J226">
        <v>458.99</v>
      </c>
      <c r="K226">
        <v>0</v>
      </c>
      <c r="L226">
        <v>4524.54</v>
      </c>
      <c r="M226">
        <v>8575.41</v>
      </c>
      <c r="N226">
        <v>33527.4</v>
      </c>
      <c r="O226">
        <v>44872.41</v>
      </c>
      <c r="P226">
        <v>825.43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2930318.19</v>
      </c>
      <c r="F227" s="90">
        <v>567936.48</v>
      </c>
      <c r="G227" s="90">
        <v>316279.55</v>
      </c>
      <c r="H227" s="90">
        <v>167772.67</v>
      </c>
      <c r="I227" s="90">
        <v>74829.75</v>
      </c>
      <c r="J227" s="90">
        <v>1886.12</v>
      </c>
      <c r="K227" s="90">
        <v>0</v>
      </c>
      <c r="L227" s="90">
        <v>25238.91</v>
      </c>
      <c r="M227" s="90">
        <v>37822.78</v>
      </c>
      <c r="N227" s="90">
        <v>177754.7</v>
      </c>
      <c r="O227" s="90">
        <v>1557167.31</v>
      </c>
      <c r="P227" s="90">
        <v>3629.92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2930318.19</v>
      </c>
      <c r="F228" s="90">
        <v>567936.48</v>
      </c>
      <c r="G228" s="90">
        <v>316279.55</v>
      </c>
      <c r="H228" s="90">
        <v>167772.67</v>
      </c>
      <c r="I228" s="90">
        <v>74829.75</v>
      </c>
      <c r="J228" s="90">
        <v>1886.12</v>
      </c>
      <c r="K228" s="90">
        <v>0</v>
      </c>
      <c r="L228" s="90">
        <v>25238.91</v>
      </c>
      <c r="M228" s="90">
        <v>37822.78</v>
      </c>
      <c r="N228" s="90">
        <v>177754.7</v>
      </c>
      <c r="O228" s="90">
        <v>1557167.31</v>
      </c>
      <c r="P228" s="90">
        <v>3629.92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3137743</v>
      </c>
      <c r="F229" s="93">
        <v>592834.49</v>
      </c>
      <c r="G229" s="93">
        <v>329867.84000000003</v>
      </c>
      <c r="H229" s="93">
        <v>173836.03</v>
      </c>
      <c r="I229" s="93">
        <v>104885.15</v>
      </c>
      <c r="J229" s="93">
        <v>2567.83</v>
      </c>
      <c r="K229" s="93">
        <v>0</v>
      </c>
      <c r="L229" s="93">
        <v>31717.16</v>
      </c>
      <c r="M229" s="93">
        <v>49920.02</v>
      </c>
      <c r="N229" s="93">
        <v>228184.01</v>
      </c>
      <c r="O229" s="93">
        <v>1619111.64</v>
      </c>
      <c r="P229" s="93">
        <v>4818.83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2901812.46</v>
      </c>
      <c r="F230" s="100">
        <v>772344.42</v>
      </c>
      <c r="G230" s="100">
        <v>427386.3</v>
      </c>
      <c r="H230" s="100">
        <v>205351.48</v>
      </c>
      <c r="I230" s="100">
        <v>-389847.62</v>
      </c>
      <c r="J230" s="100">
        <v>-8200.48</v>
      </c>
      <c r="K230" s="100">
        <v>0</v>
      </c>
      <c r="L230" s="100">
        <v>-47575.56</v>
      </c>
      <c r="M230" s="100">
        <v>-26988.95</v>
      </c>
      <c r="N230" s="100">
        <v>-133612.07999999999</v>
      </c>
      <c r="O230" s="100">
        <v>2115645.31</v>
      </c>
      <c r="P230" s="100">
        <v>-12690.36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26609070.66</v>
      </c>
      <c r="F231" s="90">
        <v>3441760.41</v>
      </c>
      <c r="G231" s="90">
        <v>1542505.18</v>
      </c>
      <c r="H231" s="90">
        <v>971942.35</v>
      </c>
      <c r="I231" s="90">
        <v>3260018.71</v>
      </c>
      <c r="J231" s="90">
        <v>109777.02</v>
      </c>
      <c r="K231" s="90">
        <v>22742.37</v>
      </c>
      <c r="L231" s="90">
        <v>1022011.16</v>
      </c>
      <c r="M231" s="90">
        <v>1222656.99</v>
      </c>
      <c r="N231" s="90">
        <v>6163642.4100000001</v>
      </c>
      <c r="O231" s="90">
        <v>8684773.0800000001</v>
      </c>
      <c r="P231" s="90">
        <v>167194.76</v>
      </c>
      <c r="Q231" s="90">
        <v>46.22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9" t="s">
        <v>2</v>
      </c>
      <c r="C299" s="776" t="s">
        <v>132</v>
      </c>
      <c r="D299" s="98" t="s">
        <v>70</v>
      </c>
      <c r="E299" s="100">
        <f>E216+E230-K216</f>
        <v>26586328.289999999</v>
      </c>
      <c r="F299" s="100">
        <f>F216</f>
        <v>2669415.9900000002</v>
      </c>
      <c r="G299" s="100">
        <f t="shared" ref="G299:R299" si="7">G216</f>
        <v>1115118.8799999999</v>
      </c>
      <c r="H299" s="100">
        <f t="shared" si="7"/>
        <v>766590.87</v>
      </c>
      <c r="I299" s="100">
        <f t="shared" si="7"/>
        <v>3649866.33</v>
      </c>
      <c r="J299" s="100">
        <f t="shared" si="7"/>
        <v>117977.5</v>
      </c>
      <c r="K299" s="100">
        <f t="shared" si="7"/>
        <v>22742.37</v>
      </c>
      <c r="L299" s="100">
        <f t="shared" si="7"/>
        <v>1069586.72</v>
      </c>
      <c r="M299" s="100">
        <f t="shared" si="7"/>
        <v>1249645.94</v>
      </c>
      <c r="N299" s="100">
        <f t="shared" si="7"/>
        <v>6297254.4900000002</v>
      </c>
      <c r="O299" s="100">
        <f t="shared" si="7"/>
        <v>6569127.7699999996</v>
      </c>
      <c r="P299" s="100">
        <f t="shared" si="7"/>
        <v>179885.12</v>
      </c>
      <c r="Q299" s="100">
        <f t="shared" si="7"/>
        <v>46.22</v>
      </c>
      <c r="R299" s="100">
        <f t="shared" si="7"/>
        <v>0</v>
      </c>
    </row>
    <row r="300" spans="1:18" ht="12.75" customHeight="1" x14ac:dyDescent="0.25">
      <c r="B300" s="779"/>
      <c r="C300" s="776"/>
      <c r="D300" s="98" t="s">
        <v>73</v>
      </c>
      <c r="E300" s="100">
        <f>E230</f>
        <v>2901812.46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9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9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9" t="s">
        <v>155</v>
      </c>
      <c r="C305" s="776" t="s">
        <v>132</v>
      </c>
      <c r="D305" s="221" t="s">
        <v>70</v>
      </c>
      <c r="E305" s="222">
        <f>E222+E219+E205+E201-K205-K201</f>
        <v>10032919.670000002</v>
      </c>
      <c r="F305" s="222">
        <f>F201+F205</f>
        <v>701731.13</v>
      </c>
      <c r="G305" s="222">
        <f t="shared" ref="G305:R305" si="8">G201+G205</f>
        <v>402850.38</v>
      </c>
      <c r="H305" s="222">
        <f t="shared" si="8"/>
        <v>200945.85</v>
      </c>
      <c r="I305" s="222">
        <f t="shared" si="8"/>
        <v>2080358.83</v>
      </c>
      <c r="J305" s="222">
        <f t="shared" si="8"/>
        <v>75750.34</v>
      </c>
      <c r="K305" s="222">
        <f t="shared" si="8"/>
        <v>22742.37</v>
      </c>
      <c r="L305" s="222">
        <f t="shared" si="8"/>
        <v>672022.47</v>
      </c>
      <c r="M305" s="222">
        <f t="shared" si="8"/>
        <v>686444.88</v>
      </c>
      <c r="N305" s="222">
        <f t="shared" si="8"/>
        <v>3594429</v>
      </c>
      <c r="O305" s="222">
        <f t="shared" si="8"/>
        <v>1748778.82</v>
      </c>
      <c r="P305" s="222">
        <f t="shared" si="8"/>
        <v>105523.93999999999</v>
      </c>
      <c r="Q305" s="222">
        <f t="shared" si="8"/>
        <v>14.57</v>
      </c>
      <c r="R305" s="222">
        <f t="shared" si="8"/>
        <v>0</v>
      </c>
    </row>
    <row r="306" spans="1:18" ht="12.75" customHeight="1" x14ac:dyDescent="0.25">
      <c r="B306" s="779"/>
      <c r="C306" s="776"/>
      <c r="D306" s="221" t="s">
        <v>73</v>
      </c>
      <c r="E306" s="222">
        <f>E222+E219</f>
        <v>-235930.54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7" t="s">
        <v>325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7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9" t="s">
        <v>119</v>
      </c>
      <c r="C311" s="776" t="s">
        <v>132</v>
      </c>
      <c r="D311" s="101" t="s">
        <v>70</v>
      </c>
      <c r="E311" s="93">
        <f>E215+E229-K215</f>
        <v>16553408.619999999</v>
      </c>
      <c r="F311" s="93">
        <f>F215</f>
        <v>1967684.86</v>
      </c>
      <c r="G311" s="93">
        <f t="shared" ref="G311:R311" si="9">G215</f>
        <v>712268.5</v>
      </c>
      <c r="H311" s="93">
        <f t="shared" si="9"/>
        <v>565645.02</v>
      </c>
      <c r="I311" s="93">
        <f t="shared" si="9"/>
        <v>1569507.5</v>
      </c>
      <c r="J311" s="93">
        <f t="shared" si="9"/>
        <v>42227.16</v>
      </c>
      <c r="K311" s="93">
        <f t="shared" si="9"/>
        <v>0</v>
      </c>
      <c r="L311" s="93">
        <f t="shared" si="9"/>
        <v>397564.25</v>
      </c>
      <c r="M311" s="93">
        <f t="shared" si="9"/>
        <v>563201.06000000006</v>
      </c>
      <c r="N311" s="93">
        <f t="shared" si="9"/>
        <v>2702825.49</v>
      </c>
      <c r="O311" s="93">
        <f t="shared" si="9"/>
        <v>4820348.95</v>
      </c>
      <c r="P311" s="93">
        <f t="shared" si="9"/>
        <v>74361.179999999993</v>
      </c>
      <c r="Q311" s="93">
        <f t="shared" si="9"/>
        <v>31.65</v>
      </c>
      <c r="R311" s="93">
        <f t="shared" si="9"/>
        <v>0</v>
      </c>
    </row>
    <row r="312" spans="1:18" ht="12.75" customHeight="1" x14ac:dyDescent="0.25">
      <c r="B312" s="779"/>
      <c r="C312" s="776"/>
      <c r="D312" s="101" t="s">
        <v>73</v>
      </c>
      <c r="E312" s="93">
        <f>E229</f>
        <v>3137743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8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8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331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76457865.810000002</v>
      </c>
      <c r="F323" s="89">
        <v>3641666.89</v>
      </c>
      <c r="G323" s="89">
        <v>2133608.73</v>
      </c>
      <c r="H323" s="384">
        <v>921850.4</v>
      </c>
      <c r="I323" s="89">
        <v>19097451.010000002</v>
      </c>
      <c r="J323" s="89">
        <v>695259.51</v>
      </c>
      <c r="K323" s="89">
        <v>0</v>
      </c>
      <c r="L323" s="89">
        <v>6005916.7599999998</v>
      </c>
      <c r="M323" s="89">
        <v>5940381.5199999996</v>
      </c>
      <c r="N323" s="89">
        <v>26946237.780000001</v>
      </c>
      <c r="O323" s="89">
        <v>9968241.8399999999</v>
      </c>
      <c r="P323" s="89">
        <v>1107336.69</v>
      </c>
      <c r="Q323" s="89">
        <v>-85.32</v>
      </c>
      <c r="R323" s="384">
        <v>0</v>
      </c>
    </row>
    <row r="324" spans="2:18" ht="12.75" customHeight="1" x14ac:dyDescent="0.25">
      <c r="D324" t="s">
        <v>81</v>
      </c>
      <c r="E324" s="384">
        <v>-546491.49</v>
      </c>
      <c r="F324" s="89">
        <v>1918.82</v>
      </c>
      <c r="G324" s="89">
        <v>919.78</v>
      </c>
      <c r="H324" s="384">
        <v>476.91</v>
      </c>
      <c r="I324" s="89">
        <v>3849.93</v>
      </c>
      <c r="J324" s="89">
        <v>129.94</v>
      </c>
      <c r="K324" s="89">
        <v>0</v>
      </c>
      <c r="L324" s="89">
        <v>1057.79</v>
      </c>
      <c r="M324" s="89">
        <v>1241.1199999999999</v>
      </c>
      <c r="N324" s="89">
        <v>-561414.15</v>
      </c>
      <c r="O324" s="89">
        <v>5114.92</v>
      </c>
      <c r="P324" s="89">
        <v>213.4</v>
      </c>
      <c r="Q324" s="89">
        <v>0.05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75911374.319999993</v>
      </c>
      <c r="F325" s="89">
        <v>3643585.71</v>
      </c>
      <c r="G325" s="89">
        <v>2134528.5099999998</v>
      </c>
      <c r="H325" s="384">
        <v>922327.31</v>
      </c>
      <c r="I325" s="89">
        <v>19101300.940000001</v>
      </c>
      <c r="J325" s="89">
        <v>695389.45</v>
      </c>
      <c r="K325" s="89">
        <v>0</v>
      </c>
      <c r="L325" s="89">
        <v>6006974.5499999998</v>
      </c>
      <c r="M325" s="89">
        <v>5941622.6399999997</v>
      </c>
      <c r="N325" s="89">
        <v>26384823.629999999</v>
      </c>
      <c r="O325" s="89">
        <v>9973356.7599999998</v>
      </c>
      <c r="P325" s="89">
        <v>1107550.0900000001</v>
      </c>
      <c r="Q325" s="89">
        <v>-85.27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75911374.319999993</v>
      </c>
      <c r="F326" s="229">
        <v>3643585.71</v>
      </c>
      <c r="G326" s="229">
        <v>2134528.5099999998</v>
      </c>
      <c r="H326" s="753">
        <v>922327.31</v>
      </c>
      <c r="I326" s="229">
        <v>19101300.940000001</v>
      </c>
      <c r="J326" s="229">
        <v>695389.45</v>
      </c>
      <c r="K326" s="229">
        <v>0</v>
      </c>
      <c r="L326" s="229">
        <v>6006974.5499999998</v>
      </c>
      <c r="M326" s="229">
        <v>5941622.6399999997</v>
      </c>
      <c r="N326" s="229">
        <v>26384823.629999999</v>
      </c>
      <c r="O326" s="229">
        <v>9973356.7599999998</v>
      </c>
      <c r="P326" s="229">
        <v>1107550.0900000001</v>
      </c>
      <c r="Q326" s="229">
        <v>-85.27</v>
      </c>
      <c r="R326" s="286">
        <v>0</v>
      </c>
    </row>
    <row r="327" spans="2:18" ht="12.75" customHeight="1" x14ac:dyDescent="0.25">
      <c r="D327" t="s">
        <v>72</v>
      </c>
      <c r="E327" s="371">
        <v>18002757.07</v>
      </c>
      <c r="F327" s="90">
        <v>1980153.06</v>
      </c>
      <c r="G327" s="90">
        <v>1079854.53</v>
      </c>
      <c r="H327" s="90">
        <v>147100.26999999999</v>
      </c>
      <c r="I327" s="90">
        <v>3091993.19</v>
      </c>
      <c r="J327" s="90">
        <v>84501.79</v>
      </c>
      <c r="K327" s="90">
        <v>0</v>
      </c>
      <c r="L327" s="90">
        <v>825464.85</v>
      </c>
      <c r="M327" s="90">
        <v>929998.07</v>
      </c>
      <c r="N327" s="90">
        <v>4347249.1399999997</v>
      </c>
      <c r="O327" s="90">
        <v>5394420.5199999996</v>
      </c>
      <c r="P327" s="90">
        <v>121980.8</v>
      </c>
      <c r="Q327" s="90">
        <v>40.85</v>
      </c>
      <c r="R327">
        <v>0</v>
      </c>
    </row>
    <row r="328" spans="2:18" ht="12.75" customHeight="1" x14ac:dyDescent="0.25">
      <c r="D328" t="s">
        <v>81</v>
      </c>
      <c r="E328" s="371">
        <v>-51796.34</v>
      </c>
      <c r="F328" s="90">
        <v>3.25</v>
      </c>
      <c r="G328" s="90">
        <v>1.82</v>
      </c>
      <c r="H328" s="90">
        <v>1.49</v>
      </c>
      <c r="I328" s="90">
        <v>15.8</v>
      </c>
      <c r="J328" s="90">
        <v>0.87</v>
      </c>
      <c r="K328" s="90">
        <v>0</v>
      </c>
      <c r="L328" s="90">
        <v>4.9000000000000004</v>
      </c>
      <c r="M328" s="90">
        <v>4.8899999999999997</v>
      </c>
      <c r="N328" s="90">
        <v>-51839.46</v>
      </c>
      <c r="O328" s="90">
        <v>8.66</v>
      </c>
      <c r="P328" s="90">
        <v>1.44</v>
      </c>
      <c r="Q328" s="90">
        <v>0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17950960.73</v>
      </c>
      <c r="F329" s="90">
        <v>1980156.31</v>
      </c>
      <c r="G329" s="90">
        <v>1079856.3500000001</v>
      </c>
      <c r="H329" s="90">
        <v>147101.76000000001</v>
      </c>
      <c r="I329" s="90">
        <v>3092008.99</v>
      </c>
      <c r="J329" s="90">
        <v>84502.66</v>
      </c>
      <c r="K329" s="90">
        <v>0</v>
      </c>
      <c r="L329" s="90">
        <v>825469.75</v>
      </c>
      <c r="M329" s="90">
        <v>930002.96</v>
      </c>
      <c r="N329" s="90">
        <v>4295409.68</v>
      </c>
      <c r="O329" s="90">
        <v>5394429.1799999997</v>
      </c>
      <c r="P329" s="90">
        <v>121982.24</v>
      </c>
      <c r="Q329" s="90">
        <v>40.85</v>
      </c>
      <c r="R329">
        <v>0</v>
      </c>
    </row>
    <row r="330" spans="2:18" ht="12.75" customHeight="1" x14ac:dyDescent="0.25">
      <c r="D330" t="s">
        <v>72</v>
      </c>
      <c r="E330" s="371">
        <v>6669914.1100000003</v>
      </c>
      <c r="F330" s="90">
        <v>1324974.27</v>
      </c>
      <c r="G330" s="90">
        <v>751701.9</v>
      </c>
      <c r="H330" s="90">
        <v>74006.929999999993</v>
      </c>
      <c r="I330" s="90">
        <v>332831.09000000003</v>
      </c>
      <c r="J330" s="90">
        <v>10219.219999999999</v>
      </c>
      <c r="K330" s="90">
        <v>0</v>
      </c>
      <c r="L330" s="90">
        <v>73839.360000000001</v>
      </c>
      <c r="M330" s="90">
        <v>81220.13</v>
      </c>
      <c r="N330" s="90">
        <v>435049.09</v>
      </c>
      <c r="O330" s="90">
        <v>3571186.75</v>
      </c>
      <c r="P330" s="90">
        <v>14889.6</v>
      </c>
      <c r="Q330" s="90">
        <v>-4.2300000000000004</v>
      </c>
      <c r="R330">
        <v>0</v>
      </c>
    </row>
    <row r="331" spans="2:18" ht="12.75" customHeight="1" x14ac:dyDescent="0.25">
      <c r="D331" t="s">
        <v>81</v>
      </c>
      <c r="E331" s="371">
        <v>-8785.59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-8785.59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6661128.5199999996</v>
      </c>
      <c r="F332" s="90">
        <v>1324974.27</v>
      </c>
      <c r="G332" s="90">
        <v>751701.9</v>
      </c>
      <c r="H332" s="90">
        <v>74006.929999999993</v>
      </c>
      <c r="I332" s="90">
        <v>332831.09000000003</v>
      </c>
      <c r="J332" s="90">
        <v>10219.219999999999</v>
      </c>
      <c r="K332" s="90">
        <v>0</v>
      </c>
      <c r="L332" s="90">
        <v>73839.360000000001</v>
      </c>
      <c r="M332" s="90">
        <v>81220.13</v>
      </c>
      <c r="N332" s="90">
        <v>426263.5</v>
      </c>
      <c r="O332" s="90">
        <v>3571186.75</v>
      </c>
      <c r="P332" s="90">
        <v>14889.6</v>
      </c>
      <c r="Q332" s="90">
        <v>-4.2300000000000004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18793865.449999999</v>
      </c>
      <c r="F339" s="90">
        <v>1178975.76</v>
      </c>
      <c r="G339" s="90">
        <v>662155.76</v>
      </c>
      <c r="H339" s="90">
        <v>252823.43</v>
      </c>
      <c r="I339" s="90">
        <v>4498808.16</v>
      </c>
      <c r="J339" s="90">
        <v>134388.49</v>
      </c>
      <c r="K339" s="90">
        <v>0</v>
      </c>
      <c r="L339" s="90">
        <v>1287740.81</v>
      </c>
      <c r="M339" s="90">
        <v>1382529.63</v>
      </c>
      <c r="N339" s="90">
        <v>5942810.0499999998</v>
      </c>
      <c r="O339" s="90">
        <v>3255861.06</v>
      </c>
      <c r="P339" s="90">
        <v>197723.5</v>
      </c>
      <c r="Q339" s="90">
        <v>48.8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-95398.53</v>
      </c>
      <c r="F340" s="90">
        <v>34.9</v>
      </c>
      <c r="G340" s="90">
        <v>18.75</v>
      </c>
      <c r="H340" s="90">
        <v>10.18</v>
      </c>
      <c r="I340" s="90">
        <v>106.03</v>
      </c>
      <c r="J340" s="90">
        <v>3.53</v>
      </c>
      <c r="K340" s="90">
        <v>0</v>
      </c>
      <c r="L340" s="90">
        <v>31</v>
      </c>
      <c r="M340" s="90">
        <v>32.71</v>
      </c>
      <c r="N340" s="90">
        <v>-95734.22</v>
      </c>
      <c r="O340" s="90">
        <v>92.81</v>
      </c>
      <c r="P340" s="90">
        <v>5.78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18698466.920000002</v>
      </c>
      <c r="F341" s="90">
        <v>1179010.6599999999</v>
      </c>
      <c r="G341" s="90">
        <v>662174.51</v>
      </c>
      <c r="H341" s="90">
        <v>252833.61</v>
      </c>
      <c r="I341" s="90">
        <v>4498914.1900000004</v>
      </c>
      <c r="J341" s="90">
        <v>134392.01999999999</v>
      </c>
      <c r="K341" s="90">
        <v>0</v>
      </c>
      <c r="L341" s="90">
        <v>1287771.81</v>
      </c>
      <c r="M341" s="90">
        <v>1382562.34</v>
      </c>
      <c r="N341" s="90">
        <v>5847075.8300000001</v>
      </c>
      <c r="O341" s="90">
        <v>3255953.87</v>
      </c>
      <c r="P341" s="90">
        <v>197729.28</v>
      </c>
      <c r="Q341" s="90">
        <v>48.8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20152773.109999999</v>
      </c>
      <c r="F345" s="90">
        <v>4557090.0199999996</v>
      </c>
      <c r="G345" s="90">
        <v>2578655.79</v>
      </c>
      <c r="H345" s="90">
        <v>537655.12</v>
      </c>
      <c r="I345" s="90">
        <v>59605.89</v>
      </c>
      <c r="J345" s="90">
        <v>1466.04</v>
      </c>
      <c r="K345" s="90">
        <v>0</v>
      </c>
      <c r="L345" s="90">
        <v>12859.98</v>
      </c>
      <c r="M345" s="90">
        <v>18847.080000000002</v>
      </c>
      <c r="N345" s="90">
        <v>93515.82</v>
      </c>
      <c r="O345" s="90">
        <v>12290686.24</v>
      </c>
      <c r="P345" s="90">
        <v>2391.9899999999998</v>
      </c>
      <c r="Q345" s="90">
        <v>-0.86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-2377.86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-2377.86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20150395.25</v>
      </c>
      <c r="F347" s="90">
        <v>4557090.0199999996</v>
      </c>
      <c r="G347" s="90">
        <v>2578655.79</v>
      </c>
      <c r="H347" s="90">
        <v>537655.12</v>
      </c>
      <c r="I347" s="90">
        <v>59605.89</v>
      </c>
      <c r="J347" s="90">
        <v>1466.04</v>
      </c>
      <c r="K347" s="90">
        <v>0</v>
      </c>
      <c r="L347" s="90">
        <v>12859.98</v>
      </c>
      <c r="M347" s="90">
        <v>18847.080000000002</v>
      </c>
      <c r="N347" s="90">
        <v>91137.96</v>
      </c>
      <c r="O347" s="90">
        <v>12290686.24</v>
      </c>
      <c r="P347" s="90">
        <v>2391.9899999999998</v>
      </c>
      <c r="Q347" s="90">
        <v>-0.86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63460951.420000002</v>
      </c>
      <c r="F348" s="225">
        <v>9041231.2599999998</v>
      </c>
      <c r="G348" s="225">
        <v>5072388.55</v>
      </c>
      <c r="H348" s="225">
        <v>1011597.42</v>
      </c>
      <c r="I348" s="225">
        <v>7983360.1600000001</v>
      </c>
      <c r="J348" s="225">
        <v>230579.94</v>
      </c>
      <c r="K348" s="225">
        <v>0</v>
      </c>
      <c r="L348" s="225">
        <v>2199940.9</v>
      </c>
      <c r="M348" s="225">
        <v>2412632.5099999998</v>
      </c>
      <c r="N348" s="225">
        <v>10659886.970000001</v>
      </c>
      <c r="O348" s="225">
        <v>24512256.039999999</v>
      </c>
      <c r="P348" s="225">
        <v>336993.11</v>
      </c>
      <c r="Q348" s="225">
        <v>84.56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2277123.2799999998</v>
      </c>
      <c r="F349" s="90">
        <v>152739.62</v>
      </c>
      <c r="G349" s="90">
        <v>87677.85</v>
      </c>
      <c r="H349" s="90">
        <v>38295.050000000003</v>
      </c>
      <c r="I349" s="90">
        <v>554007.76</v>
      </c>
      <c r="J349" s="90">
        <v>14388.41</v>
      </c>
      <c r="K349" s="90">
        <v>0</v>
      </c>
      <c r="L349" s="90">
        <v>147147.26999999999</v>
      </c>
      <c r="M349" s="90">
        <v>179783.34</v>
      </c>
      <c r="N349" s="90">
        <v>665128.14</v>
      </c>
      <c r="O349" s="90">
        <v>417327.57</v>
      </c>
      <c r="P349" s="90">
        <v>20628.34</v>
      </c>
      <c r="Q349" s="90">
        <v>-7.0000000000000007E-2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-10387.44</v>
      </c>
      <c r="F350" s="90">
        <v>1.9</v>
      </c>
      <c r="G350" s="90">
        <v>1.07</v>
      </c>
      <c r="H350" s="90">
        <v>0.56999999999999995</v>
      </c>
      <c r="I350" s="90">
        <v>4.54</v>
      </c>
      <c r="J350" s="90">
        <v>0.19</v>
      </c>
      <c r="K350" s="90">
        <v>0</v>
      </c>
      <c r="L350" s="90">
        <v>1.71</v>
      </c>
      <c r="M350" s="90">
        <v>1.68</v>
      </c>
      <c r="N350" s="90">
        <v>-10404.469999999999</v>
      </c>
      <c r="O350" s="90">
        <v>5.05</v>
      </c>
      <c r="P350" s="90">
        <v>0.32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2266735.84</v>
      </c>
      <c r="F351" s="90">
        <v>152741.51999999999</v>
      </c>
      <c r="G351" s="90">
        <v>87678.92</v>
      </c>
      <c r="H351" s="90">
        <v>38295.620000000003</v>
      </c>
      <c r="I351" s="90">
        <v>554012.30000000005</v>
      </c>
      <c r="J351" s="90">
        <v>14388.6</v>
      </c>
      <c r="K351" s="90">
        <v>0</v>
      </c>
      <c r="L351" s="90">
        <v>147148.98000000001</v>
      </c>
      <c r="M351" s="90">
        <v>179785.02</v>
      </c>
      <c r="N351" s="90">
        <v>654723.67000000004</v>
      </c>
      <c r="O351" s="90">
        <v>417332.62</v>
      </c>
      <c r="P351" s="90">
        <v>20628.66</v>
      </c>
      <c r="Q351" s="90">
        <v>-7.0000000000000007E-2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17823216.399999999</v>
      </c>
      <c r="F352" s="90">
        <v>1523087.01</v>
      </c>
      <c r="G352" s="90">
        <v>848548.71</v>
      </c>
      <c r="H352" s="90">
        <v>462824.84</v>
      </c>
      <c r="I352" s="90">
        <v>2992961.48</v>
      </c>
      <c r="J352" s="90">
        <v>133872.67000000001</v>
      </c>
      <c r="K352" s="90">
        <v>0</v>
      </c>
      <c r="L352" s="90">
        <v>965569.75</v>
      </c>
      <c r="M352" s="90">
        <v>960588.18</v>
      </c>
      <c r="N352" s="90">
        <v>5618487.4000000004</v>
      </c>
      <c r="O352" s="90">
        <v>4104888.6</v>
      </c>
      <c r="P352" s="90">
        <v>212352.11</v>
      </c>
      <c r="Q352" s="90">
        <v>35.65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-46587.5</v>
      </c>
      <c r="F353" s="90">
        <v>1483</v>
      </c>
      <c r="G353" s="90">
        <v>717.39</v>
      </c>
      <c r="H353" s="90">
        <v>339.69</v>
      </c>
      <c r="I353" s="90">
        <v>5293.47</v>
      </c>
      <c r="J353" s="90">
        <v>169.6</v>
      </c>
      <c r="K353" s="90">
        <v>0</v>
      </c>
      <c r="L353" s="90">
        <v>1488.2</v>
      </c>
      <c r="M353" s="90">
        <v>1776.19</v>
      </c>
      <c r="N353" s="90">
        <v>-62026.43</v>
      </c>
      <c r="O353" s="90">
        <v>3894.77</v>
      </c>
      <c r="P353" s="90">
        <v>276.56</v>
      </c>
      <c r="Q353" s="90">
        <v>0.06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17776628.899999999</v>
      </c>
      <c r="F354" s="90">
        <v>1524570.01</v>
      </c>
      <c r="G354" s="90">
        <v>849266.1</v>
      </c>
      <c r="H354" s="90">
        <v>463164.53</v>
      </c>
      <c r="I354" s="90">
        <v>2998254.95</v>
      </c>
      <c r="J354" s="90">
        <v>134042.26999999999</v>
      </c>
      <c r="K354" s="90">
        <v>0</v>
      </c>
      <c r="L354" s="90">
        <v>967057.95</v>
      </c>
      <c r="M354" s="90">
        <v>962364.37</v>
      </c>
      <c r="N354" s="90">
        <v>5556460.9699999997</v>
      </c>
      <c r="O354" s="90">
        <v>4108783.37</v>
      </c>
      <c r="P354" s="90">
        <v>212628.67</v>
      </c>
      <c r="Q354" s="90">
        <v>35.71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13787623.17</v>
      </c>
      <c r="F355" s="90">
        <v>1736916.2</v>
      </c>
      <c r="G355" s="90">
        <v>917147.14</v>
      </c>
      <c r="H355" s="90">
        <v>417543.06</v>
      </c>
      <c r="I355" s="90">
        <v>1703135.96</v>
      </c>
      <c r="J355" s="90">
        <v>49848.3</v>
      </c>
      <c r="K355" s="90">
        <v>0</v>
      </c>
      <c r="L355" s="90">
        <v>466832.57</v>
      </c>
      <c r="M355" s="90">
        <v>613137.31999999995</v>
      </c>
      <c r="N355" s="90">
        <v>3103461.76</v>
      </c>
      <c r="O355" s="90">
        <v>4698151.2699999996</v>
      </c>
      <c r="P355" s="90">
        <v>81479.960000000006</v>
      </c>
      <c r="Q355" s="90">
        <v>-30.37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-32280.94</v>
      </c>
      <c r="F356" s="90">
        <v>60.61</v>
      </c>
      <c r="G356" s="90">
        <v>33.97</v>
      </c>
      <c r="H356" s="90">
        <v>18.12</v>
      </c>
      <c r="I356" s="90">
        <v>181.51</v>
      </c>
      <c r="J356" s="90">
        <v>4.47</v>
      </c>
      <c r="K356" s="90">
        <v>0</v>
      </c>
      <c r="L356" s="90">
        <v>38.979999999999997</v>
      </c>
      <c r="M356" s="90">
        <v>56.44</v>
      </c>
      <c r="N356" s="90">
        <v>-32843.919999999998</v>
      </c>
      <c r="O356" s="90">
        <v>161.6</v>
      </c>
      <c r="P356" s="90">
        <v>7.28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13755342.23</v>
      </c>
      <c r="F357" s="90">
        <v>1736976.81</v>
      </c>
      <c r="G357" s="90">
        <v>917181.11</v>
      </c>
      <c r="H357" s="90">
        <v>417561.18</v>
      </c>
      <c r="I357" s="90">
        <v>1703317.47</v>
      </c>
      <c r="J357" s="90">
        <v>49852.77</v>
      </c>
      <c r="K357" s="90">
        <v>0</v>
      </c>
      <c r="L357" s="90">
        <v>466871.55</v>
      </c>
      <c r="M357" s="90">
        <v>613193.76</v>
      </c>
      <c r="N357" s="90">
        <v>3070617.84</v>
      </c>
      <c r="O357" s="90">
        <v>4698312.87</v>
      </c>
      <c r="P357" s="90">
        <v>81487.240000000005</v>
      </c>
      <c r="Q357" s="90">
        <v>-30.37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33798706.969999999</v>
      </c>
      <c r="F358" s="93">
        <v>3414288.34</v>
      </c>
      <c r="G358" s="93">
        <v>1854126.13</v>
      </c>
      <c r="H358" s="93">
        <v>919021.33</v>
      </c>
      <c r="I358" s="93">
        <v>5255584.72</v>
      </c>
      <c r="J358" s="93">
        <v>198283.64</v>
      </c>
      <c r="K358" s="93">
        <v>0</v>
      </c>
      <c r="L358" s="93">
        <v>1581078.48</v>
      </c>
      <c r="M358" s="93">
        <v>1755343.15</v>
      </c>
      <c r="N358" s="93">
        <v>9281802.4800000004</v>
      </c>
      <c r="O358" s="93">
        <v>9224428.8599999994</v>
      </c>
      <c r="P358" s="93">
        <v>314744.57</v>
      </c>
      <c r="Q358" s="93">
        <v>5.27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173171032.71000001</v>
      </c>
      <c r="F359" s="100">
        <v>16099105.310000001</v>
      </c>
      <c r="G359" s="100">
        <v>9061043.1899999995</v>
      </c>
      <c r="H359" s="100">
        <v>2852946.06</v>
      </c>
      <c r="I359" s="100">
        <v>32340245.82</v>
      </c>
      <c r="J359" s="100">
        <v>1124253.03</v>
      </c>
      <c r="K359" s="100">
        <v>0</v>
      </c>
      <c r="L359" s="100">
        <v>9787993.9299999997</v>
      </c>
      <c r="M359" s="100">
        <v>10109598.300000001</v>
      </c>
      <c r="N359" s="100">
        <v>46326513.079999998</v>
      </c>
      <c r="O359" s="100">
        <v>43710041.659999996</v>
      </c>
      <c r="P359" s="100">
        <v>1759287.77</v>
      </c>
      <c r="Q359" s="100">
        <v>4.5599999999999996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331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-15136443.210000001</v>
      </c>
      <c r="F363" s="90">
        <v>-369511.1</v>
      </c>
      <c r="G363" s="90">
        <v>-227710.81</v>
      </c>
      <c r="H363" s="90">
        <v>-126803.1</v>
      </c>
      <c r="I363" s="90">
        <v>-4033648.5</v>
      </c>
      <c r="J363" s="90">
        <v>-147379.69</v>
      </c>
      <c r="K363" s="90">
        <v>0</v>
      </c>
      <c r="L363" s="90">
        <v>-1289953.2</v>
      </c>
      <c r="M363" s="90">
        <v>-1256717.02</v>
      </c>
      <c r="N363" s="90">
        <v>-6507002.75</v>
      </c>
      <c r="O363" s="90">
        <v>-933290.3</v>
      </c>
      <c r="P363" s="90">
        <v>-244426.74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-15136443.210000001</v>
      </c>
      <c r="F364" s="90">
        <v>-369511.1</v>
      </c>
      <c r="G364" s="90">
        <v>-227710.81</v>
      </c>
      <c r="H364" s="90">
        <v>-126803.1</v>
      </c>
      <c r="I364" s="90">
        <v>-4033648.5</v>
      </c>
      <c r="J364" s="90">
        <v>-147379.69</v>
      </c>
      <c r="K364" s="90">
        <v>0</v>
      </c>
      <c r="L364" s="90">
        <v>-1289953.2</v>
      </c>
      <c r="M364" s="90">
        <v>-1256717.02</v>
      </c>
      <c r="N364" s="90">
        <v>-6507002.75</v>
      </c>
      <c r="O364" s="90">
        <v>-933290.3</v>
      </c>
      <c r="P364" s="90">
        <v>-244426.74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-15136443.210000001</v>
      </c>
      <c r="F365" s="230">
        <v>-369511.1</v>
      </c>
      <c r="G365" s="230">
        <v>-227710.81</v>
      </c>
      <c r="H365" s="230">
        <v>-126803.1</v>
      </c>
      <c r="I365" s="230">
        <v>-4033648.5</v>
      </c>
      <c r="J365" s="230">
        <v>-147379.69</v>
      </c>
      <c r="K365" s="230">
        <v>0</v>
      </c>
      <c r="L365" s="230">
        <v>-1289953.2</v>
      </c>
      <c r="M365" s="230">
        <v>-1256717.02</v>
      </c>
      <c r="N365" s="230">
        <v>-6507002.75</v>
      </c>
      <c r="O365" s="230">
        <v>-933290.3</v>
      </c>
      <c r="P365" s="230">
        <v>-244426.74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-1043741.98</v>
      </c>
      <c r="F366" s="90">
        <v>-14192.02</v>
      </c>
      <c r="G366" s="90">
        <v>-10774.43</v>
      </c>
      <c r="H366" s="90">
        <v>-10859.18</v>
      </c>
      <c r="I366" s="90">
        <v>-330949.89</v>
      </c>
      <c r="J366" s="90">
        <v>-7903.04</v>
      </c>
      <c r="K366" s="90">
        <v>0</v>
      </c>
      <c r="L366" s="90">
        <v>-70303.88</v>
      </c>
      <c r="M366" s="90">
        <v>-94909.58</v>
      </c>
      <c r="N366" s="90">
        <v>-462724.97</v>
      </c>
      <c r="O366" s="90">
        <v>-28052.959999999999</v>
      </c>
      <c r="P366" s="90">
        <v>-13072.03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-1043741.98</v>
      </c>
      <c r="F367" s="90">
        <v>-14192.02</v>
      </c>
      <c r="G367" s="90">
        <v>-10774.43</v>
      </c>
      <c r="H367" s="90">
        <v>-10859.18</v>
      </c>
      <c r="I367" s="90">
        <v>-330949.89</v>
      </c>
      <c r="J367" s="90">
        <v>-7903.04</v>
      </c>
      <c r="K367" s="90">
        <v>0</v>
      </c>
      <c r="L367" s="90">
        <v>-70303.88</v>
      </c>
      <c r="M367" s="90">
        <v>-94909.58</v>
      </c>
      <c r="N367" s="90">
        <v>-462724.97</v>
      </c>
      <c r="O367" s="90">
        <v>-28052.959999999999</v>
      </c>
      <c r="P367" s="90">
        <v>-13072.03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409790.29</v>
      </c>
      <c r="F368" s="90">
        <v>71510.58</v>
      </c>
      <c r="G368" s="90">
        <v>40399.269999999997</v>
      </c>
      <c r="H368" s="90">
        <v>20582.099999999999</v>
      </c>
      <c r="I368" s="90">
        <v>26016.28</v>
      </c>
      <c r="J368" s="90">
        <v>512.45000000000005</v>
      </c>
      <c r="K368" s="90">
        <v>0</v>
      </c>
      <c r="L368" s="90">
        <v>4821.18</v>
      </c>
      <c r="M368" s="90">
        <v>7956.37</v>
      </c>
      <c r="N368" s="90">
        <v>47274.38</v>
      </c>
      <c r="O368" s="90">
        <v>190253.72</v>
      </c>
      <c r="P368" s="90">
        <v>463.96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409790.29</v>
      </c>
      <c r="F369" s="90">
        <v>71510.58</v>
      </c>
      <c r="G369" s="90">
        <v>40399.269999999997</v>
      </c>
      <c r="H369" s="90">
        <v>20582.099999999999</v>
      </c>
      <c r="I369" s="90">
        <v>26016.28</v>
      </c>
      <c r="J369" s="90">
        <v>512.45000000000005</v>
      </c>
      <c r="K369" s="90">
        <v>0</v>
      </c>
      <c r="L369" s="90">
        <v>4821.18</v>
      </c>
      <c r="M369" s="90">
        <v>7956.37</v>
      </c>
      <c r="N369" s="90">
        <v>47274.38</v>
      </c>
      <c r="O369" s="90">
        <v>190253.72</v>
      </c>
      <c r="P369" s="90">
        <v>463.96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-1982195.66</v>
      </c>
      <c r="F374" s="90">
        <v>-22977.42</v>
      </c>
      <c r="G374" s="90">
        <v>-17204.09</v>
      </c>
      <c r="H374" s="90">
        <v>-9704.7199999999993</v>
      </c>
      <c r="I374" s="90">
        <v>-625614.14</v>
      </c>
      <c r="J374" s="90">
        <v>-19604.240000000002</v>
      </c>
      <c r="K374" s="90">
        <v>0</v>
      </c>
      <c r="L374" s="90">
        <v>-164286.15</v>
      </c>
      <c r="M374" s="90">
        <v>-182986.96</v>
      </c>
      <c r="N374" s="90">
        <v>-899171.51</v>
      </c>
      <c r="O374" s="90">
        <v>-7932.64</v>
      </c>
      <c r="P374" s="90">
        <v>-32713.79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-1982195.66</v>
      </c>
      <c r="F375" s="90">
        <v>-22977.42</v>
      </c>
      <c r="G375" s="90">
        <v>-17204.09</v>
      </c>
      <c r="H375" s="90">
        <v>-9704.7199999999993</v>
      </c>
      <c r="I375" s="90">
        <v>-625614.14</v>
      </c>
      <c r="J375" s="90">
        <v>-19604.240000000002</v>
      </c>
      <c r="K375" s="90">
        <v>0</v>
      </c>
      <c r="L375" s="90">
        <v>-164286.15</v>
      </c>
      <c r="M375" s="90">
        <v>-182986.96</v>
      </c>
      <c r="N375" s="90">
        <v>-899171.51</v>
      </c>
      <c r="O375" s="90">
        <v>-7932.64</v>
      </c>
      <c r="P375" s="90">
        <v>-32713.79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5663564.75</v>
      </c>
      <c r="F378" s="90">
        <v>1321214.3500000001</v>
      </c>
      <c r="G378" s="90">
        <v>747616.79</v>
      </c>
      <c r="H378" s="90">
        <v>398940.3</v>
      </c>
      <c r="I378" s="90">
        <v>17881.759999999998</v>
      </c>
      <c r="J378" s="90">
        <v>439.81</v>
      </c>
      <c r="K378" s="90">
        <v>0</v>
      </c>
      <c r="L378" s="90">
        <v>3857.99</v>
      </c>
      <c r="M378" s="90">
        <v>5654.13</v>
      </c>
      <c r="N378" s="90">
        <v>28054.76</v>
      </c>
      <c r="O378" s="90">
        <v>3139187.26</v>
      </c>
      <c r="P378" s="90">
        <v>717.6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5663564.75</v>
      </c>
      <c r="F379" s="90">
        <v>1321214.3500000001</v>
      </c>
      <c r="G379" s="90">
        <v>747616.79</v>
      </c>
      <c r="H379" s="90">
        <v>398940.3</v>
      </c>
      <c r="I379" s="90">
        <v>17881.759999999998</v>
      </c>
      <c r="J379" s="90">
        <v>439.81</v>
      </c>
      <c r="K379" s="90">
        <v>0</v>
      </c>
      <c r="L379" s="90">
        <v>3857.99</v>
      </c>
      <c r="M379" s="90">
        <v>5654.13</v>
      </c>
      <c r="N379" s="90">
        <v>28054.76</v>
      </c>
      <c r="O379" s="90">
        <v>3139187.26</v>
      </c>
      <c r="P379" s="90">
        <v>717.6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3047417.4</v>
      </c>
      <c r="F380" s="225">
        <v>1355555.49</v>
      </c>
      <c r="G380" s="225">
        <v>760037.54</v>
      </c>
      <c r="H380" s="225">
        <v>398958.5</v>
      </c>
      <c r="I380" s="225">
        <v>-912665.99</v>
      </c>
      <c r="J380" s="225">
        <v>-26555.02</v>
      </c>
      <c r="K380" s="225">
        <v>0</v>
      </c>
      <c r="L380" s="225">
        <v>-225910.86</v>
      </c>
      <c r="M380" s="225">
        <v>-264286.03999999998</v>
      </c>
      <c r="N380" s="225">
        <v>-1286567.3400000001</v>
      </c>
      <c r="O380" s="225">
        <v>3293455.38</v>
      </c>
      <c r="P380" s="225">
        <v>-44604.26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9692.06</v>
      </c>
      <c r="F381" s="90">
        <v>18576</v>
      </c>
      <c r="G381" s="90">
        <v>10518.42</v>
      </c>
      <c r="H381" s="90">
        <v>4573.71</v>
      </c>
      <c r="I381" s="90">
        <v>-24440.48</v>
      </c>
      <c r="J381" s="90">
        <v>-562.32000000000005</v>
      </c>
      <c r="K381" s="90">
        <v>0</v>
      </c>
      <c r="L381" s="90">
        <v>-4141.51</v>
      </c>
      <c r="M381" s="90">
        <v>-6583.19</v>
      </c>
      <c r="N381" s="90">
        <v>-37234</v>
      </c>
      <c r="O381" s="90">
        <v>50301.63</v>
      </c>
      <c r="P381" s="90">
        <v>-1316.2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9692.06</v>
      </c>
      <c r="F382" s="90">
        <v>18576</v>
      </c>
      <c r="G382" s="90">
        <v>10518.42</v>
      </c>
      <c r="H382" s="90">
        <v>4573.71</v>
      </c>
      <c r="I382" s="90">
        <v>-24440.48</v>
      </c>
      <c r="J382" s="90">
        <v>-562.32000000000005</v>
      </c>
      <c r="K382" s="90">
        <v>0</v>
      </c>
      <c r="L382" s="90">
        <v>-4141.51</v>
      </c>
      <c r="M382" s="90">
        <v>-6583.19</v>
      </c>
      <c r="N382" s="90">
        <v>-37234</v>
      </c>
      <c r="O382" s="90">
        <v>50301.63</v>
      </c>
      <c r="P382" s="90">
        <v>-1316.2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-2115945.87</v>
      </c>
      <c r="F383" s="90">
        <v>-122058.6</v>
      </c>
      <c r="G383" s="90">
        <v>-70601.09</v>
      </c>
      <c r="H383" s="90">
        <v>-36379.54</v>
      </c>
      <c r="I383" s="90">
        <v>-755087.5</v>
      </c>
      <c r="J383" s="90">
        <v>-27028.55</v>
      </c>
      <c r="K383" s="90">
        <v>0</v>
      </c>
      <c r="L383" s="90">
        <v>-232649.91</v>
      </c>
      <c r="M383" s="90">
        <v>-236476.23</v>
      </c>
      <c r="N383" s="90">
        <v>-1214265.58</v>
      </c>
      <c r="O383" s="90">
        <v>622705.67000000004</v>
      </c>
      <c r="P383" s="90">
        <v>-44104.54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-2115945.87</v>
      </c>
      <c r="F384" s="90">
        <v>-122058.6</v>
      </c>
      <c r="G384" s="90">
        <v>-70601.09</v>
      </c>
      <c r="H384" s="90">
        <v>-36379.54</v>
      </c>
      <c r="I384" s="90">
        <v>-755087.5</v>
      </c>
      <c r="J384" s="90">
        <v>-27028.55</v>
      </c>
      <c r="K384" s="90">
        <v>0</v>
      </c>
      <c r="L384" s="90">
        <v>-232649.91</v>
      </c>
      <c r="M384" s="90">
        <v>-236476.23</v>
      </c>
      <c r="N384" s="90">
        <v>-1214265.58</v>
      </c>
      <c r="O384" s="90">
        <v>622705.67000000004</v>
      </c>
      <c r="P384" s="90">
        <v>-44104.54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2486196.64</v>
      </c>
      <c r="F385" s="90">
        <v>154533.22</v>
      </c>
      <c r="G385" s="90">
        <v>85945.77</v>
      </c>
      <c r="H385" s="90">
        <v>39304.26</v>
      </c>
      <c r="I385" s="90">
        <v>304865</v>
      </c>
      <c r="J385" s="90">
        <v>11493.68</v>
      </c>
      <c r="K385" s="90">
        <v>0</v>
      </c>
      <c r="L385" s="90">
        <v>105978.94</v>
      </c>
      <c r="M385" s="90">
        <v>138622.16</v>
      </c>
      <c r="N385" s="90">
        <v>699474.3</v>
      </c>
      <c r="O385" s="90">
        <v>927281.31</v>
      </c>
      <c r="P385" s="90">
        <v>18698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2486196.64</v>
      </c>
      <c r="F386" s="90">
        <v>154533.22</v>
      </c>
      <c r="G386" s="90">
        <v>85945.77</v>
      </c>
      <c r="H386" s="90">
        <v>39304.26</v>
      </c>
      <c r="I386" s="90">
        <v>304865</v>
      </c>
      <c r="J386" s="90">
        <v>11493.68</v>
      </c>
      <c r="K386" s="90">
        <v>0</v>
      </c>
      <c r="L386" s="90">
        <v>105978.94</v>
      </c>
      <c r="M386" s="90">
        <v>138622.16</v>
      </c>
      <c r="N386" s="90">
        <v>699474.3</v>
      </c>
      <c r="O386" s="90">
        <v>927281.31</v>
      </c>
      <c r="P386" s="90">
        <v>18698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379942.83</v>
      </c>
      <c r="F387" s="93">
        <v>51050.62</v>
      </c>
      <c r="G387" s="93">
        <v>25863.1</v>
      </c>
      <c r="H387" s="93">
        <v>7498.43</v>
      </c>
      <c r="I387" s="93">
        <v>-474662.98</v>
      </c>
      <c r="J387" s="93">
        <v>-16097.19</v>
      </c>
      <c r="K387" s="93">
        <v>0</v>
      </c>
      <c r="L387" s="93">
        <v>-130812.48</v>
      </c>
      <c r="M387" s="93">
        <v>-104437.26</v>
      </c>
      <c r="N387" s="93">
        <v>-552025.28</v>
      </c>
      <c r="O387" s="93">
        <v>1600288.61</v>
      </c>
      <c r="P387" s="93">
        <v>-26722.74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-11709082.98</v>
      </c>
      <c r="F388" s="100">
        <v>1037095.01</v>
      </c>
      <c r="G388" s="100">
        <v>558189.82999999996</v>
      </c>
      <c r="H388" s="100">
        <v>279653.83</v>
      </c>
      <c r="I388" s="100">
        <v>-5420977.4699999997</v>
      </c>
      <c r="J388" s="100">
        <v>-190031.9</v>
      </c>
      <c r="K388" s="100">
        <v>0</v>
      </c>
      <c r="L388" s="100">
        <v>-1646676.54</v>
      </c>
      <c r="M388" s="100">
        <v>-1625440.32</v>
      </c>
      <c r="N388" s="100">
        <v>-8345595.3700000001</v>
      </c>
      <c r="O388" s="100">
        <v>3960453.69</v>
      </c>
      <c r="P388" s="100">
        <v>-315753.74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161461949.72999999</v>
      </c>
      <c r="F389" s="90">
        <v>17136200.32</v>
      </c>
      <c r="G389" s="90">
        <v>9619233.0199999996</v>
      </c>
      <c r="H389" s="90">
        <v>3132599.89</v>
      </c>
      <c r="I389" s="90">
        <v>26919268.350000001</v>
      </c>
      <c r="J389" s="90">
        <v>934221.13</v>
      </c>
      <c r="K389" s="90">
        <v>0</v>
      </c>
      <c r="L389" s="90">
        <v>8141317.3899999997</v>
      </c>
      <c r="M389" s="90">
        <v>8484157.9800000004</v>
      </c>
      <c r="N389" s="90">
        <v>37980917.710000001</v>
      </c>
      <c r="O389" s="90">
        <v>47670495.350000001</v>
      </c>
      <c r="P389" s="90">
        <v>1443534.03</v>
      </c>
      <c r="Q389" s="90">
        <v>4.5599999999999996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9" t="s">
        <v>2</v>
      </c>
      <c r="C423" s="776" t="s">
        <v>132</v>
      </c>
      <c r="D423" s="98" t="s">
        <v>70</v>
      </c>
      <c r="E423" s="100">
        <f>E359+E388-K359</f>
        <v>161461949.73000002</v>
      </c>
      <c r="F423" s="100">
        <f>F359</f>
        <v>16099105.310000001</v>
      </c>
      <c r="G423" s="100">
        <f t="shared" ref="G423:R423" si="10">G359</f>
        <v>9061043.1899999995</v>
      </c>
      <c r="H423" s="100">
        <f t="shared" si="10"/>
        <v>2852946.06</v>
      </c>
      <c r="I423" s="100">
        <f t="shared" si="10"/>
        <v>32340245.82</v>
      </c>
      <c r="J423" s="100">
        <f t="shared" si="10"/>
        <v>1124253.03</v>
      </c>
      <c r="K423" s="100">
        <f t="shared" si="10"/>
        <v>0</v>
      </c>
      <c r="L423" s="100">
        <f t="shared" si="10"/>
        <v>9787993.9299999997</v>
      </c>
      <c r="M423" s="100">
        <f t="shared" si="10"/>
        <v>10109598.300000001</v>
      </c>
      <c r="N423" s="100">
        <f t="shared" si="10"/>
        <v>46326513.079999998</v>
      </c>
      <c r="O423" s="100">
        <f t="shared" si="10"/>
        <v>43710041.659999996</v>
      </c>
      <c r="P423" s="100">
        <f t="shared" si="10"/>
        <v>1759287.77</v>
      </c>
      <c r="Q423" s="100">
        <f t="shared" si="10"/>
        <v>4.5599999999999996</v>
      </c>
      <c r="R423" s="100">
        <f t="shared" si="10"/>
        <v>0</v>
      </c>
    </row>
    <row r="424" spans="1:18" ht="12.75" customHeight="1" x14ac:dyDescent="0.25">
      <c r="B424" s="779"/>
      <c r="C424" s="776"/>
      <c r="D424" s="98" t="s">
        <v>73</v>
      </c>
      <c r="E424" s="100">
        <f>E388</f>
        <v>-11709082.98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9" t="s">
        <v>160</v>
      </c>
      <c r="C426" s="776" t="s">
        <v>132</v>
      </c>
      <c r="D426" s="223" t="s">
        <v>70</v>
      </c>
      <c r="E426" s="225">
        <f>E380+E362+E348+E322-K322-K348</f>
        <v>66508368.82</v>
      </c>
      <c r="F426" s="225">
        <f>F348+F322</f>
        <v>9041231.2599999998</v>
      </c>
      <c r="G426" s="225">
        <f t="shared" ref="G426:R426" si="11">G348+G322</f>
        <v>5072388.55</v>
      </c>
      <c r="H426" s="225">
        <f t="shared" si="11"/>
        <v>1011597.42</v>
      </c>
      <c r="I426" s="225">
        <f t="shared" si="11"/>
        <v>7983360.1600000001</v>
      </c>
      <c r="J426" s="225">
        <f t="shared" si="11"/>
        <v>230579.94</v>
      </c>
      <c r="K426" s="225">
        <f t="shared" si="11"/>
        <v>0</v>
      </c>
      <c r="L426" s="225">
        <f t="shared" si="11"/>
        <v>2199940.9</v>
      </c>
      <c r="M426" s="225">
        <f t="shared" si="11"/>
        <v>2412632.5099999998</v>
      </c>
      <c r="N426" s="225">
        <f t="shared" si="11"/>
        <v>10659886.970000001</v>
      </c>
      <c r="O426" s="225">
        <f t="shared" si="11"/>
        <v>24512256.039999999</v>
      </c>
      <c r="P426" s="225">
        <f t="shared" si="11"/>
        <v>336993.11</v>
      </c>
      <c r="Q426" s="225">
        <f t="shared" si="11"/>
        <v>84.56</v>
      </c>
      <c r="R426" s="225">
        <f t="shared" si="11"/>
        <v>0</v>
      </c>
    </row>
    <row r="427" spans="1:18" ht="12.75" customHeight="1" x14ac:dyDescent="0.25">
      <c r="B427" s="779"/>
      <c r="C427" s="776"/>
      <c r="D427" s="223" t="s">
        <v>73</v>
      </c>
      <c r="E427" s="225">
        <f>E380+E362</f>
        <v>3047417.4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9" t="s">
        <v>155</v>
      </c>
      <c r="C429" s="776" t="s">
        <v>132</v>
      </c>
      <c r="D429" s="221" t="s">
        <v>70</v>
      </c>
      <c r="E429" s="222">
        <f>E365+E326-K326</f>
        <v>60774931.109999992</v>
      </c>
      <c r="F429" s="222">
        <f t="shared" ref="F429:R429" si="12">F326</f>
        <v>3643585.71</v>
      </c>
      <c r="G429" s="222">
        <f t="shared" si="12"/>
        <v>2134528.5099999998</v>
      </c>
      <c r="H429" s="222">
        <f t="shared" si="12"/>
        <v>922327.31</v>
      </c>
      <c r="I429" s="222">
        <f t="shared" si="12"/>
        <v>19101300.940000001</v>
      </c>
      <c r="J429" s="222">
        <f t="shared" si="12"/>
        <v>695389.45</v>
      </c>
      <c r="K429" s="222">
        <f t="shared" si="12"/>
        <v>0</v>
      </c>
      <c r="L429" s="222">
        <f t="shared" si="12"/>
        <v>6006974.5499999998</v>
      </c>
      <c r="M429" s="222">
        <f t="shared" si="12"/>
        <v>5941622.6399999997</v>
      </c>
      <c r="N429" s="222">
        <f t="shared" si="12"/>
        <v>26384823.629999999</v>
      </c>
      <c r="O429" s="222">
        <f t="shared" si="12"/>
        <v>9973356.7599999998</v>
      </c>
      <c r="P429" s="222">
        <f t="shared" si="12"/>
        <v>1107550.0900000001</v>
      </c>
      <c r="Q429" s="222">
        <f t="shared" si="12"/>
        <v>-85.27</v>
      </c>
      <c r="R429" s="222">
        <f t="shared" si="12"/>
        <v>0</v>
      </c>
    </row>
    <row r="430" spans="1:18" ht="12.75" customHeight="1" x14ac:dyDescent="0.25">
      <c r="B430" s="779"/>
      <c r="C430" s="776"/>
      <c r="D430" s="221" t="s">
        <v>73</v>
      </c>
      <c r="E430" s="222">
        <f>E365</f>
        <v>-15136443.210000001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7" t="s">
        <v>325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7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9" t="s">
        <v>119</v>
      </c>
      <c r="C435" s="776" t="s">
        <v>132</v>
      </c>
      <c r="D435" s="101" t="s">
        <v>70</v>
      </c>
      <c r="E435" s="93">
        <f>E358+E387-K358</f>
        <v>34178649.799999997</v>
      </c>
      <c r="F435" s="93">
        <f t="shared" ref="F435:R435" si="13">F358</f>
        <v>3414288.34</v>
      </c>
      <c r="G435" s="93">
        <f t="shared" si="13"/>
        <v>1854126.13</v>
      </c>
      <c r="H435" s="93">
        <f t="shared" si="13"/>
        <v>919021.33</v>
      </c>
      <c r="I435" s="93">
        <f t="shared" si="13"/>
        <v>5255584.72</v>
      </c>
      <c r="J435" s="93">
        <f t="shared" si="13"/>
        <v>198283.64</v>
      </c>
      <c r="K435" s="93">
        <f t="shared" si="13"/>
        <v>0</v>
      </c>
      <c r="L435" s="93">
        <f t="shared" si="13"/>
        <v>1581078.48</v>
      </c>
      <c r="M435" s="93">
        <f t="shared" si="13"/>
        <v>1755343.15</v>
      </c>
      <c r="N435" s="93">
        <f t="shared" si="13"/>
        <v>9281802.4800000004</v>
      </c>
      <c r="O435" s="93">
        <f t="shared" si="13"/>
        <v>9224428.8599999994</v>
      </c>
      <c r="P435" s="93">
        <f t="shared" si="13"/>
        <v>314744.57</v>
      </c>
      <c r="Q435" s="93">
        <f t="shared" si="13"/>
        <v>5.27</v>
      </c>
      <c r="R435" s="93">
        <f t="shared" si="13"/>
        <v>0</v>
      </c>
    </row>
    <row r="436" spans="1:18" ht="12.75" customHeight="1" x14ac:dyDescent="0.25">
      <c r="B436" s="779"/>
      <c r="C436" s="776"/>
      <c r="D436" s="101" t="s">
        <v>73</v>
      </c>
      <c r="E436" s="93">
        <f>E387</f>
        <v>379942.83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8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8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331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19713558.23</v>
      </c>
      <c r="F447" s="90">
        <v>1433611.21</v>
      </c>
      <c r="G447" s="90">
        <v>821473.98</v>
      </c>
      <c r="H447" s="90">
        <v>381759.58</v>
      </c>
      <c r="I447" s="90">
        <v>4009241.14</v>
      </c>
      <c r="J447" s="90">
        <v>149648.65</v>
      </c>
      <c r="K447" s="90">
        <v>0</v>
      </c>
      <c r="L447" s="90">
        <v>1253740.49</v>
      </c>
      <c r="M447" s="90">
        <v>1363565.37</v>
      </c>
      <c r="N447" s="90">
        <v>5819071.1500000004</v>
      </c>
      <c r="O447" s="90">
        <v>4269755.25</v>
      </c>
      <c r="P447" s="90">
        <v>211601.51</v>
      </c>
      <c r="Q447" s="90">
        <v>89.9</v>
      </c>
      <c r="R447">
        <v>0</v>
      </c>
    </row>
    <row r="448" spans="1:18" ht="12.75" customHeight="1" x14ac:dyDescent="0.25">
      <c r="D448" s="89" t="s">
        <v>81</v>
      </c>
      <c r="E448" s="90">
        <v>18754.009999999998</v>
      </c>
      <c r="F448" s="90">
        <v>1185.98</v>
      </c>
      <c r="G448" s="90">
        <v>657.93</v>
      </c>
      <c r="H448" s="90">
        <v>342.39</v>
      </c>
      <c r="I448" s="90">
        <v>3726.74</v>
      </c>
      <c r="J448" s="90">
        <v>150.80000000000001</v>
      </c>
      <c r="K448" s="90">
        <v>0</v>
      </c>
      <c r="L448" s="90">
        <v>1322.67</v>
      </c>
      <c r="M448" s="90">
        <v>1225.1400000000001</v>
      </c>
      <c r="N448" s="90">
        <v>6423.46</v>
      </c>
      <c r="O448" s="90">
        <v>3472.69</v>
      </c>
      <c r="P448" s="90">
        <v>246.08</v>
      </c>
      <c r="Q448" s="90">
        <v>0.13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19732312.239999998</v>
      </c>
      <c r="F449" s="90">
        <v>1434797.19</v>
      </c>
      <c r="G449" s="90">
        <v>822131.91</v>
      </c>
      <c r="H449" s="90">
        <v>382101.97</v>
      </c>
      <c r="I449" s="90">
        <v>4012967.88</v>
      </c>
      <c r="J449" s="90">
        <v>149799.45000000001</v>
      </c>
      <c r="K449" s="90">
        <v>0</v>
      </c>
      <c r="L449" s="90">
        <v>1255063.1599999999</v>
      </c>
      <c r="M449" s="90">
        <v>1364790.51</v>
      </c>
      <c r="N449" s="90">
        <v>5825494.6100000003</v>
      </c>
      <c r="O449" s="90">
        <v>4273227.9400000004</v>
      </c>
      <c r="P449" s="90">
        <v>211847.59</v>
      </c>
      <c r="Q449" s="90">
        <v>90.03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19732312.239999998</v>
      </c>
      <c r="F450" s="222">
        <v>1434797.19</v>
      </c>
      <c r="G450" s="222">
        <v>822131.91</v>
      </c>
      <c r="H450" s="222">
        <v>382101.97</v>
      </c>
      <c r="I450" s="222">
        <v>4012967.88</v>
      </c>
      <c r="J450" s="222">
        <v>149799.45000000001</v>
      </c>
      <c r="K450" s="222">
        <v>0</v>
      </c>
      <c r="L450" s="222">
        <v>1255063.1599999999</v>
      </c>
      <c r="M450" s="222">
        <v>1364790.51</v>
      </c>
      <c r="N450" s="222">
        <v>5825494.6100000003</v>
      </c>
      <c r="O450" s="222">
        <v>4273227.9400000004</v>
      </c>
      <c r="P450" s="222">
        <v>211847.59</v>
      </c>
      <c r="Q450" s="222">
        <v>90.03</v>
      </c>
      <c r="R450" s="237">
        <v>0</v>
      </c>
    </row>
    <row r="451" spans="2:19" ht="12.75" customHeight="1" x14ac:dyDescent="0.25">
      <c r="D451" t="s">
        <v>72</v>
      </c>
      <c r="E451" s="142">
        <v>7522088.9400000004</v>
      </c>
      <c r="F451">
        <v>452084.23</v>
      </c>
      <c r="G451">
        <v>257859.84</v>
      </c>
      <c r="H451">
        <v>110457.94</v>
      </c>
      <c r="I451">
        <v>1817304.03</v>
      </c>
      <c r="J451">
        <v>58755.74</v>
      </c>
      <c r="K451">
        <v>0</v>
      </c>
      <c r="L451">
        <v>533049.52</v>
      </c>
      <c r="M451">
        <v>533000.77</v>
      </c>
      <c r="N451">
        <v>2377838.02</v>
      </c>
      <c r="O451">
        <v>1292657.05</v>
      </c>
      <c r="P451">
        <v>89104.17</v>
      </c>
      <c r="Q451">
        <v>-22.37</v>
      </c>
      <c r="R451">
        <v>0</v>
      </c>
    </row>
    <row r="452" spans="2:19" ht="12.75" customHeight="1" x14ac:dyDescent="0.25">
      <c r="D452" t="s">
        <v>81</v>
      </c>
      <c r="E452" s="142">
        <v>7478.7</v>
      </c>
      <c r="F452">
        <v>443.1</v>
      </c>
      <c r="G452">
        <v>249.22</v>
      </c>
      <c r="H452">
        <v>133.69</v>
      </c>
      <c r="I452">
        <v>1658</v>
      </c>
      <c r="J452">
        <v>59.23</v>
      </c>
      <c r="K452">
        <v>0</v>
      </c>
      <c r="L452">
        <v>512.44000000000005</v>
      </c>
      <c r="M452">
        <v>531.97</v>
      </c>
      <c r="N452">
        <v>2482.92</v>
      </c>
      <c r="O452">
        <v>1311.38</v>
      </c>
      <c r="P452">
        <v>96.59</v>
      </c>
      <c r="Q452">
        <v>0.16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7529567.6399999997</v>
      </c>
      <c r="F453">
        <v>452527.33</v>
      </c>
      <c r="G453">
        <v>258109.06</v>
      </c>
      <c r="H453">
        <v>110591.63</v>
      </c>
      <c r="I453">
        <v>1818962.03</v>
      </c>
      <c r="J453">
        <v>58814.97</v>
      </c>
      <c r="K453">
        <v>0</v>
      </c>
      <c r="L453">
        <v>533561.96</v>
      </c>
      <c r="M453">
        <v>533532.74</v>
      </c>
      <c r="N453">
        <v>2380320.94</v>
      </c>
      <c r="O453">
        <v>1293968.43</v>
      </c>
      <c r="P453">
        <v>89200.76</v>
      </c>
      <c r="Q453">
        <v>-22.21</v>
      </c>
      <c r="R453">
        <v>0</v>
      </c>
    </row>
    <row r="454" spans="2:19" s="739" customFormat="1" ht="12.75" customHeight="1" x14ac:dyDescent="0.25">
      <c r="B454" s="739" t="s">
        <v>325</v>
      </c>
      <c r="C454" s="739" t="s">
        <v>70</v>
      </c>
      <c r="E454" s="231">
        <v>7529567.6399999997</v>
      </c>
      <c r="F454" s="740">
        <v>452527.33</v>
      </c>
      <c r="G454" s="232">
        <v>258109.06</v>
      </c>
      <c r="H454" s="232">
        <v>110591.63</v>
      </c>
      <c r="I454" s="232">
        <v>1818962.03</v>
      </c>
      <c r="J454" s="232">
        <v>58814.97</v>
      </c>
      <c r="K454" s="232">
        <v>0</v>
      </c>
      <c r="L454" s="232">
        <v>533561.96</v>
      </c>
      <c r="M454" s="232">
        <v>533532.74</v>
      </c>
      <c r="N454" s="232">
        <v>2380320.94</v>
      </c>
      <c r="O454" s="232">
        <v>1293968.43</v>
      </c>
      <c r="P454" s="232">
        <v>89200.76</v>
      </c>
      <c r="Q454" s="232">
        <v>-22.21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2071705.94</v>
      </c>
      <c r="F455">
        <v>103319.02</v>
      </c>
      <c r="G455">
        <v>57420.42</v>
      </c>
      <c r="H455">
        <v>21085.54</v>
      </c>
      <c r="I455">
        <v>346150.26</v>
      </c>
      <c r="J455">
        <v>11031.32</v>
      </c>
      <c r="K455">
        <v>0</v>
      </c>
      <c r="L455">
        <v>145571.06</v>
      </c>
      <c r="M455">
        <v>183039.97</v>
      </c>
      <c r="N455">
        <v>809955.99</v>
      </c>
      <c r="O455">
        <v>379524.28</v>
      </c>
      <c r="P455">
        <v>14610.01</v>
      </c>
      <c r="Q455">
        <v>-1.93</v>
      </c>
      <c r="R455">
        <v>0</v>
      </c>
    </row>
    <row r="456" spans="2:19" ht="12.75" customHeight="1" x14ac:dyDescent="0.25">
      <c r="D456" t="s">
        <v>81</v>
      </c>
      <c r="E456" s="142">
        <v>5827.74</v>
      </c>
      <c r="F456">
        <v>335.75</v>
      </c>
      <c r="G456">
        <v>183.23</v>
      </c>
      <c r="H456">
        <v>102.43</v>
      </c>
      <c r="I456">
        <v>1405.62</v>
      </c>
      <c r="J456">
        <v>35.880000000000003</v>
      </c>
      <c r="K456">
        <v>0</v>
      </c>
      <c r="L456">
        <v>312.68</v>
      </c>
      <c r="M456">
        <v>400.21</v>
      </c>
      <c r="N456">
        <v>1989.45</v>
      </c>
      <c r="O456">
        <v>1003.89</v>
      </c>
      <c r="P456">
        <v>58.46</v>
      </c>
      <c r="Q456">
        <v>0.14000000000000001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2077533.68</v>
      </c>
      <c r="F457">
        <v>103654.77</v>
      </c>
      <c r="G457">
        <v>57603.65</v>
      </c>
      <c r="H457">
        <v>21187.97</v>
      </c>
      <c r="I457">
        <v>347555.88</v>
      </c>
      <c r="J457">
        <v>11067.2</v>
      </c>
      <c r="K457">
        <v>0</v>
      </c>
      <c r="L457">
        <v>145883.74</v>
      </c>
      <c r="M457">
        <v>183440.18</v>
      </c>
      <c r="N457">
        <v>811945.44</v>
      </c>
      <c r="O457">
        <v>380528.17</v>
      </c>
      <c r="P457">
        <v>14668.47</v>
      </c>
      <c r="Q457">
        <v>-1.79</v>
      </c>
      <c r="R457">
        <v>0</v>
      </c>
    </row>
    <row r="458" spans="2:19" ht="12.75" customHeight="1" x14ac:dyDescent="0.25">
      <c r="D458" t="s">
        <v>72</v>
      </c>
      <c r="E458" s="142">
        <v>564214.29</v>
      </c>
      <c r="F458">
        <v>17423.509999999998</v>
      </c>
      <c r="G458">
        <v>9851.94</v>
      </c>
      <c r="H458">
        <v>1306.08</v>
      </c>
      <c r="I458">
        <v>70737.58</v>
      </c>
      <c r="J458">
        <v>2919.74</v>
      </c>
      <c r="K458">
        <v>0</v>
      </c>
      <c r="L458">
        <v>56924.86</v>
      </c>
      <c r="M458">
        <v>66619.45</v>
      </c>
      <c r="N458">
        <v>239269.57</v>
      </c>
      <c r="O458">
        <v>97907.86</v>
      </c>
      <c r="P458">
        <v>1248.93</v>
      </c>
      <c r="Q458">
        <v>4.7699999999999996</v>
      </c>
      <c r="R458">
        <v>0</v>
      </c>
    </row>
    <row r="459" spans="2:19" ht="12.75" customHeight="1" x14ac:dyDescent="0.25">
      <c r="D459" t="s">
        <v>81</v>
      </c>
      <c r="E459" s="142">
        <v>15983.37</v>
      </c>
      <c r="F459">
        <v>1350.57</v>
      </c>
      <c r="G459">
        <v>675.27</v>
      </c>
      <c r="H459">
        <v>377.77</v>
      </c>
      <c r="I459">
        <v>2442.13</v>
      </c>
      <c r="J459">
        <v>121.05</v>
      </c>
      <c r="K459">
        <v>0</v>
      </c>
      <c r="L459">
        <v>1025.0999999999999</v>
      </c>
      <c r="M459">
        <v>984.77</v>
      </c>
      <c r="N459">
        <v>4740.8500000000004</v>
      </c>
      <c r="O459">
        <v>4068.12</v>
      </c>
      <c r="P459">
        <v>197.44</v>
      </c>
      <c r="Q459">
        <v>0.3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580197.66</v>
      </c>
      <c r="F460">
        <v>18774.080000000002</v>
      </c>
      <c r="G460">
        <v>10527.21</v>
      </c>
      <c r="H460">
        <v>1683.85</v>
      </c>
      <c r="I460">
        <v>73179.710000000006</v>
      </c>
      <c r="J460">
        <v>3040.79</v>
      </c>
      <c r="K460">
        <v>0</v>
      </c>
      <c r="L460">
        <v>57949.96</v>
      </c>
      <c r="M460">
        <v>67604.22</v>
      </c>
      <c r="N460">
        <v>244010.42</v>
      </c>
      <c r="O460">
        <v>101975.98</v>
      </c>
      <c r="P460">
        <v>1446.37</v>
      </c>
      <c r="Q460">
        <v>5.07</v>
      </c>
      <c r="R460">
        <v>0</v>
      </c>
    </row>
    <row r="461" spans="2:19" ht="12.75" customHeight="1" x14ac:dyDescent="0.25">
      <c r="D461" t="s">
        <v>72</v>
      </c>
      <c r="E461" s="142">
        <v>9223422.1400000006</v>
      </c>
      <c r="F461">
        <v>1035458.12</v>
      </c>
      <c r="G461">
        <v>588303.9</v>
      </c>
      <c r="H461">
        <v>292492.33</v>
      </c>
      <c r="I461">
        <v>925765.26</v>
      </c>
      <c r="J461">
        <v>26352.799999999999</v>
      </c>
      <c r="K461">
        <v>990006.55</v>
      </c>
      <c r="L461">
        <v>272062.34000000003</v>
      </c>
      <c r="M461">
        <v>350629.12</v>
      </c>
      <c r="N461">
        <v>1502001.28</v>
      </c>
      <c r="O461">
        <v>3205703.11</v>
      </c>
      <c r="P461">
        <v>34728.980000000003</v>
      </c>
      <c r="Q461">
        <v>-81.650000000000006</v>
      </c>
      <c r="R461">
        <v>0</v>
      </c>
    </row>
    <row r="462" spans="2:19" ht="12.75" customHeight="1" x14ac:dyDescent="0.25">
      <c r="B462" s="142"/>
      <c r="D462" t="s">
        <v>81</v>
      </c>
      <c r="E462" s="142">
        <v>19833.349999999999</v>
      </c>
      <c r="F462">
        <v>1583.47</v>
      </c>
      <c r="G462">
        <v>870.86</v>
      </c>
      <c r="H462">
        <v>471.95</v>
      </c>
      <c r="I462">
        <v>3975.48</v>
      </c>
      <c r="J462">
        <v>100.34</v>
      </c>
      <c r="K462">
        <v>0</v>
      </c>
      <c r="L462">
        <v>881.78</v>
      </c>
      <c r="M462">
        <v>1143.53</v>
      </c>
      <c r="N462">
        <v>5829.84</v>
      </c>
      <c r="O462">
        <v>4812.5200000000004</v>
      </c>
      <c r="P462">
        <v>163.4</v>
      </c>
      <c r="Q462">
        <v>0.18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9243255.4900000002</v>
      </c>
      <c r="F463">
        <v>1037041.59</v>
      </c>
      <c r="G463">
        <v>589174.76</v>
      </c>
      <c r="H463">
        <v>292964.28000000003</v>
      </c>
      <c r="I463">
        <v>929740.74</v>
      </c>
      <c r="J463">
        <v>26453.14</v>
      </c>
      <c r="K463">
        <v>990006.55</v>
      </c>
      <c r="L463">
        <v>272944.12</v>
      </c>
      <c r="M463">
        <v>351772.65</v>
      </c>
      <c r="N463">
        <v>1507831.12</v>
      </c>
      <c r="O463">
        <v>3210515.63</v>
      </c>
      <c r="P463">
        <v>34892.379999999997</v>
      </c>
      <c r="Q463">
        <v>-81.47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11900986.83</v>
      </c>
      <c r="F464" s="93">
        <v>1159470.44</v>
      </c>
      <c r="G464" s="93">
        <v>657305.62</v>
      </c>
      <c r="H464" s="93">
        <v>315836.09999999998</v>
      </c>
      <c r="I464" s="93">
        <v>1350476.33</v>
      </c>
      <c r="J464" s="93">
        <v>40561.129999999997</v>
      </c>
      <c r="K464" s="93">
        <v>990006.55</v>
      </c>
      <c r="L464" s="93">
        <v>476777.82</v>
      </c>
      <c r="M464" s="93">
        <v>602817.05000000005</v>
      </c>
      <c r="N464" s="93">
        <v>2563786.98</v>
      </c>
      <c r="O464" s="93">
        <v>3693019.78</v>
      </c>
      <c r="P464" s="93">
        <v>51007.22</v>
      </c>
      <c r="Q464" s="93">
        <v>-78.19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39162866.710000001</v>
      </c>
      <c r="F465" s="100">
        <v>3046794.96</v>
      </c>
      <c r="G465" s="100">
        <v>1737546.59</v>
      </c>
      <c r="H465" s="100">
        <v>808529.7</v>
      </c>
      <c r="I465" s="100">
        <v>7182406.2400000002</v>
      </c>
      <c r="J465" s="100">
        <v>249175.55</v>
      </c>
      <c r="K465" s="100">
        <v>990006.55</v>
      </c>
      <c r="L465" s="100">
        <v>2265402.94</v>
      </c>
      <c r="M465" s="100">
        <v>2501140.2999999998</v>
      </c>
      <c r="N465" s="100">
        <v>10769602.529999999</v>
      </c>
      <c r="O465" s="100">
        <v>9260216.1500000004</v>
      </c>
      <c r="P465" s="100">
        <v>352055.57</v>
      </c>
      <c r="Q465" s="100">
        <v>-10.37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331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3691549.5</v>
      </c>
      <c r="F469" s="90">
        <v>530921.56999999995</v>
      </c>
      <c r="G469" s="90">
        <v>272938.43</v>
      </c>
      <c r="H469" s="90">
        <v>117564.27</v>
      </c>
      <c r="I469" s="90">
        <v>369298.5</v>
      </c>
      <c r="J469" s="90">
        <v>12339.48</v>
      </c>
      <c r="K469" s="90">
        <v>0</v>
      </c>
      <c r="L469" s="90">
        <v>114960.22</v>
      </c>
      <c r="M469" s="90">
        <v>67403.39</v>
      </c>
      <c r="N469" s="90">
        <v>586625.34</v>
      </c>
      <c r="O469" s="90">
        <v>1598903.62</v>
      </c>
      <c r="P469" s="90">
        <v>20594.68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3691549.5</v>
      </c>
      <c r="F470" s="90">
        <v>530921.56999999995</v>
      </c>
      <c r="G470" s="90">
        <v>272938.43</v>
      </c>
      <c r="H470" s="90">
        <v>117564.27</v>
      </c>
      <c r="I470" s="90">
        <v>369298.5</v>
      </c>
      <c r="J470" s="90">
        <v>12339.48</v>
      </c>
      <c r="K470" s="90">
        <v>0</v>
      </c>
      <c r="L470" s="90">
        <v>114960.22</v>
      </c>
      <c r="M470" s="90">
        <v>67403.39</v>
      </c>
      <c r="N470" s="90">
        <v>586625.34</v>
      </c>
      <c r="O470" s="90">
        <v>1598903.62</v>
      </c>
      <c r="P470" s="90">
        <v>20594.68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3691549.5</v>
      </c>
      <c r="F471" s="222">
        <v>530921.56999999995</v>
      </c>
      <c r="G471" s="222">
        <v>272938.43</v>
      </c>
      <c r="H471" s="222">
        <v>117564.27</v>
      </c>
      <c r="I471" s="222">
        <v>369298.5</v>
      </c>
      <c r="J471" s="222">
        <v>12339.48</v>
      </c>
      <c r="K471" s="222">
        <v>0</v>
      </c>
      <c r="L471" s="222">
        <v>114960.22</v>
      </c>
      <c r="M471" s="222">
        <v>67403.39</v>
      </c>
      <c r="N471" s="222">
        <v>586625.34</v>
      </c>
      <c r="O471" s="222">
        <v>1598903.62</v>
      </c>
      <c r="P471" s="222">
        <v>20594.68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-1287165.1599999999</v>
      </c>
      <c r="F472" s="90">
        <v>-66624.22</v>
      </c>
      <c r="G472" s="90">
        <v>-37615.300000000003</v>
      </c>
      <c r="H472" s="90">
        <v>-19739.189999999999</v>
      </c>
      <c r="I472" s="90">
        <v>-287087.38</v>
      </c>
      <c r="J472" s="90">
        <v>-10837.21</v>
      </c>
      <c r="K472" s="90">
        <v>0</v>
      </c>
      <c r="L472" s="90">
        <v>-91013.79</v>
      </c>
      <c r="M472" s="90">
        <v>-91573.95</v>
      </c>
      <c r="N472" s="90">
        <v>-468346.31</v>
      </c>
      <c r="O472" s="90">
        <v>-196727.98</v>
      </c>
      <c r="P472" s="90">
        <v>-17599.830000000002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-1287165.1599999999</v>
      </c>
      <c r="F473" s="90">
        <v>-66624.22</v>
      </c>
      <c r="G473" s="90">
        <v>-37615.300000000003</v>
      </c>
      <c r="H473" s="90">
        <v>-19739.189999999999</v>
      </c>
      <c r="I473" s="90">
        <v>-287087.38</v>
      </c>
      <c r="J473" s="90">
        <v>-10837.21</v>
      </c>
      <c r="K473" s="90">
        <v>0</v>
      </c>
      <c r="L473" s="90">
        <v>-91013.79</v>
      </c>
      <c r="M473" s="90">
        <v>-91573.95</v>
      </c>
      <c r="N473" s="90">
        <v>-468346.31</v>
      </c>
      <c r="O473" s="90">
        <v>-196727.98</v>
      </c>
      <c r="P473" s="90">
        <v>-17599.830000000002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325</v>
      </c>
      <c r="C474" s="739" t="s">
        <v>70</v>
      </c>
      <c r="E474" s="231">
        <v>-1287165.1599999999</v>
      </c>
      <c r="F474" s="740">
        <v>-66624.22</v>
      </c>
      <c r="G474" s="232">
        <v>-37615.300000000003</v>
      </c>
      <c r="H474" s="232">
        <v>-19739.189999999999</v>
      </c>
      <c r="I474" s="232">
        <v>-287087.38</v>
      </c>
      <c r="J474" s="232">
        <v>-10837.21</v>
      </c>
      <c r="K474" s="232">
        <v>0</v>
      </c>
      <c r="L474" s="232">
        <v>-91013.79</v>
      </c>
      <c r="M474" s="232">
        <v>-91573.95</v>
      </c>
      <c r="N474" s="232">
        <v>-468346.31</v>
      </c>
      <c r="O474" s="232">
        <v>-196727.98</v>
      </c>
      <c r="P474" s="232">
        <v>-17599.830000000002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-210692.92</v>
      </c>
      <c r="F475" s="90">
        <v>-10566.31</v>
      </c>
      <c r="G475" s="90">
        <v>-5965.83</v>
      </c>
      <c r="H475" s="90">
        <v>-3131.3</v>
      </c>
      <c r="I475" s="90">
        <v>-45955.45</v>
      </c>
      <c r="J475" s="90">
        <v>-1566.98</v>
      </c>
      <c r="K475" s="90">
        <v>0</v>
      </c>
      <c r="L475" s="90">
        <v>-13745.76</v>
      </c>
      <c r="M475" s="90">
        <v>-15917.58</v>
      </c>
      <c r="N475" s="90">
        <v>-79341.42</v>
      </c>
      <c r="O475" s="90">
        <v>-31945.58</v>
      </c>
      <c r="P475" s="90">
        <v>-2556.71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-210692.92</v>
      </c>
      <c r="F476" s="90">
        <v>-10566.31</v>
      </c>
      <c r="G476" s="90">
        <v>-5965.83</v>
      </c>
      <c r="H476" s="90">
        <v>-3131.3</v>
      </c>
      <c r="I476" s="90">
        <v>-45955.45</v>
      </c>
      <c r="J476" s="90">
        <v>-1566.98</v>
      </c>
      <c r="K476" s="90">
        <v>0</v>
      </c>
      <c r="L476" s="90">
        <v>-13745.76</v>
      </c>
      <c r="M476" s="90">
        <v>-15917.58</v>
      </c>
      <c r="N476" s="90">
        <v>-79341.42</v>
      </c>
      <c r="O476" s="90">
        <v>-31945.58</v>
      </c>
      <c r="P476" s="90">
        <v>-2556.71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-108192.45</v>
      </c>
      <c r="F477" s="90">
        <v>-4309.76</v>
      </c>
      <c r="G477" s="90">
        <v>-2433.3200000000002</v>
      </c>
      <c r="H477" s="90">
        <v>-1277.18</v>
      </c>
      <c r="I477" s="90">
        <v>-18004.79</v>
      </c>
      <c r="J477" s="90">
        <v>-1041.42</v>
      </c>
      <c r="K477" s="90">
        <v>0</v>
      </c>
      <c r="L477" s="90">
        <v>-9135.26</v>
      </c>
      <c r="M477" s="90">
        <v>-8882.84</v>
      </c>
      <c r="N477" s="90">
        <v>-48363.54</v>
      </c>
      <c r="O477" s="90">
        <v>-13045.17</v>
      </c>
      <c r="P477" s="90">
        <v>-1699.17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-108192.45</v>
      </c>
      <c r="F478" s="90">
        <v>-4309.76</v>
      </c>
      <c r="G478" s="90">
        <v>-2433.3200000000002</v>
      </c>
      <c r="H478" s="90">
        <v>-1277.18</v>
      </c>
      <c r="I478" s="90">
        <v>-18004.79</v>
      </c>
      <c r="J478" s="90">
        <v>-1041.42</v>
      </c>
      <c r="K478" s="90">
        <v>0</v>
      </c>
      <c r="L478" s="90">
        <v>-9135.26</v>
      </c>
      <c r="M478" s="90">
        <v>-8882.84</v>
      </c>
      <c r="N478" s="90">
        <v>-48363.54</v>
      </c>
      <c r="O478" s="90">
        <v>-13045.17</v>
      </c>
      <c r="P478" s="90">
        <v>-1699.17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2725143.28</v>
      </c>
      <c r="F479" s="90">
        <v>679374.88</v>
      </c>
      <c r="G479" s="90">
        <v>126898.74</v>
      </c>
      <c r="H479" s="90">
        <v>10627.02</v>
      </c>
      <c r="I479" s="90">
        <v>-60093.33</v>
      </c>
      <c r="J479" s="90">
        <v>-2491.7399999999998</v>
      </c>
      <c r="K479" s="90">
        <v>0</v>
      </c>
      <c r="L479" s="90">
        <v>-16227.77</v>
      </c>
      <c r="M479" s="90">
        <v>-16672.310000000001</v>
      </c>
      <c r="N479" s="90">
        <v>-94111.77</v>
      </c>
      <c r="O479" s="90">
        <v>2101905.15</v>
      </c>
      <c r="P479" s="90">
        <v>-4065.59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2725143.28</v>
      </c>
      <c r="F480" s="90">
        <v>679374.88</v>
      </c>
      <c r="G480" s="90">
        <v>126898.74</v>
      </c>
      <c r="H480" s="90">
        <v>10627.02</v>
      </c>
      <c r="I480" s="90">
        <v>-60093.33</v>
      </c>
      <c r="J480" s="90">
        <v>-2491.7399999999998</v>
      </c>
      <c r="K480" s="90">
        <v>0</v>
      </c>
      <c r="L480" s="90">
        <v>-16227.77</v>
      </c>
      <c r="M480" s="90">
        <v>-16672.310000000001</v>
      </c>
      <c r="N480" s="90">
        <v>-94111.77</v>
      </c>
      <c r="O480" s="90">
        <v>2101905.15</v>
      </c>
      <c r="P480" s="90">
        <v>-4065.59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2406257.91</v>
      </c>
      <c r="F481" s="93">
        <v>664498.81000000006</v>
      </c>
      <c r="G481" s="93">
        <v>118499.59</v>
      </c>
      <c r="H481" s="93">
        <v>6218.54</v>
      </c>
      <c r="I481" s="93">
        <v>-124053.57</v>
      </c>
      <c r="J481" s="93">
        <v>-5100.1400000000003</v>
      </c>
      <c r="K481" s="93">
        <v>0</v>
      </c>
      <c r="L481" s="93">
        <v>-39108.79</v>
      </c>
      <c r="M481" s="93">
        <v>-41472.730000000003</v>
      </c>
      <c r="N481" s="93">
        <v>-221816.73</v>
      </c>
      <c r="O481" s="93">
        <v>2056914.4</v>
      </c>
      <c r="P481" s="93">
        <v>-8321.4699999999993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4810642.25</v>
      </c>
      <c r="F482" s="100">
        <v>1128796.1599999999</v>
      </c>
      <c r="G482" s="100">
        <v>353822.71999999997</v>
      </c>
      <c r="H482" s="100">
        <v>104043.62</v>
      </c>
      <c r="I482" s="100">
        <v>-41842.449999999997</v>
      </c>
      <c r="J482" s="100">
        <v>-3597.87</v>
      </c>
      <c r="K482" s="100">
        <v>0</v>
      </c>
      <c r="L482" s="100">
        <v>-15162.36</v>
      </c>
      <c r="M482" s="100">
        <v>-65643.289999999994</v>
      </c>
      <c r="N482" s="100">
        <v>-103537.7</v>
      </c>
      <c r="O482" s="100">
        <v>3459090.04</v>
      </c>
      <c r="P482" s="100">
        <v>-5326.62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43973508.960000001</v>
      </c>
      <c r="F483" s="90">
        <v>4175591.12</v>
      </c>
      <c r="G483" s="90">
        <v>2091369.31</v>
      </c>
      <c r="H483" s="90">
        <v>912573.32</v>
      </c>
      <c r="I483" s="90">
        <v>7140563.79</v>
      </c>
      <c r="J483" s="90">
        <v>245577.68</v>
      </c>
      <c r="K483" s="90">
        <v>990006.55</v>
      </c>
      <c r="L483" s="90">
        <v>2250240.58</v>
      </c>
      <c r="M483" s="90">
        <v>2435497.0099999998</v>
      </c>
      <c r="N483" s="90">
        <v>10666064.83</v>
      </c>
      <c r="O483" s="90">
        <v>12719306.189999999</v>
      </c>
      <c r="P483" s="90">
        <v>346728.95</v>
      </c>
      <c r="Q483" s="90">
        <v>-10.37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9" t="s">
        <v>2</v>
      </c>
      <c r="C510" s="776" t="s">
        <v>132</v>
      </c>
      <c r="D510" s="98" t="s">
        <v>70</v>
      </c>
      <c r="E510" s="100">
        <f>E482+E465-K465</f>
        <v>42983502.410000004</v>
      </c>
      <c r="F510" s="100">
        <f>F465</f>
        <v>3046794.96</v>
      </c>
      <c r="G510" s="100">
        <f t="shared" ref="G510:R510" si="14">G465</f>
        <v>1737546.59</v>
      </c>
      <c r="H510" s="100">
        <f t="shared" si="14"/>
        <v>808529.7</v>
      </c>
      <c r="I510" s="100">
        <f t="shared" si="14"/>
        <v>7182406.2400000002</v>
      </c>
      <c r="J510" s="100">
        <f t="shared" si="14"/>
        <v>249175.55</v>
      </c>
      <c r="K510" s="100">
        <f t="shared" si="14"/>
        <v>990006.55</v>
      </c>
      <c r="L510" s="100">
        <f t="shared" si="14"/>
        <v>2265402.94</v>
      </c>
      <c r="M510" s="100">
        <f t="shared" si="14"/>
        <v>2501140.2999999998</v>
      </c>
      <c r="N510" s="100">
        <f t="shared" si="14"/>
        <v>10769602.529999999</v>
      </c>
      <c r="O510" s="100">
        <f t="shared" si="14"/>
        <v>9260216.1500000004</v>
      </c>
      <c r="P510" s="100">
        <f>P465</f>
        <v>352055.57</v>
      </c>
      <c r="Q510" s="100">
        <f t="shared" si="14"/>
        <v>-10.37</v>
      </c>
      <c r="R510" s="100">
        <f t="shared" si="14"/>
        <v>0</v>
      </c>
    </row>
    <row r="511" spans="1:18" ht="12.75" customHeight="1" x14ac:dyDescent="0.25">
      <c r="B511" s="779"/>
      <c r="C511" s="776"/>
      <c r="D511" s="98" t="s">
        <v>73</v>
      </c>
      <c r="E511" s="100">
        <f>E482</f>
        <v>4810642.25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9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9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9" t="s">
        <v>155</v>
      </c>
      <c r="C516" s="776" t="s">
        <v>132</v>
      </c>
      <c r="D516" s="221" t="s">
        <v>70</v>
      </c>
      <c r="E516" s="222">
        <f>E471+E468+E450+E446-K446-K450</f>
        <v>23423861.739999998</v>
      </c>
      <c r="F516" s="222">
        <f>F450+F446</f>
        <v>1434797.19</v>
      </c>
      <c r="G516" s="222">
        <f t="shared" ref="G516:R516" si="15">G450+G446</f>
        <v>822131.91</v>
      </c>
      <c r="H516" s="222">
        <f t="shared" si="15"/>
        <v>382101.97</v>
      </c>
      <c r="I516" s="222">
        <f t="shared" si="15"/>
        <v>4012967.88</v>
      </c>
      <c r="J516" s="222">
        <f t="shared" si="15"/>
        <v>149799.45000000001</v>
      </c>
      <c r="K516" s="222">
        <f t="shared" si="15"/>
        <v>0</v>
      </c>
      <c r="L516" s="222">
        <f t="shared" si="15"/>
        <v>1255063.1599999999</v>
      </c>
      <c r="M516" s="222">
        <f t="shared" si="15"/>
        <v>1364790.51</v>
      </c>
      <c r="N516" s="222">
        <f t="shared" si="15"/>
        <v>5825494.6100000003</v>
      </c>
      <c r="O516" s="222">
        <f t="shared" si="15"/>
        <v>4273227.9400000004</v>
      </c>
      <c r="P516" s="222">
        <f t="shared" si="15"/>
        <v>211847.59</v>
      </c>
      <c r="Q516" s="222">
        <f t="shared" si="15"/>
        <v>90.03</v>
      </c>
      <c r="R516" s="222">
        <f t="shared" si="15"/>
        <v>0</v>
      </c>
    </row>
    <row r="517" spans="1:18" ht="12.75" customHeight="1" x14ac:dyDescent="0.25">
      <c r="B517" s="779"/>
      <c r="C517" s="776"/>
      <c r="D517" s="221" t="s">
        <v>73</v>
      </c>
      <c r="E517" s="222">
        <f>E471+E468</f>
        <v>3691549.5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7" t="s">
        <v>325</v>
      </c>
      <c r="C519" s="776" t="s">
        <v>132</v>
      </c>
      <c r="D519" s="373" t="s">
        <v>70</v>
      </c>
      <c r="E519" s="374">
        <f>E474+E454-K454</f>
        <v>6242402.4799999995</v>
      </c>
      <c r="F519" s="374">
        <f>F454</f>
        <v>452527.33</v>
      </c>
      <c r="G519" s="374">
        <f t="shared" ref="G519:R519" si="16">G454</f>
        <v>258109.06</v>
      </c>
      <c r="H519" s="374">
        <f t="shared" si="16"/>
        <v>110591.63</v>
      </c>
      <c r="I519" s="374">
        <f t="shared" si="16"/>
        <v>1818962.03</v>
      </c>
      <c r="J519" s="374">
        <f t="shared" si="16"/>
        <v>58814.97</v>
      </c>
      <c r="K519" s="374">
        <f t="shared" si="16"/>
        <v>0</v>
      </c>
      <c r="L519" s="374">
        <f t="shared" si="16"/>
        <v>533561.96</v>
      </c>
      <c r="M519" s="374">
        <f t="shared" si="16"/>
        <v>533532.74</v>
      </c>
      <c r="N519" s="374">
        <f t="shared" si="16"/>
        <v>2380320.94</v>
      </c>
      <c r="O519" s="374">
        <f t="shared" si="16"/>
        <v>1293968.43</v>
      </c>
      <c r="P519" s="374">
        <f t="shared" si="16"/>
        <v>89200.76</v>
      </c>
      <c r="Q519" s="374">
        <f t="shared" si="16"/>
        <v>-22.21</v>
      </c>
      <c r="R519" s="374">
        <f t="shared" si="16"/>
        <v>0</v>
      </c>
    </row>
    <row r="520" spans="1:18" ht="12.75" customHeight="1" x14ac:dyDescent="0.25">
      <c r="B520" s="777"/>
      <c r="C520" s="776"/>
      <c r="D520" s="373" t="s">
        <v>73</v>
      </c>
      <c r="E520" s="374">
        <f>E474</f>
        <v>-1287165.1599999999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9" t="s">
        <v>119</v>
      </c>
      <c r="C522" s="776" t="s">
        <v>132</v>
      </c>
      <c r="D522" s="101" t="s">
        <v>70</v>
      </c>
      <c r="E522" s="93">
        <f>E464+E481-K464</f>
        <v>13317238.189999999</v>
      </c>
      <c r="F522" s="93">
        <f>F464</f>
        <v>1159470.44</v>
      </c>
      <c r="G522" s="93">
        <f t="shared" ref="G522:R522" si="17">G464</f>
        <v>657305.62</v>
      </c>
      <c r="H522" s="93">
        <f t="shared" si="17"/>
        <v>315836.09999999998</v>
      </c>
      <c r="I522" s="93">
        <f t="shared" si="17"/>
        <v>1350476.33</v>
      </c>
      <c r="J522" s="93">
        <f t="shared" si="17"/>
        <v>40561.129999999997</v>
      </c>
      <c r="K522" s="93">
        <f t="shared" si="17"/>
        <v>990006.55</v>
      </c>
      <c r="L522" s="93">
        <f t="shared" si="17"/>
        <v>476777.82</v>
      </c>
      <c r="M522" s="93">
        <f t="shared" si="17"/>
        <v>602817.05000000005</v>
      </c>
      <c r="N522" s="93">
        <f t="shared" si="17"/>
        <v>2563786.98</v>
      </c>
      <c r="O522" s="93">
        <f t="shared" si="17"/>
        <v>3693019.78</v>
      </c>
      <c r="P522" s="93">
        <f t="shared" si="17"/>
        <v>51007.22</v>
      </c>
      <c r="Q522" s="93">
        <f t="shared" si="17"/>
        <v>-78.19</v>
      </c>
      <c r="R522" s="93">
        <f t="shared" si="17"/>
        <v>0</v>
      </c>
    </row>
    <row r="523" spans="1:18" ht="12.75" customHeight="1" x14ac:dyDescent="0.25">
      <c r="B523" s="779"/>
      <c r="C523" s="776"/>
      <c r="D523" s="101" t="s">
        <v>73</v>
      </c>
      <c r="E523" s="93">
        <f>E481</f>
        <v>2406257.91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8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8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  <mergeCell ref="B57:B58"/>
    <mergeCell ref="C57:C58"/>
    <mergeCell ref="B60:B61"/>
    <mergeCell ref="C60:C61"/>
    <mergeCell ref="B66:B67"/>
    <mergeCell ref="C66:C67"/>
    <mergeCell ref="B63:B64"/>
    <mergeCell ref="C63:C64"/>
    <mergeCell ref="B299:B300"/>
    <mergeCell ref="C299:C300"/>
    <mergeCell ref="B302:B303"/>
    <mergeCell ref="C302:C303"/>
    <mergeCell ref="B305:B306"/>
    <mergeCell ref="C305:C306"/>
    <mergeCell ref="B311:B312"/>
    <mergeCell ref="C311:C312"/>
    <mergeCell ref="B308:B309"/>
    <mergeCell ref="C308:C309"/>
    <mergeCell ref="B314:B315"/>
    <mergeCell ref="C314:C315"/>
    <mergeCell ref="B423:B424"/>
    <mergeCell ref="C423:C424"/>
    <mergeCell ref="B426:B427"/>
    <mergeCell ref="C426:C427"/>
    <mergeCell ref="B429:B430"/>
    <mergeCell ref="C429:C430"/>
    <mergeCell ref="B435:B436"/>
    <mergeCell ref="C435:C436"/>
    <mergeCell ref="B438:B439"/>
    <mergeCell ref="C438:C439"/>
    <mergeCell ref="B432:B433"/>
    <mergeCell ref="C432:C433"/>
    <mergeCell ref="B510:B511"/>
    <mergeCell ref="C510:C511"/>
    <mergeCell ref="B513:B514"/>
    <mergeCell ref="C513:C514"/>
    <mergeCell ref="B516:B517"/>
    <mergeCell ref="C516:C517"/>
    <mergeCell ref="B522:B523"/>
    <mergeCell ref="C522:C523"/>
    <mergeCell ref="B525:B526"/>
    <mergeCell ref="C525:C526"/>
    <mergeCell ref="B519:B520"/>
    <mergeCell ref="C519:C5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-15794348.210000001</v>
      </c>
      <c r="E3" s="618">
        <v>-792653.97</v>
      </c>
      <c r="F3" s="618">
        <v>-443520.95</v>
      </c>
      <c r="G3" s="620">
        <v>-235150.45</v>
      </c>
      <c r="H3" s="618">
        <v>-3808729.66</v>
      </c>
      <c r="I3" s="618">
        <v>-139986.99</v>
      </c>
      <c r="J3" s="618">
        <v>-1241530.57</v>
      </c>
      <c r="K3" s="618">
        <v>-1202003.46</v>
      </c>
      <c r="L3" s="618">
        <v>-5520144.8200000003</v>
      </c>
      <c r="M3" s="618">
        <v>-2181286.4300000002</v>
      </c>
      <c r="N3" s="618">
        <v>-229451.13</v>
      </c>
      <c r="O3" s="618">
        <v>110.22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-23575</v>
      </c>
      <c r="E4" s="618">
        <v>-1070.04</v>
      </c>
      <c r="F4" s="618">
        <v>-517.29999999999995</v>
      </c>
      <c r="G4" s="620">
        <v>-287.08999999999997</v>
      </c>
      <c r="H4" s="618">
        <v>-5416.02</v>
      </c>
      <c r="I4" s="618">
        <v>-247.11</v>
      </c>
      <c r="J4" s="618">
        <v>-2165.6999999999998</v>
      </c>
      <c r="K4" s="618">
        <v>-1867.54</v>
      </c>
      <c r="L4" s="618">
        <v>-8699.17</v>
      </c>
      <c r="M4" s="618">
        <v>-2902.92</v>
      </c>
      <c r="N4" s="618">
        <v>-402.93</v>
      </c>
      <c r="O4" s="618">
        <v>0.82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-15817923.210000001</v>
      </c>
      <c r="E5" s="622">
        <v>-793724.01</v>
      </c>
      <c r="F5" s="622">
        <v>-444038.25</v>
      </c>
      <c r="G5" s="622">
        <v>-235437.54</v>
      </c>
      <c r="H5" s="622">
        <v>-3814145.68</v>
      </c>
      <c r="I5" s="622">
        <v>-140234.1</v>
      </c>
      <c r="J5" s="622">
        <v>-1243696.27</v>
      </c>
      <c r="K5" s="622">
        <v>-1203871</v>
      </c>
      <c r="L5" s="622">
        <v>-5528843.9900000002</v>
      </c>
      <c r="M5" s="622">
        <v>-2184189.35</v>
      </c>
      <c r="N5" s="622">
        <v>-229854.06</v>
      </c>
      <c r="O5" s="622">
        <v>111.04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283961.51</v>
      </c>
      <c r="E6" s="618">
        <v>-50016.63</v>
      </c>
      <c r="F6" s="618">
        <v>-28439.29</v>
      </c>
      <c r="G6" s="620">
        <v>-8473.6</v>
      </c>
      <c r="H6" s="618">
        <v>123071.72</v>
      </c>
      <c r="I6" s="618">
        <v>6856.23</v>
      </c>
      <c r="J6" s="618">
        <v>57818.27</v>
      </c>
      <c r="K6" s="618">
        <v>55412.62</v>
      </c>
      <c r="L6" s="618">
        <v>258242.83</v>
      </c>
      <c r="M6" s="618">
        <v>-141530</v>
      </c>
      <c r="N6" s="618">
        <v>11019.36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283961.51</v>
      </c>
      <c r="E7" s="624">
        <v>-50016.63</v>
      </c>
      <c r="F7" s="624">
        <v>-28439.29</v>
      </c>
      <c r="G7" s="624">
        <v>-8473.6</v>
      </c>
      <c r="H7" s="624">
        <v>123071.72</v>
      </c>
      <c r="I7" s="624">
        <v>6856.23</v>
      </c>
      <c r="J7" s="624">
        <v>57818.27</v>
      </c>
      <c r="K7" s="624">
        <v>55412.62</v>
      </c>
      <c r="L7" s="624">
        <v>258242.83</v>
      </c>
      <c r="M7" s="624">
        <v>-141530</v>
      </c>
      <c r="N7" s="624">
        <v>11019.36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-15533961.699999999</v>
      </c>
      <c r="E8" s="626">
        <v>-843740.64</v>
      </c>
      <c r="F8" s="626">
        <v>-472477.54</v>
      </c>
      <c r="G8" s="627">
        <v>-243911.14</v>
      </c>
      <c r="H8" s="626">
        <v>-3691073.96</v>
      </c>
      <c r="I8" s="626">
        <v>-133377.87</v>
      </c>
      <c r="J8" s="626">
        <v>-1185878</v>
      </c>
      <c r="K8" s="626">
        <v>-1148458.3799999999</v>
      </c>
      <c r="L8" s="626">
        <v>-5270601.16</v>
      </c>
      <c r="M8" s="626">
        <v>-2325719.35</v>
      </c>
      <c r="N8" s="626">
        <v>-218834.7</v>
      </c>
      <c r="O8" s="626">
        <v>111.04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325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-762167.27</v>
      </c>
      <c r="E15" s="618">
        <v>-48309.04</v>
      </c>
      <c r="F15" s="618">
        <v>-26455.25</v>
      </c>
      <c r="G15" s="620">
        <v>-13891.43</v>
      </c>
      <c r="H15" s="618">
        <v>-192277.47</v>
      </c>
      <c r="I15" s="618">
        <v>-4768.8500000000004</v>
      </c>
      <c r="J15" s="618">
        <v>-58119.3</v>
      </c>
      <c r="K15" s="618">
        <v>-51919.38</v>
      </c>
      <c r="L15" s="618">
        <v>-246558.5</v>
      </c>
      <c r="M15" s="618">
        <v>-112077.14</v>
      </c>
      <c r="N15" s="618">
        <v>-7780.61</v>
      </c>
      <c r="O15" s="618">
        <v>-10.3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-177.06</v>
      </c>
      <c r="E16" s="618">
        <v>-11.22</v>
      </c>
      <c r="F16" s="618">
        <v>-6.34</v>
      </c>
      <c r="G16" s="620">
        <v>-3.35</v>
      </c>
      <c r="H16" s="618">
        <v>-43.6</v>
      </c>
      <c r="I16" s="618">
        <v>-1.05</v>
      </c>
      <c r="J16" s="618">
        <v>-9.24</v>
      </c>
      <c r="K16" s="618">
        <v>-12.57</v>
      </c>
      <c r="L16" s="618">
        <v>-57.05</v>
      </c>
      <c r="M16" s="618">
        <v>-30.93</v>
      </c>
      <c r="N16" s="618">
        <v>-1.71</v>
      </c>
      <c r="O16" s="618">
        <v>0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-762344.33</v>
      </c>
      <c r="E17" s="622">
        <v>-48320.26</v>
      </c>
      <c r="F17" s="622">
        <v>-26461.59</v>
      </c>
      <c r="G17" s="622">
        <v>-13894.78</v>
      </c>
      <c r="H17" s="622">
        <v>-192321.07</v>
      </c>
      <c r="I17" s="622">
        <v>-4769.8999999999996</v>
      </c>
      <c r="J17" s="622">
        <v>-58128.54</v>
      </c>
      <c r="K17" s="622">
        <v>-51931.95</v>
      </c>
      <c r="L17" s="622">
        <v>-246615.55</v>
      </c>
      <c r="M17" s="622">
        <v>-112108.07</v>
      </c>
      <c r="N17" s="622">
        <v>-7782.32</v>
      </c>
      <c r="O17" s="622">
        <v>-10.3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-240407.06</v>
      </c>
      <c r="E18" s="618">
        <v>-14057.56</v>
      </c>
      <c r="F18" s="618">
        <v>-7937.89</v>
      </c>
      <c r="G18" s="620">
        <v>-4170.17</v>
      </c>
      <c r="H18" s="618">
        <v>-58249.85</v>
      </c>
      <c r="I18" s="618">
        <v>-1605.37</v>
      </c>
      <c r="J18" s="618">
        <v>-14082</v>
      </c>
      <c r="K18" s="618">
        <v>-17535.88</v>
      </c>
      <c r="L18" s="618">
        <v>-81716.350000000006</v>
      </c>
      <c r="M18" s="618">
        <v>-38432.730000000003</v>
      </c>
      <c r="N18" s="618">
        <v>-2619.2600000000002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-240407.06</v>
      </c>
      <c r="E19" s="624">
        <v>-14057.56</v>
      </c>
      <c r="F19" s="624">
        <v>-7937.89</v>
      </c>
      <c r="G19" s="624">
        <v>-4170.17</v>
      </c>
      <c r="H19" s="624">
        <v>-58249.85</v>
      </c>
      <c r="I19" s="624">
        <v>-1605.37</v>
      </c>
      <c r="J19" s="624">
        <v>-14082</v>
      </c>
      <c r="K19" s="624">
        <v>-17535.88</v>
      </c>
      <c r="L19" s="624">
        <v>-81716.350000000006</v>
      </c>
      <c r="M19" s="624">
        <v>-38432.730000000003</v>
      </c>
      <c r="N19" s="624">
        <v>-2619.2600000000002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-1002751.39</v>
      </c>
      <c r="E20" s="628">
        <v>-62377.82</v>
      </c>
      <c r="F20" s="628">
        <v>-34399.480000000003</v>
      </c>
      <c r="G20" s="628">
        <v>-18064.95</v>
      </c>
      <c r="H20" s="628">
        <v>-250570.92</v>
      </c>
      <c r="I20" s="628">
        <v>-6375.27</v>
      </c>
      <c r="J20" s="628">
        <v>-72210.539999999994</v>
      </c>
      <c r="K20" s="628">
        <v>-69467.83</v>
      </c>
      <c r="L20" s="628">
        <v>-328331.90000000002</v>
      </c>
      <c r="M20" s="628">
        <v>-150540.79999999999</v>
      </c>
      <c r="N20" s="628">
        <v>-10401.58</v>
      </c>
      <c r="O20" s="628">
        <v>-10.3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-16536713.09</v>
      </c>
      <c r="E21" s="630">
        <v>-906118.46</v>
      </c>
      <c r="F21" s="630">
        <v>-506877.02</v>
      </c>
      <c r="G21" s="630">
        <v>-261976.09</v>
      </c>
      <c r="H21" s="630">
        <v>-3941644.88</v>
      </c>
      <c r="I21" s="630">
        <v>-139753.14000000001</v>
      </c>
      <c r="J21" s="630">
        <v>-1258088.54</v>
      </c>
      <c r="K21" s="630">
        <v>-1217926.21</v>
      </c>
      <c r="L21" s="630">
        <v>-5598933.0599999996</v>
      </c>
      <c r="M21" s="630">
        <v>-2476260.15</v>
      </c>
      <c r="N21" s="630">
        <v>-229236.28</v>
      </c>
      <c r="O21" s="630">
        <v>100.74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-16536713.09</v>
      </c>
      <c r="E79" s="766">
        <f>E5+E17</f>
        <v>-842044.27</v>
      </c>
      <c r="F79" s="766">
        <f t="shared" ref="F79:R79" si="0">F5+F17</f>
        <v>-470499.84000000003</v>
      </c>
      <c r="G79" s="766">
        <f t="shared" si="0"/>
        <v>-249332.32</v>
      </c>
      <c r="H79" s="766">
        <f t="shared" si="0"/>
        <v>-4006466.75</v>
      </c>
      <c r="I79" s="766">
        <f t="shared" si="0"/>
        <v>-145004</v>
      </c>
      <c r="J79" s="766">
        <f t="shared" si="0"/>
        <v>-1301824.81</v>
      </c>
      <c r="K79" s="766">
        <f t="shared" si="0"/>
        <v>-1255802.95</v>
      </c>
      <c r="L79" s="766">
        <f t="shared" si="0"/>
        <v>-5775459.54</v>
      </c>
      <c r="M79" s="766">
        <f t="shared" si="0"/>
        <v>-2296297.42</v>
      </c>
      <c r="N79" s="766">
        <f t="shared" si="0"/>
        <v>-237636.38</v>
      </c>
      <c r="O79" s="766">
        <f t="shared" si="0"/>
        <v>100.74000000000001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43554.450000000012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-15533961.699999999</v>
      </c>
      <c r="E85" s="633">
        <f>E5</f>
        <v>-793724.01</v>
      </c>
      <c r="F85" s="633">
        <f t="shared" ref="F85:R85" si="1">F5</f>
        <v>-444038.25</v>
      </c>
      <c r="G85" s="633">
        <f t="shared" si="1"/>
        <v>-235437.54</v>
      </c>
      <c r="H85" s="633">
        <f t="shared" si="1"/>
        <v>-3814145.68</v>
      </c>
      <c r="I85" s="633">
        <f t="shared" si="1"/>
        <v>-140234.1</v>
      </c>
      <c r="J85" s="633">
        <f t="shared" si="1"/>
        <v>-1243696.27</v>
      </c>
      <c r="K85" s="633">
        <f t="shared" si="1"/>
        <v>-1203871</v>
      </c>
      <c r="L85" s="633">
        <f t="shared" si="1"/>
        <v>-5528843.9900000002</v>
      </c>
      <c r="M85" s="633">
        <f t="shared" si="1"/>
        <v>-2184189.35</v>
      </c>
      <c r="N85" s="633">
        <f t="shared" si="1"/>
        <v>-229854.06</v>
      </c>
      <c r="O85" s="633">
        <f t="shared" si="1"/>
        <v>111.04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283961.51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0" t="s">
        <v>325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0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-1002751.39</v>
      </c>
      <c r="E91" s="628">
        <f>E17</f>
        <v>-48320.26</v>
      </c>
      <c r="F91" s="628">
        <f t="shared" ref="F91:R91" si="3">F17</f>
        <v>-26461.59</v>
      </c>
      <c r="G91" s="628">
        <f t="shared" si="3"/>
        <v>-13894.78</v>
      </c>
      <c r="H91" s="628">
        <f t="shared" si="3"/>
        <v>-192321.07</v>
      </c>
      <c r="I91" s="628">
        <f t="shared" si="3"/>
        <v>-4769.8999999999996</v>
      </c>
      <c r="J91" s="628">
        <f t="shared" si="3"/>
        <v>-58128.54</v>
      </c>
      <c r="K91" s="628">
        <f t="shared" si="3"/>
        <v>-51931.95</v>
      </c>
      <c r="L91" s="628">
        <f t="shared" si="3"/>
        <v>-246615.55</v>
      </c>
      <c r="M91" s="628">
        <f t="shared" si="3"/>
        <v>-112108.07</v>
      </c>
      <c r="N91" s="628">
        <f t="shared" si="3"/>
        <v>-7782.32</v>
      </c>
      <c r="O91" s="628">
        <f t="shared" si="3"/>
        <v>-10.3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-240407.06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3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3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-53998016.210000001</v>
      </c>
      <c r="E99" s="618">
        <v>-11667185.220000001</v>
      </c>
      <c r="F99" s="618">
        <v>-5414703.4900000002</v>
      </c>
      <c r="G99" s="620">
        <v>-2951482.17</v>
      </c>
      <c r="H99" s="618">
        <v>-3201477.24</v>
      </c>
      <c r="I99" s="618">
        <v>-115838.75</v>
      </c>
      <c r="J99" s="618">
        <v>-1017620.75</v>
      </c>
      <c r="K99" s="618">
        <v>-1016768.4</v>
      </c>
      <c r="L99" s="618">
        <v>-4764304</v>
      </c>
      <c r="M99" s="618">
        <v>-23659660.940000001</v>
      </c>
      <c r="N99" s="618">
        <v>-188999.83</v>
      </c>
      <c r="O99" s="618">
        <v>24.58</v>
      </c>
      <c r="P99" s="616">
        <v>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-15789581.83</v>
      </c>
      <c r="E100" s="618">
        <v>-4170790.83</v>
      </c>
      <c r="F100" s="618">
        <v>-1943304.33</v>
      </c>
      <c r="G100" s="620">
        <v>-1075257.96</v>
      </c>
      <c r="H100" s="618">
        <v>-52026.8</v>
      </c>
      <c r="I100" s="618">
        <v>-1440.2</v>
      </c>
      <c r="J100" s="618">
        <v>-12737.8</v>
      </c>
      <c r="K100" s="618">
        <v>-15000.59</v>
      </c>
      <c r="L100" s="618">
        <v>-66290.83</v>
      </c>
      <c r="M100" s="618">
        <v>-8450381.2699999996</v>
      </c>
      <c r="N100" s="618">
        <v>-2350.38</v>
      </c>
      <c r="O100" s="618">
        <v>-0.84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-69787598.040000007</v>
      </c>
      <c r="E101" s="622">
        <v>-15837976.050000001</v>
      </c>
      <c r="F101" s="622">
        <v>-7358007.8200000003</v>
      </c>
      <c r="G101" s="622">
        <v>-4026740.13</v>
      </c>
      <c r="H101" s="622">
        <v>-3253504.04</v>
      </c>
      <c r="I101" s="622">
        <v>-117278.95</v>
      </c>
      <c r="J101" s="622">
        <v>-1030358.55</v>
      </c>
      <c r="K101" s="622">
        <v>-1031768.99</v>
      </c>
      <c r="L101" s="622">
        <v>-4830594.83</v>
      </c>
      <c r="M101" s="622">
        <v>-32110042.210000001</v>
      </c>
      <c r="N101" s="622">
        <v>-191350.21</v>
      </c>
      <c r="O101" s="622">
        <v>23.74</v>
      </c>
      <c r="P101" s="621">
        <v>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-991410.96</v>
      </c>
      <c r="E102" s="618">
        <v>-916794.52</v>
      </c>
      <c r="F102" s="618">
        <v>-399784.58</v>
      </c>
      <c r="G102" s="620">
        <v>-225583.16</v>
      </c>
      <c r="H102" s="618">
        <v>753139.3</v>
      </c>
      <c r="I102" s="618">
        <v>27321.94</v>
      </c>
      <c r="J102" s="618">
        <v>241143.71</v>
      </c>
      <c r="K102" s="618">
        <v>238753.51</v>
      </c>
      <c r="L102" s="618">
        <v>1113806.24</v>
      </c>
      <c r="M102" s="618">
        <v>-1867991.13</v>
      </c>
      <c r="N102" s="618">
        <v>44577.73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-991410.96</v>
      </c>
      <c r="E103" s="624">
        <v>-916794.52</v>
      </c>
      <c r="F103" s="624">
        <v>-399784.58</v>
      </c>
      <c r="G103" s="636">
        <v>-225583.16</v>
      </c>
      <c r="H103" s="624">
        <v>753139.3</v>
      </c>
      <c r="I103" s="624">
        <v>27321.94</v>
      </c>
      <c r="J103" s="624">
        <v>241143.71</v>
      </c>
      <c r="K103" s="624">
        <v>238753.51</v>
      </c>
      <c r="L103" s="624">
        <v>1113806.24</v>
      </c>
      <c r="M103" s="624">
        <v>-1867991.13</v>
      </c>
      <c r="N103" s="624">
        <v>44577.73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-70779009</v>
      </c>
      <c r="E104" s="626">
        <v>-16754770.57</v>
      </c>
      <c r="F104" s="626">
        <v>-7757792.4000000004</v>
      </c>
      <c r="G104" s="627">
        <v>-4252323.29</v>
      </c>
      <c r="H104" s="626">
        <v>-2500364.7400000002</v>
      </c>
      <c r="I104" s="626">
        <v>-89957.01</v>
      </c>
      <c r="J104" s="626">
        <v>-789214.84</v>
      </c>
      <c r="K104" s="626">
        <v>-793015.48</v>
      </c>
      <c r="L104" s="626">
        <v>-3716788.59</v>
      </c>
      <c r="M104" s="626">
        <v>-33978033.340000004</v>
      </c>
      <c r="N104" s="626">
        <v>-146772.48000000001</v>
      </c>
      <c r="O104" s="626">
        <v>23.74</v>
      </c>
      <c r="P104" s="625">
        <v>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-377166.8</v>
      </c>
      <c r="E111" s="618">
        <v>-43251.45</v>
      </c>
      <c r="F111" s="618">
        <v>-24151.06</v>
      </c>
      <c r="G111" s="620">
        <v>-13029.67</v>
      </c>
      <c r="H111" s="618">
        <v>-77002.42</v>
      </c>
      <c r="I111" s="618">
        <v>-2284.7600000000002</v>
      </c>
      <c r="J111" s="618">
        <v>-20041.71</v>
      </c>
      <c r="K111" s="618">
        <v>-20313.509999999998</v>
      </c>
      <c r="L111" s="618">
        <v>-87724.06</v>
      </c>
      <c r="M111" s="618">
        <v>-86066.71</v>
      </c>
      <c r="N111" s="618">
        <v>-3305.91</v>
      </c>
      <c r="O111" s="618">
        <v>4.46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-9054.66</v>
      </c>
      <c r="E112" s="618">
        <v>-491.84</v>
      </c>
      <c r="F112" s="618">
        <v>-219.75</v>
      </c>
      <c r="G112" s="620">
        <v>-125.76</v>
      </c>
      <c r="H112" s="618">
        <v>-2696.53</v>
      </c>
      <c r="I112" s="618">
        <v>-61.76</v>
      </c>
      <c r="J112" s="618">
        <v>-541.98</v>
      </c>
      <c r="K112" s="618">
        <v>-671.69</v>
      </c>
      <c r="L112" s="618">
        <v>-3161.57</v>
      </c>
      <c r="M112" s="618">
        <v>-983.04</v>
      </c>
      <c r="N112" s="618">
        <v>-100.83</v>
      </c>
      <c r="O112" s="618">
        <v>0.09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-386221.46</v>
      </c>
      <c r="E113" s="622">
        <v>-43743.29</v>
      </c>
      <c r="F113" s="622">
        <v>-24370.81</v>
      </c>
      <c r="G113" s="622">
        <v>-13155.43</v>
      </c>
      <c r="H113" s="622">
        <v>-79698.95</v>
      </c>
      <c r="I113" s="622">
        <v>-2346.52</v>
      </c>
      <c r="J113" s="622">
        <v>-20583.689999999999</v>
      </c>
      <c r="K113" s="622">
        <v>-20985.200000000001</v>
      </c>
      <c r="L113" s="622">
        <v>-90885.63</v>
      </c>
      <c r="M113" s="622">
        <v>-87049.75</v>
      </c>
      <c r="N113" s="622">
        <v>-3406.74</v>
      </c>
      <c r="O113" s="622">
        <v>4.55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95471.46</v>
      </c>
      <c r="E114" s="618">
        <v>4869.41</v>
      </c>
      <c r="F114" s="618">
        <v>2653.99</v>
      </c>
      <c r="G114" s="620">
        <v>1418.22</v>
      </c>
      <c r="H114" s="618">
        <v>24431.4</v>
      </c>
      <c r="I114" s="618">
        <v>804.56</v>
      </c>
      <c r="J114" s="618">
        <v>7057.6</v>
      </c>
      <c r="K114" s="618">
        <v>7551.54</v>
      </c>
      <c r="L114" s="618">
        <v>35697.19</v>
      </c>
      <c r="M114" s="618">
        <v>9674.81</v>
      </c>
      <c r="N114" s="618">
        <v>1312.74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95471.46</v>
      </c>
      <c r="E115" s="624">
        <v>4869.41</v>
      </c>
      <c r="F115" s="624">
        <v>2653.99</v>
      </c>
      <c r="G115" s="636">
        <v>1418.22</v>
      </c>
      <c r="H115" s="624">
        <v>24431.4</v>
      </c>
      <c r="I115" s="624">
        <v>804.56</v>
      </c>
      <c r="J115" s="624">
        <v>7057.6</v>
      </c>
      <c r="K115" s="624">
        <v>7551.54</v>
      </c>
      <c r="L115" s="624">
        <v>35697.19</v>
      </c>
      <c r="M115" s="624">
        <v>9674.81</v>
      </c>
      <c r="N115" s="624">
        <v>1312.74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-290750</v>
      </c>
      <c r="E116" s="628">
        <v>-38873.879999999997</v>
      </c>
      <c r="F116" s="628">
        <v>-21716.82</v>
      </c>
      <c r="G116" s="628">
        <v>-11737.21</v>
      </c>
      <c r="H116" s="628">
        <v>-55267.55</v>
      </c>
      <c r="I116" s="628">
        <v>-1541.96</v>
      </c>
      <c r="J116" s="628">
        <v>-13526.09</v>
      </c>
      <c r="K116" s="628">
        <v>-13433.66</v>
      </c>
      <c r="L116" s="628">
        <v>-55188.44</v>
      </c>
      <c r="M116" s="628">
        <v>-77374.94</v>
      </c>
      <c r="N116" s="628">
        <v>-2094</v>
      </c>
      <c r="O116" s="628">
        <v>4.55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-71069759</v>
      </c>
      <c r="E117" s="630">
        <v>-16793644.449999999</v>
      </c>
      <c r="F117" s="630">
        <v>-7779509.2199999997</v>
      </c>
      <c r="G117" s="630">
        <v>-4264060.5</v>
      </c>
      <c r="H117" s="630">
        <v>-2555632.29</v>
      </c>
      <c r="I117" s="630">
        <v>-91498.97</v>
      </c>
      <c r="J117" s="630">
        <v>-802740.93</v>
      </c>
      <c r="K117" s="630">
        <v>-806449.14</v>
      </c>
      <c r="L117" s="630">
        <v>-3771977.03</v>
      </c>
      <c r="M117" s="630">
        <v>-34055408.280000001</v>
      </c>
      <c r="N117" s="630">
        <v>-148866.48000000001</v>
      </c>
      <c r="O117" s="630">
        <v>28.29</v>
      </c>
      <c r="P117" s="631">
        <v>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-71069759</v>
      </c>
      <c r="E180" s="766">
        <f>E101+E107+E113</f>
        <v>-15881719.34</v>
      </c>
      <c r="F180" s="766">
        <f t="shared" ref="F180:R180" si="4">F101+F107+F113</f>
        <v>-7382378.6299999999</v>
      </c>
      <c r="G180" s="766">
        <f t="shared" si="4"/>
        <v>-4039895.56</v>
      </c>
      <c r="H180" s="766">
        <f t="shared" si="4"/>
        <v>-3333202.99</v>
      </c>
      <c r="I180" s="766">
        <f t="shared" si="4"/>
        <v>-119625.47</v>
      </c>
      <c r="J180" s="766">
        <f t="shared" si="4"/>
        <v>-1050942.24</v>
      </c>
      <c r="K180" s="766">
        <f t="shared" si="4"/>
        <v>-1052754.19</v>
      </c>
      <c r="L180" s="766">
        <f t="shared" si="4"/>
        <v>-4921480.46</v>
      </c>
      <c r="M180" s="766">
        <f t="shared" si="4"/>
        <v>-32197091.960000001</v>
      </c>
      <c r="N180" s="766">
        <f t="shared" si="4"/>
        <v>-194756.94999999998</v>
      </c>
      <c r="O180" s="766">
        <f t="shared" si="4"/>
        <v>28.29</v>
      </c>
      <c r="P180" s="766">
        <f t="shared" si="4"/>
        <v>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-895939.5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-70779009</v>
      </c>
      <c r="E186" s="633">
        <f>E101</f>
        <v>-15837976.050000001</v>
      </c>
      <c r="F186" s="633">
        <f t="shared" ref="F186:R186" si="6">F101</f>
        <v>-7358007.8200000003</v>
      </c>
      <c r="G186" s="633">
        <f t="shared" si="6"/>
        <v>-4026740.13</v>
      </c>
      <c r="H186" s="633">
        <f t="shared" si="6"/>
        <v>-3253504.04</v>
      </c>
      <c r="I186" s="633">
        <f t="shared" si="6"/>
        <v>-117278.95</v>
      </c>
      <c r="J186" s="633">
        <f t="shared" si="6"/>
        <v>-1030358.55</v>
      </c>
      <c r="K186" s="633">
        <f t="shared" si="6"/>
        <v>-1031768.99</v>
      </c>
      <c r="L186" s="633">
        <f t="shared" si="6"/>
        <v>-4830594.83</v>
      </c>
      <c r="M186" s="633">
        <f t="shared" si="6"/>
        <v>-32110042.210000001</v>
      </c>
      <c r="N186" s="633">
        <f t="shared" si="6"/>
        <v>-191350.21</v>
      </c>
      <c r="O186" s="633">
        <f t="shared" si="6"/>
        <v>23.74</v>
      </c>
      <c r="P186" s="633">
        <f t="shared" si="6"/>
        <v>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-991410.96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0" t="s">
        <v>325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0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-290750</v>
      </c>
      <c r="E192" s="628">
        <f>E113</f>
        <v>-43743.29</v>
      </c>
      <c r="F192" s="628">
        <f t="shared" ref="F192:R192" si="7">F113</f>
        <v>-24370.81</v>
      </c>
      <c r="G192" s="628">
        <f t="shared" si="7"/>
        <v>-13155.43</v>
      </c>
      <c r="H192" s="628">
        <f t="shared" si="7"/>
        <v>-79698.95</v>
      </c>
      <c r="I192" s="628">
        <f t="shared" si="7"/>
        <v>-2346.52</v>
      </c>
      <c r="J192" s="628">
        <f t="shared" si="7"/>
        <v>-20583.689999999999</v>
      </c>
      <c r="K192" s="628">
        <f t="shared" si="7"/>
        <v>-20985.200000000001</v>
      </c>
      <c r="L192" s="628">
        <f t="shared" si="7"/>
        <v>-90885.63</v>
      </c>
      <c r="M192" s="628">
        <f t="shared" si="7"/>
        <v>-87049.75</v>
      </c>
      <c r="N192" s="628">
        <f t="shared" si="7"/>
        <v>-3406.74</v>
      </c>
      <c r="O192" s="628">
        <f t="shared" si="7"/>
        <v>4.55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95471.46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3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3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-27227798.780000001</v>
      </c>
      <c r="E200" s="618">
        <v>-2315528.48</v>
      </c>
      <c r="F200" s="618">
        <v>-1284217.58</v>
      </c>
      <c r="G200" s="618">
        <v>-681382.92</v>
      </c>
      <c r="H200" s="618">
        <v>-5451652.1900000004</v>
      </c>
      <c r="I200" s="618">
        <v>-202328.82</v>
      </c>
      <c r="J200" s="618">
        <v>-1782592.35</v>
      </c>
      <c r="K200" s="618">
        <v>-1715323.71</v>
      </c>
      <c r="L200" s="618">
        <v>-8067276.2800000003</v>
      </c>
      <c r="M200" s="618">
        <v>-5394689.7300000004</v>
      </c>
      <c r="N200" s="618">
        <v>-332680.61</v>
      </c>
      <c r="O200" s="618">
        <v>-126.11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-345928.04</v>
      </c>
      <c r="E201" s="618">
        <v>-25008.84</v>
      </c>
      <c r="F201" s="618">
        <v>-12602.88</v>
      </c>
      <c r="G201" s="618">
        <v>-7036.43</v>
      </c>
      <c r="H201" s="618">
        <v>-80348.210000000006</v>
      </c>
      <c r="I201" s="618">
        <v>-2983.37</v>
      </c>
      <c r="J201" s="618">
        <v>-25907.02</v>
      </c>
      <c r="K201" s="618">
        <v>-22627.65</v>
      </c>
      <c r="L201" s="618">
        <v>-105993.62</v>
      </c>
      <c r="M201" s="618">
        <v>-58451.89</v>
      </c>
      <c r="N201" s="618">
        <v>-4966.2700000000004</v>
      </c>
      <c r="O201" s="618">
        <v>-1.86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-27573726.82</v>
      </c>
      <c r="E202" s="622">
        <v>-2340537.3199999998</v>
      </c>
      <c r="F202" s="622">
        <v>-1296820.46</v>
      </c>
      <c r="G202" s="622">
        <v>-688419.35</v>
      </c>
      <c r="H202" s="622">
        <v>-5532000.4000000004</v>
      </c>
      <c r="I202" s="622">
        <v>-205312.19</v>
      </c>
      <c r="J202" s="622">
        <v>-1808499.37</v>
      </c>
      <c r="K202" s="622">
        <v>-1737951.36</v>
      </c>
      <c r="L202" s="622">
        <v>-8173269.9000000004</v>
      </c>
      <c r="M202" s="622">
        <v>-5453141.6200000001</v>
      </c>
      <c r="N202" s="622">
        <v>-337646.88</v>
      </c>
      <c r="O202" s="622">
        <v>-127.97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-4430593.18</v>
      </c>
      <c r="E203" s="618">
        <v>-1063182.6399999999</v>
      </c>
      <c r="F203" s="618">
        <v>-614089.04</v>
      </c>
      <c r="G203" s="618">
        <v>-323946.96000000002</v>
      </c>
      <c r="H203" s="618">
        <v>-38852</v>
      </c>
      <c r="I203" s="618">
        <v>-204.27</v>
      </c>
      <c r="J203" s="618">
        <v>8451.7900000000009</v>
      </c>
      <c r="K203" s="618">
        <v>15720.47</v>
      </c>
      <c r="L203" s="618">
        <v>51334.92</v>
      </c>
      <c r="M203" s="618">
        <v>-2466098.35</v>
      </c>
      <c r="N203" s="618">
        <v>272.89999999999998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-4430593.18</v>
      </c>
      <c r="E204" s="624">
        <v>-1063182.6399999999</v>
      </c>
      <c r="F204" s="624">
        <v>-614089.04</v>
      </c>
      <c r="G204" s="636">
        <v>-323946.96000000002</v>
      </c>
      <c r="H204" s="624">
        <v>-38852</v>
      </c>
      <c r="I204" s="624">
        <v>-204.27</v>
      </c>
      <c r="J204" s="624">
        <v>8451.7900000000009</v>
      </c>
      <c r="K204" s="624">
        <v>15720.47</v>
      </c>
      <c r="L204" s="624">
        <v>51334.92</v>
      </c>
      <c r="M204" s="624">
        <v>-2466098.35</v>
      </c>
      <c r="N204" s="624">
        <v>272.89999999999998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-32004320</v>
      </c>
      <c r="E205" s="633">
        <v>-3403719.96</v>
      </c>
      <c r="F205" s="633">
        <v>-1910909.5</v>
      </c>
      <c r="G205" s="633">
        <v>-1012366.31</v>
      </c>
      <c r="H205" s="633">
        <v>-5570852.4000000004</v>
      </c>
      <c r="I205" s="633">
        <v>-205516.46</v>
      </c>
      <c r="J205" s="633">
        <v>-1800047.58</v>
      </c>
      <c r="K205" s="633">
        <v>-1722230.89</v>
      </c>
      <c r="L205" s="633">
        <v>-8121934.9800000004</v>
      </c>
      <c r="M205" s="633">
        <v>-7919239.9699999997</v>
      </c>
      <c r="N205" s="633">
        <v>-337373.98</v>
      </c>
      <c r="O205" s="633">
        <v>-127.97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-397050.36</v>
      </c>
      <c r="E206" s="618">
        <v>-18659.830000000002</v>
      </c>
      <c r="F206" s="618">
        <v>-10362.450000000001</v>
      </c>
      <c r="G206" s="620">
        <v>-4678.66</v>
      </c>
      <c r="H206" s="618">
        <v>-109695.93</v>
      </c>
      <c r="I206" s="618">
        <v>-3357.59</v>
      </c>
      <c r="J206" s="618">
        <v>-29452.65</v>
      </c>
      <c r="K206" s="618">
        <v>-33114.32</v>
      </c>
      <c r="L206" s="618">
        <v>-139136.35999999999</v>
      </c>
      <c r="M206" s="618">
        <v>-43529.99</v>
      </c>
      <c r="N206" s="618">
        <v>-5062.0200000000004</v>
      </c>
      <c r="O206" s="618">
        <v>-0.56000000000000005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-785.24</v>
      </c>
      <c r="E207" s="618">
        <v>-33.72</v>
      </c>
      <c r="F207" s="618">
        <v>-17.399999999999999</v>
      </c>
      <c r="G207" s="620">
        <v>-10.35</v>
      </c>
      <c r="H207" s="618">
        <v>-222.64</v>
      </c>
      <c r="I207" s="618">
        <v>-7.01</v>
      </c>
      <c r="J207" s="618">
        <v>-61.61</v>
      </c>
      <c r="K207" s="618">
        <v>-60.33</v>
      </c>
      <c r="L207" s="618">
        <v>-281.64999999999998</v>
      </c>
      <c r="M207" s="618">
        <v>-79.05</v>
      </c>
      <c r="N207" s="618">
        <v>-11.44</v>
      </c>
      <c r="O207" s="618">
        <v>-0.04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-397835.6</v>
      </c>
      <c r="E208" s="622">
        <v>-18693.55</v>
      </c>
      <c r="F208" s="622">
        <v>-10379.85</v>
      </c>
      <c r="G208" s="622">
        <v>-4689.01</v>
      </c>
      <c r="H208" s="622">
        <v>-109918.57</v>
      </c>
      <c r="I208" s="622">
        <v>-3364.6</v>
      </c>
      <c r="J208" s="622">
        <v>-29514.26</v>
      </c>
      <c r="K208" s="622">
        <v>-33174.65</v>
      </c>
      <c r="L208" s="622">
        <v>-139418.01</v>
      </c>
      <c r="M208" s="622">
        <v>-43609.04</v>
      </c>
      <c r="N208" s="622">
        <v>-5073.46</v>
      </c>
      <c r="O208" s="622">
        <v>-0.6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91175.8</v>
      </c>
      <c r="E209" s="618">
        <v>4274.38</v>
      </c>
      <c r="F209" s="618">
        <v>2344.1799999999998</v>
      </c>
      <c r="G209" s="620">
        <v>1290.1400000000001</v>
      </c>
      <c r="H209" s="618">
        <v>24141.72</v>
      </c>
      <c r="I209" s="618">
        <v>835.82</v>
      </c>
      <c r="J209" s="618">
        <v>7331.65</v>
      </c>
      <c r="K209" s="618">
        <v>6999.36</v>
      </c>
      <c r="L209" s="618">
        <v>32593.77</v>
      </c>
      <c r="M209" s="618">
        <v>10001.11</v>
      </c>
      <c r="N209" s="618">
        <v>1363.67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91175.8</v>
      </c>
      <c r="E210" s="624">
        <v>4274.38</v>
      </c>
      <c r="F210" s="624">
        <v>2344.1799999999998</v>
      </c>
      <c r="G210" s="624">
        <v>1290.1400000000001</v>
      </c>
      <c r="H210" s="624">
        <v>24141.72</v>
      </c>
      <c r="I210" s="624">
        <v>835.82</v>
      </c>
      <c r="J210" s="624">
        <v>7331.65</v>
      </c>
      <c r="K210" s="624">
        <v>6999.36</v>
      </c>
      <c r="L210" s="624">
        <v>32593.77</v>
      </c>
      <c r="M210" s="624">
        <v>10001.11</v>
      </c>
      <c r="N210" s="624">
        <v>1363.67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-306659.8</v>
      </c>
      <c r="E211" s="628">
        <v>-14419.17</v>
      </c>
      <c r="F211" s="628">
        <v>-8035.67</v>
      </c>
      <c r="G211" s="628">
        <v>-3398.87</v>
      </c>
      <c r="H211" s="628">
        <v>-85776.85</v>
      </c>
      <c r="I211" s="628">
        <v>-2528.7800000000002</v>
      </c>
      <c r="J211" s="628">
        <v>-22182.61</v>
      </c>
      <c r="K211" s="628">
        <v>-26175.29</v>
      </c>
      <c r="L211" s="628">
        <v>-106824.24</v>
      </c>
      <c r="M211" s="628">
        <v>-33607.93</v>
      </c>
      <c r="N211" s="628">
        <v>-3709.79</v>
      </c>
      <c r="O211" s="628">
        <v>-0.6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-32310979.800000001</v>
      </c>
      <c r="E212" s="630">
        <v>-3418139.13</v>
      </c>
      <c r="F212" s="630">
        <v>-1918945.17</v>
      </c>
      <c r="G212" s="630">
        <v>-1015765.18</v>
      </c>
      <c r="H212" s="630">
        <v>-5656629.25</v>
      </c>
      <c r="I212" s="630">
        <v>-208045.24</v>
      </c>
      <c r="J212" s="630">
        <v>-1822230.19</v>
      </c>
      <c r="K212" s="630">
        <v>-1748406.18</v>
      </c>
      <c r="L212" s="630">
        <v>-8228759.2199999997</v>
      </c>
      <c r="M212" s="630">
        <v>-7952847.9000000004</v>
      </c>
      <c r="N212" s="630">
        <v>-341083.77</v>
      </c>
      <c r="O212" s="630">
        <v>-128.57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-32310979.800000001</v>
      </c>
      <c r="E217" s="766">
        <f>E202+E208</f>
        <v>-2359230.8699999996</v>
      </c>
      <c r="F217" s="766">
        <f t="shared" ref="F217:R217" si="8">F202+F208</f>
        <v>-1307200.31</v>
      </c>
      <c r="G217" s="766">
        <f t="shared" si="8"/>
        <v>-693108.36</v>
      </c>
      <c r="H217" s="766">
        <f t="shared" si="8"/>
        <v>-5641918.9700000007</v>
      </c>
      <c r="I217" s="766">
        <f t="shared" si="8"/>
        <v>-208676.79</v>
      </c>
      <c r="J217" s="766">
        <f t="shared" si="8"/>
        <v>-1838013.6300000001</v>
      </c>
      <c r="K217" s="766">
        <f t="shared" si="8"/>
        <v>-1771126.01</v>
      </c>
      <c r="L217" s="766">
        <f t="shared" si="8"/>
        <v>-8312687.9100000001</v>
      </c>
      <c r="M217" s="766">
        <f t="shared" si="8"/>
        <v>-5496750.6600000001</v>
      </c>
      <c r="N217" s="766">
        <f t="shared" si="8"/>
        <v>-342720.34</v>
      </c>
      <c r="O217" s="766">
        <f t="shared" si="8"/>
        <v>-128.57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-4339417.38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-32004320</v>
      </c>
      <c r="E223" s="633">
        <f>E202</f>
        <v>-2340537.3199999998</v>
      </c>
      <c r="F223" s="633">
        <f t="shared" ref="F223:R223" si="9">F202</f>
        <v>-1296820.46</v>
      </c>
      <c r="G223" s="633">
        <f t="shared" si="9"/>
        <v>-688419.35</v>
      </c>
      <c r="H223" s="633">
        <f t="shared" si="9"/>
        <v>-5532000.4000000004</v>
      </c>
      <c r="I223" s="633">
        <f t="shared" si="9"/>
        <v>-205312.19</v>
      </c>
      <c r="J223" s="633">
        <f t="shared" si="9"/>
        <v>-1808499.37</v>
      </c>
      <c r="K223" s="633">
        <f t="shared" si="9"/>
        <v>-1737951.36</v>
      </c>
      <c r="L223" s="633">
        <f t="shared" si="9"/>
        <v>-8173269.9000000004</v>
      </c>
      <c r="M223" s="633">
        <f t="shared" si="9"/>
        <v>-5453141.6200000001</v>
      </c>
      <c r="N223" s="633">
        <f t="shared" si="9"/>
        <v>-337646.88</v>
      </c>
      <c r="O223" s="633">
        <f t="shared" si="9"/>
        <v>-127.97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-4430593.18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0" t="s">
        <v>325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0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-306659.8</v>
      </c>
      <c r="E229" s="628">
        <f>E208</f>
        <v>-18693.55</v>
      </c>
      <c r="F229" s="628">
        <f t="shared" ref="F229:R229" si="10">F208</f>
        <v>-10379.85</v>
      </c>
      <c r="G229" s="628">
        <f t="shared" si="10"/>
        <v>-4689.01</v>
      </c>
      <c r="H229" s="628">
        <f t="shared" si="10"/>
        <v>-109918.57</v>
      </c>
      <c r="I229" s="628">
        <f t="shared" si="10"/>
        <v>-3364.6</v>
      </c>
      <c r="J229" s="628">
        <f t="shared" si="10"/>
        <v>-29514.26</v>
      </c>
      <c r="K229" s="628">
        <f t="shared" si="10"/>
        <v>-33174.65</v>
      </c>
      <c r="L229" s="628">
        <f t="shared" si="10"/>
        <v>-139418.01</v>
      </c>
      <c r="M229" s="628">
        <f t="shared" si="10"/>
        <v>-43609.04</v>
      </c>
      <c r="N229" s="628">
        <f t="shared" si="10"/>
        <v>-5073.46</v>
      </c>
      <c r="O229" s="628">
        <f t="shared" si="10"/>
        <v>-0.6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91175.8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3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3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-21566863.359999999</v>
      </c>
      <c r="E237" s="618">
        <v>-1602733.56</v>
      </c>
      <c r="F237" s="618">
        <v>-896891.02</v>
      </c>
      <c r="G237" s="620">
        <v>-475692.34</v>
      </c>
      <c r="H237" s="618">
        <v>-4329801.24</v>
      </c>
      <c r="I237" s="618">
        <v>-156115.79</v>
      </c>
      <c r="J237" s="618">
        <v>-1354110.99</v>
      </c>
      <c r="K237" s="618">
        <v>-1357517.45</v>
      </c>
      <c r="L237" s="618">
        <v>-6863140.8499999996</v>
      </c>
      <c r="M237" s="618">
        <v>-4276100.4400000004</v>
      </c>
      <c r="N237" s="618">
        <v>-254729.55</v>
      </c>
      <c r="O237" s="618">
        <v>-30.13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-10375865.33</v>
      </c>
      <c r="E238" s="618">
        <v>-1376999.44</v>
      </c>
      <c r="F238" s="618">
        <v>-590233.5</v>
      </c>
      <c r="G238" s="620">
        <v>-209963.97</v>
      </c>
      <c r="H238" s="618">
        <v>-1412012.61</v>
      </c>
      <c r="I238" s="618">
        <v>-55947.15</v>
      </c>
      <c r="J238" s="618">
        <v>-490779.37</v>
      </c>
      <c r="K238" s="618">
        <v>-582672.57999999996</v>
      </c>
      <c r="L238" s="618">
        <v>-1966418.97</v>
      </c>
      <c r="M238" s="618">
        <v>-3599557.03</v>
      </c>
      <c r="N238" s="618">
        <v>-91288.76</v>
      </c>
      <c r="O238" s="618">
        <v>8.34</v>
      </c>
      <c r="P238" s="618">
        <v>0</v>
      </c>
      <c r="Q238" s="618">
        <v>0</v>
      </c>
      <c r="R238" s="616">
        <v>-0.28999999999999998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-31942728.690000001</v>
      </c>
      <c r="E239" s="622">
        <v>-2979733</v>
      </c>
      <c r="F239" s="622">
        <v>-1487124.52</v>
      </c>
      <c r="G239" s="622">
        <v>-685656.31</v>
      </c>
      <c r="H239" s="622">
        <v>-5741813.8499999996</v>
      </c>
      <c r="I239" s="622">
        <v>-212062.94</v>
      </c>
      <c r="J239" s="622">
        <v>-1844890.36</v>
      </c>
      <c r="K239" s="622">
        <v>-1940190.03</v>
      </c>
      <c r="L239" s="622">
        <v>-8829559.8200000003</v>
      </c>
      <c r="M239" s="622">
        <v>-7875657.4699999997</v>
      </c>
      <c r="N239" s="622">
        <v>-346018.31</v>
      </c>
      <c r="O239" s="622">
        <v>-21.79</v>
      </c>
      <c r="P239" s="621">
        <v>0</v>
      </c>
      <c r="Q239" s="622">
        <v>0</v>
      </c>
      <c r="R239" s="622">
        <v>-0.28999999999999998</v>
      </c>
    </row>
    <row r="240" spans="1:18" ht="12.75" customHeight="1" x14ac:dyDescent="0.25">
      <c r="C240" s="616" t="s">
        <v>73</v>
      </c>
      <c r="D240" s="620">
        <v>2174082.7999999998</v>
      </c>
      <c r="E240" s="618">
        <v>22089.07</v>
      </c>
      <c r="F240" s="618">
        <v>10938.57</v>
      </c>
      <c r="G240" s="620">
        <v>6096.13</v>
      </c>
      <c r="H240" s="618">
        <v>636523.27</v>
      </c>
      <c r="I240" s="618">
        <v>22219.55</v>
      </c>
      <c r="J240" s="618">
        <v>194912.33</v>
      </c>
      <c r="K240" s="618">
        <v>197393.84</v>
      </c>
      <c r="L240" s="618">
        <v>989072.18</v>
      </c>
      <c r="M240" s="618">
        <v>58583.97</v>
      </c>
      <c r="N240" s="618">
        <v>36253.89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2174082.7999999998</v>
      </c>
      <c r="E241" s="624">
        <v>22089.07</v>
      </c>
      <c r="F241" s="624">
        <v>10938.57</v>
      </c>
      <c r="G241" s="624">
        <v>6096.13</v>
      </c>
      <c r="H241" s="624">
        <v>636523.27</v>
      </c>
      <c r="I241" s="624">
        <v>22219.55</v>
      </c>
      <c r="J241" s="624">
        <v>194912.33</v>
      </c>
      <c r="K241" s="624">
        <v>197393.84</v>
      </c>
      <c r="L241" s="624">
        <v>989072.18</v>
      </c>
      <c r="M241" s="624">
        <v>58583.97</v>
      </c>
      <c r="N241" s="624">
        <v>36253.89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-29768645.890000001</v>
      </c>
      <c r="E242" s="757">
        <v>-2957643.93</v>
      </c>
      <c r="F242" s="757">
        <v>-1476185.95</v>
      </c>
      <c r="G242" s="756">
        <v>-679560.18</v>
      </c>
      <c r="H242" s="757">
        <v>-5105290.58</v>
      </c>
      <c r="I242" s="757">
        <v>-189843.39</v>
      </c>
      <c r="J242" s="757">
        <v>-1649978.03</v>
      </c>
      <c r="K242" s="757">
        <v>-1742796.19</v>
      </c>
      <c r="L242" s="757">
        <v>-7840487.6399999997</v>
      </c>
      <c r="M242" s="757">
        <v>-7817073.5</v>
      </c>
      <c r="N242" s="757">
        <v>-309764.42</v>
      </c>
      <c r="O242" s="757">
        <v>-21.79</v>
      </c>
      <c r="P242" s="757">
        <v>0</v>
      </c>
      <c r="Q242" s="757">
        <v>0</v>
      </c>
      <c r="R242" s="755">
        <v>-0.28999999999999998</v>
      </c>
    </row>
    <row r="243" spans="1:18" ht="12.75" customHeight="1" x14ac:dyDescent="0.25">
      <c r="C243" s="616" t="s">
        <v>72</v>
      </c>
      <c r="D243" s="620">
        <v>-855911.65</v>
      </c>
      <c r="E243" s="618">
        <v>-56578.79</v>
      </c>
      <c r="F243" s="618">
        <v>-29944.45</v>
      </c>
      <c r="G243" s="620">
        <v>-16676.990000000002</v>
      </c>
      <c r="H243" s="618">
        <v>-192512.79</v>
      </c>
      <c r="I243" s="618">
        <v>-5218.1499999999996</v>
      </c>
      <c r="J243" s="618">
        <v>-44076.57</v>
      </c>
      <c r="K243" s="618">
        <v>-55205.51</v>
      </c>
      <c r="L243" s="618">
        <v>-296108.40999999997</v>
      </c>
      <c r="M243" s="618">
        <v>-151081.81</v>
      </c>
      <c r="N243" s="618">
        <v>-8513.86</v>
      </c>
      <c r="O243" s="618">
        <v>5.68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-456.33</v>
      </c>
      <c r="E244" s="618">
        <v>-43.08</v>
      </c>
      <c r="F244" s="618">
        <v>-19.82</v>
      </c>
      <c r="G244" s="620">
        <v>-11.45</v>
      </c>
      <c r="H244" s="618">
        <v>-92.32</v>
      </c>
      <c r="I244" s="618">
        <v>-2.2799999999999998</v>
      </c>
      <c r="J244" s="618">
        <v>-19.89</v>
      </c>
      <c r="K244" s="618">
        <v>-24.84</v>
      </c>
      <c r="L244" s="618">
        <v>-122.9</v>
      </c>
      <c r="M244" s="618">
        <v>-116.06</v>
      </c>
      <c r="N244" s="618">
        <v>-3.69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-856367.98</v>
      </c>
      <c r="E245" s="622">
        <v>-56621.87</v>
      </c>
      <c r="F245" s="622">
        <v>-29964.27</v>
      </c>
      <c r="G245" s="622">
        <v>-16688.439999999999</v>
      </c>
      <c r="H245" s="622">
        <v>-192605.11</v>
      </c>
      <c r="I245" s="622">
        <v>-5220.43</v>
      </c>
      <c r="J245" s="622">
        <v>-44096.46</v>
      </c>
      <c r="K245" s="622">
        <v>-55230.35</v>
      </c>
      <c r="L245" s="622">
        <v>-296231.31</v>
      </c>
      <c r="M245" s="622">
        <v>-151197.87</v>
      </c>
      <c r="N245" s="622">
        <v>-8517.5499999999993</v>
      </c>
      <c r="O245" s="622">
        <v>5.68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120337.98</v>
      </c>
      <c r="E246" s="618">
        <v>-5853.75</v>
      </c>
      <c r="F246" s="618">
        <v>-3466.39</v>
      </c>
      <c r="G246" s="620">
        <v>-1802.77</v>
      </c>
      <c r="H246" s="618">
        <v>44564.39</v>
      </c>
      <c r="I246" s="618">
        <v>1338.88</v>
      </c>
      <c r="J246" s="618">
        <v>11744.63</v>
      </c>
      <c r="K246" s="618">
        <v>14317.92</v>
      </c>
      <c r="L246" s="618">
        <v>72511.87</v>
      </c>
      <c r="M246" s="618">
        <v>-15201.3</v>
      </c>
      <c r="N246" s="618">
        <v>2184.5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120337.98</v>
      </c>
      <c r="E247" s="624">
        <v>-5853.75</v>
      </c>
      <c r="F247" s="624">
        <v>-3466.39</v>
      </c>
      <c r="G247" s="624">
        <v>-1802.77</v>
      </c>
      <c r="H247" s="624">
        <v>44564.39</v>
      </c>
      <c r="I247" s="624">
        <v>1338.88</v>
      </c>
      <c r="J247" s="624">
        <v>11744.63</v>
      </c>
      <c r="K247" s="624">
        <v>14317.92</v>
      </c>
      <c r="L247" s="624">
        <v>72511.87</v>
      </c>
      <c r="M247" s="624">
        <v>-15201.3</v>
      </c>
      <c r="N247" s="624">
        <v>2184.5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-736030</v>
      </c>
      <c r="E248" s="764">
        <v>-62475.62</v>
      </c>
      <c r="F248" s="764">
        <v>-33430.660000000003</v>
      </c>
      <c r="G248" s="765">
        <v>-18491.21</v>
      </c>
      <c r="H248" s="764">
        <v>-148040.72</v>
      </c>
      <c r="I248" s="764">
        <v>-3881.55</v>
      </c>
      <c r="J248" s="764">
        <v>-32351.83</v>
      </c>
      <c r="K248" s="764">
        <v>-40912.43</v>
      </c>
      <c r="L248" s="764">
        <v>-223719.44</v>
      </c>
      <c r="M248" s="764">
        <v>-166399.17000000001</v>
      </c>
      <c r="N248" s="764">
        <v>-6333.05</v>
      </c>
      <c r="O248" s="764">
        <v>5.68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-3952597.5</v>
      </c>
      <c r="E249" s="618">
        <v>-239180.98</v>
      </c>
      <c r="F249" s="618">
        <v>-134746.5</v>
      </c>
      <c r="G249" s="620">
        <v>-69663.42</v>
      </c>
      <c r="H249" s="618">
        <v>-865036.73</v>
      </c>
      <c r="I249" s="618">
        <v>-28695.58</v>
      </c>
      <c r="J249" s="618">
        <v>-279525.13</v>
      </c>
      <c r="K249" s="618">
        <v>-279118.37</v>
      </c>
      <c r="L249" s="618">
        <v>-1359152.73</v>
      </c>
      <c r="M249" s="618">
        <v>-648894.61</v>
      </c>
      <c r="N249" s="618">
        <v>-48597.18</v>
      </c>
      <c r="O249" s="618">
        <v>13.73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-72621.509999999995</v>
      </c>
      <c r="E250" s="618">
        <v>-5294.3</v>
      </c>
      <c r="F250" s="618">
        <v>-1735.02</v>
      </c>
      <c r="G250" s="620">
        <v>-406.34</v>
      </c>
      <c r="H250" s="618">
        <v>-9879.81</v>
      </c>
      <c r="I250" s="618">
        <v>-851.94</v>
      </c>
      <c r="J250" s="618">
        <v>-7477.78</v>
      </c>
      <c r="K250" s="618">
        <v>-6895.96</v>
      </c>
      <c r="L250" s="618">
        <v>-23542.38</v>
      </c>
      <c r="M250" s="618">
        <v>-15148.31</v>
      </c>
      <c r="N250" s="618">
        <v>-1390.75</v>
      </c>
      <c r="O250" s="618">
        <v>1.08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-4025219.01</v>
      </c>
      <c r="E251" s="622">
        <v>-244475.28</v>
      </c>
      <c r="F251" s="622">
        <v>-136481.51999999999</v>
      </c>
      <c r="G251" s="622">
        <v>-70069.759999999995</v>
      </c>
      <c r="H251" s="622">
        <v>-874916.54</v>
      </c>
      <c r="I251" s="622">
        <v>-29547.52</v>
      </c>
      <c r="J251" s="622">
        <v>-287002.90999999997</v>
      </c>
      <c r="K251" s="622">
        <v>-286014.33</v>
      </c>
      <c r="L251" s="622">
        <v>-1382695.11</v>
      </c>
      <c r="M251" s="622">
        <v>-664042.92000000004</v>
      </c>
      <c r="N251" s="622">
        <v>-49987.93</v>
      </c>
      <c r="O251" s="622">
        <v>14.81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791790.67</v>
      </c>
      <c r="E252" s="618">
        <v>30614.54</v>
      </c>
      <c r="F252" s="618">
        <v>15664.41</v>
      </c>
      <c r="G252" s="620">
        <v>8427.0300000000007</v>
      </c>
      <c r="H252" s="618">
        <v>198488.51</v>
      </c>
      <c r="I252" s="618">
        <v>7139.75</v>
      </c>
      <c r="J252" s="618">
        <v>62630.13</v>
      </c>
      <c r="K252" s="618">
        <v>62193.599999999999</v>
      </c>
      <c r="L252" s="618">
        <v>307975.48</v>
      </c>
      <c r="M252" s="618">
        <v>87007.94</v>
      </c>
      <c r="N252" s="618">
        <v>11649.28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791790.67</v>
      </c>
      <c r="E253" s="624">
        <v>30614.54</v>
      </c>
      <c r="F253" s="624">
        <v>15664.41</v>
      </c>
      <c r="G253" s="624">
        <v>8427.0300000000007</v>
      </c>
      <c r="H253" s="624">
        <v>198488.51</v>
      </c>
      <c r="I253" s="624">
        <v>7139.75</v>
      </c>
      <c r="J253" s="624">
        <v>62630.13</v>
      </c>
      <c r="K253" s="624">
        <v>62193.599999999999</v>
      </c>
      <c r="L253" s="624">
        <v>307975.48</v>
      </c>
      <c r="M253" s="624">
        <v>87007.94</v>
      </c>
      <c r="N253" s="624">
        <v>11649.28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-3233428.34</v>
      </c>
      <c r="E254" s="628">
        <v>-213860.74</v>
      </c>
      <c r="F254" s="628">
        <v>-120817.11</v>
      </c>
      <c r="G254" s="628">
        <v>-61642.73</v>
      </c>
      <c r="H254" s="628">
        <v>-676428.03</v>
      </c>
      <c r="I254" s="628">
        <v>-22407.77</v>
      </c>
      <c r="J254" s="628">
        <v>-224372.78</v>
      </c>
      <c r="K254" s="628">
        <v>-223820.73</v>
      </c>
      <c r="L254" s="628">
        <v>-1074719.6299999999</v>
      </c>
      <c r="M254" s="628">
        <v>-577034.98</v>
      </c>
      <c r="N254" s="628">
        <v>-38338.65</v>
      </c>
      <c r="O254" s="628">
        <v>14.81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-33738104.229999997</v>
      </c>
      <c r="E255" s="630">
        <v>-3233980.29</v>
      </c>
      <c r="F255" s="630">
        <v>-1630433.72</v>
      </c>
      <c r="G255" s="630">
        <v>-759694.12</v>
      </c>
      <c r="H255" s="630">
        <v>-5929759.3300000001</v>
      </c>
      <c r="I255" s="630">
        <v>-216132.71</v>
      </c>
      <c r="J255" s="630">
        <v>-1906702.64</v>
      </c>
      <c r="K255" s="630">
        <v>-2007529.35</v>
      </c>
      <c r="L255" s="630">
        <v>-9138926.7100000009</v>
      </c>
      <c r="M255" s="630">
        <v>-8560507.6500000004</v>
      </c>
      <c r="N255" s="630">
        <v>-354436.12</v>
      </c>
      <c r="O255" s="630">
        <v>-1.3</v>
      </c>
      <c r="P255" s="631">
        <v>0</v>
      </c>
      <c r="Q255" s="631">
        <v>0</v>
      </c>
      <c r="R255" s="631">
        <v>-0.28999999999999998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-33738104.229999997</v>
      </c>
      <c r="E332" s="766">
        <f>E251+E245+E239</f>
        <v>-3280830.15</v>
      </c>
      <c r="F332" s="766">
        <f t="shared" ref="F332:R332" si="11">F251+F245+F239</f>
        <v>-1653570.31</v>
      </c>
      <c r="G332" s="766">
        <f t="shared" si="11"/>
        <v>-772414.51</v>
      </c>
      <c r="H332" s="766">
        <f t="shared" si="11"/>
        <v>-6809335.5</v>
      </c>
      <c r="I332" s="766">
        <f t="shared" si="11"/>
        <v>-246830.89</v>
      </c>
      <c r="J332" s="766">
        <f t="shared" si="11"/>
        <v>-2175989.73</v>
      </c>
      <c r="K332" s="766">
        <f t="shared" si="11"/>
        <v>-2281434.71</v>
      </c>
      <c r="L332" s="766">
        <f t="shared" si="11"/>
        <v>-10508486.24</v>
      </c>
      <c r="M332" s="766">
        <f t="shared" si="11"/>
        <v>-8690898.2599999998</v>
      </c>
      <c r="N332" s="766">
        <f t="shared" si="11"/>
        <v>-404523.79</v>
      </c>
      <c r="O332" s="766">
        <f t="shared" si="11"/>
        <v>-1.2999999999999972</v>
      </c>
      <c r="P332" s="766">
        <f t="shared" si="11"/>
        <v>0</v>
      </c>
      <c r="Q332" s="766">
        <f t="shared" si="11"/>
        <v>0</v>
      </c>
      <c r="R332" s="766">
        <f t="shared" si="11"/>
        <v>-0.28999999999999998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3086211.4499999997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-736030</v>
      </c>
      <c r="E335" s="632">
        <f>E245</f>
        <v>-56621.87</v>
      </c>
      <c r="F335" s="632">
        <f t="shared" ref="F335:R335" si="12">F245</f>
        <v>-29964.27</v>
      </c>
      <c r="G335" s="632">
        <f t="shared" si="12"/>
        <v>-16688.439999999999</v>
      </c>
      <c r="H335" s="632">
        <f t="shared" si="12"/>
        <v>-192605.11</v>
      </c>
      <c r="I335" s="632">
        <f t="shared" si="12"/>
        <v>-5220.43</v>
      </c>
      <c r="J335" s="632">
        <f t="shared" si="12"/>
        <v>-44096.46</v>
      </c>
      <c r="K335" s="632">
        <f t="shared" si="12"/>
        <v>-55230.35</v>
      </c>
      <c r="L335" s="632">
        <f t="shared" si="12"/>
        <v>-296231.31</v>
      </c>
      <c r="M335" s="632">
        <f t="shared" si="12"/>
        <v>-151197.87</v>
      </c>
      <c r="N335" s="632">
        <f t="shared" si="12"/>
        <v>-8517.5499999999993</v>
      </c>
      <c r="O335" s="632">
        <f t="shared" si="12"/>
        <v>5.68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120337.98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-29768645.890000001</v>
      </c>
      <c r="E338" s="633">
        <f>E239</f>
        <v>-2979733</v>
      </c>
      <c r="F338" s="633">
        <f t="shared" ref="F338:R338" si="13">F239</f>
        <v>-1487124.52</v>
      </c>
      <c r="G338" s="633">
        <f t="shared" si="13"/>
        <v>-685656.31</v>
      </c>
      <c r="H338" s="633">
        <f t="shared" si="13"/>
        <v>-5741813.8499999996</v>
      </c>
      <c r="I338" s="633">
        <f t="shared" si="13"/>
        <v>-212062.94</v>
      </c>
      <c r="J338" s="633">
        <f t="shared" si="13"/>
        <v>-1844890.36</v>
      </c>
      <c r="K338" s="633">
        <f t="shared" si="13"/>
        <v>-1940190.03</v>
      </c>
      <c r="L338" s="633">
        <f t="shared" si="13"/>
        <v>-8829559.8200000003</v>
      </c>
      <c r="M338" s="633">
        <f t="shared" si="13"/>
        <v>-7875657.4699999997</v>
      </c>
      <c r="N338" s="633">
        <f t="shared" si="13"/>
        <v>-346018.31</v>
      </c>
      <c r="O338" s="633">
        <f t="shared" si="13"/>
        <v>-21.79</v>
      </c>
      <c r="P338" s="633">
        <f t="shared" si="13"/>
        <v>0</v>
      </c>
      <c r="Q338" s="633">
        <f t="shared" si="13"/>
        <v>0</v>
      </c>
      <c r="R338" s="633">
        <f t="shared" si="13"/>
        <v>-0.28999999999999998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2174082.7999999998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0" t="s">
        <v>325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0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-3233428.34</v>
      </c>
      <c r="E344" s="628">
        <f>E251</f>
        <v>-244475.28</v>
      </c>
      <c r="F344" s="628">
        <f t="shared" ref="F344:R344" si="14">F251</f>
        <v>-136481.51999999999</v>
      </c>
      <c r="G344" s="628">
        <f t="shared" si="14"/>
        <v>-70069.759999999995</v>
      </c>
      <c r="H344" s="628">
        <f t="shared" si="14"/>
        <v>-874916.54</v>
      </c>
      <c r="I344" s="628">
        <f t="shared" si="14"/>
        <v>-29547.52</v>
      </c>
      <c r="J344" s="628">
        <f t="shared" si="14"/>
        <v>-287002.90999999997</v>
      </c>
      <c r="K344" s="628">
        <f t="shared" si="14"/>
        <v>-286014.33</v>
      </c>
      <c r="L344" s="628">
        <f t="shared" si="14"/>
        <v>-1382695.11</v>
      </c>
      <c r="M344" s="628">
        <f t="shared" si="14"/>
        <v>-664042.92000000004</v>
      </c>
      <c r="N344" s="628">
        <f t="shared" si="14"/>
        <v>-49987.93</v>
      </c>
      <c r="O344" s="628">
        <f t="shared" si="14"/>
        <v>14.81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791790.67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3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3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-2459958.9900000002</v>
      </c>
      <c r="E352" s="618">
        <v>-131176.29999999999</v>
      </c>
      <c r="F352" s="618">
        <v>-73947.600000000006</v>
      </c>
      <c r="G352" s="618">
        <v>-38360.959999999999</v>
      </c>
      <c r="H352" s="618">
        <v>-516845.27</v>
      </c>
      <c r="I352" s="618">
        <v>-20608.349999999999</v>
      </c>
      <c r="J352" s="618">
        <v>-180773.73</v>
      </c>
      <c r="K352" s="618">
        <v>-177017.02</v>
      </c>
      <c r="L352" s="618">
        <v>-903639.16</v>
      </c>
      <c r="M352" s="618">
        <v>-383975.32</v>
      </c>
      <c r="N352" s="618">
        <v>-33624.080000000002</v>
      </c>
      <c r="O352" s="618">
        <v>8.8000000000000007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-1530.78</v>
      </c>
      <c r="E353" s="618">
        <v>-92.42</v>
      </c>
      <c r="F353" s="618">
        <v>-52.15</v>
      </c>
      <c r="G353" s="618">
        <v>-27.92</v>
      </c>
      <c r="H353" s="618">
        <v>-308.89999999999998</v>
      </c>
      <c r="I353" s="618">
        <v>-11.75</v>
      </c>
      <c r="J353" s="618">
        <v>-106.44</v>
      </c>
      <c r="K353" s="618">
        <v>-103.99</v>
      </c>
      <c r="L353" s="618">
        <v>-527.01</v>
      </c>
      <c r="M353" s="618">
        <v>-281.02999999999997</v>
      </c>
      <c r="N353" s="618">
        <v>-19.16</v>
      </c>
      <c r="O353" s="618">
        <v>-0.01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-2461489.77</v>
      </c>
      <c r="E354" s="622">
        <v>-131268.72</v>
      </c>
      <c r="F354" s="622">
        <v>-73999.75</v>
      </c>
      <c r="G354" s="622">
        <v>-38388.879999999997</v>
      </c>
      <c r="H354" s="622">
        <v>-517154.17</v>
      </c>
      <c r="I354" s="622">
        <v>-20620.099999999999</v>
      </c>
      <c r="J354" s="622">
        <v>-180880.17</v>
      </c>
      <c r="K354" s="622">
        <v>-177121.01</v>
      </c>
      <c r="L354" s="622">
        <v>-904166.17</v>
      </c>
      <c r="M354" s="622">
        <v>-384256.35</v>
      </c>
      <c r="N354" s="622">
        <v>-33643.24</v>
      </c>
      <c r="O354" s="622">
        <v>8.7899999999999991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395889.77</v>
      </c>
      <c r="E355" s="618">
        <v>21738.99</v>
      </c>
      <c r="F355" s="618">
        <v>12237.73</v>
      </c>
      <c r="G355" s="618">
        <v>6281.21</v>
      </c>
      <c r="H355" s="618">
        <v>77529.75</v>
      </c>
      <c r="I355" s="618">
        <v>3370.36</v>
      </c>
      <c r="J355" s="618">
        <v>29563.65</v>
      </c>
      <c r="K355" s="618">
        <v>28884.29</v>
      </c>
      <c r="L355" s="618">
        <v>147901.79</v>
      </c>
      <c r="M355" s="618">
        <v>62883.22</v>
      </c>
      <c r="N355" s="618">
        <v>5498.78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395889.77</v>
      </c>
      <c r="E356" s="624">
        <v>21738.99</v>
      </c>
      <c r="F356" s="624">
        <v>12237.73</v>
      </c>
      <c r="G356" s="624">
        <v>6281.21</v>
      </c>
      <c r="H356" s="624">
        <v>77529.75</v>
      </c>
      <c r="I356" s="624">
        <v>3370.36</v>
      </c>
      <c r="J356" s="624">
        <v>29563.65</v>
      </c>
      <c r="K356" s="624">
        <v>28884.29</v>
      </c>
      <c r="L356" s="624">
        <v>147901.79</v>
      </c>
      <c r="M356" s="624">
        <v>62883.22</v>
      </c>
      <c r="N356" s="624">
        <v>5498.78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-2065600</v>
      </c>
      <c r="E357" s="626">
        <v>-109529.73</v>
      </c>
      <c r="F357" s="626">
        <v>-61762.02</v>
      </c>
      <c r="G357" s="627">
        <v>-32107.67</v>
      </c>
      <c r="H357" s="626">
        <v>-439624.42</v>
      </c>
      <c r="I357" s="626">
        <v>-17249.740000000002</v>
      </c>
      <c r="J357" s="626">
        <v>-151316.51999999999</v>
      </c>
      <c r="K357" s="626">
        <v>-148236.72</v>
      </c>
      <c r="L357" s="626">
        <v>-756264.38</v>
      </c>
      <c r="M357" s="626">
        <v>-321373.13</v>
      </c>
      <c r="N357" s="626">
        <v>-28144.46</v>
      </c>
      <c r="O357" s="626">
        <v>8.7899999999999991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325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-1083123.76</v>
      </c>
      <c r="E364" s="618">
        <v>-72781.119999999995</v>
      </c>
      <c r="F364" s="618">
        <v>-39747.019999999997</v>
      </c>
      <c r="G364" s="620">
        <v>-20862.82</v>
      </c>
      <c r="H364" s="618">
        <v>-236215.25</v>
      </c>
      <c r="I364" s="618">
        <v>-6590.57</v>
      </c>
      <c r="J364" s="618">
        <v>-57811.55</v>
      </c>
      <c r="K364" s="618">
        <v>-68511.12</v>
      </c>
      <c r="L364" s="618">
        <v>-351743.19</v>
      </c>
      <c r="M364" s="618">
        <v>-218096.95</v>
      </c>
      <c r="N364" s="618">
        <v>-10752.99</v>
      </c>
      <c r="O364" s="618">
        <v>-11.18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-7940.15</v>
      </c>
      <c r="E365" s="618">
        <v>-601.51</v>
      </c>
      <c r="F365" s="618">
        <v>-315.89</v>
      </c>
      <c r="G365" s="620">
        <v>-174.4</v>
      </c>
      <c r="H365" s="618">
        <v>-1696</v>
      </c>
      <c r="I365" s="618">
        <v>-40.25</v>
      </c>
      <c r="J365" s="618">
        <v>-352.25</v>
      </c>
      <c r="K365" s="618">
        <v>-482.43</v>
      </c>
      <c r="L365" s="618">
        <v>-2396.34</v>
      </c>
      <c r="M365" s="618">
        <v>-1815.36</v>
      </c>
      <c r="N365" s="618">
        <v>-65.55</v>
      </c>
      <c r="O365" s="618">
        <v>-0.17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-1091063.9099999999</v>
      </c>
      <c r="E366" s="622">
        <v>-73382.63</v>
      </c>
      <c r="F366" s="622">
        <v>-40062.910000000003</v>
      </c>
      <c r="G366" s="622">
        <v>-21037.22</v>
      </c>
      <c r="H366" s="622">
        <v>-237911.25</v>
      </c>
      <c r="I366" s="622">
        <v>-6630.82</v>
      </c>
      <c r="J366" s="622">
        <v>-58163.8</v>
      </c>
      <c r="K366" s="622">
        <v>-68993.55</v>
      </c>
      <c r="L366" s="622">
        <v>-354139.53</v>
      </c>
      <c r="M366" s="622">
        <v>-219912.31</v>
      </c>
      <c r="N366" s="622">
        <v>-10818.54</v>
      </c>
      <c r="O366" s="622">
        <v>-11.35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64288.38</v>
      </c>
      <c r="E367" s="618">
        <v>-653.33000000000004</v>
      </c>
      <c r="F367" s="618">
        <v>-464.25</v>
      </c>
      <c r="G367" s="620">
        <v>-316.04000000000002</v>
      </c>
      <c r="H367" s="618">
        <v>19509.96</v>
      </c>
      <c r="I367" s="618">
        <v>788.95</v>
      </c>
      <c r="J367" s="618">
        <v>6920.78</v>
      </c>
      <c r="K367" s="618">
        <v>7226.71</v>
      </c>
      <c r="L367" s="618">
        <v>32486.74</v>
      </c>
      <c r="M367" s="618">
        <v>-2498.41</v>
      </c>
      <c r="N367" s="618">
        <v>1287.27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64288.38</v>
      </c>
      <c r="E368" s="624">
        <v>-653.33000000000004</v>
      </c>
      <c r="F368" s="624">
        <v>-464.25</v>
      </c>
      <c r="G368" s="624">
        <v>-316.04000000000002</v>
      </c>
      <c r="H368" s="624">
        <v>19509.96</v>
      </c>
      <c r="I368" s="624">
        <v>788.95</v>
      </c>
      <c r="J368" s="624">
        <v>6920.78</v>
      </c>
      <c r="K368" s="624">
        <v>7226.71</v>
      </c>
      <c r="L368" s="624">
        <v>32486.74</v>
      </c>
      <c r="M368" s="624">
        <v>-2498.41</v>
      </c>
      <c r="N368" s="624">
        <v>1287.27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-1026775.53</v>
      </c>
      <c r="E369" s="628">
        <v>-74035.960000000006</v>
      </c>
      <c r="F369" s="628">
        <v>-40527.160000000003</v>
      </c>
      <c r="G369" s="628">
        <v>-21353.26</v>
      </c>
      <c r="H369" s="628">
        <v>-218401.29</v>
      </c>
      <c r="I369" s="628">
        <v>-5841.87</v>
      </c>
      <c r="J369" s="628">
        <v>-51243.02</v>
      </c>
      <c r="K369" s="628">
        <v>-61766.84</v>
      </c>
      <c r="L369" s="628">
        <v>-321652.78999999998</v>
      </c>
      <c r="M369" s="628">
        <v>-222410.72</v>
      </c>
      <c r="N369" s="628">
        <v>-9531.27</v>
      </c>
      <c r="O369" s="628">
        <v>-11.35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-3092375.53</v>
      </c>
      <c r="E370" s="630">
        <v>-183565.69</v>
      </c>
      <c r="F370" s="630">
        <v>-102289.18</v>
      </c>
      <c r="G370" s="630">
        <v>-53460.93</v>
      </c>
      <c r="H370" s="630">
        <v>-658025.71</v>
      </c>
      <c r="I370" s="630">
        <v>-23091.61</v>
      </c>
      <c r="J370" s="630">
        <v>-202559.54</v>
      </c>
      <c r="K370" s="630">
        <v>-210003.56</v>
      </c>
      <c r="L370" s="630">
        <v>-1077917.17</v>
      </c>
      <c r="M370" s="630">
        <v>-543783.85</v>
      </c>
      <c r="N370" s="630">
        <v>-37675.730000000003</v>
      </c>
      <c r="O370" s="630">
        <v>-2.56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-3092375.53</v>
      </c>
      <c r="E373" s="766">
        <f>E354+E366</f>
        <v>-204651.35</v>
      </c>
      <c r="F373" s="766">
        <f t="shared" ref="F373:R373" si="15">F354+F366</f>
        <v>-114062.66</v>
      </c>
      <c r="G373" s="766">
        <f t="shared" si="15"/>
        <v>-59426.1</v>
      </c>
      <c r="H373" s="766">
        <f t="shared" si="15"/>
        <v>-755065.41999999993</v>
      </c>
      <c r="I373" s="766">
        <f t="shared" si="15"/>
        <v>-27250.92</v>
      </c>
      <c r="J373" s="766">
        <f t="shared" si="15"/>
        <v>-239043.97000000003</v>
      </c>
      <c r="K373" s="766">
        <f t="shared" si="15"/>
        <v>-246114.56</v>
      </c>
      <c r="L373" s="766">
        <f t="shared" si="15"/>
        <v>-1258305.7000000002</v>
      </c>
      <c r="M373" s="766">
        <f t="shared" si="15"/>
        <v>-604168.65999999992</v>
      </c>
      <c r="N373" s="766">
        <f t="shared" si="15"/>
        <v>-44461.78</v>
      </c>
      <c r="O373" s="766">
        <f t="shared" si="15"/>
        <v>-2.5600000000000005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460178.15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-2065600</v>
      </c>
      <c r="E379" s="633">
        <f>E354</f>
        <v>-131268.72</v>
      </c>
      <c r="F379" s="633">
        <f t="shared" ref="F379:R379" si="16">F354</f>
        <v>-73999.75</v>
      </c>
      <c r="G379" s="633">
        <f t="shared" si="16"/>
        <v>-38388.879999999997</v>
      </c>
      <c r="H379" s="633">
        <f t="shared" si="16"/>
        <v>-517154.17</v>
      </c>
      <c r="I379" s="633">
        <f t="shared" si="16"/>
        <v>-20620.099999999999</v>
      </c>
      <c r="J379" s="633">
        <f t="shared" si="16"/>
        <v>-180880.17</v>
      </c>
      <c r="K379" s="633">
        <f t="shared" si="16"/>
        <v>-177121.01</v>
      </c>
      <c r="L379" s="633">
        <f t="shared" si="16"/>
        <v>-904166.17</v>
      </c>
      <c r="M379" s="633">
        <f t="shared" si="16"/>
        <v>-384256.35</v>
      </c>
      <c r="N379" s="633">
        <f t="shared" si="16"/>
        <v>-33643.24</v>
      </c>
      <c r="O379" s="633">
        <f t="shared" si="16"/>
        <v>8.7899999999999991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395889.77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0" t="s">
        <v>325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0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-1026775.53</v>
      </c>
      <c r="E385" s="628">
        <f>E366</f>
        <v>-73382.63</v>
      </c>
      <c r="F385" s="628">
        <f t="shared" ref="F385:R385" si="18">F366</f>
        <v>-40062.910000000003</v>
      </c>
      <c r="G385" s="628">
        <f t="shared" si="18"/>
        <v>-21037.22</v>
      </c>
      <c r="H385" s="628">
        <f t="shared" si="18"/>
        <v>-237911.25</v>
      </c>
      <c r="I385" s="628">
        <f t="shared" si="18"/>
        <v>-6630.82</v>
      </c>
      <c r="J385" s="628">
        <f t="shared" si="18"/>
        <v>-58163.8</v>
      </c>
      <c r="K385" s="628">
        <f t="shared" si="18"/>
        <v>-68993.55</v>
      </c>
      <c r="L385" s="628">
        <f t="shared" si="18"/>
        <v>-354139.53</v>
      </c>
      <c r="M385" s="628">
        <f t="shared" si="18"/>
        <v>-219912.31</v>
      </c>
      <c r="N385" s="628">
        <f t="shared" si="18"/>
        <v>-10818.54</v>
      </c>
      <c r="O385" s="628">
        <f t="shared" si="18"/>
        <v>-11.35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64288.38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3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3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-156747931.65000001</v>
      </c>
      <c r="E393" s="616">
        <f t="shared" si="19"/>
        <v>-22568475.98</v>
      </c>
      <c r="F393" s="616">
        <f t="shared" si="19"/>
        <v>-10927711.75</v>
      </c>
      <c r="G393" s="616">
        <f t="shared" si="19"/>
        <v>-5814176.8499999996</v>
      </c>
      <c r="H393" s="616">
        <f t="shared" si="19"/>
        <v>-20545989.630000003</v>
      </c>
      <c r="I393" s="616">
        <f t="shared" si="19"/>
        <v>-747388.07000000007</v>
      </c>
      <c r="J393" s="616">
        <f t="shared" si="19"/>
        <v>-6605814.3799999999</v>
      </c>
      <c r="K393" s="616">
        <f t="shared" si="19"/>
        <v>-6607232.419999999</v>
      </c>
      <c r="L393" s="616">
        <f t="shared" si="19"/>
        <v>-30776419.849999998</v>
      </c>
      <c r="M393" s="616">
        <f t="shared" si="19"/>
        <v>-49285206.960000001</v>
      </c>
      <c r="N393" s="616">
        <f t="shared" si="19"/>
        <v>-1224099.24</v>
      </c>
      <c r="O393" s="616">
        <f t="shared" si="19"/>
        <v>-3.3999999999999897</v>
      </c>
      <c r="P393" s="616">
        <f t="shared" si="19"/>
        <v>0</v>
      </c>
      <c r="Q393" s="616">
        <f t="shared" si="19"/>
        <v>0</v>
      </c>
      <c r="R393" s="616">
        <f t="shared" si="19"/>
        <v>-0.28999999999999998</v>
      </c>
    </row>
    <row r="394" spans="1:18" x14ac:dyDescent="0.25">
      <c r="D394" s="616">
        <f>D80+D181+D218+D333+D374</f>
        <v>-1645412.83</v>
      </c>
    </row>
  </sheetData>
  <mergeCells count="60"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  <mergeCell ref="A338:A339"/>
    <mergeCell ref="B338:B339"/>
    <mergeCell ref="A344:A345"/>
    <mergeCell ref="B344:B345"/>
    <mergeCell ref="A341:A342"/>
    <mergeCell ref="B341:B342"/>
    <mergeCell ref="A232:A233"/>
    <mergeCell ref="B232:B233"/>
    <mergeCell ref="A332:A333"/>
    <mergeCell ref="B332:B333"/>
    <mergeCell ref="A335:A336"/>
    <mergeCell ref="B335:B336"/>
    <mergeCell ref="A220:A221"/>
    <mergeCell ref="B220:B221"/>
    <mergeCell ref="A223:A224"/>
    <mergeCell ref="B223:B224"/>
    <mergeCell ref="A229:A230"/>
    <mergeCell ref="B229:B230"/>
    <mergeCell ref="A192:A193"/>
    <mergeCell ref="B192:B193"/>
    <mergeCell ref="A195:A196"/>
    <mergeCell ref="B195:B196"/>
    <mergeCell ref="A217:A218"/>
    <mergeCell ref="B217:B218"/>
    <mergeCell ref="A79:A80"/>
    <mergeCell ref="B79:B80"/>
    <mergeCell ref="A82:A83"/>
    <mergeCell ref="B82:B83"/>
    <mergeCell ref="A85:A86"/>
    <mergeCell ref="B85:B86"/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796773.47</v>
      </c>
      <c r="D3" s="90">
        <v>65524.22</v>
      </c>
      <c r="E3" s="90">
        <v>36995.019999999997</v>
      </c>
      <c r="F3" s="90">
        <v>19417.650000000001</v>
      </c>
      <c r="G3" s="90">
        <v>156624.35</v>
      </c>
      <c r="H3" s="90">
        <v>5557.5</v>
      </c>
      <c r="I3" s="90">
        <v>0</v>
      </c>
      <c r="J3" s="90">
        <v>52109.79</v>
      </c>
      <c r="K3" s="90">
        <v>47607.03</v>
      </c>
      <c r="L3" s="90">
        <v>225441.17</v>
      </c>
      <c r="M3" s="90">
        <v>178429.31</v>
      </c>
      <c r="N3" s="90">
        <v>9067.43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796773.47</v>
      </c>
      <c r="D5" s="377">
        <v>65524.22</v>
      </c>
      <c r="E5" s="377">
        <v>36995.019999999997</v>
      </c>
      <c r="F5" s="377">
        <v>19417.650000000001</v>
      </c>
      <c r="G5" s="377">
        <v>156624.35</v>
      </c>
      <c r="H5" s="377">
        <v>5557.5</v>
      </c>
      <c r="I5" s="377">
        <v>0</v>
      </c>
      <c r="J5" s="377">
        <v>52109.79</v>
      </c>
      <c r="K5" s="377">
        <v>47607.03</v>
      </c>
      <c r="L5" s="377">
        <v>225441.17</v>
      </c>
      <c r="M5" s="377">
        <v>178429.31</v>
      </c>
      <c r="N5" s="377">
        <v>9067.43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176919.99</v>
      </c>
      <c r="D6" s="90">
        <v>32442.78</v>
      </c>
      <c r="E6" s="90">
        <v>18317.240000000002</v>
      </c>
      <c r="F6" s="90">
        <v>9614.2099999999991</v>
      </c>
      <c r="G6" s="90">
        <v>9543.57</v>
      </c>
      <c r="H6" s="90">
        <v>280.5</v>
      </c>
      <c r="I6" s="90">
        <v>0</v>
      </c>
      <c r="J6" s="90">
        <v>1116.45</v>
      </c>
      <c r="K6" s="90">
        <v>2883.45</v>
      </c>
      <c r="L6" s="90">
        <v>13655.06</v>
      </c>
      <c r="M6" s="90">
        <v>88609.08</v>
      </c>
      <c r="N6" s="90">
        <v>457.65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176919.99</v>
      </c>
      <c r="D7" s="374">
        <v>32442.78</v>
      </c>
      <c r="E7" s="374">
        <v>18317.240000000002</v>
      </c>
      <c r="F7" s="374">
        <v>9614.2099999999991</v>
      </c>
      <c r="G7" s="374">
        <v>9543.57</v>
      </c>
      <c r="H7" s="374">
        <v>280.5</v>
      </c>
      <c r="I7" s="374">
        <v>0</v>
      </c>
      <c r="J7" s="374">
        <v>1116.45</v>
      </c>
      <c r="K7" s="374">
        <v>2883.45</v>
      </c>
      <c r="L7" s="374">
        <v>13655.06</v>
      </c>
      <c r="M7" s="374">
        <v>88609.08</v>
      </c>
      <c r="N7" s="374">
        <v>457.65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973693.46</v>
      </c>
      <c r="D8" s="90">
        <v>97967</v>
      </c>
      <c r="E8" s="90">
        <v>55312.26</v>
      </c>
      <c r="F8" s="90">
        <v>29031.86</v>
      </c>
      <c r="G8" s="90">
        <v>166167.92000000001</v>
      </c>
      <c r="H8" s="90">
        <v>5838</v>
      </c>
      <c r="I8" s="90">
        <v>0</v>
      </c>
      <c r="J8" s="90">
        <v>53226.239999999998</v>
      </c>
      <c r="K8" s="90">
        <v>50490.48</v>
      </c>
      <c r="L8" s="90">
        <v>239096.23</v>
      </c>
      <c r="M8" s="90">
        <v>267038.39</v>
      </c>
      <c r="N8" s="90">
        <v>9525.08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973693.46</v>
      </c>
      <c r="D10" s="99">
        <f>D5</f>
        <v>65524.22</v>
      </c>
      <c r="E10" s="99">
        <f t="shared" ref="E10:P10" si="0">E5</f>
        <v>36995.019999999997</v>
      </c>
      <c r="F10" s="99">
        <f t="shared" si="0"/>
        <v>19417.650000000001</v>
      </c>
      <c r="G10" s="99">
        <f t="shared" si="0"/>
        <v>156624.35</v>
      </c>
      <c r="H10" s="99">
        <f t="shared" si="0"/>
        <v>5557.5</v>
      </c>
      <c r="I10" s="99">
        <f t="shared" si="0"/>
        <v>0</v>
      </c>
      <c r="J10" s="99">
        <f t="shared" si="0"/>
        <v>52109.79</v>
      </c>
      <c r="K10" s="99">
        <f t="shared" si="0"/>
        <v>47607.03</v>
      </c>
      <c r="L10" s="99">
        <f t="shared" si="0"/>
        <v>225441.17</v>
      </c>
      <c r="M10" s="99">
        <f t="shared" si="0"/>
        <v>178429.31</v>
      </c>
      <c r="N10" s="99">
        <f t="shared" si="0"/>
        <v>9067.43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176919.99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448371.28</v>
      </c>
      <c r="D16" s="89">
        <v>31889</v>
      </c>
      <c r="E16" s="89">
        <v>18568.04</v>
      </c>
      <c r="F16" s="384">
        <v>8864.59</v>
      </c>
      <c r="G16" s="89">
        <v>92916.35</v>
      </c>
      <c r="H16" s="89">
        <v>3882.28</v>
      </c>
      <c r="I16" s="89">
        <v>0</v>
      </c>
      <c r="J16" s="89">
        <v>61344.03</v>
      </c>
      <c r="K16" s="89">
        <v>33520.25</v>
      </c>
      <c r="L16" s="89">
        <v>127751.61</v>
      </c>
      <c r="M16" s="89">
        <v>64498.2</v>
      </c>
      <c r="N16" s="89">
        <v>5137.3</v>
      </c>
      <c r="O16" s="89">
        <v>-0.37</v>
      </c>
    </row>
    <row r="17" spans="1:16" ht="12.75" customHeight="1" x14ac:dyDescent="0.25">
      <c r="B17" t="s">
        <v>81</v>
      </c>
      <c r="C17" s="89">
        <v>172.61</v>
      </c>
      <c r="D17" s="89">
        <v>8.6199999999999992</v>
      </c>
      <c r="E17" s="89">
        <v>4.87</v>
      </c>
      <c r="F17" s="384">
        <v>2.5499999999999998</v>
      </c>
      <c r="G17" s="89">
        <v>43.14</v>
      </c>
      <c r="H17" s="89">
        <v>1.6</v>
      </c>
      <c r="I17" s="89">
        <v>0</v>
      </c>
      <c r="J17" s="89">
        <v>14.06</v>
      </c>
      <c r="K17" s="89">
        <v>13.76</v>
      </c>
      <c r="L17" s="89">
        <v>64.260000000000005</v>
      </c>
      <c r="M17" s="89">
        <v>17.12</v>
      </c>
      <c r="N17" s="89">
        <v>2.62</v>
      </c>
      <c r="O17" s="89">
        <v>0.01</v>
      </c>
    </row>
    <row r="18" spans="1:16" ht="12.75" customHeight="1" x14ac:dyDescent="0.25">
      <c r="A18" s="376" t="s">
        <v>78</v>
      </c>
      <c r="B18" s="376" t="s">
        <v>70</v>
      </c>
      <c r="C18" s="377">
        <v>448543.89</v>
      </c>
      <c r="D18" s="377">
        <v>31897.62</v>
      </c>
      <c r="E18" s="377">
        <v>18572.91</v>
      </c>
      <c r="F18" s="377">
        <v>8867.14</v>
      </c>
      <c r="G18" s="377">
        <v>92959.49</v>
      </c>
      <c r="H18" s="377">
        <v>3883.88</v>
      </c>
      <c r="I18" s="377">
        <v>0</v>
      </c>
      <c r="J18" s="377">
        <v>61358.09</v>
      </c>
      <c r="K18" s="377">
        <v>33534.01</v>
      </c>
      <c r="L18" s="377">
        <v>127815.87</v>
      </c>
      <c r="M18" s="377">
        <v>64515.32</v>
      </c>
      <c r="N18" s="377">
        <v>5139.92</v>
      </c>
      <c r="O18" s="377">
        <v>-0.36</v>
      </c>
      <c r="P18" s="378"/>
    </row>
    <row r="19" spans="1:16" ht="12.75" customHeight="1" x14ac:dyDescent="0.25">
      <c r="B19" s="89" t="s">
        <v>73</v>
      </c>
      <c r="C19" s="90">
        <v>-232518.12</v>
      </c>
      <c r="D19" s="90">
        <v>-15692.52</v>
      </c>
      <c r="E19" s="90">
        <v>-8860.02</v>
      </c>
      <c r="F19" s="90">
        <v>-4649.05</v>
      </c>
      <c r="G19" s="90">
        <v>-48588.46</v>
      </c>
      <c r="H19" s="90">
        <v>-1735.35</v>
      </c>
      <c r="I19" s="90">
        <v>0</v>
      </c>
      <c r="J19" s="90">
        <v>-35751.35</v>
      </c>
      <c r="K19" s="90">
        <v>-14884.94</v>
      </c>
      <c r="L19" s="90">
        <v>-70344.960000000006</v>
      </c>
      <c r="M19" s="90">
        <v>-29180.14</v>
      </c>
      <c r="N19" s="90">
        <v>-2831.33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-232518.12</v>
      </c>
      <c r="D20" s="374">
        <v>-15692.52</v>
      </c>
      <c r="E20" s="374">
        <v>-8860.02</v>
      </c>
      <c r="F20" s="374">
        <v>-4649.05</v>
      </c>
      <c r="G20" s="374">
        <v>-48588.46</v>
      </c>
      <c r="H20" s="374">
        <v>-1735.35</v>
      </c>
      <c r="I20" s="374">
        <v>0</v>
      </c>
      <c r="J20" s="374">
        <v>-35751.35</v>
      </c>
      <c r="K20" s="374">
        <v>-14884.94</v>
      </c>
      <c r="L20" s="374">
        <v>-70344.960000000006</v>
      </c>
      <c r="M20" s="374">
        <v>-29180.14</v>
      </c>
      <c r="N20" s="374">
        <v>-2831.33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216025.77</v>
      </c>
      <c r="D21" s="90">
        <v>16205.1</v>
      </c>
      <c r="E21" s="90">
        <v>9712.89</v>
      </c>
      <c r="F21" s="90">
        <v>4218.09</v>
      </c>
      <c r="G21" s="90">
        <v>44371.03</v>
      </c>
      <c r="H21" s="90">
        <v>2148.5300000000002</v>
      </c>
      <c r="I21" s="90">
        <v>0</v>
      </c>
      <c r="J21" s="90">
        <v>25606.74</v>
      </c>
      <c r="K21" s="90">
        <v>18649.07</v>
      </c>
      <c r="L21" s="90">
        <v>57470.91</v>
      </c>
      <c r="M21" s="90">
        <v>35335.18</v>
      </c>
      <c r="N21" s="90">
        <v>2308.59</v>
      </c>
      <c r="O21" s="90">
        <v>-0.36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216025.77</v>
      </c>
      <c r="D23" s="99">
        <f>D18</f>
        <v>31897.62</v>
      </c>
      <c r="E23" s="99">
        <f t="shared" ref="E23:P23" si="1">E18</f>
        <v>18572.91</v>
      </c>
      <c r="F23" s="99">
        <f t="shared" si="1"/>
        <v>8867.14</v>
      </c>
      <c r="G23" s="99">
        <f t="shared" si="1"/>
        <v>92959.49</v>
      </c>
      <c r="H23" s="99">
        <f t="shared" si="1"/>
        <v>3883.88</v>
      </c>
      <c r="I23" s="99">
        <f t="shared" si="1"/>
        <v>0</v>
      </c>
      <c r="J23" s="99">
        <f t="shared" si="1"/>
        <v>61358.09</v>
      </c>
      <c r="K23" s="99">
        <f t="shared" si="1"/>
        <v>33534.01</v>
      </c>
      <c r="L23" s="99">
        <f t="shared" si="1"/>
        <v>127815.87</v>
      </c>
      <c r="M23" s="99">
        <f t="shared" si="1"/>
        <v>64515.32</v>
      </c>
      <c r="N23" s="99">
        <f t="shared" si="1"/>
        <v>5139.92</v>
      </c>
      <c r="O23" s="99">
        <f>O18</f>
        <v>-0.36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-232518.12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93864.95</v>
      </c>
      <c r="D29" s="90">
        <v>6620.63</v>
      </c>
      <c r="E29" s="90">
        <v>3738.02</v>
      </c>
      <c r="F29" s="90">
        <v>1961.98</v>
      </c>
      <c r="G29" s="90">
        <v>20927.5</v>
      </c>
      <c r="H29" s="90">
        <v>743.08</v>
      </c>
      <c r="I29" s="90">
        <v>0</v>
      </c>
      <c r="J29" s="90">
        <v>6518.28</v>
      </c>
      <c r="K29" s="90">
        <v>6410.86</v>
      </c>
      <c r="L29" s="90">
        <v>30349.1</v>
      </c>
      <c r="M29" s="90">
        <v>15383.1</v>
      </c>
      <c r="N29" s="90">
        <v>1212.4000000000001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93864.95</v>
      </c>
      <c r="D31" s="377">
        <v>6620.63</v>
      </c>
      <c r="E31" s="377">
        <v>3738.02</v>
      </c>
      <c r="F31" s="377">
        <v>1961.98</v>
      </c>
      <c r="G31" s="377">
        <v>20927.5</v>
      </c>
      <c r="H31" s="377">
        <v>743.08</v>
      </c>
      <c r="I31" s="377">
        <v>0</v>
      </c>
      <c r="J31" s="377">
        <v>6518.28</v>
      </c>
      <c r="K31" s="377">
        <v>6410.86</v>
      </c>
      <c r="L31" s="377">
        <v>30349.1</v>
      </c>
      <c r="M31" s="377">
        <v>15383.1</v>
      </c>
      <c r="N31" s="377">
        <v>1212.4000000000001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10366.879999999999</v>
      </c>
      <c r="D32" s="90">
        <v>1686.92</v>
      </c>
      <c r="E32" s="90">
        <v>952.43</v>
      </c>
      <c r="F32" s="90">
        <v>499.9</v>
      </c>
      <c r="G32" s="90">
        <v>1046.3800000000001</v>
      </c>
      <c r="H32" s="90">
        <v>37.15</v>
      </c>
      <c r="I32" s="90">
        <v>0</v>
      </c>
      <c r="J32" s="90">
        <v>325.91000000000003</v>
      </c>
      <c r="K32" s="90">
        <v>320.55</v>
      </c>
      <c r="L32" s="90">
        <v>1517.46</v>
      </c>
      <c r="M32" s="90">
        <v>3919.56</v>
      </c>
      <c r="N32" s="90">
        <v>60.62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10366.879999999999</v>
      </c>
      <c r="D33" s="374">
        <v>1686.92</v>
      </c>
      <c r="E33" s="374">
        <v>952.43</v>
      </c>
      <c r="F33" s="374">
        <v>499.9</v>
      </c>
      <c r="G33" s="374">
        <v>1046.3800000000001</v>
      </c>
      <c r="H33" s="374">
        <v>37.15</v>
      </c>
      <c r="I33" s="374">
        <v>0</v>
      </c>
      <c r="J33" s="374">
        <v>325.91000000000003</v>
      </c>
      <c r="K33" s="374">
        <v>320.55</v>
      </c>
      <c r="L33" s="374">
        <v>1517.46</v>
      </c>
      <c r="M33" s="374">
        <v>3919.56</v>
      </c>
      <c r="N33" s="374">
        <v>60.62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104231.83</v>
      </c>
      <c r="D34" s="90">
        <v>8307.5499999999993</v>
      </c>
      <c r="E34" s="90">
        <v>4690.45</v>
      </c>
      <c r="F34" s="90">
        <v>2461.88</v>
      </c>
      <c r="G34" s="90">
        <v>21973.88</v>
      </c>
      <c r="H34" s="90">
        <v>780.23</v>
      </c>
      <c r="I34" s="90">
        <v>0</v>
      </c>
      <c r="J34" s="90">
        <v>6844.19</v>
      </c>
      <c r="K34" s="90">
        <v>6731.41</v>
      </c>
      <c r="L34" s="90">
        <v>31866.560000000001</v>
      </c>
      <c r="M34" s="90">
        <v>19302.66</v>
      </c>
      <c r="N34" s="90">
        <v>1273.02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104231.83</v>
      </c>
      <c r="D36" s="99">
        <f>D31</f>
        <v>6620.63</v>
      </c>
      <c r="E36" s="99">
        <f t="shared" ref="E36:P36" si="2">E31</f>
        <v>3738.02</v>
      </c>
      <c r="F36" s="99">
        <f t="shared" si="2"/>
        <v>1961.98</v>
      </c>
      <c r="G36" s="99">
        <f t="shared" si="2"/>
        <v>20927.5</v>
      </c>
      <c r="H36" s="99">
        <f t="shared" si="2"/>
        <v>743.08</v>
      </c>
      <c r="I36" s="99">
        <f t="shared" si="2"/>
        <v>0</v>
      </c>
      <c r="J36" s="99">
        <f t="shared" si="2"/>
        <v>6518.28</v>
      </c>
      <c r="K36" s="99">
        <f t="shared" si="2"/>
        <v>6410.86</v>
      </c>
      <c r="L36" s="99">
        <f t="shared" si="2"/>
        <v>30349.1</v>
      </c>
      <c r="M36" s="99">
        <f t="shared" si="2"/>
        <v>15383.1</v>
      </c>
      <c r="N36" s="99">
        <f t="shared" si="2"/>
        <v>1212.4000000000001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10366.879999999999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43025.120000000003</v>
      </c>
      <c r="D42" s="89">
        <v>1890.6</v>
      </c>
      <c r="E42" s="89">
        <v>1067.43</v>
      </c>
      <c r="F42" s="384">
        <v>560.27</v>
      </c>
      <c r="G42" s="89">
        <v>10800.02</v>
      </c>
      <c r="H42" s="89">
        <v>371.66</v>
      </c>
      <c r="I42" s="89">
        <v>0</v>
      </c>
      <c r="J42" s="89">
        <v>3260.18</v>
      </c>
      <c r="K42" s="89">
        <v>3149.08</v>
      </c>
      <c r="L42" s="89">
        <v>16313.73</v>
      </c>
      <c r="M42" s="89">
        <v>5005.76</v>
      </c>
      <c r="N42" s="89">
        <v>606.39</v>
      </c>
      <c r="O42" s="89">
        <v>0</v>
      </c>
    </row>
    <row r="43" spans="1:16" ht="12.75" customHeight="1" x14ac:dyDescent="0.25">
      <c r="B43" s="89" t="s">
        <v>81</v>
      </c>
      <c r="C43" s="90">
        <v>-616.91999999999996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-616.91999999999996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42408.2</v>
      </c>
      <c r="D44" s="377">
        <v>1890.6</v>
      </c>
      <c r="E44" s="377">
        <v>1067.43</v>
      </c>
      <c r="F44" s="377">
        <v>560.27</v>
      </c>
      <c r="G44" s="377">
        <v>10800.02</v>
      </c>
      <c r="H44" s="377">
        <v>371.66</v>
      </c>
      <c r="I44" s="377">
        <v>0</v>
      </c>
      <c r="J44" s="377">
        <v>3260.18</v>
      </c>
      <c r="K44" s="377">
        <v>3149.08</v>
      </c>
      <c r="L44" s="377">
        <v>15696.81</v>
      </c>
      <c r="M44" s="377">
        <v>5005.76</v>
      </c>
      <c r="N44" s="377">
        <v>606.39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-6453.76</v>
      </c>
      <c r="D45" s="90">
        <v>-283.58999999999997</v>
      </c>
      <c r="E45" s="90">
        <v>-160.11000000000001</v>
      </c>
      <c r="F45" s="90">
        <v>-84.04</v>
      </c>
      <c r="G45" s="90">
        <v>-1620</v>
      </c>
      <c r="H45" s="90">
        <v>-55.75</v>
      </c>
      <c r="I45" s="90">
        <v>0</v>
      </c>
      <c r="J45" s="90">
        <v>-489.03</v>
      </c>
      <c r="K45" s="90">
        <v>-472.36</v>
      </c>
      <c r="L45" s="90">
        <v>-2447.06</v>
      </c>
      <c r="M45" s="90">
        <v>-750.86</v>
      </c>
      <c r="N45" s="90">
        <v>-90.96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-6453.76</v>
      </c>
      <c r="D46" s="374">
        <v>-283.58999999999997</v>
      </c>
      <c r="E46" s="374">
        <v>-160.11000000000001</v>
      </c>
      <c r="F46" s="374">
        <v>-84.04</v>
      </c>
      <c r="G46" s="374">
        <v>-1620</v>
      </c>
      <c r="H46" s="374">
        <v>-55.75</v>
      </c>
      <c r="I46" s="374">
        <v>0</v>
      </c>
      <c r="J46" s="374">
        <v>-489.03</v>
      </c>
      <c r="K46" s="374">
        <v>-472.36</v>
      </c>
      <c r="L46" s="374">
        <v>-2447.06</v>
      </c>
      <c r="M46" s="374">
        <v>-750.86</v>
      </c>
      <c r="N46" s="374">
        <v>-90.96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35954.44</v>
      </c>
      <c r="D47" s="90">
        <v>1607.01</v>
      </c>
      <c r="E47" s="90">
        <v>907.32</v>
      </c>
      <c r="F47" s="90">
        <v>476.23</v>
      </c>
      <c r="G47" s="90">
        <v>9180.02</v>
      </c>
      <c r="H47" s="90">
        <v>315.91000000000003</v>
      </c>
      <c r="I47" s="90">
        <v>0</v>
      </c>
      <c r="J47" s="90">
        <v>2771.15</v>
      </c>
      <c r="K47" s="90">
        <v>2676.72</v>
      </c>
      <c r="L47" s="90">
        <v>13249.75</v>
      </c>
      <c r="M47" s="90">
        <v>4254.8999999999996</v>
      </c>
      <c r="N47" s="90">
        <v>515.42999999999995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35954.44</v>
      </c>
      <c r="D49" s="99">
        <f>D44</f>
        <v>1890.6</v>
      </c>
      <c r="E49" s="99">
        <f t="shared" ref="E49:P49" si="3">E44</f>
        <v>1067.43</v>
      </c>
      <c r="F49" s="99">
        <f t="shared" si="3"/>
        <v>560.27</v>
      </c>
      <c r="G49" s="99">
        <f t="shared" si="3"/>
        <v>10800.02</v>
      </c>
      <c r="H49" s="99">
        <f t="shared" si="3"/>
        <v>371.66</v>
      </c>
      <c r="I49" s="99">
        <f t="shared" si="3"/>
        <v>0</v>
      </c>
      <c r="J49" s="99">
        <f t="shared" si="3"/>
        <v>3260.18</v>
      </c>
      <c r="K49" s="99">
        <f t="shared" si="3"/>
        <v>3149.08</v>
      </c>
      <c r="L49" s="99">
        <f t="shared" si="3"/>
        <v>15696.81</v>
      </c>
      <c r="M49" s="99">
        <f t="shared" si="3"/>
        <v>5005.76</v>
      </c>
      <c r="N49" s="99">
        <f t="shared" si="3"/>
        <v>606.39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-6453.76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2026072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H7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973693.46</v>
      </c>
      <c r="E9" s="66">
        <f>'SALDOS POR NOTA'!D10</f>
        <v>65524.22</v>
      </c>
      <c r="F9" s="66">
        <f>'SALDOS POR NOTA'!E10</f>
        <v>36995.019999999997</v>
      </c>
      <c r="G9" s="66">
        <f>'SALDOS POR NOTA'!F10</f>
        <v>19417.650000000001</v>
      </c>
      <c r="H9" s="66">
        <f>'SALDOS POR NOTA'!G10</f>
        <v>156624.35</v>
      </c>
      <c r="I9" s="66">
        <f>'SALDOS POR NOTA'!H10</f>
        <v>5557.5</v>
      </c>
      <c r="J9" s="66">
        <v>0</v>
      </c>
      <c r="K9" s="30">
        <f>D9-E9-F9-G9-H9-I9-J9</f>
        <v>689574.72</v>
      </c>
      <c r="L9" s="37">
        <v>0</v>
      </c>
      <c r="M9" s="30">
        <f>K9-L9</f>
        <v>689574.72</v>
      </c>
      <c r="N9" s="37">
        <f>'SALDOS POR NOTA'!I10</f>
        <v>0</v>
      </c>
      <c r="O9" s="30">
        <f>M9+N9</f>
        <v>689574.72</v>
      </c>
      <c r="Q9" s="4"/>
      <c r="S9" s="14">
        <v>1</v>
      </c>
      <c r="T9" s="61" t="s">
        <v>10</v>
      </c>
      <c r="U9" s="66">
        <f>'SALDOS POR NOTA'!J10</f>
        <v>52109.79</v>
      </c>
      <c r="V9" s="66">
        <f>'SALDOS POR NOTA'!K10</f>
        <v>47607.03</v>
      </c>
      <c r="W9" s="66">
        <f>'SALDOS POR NOTA'!L10</f>
        <v>225441.17</v>
      </c>
      <c r="X9" s="66">
        <f>'SALDOS POR NOTA'!M10</f>
        <v>178429.31</v>
      </c>
      <c r="Y9" s="66">
        <f>'SALDOS POR NOTA'!N10</f>
        <v>9067.43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176919.99</v>
      </c>
      <c r="AD9" s="66">
        <f>'SALDOS POR NOTA'!C11</f>
        <v>176919.99</v>
      </c>
      <c r="AE9" s="115">
        <f>SUM(U9:AC9)</f>
        <v>689574.72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216025.77</v>
      </c>
      <c r="E10" s="66">
        <f>'SALDOS POR NOTA'!D23</f>
        <v>31897.62</v>
      </c>
      <c r="F10" s="66">
        <f>'SALDOS POR NOTA'!E23</f>
        <v>18572.91</v>
      </c>
      <c r="G10" s="66">
        <f>'SALDOS POR NOTA'!F23</f>
        <v>8867.14</v>
      </c>
      <c r="H10" s="66">
        <f>'SALDOS POR NOTA'!G23</f>
        <v>92959.49</v>
      </c>
      <c r="I10" s="66">
        <f>'SALDOS POR NOTA'!H23</f>
        <v>3883.88</v>
      </c>
      <c r="J10" s="66">
        <v>0</v>
      </c>
      <c r="K10" s="31">
        <f t="shared" ref="K10:K13" si="0">D10-E10-F10-G10-H10-I10-J10</f>
        <v>59844.729999999974</v>
      </c>
      <c r="L10" s="38">
        <v>0</v>
      </c>
      <c r="M10" s="31">
        <f>K10-L10</f>
        <v>59844.729999999974</v>
      </c>
      <c r="N10" s="37">
        <f>'SALDOS POR NOTA'!I23</f>
        <v>0</v>
      </c>
      <c r="O10" s="31">
        <f t="shared" ref="O10:O12" si="1">M10+N10</f>
        <v>59844.729999999974</v>
      </c>
      <c r="Q10" s="4"/>
      <c r="S10" s="16">
        <v>2</v>
      </c>
      <c r="T10" s="62" t="s">
        <v>11</v>
      </c>
      <c r="U10" s="66">
        <f>'SALDOS POR NOTA'!J23</f>
        <v>61358.09</v>
      </c>
      <c r="V10" s="66">
        <f>'SALDOS POR NOTA'!K23</f>
        <v>33534.01</v>
      </c>
      <c r="W10" s="66">
        <f>'SALDOS POR NOTA'!L23</f>
        <v>127815.87</v>
      </c>
      <c r="X10" s="66">
        <f>'SALDOS POR NOTA'!M23</f>
        <v>64515.32</v>
      </c>
      <c r="Y10" s="66">
        <f>'SALDOS POR NOTA'!N23</f>
        <v>5139.92</v>
      </c>
      <c r="Z10" s="38">
        <f>L10*-1</f>
        <v>0</v>
      </c>
      <c r="AA10" s="382">
        <f>'SALDOS POR NOTA'!O23</f>
        <v>-0.36</v>
      </c>
      <c r="AB10" s="37">
        <f>N10</f>
        <v>0</v>
      </c>
      <c r="AC10" s="66">
        <f t="shared" ref="AC10:AC13" si="2">-J10+AD10</f>
        <v>-232518.12</v>
      </c>
      <c r="AD10" s="66">
        <f>'SALDOS POR NOTA'!C24</f>
        <v>-232518.12</v>
      </c>
      <c r="AE10" s="116">
        <f>SUM(U10:AC10)</f>
        <v>59844.729999999981</v>
      </c>
      <c r="AF10" s="118">
        <f>(AE10-O10)</f>
        <v>7.2759576141834259E-12</v>
      </c>
      <c r="AG10" s="1" t="b">
        <f t="shared" ref="AG10:AG14" si="3">AF10=0</f>
        <v>0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104231.83</v>
      </c>
      <c r="E11" s="66">
        <f>'SALDOS POR NOTA'!D36</f>
        <v>6620.63</v>
      </c>
      <c r="F11" s="66">
        <f>'SALDOS POR NOTA'!E36</f>
        <v>3738.02</v>
      </c>
      <c r="G11" s="66">
        <f>'SALDOS POR NOTA'!F36</f>
        <v>1961.98</v>
      </c>
      <c r="H11" s="66">
        <f>'SALDOS POR NOTA'!G36</f>
        <v>20927.5</v>
      </c>
      <c r="I11" s="66">
        <f>'SALDOS POR NOTA'!H36</f>
        <v>743.08</v>
      </c>
      <c r="J11" s="66">
        <v>0</v>
      </c>
      <c r="K11" s="31">
        <f t="shared" si="0"/>
        <v>70240.62</v>
      </c>
      <c r="L11" s="38">
        <v>0</v>
      </c>
      <c r="M11" s="31">
        <f>K11-L11</f>
        <v>70240.62</v>
      </c>
      <c r="N11" s="37">
        <f>'SALDOS POR NOTA'!I36</f>
        <v>0</v>
      </c>
      <c r="O11" s="31">
        <f t="shared" si="1"/>
        <v>70240.62</v>
      </c>
      <c r="Q11" s="4"/>
      <c r="S11" s="16">
        <v>3</v>
      </c>
      <c r="T11" s="62" t="s">
        <v>12</v>
      </c>
      <c r="U11" s="66">
        <f>'SALDOS POR NOTA'!J36</f>
        <v>6518.28</v>
      </c>
      <c r="V11" s="66">
        <f>'SALDOS POR NOTA'!K36</f>
        <v>6410.86</v>
      </c>
      <c r="W11" s="66">
        <f>'SALDOS POR NOTA'!L36</f>
        <v>30349.1</v>
      </c>
      <c r="X11" s="66">
        <f>'SALDOS POR NOTA'!M36</f>
        <v>15383.1</v>
      </c>
      <c r="Y11" s="66">
        <f>'SALDOS POR NOTA'!N36</f>
        <v>1212.4000000000001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10366.879999999999</v>
      </c>
      <c r="AD11" s="66">
        <f>'SALDOS POR NOTA'!C37</f>
        <v>10366.879999999999</v>
      </c>
      <c r="AE11" s="116">
        <f>SUM(U11:AC11)</f>
        <v>70240.62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35954.44</v>
      </c>
      <c r="E12" s="66">
        <f>'SALDOS POR NOTA'!D49</f>
        <v>1890.6</v>
      </c>
      <c r="F12" s="66">
        <f>'SALDOS POR NOTA'!E49</f>
        <v>1067.43</v>
      </c>
      <c r="G12" s="66">
        <f>'SALDOS POR NOTA'!F49</f>
        <v>560.27</v>
      </c>
      <c r="H12" s="66">
        <f>'SALDOS POR NOTA'!G49</f>
        <v>10800.02</v>
      </c>
      <c r="I12" s="66">
        <f>'SALDOS POR NOTA'!H49</f>
        <v>371.66</v>
      </c>
      <c r="J12" s="66">
        <v>0</v>
      </c>
      <c r="K12" s="31">
        <f t="shared" si="0"/>
        <v>21264.460000000003</v>
      </c>
      <c r="L12" s="38">
        <v>0</v>
      </c>
      <c r="M12" s="31">
        <f>K12-L12</f>
        <v>21264.460000000003</v>
      </c>
      <c r="N12" s="37">
        <f>'SALDOS POR NOTA'!I49</f>
        <v>0</v>
      </c>
      <c r="O12" s="31">
        <f t="shared" si="1"/>
        <v>21264.460000000003</v>
      </c>
      <c r="Q12" s="4"/>
      <c r="S12" s="16">
        <v>4</v>
      </c>
      <c r="T12" s="62" t="s">
        <v>13</v>
      </c>
      <c r="U12" s="66">
        <f>'SALDOS POR NOTA'!J49</f>
        <v>3260.18</v>
      </c>
      <c r="V12" s="66">
        <f>'SALDOS POR NOTA'!K49</f>
        <v>3149.08</v>
      </c>
      <c r="W12" s="66">
        <f>'SALDOS POR NOTA'!L49</f>
        <v>15696.81</v>
      </c>
      <c r="X12" s="66">
        <f>'SALDOS POR NOTA'!M49</f>
        <v>5005.76</v>
      </c>
      <c r="Y12" s="66">
        <f>'SALDOS POR NOTA'!N49</f>
        <v>606.39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-6453.76</v>
      </c>
      <c r="AD12" s="66">
        <f>'SALDOS POR NOTA'!C50</f>
        <v>-6453.76</v>
      </c>
      <c r="AE12" s="116">
        <f>SUM(U12:AC12)</f>
        <v>21264.46</v>
      </c>
      <c r="AF12" s="118">
        <f>(AE12-O12)</f>
        <v>-3.637978807091713E-12</v>
      </c>
      <c r="AG12" s="1" t="b">
        <f t="shared" si="3"/>
        <v>0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1329905.5</v>
      </c>
      <c r="E14" s="43">
        <f t="shared" ref="E14:N14" si="4">SUM(E9:E13)</f>
        <v>105933.07</v>
      </c>
      <c r="F14" s="43">
        <f t="shared" si="4"/>
        <v>60373.37999999999</v>
      </c>
      <c r="G14" s="43">
        <f t="shared" si="4"/>
        <v>30807.040000000001</v>
      </c>
      <c r="H14" s="43">
        <f t="shared" si="4"/>
        <v>281311.36000000004</v>
      </c>
      <c r="I14" s="43">
        <f t="shared" si="4"/>
        <v>10556.12</v>
      </c>
      <c r="J14" s="43">
        <f t="shared" si="4"/>
        <v>0</v>
      </c>
      <c r="K14" s="32">
        <f t="shared" si="4"/>
        <v>840924.52999999991</v>
      </c>
      <c r="L14" s="23">
        <f t="shared" si="4"/>
        <v>0</v>
      </c>
      <c r="M14" s="76">
        <f t="shared" si="4"/>
        <v>840924.52999999991</v>
      </c>
      <c r="N14" s="23">
        <f t="shared" si="4"/>
        <v>0</v>
      </c>
      <c r="O14" s="76">
        <f>SUM(O9:O13)</f>
        <v>840924.52999999991</v>
      </c>
      <c r="P14" s="2"/>
      <c r="Q14" s="4"/>
      <c r="S14" s="21"/>
      <c r="T14" s="22" t="s">
        <v>2</v>
      </c>
      <c r="U14" s="43">
        <f>SUM(U9:U13)</f>
        <v>123246.34</v>
      </c>
      <c r="V14" s="43">
        <f t="shared" ref="V14:AB14" si="5">SUM(V9:V13)</f>
        <v>90700.98000000001</v>
      </c>
      <c r="W14" s="43">
        <f t="shared" si="5"/>
        <v>399302.95</v>
      </c>
      <c r="X14" s="43">
        <f t="shared" si="5"/>
        <v>263333.49</v>
      </c>
      <c r="Y14" s="43">
        <f t="shared" si="5"/>
        <v>16026.14</v>
      </c>
      <c r="Z14" s="43">
        <f t="shared" si="5"/>
        <v>0</v>
      </c>
      <c r="AA14" s="381">
        <f>SUM(AA9:AA13)</f>
        <v>-0.36</v>
      </c>
      <c r="AB14" s="43">
        <f t="shared" si="5"/>
        <v>0</v>
      </c>
      <c r="AC14" s="43">
        <f>SUM(AC9:AC13)</f>
        <v>-51685.010000000009</v>
      </c>
      <c r="AD14" s="43">
        <f>SUM(AD9:AD13)</f>
        <v>-51685.010000000009</v>
      </c>
      <c r="AE14" s="68">
        <f>SUM(AE9:AE13)</f>
        <v>840924.52999999991</v>
      </c>
      <c r="AF14" s="120">
        <f>SUM(AF9:AF13)</f>
        <v>3.637978807091713E-12</v>
      </c>
      <c r="AG14" s="1" t="b">
        <f t="shared" si="3"/>
        <v>0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892609.9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2026072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H26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2026072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H45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973693.46</v>
      </c>
      <c r="E47" s="66">
        <f t="shared" ref="E47:F47" si="13">E9+E28</f>
        <v>65524.22</v>
      </c>
      <c r="F47" s="66">
        <f t="shared" si="13"/>
        <v>36995.019999999997</v>
      </c>
      <c r="G47" s="66">
        <f t="shared" ref="G47" si="14">G9+G28</f>
        <v>19417.650000000001</v>
      </c>
      <c r="H47" s="66">
        <f t="shared" ref="H47:J51" si="15">H9+H28</f>
        <v>156624.35</v>
      </c>
      <c r="I47" s="66">
        <f t="shared" si="15"/>
        <v>5557.5</v>
      </c>
      <c r="J47" s="66">
        <f>J9+J28</f>
        <v>0</v>
      </c>
      <c r="K47" s="30">
        <f>D47-E47-F47-G47-H47-I47-J47</f>
        <v>689574.72</v>
      </c>
      <c r="L47" s="37">
        <v>0</v>
      </c>
      <c r="M47" s="30">
        <f>K47-L47</f>
        <v>689574.72</v>
      </c>
      <c r="N47" s="66">
        <f>N9+N28</f>
        <v>0</v>
      </c>
      <c r="O47" s="30">
        <f>M47+N47</f>
        <v>689574.72</v>
      </c>
      <c r="Q47" s="4"/>
      <c r="S47" s="14">
        <v>1</v>
      </c>
      <c r="T47" s="61" t="s">
        <v>10</v>
      </c>
      <c r="U47" s="140">
        <f t="shared" ref="U47:Y51" si="16">U9+U28</f>
        <v>52109.79</v>
      </c>
      <c r="V47" s="140">
        <f t="shared" si="16"/>
        <v>47607.03</v>
      </c>
      <c r="W47" s="140">
        <f t="shared" si="16"/>
        <v>225441.17</v>
      </c>
      <c r="X47" s="140">
        <f t="shared" si="16"/>
        <v>178429.31</v>
      </c>
      <c r="Y47" s="140">
        <f t="shared" si="16"/>
        <v>9067.43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176919.99</v>
      </c>
      <c r="AD47" s="75">
        <f t="shared" si="17"/>
        <v>176919.99</v>
      </c>
      <c r="AE47" s="69">
        <f>SUM(U47:AC47)</f>
        <v>689574.72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216025.77</v>
      </c>
      <c r="E48" s="66">
        <f t="shared" si="18"/>
        <v>31897.62</v>
      </c>
      <c r="F48" s="66">
        <f t="shared" si="18"/>
        <v>18572.91</v>
      </c>
      <c r="G48" s="66">
        <f t="shared" ref="G48" si="19">G10+G29</f>
        <v>8867.14</v>
      </c>
      <c r="H48" s="66">
        <f t="shared" si="15"/>
        <v>92959.49</v>
      </c>
      <c r="I48" s="66">
        <f t="shared" si="15"/>
        <v>3883.88</v>
      </c>
      <c r="J48" s="66">
        <f t="shared" si="15"/>
        <v>0</v>
      </c>
      <c r="K48" s="31">
        <f>D48-E48-F48-G48-H48-I48-J48</f>
        <v>59844.729999999974</v>
      </c>
      <c r="L48" s="38">
        <v>0</v>
      </c>
      <c r="M48" s="31">
        <f>K48-L48</f>
        <v>59844.729999999974</v>
      </c>
      <c r="N48" s="66">
        <f>N10+N29</f>
        <v>0</v>
      </c>
      <c r="O48" s="31">
        <f t="shared" ref="O48:O51" si="20">M48+N48</f>
        <v>59844.729999999974</v>
      </c>
      <c r="Q48" s="4"/>
      <c r="S48" s="16">
        <v>2</v>
      </c>
      <c r="T48" s="62" t="s">
        <v>11</v>
      </c>
      <c r="U48" s="82">
        <f t="shared" si="16"/>
        <v>61358.09</v>
      </c>
      <c r="V48" s="82">
        <f t="shared" si="16"/>
        <v>33534.01</v>
      </c>
      <c r="W48" s="82">
        <f t="shared" si="16"/>
        <v>127815.87</v>
      </c>
      <c r="X48" s="82">
        <f t="shared" si="16"/>
        <v>64515.32</v>
      </c>
      <c r="Y48" s="82">
        <f t="shared" si="16"/>
        <v>5139.92</v>
      </c>
      <c r="Z48" s="88">
        <f>-L48</f>
        <v>0</v>
      </c>
      <c r="AA48" s="67">
        <f>AA10+AA29</f>
        <v>-0.36</v>
      </c>
      <c r="AB48" s="67">
        <f>AB10+AB29</f>
        <v>0</v>
      </c>
      <c r="AC48" s="67">
        <f t="shared" si="17"/>
        <v>-232518.12</v>
      </c>
      <c r="AD48" s="67">
        <f t="shared" si="17"/>
        <v>-232518.12</v>
      </c>
      <c r="AE48" s="70">
        <f>SUM(U48:AC48)</f>
        <v>59844.729999999981</v>
      </c>
      <c r="AF48" s="118">
        <f>(AE48-O48)</f>
        <v>7.2759576141834259E-12</v>
      </c>
      <c r="AG48" s="1" t="b">
        <f t="shared" ref="AG48:AG52" si="21">AF48=0</f>
        <v>0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104231.83</v>
      </c>
      <c r="E49" s="66">
        <f t="shared" si="18"/>
        <v>6620.63</v>
      </c>
      <c r="F49" s="66">
        <f t="shared" si="18"/>
        <v>3738.02</v>
      </c>
      <c r="G49" s="66">
        <f t="shared" ref="G49" si="22">G11+G30</f>
        <v>1961.98</v>
      </c>
      <c r="H49" s="66">
        <f t="shared" si="15"/>
        <v>20927.5</v>
      </c>
      <c r="I49" s="66">
        <f t="shared" si="15"/>
        <v>743.08</v>
      </c>
      <c r="J49" s="66">
        <f t="shared" si="15"/>
        <v>0</v>
      </c>
      <c r="K49" s="31">
        <f t="shared" ref="K49:K51" si="23">D49-E49-F49-G49-H49-I49-J49</f>
        <v>70240.62</v>
      </c>
      <c r="L49" s="38">
        <v>0</v>
      </c>
      <c r="M49" s="31">
        <f>K49-L49</f>
        <v>70240.62</v>
      </c>
      <c r="N49" s="66">
        <f>N11+N30</f>
        <v>0</v>
      </c>
      <c r="O49" s="31">
        <f t="shared" si="20"/>
        <v>70240.62</v>
      </c>
      <c r="Q49" s="4"/>
      <c r="S49" s="16">
        <v>3</v>
      </c>
      <c r="T49" s="62" t="s">
        <v>12</v>
      </c>
      <c r="U49" s="82">
        <f t="shared" si="16"/>
        <v>6518.28</v>
      </c>
      <c r="V49" s="82">
        <f t="shared" si="16"/>
        <v>6410.86</v>
      </c>
      <c r="W49" s="82">
        <f t="shared" si="16"/>
        <v>30349.1</v>
      </c>
      <c r="X49" s="82">
        <f t="shared" si="16"/>
        <v>15383.1</v>
      </c>
      <c r="Y49" s="82">
        <f t="shared" si="16"/>
        <v>1212.4000000000001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10366.879999999999</v>
      </c>
      <c r="AD49" s="67">
        <f t="shared" si="17"/>
        <v>10366.879999999999</v>
      </c>
      <c r="AE49" s="70">
        <f t="shared" ref="AE49:AE51" si="24">SUM(U49:AC49)</f>
        <v>70240.62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35954.44</v>
      </c>
      <c r="E50" s="66">
        <f t="shared" si="18"/>
        <v>1890.6</v>
      </c>
      <c r="F50" s="66">
        <f t="shared" si="18"/>
        <v>1067.43</v>
      </c>
      <c r="G50" s="66">
        <f t="shared" ref="G50" si="25">G12+G31</f>
        <v>560.27</v>
      </c>
      <c r="H50" s="66">
        <f t="shared" si="15"/>
        <v>10800.02</v>
      </c>
      <c r="I50" s="66">
        <f t="shared" si="15"/>
        <v>371.66</v>
      </c>
      <c r="J50" s="66">
        <f t="shared" si="15"/>
        <v>0</v>
      </c>
      <c r="K50" s="31">
        <f t="shared" si="23"/>
        <v>21264.460000000003</v>
      </c>
      <c r="L50" s="38">
        <v>0</v>
      </c>
      <c r="M50" s="31">
        <f>K50-L50</f>
        <v>21264.460000000003</v>
      </c>
      <c r="N50" s="66">
        <f>N12+N31</f>
        <v>0</v>
      </c>
      <c r="O50" s="31">
        <f t="shared" si="20"/>
        <v>21264.460000000003</v>
      </c>
      <c r="Q50" s="4"/>
      <c r="S50" s="16">
        <v>4</v>
      </c>
      <c r="T50" s="62" t="s">
        <v>13</v>
      </c>
      <c r="U50" s="82">
        <f t="shared" si="16"/>
        <v>3260.18</v>
      </c>
      <c r="V50" s="82">
        <f t="shared" si="16"/>
        <v>3149.08</v>
      </c>
      <c r="W50" s="82">
        <f t="shared" si="16"/>
        <v>15696.81</v>
      </c>
      <c r="X50" s="82">
        <f t="shared" si="16"/>
        <v>5005.76</v>
      </c>
      <c r="Y50" s="82">
        <f t="shared" si="16"/>
        <v>606.39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-6453.76</v>
      </c>
      <c r="AD50" s="67">
        <f t="shared" si="17"/>
        <v>-6453.76</v>
      </c>
      <c r="AE50" s="70">
        <f t="shared" si="24"/>
        <v>21264.46</v>
      </c>
      <c r="AF50" s="118">
        <f>(AE50-O50)</f>
        <v>-3.637978807091713E-12</v>
      </c>
      <c r="AG50" s="1" t="b">
        <f t="shared" si="21"/>
        <v>0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1329905.5</v>
      </c>
      <c r="E52" s="43">
        <f t="shared" si="27"/>
        <v>105933.07</v>
      </c>
      <c r="F52" s="43">
        <f t="shared" si="27"/>
        <v>60373.37999999999</v>
      </c>
      <c r="G52" s="43">
        <f t="shared" si="27"/>
        <v>30807.040000000001</v>
      </c>
      <c r="H52" s="43">
        <f t="shared" si="27"/>
        <v>281311.36000000004</v>
      </c>
      <c r="I52" s="43">
        <f t="shared" si="27"/>
        <v>10556.12</v>
      </c>
      <c r="J52" s="43">
        <f t="shared" si="27"/>
        <v>0</v>
      </c>
      <c r="K52" s="32">
        <f t="shared" si="27"/>
        <v>840924.52999999991</v>
      </c>
      <c r="L52" s="23">
        <f t="shared" si="27"/>
        <v>0</v>
      </c>
      <c r="M52" s="76">
        <f t="shared" si="27"/>
        <v>840924.52999999991</v>
      </c>
      <c r="N52" s="23">
        <f t="shared" si="27"/>
        <v>0</v>
      </c>
      <c r="O52" s="76">
        <f t="shared" si="27"/>
        <v>840924.52999999991</v>
      </c>
      <c r="P52" s="2"/>
      <c r="Q52" s="4"/>
      <c r="S52" s="21"/>
      <c r="T52" s="22" t="s">
        <v>2</v>
      </c>
      <c r="U52" s="43">
        <f>SUM(U47:U51)</f>
        <v>123246.34</v>
      </c>
      <c r="V52" s="43">
        <f t="shared" ref="V52:AE52" si="28">SUM(V47:V51)</f>
        <v>90700.98000000001</v>
      </c>
      <c r="W52" s="43">
        <f t="shared" si="28"/>
        <v>399302.95</v>
      </c>
      <c r="X52" s="43">
        <f t="shared" si="28"/>
        <v>263333.49</v>
      </c>
      <c r="Y52" s="43">
        <f t="shared" si="28"/>
        <v>16026.14</v>
      </c>
      <c r="Z52" s="43">
        <f t="shared" si="28"/>
        <v>0</v>
      </c>
      <c r="AA52" s="43">
        <f>SUM(AA47:AA51)</f>
        <v>-0.36</v>
      </c>
      <c r="AB52" s="43">
        <f t="shared" si="28"/>
        <v>0</v>
      </c>
      <c r="AC52" s="43">
        <f>SUM(AC47:AC51)</f>
        <v>-51685.010000000009</v>
      </c>
      <c r="AD52" s="43">
        <f>SUM(AD47:AD51)</f>
        <v>-51685.010000000009</v>
      </c>
      <c r="AE52" s="68">
        <f t="shared" si="28"/>
        <v>840924.52999999991</v>
      </c>
      <c r="AF52" s="120">
        <f>SUM(AF47:AF51)</f>
        <v>3.637978807091713E-12</v>
      </c>
      <c r="AG52" s="1" t="b">
        <f t="shared" si="21"/>
        <v>0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892609.9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46219</v>
      </c>
      <c r="G10" s="408"/>
      <c r="H10" s="397" t="s">
        <v>28</v>
      </c>
      <c r="I10" s="457">
        <f>'CONSOLIDADO_TOTAL RECAUDO'!K102</f>
        <v>46234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11217.37</v>
      </c>
      <c r="E12" s="424">
        <f>'Reporte Componentes R1'!G119*$D$24</f>
        <v>766.38</v>
      </c>
      <c r="F12" s="425">
        <f>'Reporte Componentes R1'!H119*$D$24</f>
        <v>325.58999999999997</v>
      </c>
      <c r="G12" s="425">
        <f>'Reporte Componentes R1'!I119*$D$24</f>
        <v>142.16999999999999</v>
      </c>
      <c r="H12" s="425">
        <f>'Reporte Componentes R1'!J119*$D$24</f>
        <v>1970.37</v>
      </c>
      <c r="I12" s="425">
        <f>'Reporte Componentes R1'!K119*$D$24</f>
        <v>127.32</v>
      </c>
      <c r="J12" s="426">
        <f t="shared" ref="J12:J16" si="0">D12-E12-F12-G12-H12-I12</f>
        <v>7885.5400000000018</v>
      </c>
      <c r="L12" s="428"/>
      <c r="N12" s="422">
        <v>1</v>
      </c>
      <c r="O12" s="423" t="s">
        <v>10</v>
      </c>
      <c r="P12" s="429">
        <f>'Reporte Componentes R1'!M119*$P$24</f>
        <v>1116.82</v>
      </c>
      <c r="Q12" s="430">
        <f>'Reporte Componentes R1'!N119*$P$24</f>
        <v>934.67</v>
      </c>
      <c r="R12" s="430">
        <f>'Reporte Componentes R1'!O119*$P$24</f>
        <v>3730.88</v>
      </c>
      <c r="S12" s="430">
        <f>'Reporte Componentes R1'!P119*$P$24</f>
        <v>1895.43</v>
      </c>
      <c r="T12" s="430">
        <f>'Reporte Componentes R1'!Q119*$P$24</f>
        <v>207.74</v>
      </c>
      <c r="U12" s="464">
        <f>SUM(P12:T12)</f>
        <v>7885.54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405906.75</v>
      </c>
      <c r="E13" s="425">
        <f>'Reporte Componentes R1'!G353*$D$24</f>
        <v>36253.24</v>
      </c>
      <c r="F13" s="425">
        <f>'Reporte Componentes R1'!H353*$D$24</f>
        <v>15401.35</v>
      </c>
      <c r="G13" s="425">
        <f>'Reporte Componentes R1'!I353*$D$24</f>
        <v>6725.8</v>
      </c>
      <c r="H13" s="425">
        <f>'Reporte Componentes R1'!J353*$D$24</f>
        <v>80022.36</v>
      </c>
      <c r="I13" s="425">
        <f>'Reporte Componentes R1'!K353*$D$24</f>
        <v>3364.46</v>
      </c>
      <c r="J13" s="426">
        <f t="shared" si="0"/>
        <v>264139.54000000004</v>
      </c>
      <c r="L13" s="428"/>
      <c r="N13" s="432">
        <v>2</v>
      </c>
      <c r="O13" s="433" t="s">
        <v>11</v>
      </c>
      <c r="P13" s="434">
        <f>'Reporte Componentes R1'!M353*$P$24</f>
        <v>29514</v>
      </c>
      <c r="Q13" s="435">
        <f>'Reporte Componentes R1'!N353*$P$24</f>
        <v>36987.9</v>
      </c>
      <c r="R13" s="435">
        <f>'Reporte Componentes R1'!O353*$P$24</f>
        <v>124266.63</v>
      </c>
      <c r="S13" s="435">
        <f>'Reporte Componentes R1'!P353*$P$24</f>
        <v>67881.399999999994</v>
      </c>
      <c r="T13" s="435">
        <f>'Reporte Componentes R1'!Q353*$P$24</f>
        <v>5489.61</v>
      </c>
      <c r="U13" s="463">
        <f>SUM(P13:T13)</f>
        <v>264139.53999999998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16458.46</v>
      </c>
      <c r="E14" s="424">
        <f>'Reporte Componentes R1'!G514*$D$24</f>
        <v>1490.88</v>
      </c>
      <c r="F14" s="424">
        <f>'Reporte Componentes R1'!H514*$D$24</f>
        <v>633.39</v>
      </c>
      <c r="G14" s="424">
        <f>'Reporte Componentes R1'!I514*$D$24</f>
        <v>276.60000000000002</v>
      </c>
      <c r="H14" s="424">
        <f>'Reporte Componentes R1'!J514*$D$24</f>
        <v>3142.56</v>
      </c>
      <c r="I14" s="424">
        <f>'Reporte Componentes R1'!K514*$D$24</f>
        <v>129.47999999999999</v>
      </c>
      <c r="J14" s="426">
        <f t="shared" si="0"/>
        <v>10785.55</v>
      </c>
      <c r="L14" s="428"/>
      <c r="N14" s="432">
        <v>3</v>
      </c>
      <c r="O14" s="433" t="s">
        <v>12</v>
      </c>
      <c r="P14" s="434">
        <f>'Reporte Componentes R1'!M514*$P$24</f>
        <v>1135.68</v>
      </c>
      <c r="Q14" s="435">
        <f>'Reporte Componentes R1'!N514*$P$24</f>
        <v>1423.48</v>
      </c>
      <c r="R14" s="435">
        <f>'Reporte Componentes R1'!O514*$P$24</f>
        <v>4781.43</v>
      </c>
      <c r="S14" s="435">
        <f>'Reporte Componentes R1'!P514*$P$24</f>
        <v>3233.73</v>
      </c>
      <c r="T14" s="435">
        <f>'Reporte Componentes R1'!Q514*$P$24</f>
        <v>211.23</v>
      </c>
      <c r="U14" s="463">
        <f>SUM(P14:T14)</f>
        <v>10785.55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439956.52</v>
      </c>
      <c r="E15" s="425">
        <f>'Reporte Componentes R1'!G722*$D$24</f>
        <v>35444.410000000003</v>
      </c>
      <c r="F15" s="425">
        <f>'Reporte Componentes R1'!H722*$D$24</f>
        <v>15058.04</v>
      </c>
      <c r="G15" s="425">
        <f>'Reporte Componentes R1'!I722*$D$24</f>
        <v>6575.73</v>
      </c>
      <c r="H15" s="425">
        <f>'Reporte Componentes R1'!J722*$D$24</f>
        <v>81642.179999999993</v>
      </c>
      <c r="I15" s="425">
        <f>'Reporte Componentes R1'!K722*$D$24</f>
        <v>3324.84</v>
      </c>
      <c r="J15" s="426">
        <f t="shared" si="0"/>
        <v>297911.32</v>
      </c>
      <c r="L15" s="428"/>
      <c r="N15" s="432">
        <v>4</v>
      </c>
      <c r="O15" s="433" t="s">
        <v>13</v>
      </c>
      <c r="P15" s="434">
        <f>'Reporte Componentes R1'!M722*$P$24</f>
        <v>29164.3</v>
      </c>
      <c r="Q15" s="435">
        <f>'Reporte Componentes R1'!N722*$P$24</f>
        <v>37085.49</v>
      </c>
      <c r="R15" s="435">
        <f>'Reporte Componentes R1'!O722*$P$24</f>
        <v>136171.69</v>
      </c>
      <c r="S15" s="435">
        <f>'Reporte Componentes R1'!P722*$P$24</f>
        <v>90064.99</v>
      </c>
      <c r="T15" s="435">
        <f>'Reporte Componentes R1'!Q722*$P$24</f>
        <v>5424.85</v>
      </c>
      <c r="U15" s="463">
        <f>SUM(P15:T15)</f>
        <v>297911.31999999995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0</v>
      </c>
      <c r="E16" s="439">
        <f>'Reporte Componentes R1'!G841*$D$24</f>
        <v>0</v>
      </c>
      <c r="F16" s="439">
        <f>'Reporte Componentes R1'!H841*$D$24</f>
        <v>0</v>
      </c>
      <c r="G16" s="439">
        <f>'Reporte Componentes R1'!I841*$D$24</f>
        <v>0</v>
      </c>
      <c r="H16" s="439">
        <f>'Reporte Componentes R1'!J841*$D$24</f>
        <v>0</v>
      </c>
      <c r="I16" s="439">
        <f>'Reporte Componentes R1'!K841*$D$24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R1'!M841*$P$24</f>
        <v>0</v>
      </c>
      <c r="Q16" s="439">
        <f>'Reporte Componentes R1'!N841*$P$24</f>
        <v>0</v>
      </c>
      <c r="R16" s="439">
        <f>'Reporte Componentes R1'!O841*$P$24</f>
        <v>0</v>
      </c>
      <c r="S16" s="439">
        <f>'Reporte Componentes R1'!P841*$P$24</f>
        <v>0</v>
      </c>
      <c r="T16" s="439">
        <f>'Reporte Componentes R1'!Q841*$P$24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873539.10000000009</v>
      </c>
      <c r="E17" s="442">
        <f t="shared" si="3"/>
        <v>73954.91</v>
      </c>
      <c r="F17" s="442">
        <f t="shared" si="3"/>
        <v>31418.370000000003</v>
      </c>
      <c r="G17" s="442">
        <f t="shared" si="3"/>
        <v>13720.3</v>
      </c>
      <c r="H17" s="442">
        <f t="shared" si="3"/>
        <v>166777.46999999997</v>
      </c>
      <c r="I17" s="442">
        <f t="shared" si="3"/>
        <v>6946.1</v>
      </c>
      <c r="J17" s="443">
        <f t="shared" si="3"/>
        <v>580721.94999999995</v>
      </c>
      <c r="K17" s="444"/>
      <c r="L17" s="428"/>
      <c r="N17" s="440"/>
      <c r="O17" s="441" t="s">
        <v>2</v>
      </c>
      <c r="P17" s="445">
        <f>SUM(P12:P16)</f>
        <v>60930.8</v>
      </c>
      <c r="Q17" s="445">
        <f t="shared" ref="Q17:U17" si="4">SUM(Q12:Q16)</f>
        <v>76431.540000000008</v>
      </c>
      <c r="R17" s="445">
        <f t="shared" si="4"/>
        <v>268950.63</v>
      </c>
      <c r="S17" s="445">
        <f t="shared" si="4"/>
        <v>163075.54999999999</v>
      </c>
      <c r="T17" s="445">
        <f t="shared" si="4"/>
        <v>11333.43</v>
      </c>
      <c r="U17" s="462">
        <f t="shared" si="4"/>
        <v>580721.94999999995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580721.95000000007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str">
        <f>+IF(MAX(J12:J17)&gt;500000,"VALIDAR",TRUE)</f>
        <v>VALIDAR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97" zoomScaleNormal="100" workbookViewId="0">
      <selection activeCell="A110" sqref="A1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46219</v>
      </c>
      <c r="J7" s="2" t="s">
        <v>28</v>
      </c>
      <c r="K7" s="9"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17339793559.860001</v>
      </c>
      <c r="E9" s="292">
        <f>'Reporte Componentes R1'!G89</f>
        <v>898223141.86000001</v>
      </c>
      <c r="F9" s="292">
        <f>'Reporte Componentes R1'!H89</f>
        <v>506560790.43000001</v>
      </c>
      <c r="G9" s="292">
        <f>'Reporte Componentes R1'!I89</f>
        <v>266134388.70000002</v>
      </c>
      <c r="H9" s="292">
        <f>'Reporte Componentes R1'!J89</f>
        <v>3794558031.4300003</v>
      </c>
      <c r="I9" s="292">
        <f>'Reporte Componentes R1'!K89</f>
        <v>133542703.31</v>
      </c>
      <c r="J9" s="288">
        <f>'BCE SC POR FACT.'!F3</f>
        <v>-3589454665.5499997</v>
      </c>
      <c r="K9" s="293">
        <f>D9-E9-F9-G9-H9-I9-J9</f>
        <v>15330229169.679998</v>
      </c>
      <c r="L9" s="294">
        <f>INTERVENTORIA!M26</f>
        <v>189185988</v>
      </c>
      <c r="M9" s="293">
        <f>K9-L9</f>
        <v>15141043181.679998</v>
      </c>
      <c r="N9" s="387">
        <f>'Reporte Componentes R1'!L89</f>
        <v>25277316.260000002</v>
      </c>
      <c r="O9" s="293">
        <f>M9+N9</f>
        <v>15166320497.939999</v>
      </c>
      <c r="Q9" s="306"/>
      <c r="S9" s="303">
        <v>1</v>
      </c>
      <c r="T9" s="304" t="s">
        <v>10</v>
      </c>
      <c r="U9" s="307">
        <f>'Reporte Componentes R1'!M89</f>
        <v>1174928495.1000001</v>
      </c>
      <c r="V9" s="308">
        <f>'Reporte Componentes R1'!N89</f>
        <v>1130888113.8599999</v>
      </c>
      <c r="W9" s="308">
        <f>'Reporte Componentes R1'!O89</f>
        <v>5352175528.7699995</v>
      </c>
      <c r="X9" s="308">
        <f>'Reporte Componentes R1'!P89</f>
        <v>2435749635.8000002</v>
      </c>
      <c r="Y9" s="309">
        <f>'Reporte Componentes R1'!Q89</f>
        <v>217904578.31</v>
      </c>
      <c r="Z9" s="310">
        <f>L9*-1</f>
        <v>-189185988</v>
      </c>
      <c r="AA9" s="311">
        <f>'Reporte Componentes R1'!R89+'Reporte Componentes R1'!U89+'Reporte Componentes R1'!V89</f>
        <v>-17545.2</v>
      </c>
      <c r="AB9" s="312">
        <f>N9</f>
        <v>25277316.260000002</v>
      </c>
      <c r="AC9" s="320">
        <f>'Reporte Componentes R1'!T89+'Reporte Componentes R1'!W89+'Reporte Componentes R1'!X89+'Reporte Componentes R1'!Y89+'Reporte Componentes R1'!Z89+'Reporte Componentes R1'!S89</f>
        <v>-1592.61</v>
      </c>
      <c r="AD9" s="291">
        <f>-J9+AE9</f>
        <v>5018601955.6499996</v>
      </c>
      <c r="AE9" s="291">
        <f>'Reporte Componentes R1'!F90</f>
        <v>1429147290.0999999</v>
      </c>
      <c r="AF9" s="313">
        <f>SUM(U9:AD9)</f>
        <v>15166320497.939997</v>
      </c>
      <c r="AG9" s="521">
        <f>(AF9-O9)</f>
        <v>-1.9073486328125E-6</v>
      </c>
      <c r="AH9" s="305" t="b">
        <f>INT(AG9)=0</f>
        <v>0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20352268540.720001</v>
      </c>
      <c r="E10" s="292">
        <f>'Reporte Componentes R1'!G323</f>
        <v>1575127599.3299999</v>
      </c>
      <c r="F10" s="292">
        <f>'Reporte Componentes R1'!H323</f>
        <v>883344164.76999998</v>
      </c>
      <c r="G10" s="292">
        <f>'Reporte Componentes R1'!I323</f>
        <v>463657475.5</v>
      </c>
      <c r="H10" s="292">
        <f>'Reporte Componentes R1'!J323</f>
        <v>5770939754.4900007</v>
      </c>
      <c r="I10" s="292">
        <f>'Reporte Componentes R1'!K323</f>
        <v>221087801.44999999</v>
      </c>
      <c r="J10" s="288">
        <f>'BCE SC POR FACT.'!F4</f>
        <v>-3241193714.1100001</v>
      </c>
      <c r="K10" s="295">
        <f>D10-E10-F10-G10-H10-I10-J10</f>
        <v>14679305459.289997</v>
      </c>
      <c r="L10" s="294">
        <f>INTERVENTORIA!M27</f>
        <v>266580256</v>
      </c>
      <c r="M10" s="295">
        <f>K10-L10</f>
        <v>14412725203.289997</v>
      </c>
      <c r="N10" s="294">
        <f>'Reporte Componentes R1'!L323</f>
        <v>53454221.280000001</v>
      </c>
      <c r="O10" s="295">
        <f>M10+N10</f>
        <v>14466179424.569998</v>
      </c>
      <c r="Q10" s="306"/>
      <c r="S10" s="314">
        <v>2</v>
      </c>
      <c r="T10" s="315" t="s">
        <v>11</v>
      </c>
      <c r="U10" s="316">
        <f>'Reporte Componentes R1'!M323</f>
        <v>1937636226.24</v>
      </c>
      <c r="V10" s="317">
        <f>'Reporte Componentes R1'!N323</f>
        <v>1932409015.4699998</v>
      </c>
      <c r="W10" s="317">
        <f>'Reporte Componentes R1'!O323</f>
        <v>9106102089.4900017</v>
      </c>
      <c r="X10" s="317">
        <f>'Reporte Componentes R1'!P323</f>
        <v>3106141657.3499999</v>
      </c>
      <c r="Y10" s="318">
        <f>'Reporte Componentes R1'!Q323</f>
        <v>361264015.81999999</v>
      </c>
      <c r="Z10" s="319">
        <f>L10*-1</f>
        <v>-266580256</v>
      </c>
      <c r="AA10" s="320">
        <f>'Reporte Componentes R1'!R323+'Reporte Componentes R1'!U323+'Reporte Componentes R1'!V323</f>
        <v>86691.03</v>
      </c>
      <c r="AB10" s="321">
        <f>N10</f>
        <v>53454221.280000001</v>
      </c>
      <c r="AC10" s="320">
        <f>'Reporte Componentes R1'!T323+'Reporte Componentes R1'!W323+'Reporte Componentes R1'!X323+'Reporte Componentes R1'!Y323+'Reporte Componentes R1'!Z323+'Reporte Componentes R1'!S323</f>
        <v>-123.21</v>
      </c>
      <c r="AD10" s="291">
        <f t="shared" ref="AD10:AD13" si="0">-J10+AE10</f>
        <v>-1764334112.9000001</v>
      </c>
      <c r="AE10" s="291">
        <f>'Reporte Componentes R1'!F324</f>
        <v>-5005527827.0100002</v>
      </c>
      <c r="AF10" s="322">
        <f>SUM(U10:AD10)</f>
        <v>14466179424.570004</v>
      </c>
      <c r="AG10" s="522">
        <f>(AF10-O10)</f>
        <v>5.7220458984375E-6</v>
      </c>
      <c r="AH10" s="305" t="b">
        <f t="shared" ref="AH10:AH13" si="1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15226209207.130001</v>
      </c>
      <c r="E11" s="292">
        <f>'Reporte Componentes R1'!G484</f>
        <v>1154352513.9099998</v>
      </c>
      <c r="F11" s="292">
        <f>'Reporte Componentes R1'!H484</f>
        <v>650770459.23000002</v>
      </c>
      <c r="G11" s="292">
        <f>'Reporte Componentes R1'!I484</f>
        <v>342056191.35999995</v>
      </c>
      <c r="H11" s="292">
        <f>'Reporte Componentes R1'!J484</f>
        <v>3421408839.6399999</v>
      </c>
      <c r="I11" s="292">
        <f>'Reporte Componentes R1'!K484</f>
        <v>125779556.72</v>
      </c>
      <c r="J11" s="288">
        <f>'BCE SC POR FACT.'!F5</f>
        <v>-853244564.50999999</v>
      </c>
      <c r="K11" s="295">
        <f>D11-E11-F11-G11-H11-I11-J11</f>
        <v>10385086210.780003</v>
      </c>
      <c r="L11" s="294">
        <f>INTERVENTORIA!M28</f>
        <v>154788536</v>
      </c>
      <c r="M11" s="295">
        <f>K11-L11</f>
        <v>10230297674.780003</v>
      </c>
      <c r="N11" s="294">
        <f>'Reporte Componentes R1'!L484</f>
        <v>14319220.949999999</v>
      </c>
      <c r="O11" s="295">
        <f>M11+N11</f>
        <v>10244616895.730003</v>
      </c>
      <c r="Q11" s="306"/>
      <c r="S11" s="314">
        <v>3</v>
      </c>
      <c r="T11" s="315" t="s">
        <v>12</v>
      </c>
      <c r="U11" s="316">
        <f>'Reporte Componentes R1'!M484</f>
        <v>1103091507.73</v>
      </c>
      <c r="V11" s="317">
        <f>'Reporte Componentes R1'!N484</f>
        <v>1086971984.1900001</v>
      </c>
      <c r="W11" s="317">
        <f>'Reporte Componentes R1'!O484</f>
        <v>5143912413.1300001</v>
      </c>
      <c r="X11" s="317">
        <f>'Reporte Componentes R1'!P484</f>
        <v>2684422813.5500002</v>
      </c>
      <c r="Y11" s="318">
        <f>'Reporte Componentes R1'!Q484</f>
        <v>205320738.77000001</v>
      </c>
      <c r="Z11" s="319">
        <f>L11*-1</f>
        <v>-154788536</v>
      </c>
      <c r="AA11" s="320">
        <f>'Reporte Componentes R1'!R484+'Reporte Componentes R1'!U484+'Reporte Componentes R1'!V484</f>
        <v>246494.88</v>
      </c>
      <c r="AB11" s="321">
        <f>N11</f>
        <v>14319220.949999999</v>
      </c>
      <c r="AC11" s="320">
        <f>'Reporte Componentes R1'!T484+'Reporte Componentes R1'!W484+'Reporte Componentes R1'!X484+'Reporte Componentes R1'!Y484+'Reporte Componentes R1'!Z484+'Reporte Componentes R1'!S484</f>
        <v>-11886.32</v>
      </c>
      <c r="AD11" s="291">
        <f t="shared" si="0"/>
        <v>161132144.85000002</v>
      </c>
      <c r="AE11" s="291">
        <f>'Reporte Componentes R1'!F485</f>
        <v>-692112419.65999997</v>
      </c>
      <c r="AF11" s="322">
        <f t="shared" ref="AF11:AF13" si="2">SUM(U11:AD11)</f>
        <v>10244616895.730001</v>
      </c>
      <c r="AG11" s="522">
        <f>(AF11-O11)</f>
        <v>-1.9073486328125E-6</v>
      </c>
      <c r="AH11" s="305" t="b">
        <f t="shared" si="1"/>
        <v>0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7047492494.7299986</v>
      </c>
      <c r="E12" s="292">
        <f>'Reporte Componentes R1'!G692</f>
        <v>460474439.50999999</v>
      </c>
      <c r="F12" s="292">
        <f>'Reporte Componentes R1'!H692</f>
        <v>257013372.20000002</v>
      </c>
      <c r="G12" s="292">
        <f>'Reporte Componentes R1'!I692</f>
        <v>134305930.96000001</v>
      </c>
      <c r="H12" s="292">
        <f>'Reporte Componentes R1'!J692</f>
        <v>1578923907.48</v>
      </c>
      <c r="I12" s="292">
        <f>'Reporte Componentes R1'!K692</f>
        <v>61673075.199999996</v>
      </c>
      <c r="J12" s="288">
        <f>'BCE SC POR FACT.'!F6</f>
        <v>-699882713.37000012</v>
      </c>
      <c r="K12" s="295">
        <f>D12-E12-F12-G12-H12-I12-J12</f>
        <v>5254984482.7499981</v>
      </c>
      <c r="L12" s="294">
        <f>INTERVENTORIA!M29</f>
        <v>120391083</v>
      </c>
      <c r="M12" s="295">
        <f>K12-L12</f>
        <v>5134593399.7499981</v>
      </c>
      <c r="N12" s="294">
        <f>'Reporte Componentes R1'!L692</f>
        <v>34128344.93</v>
      </c>
      <c r="O12" s="295">
        <f>M12+N12</f>
        <v>5168721744.6799984</v>
      </c>
      <c r="Q12" s="306"/>
      <c r="S12" s="314">
        <v>4</v>
      </c>
      <c r="T12" s="315" t="s">
        <v>13</v>
      </c>
      <c r="U12" s="316">
        <f>'Reporte Componentes R1'!M692</f>
        <v>541555023.57000005</v>
      </c>
      <c r="V12" s="317">
        <f>'Reporte Componentes R1'!N692</f>
        <v>540045654.16999996</v>
      </c>
      <c r="W12" s="317">
        <f>'Reporte Componentes R1'!O692</f>
        <v>2761855935.0099998</v>
      </c>
      <c r="X12" s="317">
        <f>'Reporte Componentes R1'!P692</f>
        <v>1218672485.6500001</v>
      </c>
      <c r="Y12" s="318">
        <f>'Reporte Componentes R1'!Q692</f>
        <v>100841209.87</v>
      </c>
      <c r="Z12" s="319">
        <f>L12*-1</f>
        <v>-120391083</v>
      </c>
      <c r="AA12" s="320">
        <f>'Reporte Componentes R1'!R692+'Reporte Componentes R1'!U692+'Reporte Componentes R1'!V692</f>
        <v>-16277.43</v>
      </c>
      <c r="AB12" s="321">
        <f>N12</f>
        <v>34128344.93</v>
      </c>
      <c r="AC12" s="320">
        <f>'Reporte Componentes R1'!T692+'Reporte Componentes R1'!W692+'Reporte Componentes R1'!X692+'Reporte Componentes R1'!Y692+'Reporte Componentes R1'!Z692+'Reporte Componentes R1'!S692</f>
        <v>-440.07</v>
      </c>
      <c r="AD12" s="291">
        <f t="shared" si="0"/>
        <v>92030891.980000138</v>
      </c>
      <c r="AE12" s="291">
        <f>'Reporte Componentes R1'!F693</f>
        <v>-607851821.38999999</v>
      </c>
      <c r="AF12" s="322">
        <f t="shared" si="2"/>
        <v>5168721744.6800003</v>
      </c>
      <c r="AG12" s="522">
        <f>(AF12-O12)</f>
        <v>1.9073486328125E-6</v>
      </c>
      <c r="AH12" s="305" t="b">
        <f t="shared" si="1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12033011685.710001</v>
      </c>
      <c r="E13" s="297">
        <f>'Reporte Componentes R1'!G811</f>
        <v>728817640.58000004</v>
      </c>
      <c r="F13" s="297">
        <f>'Reporte Componentes R1'!H811</f>
        <v>410843194.33999997</v>
      </c>
      <c r="G13" s="297">
        <f>'Reporte Componentes R1'!I811</f>
        <v>215464172.38</v>
      </c>
      <c r="H13" s="297">
        <f>'Reporte Componentes R1'!J811</f>
        <v>2764649544.23</v>
      </c>
      <c r="I13" s="297">
        <f>'Reporte Componentes R1'!K811</f>
        <v>105636037.55</v>
      </c>
      <c r="J13" s="289">
        <f>'BCE SC POR FACT.'!F7</f>
        <v>-82959023.660000086</v>
      </c>
      <c r="K13" s="295">
        <f>D13-E13-F13-G13-H13-I13-J13</f>
        <v>7890560120.2900019</v>
      </c>
      <c r="L13" s="294">
        <f>INTERVENTORIA!M30</f>
        <v>128990446</v>
      </c>
      <c r="M13" s="298">
        <f>K13-L13</f>
        <v>7761569674.2900019</v>
      </c>
      <c r="N13" s="299">
        <f>'Reporte Componentes R1'!L811</f>
        <v>14901729.33</v>
      </c>
      <c r="O13" s="298">
        <f>M13+N13</f>
        <v>7776471403.6200018</v>
      </c>
      <c r="Q13" s="306"/>
      <c r="S13" s="324">
        <v>5</v>
      </c>
      <c r="T13" s="325" t="s">
        <v>14</v>
      </c>
      <c r="U13" s="296">
        <f>'Reporte Componentes R1'!M811</f>
        <v>926158791.84000003</v>
      </c>
      <c r="V13" s="297">
        <f>'Reporte Componentes R1'!N811</f>
        <v>908897384.00999999</v>
      </c>
      <c r="W13" s="297">
        <f>'Reporte Componentes R1'!O811</f>
        <v>4671478931.3900003</v>
      </c>
      <c r="X13" s="297">
        <f>'Reporte Componentes R1'!P811</f>
        <v>2165115703.0500002</v>
      </c>
      <c r="Y13" s="289">
        <f>'Reporte Componentes R1'!Q811</f>
        <v>172418576.05000001</v>
      </c>
      <c r="Z13" s="319">
        <f>L13*-1</f>
        <v>-128990446</v>
      </c>
      <c r="AA13" s="320">
        <f>'Reporte Componentes R1'!R811+'Reporte Componentes R1'!U811+'Reporte Componentes R1'!V811</f>
        <v>-147734.32999999999</v>
      </c>
      <c r="AB13" s="321">
        <f>N13</f>
        <v>14901729.33</v>
      </c>
      <c r="AC13" s="320">
        <f>'Reporte Componentes R1'!T811+'Reporte Componentes R1'!W811+'Reporte Componentes R1'!X811+'Reporte Componentes R1'!Y811+'Reporte Componentes R1'!Z811+'Reporte Componentes R1'!S811</f>
        <v>-32.979999999999997</v>
      </c>
      <c r="AD13" s="291">
        <f t="shared" si="0"/>
        <v>-953361498.73999989</v>
      </c>
      <c r="AE13" s="291">
        <f>'Reporte Componentes R1'!F812</f>
        <v>-1036320522.4</v>
      </c>
      <c r="AF13" s="322">
        <f t="shared" si="2"/>
        <v>7776471403.6200008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71998775488.150009</v>
      </c>
      <c r="E14" s="290">
        <f t="shared" ref="E14:O14" si="3">SUM(E9:E13)</f>
        <v>4816995335.1899996</v>
      </c>
      <c r="F14" s="290">
        <f t="shared" si="3"/>
        <v>2708531980.9700003</v>
      </c>
      <c r="G14" s="290">
        <f t="shared" ref="G14" si="4">SUM(G9:G13)</f>
        <v>1421618158.9000001</v>
      </c>
      <c r="H14" s="290">
        <f t="shared" si="3"/>
        <v>17330480077.27</v>
      </c>
      <c r="I14" s="290">
        <f t="shared" si="3"/>
        <v>647719174.23000002</v>
      </c>
      <c r="J14" s="290">
        <f t="shared" si="3"/>
        <v>-8466734681.1999998</v>
      </c>
      <c r="K14" s="300">
        <f>SUM(K9:K13)</f>
        <v>53540165442.790001</v>
      </c>
      <c r="L14" s="301">
        <f>SUM(L9:L13)</f>
        <v>859936309</v>
      </c>
      <c r="M14" s="302">
        <f t="shared" si="3"/>
        <v>52680229133.790001</v>
      </c>
      <c r="N14" s="301">
        <f t="shared" si="3"/>
        <v>142080832.75000003</v>
      </c>
      <c r="O14" s="302">
        <f t="shared" si="3"/>
        <v>52822309966.540001</v>
      </c>
      <c r="P14" s="329"/>
      <c r="Q14" s="306"/>
      <c r="S14" s="327"/>
      <c r="T14" s="328" t="s">
        <v>2</v>
      </c>
      <c r="U14" s="330">
        <f>SUM(U9:U13)</f>
        <v>5683370044.4800005</v>
      </c>
      <c r="V14" s="330">
        <f t="shared" ref="V14:AF14" si="5">SUM(V9:V13)</f>
        <v>5599212151.6999998</v>
      </c>
      <c r="W14" s="330">
        <f t="shared" si="5"/>
        <v>27035524897.790001</v>
      </c>
      <c r="X14" s="330">
        <f t="shared" si="5"/>
        <v>11610102295.400002</v>
      </c>
      <c r="Y14" s="330">
        <f t="shared" si="5"/>
        <v>1057749118.8199999</v>
      </c>
      <c r="Z14" s="290">
        <f t="shared" si="5"/>
        <v>-859936309</v>
      </c>
      <c r="AA14" s="290">
        <f t="shared" si="5"/>
        <v>151628.95000000004</v>
      </c>
      <c r="AB14" s="290">
        <f t="shared" si="5"/>
        <v>142080832.75000003</v>
      </c>
      <c r="AC14" s="290">
        <f>SUM(AC9:AC13)</f>
        <v>-14075.189999999999</v>
      </c>
      <c r="AD14" s="290">
        <f>SUM(AD9:AD13)</f>
        <v>2554069380.8399997</v>
      </c>
      <c r="AE14" s="290">
        <f>SUM(AE9:AE13)</f>
        <v>-5912665300.3599997</v>
      </c>
      <c r="AF14" s="331">
        <f t="shared" si="5"/>
        <v>52822309966.540009</v>
      </c>
      <c r="AG14" s="524">
        <f>SUM(AG9:AG13)</f>
        <v>2.86102294921875E-6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50985958508.190002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125948553.12</v>
      </c>
      <c r="E28" s="292">
        <f>'Rem. Anticipos R2'!F57</f>
        <v>9640402.9100000001</v>
      </c>
      <c r="F28" s="292">
        <f>'Rem. Anticipos R2'!G57</f>
        <v>5490662.7300000004</v>
      </c>
      <c r="G28" s="292">
        <f>'Rem. Anticipos R2'!H57</f>
        <v>2785450.03</v>
      </c>
      <c r="H28" s="292">
        <f>'Rem. Anticipos R2'!I57</f>
        <v>24544067.870000001</v>
      </c>
      <c r="I28" s="292">
        <f>'Rem. Anticipos R2'!J57</f>
        <v>964886.66</v>
      </c>
      <c r="J28" s="288">
        <v>0</v>
      </c>
      <c r="K28" s="293">
        <f>D28-E28-F28-G28-H28-I28-J28</f>
        <v>82523082.920000002</v>
      </c>
      <c r="L28" s="294">
        <v>0</v>
      </c>
      <c r="M28" s="293">
        <f>K28-L28</f>
        <v>82523082.920000002</v>
      </c>
      <c r="N28" s="294">
        <f>'Rem. Anticipos R2'!K57</f>
        <v>0</v>
      </c>
      <c r="O28" s="293">
        <f>M28+N28</f>
        <v>82523082.920000002</v>
      </c>
      <c r="Q28" s="306"/>
      <c r="S28" s="303">
        <v>1</v>
      </c>
      <c r="T28" s="304" t="s">
        <v>10</v>
      </c>
      <c r="U28" s="307">
        <f>'Rem. Anticipos R2'!L57</f>
        <v>8824083.3000000007</v>
      </c>
      <c r="V28" s="308">
        <f>'Rem. Anticipos R2'!M57</f>
        <v>8523193.0899999999</v>
      </c>
      <c r="W28" s="308">
        <f>'Rem. Anticipos R2'!N57</f>
        <v>37613664.950000003</v>
      </c>
      <c r="X28" s="308">
        <f>'Rem. Anticipos R2'!O57</f>
        <v>27011615</v>
      </c>
      <c r="Y28" s="308">
        <f>'Rem. Anticipos R2'!P57</f>
        <v>1394039.63</v>
      </c>
      <c r="Z28" s="310">
        <f>L28*-1</f>
        <v>0</v>
      </c>
      <c r="AA28" s="311">
        <f>'Rem. Anticipos R2'!Q57</f>
        <v>-73.75</v>
      </c>
      <c r="AB28" s="294">
        <f>N28</f>
        <v>0</v>
      </c>
      <c r="AC28" s="311">
        <f>'Rem. Anticipos R2'!R57</f>
        <v>0</v>
      </c>
      <c r="AD28" s="291">
        <f>-J28+AE28</f>
        <v>-843439.3</v>
      </c>
      <c r="AE28" s="291">
        <f>'Rem. Anticipos R2'!E58</f>
        <v>-843439.3</v>
      </c>
      <c r="AF28" s="313">
        <f>SUM(U28:AD28)</f>
        <v>82523082.920000002</v>
      </c>
      <c r="AG28" s="52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178539092.16</v>
      </c>
      <c r="E29" s="292">
        <f>'Rem. Anticipos R2'!F178</f>
        <v>17193125.32</v>
      </c>
      <c r="F29" s="292">
        <f>'Rem. Anticipos R2'!G178</f>
        <v>9759590.5199999996</v>
      </c>
      <c r="G29" s="292">
        <f>'Rem. Anticipos R2'!H178</f>
        <v>4674886.45</v>
      </c>
      <c r="H29" s="292">
        <f>'Rem. Anticipos R2'!I178</f>
        <v>47216081.210000001</v>
      </c>
      <c r="I29" s="292">
        <f>'Rem. Anticipos R2'!J178</f>
        <v>1451359.21</v>
      </c>
      <c r="J29" s="288">
        <v>0</v>
      </c>
      <c r="K29" s="295">
        <f>D29-E29-F29-G29-H29-I29-J29</f>
        <v>98244049.450000003</v>
      </c>
      <c r="L29" s="294">
        <v>0</v>
      </c>
      <c r="M29" s="295">
        <f>K29-L29</f>
        <v>98244049.450000003</v>
      </c>
      <c r="N29" s="294">
        <f>'Rem. Anticipos R2'!K178</f>
        <v>0</v>
      </c>
      <c r="O29" s="295">
        <f t="shared" ref="O29:O32" si="6">M29+N29</f>
        <v>98244049.450000003</v>
      </c>
      <c r="Q29" s="306"/>
      <c r="S29" s="314">
        <v>2</v>
      </c>
      <c r="T29" s="315" t="s">
        <v>11</v>
      </c>
      <c r="U29" s="316">
        <f>'Rem. Anticipos R2'!L178</f>
        <v>13193069.92</v>
      </c>
      <c r="V29" s="317">
        <f>'Rem. Anticipos R2'!M178</f>
        <v>14193303.560000001</v>
      </c>
      <c r="W29" s="317">
        <f>'Rem. Anticipos R2'!N178</f>
        <v>54326291.740000002</v>
      </c>
      <c r="X29" s="317">
        <f>'Rem. Anticipos R2'!O178</f>
        <v>52723995.280000001</v>
      </c>
      <c r="Y29" s="318">
        <f>'Rem. Anticipos R2'!P178</f>
        <v>1920514</v>
      </c>
      <c r="Z29" s="319">
        <f>L29*-1</f>
        <v>0</v>
      </c>
      <c r="AA29" s="320">
        <f>'Rem. Anticipos R2'!Q178</f>
        <v>181.61</v>
      </c>
      <c r="AB29" s="294">
        <f>N29</f>
        <v>0</v>
      </c>
      <c r="AC29" s="320">
        <f>'Rem. Anticipos R2'!R178</f>
        <v>0</v>
      </c>
      <c r="AD29" s="291">
        <f>-J29+AE29</f>
        <v>-38113306.659999996</v>
      </c>
      <c r="AE29" s="291">
        <f>'Rem. Anticipos R2'!E179</f>
        <v>-38113306.659999996</v>
      </c>
      <c r="AF29" s="322">
        <f>SUM(U29:AD29)</f>
        <v>98244049.450000018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26586328.289999999</v>
      </c>
      <c r="E30" s="292">
        <f>'Rem. Anticipos R2'!F299</f>
        <v>2669415.9900000002</v>
      </c>
      <c r="F30" s="292">
        <f>'Rem. Anticipos R2'!G299</f>
        <v>1115118.8799999999</v>
      </c>
      <c r="G30" s="292">
        <f>'Rem. Anticipos R2'!H299</f>
        <v>766590.87</v>
      </c>
      <c r="H30" s="292">
        <f>'Rem. Anticipos R2'!I299</f>
        <v>3649866.33</v>
      </c>
      <c r="I30" s="292">
        <f>'Rem. Anticipos R2'!J299</f>
        <v>117977.5</v>
      </c>
      <c r="J30" s="288">
        <v>0</v>
      </c>
      <c r="K30" s="295">
        <f t="shared" ref="K30:K31" si="8">D30-E30-F30-G30-H30-I30-J30</f>
        <v>18267358.719999999</v>
      </c>
      <c r="L30" s="294">
        <v>0</v>
      </c>
      <c r="M30" s="295">
        <f>K30-L30</f>
        <v>18267358.719999999</v>
      </c>
      <c r="N30" s="294">
        <f>'Rem. Anticipos R2'!K299</f>
        <v>22742.37</v>
      </c>
      <c r="O30" s="295">
        <f t="shared" si="6"/>
        <v>18290101.09</v>
      </c>
      <c r="Q30" s="306"/>
      <c r="S30" s="314">
        <v>3</v>
      </c>
      <c r="T30" s="315" t="s">
        <v>12</v>
      </c>
      <c r="U30" s="316">
        <f>'Rem. Anticipos R2'!L299</f>
        <v>1069586.72</v>
      </c>
      <c r="V30" s="317">
        <f>'Rem. Anticipos R2'!M299</f>
        <v>1249645.94</v>
      </c>
      <c r="W30" s="317">
        <f>'Rem. Anticipos R2'!N299</f>
        <v>6297254.4900000002</v>
      </c>
      <c r="X30" s="317">
        <f>'Rem. Anticipos R2'!O299</f>
        <v>6569127.7699999996</v>
      </c>
      <c r="Y30" s="318">
        <f>'Rem. Anticipos R2'!P299</f>
        <v>179885.12</v>
      </c>
      <c r="Z30" s="319">
        <f>L30*-1</f>
        <v>0</v>
      </c>
      <c r="AA30" s="320">
        <f>'Rem. Anticipos R2'!Q299</f>
        <v>46.22</v>
      </c>
      <c r="AB30" s="294">
        <f>N30</f>
        <v>22742.37</v>
      </c>
      <c r="AC30" s="320">
        <f>'Rem. Anticipos R2'!R299</f>
        <v>0</v>
      </c>
      <c r="AD30" s="291">
        <f t="shared" ref="AD30:AD32" si="9">-J30+AE30</f>
        <v>2901812.46</v>
      </c>
      <c r="AE30" s="291">
        <f>'Rem. Anticipos R2'!E300</f>
        <v>2901812.46</v>
      </c>
      <c r="AF30" s="322">
        <f>SUM(U30:AD30)</f>
        <v>18290101.09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161461949.73000002</v>
      </c>
      <c r="E31" s="292">
        <f>'Rem. Anticipos R2'!F423</f>
        <v>16099105.310000001</v>
      </c>
      <c r="F31" s="292">
        <f>'Rem. Anticipos R2'!G423</f>
        <v>9061043.1899999995</v>
      </c>
      <c r="G31" s="292">
        <f>'Rem. Anticipos R2'!H423</f>
        <v>2852946.06</v>
      </c>
      <c r="H31" s="292">
        <f>'Rem. Anticipos R2'!I423</f>
        <v>32340245.82</v>
      </c>
      <c r="I31" s="292">
        <f>'Rem. Anticipos R2'!J423</f>
        <v>1124253.03</v>
      </c>
      <c r="J31" s="288">
        <v>0</v>
      </c>
      <c r="K31" s="295">
        <f t="shared" si="8"/>
        <v>99984356.320000023</v>
      </c>
      <c r="L31" s="294">
        <v>0</v>
      </c>
      <c r="M31" s="295">
        <f>K31-L31</f>
        <v>99984356.320000023</v>
      </c>
      <c r="N31" s="294">
        <f>'Rem. Anticipos R2'!K423</f>
        <v>0</v>
      </c>
      <c r="O31" s="295">
        <f t="shared" si="6"/>
        <v>99984356.320000023</v>
      </c>
      <c r="Q31" s="306"/>
      <c r="S31" s="314">
        <v>4</v>
      </c>
      <c r="T31" s="315" t="s">
        <v>13</v>
      </c>
      <c r="U31" s="316">
        <f>'Rem. Anticipos R2'!L423</f>
        <v>9787993.9299999997</v>
      </c>
      <c r="V31" s="317">
        <f>'Rem. Anticipos R2'!M423</f>
        <v>10109598.300000001</v>
      </c>
      <c r="W31" s="317">
        <f>'Rem. Anticipos R2'!N423</f>
        <v>46326513.079999998</v>
      </c>
      <c r="X31" s="317">
        <f>'Rem. Anticipos R2'!O423</f>
        <v>43710041.659999996</v>
      </c>
      <c r="Y31" s="318">
        <f>'Rem. Anticipos R2'!P423</f>
        <v>1759287.77</v>
      </c>
      <c r="Z31" s="319">
        <f>L31*-1</f>
        <v>0</v>
      </c>
      <c r="AA31" s="320">
        <f>'Rem. Anticipos R2'!Q423</f>
        <v>4.5599999999999996</v>
      </c>
      <c r="AB31" s="294">
        <f>N31</f>
        <v>0</v>
      </c>
      <c r="AC31" s="320">
        <f>'Rem. Anticipos R2'!R423</f>
        <v>0</v>
      </c>
      <c r="AD31" s="291">
        <f t="shared" si="9"/>
        <v>-11709082.98</v>
      </c>
      <c r="AE31" s="291">
        <f>'Rem. Anticipos R2'!E424</f>
        <v>-11709082.98</v>
      </c>
      <c r="AF31" s="322">
        <f>SUM(U31:AD31)</f>
        <v>99984356.319999993</v>
      </c>
      <c r="AG31" s="522">
        <f t="shared" si="10"/>
        <v>-2.9802322387695313E-8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42983502.410000004</v>
      </c>
      <c r="E32" s="297">
        <f>'Rem. Anticipos R2'!F510</f>
        <v>3046794.96</v>
      </c>
      <c r="F32" s="297">
        <f>'Rem. Anticipos R2'!G510</f>
        <v>1737546.59</v>
      </c>
      <c r="G32" s="297">
        <f>'Rem. Anticipos R2'!H510</f>
        <v>808529.7</v>
      </c>
      <c r="H32" s="297">
        <f>'Rem. Anticipos R2'!I510</f>
        <v>7182406.2400000002</v>
      </c>
      <c r="I32" s="297">
        <f>'Rem. Anticipos R2'!J510</f>
        <v>249175.55</v>
      </c>
      <c r="J32" s="289">
        <v>0</v>
      </c>
      <c r="K32" s="295">
        <f>D32-E32-F32-G32-H32-I32-J32</f>
        <v>29959049.369999994</v>
      </c>
      <c r="L32" s="294">
        <v>0</v>
      </c>
      <c r="M32" s="298">
        <f>K32-L32</f>
        <v>29959049.369999994</v>
      </c>
      <c r="N32" s="299">
        <f>'Rem. Anticipos R2'!K510</f>
        <v>990006.55</v>
      </c>
      <c r="O32" s="298">
        <f t="shared" si="6"/>
        <v>30949055.919999994</v>
      </c>
      <c r="Q32" s="306"/>
      <c r="S32" s="324">
        <v>5</v>
      </c>
      <c r="T32" s="325" t="s">
        <v>14</v>
      </c>
      <c r="U32" s="296">
        <f>'Rem. Anticipos R2'!L510</f>
        <v>2265402.94</v>
      </c>
      <c r="V32" s="297">
        <f>'Rem. Anticipos R2'!M510</f>
        <v>2501140.2999999998</v>
      </c>
      <c r="W32" s="297">
        <f>'Rem. Anticipos R2'!N510</f>
        <v>10769602.529999999</v>
      </c>
      <c r="X32" s="297">
        <f>'Rem. Anticipos R2'!O510</f>
        <v>9260216.1500000004</v>
      </c>
      <c r="Y32" s="289">
        <f>'Rem. Anticipos R2'!P510</f>
        <v>352055.57</v>
      </c>
      <c r="Z32" s="319">
        <f>L32*-1</f>
        <v>0</v>
      </c>
      <c r="AA32" s="320">
        <f>'Rem. Anticipos R2'!Q510</f>
        <v>-10.37</v>
      </c>
      <c r="AB32" s="294">
        <f>N32</f>
        <v>990006.55</v>
      </c>
      <c r="AC32" s="320">
        <f>'Rem. Anticipos R2'!R510</f>
        <v>0</v>
      </c>
      <c r="AD32" s="291">
        <f t="shared" si="9"/>
        <v>4810642.25</v>
      </c>
      <c r="AE32" s="291">
        <f>'Rem. Anticipos R2'!E511</f>
        <v>4810642.25</v>
      </c>
      <c r="AF32" s="322">
        <f>SUM(U32:AD32)</f>
        <v>30949055.920000002</v>
      </c>
      <c r="AG32" s="523">
        <f>(AF32-O32)</f>
        <v>7.4505805969238281E-9</v>
      </c>
      <c r="AH32" s="305" t="b">
        <f t="shared" si="7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535519425.71000004</v>
      </c>
      <c r="E33" s="290">
        <f>SUM(E28:E32)</f>
        <v>48648844.490000002</v>
      </c>
      <c r="F33" s="290">
        <f t="shared" ref="F33:O33" si="11">SUM(F28:F32)</f>
        <v>27163961.91</v>
      </c>
      <c r="G33" s="290">
        <f t="shared" ref="G33" si="12">SUM(G28:G32)</f>
        <v>11888403.109999999</v>
      </c>
      <c r="H33" s="290">
        <f t="shared" si="11"/>
        <v>114932667.46999998</v>
      </c>
      <c r="I33" s="290">
        <f t="shared" si="11"/>
        <v>3907651.95</v>
      </c>
      <c r="J33" s="290">
        <f t="shared" si="11"/>
        <v>0</v>
      </c>
      <c r="K33" s="300">
        <f t="shared" si="11"/>
        <v>328977896.78000003</v>
      </c>
      <c r="L33" s="301">
        <f t="shared" si="11"/>
        <v>0</v>
      </c>
      <c r="M33" s="302">
        <f t="shared" si="11"/>
        <v>328977896.78000003</v>
      </c>
      <c r="N33" s="301">
        <f t="shared" si="11"/>
        <v>1012748.92</v>
      </c>
      <c r="O33" s="302">
        <f t="shared" si="11"/>
        <v>329990645.70000005</v>
      </c>
      <c r="P33" s="329"/>
      <c r="Q33" s="306"/>
      <c r="S33" s="327"/>
      <c r="T33" s="328" t="s">
        <v>2</v>
      </c>
      <c r="U33" s="330">
        <f>SUM(U28:U32)</f>
        <v>35140136.809999995</v>
      </c>
      <c r="V33" s="330">
        <f t="shared" ref="V33:AF33" si="13">SUM(V28:V32)</f>
        <v>36576881.189999998</v>
      </c>
      <c r="W33" s="330">
        <f t="shared" si="13"/>
        <v>155333326.78999999</v>
      </c>
      <c r="X33" s="330">
        <f t="shared" si="13"/>
        <v>139274995.85999998</v>
      </c>
      <c r="Y33" s="330">
        <f t="shared" si="13"/>
        <v>5605782.0899999999</v>
      </c>
      <c r="Z33" s="290">
        <f t="shared" si="13"/>
        <v>0</v>
      </c>
      <c r="AA33" s="290">
        <f t="shared" si="13"/>
        <v>148.27000000000001</v>
      </c>
      <c r="AB33" s="290">
        <f t="shared" si="13"/>
        <v>1012748.92</v>
      </c>
      <c r="AC33" s="290">
        <f t="shared" ref="AC33" si="14">SUM(AC28:AC32)</f>
        <v>0</v>
      </c>
      <c r="AD33" s="290">
        <f>SUM(AD28:AD32)</f>
        <v>-42953374.229999989</v>
      </c>
      <c r="AE33" s="290">
        <f>SUM(AE28:AE32)</f>
        <v>-42953374.229999989</v>
      </c>
      <c r="AF33" s="331">
        <f t="shared" si="13"/>
        <v>329990645.69999999</v>
      </c>
      <c r="AG33" s="524">
        <f t="shared" ref="AG33" si="15">SUM(AG28:AG32)</f>
        <v>-7.4505805969238281E-9</v>
      </c>
      <c r="AH33" s="305" t="b">
        <f>INT(AG33)=0</f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371931122.73999995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49580</v>
      </c>
      <c r="E47" s="292">
        <f>'Reporte Componentes R1'!G91</f>
        <v>2007.44</v>
      </c>
      <c r="F47" s="292">
        <f>'Reporte Componentes R1'!H91</f>
        <v>1133.3800000000001</v>
      </c>
      <c r="G47" s="292">
        <f>'Reporte Componentes R1'!I91</f>
        <v>594.88</v>
      </c>
      <c r="H47" s="292">
        <f>'Reporte Componentes R1'!J91</f>
        <v>0</v>
      </c>
      <c r="I47" s="292">
        <f>'Reporte Componentes R1'!K91</f>
        <v>0</v>
      </c>
      <c r="J47" s="288">
        <v>0</v>
      </c>
      <c r="K47" s="293">
        <f>D47-E47-F47-G47-H47-I47-J47</f>
        <v>45844.3</v>
      </c>
      <c r="L47" s="294">
        <v>0</v>
      </c>
      <c r="M47" s="293">
        <f>K47-L47</f>
        <v>45844.3</v>
      </c>
      <c r="N47" s="294">
        <f>'Reporte Componentes R1'!L91</f>
        <v>0</v>
      </c>
      <c r="O47" s="293">
        <f>M47+N47</f>
        <v>45844.3</v>
      </c>
      <c r="Q47" s="306"/>
      <c r="S47" s="303">
        <v>1</v>
      </c>
      <c r="T47" s="304" t="s">
        <v>10</v>
      </c>
      <c r="U47" s="307">
        <f>'Reporte Componentes R1'!M91</f>
        <v>0</v>
      </c>
      <c r="V47" s="308">
        <f>'Reporte Componentes R1'!N91</f>
        <v>0</v>
      </c>
      <c r="W47" s="308">
        <f>'Reporte Componentes R1'!O91</f>
        <v>0</v>
      </c>
      <c r="X47" s="308">
        <f>'Reporte Componentes R1'!P91</f>
        <v>5482.6</v>
      </c>
      <c r="Y47" s="309">
        <f>'Reporte Componentes R1'!Q91</f>
        <v>0</v>
      </c>
      <c r="Z47" s="310">
        <f>-L47</f>
        <v>0</v>
      </c>
      <c r="AA47" s="320">
        <f>'Reporte Componentes R1'!R91+'Reporte Componentes R1'!V91+'Reporte Componentes R1'!U91</f>
        <v>-2.61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40364.31</v>
      </c>
      <c r="AE47" s="291">
        <f>'Reporte Componentes R1'!F92</f>
        <v>40364.31</v>
      </c>
      <c r="AF47" s="313">
        <f>SUM(U47:AD47)</f>
        <v>45844.299999999996</v>
      </c>
      <c r="AG47" s="521">
        <f>(AF47-O47)</f>
        <v>-7.2759576141834259E-12</v>
      </c>
      <c r="AH47" s="305" t="b">
        <f>INT(AG47)=0</f>
        <v>0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56190070</v>
      </c>
      <c r="E48" s="292">
        <f>'Reporte Componentes R1'!G325</f>
        <v>7708934.9000000004</v>
      </c>
      <c r="F48" s="292">
        <f>'Reporte Componentes R1'!H325</f>
        <v>4358213.05</v>
      </c>
      <c r="G48" s="292">
        <f>'Reporte Componentes R1'!I325</f>
        <v>2310135.71</v>
      </c>
      <c r="H48" s="292">
        <f>'Reporte Componentes R1'!J325</f>
        <v>173927.38</v>
      </c>
      <c r="I48" s="292">
        <f>'Reporte Componentes R1'!K325</f>
        <v>5311.09</v>
      </c>
      <c r="J48" s="288">
        <v>0</v>
      </c>
      <c r="K48" s="295">
        <f t="shared" ref="K48:K51" si="16">D48-E48-F48-G48-H48-I48-J48</f>
        <v>41633547.869999997</v>
      </c>
      <c r="L48" s="294">
        <v>0</v>
      </c>
      <c r="M48" s="295">
        <f>K48-L48</f>
        <v>41633547.869999997</v>
      </c>
      <c r="N48" s="294">
        <f>'Reporte Componentes R1'!L325</f>
        <v>0</v>
      </c>
      <c r="O48" s="295">
        <f t="shared" ref="O48:O51" si="17">M48+N48</f>
        <v>41633547.869999997</v>
      </c>
      <c r="Q48" s="306"/>
      <c r="S48" s="314">
        <v>2</v>
      </c>
      <c r="T48" s="315" t="s">
        <v>11</v>
      </c>
      <c r="U48" s="316">
        <f>'Reporte Componentes R1'!M325</f>
        <v>46588.43</v>
      </c>
      <c r="V48" s="317">
        <f>'Reporte Componentes R1'!N325</f>
        <v>53938.06</v>
      </c>
      <c r="W48" s="317">
        <f>'Reporte Componentes R1'!O325</f>
        <v>251431.52</v>
      </c>
      <c r="X48" s="317">
        <f>'Reporte Componentes R1'!P325</f>
        <v>15476286.449999999</v>
      </c>
      <c r="Y48" s="318">
        <f>'Reporte Componentes R1'!Q325</f>
        <v>8665.4500000000007</v>
      </c>
      <c r="Z48" s="319">
        <f>-L48</f>
        <v>0</v>
      </c>
      <c r="AA48" s="320">
        <f>'Reporte Componentes R1'!R325+'Reporte Componentes R1'!V325+'Reporte Componentes R1'!U325</f>
        <v>-0.40999999999999898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25796638.370000001</v>
      </c>
      <c r="AE48" s="291">
        <f>'Reporte Componentes R1'!F326</f>
        <v>25796638.370000001</v>
      </c>
      <c r="AF48" s="322">
        <f>SUM(U48:AD48)</f>
        <v>41633547.869999997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1307680</v>
      </c>
      <c r="E49" s="292">
        <f>'Reporte Componentes R1'!G486</f>
        <v>147598.38</v>
      </c>
      <c r="F49" s="292">
        <f>'Reporte Componentes R1'!H486</f>
        <v>66140.960000000006</v>
      </c>
      <c r="G49" s="292">
        <f>'Reporte Componentes R1'!I486</f>
        <v>37291.57</v>
      </c>
      <c r="H49" s="292">
        <f>'Reporte Componentes R1'!J486</f>
        <v>33572.080000000002</v>
      </c>
      <c r="I49" s="292">
        <f>'Reporte Componentes R1'!K486</f>
        <v>682.45</v>
      </c>
      <c r="J49" s="288">
        <v>0</v>
      </c>
      <c r="K49" s="295">
        <f t="shared" si="16"/>
        <v>1022394.5600000002</v>
      </c>
      <c r="L49" s="294">
        <v>0</v>
      </c>
      <c r="M49" s="295">
        <f>K49-L49</f>
        <v>1022394.5600000002</v>
      </c>
      <c r="N49" s="294">
        <f>'Reporte Componentes R1'!L486</f>
        <v>0</v>
      </c>
      <c r="O49" s="295">
        <f t="shared" si="17"/>
        <v>1022394.5600000002</v>
      </c>
      <c r="Q49" s="306"/>
      <c r="S49" s="314">
        <v>3</v>
      </c>
      <c r="T49" s="315" t="s">
        <v>12</v>
      </c>
      <c r="U49" s="316">
        <f>'Reporte Componentes R1'!M486</f>
        <v>5991.23</v>
      </c>
      <c r="V49" s="317">
        <f>'Reporte Componentes R1'!N486</f>
        <v>7293.25</v>
      </c>
      <c r="W49" s="317">
        <f>'Reporte Componentes R1'!O486</f>
        <v>33919.089999999997</v>
      </c>
      <c r="X49" s="317">
        <f>'Reporte Componentes R1'!P486</f>
        <v>346942.9</v>
      </c>
      <c r="Y49" s="318">
        <f>'Reporte Componentes R1'!Q486</f>
        <v>1113.3699999999999</v>
      </c>
      <c r="Z49" s="319">
        <f>-L49</f>
        <v>0</v>
      </c>
      <c r="AA49" s="320">
        <f>'Reporte Componentes R1'!R486+'Reporte Componentes R1'!V486+'Reporte Componentes R1'!U486</f>
        <v>-7.95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0.7</v>
      </c>
      <c r="AD49" s="291">
        <f t="shared" si="18"/>
        <v>627141.97</v>
      </c>
      <c r="AE49" s="291">
        <f>'Reporte Componentes R1'!F487</f>
        <v>627141.97</v>
      </c>
      <c r="AF49" s="322">
        <f t="shared" ref="AF49:AF51" si="20">SUM(U49:AD49)</f>
        <v>1022394.56</v>
      </c>
      <c r="AG49" s="522">
        <f t="shared" ref="AG49:AG51" si="21">(AF49-O49)</f>
        <v>-1.1641532182693481E-10</v>
      </c>
      <c r="AH49" s="305" t="b">
        <f t="shared" si="19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4343101</v>
      </c>
      <c r="E50" s="292">
        <f>'Reporte Componentes R1'!G694</f>
        <v>311438.06</v>
      </c>
      <c r="F50" s="292">
        <f>'Reporte Componentes R1'!H694</f>
        <v>174745.19</v>
      </c>
      <c r="G50" s="292">
        <f>'Reporte Componentes R1'!I694</f>
        <v>94552.57</v>
      </c>
      <c r="H50" s="292">
        <f>'Reporte Componentes R1'!J694</f>
        <v>971475.94</v>
      </c>
      <c r="I50" s="292">
        <f>'Reporte Componentes R1'!K694</f>
        <v>31532.52</v>
      </c>
      <c r="J50" s="288">
        <v>0</v>
      </c>
      <c r="K50" s="295">
        <f t="shared" si="16"/>
        <v>2759356.72</v>
      </c>
      <c r="L50" s="294">
        <v>0</v>
      </c>
      <c r="M50" s="295">
        <f>K50-L50</f>
        <v>2759356.72</v>
      </c>
      <c r="N50" s="294">
        <f>'Reporte Componentes R1'!L694</f>
        <v>0</v>
      </c>
      <c r="O50" s="295">
        <f t="shared" si="17"/>
        <v>2759356.72</v>
      </c>
      <c r="Q50" s="306"/>
      <c r="S50" s="314">
        <v>4</v>
      </c>
      <c r="T50" s="315" t="s">
        <v>13</v>
      </c>
      <c r="U50" s="316">
        <f>'Reporte Componentes R1'!M694</f>
        <v>280120.46000000002</v>
      </c>
      <c r="V50" s="317">
        <f>'Reporte Componentes R1'!N694</f>
        <v>309903.63</v>
      </c>
      <c r="W50" s="317">
        <f>'Reporte Componentes R1'!O694</f>
        <v>1543098.75</v>
      </c>
      <c r="X50" s="317">
        <f>'Reporte Componentes R1'!P694</f>
        <v>830464.64</v>
      </c>
      <c r="Y50" s="318">
        <f>'Reporte Componentes R1'!Q694</f>
        <v>53321.16</v>
      </c>
      <c r="Z50" s="319">
        <f>-L50</f>
        <v>0</v>
      </c>
      <c r="AA50" s="320">
        <f>'Reporte Componentes R1'!R694+'Reporte Componentes R1'!V694+'Reporte Componentes R1'!U694</f>
        <v>10.98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-88.74</v>
      </c>
      <c r="AD50" s="291">
        <f t="shared" si="18"/>
        <v>-257474.16</v>
      </c>
      <c r="AE50" s="291">
        <f>'Reporte Componentes R1'!F695</f>
        <v>-257474.16</v>
      </c>
      <c r="AF50" s="322">
        <f t="shared" si="20"/>
        <v>2759356.7199999997</v>
      </c>
      <c r="AG50" s="522">
        <f t="shared" si="21"/>
        <v>-4.6566128730773926E-10</v>
      </c>
      <c r="AH50" s="305" t="b">
        <f t="shared" si="19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441849</v>
      </c>
      <c r="E51" s="297">
        <f>'Reporte Componentes R1'!G813</f>
        <v>26657.43</v>
      </c>
      <c r="F51" s="297">
        <f>'Reporte Componentes R1'!H813</f>
        <v>14138.02</v>
      </c>
      <c r="G51" s="297">
        <f>'Reporte Componentes R1'!I813</f>
        <v>7723.27</v>
      </c>
      <c r="H51" s="297">
        <f>'Reporte Componentes R1'!J813</f>
        <v>93911.73</v>
      </c>
      <c r="I51" s="297">
        <f>'Reporte Componentes R1'!K813</f>
        <v>2290.29</v>
      </c>
      <c r="J51" s="289">
        <v>0</v>
      </c>
      <c r="K51" s="295">
        <f t="shared" si="16"/>
        <v>297128.26</v>
      </c>
      <c r="L51" s="294">
        <v>0</v>
      </c>
      <c r="M51" s="298">
        <f>K51-L51</f>
        <v>297128.26</v>
      </c>
      <c r="N51" s="299">
        <f>'Reporte Componentes R1'!L813</f>
        <v>0</v>
      </c>
      <c r="O51" s="298">
        <f t="shared" si="17"/>
        <v>297128.26</v>
      </c>
      <c r="Q51" s="306"/>
      <c r="S51" s="324">
        <v>5</v>
      </c>
      <c r="T51" s="325" t="s">
        <v>14</v>
      </c>
      <c r="U51" s="296">
        <f>'Reporte Componentes R1'!M813</f>
        <v>20089.34</v>
      </c>
      <c r="V51" s="297">
        <f>'Reporte Componentes R1'!N813</f>
        <v>28092.36</v>
      </c>
      <c r="W51" s="297">
        <f>'Reporte Componentes R1'!O813</f>
        <v>141333</v>
      </c>
      <c r="X51" s="297">
        <f>'Reporte Componentes R1'!P813</f>
        <v>79544.789999999994</v>
      </c>
      <c r="Y51" s="289">
        <f>'Reporte Componentes R1'!Q813</f>
        <v>3736.7</v>
      </c>
      <c r="Z51" s="319">
        <f>-L51</f>
        <v>0</v>
      </c>
      <c r="AA51" s="320">
        <f>'Reporte Componentes R1'!R813+'Reporte Componentes R1'!V813+'Reporte Componentes R1'!U813</f>
        <v>2.69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24329.38</v>
      </c>
      <c r="AE51" s="291">
        <f>'Reporte Componentes R1'!F814</f>
        <v>24329.38</v>
      </c>
      <c r="AF51" s="322">
        <f t="shared" si="20"/>
        <v>297128.26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62332280</v>
      </c>
      <c r="E52" s="290">
        <f t="shared" si="22"/>
        <v>8196636.21</v>
      </c>
      <c r="F52" s="290">
        <f t="shared" si="22"/>
        <v>4614370.5999999996</v>
      </c>
      <c r="G52" s="290">
        <f t="shared" ref="G52" si="23">SUM(G47:G51)</f>
        <v>2450297.9999999995</v>
      </c>
      <c r="H52" s="290">
        <f t="shared" si="22"/>
        <v>1272887.1299999999</v>
      </c>
      <c r="I52" s="290">
        <f t="shared" si="22"/>
        <v>39816.35</v>
      </c>
      <c r="J52" s="290">
        <f t="shared" si="22"/>
        <v>0</v>
      </c>
      <c r="K52" s="300">
        <f t="shared" si="22"/>
        <v>45758271.709999993</v>
      </c>
      <c r="L52" s="301">
        <f t="shared" si="22"/>
        <v>0</v>
      </c>
      <c r="M52" s="302">
        <f t="shared" si="22"/>
        <v>45758271.709999993</v>
      </c>
      <c r="N52" s="301">
        <f t="shared" si="22"/>
        <v>0</v>
      </c>
      <c r="O52" s="302">
        <f t="shared" si="22"/>
        <v>45758271.709999993</v>
      </c>
      <c r="P52" s="329"/>
      <c r="Q52" s="306"/>
      <c r="S52" s="327"/>
      <c r="T52" s="328" t="s">
        <v>2</v>
      </c>
      <c r="U52" s="330">
        <f>SUM(U47:U51)</f>
        <v>352789.46</v>
      </c>
      <c r="V52" s="330">
        <f t="shared" ref="V52:AG52" si="24">SUM(V47:V51)</f>
        <v>399227.3</v>
      </c>
      <c r="W52" s="330">
        <f t="shared" si="24"/>
        <v>1969782.3599999999</v>
      </c>
      <c r="X52" s="330">
        <f t="shared" si="24"/>
        <v>16738721.379999999</v>
      </c>
      <c r="Y52" s="330">
        <f t="shared" si="24"/>
        <v>66836.680000000008</v>
      </c>
      <c r="Z52" s="290">
        <f t="shared" si="24"/>
        <v>0</v>
      </c>
      <c r="AA52" s="290">
        <f t="shared" si="24"/>
        <v>2.7000000000000015</v>
      </c>
      <c r="AB52" s="290">
        <f t="shared" si="24"/>
        <v>0</v>
      </c>
      <c r="AC52" s="290">
        <f t="shared" si="24"/>
        <v>-88.039999999999992</v>
      </c>
      <c r="AD52" s="290">
        <f>SUM(AD47:AD51)</f>
        <v>26230999.869999997</v>
      </c>
      <c r="AE52" s="290">
        <f>SUM(AE47:AE51)</f>
        <v>26230999.869999997</v>
      </c>
      <c r="AF52" s="331">
        <f t="shared" si="24"/>
        <v>45758271.709999993</v>
      </c>
      <c r="AG52" s="524">
        <f t="shared" si="24"/>
        <v>-5.893525667488575E-10</v>
      </c>
      <c r="AH52" s="305" t="b">
        <f>INT(AG52)=0</f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19527357.18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-16536713.09</v>
      </c>
      <c r="E66" s="292">
        <f>'Reversion Pagos R4'!E79</f>
        <v>-842044.27</v>
      </c>
      <c r="F66" s="292">
        <f>'Reversion Pagos R4'!F79</f>
        <v>-470499.84000000003</v>
      </c>
      <c r="G66" s="292">
        <f>'Reversion Pagos R4'!G79</f>
        <v>-249332.32</v>
      </c>
      <c r="H66" s="292">
        <f>'Reversion Pagos R4'!H79</f>
        <v>-4006466.75</v>
      </c>
      <c r="I66" s="292">
        <f>'Reversion Pagos R4'!I79</f>
        <v>-145004</v>
      </c>
      <c r="J66" s="288">
        <v>0</v>
      </c>
      <c r="K66" s="293">
        <f>D66-E66-F66-G66-H66-I66-J66</f>
        <v>-10823365.91</v>
      </c>
      <c r="L66" s="294">
        <v>0</v>
      </c>
      <c r="M66" s="293">
        <f>K66-L66</f>
        <v>-10823365.91</v>
      </c>
      <c r="N66" s="294">
        <f>'Reversion Pagos R4'!P79</f>
        <v>0</v>
      </c>
      <c r="O66" s="293">
        <f>M66+N66</f>
        <v>-10823365.91</v>
      </c>
      <c r="Q66" s="306"/>
      <c r="S66" s="303">
        <v>1</v>
      </c>
      <c r="T66" s="304" t="s">
        <v>10</v>
      </c>
      <c r="U66" s="307">
        <f>'Reversion Pagos R4'!J79</f>
        <v>-1301824.81</v>
      </c>
      <c r="V66" s="308">
        <f>'Reversion Pagos R4'!K79</f>
        <v>-1255802.95</v>
      </c>
      <c r="W66" s="308">
        <f>'Reversion Pagos R4'!L79</f>
        <v>-5775459.54</v>
      </c>
      <c r="X66" s="308">
        <f>'Reversion Pagos R4'!M79</f>
        <v>-2296297.42</v>
      </c>
      <c r="Y66" s="308">
        <f>'Reversion Pagos R4'!N79</f>
        <v>-237636.38</v>
      </c>
      <c r="Z66" s="310">
        <f>-L66</f>
        <v>0</v>
      </c>
      <c r="AA66" s="320">
        <f>'Reversion Pagos R4'!O79</f>
        <v>100.74000000000001</v>
      </c>
      <c r="AB66" s="294">
        <f>N66</f>
        <v>0</v>
      </c>
      <c r="AC66" s="320">
        <f>+'Reversion Pagos R4'!Q79+'Reversion Pagos R4'!R79</f>
        <v>0</v>
      </c>
      <c r="AD66" s="291">
        <f>-J66+AE66</f>
        <v>43554.450000000012</v>
      </c>
      <c r="AE66" s="291">
        <f>'Reversion Pagos R4'!D80</f>
        <v>43554.450000000012</v>
      </c>
      <c r="AF66" s="313">
        <f>SUM(U66:AD66)</f>
        <v>-10823365.91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-71069759</v>
      </c>
      <c r="E67" s="292">
        <f>'Reversion Pagos R4'!E180</f>
        <v>-15881719.34</v>
      </c>
      <c r="F67" s="292">
        <f>'Reversion Pagos R4'!F180</f>
        <v>-7382378.6299999999</v>
      </c>
      <c r="G67" s="292">
        <f>'Reversion Pagos R4'!G180</f>
        <v>-4039895.56</v>
      </c>
      <c r="H67" s="292">
        <f>'Reversion Pagos R4'!H180</f>
        <v>-3333202.99</v>
      </c>
      <c r="I67" s="292">
        <f>'Reversion Pagos R4'!I180</f>
        <v>-119625.47</v>
      </c>
      <c r="J67" s="288">
        <v>0</v>
      </c>
      <c r="K67" s="295">
        <f t="shared" ref="K67:K70" si="25">D67-E67-F67-G67-H67-I67-J67</f>
        <v>-40312937.00999999</v>
      </c>
      <c r="L67" s="294">
        <v>0</v>
      </c>
      <c r="M67" s="295">
        <f>K67-L67</f>
        <v>-40312937.00999999</v>
      </c>
      <c r="N67" s="294">
        <f>'Reversion Pagos R4'!P180</f>
        <v>0</v>
      </c>
      <c r="O67" s="295">
        <f t="shared" ref="O67:O70" si="26">M67+N67</f>
        <v>-40312937.00999999</v>
      </c>
      <c r="Q67" s="306"/>
      <c r="S67" s="314">
        <v>2</v>
      </c>
      <c r="T67" s="315" t="s">
        <v>11</v>
      </c>
      <c r="U67" s="316">
        <f>'Reversion Pagos R4'!J180</f>
        <v>-1050942.24</v>
      </c>
      <c r="V67" s="317">
        <f>'Reversion Pagos R4'!K180</f>
        <v>-1052754.19</v>
      </c>
      <c r="W67" s="317">
        <f>'Reversion Pagos R4'!L180</f>
        <v>-4921480.46</v>
      </c>
      <c r="X67" s="317">
        <f>'Reversion Pagos R4'!M180</f>
        <v>-32197091.960000001</v>
      </c>
      <c r="Y67" s="318">
        <f>'Reversion Pagos R4'!N180</f>
        <v>-194756.94999999998</v>
      </c>
      <c r="Z67" s="319">
        <f t="shared" ref="Z67:Z70" si="27">-L67</f>
        <v>0</v>
      </c>
      <c r="AA67" s="320">
        <f>'Reversion Pagos R4'!O180</f>
        <v>28.29</v>
      </c>
      <c r="AB67" s="294">
        <f t="shared" ref="AB67:AB70" si="28">N67</f>
        <v>0</v>
      </c>
      <c r="AC67" s="320">
        <f>+'Reversion Pagos R4'!Q180+'Reversion Pagos R4'!R180</f>
        <v>0</v>
      </c>
      <c r="AD67" s="291">
        <f>-J67+AE67</f>
        <v>-895939.5</v>
      </c>
      <c r="AE67" s="291">
        <f>'Reversion Pagos R4'!D181</f>
        <v>-895939.5</v>
      </c>
      <c r="AF67" s="322">
        <f>SUM(U67:AD67)</f>
        <v>-40312937.010000005</v>
      </c>
      <c r="AG67" s="522">
        <f>(AF67-O67)</f>
        <v>-1.4901161193847656E-8</v>
      </c>
      <c r="AH67" s="305" t="b">
        <f t="shared" ref="AH67:AH70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-32310979.800000001</v>
      </c>
      <c r="E68" s="292">
        <f>'Reversion Pagos R4'!E217</f>
        <v>-2359230.8699999996</v>
      </c>
      <c r="F68" s="292">
        <f>'Reversion Pagos R4'!F217</f>
        <v>-1307200.31</v>
      </c>
      <c r="G68" s="292">
        <f>'Reversion Pagos R4'!G217</f>
        <v>-693108.36</v>
      </c>
      <c r="H68" s="292">
        <f>'Reversion Pagos R4'!H217</f>
        <v>-5641918.9700000007</v>
      </c>
      <c r="I68" s="292">
        <f>'Reversion Pagos R4'!I217</f>
        <v>-208676.79</v>
      </c>
      <c r="J68" s="288">
        <v>0</v>
      </c>
      <c r="K68" s="295">
        <f t="shared" si="25"/>
        <v>-22100844.5</v>
      </c>
      <c r="L68" s="294">
        <v>0</v>
      </c>
      <c r="M68" s="295">
        <f>K68-L68</f>
        <v>-22100844.5</v>
      </c>
      <c r="N68" s="294">
        <f>'Reversion Pagos R4'!P217</f>
        <v>0</v>
      </c>
      <c r="O68" s="295">
        <f t="shared" si="26"/>
        <v>-22100844.5</v>
      </c>
      <c r="Q68" s="306"/>
      <c r="S68" s="314">
        <v>3</v>
      </c>
      <c r="T68" s="315" t="s">
        <v>12</v>
      </c>
      <c r="U68" s="316">
        <f>'Reversion Pagos R4'!J217</f>
        <v>-1838013.6300000001</v>
      </c>
      <c r="V68" s="317">
        <f>'Reversion Pagos R4'!K217</f>
        <v>-1771126.01</v>
      </c>
      <c r="W68" s="317">
        <f>'Reversion Pagos R4'!L217</f>
        <v>-8312687.9100000001</v>
      </c>
      <c r="X68" s="317">
        <f>'Reversion Pagos R4'!M217</f>
        <v>-5496750.6600000001</v>
      </c>
      <c r="Y68" s="318">
        <f>'Reversion Pagos R4'!N217</f>
        <v>-342720.34</v>
      </c>
      <c r="Z68" s="319">
        <f t="shared" si="27"/>
        <v>0</v>
      </c>
      <c r="AA68" s="320">
        <f>'Reversion Pagos R4'!O217</f>
        <v>-128.57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-4339417.38</v>
      </c>
      <c r="AE68" s="291">
        <f>'Reversion Pagos R4'!D218</f>
        <v>-4339417.38</v>
      </c>
      <c r="AF68" s="322">
        <f t="shared" ref="AF68:AF70" si="31">SUM(U68:AD68)</f>
        <v>-22100844.5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-33738104.229999997</v>
      </c>
      <c r="E69" s="292">
        <f>'Reversion Pagos R4'!E332</f>
        <v>-3280830.15</v>
      </c>
      <c r="F69" s="292">
        <f>'Reversion Pagos R4'!F332</f>
        <v>-1653570.31</v>
      </c>
      <c r="G69" s="292">
        <f>'Reversion Pagos R4'!G332</f>
        <v>-772414.51</v>
      </c>
      <c r="H69" s="292">
        <f>'Reversion Pagos R4'!H332</f>
        <v>-6809335.5</v>
      </c>
      <c r="I69" s="292">
        <f>'Reversion Pagos R4'!I332</f>
        <v>-246830.89</v>
      </c>
      <c r="J69" s="288">
        <v>0</v>
      </c>
      <c r="K69" s="295">
        <f t="shared" si="25"/>
        <v>-20975122.869999997</v>
      </c>
      <c r="L69" s="294">
        <v>0</v>
      </c>
      <c r="M69" s="295">
        <f>K69-L69</f>
        <v>-20975122.869999997</v>
      </c>
      <c r="N69" s="294">
        <f>'Reversion Pagos R4'!P332</f>
        <v>0</v>
      </c>
      <c r="O69" s="295">
        <f t="shared" si="26"/>
        <v>-20975122.869999997</v>
      </c>
      <c r="Q69" s="306"/>
      <c r="S69" s="314">
        <v>4</v>
      </c>
      <c r="T69" s="315" t="s">
        <v>13</v>
      </c>
      <c r="U69" s="316">
        <f>'Reversion Pagos R4'!J332</f>
        <v>-2175989.73</v>
      </c>
      <c r="V69" s="317">
        <f>'Reversion Pagos R4'!K332</f>
        <v>-2281434.71</v>
      </c>
      <c r="W69" s="317">
        <f>'Reversion Pagos R4'!L332</f>
        <v>-10508486.24</v>
      </c>
      <c r="X69" s="317">
        <f>'Reversion Pagos R4'!M332</f>
        <v>-8690898.2599999998</v>
      </c>
      <c r="Y69" s="318">
        <f>'Reversion Pagos R4'!N332</f>
        <v>-404523.79</v>
      </c>
      <c r="Z69" s="319">
        <f t="shared" si="27"/>
        <v>0</v>
      </c>
      <c r="AA69" s="320">
        <f>'Reversion Pagos R4'!O332</f>
        <v>-1.2999999999999972</v>
      </c>
      <c r="AB69" s="294">
        <f t="shared" si="28"/>
        <v>0</v>
      </c>
      <c r="AC69" s="320">
        <f>+'Reversion Pagos R4'!Q332+'Reversion Pagos R4'!R332</f>
        <v>-0.28999999999999998</v>
      </c>
      <c r="AD69" s="291">
        <f t="shared" si="30"/>
        <v>3086211.4499999997</v>
      </c>
      <c r="AE69" s="291">
        <f>'Reversion Pagos R4'!D333</f>
        <v>3086211.4499999997</v>
      </c>
      <c r="AF69" s="322">
        <f>SUM(U69:AD69)</f>
        <v>-20975122.869999997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-3092375.53</v>
      </c>
      <c r="E70" s="297">
        <f>'Reversion Pagos R4'!E373</f>
        <v>-204651.35</v>
      </c>
      <c r="F70" s="297">
        <f>'Reversion Pagos R4'!F373</f>
        <v>-114062.66</v>
      </c>
      <c r="G70" s="297">
        <f>'Reversion Pagos R4'!G373</f>
        <v>-59426.1</v>
      </c>
      <c r="H70" s="297">
        <f>'Reversion Pagos R4'!H373</f>
        <v>-755065.41999999993</v>
      </c>
      <c r="I70" s="297">
        <f>'Reversion Pagos R4'!I373</f>
        <v>-27250.92</v>
      </c>
      <c r="J70" s="289">
        <v>0</v>
      </c>
      <c r="K70" s="295">
        <f t="shared" si="25"/>
        <v>-1931919.0799999996</v>
      </c>
      <c r="L70" s="294">
        <v>0</v>
      </c>
      <c r="M70" s="298">
        <f>K70-L70</f>
        <v>-1931919.0799999996</v>
      </c>
      <c r="N70" s="294">
        <f>'Reversion Pagos R4'!P373</f>
        <v>0</v>
      </c>
      <c r="O70" s="298">
        <f t="shared" si="26"/>
        <v>-1931919.0799999996</v>
      </c>
      <c r="Q70" s="306"/>
      <c r="S70" s="324">
        <v>5</v>
      </c>
      <c r="T70" s="325" t="s">
        <v>14</v>
      </c>
      <c r="U70" s="296">
        <f>'Reversion Pagos R4'!J373</f>
        <v>-239043.97000000003</v>
      </c>
      <c r="V70" s="297">
        <f>'Reversion Pagos R4'!K373</f>
        <v>-246114.56</v>
      </c>
      <c r="W70" s="297">
        <f>'Reversion Pagos R4'!L373</f>
        <v>-1258305.7000000002</v>
      </c>
      <c r="X70" s="297">
        <f>'Reversion Pagos R4'!M373</f>
        <v>-604168.65999999992</v>
      </c>
      <c r="Y70" s="289">
        <f>'Reversion Pagos R4'!N373</f>
        <v>-44461.78</v>
      </c>
      <c r="Z70" s="319">
        <f t="shared" si="27"/>
        <v>0</v>
      </c>
      <c r="AA70" s="320">
        <f>'Reversion Pagos R4'!O373</f>
        <v>-2.5600000000000005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460178.15</v>
      </c>
      <c r="AE70" s="291">
        <f>'Reversion Pagos R4'!D374</f>
        <v>460178.15</v>
      </c>
      <c r="AF70" s="322">
        <f t="shared" si="31"/>
        <v>-1931919.08</v>
      </c>
      <c r="AG70" s="523">
        <f t="shared" si="32"/>
        <v>-4.6566128730773926E-10</v>
      </c>
      <c r="AH70" s="305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-156747931.65000001</v>
      </c>
      <c r="E71" s="290">
        <f t="shared" si="33"/>
        <v>-22568475.98</v>
      </c>
      <c r="F71" s="290">
        <f t="shared" si="33"/>
        <v>-10927711.75</v>
      </c>
      <c r="G71" s="290">
        <f t="shared" ref="G71" si="34">SUM(G66:G70)</f>
        <v>-5814176.8499999996</v>
      </c>
      <c r="H71" s="290">
        <f t="shared" si="33"/>
        <v>-20545989.630000003</v>
      </c>
      <c r="I71" s="290">
        <f t="shared" si="33"/>
        <v>-747388.07000000007</v>
      </c>
      <c r="J71" s="290">
        <f t="shared" si="33"/>
        <v>0</v>
      </c>
      <c r="K71" s="300">
        <f t="shared" si="33"/>
        <v>-96144189.36999999</v>
      </c>
      <c r="L71" s="301">
        <f t="shared" si="33"/>
        <v>0</v>
      </c>
      <c r="M71" s="302">
        <f t="shared" si="33"/>
        <v>-96144189.36999999</v>
      </c>
      <c r="N71" s="301">
        <f t="shared" si="33"/>
        <v>0</v>
      </c>
      <c r="O71" s="302">
        <f t="shared" si="33"/>
        <v>-96144189.36999999</v>
      </c>
      <c r="P71" s="329"/>
      <c r="Q71" s="306"/>
      <c r="S71" s="327"/>
      <c r="T71" s="328" t="s">
        <v>2</v>
      </c>
      <c r="U71" s="330">
        <f>SUM(U66:U70)</f>
        <v>-6605814.3799999999</v>
      </c>
      <c r="V71" s="330">
        <f t="shared" ref="V71:AF71" si="35">SUM(V66:V70)</f>
        <v>-6607232.419999999</v>
      </c>
      <c r="W71" s="330">
        <f t="shared" si="35"/>
        <v>-30776419.849999998</v>
      </c>
      <c r="X71" s="330">
        <f t="shared" si="35"/>
        <v>-49285206.960000001</v>
      </c>
      <c r="Y71" s="330">
        <f t="shared" si="35"/>
        <v>-1224099.24</v>
      </c>
      <c r="Z71" s="290">
        <f t="shared" si="35"/>
        <v>0</v>
      </c>
      <c r="AA71" s="290">
        <f>SUM(AA66:AA70)</f>
        <v>-3.3999999999999897</v>
      </c>
      <c r="AB71" s="290">
        <f t="shared" si="35"/>
        <v>0</v>
      </c>
      <c r="AC71" s="290">
        <f t="shared" ref="AC71" si="36">SUM(AC66:AC70)</f>
        <v>-0.28999999999999998</v>
      </c>
      <c r="AD71" s="290">
        <f>SUM(AD66:AD70)</f>
        <v>-1645412.83</v>
      </c>
      <c r="AE71" s="290">
        <f>SUM(AE66:AE70)</f>
        <v>-1645412.83</v>
      </c>
      <c r="AF71" s="331">
        <f t="shared" si="35"/>
        <v>-96144189.36999999</v>
      </c>
      <c r="AG71" s="524">
        <f t="shared" ref="AG71" si="37">SUM(AG66:AG70)</f>
        <v>-1.5366822481155396E-8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-94498772.849999994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973693.46</v>
      </c>
      <c r="E85" s="292">
        <f>'AJUSTES - SF-T'!E47</f>
        <v>65524.22</v>
      </c>
      <c r="F85" s="292">
        <f>'AJUSTES - SF-T'!F47</f>
        <v>36995.019999999997</v>
      </c>
      <c r="G85" s="292">
        <f>'AJUSTES - SF-T'!G47</f>
        <v>19417.650000000001</v>
      </c>
      <c r="H85" s="292">
        <f>'AJUSTES - SF-T'!H47</f>
        <v>156624.35</v>
      </c>
      <c r="I85" s="292">
        <f>'AJUSTES - SF-T'!I47</f>
        <v>5557.5</v>
      </c>
      <c r="J85" s="288">
        <f>'AJUSTES - SF-T'!J47</f>
        <v>0</v>
      </c>
      <c r="K85" s="293">
        <f>D85-E85-F85-G85-H85-I85-J85</f>
        <v>689574.72</v>
      </c>
      <c r="L85" s="294">
        <v>0</v>
      </c>
      <c r="M85" s="293">
        <f>K85-L85</f>
        <v>689574.72</v>
      </c>
      <c r="N85" s="294">
        <f>'AJUSTES - SF-T'!N47</f>
        <v>0</v>
      </c>
      <c r="O85" s="293">
        <f>M85+N85</f>
        <v>689574.72</v>
      </c>
      <c r="Q85" s="306"/>
      <c r="S85" s="303">
        <v>1</v>
      </c>
      <c r="T85" s="304" t="s">
        <v>10</v>
      </c>
      <c r="U85" s="307">
        <f>'AJUSTES - SF-T'!U47</f>
        <v>52109.79</v>
      </c>
      <c r="V85" s="308">
        <f>'AJUSTES - SF-T'!V47</f>
        <v>47607.03</v>
      </c>
      <c r="W85" s="308">
        <f>'AJUSTES - SF-T'!W47</f>
        <v>225441.17</v>
      </c>
      <c r="X85" s="308">
        <f>'AJUSTES - SF-T'!X47</f>
        <v>178429.31</v>
      </c>
      <c r="Y85" s="309">
        <f>'AJUSTES - SF-T'!Y47</f>
        <v>9067.43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176919.99</v>
      </c>
      <c r="AE85" s="291">
        <f>'AJUSTES - SF-T'!AD47</f>
        <v>176919.99</v>
      </c>
      <c r="AF85" s="313">
        <f>SUM(U85:AD85)</f>
        <v>689574.72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216025.77</v>
      </c>
      <c r="E86" s="292">
        <f>'AJUSTES - SF-T'!E48</f>
        <v>31897.62</v>
      </c>
      <c r="F86" s="292">
        <f>'AJUSTES - SF-T'!F48</f>
        <v>18572.91</v>
      </c>
      <c r="G86" s="292">
        <f>'AJUSTES - SF-T'!G48</f>
        <v>8867.14</v>
      </c>
      <c r="H86" s="292">
        <f>'AJUSTES - SF-T'!H48</f>
        <v>92959.49</v>
      </c>
      <c r="I86" s="292">
        <f>'AJUSTES - SF-T'!I48</f>
        <v>3883.88</v>
      </c>
      <c r="J86" s="288">
        <f>'AJUSTES - SF-T'!J48</f>
        <v>0</v>
      </c>
      <c r="K86" s="295">
        <f t="shared" ref="K86:K89" si="38">D86-E86-F86-G86-H86-I86-J86</f>
        <v>59844.729999999974</v>
      </c>
      <c r="L86" s="294">
        <v>0</v>
      </c>
      <c r="M86" s="295">
        <f>K86-L86</f>
        <v>59844.729999999974</v>
      </c>
      <c r="N86" s="294">
        <f>'AJUSTES - SF-T'!N48</f>
        <v>0</v>
      </c>
      <c r="O86" s="295">
        <f t="shared" ref="O86:O89" si="39">M86+N86</f>
        <v>59844.729999999974</v>
      </c>
      <c r="Q86" s="306"/>
      <c r="S86" s="314">
        <v>2</v>
      </c>
      <c r="T86" s="315" t="s">
        <v>11</v>
      </c>
      <c r="U86" s="316">
        <f>'AJUSTES - SF-T'!U48</f>
        <v>61358.09</v>
      </c>
      <c r="V86" s="317">
        <f>'AJUSTES - SF-T'!V48</f>
        <v>33534.01</v>
      </c>
      <c r="W86" s="317">
        <f>'AJUSTES - SF-T'!W48</f>
        <v>127815.87</v>
      </c>
      <c r="X86" s="317">
        <f>'AJUSTES - SF-T'!X48</f>
        <v>64515.32</v>
      </c>
      <c r="Y86" s="318">
        <f>'AJUSTES - SF-T'!Y48</f>
        <v>5139.92</v>
      </c>
      <c r="Z86" s="319">
        <f>-L86</f>
        <v>0</v>
      </c>
      <c r="AA86" s="320">
        <f>'AJUSTES - SF-T'!AA48</f>
        <v>-0.36</v>
      </c>
      <c r="AB86" s="294">
        <f>N86</f>
        <v>0</v>
      </c>
      <c r="AC86" s="605">
        <v>0</v>
      </c>
      <c r="AD86" s="604">
        <f t="shared" ref="AD86:AD89" si="40">-J86+AE86</f>
        <v>-232518.12</v>
      </c>
      <c r="AE86" s="291">
        <f>'AJUSTES - SF-T'!AD48</f>
        <v>-232518.12</v>
      </c>
      <c r="AF86" s="322">
        <f>SUM(U86:AD86)</f>
        <v>59844.729999999981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104231.83</v>
      </c>
      <c r="E87" s="292">
        <f>'AJUSTES - SF-T'!E49</f>
        <v>6620.63</v>
      </c>
      <c r="F87" s="292">
        <f>'AJUSTES - SF-T'!F49</f>
        <v>3738.02</v>
      </c>
      <c r="G87" s="292">
        <f>'AJUSTES - SF-T'!G49</f>
        <v>1961.98</v>
      </c>
      <c r="H87" s="292">
        <f>'AJUSTES - SF-T'!H49</f>
        <v>20927.5</v>
      </c>
      <c r="I87" s="292">
        <f>'AJUSTES - SF-T'!I49</f>
        <v>743.08</v>
      </c>
      <c r="J87" s="288">
        <f>'AJUSTES - SF-T'!J49</f>
        <v>0</v>
      </c>
      <c r="K87" s="295">
        <f t="shared" si="38"/>
        <v>70240.62</v>
      </c>
      <c r="L87" s="294">
        <v>0</v>
      </c>
      <c r="M87" s="295">
        <f>K87-L87</f>
        <v>70240.62</v>
      </c>
      <c r="N87" s="294">
        <f>'AJUSTES - SF-T'!N49</f>
        <v>0</v>
      </c>
      <c r="O87" s="295">
        <f t="shared" si="39"/>
        <v>70240.62</v>
      </c>
      <c r="Q87" s="306"/>
      <c r="S87" s="314">
        <v>3</v>
      </c>
      <c r="T87" s="315" t="s">
        <v>12</v>
      </c>
      <c r="U87" s="316">
        <f>'AJUSTES - SF-T'!U49</f>
        <v>6518.28</v>
      </c>
      <c r="V87" s="317">
        <f>'AJUSTES - SF-T'!V49</f>
        <v>6410.86</v>
      </c>
      <c r="W87" s="317">
        <f>'AJUSTES - SF-T'!W49</f>
        <v>30349.1</v>
      </c>
      <c r="X87" s="317">
        <f>'AJUSTES - SF-T'!X49</f>
        <v>15383.1</v>
      </c>
      <c r="Y87" s="318">
        <f>'AJUSTES - SF-T'!Y49</f>
        <v>1212.4000000000001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10366.879999999999</v>
      </c>
      <c r="AE87" s="291">
        <f>'AJUSTES - SF-T'!AD49</f>
        <v>10366.879999999999</v>
      </c>
      <c r="AF87" s="322">
        <f t="shared" ref="AF87:AF89" si="42">SUM(U87:AD87)</f>
        <v>70240.62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35954.44</v>
      </c>
      <c r="E88" s="292">
        <f>'AJUSTES - SF-T'!E50</f>
        <v>1890.6</v>
      </c>
      <c r="F88" s="292">
        <f>'AJUSTES - SF-T'!F50</f>
        <v>1067.43</v>
      </c>
      <c r="G88" s="292">
        <f>'AJUSTES - SF-T'!G50</f>
        <v>560.27</v>
      </c>
      <c r="H88" s="292">
        <f>'AJUSTES - SF-T'!H50</f>
        <v>10800.02</v>
      </c>
      <c r="I88" s="292">
        <f>'AJUSTES - SF-T'!I50</f>
        <v>371.66</v>
      </c>
      <c r="J88" s="288">
        <f>'AJUSTES - SF-T'!J50</f>
        <v>0</v>
      </c>
      <c r="K88" s="295">
        <f t="shared" si="38"/>
        <v>21264.460000000003</v>
      </c>
      <c r="L88" s="294">
        <v>0</v>
      </c>
      <c r="M88" s="295">
        <f>K88-L88</f>
        <v>21264.460000000003</v>
      </c>
      <c r="N88" s="294">
        <f>'AJUSTES - SF-T'!N50</f>
        <v>0</v>
      </c>
      <c r="O88" s="295">
        <f t="shared" si="39"/>
        <v>21264.460000000003</v>
      </c>
      <c r="Q88" s="306"/>
      <c r="S88" s="314">
        <v>4</v>
      </c>
      <c r="T88" s="315" t="s">
        <v>13</v>
      </c>
      <c r="U88" s="316">
        <f>'AJUSTES - SF-T'!U50</f>
        <v>3260.18</v>
      </c>
      <c r="V88" s="317">
        <f>'AJUSTES - SF-T'!V50</f>
        <v>3149.08</v>
      </c>
      <c r="W88" s="317">
        <f>'AJUSTES - SF-T'!W50</f>
        <v>15696.81</v>
      </c>
      <c r="X88" s="317">
        <f>'AJUSTES - SF-T'!X50</f>
        <v>5005.76</v>
      </c>
      <c r="Y88" s="318">
        <f>'AJUSTES - SF-T'!Y50</f>
        <v>606.39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-6453.76</v>
      </c>
      <c r="AE88" s="291">
        <f>'AJUSTES - SF-T'!AD50</f>
        <v>-6453.76</v>
      </c>
      <c r="AF88" s="322">
        <f t="shared" si="42"/>
        <v>21264.46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1329905.5</v>
      </c>
      <c r="E90" s="290">
        <f t="shared" ref="E90:O90" si="43">SUM(E85:E89)</f>
        <v>105933.07</v>
      </c>
      <c r="F90" s="290">
        <f t="shared" si="43"/>
        <v>60373.37999999999</v>
      </c>
      <c r="G90" s="290">
        <f t="shared" ref="G90" si="44">SUM(G85:G89)</f>
        <v>30807.040000000001</v>
      </c>
      <c r="H90" s="290">
        <f t="shared" si="43"/>
        <v>281311.36000000004</v>
      </c>
      <c r="I90" s="290">
        <f t="shared" si="43"/>
        <v>10556.12</v>
      </c>
      <c r="J90" s="290">
        <f t="shared" si="43"/>
        <v>0</v>
      </c>
      <c r="K90" s="300">
        <f t="shared" si="43"/>
        <v>840924.52999999991</v>
      </c>
      <c r="L90" s="301">
        <f t="shared" si="43"/>
        <v>0</v>
      </c>
      <c r="M90" s="302">
        <f t="shared" si="43"/>
        <v>840924.52999999991</v>
      </c>
      <c r="N90" s="301">
        <f t="shared" si="43"/>
        <v>0</v>
      </c>
      <c r="O90" s="302">
        <f t="shared" si="43"/>
        <v>840924.52999999991</v>
      </c>
      <c r="P90" s="329"/>
      <c r="Q90" s="306"/>
      <c r="S90" s="327"/>
      <c r="T90" s="328" t="s">
        <v>2</v>
      </c>
      <c r="U90" s="330">
        <f>SUM(U85:U89)</f>
        <v>123246.34</v>
      </c>
      <c r="V90" s="330">
        <f t="shared" ref="V90:AG90" si="45">SUM(V85:V89)</f>
        <v>90700.98000000001</v>
      </c>
      <c r="W90" s="330">
        <f t="shared" si="45"/>
        <v>399302.95</v>
      </c>
      <c r="X90" s="330">
        <f t="shared" si="45"/>
        <v>263333.49</v>
      </c>
      <c r="Y90" s="330">
        <f t="shared" si="45"/>
        <v>16026.14</v>
      </c>
      <c r="Z90" s="290">
        <f t="shared" si="45"/>
        <v>0</v>
      </c>
      <c r="AA90" s="290">
        <f t="shared" si="45"/>
        <v>-0.36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-51685.010000000009</v>
      </c>
      <c r="AE90" s="290">
        <f t="shared" si="45"/>
        <v>-51685.010000000009</v>
      </c>
      <c r="AF90" s="331">
        <f t="shared" si="45"/>
        <v>840924.52999999991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892609.9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17450228673.349998</v>
      </c>
      <c r="E104" s="292">
        <f t="shared" si="47"/>
        <v>907089032.16000009</v>
      </c>
      <c r="F104" s="292">
        <f t="shared" si="47"/>
        <v>511619081.72000003</v>
      </c>
      <c r="G104" s="292">
        <f t="shared" ref="G104" si="48">G9+G28+G47+G66+G85</f>
        <v>268690518.94</v>
      </c>
      <c r="H104" s="292">
        <f t="shared" ref="H104:J108" si="49">H9+H28+H47+H66+H85</f>
        <v>3815252256.9000001</v>
      </c>
      <c r="I104" s="292">
        <f t="shared" si="49"/>
        <v>134368143.47</v>
      </c>
      <c r="J104" s="288">
        <f t="shared" si="49"/>
        <v>-3589454665.5499997</v>
      </c>
      <c r="K104" s="293">
        <f>D104-E104-F104-G104-H104-I104-J104</f>
        <v>15402664305.709999</v>
      </c>
      <c r="L104" s="294">
        <f>L9+L28+L47+L66+L85</f>
        <v>189185988</v>
      </c>
      <c r="M104" s="293">
        <f>K104-L104</f>
        <v>15213478317.709999</v>
      </c>
      <c r="N104" s="294">
        <f>N9+N28+N47+N66+N85</f>
        <v>25277316.260000002</v>
      </c>
      <c r="O104" s="293">
        <f>M104+N104</f>
        <v>15238755633.969999</v>
      </c>
      <c r="Q104" s="306"/>
      <c r="S104" s="303">
        <v>1</v>
      </c>
      <c r="T104" s="304" t="s">
        <v>10</v>
      </c>
      <c r="U104" s="307">
        <f t="shared" ref="U104:AB108" si="50">U9+U28+U47+U66+U85</f>
        <v>1182502863.3800001</v>
      </c>
      <c r="V104" s="308">
        <f t="shared" si="50"/>
        <v>1138203111.0299997</v>
      </c>
      <c r="W104" s="308">
        <f t="shared" si="50"/>
        <v>5384239175.3499994</v>
      </c>
      <c r="X104" s="308">
        <f t="shared" si="50"/>
        <v>2460648865.29</v>
      </c>
      <c r="Y104" s="309">
        <f t="shared" si="50"/>
        <v>219070048.99000001</v>
      </c>
      <c r="Z104" s="310">
        <f t="shared" si="50"/>
        <v>-189185988</v>
      </c>
      <c r="AA104" s="311">
        <f>AA9+AA28+AA47+AA66+AA85</f>
        <v>-17520.82</v>
      </c>
      <c r="AB104" s="294">
        <f t="shared" si="50"/>
        <v>25277316.260000002</v>
      </c>
      <c r="AC104" s="311">
        <f>AC9+AC28+AC47+AC66+AC85</f>
        <v>-1592.61</v>
      </c>
      <c r="AD104" s="291">
        <f>-J104+AE104</f>
        <v>5018019355.0999994</v>
      </c>
      <c r="AE104" s="291">
        <f>AE9+AE28+AE47+AE66+AE85</f>
        <v>1428564689.55</v>
      </c>
      <c r="AF104" s="313">
        <f>SUM(U104:AD104)</f>
        <v>15238755633.969997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20516143969.650002</v>
      </c>
      <c r="E105" s="292">
        <f>E10+E29+E48+E67+E86</f>
        <v>1584179837.8299999</v>
      </c>
      <c r="F105" s="292">
        <f t="shared" si="47"/>
        <v>890098162.61999989</v>
      </c>
      <c r="G105" s="292">
        <f t="shared" ref="G105" si="51">G10+G29+G48+G67+G86</f>
        <v>466611469.23999995</v>
      </c>
      <c r="H105" s="292">
        <f t="shared" si="49"/>
        <v>5815089519.5800009</v>
      </c>
      <c r="I105" s="292">
        <f t="shared" si="49"/>
        <v>222428730.16</v>
      </c>
      <c r="J105" s="288">
        <f t="shared" si="49"/>
        <v>-3241193714.1100001</v>
      </c>
      <c r="K105" s="295">
        <f t="shared" ref="K105:K108" si="52">D105-E105-F105-G105-H105-I105-J105</f>
        <v>14778929964.329998</v>
      </c>
      <c r="L105" s="294">
        <f>L10+L29+L48+L67+L86</f>
        <v>266580256</v>
      </c>
      <c r="M105" s="295">
        <f>K105-L105</f>
        <v>14512349708.329998</v>
      </c>
      <c r="N105" s="294">
        <f>N10+N29+N48+N67+N86</f>
        <v>53454221.280000001</v>
      </c>
      <c r="O105" s="295">
        <f t="shared" ref="O105:O108" si="53">M105+N105</f>
        <v>14565803929.609999</v>
      </c>
      <c r="Q105" s="306"/>
      <c r="S105" s="314">
        <v>2</v>
      </c>
      <c r="T105" s="315" t="s">
        <v>11</v>
      </c>
      <c r="U105" s="316">
        <f t="shared" si="50"/>
        <v>1949886300.4400001</v>
      </c>
      <c r="V105" s="317">
        <f t="shared" si="50"/>
        <v>1945637036.9099996</v>
      </c>
      <c r="W105" s="317">
        <f t="shared" si="50"/>
        <v>9155886148.1600037</v>
      </c>
      <c r="X105" s="317">
        <f t="shared" si="50"/>
        <v>3142209362.4400001</v>
      </c>
      <c r="Y105" s="318">
        <f t="shared" si="50"/>
        <v>363003578.24000001</v>
      </c>
      <c r="Z105" s="319">
        <f t="shared" si="50"/>
        <v>-266580256</v>
      </c>
      <c r="AA105" s="320">
        <f>AA10+AA29+AA48+AA67+AA86</f>
        <v>86900.159999999989</v>
      </c>
      <c r="AB105" s="294">
        <f t="shared" si="50"/>
        <v>53454221.280000001</v>
      </c>
      <c r="AC105" s="320">
        <f>AC10+AC29+AC48+AC67+AC86</f>
        <v>-123.21</v>
      </c>
      <c r="AD105" s="291">
        <f t="shared" ref="AD105:AD107" si="54">-J105+AE105</f>
        <v>-1777779238.8099999</v>
      </c>
      <c r="AE105" s="291">
        <f>AE10+AE29+AE48+AE67+AE86</f>
        <v>-5018972952.9200001</v>
      </c>
      <c r="AF105" s="322">
        <f>SUM(U105:AD105)</f>
        <v>14565803929.610004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15221896467.450003</v>
      </c>
      <c r="E106" s="292">
        <f t="shared" si="47"/>
        <v>1154816918.0400002</v>
      </c>
      <c r="F106" s="292">
        <f t="shared" si="47"/>
        <v>650648256.78000009</v>
      </c>
      <c r="G106" s="292">
        <f t="shared" ref="G106" si="56">G11+G30+G49+G68+G87</f>
        <v>342168927.41999996</v>
      </c>
      <c r="H106" s="292">
        <f t="shared" si="49"/>
        <v>3419471286.5799999</v>
      </c>
      <c r="I106" s="292">
        <f t="shared" si="49"/>
        <v>125690282.95999999</v>
      </c>
      <c r="J106" s="288">
        <f t="shared" si="49"/>
        <v>-853244564.50999999</v>
      </c>
      <c r="K106" s="295">
        <f t="shared" si="52"/>
        <v>10382345360.180002</v>
      </c>
      <c r="L106" s="294">
        <f>L11+L30+L49+L68+L87</f>
        <v>154788536</v>
      </c>
      <c r="M106" s="295">
        <f>K106-L106</f>
        <v>10227556824.180002</v>
      </c>
      <c r="N106" s="294">
        <f>N11+N30+N49+N68+N87</f>
        <v>14341963.319999998</v>
      </c>
      <c r="O106" s="295">
        <f t="shared" si="53"/>
        <v>10241898787.500002</v>
      </c>
      <c r="Q106" s="306"/>
      <c r="S106" s="314">
        <v>3</v>
      </c>
      <c r="T106" s="315" t="s">
        <v>12</v>
      </c>
      <c r="U106" s="316">
        <f t="shared" si="50"/>
        <v>1102335590.3299999</v>
      </c>
      <c r="V106" s="317">
        <f t="shared" si="50"/>
        <v>1086464208.23</v>
      </c>
      <c r="W106" s="317">
        <f t="shared" si="50"/>
        <v>5141961247.9000006</v>
      </c>
      <c r="X106" s="317">
        <f t="shared" si="50"/>
        <v>2685857516.6600003</v>
      </c>
      <c r="Y106" s="318">
        <f t="shared" si="50"/>
        <v>205160229.32000002</v>
      </c>
      <c r="Z106" s="319">
        <f t="shared" si="50"/>
        <v>-154788536</v>
      </c>
      <c r="AA106" s="320">
        <f>AA11+AA30+AA49+AA68+AA87</f>
        <v>246404.58</v>
      </c>
      <c r="AB106" s="294">
        <f t="shared" si="50"/>
        <v>14341963.319999998</v>
      </c>
      <c r="AC106" s="320">
        <f>AC11+AC30+AC49+AC68+AC87</f>
        <v>-11885.619999999999</v>
      </c>
      <c r="AD106" s="291">
        <f t="shared" si="54"/>
        <v>160332048.78000009</v>
      </c>
      <c r="AE106" s="291">
        <f>AE11+AE30+AE49+AE68+AE87</f>
        <v>-692912515.7299999</v>
      </c>
      <c r="AF106" s="322">
        <f>SUM(U106:AD106)</f>
        <v>10241898787.5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7179595395.6699991</v>
      </c>
      <c r="E107" s="292">
        <f t="shared" ref="E107:F108" si="58">E12+E31+E50+E69+E88</f>
        <v>473606043.33000004</v>
      </c>
      <c r="F107" s="292">
        <f t="shared" si="58"/>
        <v>264596657.70000002</v>
      </c>
      <c r="G107" s="292">
        <f t="shared" ref="G107" si="59">G12+G31+G50+G69+G88</f>
        <v>136481575.35000002</v>
      </c>
      <c r="H107" s="292">
        <f t="shared" si="49"/>
        <v>1605437093.76</v>
      </c>
      <c r="I107" s="292">
        <f t="shared" si="49"/>
        <v>62582401.519999996</v>
      </c>
      <c r="J107" s="288">
        <f t="shared" si="49"/>
        <v>-699882713.37000012</v>
      </c>
      <c r="K107" s="295">
        <f t="shared" si="52"/>
        <v>5336774337.3799982</v>
      </c>
      <c r="L107" s="294">
        <f>L12+L31+L50+L69+L88</f>
        <v>120391083</v>
      </c>
      <c r="M107" s="295">
        <f>K107-L107</f>
        <v>5216383254.3799982</v>
      </c>
      <c r="N107" s="294">
        <f>N12+N31+N50+N69+N88</f>
        <v>34128344.93</v>
      </c>
      <c r="O107" s="295">
        <f>M107+N107</f>
        <v>5250511599.3099985</v>
      </c>
      <c r="Q107" s="306"/>
      <c r="S107" s="314">
        <v>4</v>
      </c>
      <c r="T107" s="315" t="s">
        <v>13</v>
      </c>
      <c r="U107" s="316">
        <f t="shared" si="50"/>
        <v>549450408.40999997</v>
      </c>
      <c r="V107" s="317">
        <f t="shared" si="50"/>
        <v>548186870.46999991</v>
      </c>
      <c r="W107" s="317">
        <f t="shared" si="50"/>
        <v>2799232757.4099998</v>
      </c>
      <c r="X107" s="317">
        <f t="shared" si="50"/>
        <v>1254527099.4500003</v>
      </c>
      <c r="Y107" s="318">
        <f t="shared" si="50"/>
        <v>102249901.39999999</v>
      </c>
      <c r="Z107" s="319">
        <f t="shared" si="50"/>
        <v>-120391083</v>
      </c>
      <c r="AA107" s="320">
        <f>AA12+AA31+AA50+AA69+AA88</f>
        <v>-16263.19</v>
      </c>
      <c r="AB107" s="294">
        <f t="shared" si="50"/>
        <v>34128344.93</v>
      </c>
      <c r="AC107" s="320">
        <f>AC12+AC31+AC50+AC69+AC88</f>
        <v>-529.09999999999991</v>
      </c>
      <c r="AD107" s="291">
        <f t="shared" si="54"/>
        <v>83144092.53000021</v>
      </c>
      <c r="AE107" s="291">
        <f>AE12+AE31+AE50+AE69+AE88</f>
        <v>-616738620.83999991</v>
      </c>
      <c r="AF107" s="322">
        <f>SUM(U107:AD107)</f>
        <v>5250511599.3099995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12073344661.59</v>
      </c>
      <c r="E108" s="297">
        <f t="shared" si="58"/>
        <v>731686441.62</v>
      </c>
      <c r="F108" s="297">
        <f t="shared" si="58"/>
        <v>412480816.2899999</v>
      </c>
      <c r="G108" s="297">
        <f t="shared" ref="G108" si="60">G13+G32+G51+G70+G89</f>
        <v>216220999.25</v>
      </c>
      <c r="H108" s="297">
        <f t="shared" si="49"/>
        <v>2771170796.7799997</v>
      </c>
      <c r="I108" s="297">
        <f t="shared" si="49"/>
        <v>105860252.47</v>
      </c>
      <c r="J108" s="289">
        <f t="shared" si="49"/>
        <v>-82959023.660000086</v>
      </c>
      <c r="K108" s="295">
        <f t="shared" si="52"/>
        <v>7918884378.8400002</v>
      </c>
      <c r="L108" s="294">
        <f>L13+L32+L51+L70+L89</f>
        <v>128990446</v>
      </c>
      <c r="M108" s="298">
        <f>K108-L108</f>
        <v>7789893932.8400002</v>
      </c>
      <c r="N108" s="299">
        <f>N13+N32+N51+N70+N89</f>
        <v>15891735.880000001</v>
      </c>
      <c r="O108" s="298">
        <f t="shared" si="53"/>
        <v>7805785668.7200003</v>
      </c>
      <c r="Q108" s="306"/>
      <c r="S108" s="324">
        <v>5</v>
      </c>
      <c r="T108" s="325" t="s">
        <v>14</v>
      </c>
      <c r="U108" s="296">
        <f t="shared" si="50"/>
        <v>928205240.1500001</v>
      </c>
      <c r="V108" s="297">
        <f t="shared" si="50"/>
        <v>911180502.11000001</v>
      </c>
      <c r="W108" s="297">
        <f t="shared" si="50"/>
        <v>4681131561.2200003</v>
      </c>
      <c r="X108" s="297">
        <f t="shared" si="50"/>
        <v>2173851295.3300004</v>
      </c>
      <c r="Y108" s="289">
        <f t="shared" si="50"/>
        <v>172729906.53999999</v>
      </c>
      <c r="Z108" s="319">
        <f t="shared" si="50"/>
        <v>-128990446</v>
      </c>
      <c r="AA108" s="320">
        <f>AA13+AA32+AA51+AA70+AA89</f>
        <v>-147744.56999999998</v>
      </c>
      <c r="AB108" s="294">
        <f t="shared" si="50"/>
        <v>15891735.880000001</v>
      </c>
      <c r="AC108" s="320">
        <f>AC13+AC32+AC51+AC70+AC89</f>
        <v>-32.979999999999997</v>
      </c>
      <c r="AD108" s="291">
        <f>-J108+AE108</f>
        <v>-948066348.95999992</v>
      </c>
      <c r="AE108" s="291">
        <f>AE13+AE32+AE51+AE70+AE89</f>
        <v>-1031025372.62</v>
      </c>
      <c r="AF108" s="322">
        <f>SUM(U108:AD108)</f>
        <v>7805785668.7200022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72441209167.710007</v>
      </c>
      <c r="E109" s="290">
        <f t="shared" si="61"/>
        <v>4851378272.9799995</v>
      </c>
      <c r="F109" s="290">
        <f t="shared" si="61"/>
        <v>2729442975.1099997</v>
      </c>
      <c r="G109" s="290">
        <f t="shared" ref="G109" si="62">SUM(G104:G108)</f>
        <v>1430173490.1999998</v>
      </c>
      <c r="H109" s="290">
        <f t="shared" si="61"/>
        <v>17426420953.600002</v>
      </c>
      <c r="I109" s="290">
        <f t="shared" si="61"/>
        <v>650929810.58000004</v>
      </c>
      <c r="J109" s="290">
        <f t="shared" si="61"/>
        <v>-8466734681.1999998</v>
      </c>
      <c r="K109" s="300">
        <f t="shared" si="61"/>
        <v>53819598346.440002</v>
      </c>
      <c r="L109" s="301">
        <f t="shared" si="61"/>
        <v>859936309</v>
      </c>
      <c r="M109" s="302">
        <f t="shared" si="61"/>
        <v>52959662037.440002</v>
      </c>
      <c r="N109" s="301">
        <f t="shared" si="61"/>
        <v>143093581.66999999</v>
      </c>
      <c r="O109" s="302">
        <f>SUM(O104:O108)</f>
        <v>53102755619.110001</v>
      </c>
      <c r="P109" s="329"/>
      <c r="Q109" s="306"/>
      <c r="S109" s="327"/>
      <c r="T109" s="328" t="s">
        <v>2</v>
      </c>
      <c r="U109" s="330">
        <f>SUM(U104:U108)</f>
        <v>5712380402.710001</v>
      </c>
      <c r="V109" s="330">
        <f t="shared" ref="V109:AF109" si="63">SUM(V104:V108)</f>
        <v>5629671728.749999</v>
      </c>
      <c r="W109" s="330">
        <f t="shared" si="63"/>
        <v>27162450890.040005</v>
      </c>
      <c r="X109" s="330">
        <f t="shared" si="63"/>
        <v>11717094139.17</v>
      </c>
      <c r="Y109" s="330">
        <f t="shared" si="63"/>
        <v>1062213664.49</v>
      </c>
      <c r="Z109" s="290">
        <f t="shared" si="63"/>
        <v>-859936309</v>
      </c>
      <c r="AA109" s="290">
        <f>SUM(AA104:AA108)</f>
        <v>151776.16</v>
      </c>
      <c r="AB109" s="290">
        <f t="shared" si="63"/>
        <v>143093581.66999999</v>
      </c>
      <c r="AC109" s="290">
        <f>SUM(AC104:AC108)</f>
        <v>-14163.519999999999</v>
      </c>
      <c r="AD109" s="290">
        <f t="shared" si="63"/>
        <v>2535649908.6399999</v>
      </c>
      <c r="AE109" s="290">
        <f>SUM(AE104:AE108)</f>
        <v>-5931084772.5599995</v>
      </c>
      <c r="AF109" s="331">
        <f t="shared" si="63"/>
        <v>53102755619.110001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51283810825.159996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100931031.88</v>
      </c>
      <c r="E125" s="309">
        <v>0</v>
      </c>
      <c r="G125" s="336">
        <f>D47+N47</f>
        <v>49580</v>
      </c>
      <c r="H125" s="310">
        <f>D28+N28</f>
        <v>125948553.12</v>
      </c>
      <c r="I125" s="309">
        <f>D85+N85</f>
        <v>973693.46</v>
      </c>
      <c r="J125" s="309">
        <f>D66+N66</f>
        <v>-16536713.09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136534753</v>
      </c>
      <c r="E126" s="288">
        <v>0</v>
      </c>
      <c r="G126" s="339">
        <f>D48+N48</f>
        <v>56190070</v>
      </c>
      <c r="H126" s="340">
        <f>D29+N29</f>
        <v>178539092.16</v>
      </c>
      <c r="I126" s="288">
        <f>D86+N86</f>
        <v>216025.77</v>
      </c>
      <c r="J126" s="288">
        <f>D67+N67</f>
        <v>-71069759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58884032.920000002</v>
      </c>
      <c r="E127" s="288">
        <v>0</v>
      </c>
      <c r="G127" s="339">
        <f>D49+N49</f>
        <v>1307680</v>
      </c>
      <c r="H127" s="340">
        <f>D30+N30</f>
        <v>26609070.66</v>
      </c>
      <c r="I127" s="288">
        <f>D87+N87</f>
        <v>104231.83</v>
      </c>
      <c r="J127" s="288">
        <f t="shared" ref="J127:J129" si="64">D68+N68</f>
        <v>-32310979.800000001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73726637.340000004</v>
      </c>
      <c r="E128" s="288">
        <v>0</v>
      </c>
      <c r="G128" s="339">
        <f>D50+N50</f>
        <v>4343101</v>
      </c>
      <c r="H128" s="340">
        <f>D31+N31</f>
        <v>161461949.73000002</v>
      </c>
      <c r="I128" s="288">
        <f>D88+N88</f>
        <v>35954.44</v>
      </c>
      <c r="J128" s="288">
        <f t="shared" si="64"/>
        <v>-33738104.229999997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28383865.960000001</v>
      </c>
      <c r="E129" s="344">
        <v>0</v>
      </c>
      <c r="G129" s="339">
        <f>D51+N51</f>
        <v>441849</v>
      </c>
      <c r="H129" s="340">
        <f>D32+N32</f>
        <v>43973508.960000001</v>
      </c>
      <c r="I129" s="288">
        <f>D89+N89</f>
        <v>0</v>
      </c>
      <c r="J129" s="288">
        <f t="shared" si="64"/>
        <v>-3092375.53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398460321.09999996</v>
      </c>
      <c r="E131" s="350">
        <f>SUM(E125:E130)</f>
        <v>0</v>
      </c>
      <c r="F131" s="351"/>
      <c r="G131" s="350">
        <f t="shared" ref="G131" si="65">SUM(G125:G129)</f>
        <v>62332280</v>
      </c>
      <c r="H131" s="350">
        <f>SUM(H125:H130)</f>
        <v>536532174.63</v>
      </c>
      <c r="I131" s="350">
        <f>SUM(I125:I130)</f>
        <v>1329905.5</v>
      </c>
      <c r="J131" s="350">
        <f>SUM(J125:J130)</f>
        <v>-156747931.65000001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17576437021.489998</v>
      </c>
      <c r="E142" s="110">
        <f>'Recaudo EAAB Reciprocidad'!F21+'Recaudo EAAB + Ciud Limp'!F21+'Recaudo Directa Occidente'!F21+'Recaudo ENEL'!F21+'Recaudo ENERBIT'!F21</f>
        <v>17466001908</v>
      </c>
      <c r="F142" s="110">
        <f>D28+N28</f>
        <v>125948553.12</v>
      </c>
      <c r="G142" s="110">
        <f>D66+N66</f>
        <v>-16536713.09</v>
      </c>
      <c r="H142" s="110">
        <f>D85+N85</f>
        <v>973693.46</v>
      </c>
      <c r="I142" s="110">
        <f>('REPORTE RECAUDO x BANCO'!E62+'REPORTE RECAUDO x BANCO'!E63+'REPORTE RECAUDO x BANCO'!E75)</f>
        <v>0</v>
      </c>
      <c r="J142" s="110">
        <f t="shared" ref="J142:K146" si="66">G125</f>
        <v>49580</v>
      </c>
      <c r="K142" s="111">
        <f t="shared" si="66"/>
        <v>125948553.12</v>
      </c>
      <c r="L142" s="597">
        <f>D142-E142-F142-G142-J142-H142-I142</f>
        <v>-2.1411105990409851E-6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20706132943.93</v>
      </c>
      <c r="E143" s="18">
        <f>'Recaudo EAAB Reciprocidad'!F22+'Recaudo EAAB + Ciud Limp'!F22+'Recaudo Directa Occidente'!F22+'Recaudo ENEL'!F22+'Recaudo ENERBIT'!F22</f>
        <v>20540888080</v>
      </c>
      <c r="F143" s="18">
        <f>D29+N29</f>
        <v>178539092.16</v>
      </c>
      <c r="G143" s="18">
        <f>D67+N67</f>
        <v>-71069759</v>
      </c>
      <c r="H143" s="18">
        <f>D86+N86</f>
        <v>216025.77</v>
      </c>
      <c r="I143" s="18">
        <f>('REPORTE RECAUDO x BANCO'!E64+'REPORTE RECAUDO x BANCO'!E65+'REPORTE RECAUDO x BANCO'!E66+'REPORTE RECAUDO x BANCO'!E76)</f>
        <v>1369435</v>
      </c>
      <c r="J143" s="18">
        <f>G126</f>
        <v>56190070</v>
      </c>
      <c r="K143" s="83">
        <f>H126</f>
        <v>178539092.16</v>
      </c>
      <c r="L143" s="597">
        <f>D143-E143-F143-G143-J143-H143-I143</f>
        <v>3.0873343348503113E-7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15295122463.690002</v>
      </c>
      <c r="E144" s="18">
        <f>'Recaudo EAAB Reciprocidad'!F23+'Recaudo EAAB + Ciud Limp'!F23+'Recaudo Directa Occidente'!F23+'Recaudo ENEL'!F23+'Recaudo ENERBIT'!F23</f>
        <v>15272372341</v>
      </c>
      <c r="F144" s="18">
        <f>D30+N30</f>
        <v>26609070.66</v>
      </c>
      <c r="G144" s="18">
        <f>D68+N68</f>
        <v>-32310979.800000001</v>
      </c>
      <c r="H144" s="18">
        <f>D87+N87</f>
        <v>104231.83</v>
      </c>
      <c r="I144" s="18">
        <f>('REPORTE RECAUDO x BANCO'!E67+'REPORTE RECAUDO x BANCO'!E68+'REPORTE RECAUDO x BANCO'!E77)</f>
        <v>27040120</v>
      </c>
      <c r="J144" s="18">
        <f>G127</f>
        <v>1307680</v>
      </c>
      <c r="K144" s="83">
        <f t="shared" si="66"/>
        <v>26609070.66</v>
      </c>
      <c r="L144" s="597">
        <f>D144-E144-F144-G144-J144-H144-I144</f>
        <v>2.4437904357910156E-6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7287450377.9399996</v>
      </c>
      <c r="E145" s="18">
        <f>'Recaudo EAAB Reciprocidad'!F24+'Recaudo EAAB + Ciud Limp'!F24+'Recaudo Directa Occidente'!F24+'Recaudo ENEL'!F24+'Recaudo ENERBIT'!F24</f>
        <v>7142916567</v>
      </c>
      <c r="F145" s="18">
        <f>D31+N31</f>
        <v>161461949.73000002</v>
      </c>
      <c r="G145" s="18">
        <f>D69+N69</f>
        <v>-33738104.229999997</v>
      </c>
      <c r="H145" s="18">
        <f>D88+N88</f>
        <v>35954.44</v>
      </c>
      <c r="I145" s="18">
        <f>('REPORTE RECAUDO x BANCO'!E69+'REPORTE RECAUDO x BANCO'!E70+'REPORTE RECAUDO x BANCO'!E71+'REPORTE RECAUDO x BANCO'!E78)</f>
        <v>12430910</v>
      </c>
      <c r="J145" s="18">
        <f t="shared" si="66"/>
        <v>4343101</v>
      </c>
      <c r="K145" s="83">
        <f>H128</f>
        <v>161461949.73000002</v>
      </c>
      <c r="L145" s="597">
        <f t="shared" ref="L145:L147" si="68">D145-E145-F145-G145-J145-H145-I145</f>
        <v>-4.4144690036773682E-7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12117620263.429998</v>
      </c>
      <c r="E146" s="18">
        <f>'Recaudo EAAB Reciprocidad'!F25+'Recaudo EAAB + Ciud Limp'!F25+'Recaudo Directa Occidente'!F25+'Recaudo ENEL'!F25+'Recaudo ENERBIT'!F25</f>
        <v>12075771071</v>
      </c>
      <c r="F146" s="134">
        <f>D32+N32</f>
        <v>43973508.960000001</v>
      </c>
      <c r="G146" s="134">
        <f>D70+N70</f>
        <v>-3092375.53</v>
      </c>
      <c r="H146" s="134">
        <f>D89+N89</f>
        <v>0</v>
      </c>
      <c r="I146" s="134">
        <f>('REPORTE RECAUDO x BANCO'!E72+'REPORTE RECAUDO x BANCO'!E73+'REPORTE RECAUDO x BANCO'!E79)</f>
        <v>526210</v>
      </c>
      <c r="J146" s="134">
        <f t="shared" si="66"/>
        <v>441849</v>
      </c>
      <c r="K146" s="136">
        <f t="shared" si="66"/>
        <v>43973508.960000001</v>
      </c>
      <c r="L146" s="597">
        <f t="shared" si="68"/>
        <v>-1.6032718122005463E-6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72982763070.479996</v>
      </c>
      <c r="E147" s="47">
        <f>SUM(E142:E146)</f>
        <v>72497949967</v>
      </c>
      <c r="F147" s="47">
        <f t="shared" ref="F147:K147" si="69">SUM(F142:F146)</f>
        <v>536532174.63</v>
      </c>
      <c r="G147" s="47">
        <f t="shared" si="69"/>
        <v>-156747931.65000001</v>
      </c>
      <c r="H147" s="47">
        <f>SUM(H142:H146)</f>
        <v>1329905.5</v>
      </c>
      <c r="I147" s="47">
        <f t="shared" si="69"/>
        <v>41366675</v>
      </c>
      <c r="J147" s="47">
        <f t="shared" si="69"/>
        <v>62332280</v>
      </c>
      <c r="K147" s="47">
        <f t="shared" si="69"/>
        <v>536532174.63</v>
      </c>
      <c r="L147" s="597">
        <f t="shared" si="68"/>
        <v>-4.2617321014404297E-6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Reciprocidad'!F21+'Recaudo EAAB + Ciud Limp'!F21+'Recaudo Directa Occidente'!F21+'Recaudo ENEL'!F21+'Recaudo ENERBIT'!F21</f>
        <v>17466001908</v>
      </c>
      <c r="D3" s="292">
        <f>'CONSOLIDADO_TOTAL RECAUDO'!G125</f>
        <v>49580</v>
      </c>
      <c r="E3" s="292">
        <f>'CONSOLIDADO_TOTAL RECAUDO'!D28+'CONSOLIDADO_TOTAL RECAUDO'!N28</f>
        <v>125948553.12</v>
      </c>
      <c r="F3" s="292">
        <f>'CONSOLIDADO_TOTAL RECAUDO'!I142</f>
        <v>0</v>
      </c>
      <c r="G3" s="292">
        <f>'CONSOLIDADO_TOTAL RECAUDO'!H142</f>
        <v>973693.46</v>
      </c>
      <c r="H3" s="340">
        <f>SUM(C3:G3)</f>
        <v>17592973734.579998</v>
      </c>
      <c r="I3" s="291">
        <f>'CONSOLIDADO_TOTAL RECAUDO'!D104</f>
        <v>17450228673.349998</v>
      </c>
      <c r="J3" s="292">
        <f>'CONSOLIDADO_TOTAL RECAUDO'!N104</f>
        <v>25277316.260000002</v>
      </c>
      <c r="K3" s="292">
        <f>'CONSOLIDADO_TOTAL RECAUDO'!D125</f>
        <v>100931031.88</v>
      </c>
      <c r="L3" s="353">
        <f>'CONSOLIDADO_TOTAL RECAUDO'!E125</f>
        <v>0</v>
      </c>
      <c r="M3" s="292">
        <f>-'CONSOLIDADO_TOTAL RECAUDO'!D66-'CONSOLIDADO_TOTAL RECAUDO'!N66</f>
        <v>16536713.09</v>
      </c>
      <c r="N3" s="288">
        <f>SUM(I3:M3)</f>
        <v>17592973734.579998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Reciprocidad'!F22+'Recaudo EAAB + Ciud Limp'!F22+'Recaudo Directa Occidente'!F22+'Recaudo ENEL'!F22+'Recaudo ENERBIT'!F22</f>
        <v>20540888080</v>
      </c>
      <c r="D4" s="292">
        <f>'CONSOLIDADO_TOTAL RECAUDO'!G126</f>
        <v>56190070</v>
      </c>
      <c r="E4" s="292">
        <f>'CONSOLIDADO_TOTAL RECAUDO'!D29+'CONSOLIDADO_TOTAL RECAUDO'!N29</f>
        <v>178539092.16</v>
      </c>
      <c r="F4" s="292">
        <f>'CONSOLIDADO_TOTAL RECAUDO'!I143</f>
        <v>1369435</v>
      </c>
      <c r="G4" s="292">
        <f>'CONSOLIDADO_TOTAL RECAUDO'!H143</f>
        <v>216025.77</v>
      </c>
      <c r="H4" s="340">
        <f t="shared" ref="H4:H8" si="1">SUM(C4:G4)</f>
        <v>20777202702.93</v>
      </c>
      <c r="I4" s="291">
        <f>'CONSOLIDADO_TOTAL RECAUDO'!D105</f>
        <v>20516143969.650002</v>
      </c>
      <c r="J4" s="292">
        <f>'CONSOLIDADO_TOTAL RECAUDO'!N105</f>
        <v>53454221.280000001</v>
      </c>
      <c r="K4" s="292">
        <f>'CONSOLIDADO_TOTAL RECAUDO'!D126</f>
        <v>136534753</v>
      </c>
      <c r="L4" s="353">
        <f>'CONSOLIDADO_TOTAL RECAUDO'!E126</f>
        <v>0</v>
      </c>
      <c r="M4" s="292">
        <f>-'CONSOLIDADO_TOTAL RECAUDO'!D67-'CONSOLIDADO_TOTAL RECAUDO'!N67</f>
        <v>71069759</v>
      </c>
      <c r="N4" s="318">
        <f>SUM(I4:M4)</f>
        <v>20777202702.93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Reciprocidad'!F23+'Recaudo EAAB + Ciud Limp'!F23+'Recaudo Directa Occidente'!F23+'Recaudo ENEL'!F23+'Recaudo ENERBIT'!F23</f>
        <v>15272372341</v>
      </c>
      <c r="D5" s="292">
        <f>'CONSOLIDADO_TOTAL RECAUDO'!G127</f>
        <v>1307680</v>
      </c>
      <c r="E5" s="292">
        <f>'CONSOLIDADO_TOTAL RECAUDO'!D30+'CONSOLIDADO_TOTAL RECAUDO'!N30</f>
        <v>26609070.66</v>
      </c>
      <c r="F5" s="292">
        <f>'CONSOLIDADO_TOTAL RECAUDO'!I144</f>
        <v>27040120</v>
      </c>
      <c r="G5" s="292">
        <f>'CONSOLIDADO_TOTAL RECAUDO'!H144</f>
        <v>104231.83</v>
      </c>
      <c r="H5" s="340">
        <f t="shared" si="1"/>
        <v>15327433443.49</v>
      </c>
      <c r="I5" s="291">
        <f>'CONSOLIDADO_TOTAL RECAUDO'!D106</f>
        <v>15221896467.450003</v>
      </c>
      <c r="J5" s="292">
        <f>'CONSOLIDADO_TOTAL RECAUDO'!N106</f>
        <v>14341963.319999998</v>
      </c>
      <c r="K5" s="292">
        <f>'CONSOLIDADO_TOTAL RECAUDO'!D127</f>
        <v>58884032.920000002</v>
      </c>
      <c r="L5" s="353">
        <f>'CONSOLIDADO_TOTAL RECAUDO'!E127</f>
        <v>0</v>
      </c>
      <c r="M5" s="292">
        <f>-'CONSOLIDADO_TOTAL RECAUDO'!D68-'CONSOLIDADO_TOTAL RECAUDO'!N68</f>
        <v>32310979.800000001</v>
      </c>
      <c r="N5" s="318">
        <f>SUM(I5:M5)</f>
        <v>15327433443.490002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Reciprocidad'!F24+'Recaudo EAAB + Ciud Limp'!F24+'Recaudo Directa Occidente'!F24+'Recaudo ENEL'!F24+'Recaudo ENERBIT'!F24</f>
        <v>7142916567</v>
      </c>
      <c r="D6" s="292">
        <f>'CONSOLIDADO_TOTAL RECAUDO'!G128</f>
        <v>4343101</v>
      </c>
      <c r="E6" s="292">
        <f>'CONSOLIDADO_TOTAL RECAUDO'!D31+'CONSOLIDADO_TOTAL RECAUDO'!N31</f>
        <v>161461949.73000002</v>
      </c>
      <c r="F6" s="292">
        <f>'CONSOLIDADO_TOTAL RECAUDO'!I145</f>
        <v>12430910</v>
      </c>
      <c r="G6" s="292">
        <f>'CONSOLIDADO_TOTAL RECAUDO'!H145</f>
        <v>35954.44</v>
      </c>
      <c r="H6" s="340">
        <f t="shared" si="1"/>
        <v>7321188482.1699991</v>
      </c>
      <c r="I6" s="291">
        <f>'CONSOLIDADO_TOTAL RECAUDO'!D107</f>
        <v>7179595395.6699991</v>
      </c>
      <c r="J6" s="292">
        <f>'CONSOLIDADO_TOTAL RECAUDO'!N107</f>
        <v>34128344.93</v>
      </c>
      <c r="K6" s="292">
        <f>'CONSOLIDADO_TOTAL RECAUDO'!D128</f>
        <v>73726637.340000004</v>
      </c>
      <c r="L6" s="353">
        <f>'CONSOLIDADO_TOTAL RECAUDO'!E128</f>
        <v>0</v>
      </c>
      <c r="M6" s="292">
        <f>-'CONSOLIDADO_TOTAL RECAUDO'!D69-'CONSOLIDADO_TOTAL RECAUDO'!N69</f>
        <v>33738104.229999997</v>
      </c>
      <c r="N6" s="318">
        <f t="shared" ref="N6:N7" si="3">SUM(I6:M6)</f>
        <v>7321188482.1699991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Reciprocidad'!F25+'Recaudo EAAB + Ciud Limp'!F25+'Recaudo Directa Occidente'!F25+'Recaudo ENEL'!F25+'Recaudo ENERBIT'!F25</f>
        <v>12075771071</v>
      </c>
      <c r="D7" s="292">
        <f>'CONSOLIDADO_TOTAL RECAUDO'!G129</f>
        <v>441849</v>
      </c>
      <c r="E7" s="292">
        <f>'CONSOLIDADO_TOTAL RECAUDO'!D32+'CONSOLIDADO_TOTAL RECAUDO'!N32</f>
        <v>43973508.960000001</v>
      </c>
      <c r="F7" s="292">
        <f>'CONSOLIDADO_TOTAL RECAUDO'!I146</f>
        <v>526210</v>
      </c>
      <c r="G7" s="292">
        <f>'CONSOLIDADO_TOTAL RECAUDO'!H146</f>
        <v>0</v>
      </c>
      <c r="H7" s="340">
        <f>SUM(C7:G7)</f>
        <v>12120712638.959999</v>
      </c>
      <c r="I7" s="291">
        <f>'CONSOLIDADO_TOTAL RECAUDO'!D108</f>
        <v>12073344661.59</v>
      </c>
      <c r="J7" s="292">
        <f>'CONSOLIDADO_TOTAL RECAUDO'!N108</f>
        <v>15891735.880000001</v>
      </c>
      <c r="K7" s="292">
        <f>'CONSOLIDADO_TOTAL RECAUDO'!D129</f>
        <v>28383865.960000001</v>
      </c>
      <c r="L7" s="353">
        <f>'CONSOLIDADO_TOTAL RECAUDO'!E129</f>
        <v>0</v>
      </c>
      <c r="M7" s="292">
        <f>-'CONSOLIDADO_TOTAL RECAUDO'!D70-'CONSOLIDADO_TOTAL RECAUDO'!N70</f>
        <v>3092375.53</v>
      </c>
      <c r="N7" s="318">
        <f t="shared" si="3"/>
        <v>12120712638.959999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72497949967</v>
      </c>
      <c r="D9" s="290">
        <f t="shared" ref="D9:L9" si="4">SUM(D3:D8)</f>
        <v>62332280</v>
      </c>
      <c r="E9" s="290">
        <f t="shared" si="4"/>
        <v>536532174.63</v>
      </c>
      <c r="F9" s="290">
        <f t="shared" si="4"/>
        <v>41366675</v>
      </c>
      <c r="G9" s="290">
        <f t="shared" si="4"/>
        <v>1329905.5</v>
      </c>
      <c r="H9" s="290">
        <f>SUM(H3:H8)</f>
        <v>73139511002.12999</v>
      </c>
      <c r="I9" s="290">
        <f t="shared" si="4"/>
        <v>72441209167.710007</v>
      </c>
      <c r="J9" s="290">
        <f t="shared" si="4"/>
        <v>143093581.66999999</v>
      </c>
      <c r="K9" s="290">
        <f t="shared" si="4"/>
        <v>398460321.09999996</v>
      </c>
      <c r="L9" s="290">
        <f t="shared" si="4"/>
        <v>0</v>
      </c>
      <c r="M9" s="290">
        <f>SUM(M3:M8)</f>
        <v>156747931.65000001</v>
      </c>
      <c r="N9" s="290">
        <f>SUM(N3:N8)</f>
        <v>73139511002.130005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72497949967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40117400</v>
      </c>
      <c r="E20" s="695">
        <f>VALIDACION_RECIP!D9</f>
        <v>41900</v>
      </c>
      <c r="F20" s="695">
        <f>VALIDACION_RECIP!E9</f>
        <v>101922698.10999998</v>
      </c>
      <c r="G20" s="695">
        <f>VALIDACION_RECIP!F9</f>
        <v>0</v>
      </c>
      <c r="H20" s="695">
        <f>VALIDACION_RECIP!G9</f>
        <v>251980.21</v>
      </c>
      <c r="I20" s="695">
        <f>VALIDACION_RECIP!H9</f>
        <v>142333978.31999999</v>
      </c>
      <c r="J20" s="695">
        <f>VALIDACION_RECIP!I9</f>
        <v>118508638.31999999</v>
      </c>
      <c r="K20" s="695">
        <f>VALIDACION_RECIP!J9</f>
        <v>0</v>
      </c>
      <c r="L20" s="695">
        <f>VALIDACION_RECIP!K9</f>
        <v>23089310</v>
      </c>
      <c r="M20" s="695">
        <f>VALIDACION_RECIP!L9</f>
        <v>0</v>
      </c>
      <c r="N20" s="695">
        <f>VALIDACION_RECIP!M9</f>
        <v>736030</v>
      </c>
      <c r="O20" s="695">
        <f>VALIDACION_RECIP!N9</f>
        <v>142333978.31999999</v>
      </c>
    </row>
    <row r="21" spans="3:18" x14ac:dyDescent="0.25">
      <c r="C21" s="167" t="s">
        <v>155</v>
      </c>
      <c r="D21" s="695">
        <f>VALIDACION_ENEL!C9</f>
        <v>68144618192</v>
      </c>
      <c r="E21" s="695">
        <f>VALIDACION_ENEL!D9</f>
        <v>61046127</v>
      </c>
      <c r="F21" s="695">
        <f>VALIDACION_ENEL!E9</f>
        <v>247021750.10999998</v>
      </c>
      <c r="G21" s="695">
        <f>VALIDACION_ENEL!F9</f>
        <v>41366675</v>
      </c>
      <c r="H21" s="695">
        <f>VALIDACION_ENEL!G9</f>
        <v>1077925.29</v>
      </c>
      <c r="I21" s="695">
        <f>VALIDACION_ENEL!H9</f>
        <v>68495130669.400002</v>
      </c>
      <c r="J21" s="695">
        <f>VALIDACION_ENEL!I9</f>
        <v>68026235701.290009</v>
      </c>
      <c r="K21" s="695">
        <f>VALIDACION_ENEL!J9</f>
        <v>82026262.269999996</v>
      </c>
      <c r="L21" s="695">
        <f>VALIDACION_ENEL!K9</f>
        <v>236717169.25</v>
      </c>
      <c r="M21" s="695">
        <f>VALIDACION_ENEL!L9</f>
        <v>0</v>
      </c>
      <c r="N21" s="695">
        <f>VALIDACION_ENEL!M9</f>
        <v>150151536.59</v>
      </c>
      <c r="O21" s="695">
        <f>VALIDACION_ENEL!N9</f>
        <v>68495130669.400009</v>
      </c>
    </row>
    <row r="22" spans="3:18" x14ac:dyDescent="0.25">
      <c r="C22" s="759" t="s">
        <v>325</v>
      </c>
      <c r="D22" s="695">
        <f>VALIDACION_ENERBIT!C9</f>
        <v>28645323</v>
      </c>
      <c r="E22" s="695">
        <f>VALIDACION_ENERBIT!D9</f>
        <v>0</v>
      </c>
      <c r="F22" s="695">
        <f>VALIDACION_ENERBIT!E9</f>
        <v>6242402.4799999995</v>
      </c>
      <c r="G22" s="695">
        <f>VALIDACION_ENERBIT!F9</f>
        <v>0</v>
      </c>
      <c r="H22" s="695">
        <f>VALIDACION_ENERBIT!G9</f>
        <v>0</v>
      </c>
      <c r="I22" s="695">
        <f>VALIDACION_ENERBIT!H9</f>
        <v>34887725.479999997</v>
      </c>
      <c r="J22" s="695">
        <f>VALIDACION_ENERBIT!I9</f>
        <v>33106622.48</v>
      </c>
      <c r="K22" s="695">
        <f>VALIDACION_ENERBIT!J9</f>
        <v>0</v>
      </c>
      <c r="L22" s="695">
        <f>VALIDACION_ENERBIT!K9</f>
        <v>1781103</v>
      </c>
      <c r="M22" s="695">
        <f>VALIDACION_ENERBIT!L9</f>
        <v>0</v>
      </c>
      <c r="N22" s="695">
        <f>VALIDACION_ENERBIT!M9</f>
        <v>0</v>
      </c>
      <c r="O22" s="695">
        <f>VALIDACION_ENERBIT!N9</f>
        <v>34887725.480000004</v>
      </c>
    </row>
    <row r="23" spans="3:18" x14ac:dyDescent="0.25">
      <c r="C23" s="212" t="s">
        <v>119</v>
      </c>
      <c r="D23" s="695">
        <f>VALIDACION_OCCIDENTE!C9</f>
        <v>4284569052</v>
      </c>
      <c r="E23" s="695">
        <f>VALIDACION_OCCIDENTE!D9</f>
        <v>1244253</v>
      </c>
      <c r="F23" s="695">
        <f>VALIDACION_OCCIDENTE!E9</f>
        <v>181345323.93000001</v>
      </c>
      <c r="G23" s="695">
        <f>VALIDACION_OCCIDENTE!F9</f>
        <v>0</v>
      </c>
      <c r="H23" s="695">
        <f>VALIDACION_OCCIDENTE!G9</f>
        <v>0</v>
      </c>
      <c r="I23" s="695">
        <f>VALIDACION_OCCIDENTE!H9</f>
        <v>4467158628.9300003</v>
      </c>
      <c r="J23" s="695">
        <f>VALIDACION_OCCIDENTE!I9</f>
        <v>4263358205.6200008</v>
      </c>
      <c r="K23" s="695">
        <f>VALIDACION_OCCIDENTE!J9</f>
        <v>61067319.399999999</v>
      </c>
      <c r="L23" s="695">
        <f>VALIDACION_OCCIDENTE!K9</f>
        <v>136872738.84999999</v>
      </c>
      <c r="M23" s="695">
        <f>VALIDACION_OCCIDENTE!L9</f>
        <v>0</v>
      </c>
      <c r="N23" s="695">
        <f>VALIDACION_OCCIDENTE!M9</f>
        <v>5860365.0600000005</v>
      </c>
      <c r="O23" s="695">
        <f>VALIDACION_OCCIDENTE!N9</f>
        <v>4467158628.9300003</v>
      </c>
    </row>
    <row r="24" spans="3:18" x14ac:dyDescent="0.25">
      <c r="D24" s="702">
        <f>SUM(D20:D23)</f>
        <v>72497949967</v>
      </c>
      <c r="E24" s="141">
        <f>SUM(E20:E23)</f>
        <v>62332280</v>
      </c>
      <c r="F24" s="141">
        <f>SUM(F20:F23)</f>
        <v>536532174.63</v>
      </c>
      <c r="G24" s="141">
        <f>SUM(G20:G23)</f>
        <v>41366675</v>
      </c>
      <c r="H24" s="141">
        <f t="shared" ref="H24:O24" si="5">SUM(H20:H23)</f>
        <v>1329905.5</v>
      </c>
      <c r="I24" s="141">
        <f t="shared" si="5"/>
        <v>73139511002.130005</v>
      </c>
      <c r="J24" s="141">
        <f t="shared" si="5"/>
        <v>72441209167.710007</v>
      </c>
      <c r="K24" s="141">
        <f t="shared" si="5"/>
        <v>143093581.66999999</v>
      </c>
      <c r="L24" s="141">
        <f t="shared" si="5"/>
        <v>398460321.10000002</v>
      </c>
      <c r="M24" s="141">
        <f t="shared" si="5"/>
        <v>0</v>
      </c>
      <c r="N24" s="141">
        <f t="shared" si="5"/>
        <v>156747931.65000001</v>
      </c>
      <c r="O24" s="141">
        <f t="shared" si="5"/>
        <v>73139511002.130005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118508638.31999999</v>
      </c>
      <c r="E29" s="695">
        <f>'REMUNERACION Reciprocidad EAAB'!N109</f>
        <v>0</v>
      </c>
      <c r="F29" s="695">
        <f>D29+E29</f>
        <v>118508638.31999999</v>
      </c>
      <c r="G29" s="703">
        <f>D20-F29</f>
        <v>-78391238.319999993</v>
      </c>
      <c r="H29" s="695"/>
      <c r="I29" s="695">
        <f>'REMUNERACION Reciprocidad EAAB'!D131</f>
        <v>23089310</v>
      </c>
      <c r="J29" s="695"/>
      <c r="K29" s="695">
        <f>'REMUNERACION Reciprocidad EAAB'!G131</f>
        <v>41900</v>
      </c>
      <c r="L29" s="695">
        <f>'REMUNERACION Reciprocidad EAAB'!H131</f>
        <v>101922698.10999998</v>
      </c>
      <c r="M29" s="695">
        <f>'REMUNERACION Reciprocidad EAAB'!I131</f>
        <v>251980.21</v>
      </c>
      <c r="N29" s="695">
        <f>+'REMUNERACION Reciprocidad EAAB'!J131</f>
        <v>-736030</v>
      </c>
      <c r="O29" s="695">
        <f>'REMUNERACION Reciprocidad EAAB'!I147</f>
        <v>0</v>
      </c>
      <c r="P29" s="703">
        <f>I29+J29-K29-L29-M29-N29-O29</f>
        <v>-78391238.319999978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68026235701.290009</v>
      </c>
      <c r="E30" s="695">
        <f>REMUNERACION_ENEL!N109</f>
        <v>82026262.269999996</v>
      </c>
      <c r="F30" s="695">
        <f>D30+E30</f>
        <v>68108261963.560005</v>
      </c>
      <c r="G30" s="705">
        <f>D21-F30</f>
        <v>36356228.439994812</v>
      </c>
      <c r="H30" s="695"/>
      <c r="I30" s="695">
        <f>REMUNERACION_ENEL!D131</f>
        <v>236717169.25</v>
      </c>
      <c r="J30" s="695"/>
      <c r="K30" s="695">
        <f>REMUNERACION_ENEL!G131</f>
        <v>61046127</v>
      </c>
      <c r="L30" s="695">
        <f>REMUNERACION_ENEL!H131</f>
        <v>247021750.10999998</v>
      </c>
      <c r="M30" s="695">
        <f>REMUNERACION_ENEL!I131</f>
        <v>1077925.29</v>
      </c>
      <c r="N30" s="695">
        <f>REMUNERACION_ENEL!J131</f>
        <v>-150151536.59</v>
      </c>
      <c r="O30" s="695">
        <f>REMUNERACION_ENEL!I147</f>
        <v>41366675</v>
      </c>
      <c r="P30" s="703">
        <f>I30+J30-K30-L30-M30-N30-O30</f>
        <v>36356228.440000013</v>
      </c>
      <c r="Q30" s="704">
        <f>G30-P30</f>
        <v>-5.200505256652832E-6</v>
      </c>
      <c r="R30" s="141"/>
    </row>
    <row r="31" spans="3:18" x14ac:dyDescent="0.25">
      <c r="C31" s="759" t="s">
        <v>325</v>
      </c>
      <c r="D31" s="695">
        <f>REMUNERACION_ENERBIT!D109</f>
        <v>33106622.48</v>
      </c>
      <c r="E31" s="695">
        <f>REMUNERACION_ENERBIT!N109</f>
        <v>0</v>
      </c>
      <c r="F31" s="695">
        <f>D31+E31</f>
        <v>33106622.48</v>
      </c>
      <c r="G31" s="705">
        <f>D22-F31</f>
        <v>-4461299.4800000004</v>
      </c>
      <c r="H31" s="695"/>
      <c r="I31" s="695">
        <f>REMUNERACION_ENERBIT!D131</f>
        <v>1781103</v>
      </c>
      <c r="J31" s="695"/>
      <c r="K31" s="695">
        <f>REMUNERACION_ENERBIT!G131</f>
        <v>0</v>
      </c>
      <c r="L31" s="695">
        <f>REMUNERACION_ENERBIT!H131</f>
        <v>6242402.4799999995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-4461299.4799999995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4263358205.6200008</v>
      </c>
      <c r="E32" s="695">
        <f>'REMUNERACION_OCCIDENTE_ Directa'!N109</f>
        <v>61067319.399999999</v>
      </c>
      <c r="F32" s="695">
        <f>D32+E32</f>
        <v>4324425525.0200005</v>
      </c>
      <c r="G32" s="705">
        <f>D23-F32</f>
        <v>-39856473.020000458</v>
      </c>
      <c r="H32" s="695"/>
      <c r="I32" s="695">
        <f>'REMUNERACION_OCCIDENTE_ Directa'!D131</f>
        <v>136872738.84999999</v>
      </c>
      <c r="J32" s="695">
        <f>'CONSOLIDADO_TOTAL RECAUDO'!E131</f>
        <v>0</v>
      </c>
      <c r="K32" s="695">
        <f>'REMUNERACION_OCCIDENTE_ Directa'!G131</f>
        <v>1244253</v>
      </c>
      <c r="L32" s="695">
        <f>'REMUNERACION_OCCIDENTE_ Directa'!H131</f>
        <v>181345323.93000001</v>
      </c>
      <c r="M32" s="695">
        <f>'REMUNERACION_OCCIDENTE_ Directa'!I131</f>
        <v>0</v>
      </c>
      <c r="N32" s="695">
        <f>'REMUNERACION_OCCIDENTE_ Directa'!J131</f>
        <v>-5860365.0600000005</v>
      </c>
      <c r="O32" s="695">
        <f>'REMUNERACION_OCCIDENTE_ Directa'!I147</f>
        <v>0</v>
      </c>
      <c r="P32" s="703">
        <f t="shared" ref="P32" si="9">I32+J32-K32-L32-M32-N32-O32</f>
        <v>-39856473.020000011</v>
      </c>
      <c r="Q32" s="704">
        <f t="shared" si="8"/>
        <v>-4.4703483581542969E-7</v>
      </c>
      <c r="R32" s="141"/>
    </row>
    <row r="33" spans="4:17" x14ac:dyDescent="0.25">
      <c r="D33" s="695">
        <f>SUM(D29:D32)</f>
        <v>72441209167.710007</v>
      </c>
      <c r="E33" s="695">
        <f>SUM(E29:E32)</f>
        <v>143093581.66999999</v>
      </c>
      <c r="F33" s="706">
        <f>SUM(F29:F32)</f>
        <v>72584302749.380005</v>
      </c>
      <c r="G33" s="707">
        <f>D24-F33</f>
        <v>-86352782.380004883</v>
      </c>
      <c r="H33" s="695"/>
      <c r="I33" s="695">
        <f>SUM(I29:I32)</f>
        <v>398460321.10000002</v>
      </c>
      <c r="J33" s="695">
        <f>SUM(J29:J32)</f>
        <v>0</v>
      </c>
      <c r="K33" s="695">
        <f>SUM(K29:K32)</f>
        <v>62332280</v>
      </c>
      <c r="L33" s="695">
        <f t="shared" ref="L33:N33" si="10">SUM(L29:L32)</f>
        <v>536532174.63</v>
      </c>
      <c r="M33" s="695">
        <f t="shared" si="10"/>
        <v>1329905.5</v>
      </c>
      <c r="N33" s="695">
        <f t="shared" si="10"/>
        <v>-156747931.65000001</v>
      </c>
      <c r="O33" s="695">
        <f>SUM(O29:O32)</f>
        <v>41366675</v>
      </c>
      <c r="P33" s="708">
        <f>SUM(P29:P32)</f>
        <v>-86352782.379999965</v>
      </c>
      <c r="Q33" s="704">
        <f>SUM(Q29:Q32)</f>
        <v>-5.6475400924682617E-6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4.9173831939697266E-6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46219</v>
      </c>
      <c r="H7" s="45"/>
      <c r="I7" s="45"/>
      <c r="J7" s="555" t="s">
        <v>28</v>
      </c>
      <c r="K7" s="557">
        <f>'CONSOLIDADO_TOTAL RECAUDO'!K102</f>
        <v>46234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17450228673.349998</v>
      </c>
      <c r="E9" s="66">
        <f>'CONSOLIDADO_TOTAL RECAUDO'!E104</f>
        <v>907089032.16000009</v>
      </c>
      <c r="F9" s="66">
        <f>'CONSOLIDADO_TOTAL RECAUDO'!F104</f>
        <v>511619081.72000003</v>
      </c>
      <c r="G9" s="66">
        <f>'CONSOLIDADO_TOTAL RECAUDO'!G104</f>
        <v>268690518.94</v>
      </c>
      <c r="H9" s="66">
        <f>'CONSOLIDADO_TOTAL RECAUDO'!H104</f>
        <v>3815252256.9000001</v>
      </c>
      <c r="I9" s="66">
        <f>'CONSOLIDADO_TOTAL RECAUDO'!I104</f>
        <v>134368143.47</v>
      </c>
      <c r="J9" s="66">
        <f>'CONSOLIDADO_TOTAL RECAUDO'!J104</f>
        <v>-3589454665.5499997</v>
      </c>
      <c r="K9" s="30">
        <f>D9-E9-F9-G9-H9-I9-J9</f>
        <v>15402664305.709999</v>
      </c>
      <c r="L9" s="66">
        <f>'CONSOLIDADO_TOTAL RECAUDO'!L104</f>
        <v>189185988</v>
      </c>
      <c r="M9" s="30">
        <f>K9-L9</f>
        <v>15213478317.709999</v>
      </c>
      <c r="N9" s="66">
        <f>'CONSOLIDADO_TOTAL RECAUDO'!N104</f>
        <v>25277316.260000002</v>
      </c>
      <c r="O9" s="30">
        <f>M9+N9</f>
        <v>15238755633.969999</v>
      </c>
      <c r="Q9" s="4"/>
      <c r="S9" s="14">
        <v>1</v>
      </c>
      <c r="T9" s="61" t="s">
        <v>10</v>
      </c>
      <c r="U9" s="66">
        <f>'CONSOLIDADO_TOTAL RECAUDO'!U104</f>
        <v>1182502863.3800001</v>
      </c>
      <c r="V9" s="66">
        <f>'CONSOLIDADO_TOTAL RECAUDO'!V104</f>
        <v>1138203111.0299997</v>
      </c>
      <c r="W9" s="66">
        <f>'CONSOLIDADO_TOTAL RECAUDO'!W104</f>
        <v>5384239175.3499994</v>
      </c>
      <c r="X9" s="66">
        <f>'CONSOLIDADO_TOTAL RECAUDO'!X104</f>
        <v>2460648865.29</v>
      </c>
      <c r="Y9" s="66">
        <f>'CONSOLIDADO_TOTAL RECAUDO'!Y104</f>
        <v>219070048.99000001</v>
      </c>
      <c r="Z9" s="66">
        <f>'CONSOLIDADO_TOTAL RECAUDO'!Z104</f>
        <v>-189185988</v>
      </c>
      <c r="AA9" s="66">
        <f>'CONSOLIDADO_TOTAL RECAUDO'!AA104</f>
        <v>-17520.82</v>
      </c>
      <c r="AB9" s="66">
        <f>'CONSOLIDADO_TOTAL RECAUDO'!AB104</f>
        <v>25277316.260000002</v>
      </c>
      <c r="AC9" s="66">
        <f>'CONSOLIDADO_TOTAL RECAUDO'!AC104</f>
        <v>-1592.61</v>
      </c>
      <c r="AD9" s="66">
        <f>'CONSOLIDADO_TOTAL RECAUDO'!AD104</f>
        <v>5018019355.0999994</v>
      </c>
      <c r="AE9" s="66">
        <f>'CONSOLIDADO_TOTAL RECAUDO'!AE104</f>
        <v>1428564689.55</v>
      </c>
      <c r="AF9" s="69">
        <f>SUM(U9:AD9)</f>
        <v>15238755633.969997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20516143969.650002</v>
      </c>
      <c r="E10" s="66">
        <f>'CONSOLIDADO_TOTAL RECAUDO'!E105</f>
        <v>1584179837.8299999</v>
      </c>
      <c r="F10" s="66">
        <f>'CONSOLIDADO_TOTAL RECAUDO'!F105</f>
        <v>890098162.61999989</v>
      </c>
      <c r="G10" s="66">
        <f>'CONSOLIDADO_TOTAL RECAUDO'!G105</f>
        <v>466611469.23999995</v>
      </c>
      <c r="H10" s="66">
        <f>'CONSOLIDADO_TOTAL RECAUDO'!H105</f>
        <v>5815089519.5800009</v>
      </c>
      <c r="I10" s="66">
        <f>'CONSOLIDADO_TOTAL RECAUDO'!I105</f>
        <v>222428730.16</v>
      </c>
      <c r="J10" s="66">
        <f>'CONSOLIDADO_TOTAL RECAUDO'!J105</f>
        <v>-3241193714.1100001</v>
      </c>
      <c r="K10" s="31">
        <f t="shared" ref="K10:K13" si="0">D10-E10-F10-G10-H10-I10-J10</f>
        <v>14778929964.329998</v>
      </c>
      <c r="L10" s="66">
        <f>'CONSOLIDADO_TOTAL RECAUDO'!L105</f>
        <v>266580256</v>
      </c>
      <c r="M10" s="31">
        <f>K10-L10</f>
        <v>14512349708.329998</v>
      </c>
      <c r="N10" s="66">
        <f>'CONSOLIDADO_TOTAL RECAUDO'!N105</f>
        <v>53454221.280000001</v>
      </c>
      <c r="O10" s="31">
        <f t="shared" ref="O10:O13" si="1">M10+N10</f>
        <v>14565803929.609999</v>
      </c>
      <c r="Q10" s="4"/>
      <c r="S10" s="16">
        <v>2</v>
      </c>
      <c r="T10" s="62" t="s">
        <v>11</v>
      </c>
      <c r="U10" s="66">
        <f>'CONSOLIDADO_TOTAL RECAUDO'!U105</f>
        <v>1949886300.4400001</v>
      </c>
      <c r="V10" s="66">
        <f>'CONSOLIDADO_TOTAL RECAUDO'!V105</f>
        <v>1945637036.9099996</v>
      </c>
      <c r="W10" s="66">
        <f>'CONSOLIDADO_TOTAL RECAUDO'!W105</f>
        <v>9155886148.1600037</v>
      </c>
      <c r="X10" s="66">
        <f>'CONSOLIDADO_TOTAL RECAUDO'!X105</f>
        <v>3142209362.4400001</v>
      </c>
      <c r="Y10" s="66">
        <f>'CONSOLIDADO_TOTAL RECAUDO'!Y105</f>
        <v>363003578.24000001</v>
      </c>
      <c r="Z10" s="66">
        <f>'CONSOLIDADO_TOTAL RECAUDO'!Z105</f>
        <v>-266580256</v>
      </c>
      <c r="AA10" s="66">
        <f>'CONSOLIDADO_TOTAL RECAUDO'!AA105</f>
        <v>86900.159999999989</v>
      </c>
      <c r="AB10" s="66">
        <f>'CONSOLIDADO_TOTAL RECAUDO'!AB105</f>
        <v>53454221.280000001</v>
      </c>
      <c r="AC10" s="66">
        <f>'CONSOLIDADO_TOTAL RECAUDO'!AC105</f>
        <v>-123.21</v>
      </c>
      <c r="AD10" s="66">
        <f>'CONSOLIDADO_TOTAL RECAUDO'!AD105</f>
        <v>-1777779238.8099999</v>
      </c>
      <c r="AE10" s="66">
        <f>'CONSOLIDADO_TOTAL RECAUDO'!AE105</f>
        <v>-5018972952.9200001</v>
      </c>
      <c r="AF10" s="70">
        <f>SUM(U10:AD10)</f>
        <v>14565803929.610004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15221896467.450003</v>
      </c>
      <c r="E11" s="66">
        <f>'CONSOLIDADO_TOTAL RECAUDO'!E106</f>
        <v>1154816918.0400002</v>
      </c>
      <c r="F11" s="66">
        <f>'CONSOLIDADO_TOTAL RECAUDO'!F106</f>
        <v>650648256.78000009</v>
      </c>
      <c r="G11" s="66">
        <f>'CONSOLIDADO_TOTAL RECAUDO'!G106</f>
        <v>342168927.41999996</v>
      </c>
      <c r="H11" s="66">
        <f>'CONSOLIDADO_TOTAL RECAUDO'!H106</f>
        <v>3419471286.5799999</v>
      </c>
      <c r="I11" s="66">
        <f>'CONSOLIDADO_TOTAL RECAUDO'!I106</f>
        <v>125690282.95999999</v>
      </c>
      <c r="J11" s="66">
        <f>'CONSOLIDADO_TOTAL RECAUDO'!J106</f>
        <v>-853244564.50999999</v>
      </c>
      <c r="K11" s="31">
        <f t="shared" si="0"/>
        <v>10382345360.180002</v>
      </c>
      <c r="L11" s="66">
        <f>'CONSOLIDADO_TOTAL RECAUDO'!L106</f>
        <v>154788536</v>
      </c>
      <c r="M11" s="31">
        <f>K11-L11</f>
        <v>10227556824.180002</v>
      </c>
      <c r="N11" s="66">
        <f>'CONSOLIDADO_TOTAL RECAUDO'!N106</f>
        <v>14341963.319999998</v>
      </c>
      <c r="O11" s="31">
        <f t="shared" si="1"/>
        <v>10241898787.500002</v>
      </c>
      <c r="Q11" s="4"/>
      <c r="S11" s="16">
        <v>3</v>
      </c>
      <c r="T11" s="62" t="s">
        <v>12</v>
      </c>
      <c r="U11" s="66">
        <f>'CONSOLIDADO_TOTAL RECAUDO'!U106</f>
        <v>1102335590.3299999</v>
      </c>
      <c r="V11" s="66">
        <f>'CONSOLIDADO_TOTAL RECAUDO'!V106</f>
        <v>1086464208.23</v>
      </c>
      <c r="W11" s="66">
        <f>'CONSOLIDADO_TOTAL RECAUDO'!W106</f>
        <v>5141961247.9000006</v>
      </c>
      <c r="X11" s="66">
        <f>'CONSOLIDADO_TOTAL RECAUDO'!X106</f>
        <v>2685857516.6600003</v>
      </c>
      <c r="Y11" s="66">
        <f>'CONSOLIDADO_TOTAL RECAUDO'!Y106</f>
        <v>205160229.32000002</v>
      </c>
      <c r="Z11" s="66">
        <f>'CONSOLIDADO_TOTAL RECAUDO'!Z106</f>
        <v>-154788536</v>
      </c>
      <c r="AA11" s="66">
        <f>'CONSOLIDADO_TOTAL RECAUDO'!AA106</f>
        <v>246404.58</v>
      </c>
      <c r="AB11" s="66">
        <f>'CONSOLIDADO_TOTAL RECAUDO'!AB106</f>
        <v>14341963.319999998</v>
      </c>
      <c r="AC11" s="66">
        <f>'CONSOLIDADO_TOTAL RECAUDO'!AC106</f>
        <v>-11885.619999999999</v>
      </c>
      <c r="AD11" s="66">
        <f>'CONSOLIDADO_TOTAL RECAUDO'!AD106</f>
        <v>160332048.78000009</v>
      </c>
      <c r="AE11" s="66">
        <f>'CONSOLIDADO_TOTAL RECAUDO'!AE106</f>
        <v>-692912515.7299999</v>
      </c>
      <c r="AF11" s="70">
        <f>SUM(U11:AD11)</f>
        <v>10241898787.5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7179595395.6699991</v>
      </c>
      <c r="E12" s="66">
        <f>'CONSOLIDADO_TOTAL RECAUDO'!E107</f>
        <v>473606043.33000004</v>
      </c>
      <c r="F12" s="66">
        <f>'CONSOLIDADO_TOTAL RECAUDO'!F107</f>
        <v>264596657.70000002</v>
      </c>
      <c r="G12" s="66">
        <f>'CONSOLIDADO_TOTAL RECAUDO'!G107</f>
        <v>136481575.35000002</v>
      </c>
      <c r="H12" s="66">
        <f>'CONSOLIDADO_TOTAL RECAUDO'!H107</f>
        <v>1605437093.76</v>
      </c>
      <c r="I12" s="66">
        <f>'CONSOLIDADO_TOTAL RECAUDO'!I107</f>
        <v>62582401.519999996</v>
      </c>
      <c r="J12" s="66">
        <f>'CONSOLIDADO_TOTAL RECAUDO'!J107</f>
        <v>-699882713.37000012</v>
      </c>
      <c r="K12" s="31">
        <f t="shared" si="0"/>
        <v>5336774337.3799982</v>
      </c>
      <c r="L12" s="66">
        <f>'CONSOLIDADO_TOTAL RECAUDO'!L107</f>
        <v>120391083</v>
      </c>
      <c r="M12" s="31">
        <f>K12-L12</f>
        <v>5216383254.3799982</v>
      </c>
      <c r="N12" s="66">
        <f>'CONSOLIDADO_TOTAL RECAUDO'!N107</f>
        <v>34128344.93</v>
      </c>
      <c r="O12" s="31">
        <f t="shared" si="1"/>
        <v>5250511599.3099985</v>
      </c>
      <c r="Q12" s="4"/>
      <c r="S12" s="16">
        <v>4</v>
      </c>
      <c r="T12" s="62" t="s">
        <v>13</v>
      </c>
      <c r="U12" s="66">
        <f>'CONSOLIDADO_TOTAL RECAUDO'!U107</f>
        <v>549450408.40999997</v>
      </c>
      <c r="V12" s="66">
        <f>'CONSOLIDADO_TOTAL RECAUDO'!V107</f>
        <v>548186870.46999991</v>
      </c>
      <c r="W12" s="66">
        <f>'CONSOLIDADO_TOTAL RECAUDO'!W107</f>
        <v>2799232757.4099998</v>
      </c>
      <c r="X12" s="66">
        <f>'CONSOLIDADO_TOTAL RECAUDO'!X107</f>
        <v>1254527099.4500003</v>
      </c>
      <c r="Y12" s="66">
        <f>'CONSOLIDADO_TOTAL RECAUDO'!Y107</f>
        <v>102249901.39999999</v>
      </c>
      <c r="Z12" s="66">
        <f>'CONSOLIDADO_TOTAL RECAUDO'!Z107</f>
        <v>-120391083</v>
      </c>
      <c r="AA12" s="66">
        <f>'CONSOLIDADO_TOTAL RECAUDO'!AA107</f>
        <v>-16263.19</v>
      </c>
      <c r="AB12" s="66">
        <f>'CONSOLIDADO_TOTAL RECAUDO'!AB107</f>
        <v>34128344.93</v>
      </c>
      <c r="AC12" s="66">
        <f>'CONSOLIDADO_TOTAL RECAUDO'!AC107</f>
        <v>-529.09999999999991</v>
      </c>
      <c r="AD12" s="66">
        <f>'CONSOLIDADO_TOTAL RECAUDO'!AD107</f>
        <v>83144092.53000021</v>
      </c>
      <c r="AE12" s="66">
        <f>'CONSOLIDADO_TOTAL RECAUDO'!AE107</f>
        <v>-616738620.83999991</v>
      </c>
      <c r="AF12" s="70">
        <f>SUM(U12:AD12)</f>
        <v>5250511599.3099995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12073344661.59</v>
      </c>
      <c r="E13" s="66">
        <f>'CONSOLIDADO_TOTAL RECAUDO'!E108</f>
        <v>731686441.62</v>
      </c>
      <c r="F13" s="66">
        <f>'CONSOLIDADO_TOTAL RECAUDO'!F108</f>
        <v>412480816.2899999</v>
      </c>
      <c r="G13" s="66">
        <f>'CONSOLIDADO_TOTAL RECAUDO'!G108</f>
        <v>216220999.25</v>
      </c>
      <c r="H13" s="66">
        <f>'CONSOLIDADO_TOTAL RECAUDO'!H108</f>
        <v>2771170796.7799997</v>
      </c>
      <c r="I13" s="66">
        <f>'CONSOLIDADO_TOTAL RECAUDO'!I108</f>
        <v>105860252.47</v>
      </c>
      <c r="J13" s="66">
        <f>'CONSOLIDADO_TOTAL RECAUDO'!J108</f>
        <v>-82959023.660000086</v>
      </c>
      <c r="K13" s="31">
        <f t="shared" si="0"/>
        <v>7918884378.8400002</v>
      </c>
      <c r="L13" s="66">
        <f>'CONSOLIDADO_TOTAL RECAUDO'!L108</f>
        <v>128990446</v>
      </c>
      <c r="M13" s="40">
        <f>K13-L13</f>
        <v>7789893932.8400002</v>
      </c>
      <c r="N13" s="66">
        <f>'CONSOLIDADO_TOTAL RECAUDO'!N108</f>
        <v>15891735.880000001</v>
      </c>
      <c r="O13" s="40">
        <f t="shared" si="1"/>
        <v>7805785668.7200003</v>
      </c>
      <c r="Q13" s="4"/>
      <c r="S13" s="19">
        <v>5</v>
      </c>
      <c r="T13" s="63" t="s">
        <v>14</v>
      </c>
      <c r="U13" s="66">
        <f>'CONSOLIDADO_TOTAL RECAUDO'!U108</f>
        <v>928205240.1500001</v>
      </c>
      <c r="V13" s="66">
        <f>'CONSOLIDADO_TOTAL RECAUDO'!V108</f>
        <v>911180502.11000001</v>
      </c>
      <c r="W13" s="66">
        <f>'CONSOLIDADO_TOTAL RECAUDO'!W108</f>
        <v>4681131561.2200003</v>
      </c>
      <c r="X13" s="66">
        <f>'CONSOLIDADO_TOTAL RECAUDO'!X108</f>
        <v>2173851295.3300004</v>
      </c>
      <c r="Y13" s="66">
        <f>'CONSOLIDADO_TOTAL RECAUDO'!Y108</f>
        <v>172729906.53999999</v>
      </c>
      <c r="Z13" s="66">
        <f>'CONSOLIDADO_TOTAL RECAUDO'!Z108</f>
        <v>-128990446</v>
      </c>
      <c r="AA13" s="66">
        <f>'CONSOLIDADO_TOTAL RECAUDO'!AA108</f>
        <v>-147744.56999999998</v>
      </c>
      <c r="AB13" s="66">
        <f>'CONSOLIDADO_TOTAL RECAUDO'!AB108</f>
        <v>15891735.880000001</v>
      </c>
      <c r="AC13" s="66">
        <f>'CONSOLIDADO_TOTAL RECAUDO'!AC108</f>
        <v>-32.979999999999997</v>
      </c>
      <c r="AD13" s="66">
        <f>'CONSOLIDADO_TOTAL RECAUDO'!AD108</f>
        <v>-948066348.95999992</v>
      </c>
      <c r="AE13" s="66">
        <f>'CONSOLIDADO_TOTAL RECAUDO'!AE108</f>
        <v>-1031025372.62</v>
      </c>
      <c r="AF13" s="70">
        <f>SUM(U13:AD13)</f>
        <v>7805785668.7200022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72441209167.710007</v>
      </c>
      <c r="E14" s="43">
        <f t="shared" si="3"/>
        <v>4851378272.9799995</v>
      </c>
      <c r="F14" s="43">
        <f t="shared" si="3"/>
        <v>2729442975.1099997</v>
      </c>
      <c r="G14" s="43">
        <f t="shared" si="3"/>
        <v>1430173490.1999998</v>
      </c>
      <c r="H14" s="43">
        <f t="shared" si="3"/>
        <v>17426420953.600002</v>
      </c>
      <c r="I14" s="43">
        <f t="shared" si="3"/>
        <v>650929810.58000004</v>
      </c>
      <c r="J14" s="43">
        <f t="shared" si="3"/>
        <v>-8466734681.1999998</v>
      </c>
      <c r="K14" s="32">
        <f t="shared" si="3"/>
        <v>53819598346.440002</v>
      </c>
      <c r="L14" s="23">
        <f t="shared" si="3"/>
        <v>859936309</v>
      </c>
      <c r="M14" s="76">
        <f t="shared" si="3"/>
        <v>52959662037.440002</v>
      </c>
      <c r="N14" s="23">
        <f t="shared" si="3"/>
        <v>143093581.66999999</v>
      </c>
      <c r="O14" s="76">
        <f t="shared" si="3"/>
        <v>53102755619.110001</v>
      </c>
      <c r="P14" s="2"/>
      <c r="Q14" s="4"/>
      <c r="S14" s="21"/>
      <c r="T14" s="22" t="s">
        <v>2</v>
      </c>
      <c r="U14" s="43">
        <f>SUM(U9:U13)</f>
        <v>5712380402.710001</v>
      </c>
      <c r="V14" s="43">
        <f t="shared" ref="V14:AG14" si="4">SUM(V9:V13)</f>
        <v>5629671728.749999</v>
      </c>
      <c r="W14" s="43">
        <f t="shared" si="4"/>
        <v>27162450890.040005</v>
      </c>
      <c r="X14" s="43">
        <f t="shared" si="4"/>
        <v>11717094139.17</v>
      </c>
      <c r="Y14" s="43">
        <f t="shared" si="4"/>
        <v>1062213664.49</v>
      </c>
      <c r="Z14" s="43">
        <f t="shared" si="4"/>
        <v>-859936309</v>
      </c>
      <c r="AA14" s="43">
        <f t="shared" si="4"/>
        <v>151776.16</v>
      </c>
      <c r="AB14" s="43">
        <f t="shared" si="4"/>
        <v>143093581.66999999</v>
      </c>
      <c r="AC14" s="43">
        <f t="shared" si="4"/>
        <v>-14163.519999999999</v>
      </c>
      <c r="AD14" s="43">
        <f t="shared" ref="AD14" si="5">SUM(AD9:AD13)</f>
        <v>2535649908.6399999</v>
      </c>
      <c r="AE14" s="43">
        <f>SUM(AE9:AE13)</f>
        <v>-5931084772.5599995</v>
      </c>
      <c r="AF14" s="68">
        <f t="shared" si="4"/>
        <v>53102755619.110001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51283810825.159996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100931031.88</v>
      </c>
      <c r="E30" s="111">
        <f>'CONSOLIDADO_TOTAL RECAUDO'!E125</f>
        <v>0</v>
      </c>
      <c r="G30" s="140">
        <f>'CONSOLIDADO_TOTAL RECAUDO'!G125</f>
        <v>49580</v>
      </c>
      <c r="H30" s="110">
        <f>'CONSOLIDADO_TOTAL RECAUDO'!H125</f>
        <v>125948553.12</v>
      </c>
      <c r="I30" s="111">
        <f>'CONSOLIDADO_TOTAL RECAUDO'!I125</f>
        <v>973693.46</v>
      </c>
      <c r="J30" s="111">
        <f>'CONSOLIDADO_TOTAL RECAUDO'!J125</f>
        <v>-16536713.09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136534753</v>
      </c>
      <c r="E31" s="74">
        <f>'CONSOLIDADO_TOTAL RECAUDO'!E126</f>
        <v>0</v>
      </c>
      <c r="G31" s="82">
        <f>'CONSOLIDADO_TOTAL RECAUDO'!G126</f>
        <v>56190070</v>
      </c>
      <c r="H31" s="18">
        <f>'CONSOLIDADO_TOTAL RECAUDO'!H126</f>
        <v>178539092.16</v>
      </c>
      <c r="I31" s="83">
        <f>'CONSOLIDADO_TOTAL RECAUDO'!I126</f>
        <v>216025.77</v>
      </c>
      <c r="J31" s="83">
        <f>'CONSOLIDADO_TOTAL RECAUDO'!J126</f>
        <v>-71069759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58884032.920000002</v>
      </c>
      <c r="E32" s="74">
        <f>'CONSOLIDADO_TOTAL RECAUDO'!E127</f>
        <v>0</v>
      </c>
      <c r="G32" s="82">
        <f>'CONSOLIDADO_TOTAL RECAUDO'!G127</f>
        <v>1307680</v>
      </c>
      <c r="H32" s="18">
        <f>'CONSOLIDADO_TOTAL RECAUDO'!H127</f>
        <v>26609070.66</v>
      </c>
      <c r="I32" s="83">
        <f>'CONSOLIDADO_TOTAL RECAUDO'!I127</f>
        <v>104231.83</v>
      </c>
      <c r="J32" s="83">
        <f>'CONSOLIDADO_TOTAL RECAUDO'!J127</f>
        <v>-32310979.800000001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73726637.340000004</v>
      </c>
      <c r="E33" s="74">
        <f>'CONSOLIDADO_TOTAL RECAUDO'!E128</f>
        <v>0</v>
      </c>
      <c r="G33" s="82">
        <f>'CONSOLIDADO_TOTAL RECAUDO'!G128</f>
        <v>4343101</v>
      </c>
      <c r="H33" s="18">
        <f>'CONSOLIDADO_TOTAL RECAUDO'!H128</f>
        <v>161461949.73000002</v>
      </c>
      <c r="I33" s="83">
        <f>'CONSOLIDADO_TOTAL RECAUDO'!I128</f>
        <v>35954.44</v>
      </c>
      <c r="J33" s="83">
        <f>'CONSOLIDADO_TOTAL RECAUDO'!J128</f>
        <v>-33738104.229999997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28383865.960000001</v>
      </c>
      <c r="E34" s="139">
        <f>'CONSOLIDADO_TOTAL RECAUDO'!E129</f>
        <v>0</v>
      </c>
      <c r="G34" s="82">
        <f>'CONSOLIDADO_TOTAL RECAUDO'!G129</f>
        <v>441849</v>
      </c>
      <c r="H34" s="18">
        <f>'CONSOLIDADO_TOTAL RECAUDO'!H129</f>
        <v>43973508.960000001</v>
      </c>
      <c r="I34" s="83">
        <f>'CONSOLIDADO_TOTAL RECAUDO'!I129</f>
        <v>0</v>
      </c>
      <c r="J34" s="83">
        <f>'CONSOLIDADO_TOTAL RECAUDO'!J129</f>
        <v>-3092375.53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398460321.09999996</v>
      </c>
      <c r="E36" s="107">
        <f>'CONSOLIDADO_TOTAL RECAUDO'!E131</f>
        <v>0</v>
      </c>
      <c r="F36" s="45"/>
      <c r="G36" s="107">
        <f t="shared" ref="G36" si="7">SUM(G30:G34)</f>
        <v>62332280</v>
      </c>
      <c r="H36" s="107">
        <f t="shared" ref="H36:L36" si="8">SUM(H30:H34)</f>
        <v>536532174.63</v>
      </c>
      <c r="I36" s="107">
        <f t="shared" si="8"/>
        <v>1329905.5</v>
      </c>
      <c r="J36" s="107">
        <f t="shared" ref="J36" si="9">SUM(J30:J34)</f>
        <v>-156747931.65000001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11411240</v>
      </c>
      <c r="E10" s="292">
        <f>'Reporte Componentes R1'!G328</f>
        <v>846445.31</v>
      </c>
      <c r="F10" s="292">
        <f>'Reporte Componentes R1'!H328</f>
        <v>456814.64</v>
      </c>
      <c r="G10" s="292">
        <f>'Reporte Componentes R1'!I328</f>
        <v>246633.46</v>
      </c>
      <c r="H10" s="292">
        <f>'Reporte Componentes R1'!J328</f>
        <v>3859157.96</v>
      </c>
      <c r="I10" s="292">
        <f>'Reporte Componentes R1'!K328</f>
        <v>125021.13</v>
      </c>
      <c r="J10" s="288">
        <v>0</v>
      </c>
      <c r="K10" s="295">
        <f t="shared" ref="K10:K13" si="0">D10-E10-F10-G10-H10-I10-J10</f>
        <v>5877167.4999999981</v>
      </c>
      <c r="L10" s="294">
        <v>0</v>
      </c>
      <c r="M10" s="295">
        <f>K10-L10</f>
        <v>5877167.4999999981</v>
      </c>
      <c r="N10" s="294">
        <f>'Reporte Componentes R1'!L328</f>
        <v>0</v>
      </c>
      <c r="O10" s="295">
        <f t="shared" ref="O10:O12" si="1">M10+N10</f>
        <v>5877167.4999999981</v>
      </c>
      <c r="Q10" s="306"/>
      <c r="S10" s="314">
        <v>2</v>
      </c>
      <c r="T10" s="315" t="s">
        <v>11</v>
      </c>
      <c r="U10" s="316">
        <f>'Reporte Componentes R1'!M328</f>
        <v>1101678.21</v>
      </c>
      <c r="V10" s="317">
        <f>'Reporte Componentes R1'!N328</f>
        <v>1198553.1100000001</v>
      </c>
      <c r="W10" s="317">
        <f>'Reporte Componentes R1'!O328</f>
        <v>5597648.7699999996</v>
      </c>
      <c r="X10" s="317">
        <f>'Reporte Componentes R1'!P328</f>
        <v>1666421.96</v>
      </c>
      <c r="Y10" s="318">
        <f>'Reporte Componentes R1'!Q328</f>
        <v>204886.65</v>
      </c>
      <c r="Z10" s="319">
        <f>L10*-1</f>
        <v>0</v>
      </c>
      <c r="AA10" s="320">
        <f>'Reporte Componentes R1'!R328+'Reporte Componentes R1'!V328+'Reporte Componentes R1'!U328</f>
        <v>72.06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-7.0000000000000007E-2</v>
      </c>
      <c r="AD10" s="291">
        <f t="shared" ref="AD10:AD13" si="2">-J10+AE10</f>
        <v>-3892093.19</v>
      </c>
      <c r="AE10" s="291">
        <f>'Reporte Componentes R1'!F329</f>
        <v>-3892093.19</v>
      </c>
      <c r="AF10" s="322">
        <f>SUM(U10:AD10)</f>
        <v>5877167.5000000019</v>
      </c>
      <c r="AG10" s="522">
        <f>(AF10-O10)</f>
        <v>3.7252902984619141E-9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5616850</v>
      </c>
      <c r="E12" s="292">
        <f>'Reporte Componentes R1'!G697</f>
        <v>348026.22</v>
      </c>
      <c r="F12" s="292">
        <f>'Reporte Componentes R1'!H697</f>
        <v>182658.96</v>
      </c>
      <c r="G12" s="292">
        <f>'Reporte Componentes R1'!I697</f>
        <v>98773.43</v>
      </c>
      <c r="H12" s="292">
        <f>'Reporte Componentes R1'!J697</f>
        <v>1121911.54</v>
      </c>
      <c r="I12" s="292">
        <f>'Reporte Componentes R1'!K697</f>
        <v>39196.07</v>
      </c>
      <c r="J12" s="288">
        <v>0</v>
      </c>
      <c r="K12" s="295">
        <f t="shared" si="0"/>
        <v>3826283.7800000007</v>
      </c>
      <c r="L12" s="294">
        <v>0</v>
      </c>
      <c r="M12" s="295">
        <f>K12-L12</f>
        <v>3826283.7800000007</v>
      </c>
      <c r="N12" s="294">
        <f>'Reporte Componentes R1'!L697</f>
        <v>0</v>
      </c>
      <c r="O12" s="295">
        <f t="shared" si="1"/>
        <v>3826283.7800000007</v>
      </c>
      <c r="Q12" s="306"/>
      <c r="S12" s="314">
        <v>4</v>
      </c>
      <c r="T12" s="315" t="s">
        <v>13</v>
      </c>
      <c r="U12" s="316">
        <f>'Reporte Componentes R1'!M697</f>
        <v>344054.1</v>
      </c>
      <c r="V12" s="317">
        <f>'Reporte Componentes R1'!N697</f>
        <v>366770.81</v>
      </c>
      <c r="W12" s="317">
        <f>'Reporte Componentes R1'!O697</f>
        <v>1860672.37</v>
      </c>
      <c r="X12" s="317">
        <f>'Reporte Componentes R1'!P697</f>
        <v>927916.55</v>
      </c>
      <c r="Y12" s="318">
        <f>'Reporte Componentes R1'!Q697</f>
        <v>64006.76</v>
      </c>
      <c r="Z12" s="319">
        <f>L12*-1</f>
        <v>0</v>
      </c>
      <c r="AA12" s="320">
        <f>'Reporte Componentes R1'!R697+'Reporte Componentes R1'!V697+'Reporte Componentes R1'!U697</f>
        <v>-38.130000000000003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262901.32</v>
      </c>
      <c r="AE12" s="291">
        <f>'Reporte Componentes R1'!F698</f>
        <v>262901.32</v>
      </c>
      <c r="AF12" s="322">
        <f t="shared" si="4"/>
        <v>3826283.78</v>
      </c>
      <c r="AG12" s="522">
        <f>(AF12-O12)</f>
        <v>-9.3132257461547852E-10</v>
      </c>
      <c r="AH12" s="1" t="b">
        <f t="shared" si="3"/>
        <v>0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17028090</v>
      </c>
      <c r="E14" s="290">
        <f t="shared" ref="E14:O14" si="5">SUM(E9:E13)</f>
        <v>1194471.53</v>
      </c>
      <c r="F14" s="290">
        <f t="shared" si="5"/>
        <v>639473.6</v>
      </c>
      <c r="G14" s="290">
        <f t="shared" si="5"/>
        <v>345406.89</v>
      </c>
      <c r="H14" s="290">
        <f t="shared" si="5"/>
        <v>4981069.5</v>
      </c>
      <c r="I14" s="290">
        <f t="shared" si="5"/>
        <v>164217.20000000001</v>
      </c>
      <c r="J14" s="290">
        <f t="shared" si="5"/>
        <v>0</v>
      </c>
      <c r="K14" s="300">
        <f t="shared" si="5"/>
        <v>9703451.2799999993</v>
      </c>
      <c r="L14" s="301">
        <f>SUM(L9:L13)</f>
        <v>0</v>
      </c>
      <c r="M14" s="302">
        <f t="shared" si="5"/>
        <v>9703451.2799999993</v>
      </c>
      <c r="N14" s="301">
        <f t="shared" si="5"/>
        <v>0</v>
      </c>
      <c r="O14" s="302">
        <f t="shared" si="5"/>
        <v>9703451.2799999993</v>
      </c>
      <c r="P14" s="329"/>
      <c r="Q14" s="306"/>
      <c r="S14" s="327"/>
      <c r="T14" s="328" t="s">
        <v>2</v>
      </c>
      <c r="U14" s="330">
        <f>SUM(U9:U13)</f>
        <v>1445732.31</v>
      </c>
      <c r="V14" s="330">
        <f t="shared" ref="V14:AF14" si="6">SUM(V9:V13)</f>
        <v>1565323.9200000002</v>
      </c>
      <c r="W14" s="330">
        <f t="shared" si="6"/>
        <v>7458321.1399999997</v>
      </c>
      <c r="X14" s="330">
        <f t="shared" si="6"/>
        <v>2594338.5099999998</v>
      </c>
      <c r="Y14" s="330">
        <f t="shared" si="6"/>
        <v>268893.40999999997</v>
      </c>
      <c r="Z14" s="290">
        <f t="shared" si="6"/>
        <v>0</v>
      </c>
      <c r="AA14" s="290">
        <f t="shared" si="6"/>
        <v>33.93</v>
      </c>
      <c r="AB14" s="290">
        <f t="shared" si="6"/>
        <v>0</v>
      </c>
      <c r="AC14" s="290">
        <f t="shared" si="6"/>
        <v>-7.0000000000000007E-2</v>
      </c>
      <c r="AD14" s="290">
        <f>SUM(AD9:AD13)</f>
        <v>-3629191.87</v>
      </c>
      <c r="AE14" s="290">
        <f>SUM(AE9:AE13)</f>
        <v>-3629191.87</v>
      </c>
      <c r="AF14" s="331">
        <f t="shared" si="6"/>
        <v>9703451.2800000012</v>
      </c>
      <c r="AG14" s="524">
        <f>SUM(AG9:AG13)</f>
        <v>2.7939677238464355E-9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13332609.290000001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35414329.289999992</v>
      </c>
      <c r="E29" s="292">
        <f>'Rem. Anticipos R2'!F181</f>
        <v>3216777.59</v>
      </c>
      <c r="F29" s="292">
        <f>'Rem. Anticipos R2'!G181</f>
        <v>1799399.45</v>
      </c>
      <c r="G29" s="292">
        <f>'Rem. Anticipos R2'!H181</f>
        <v>773125.81</v>
      </c>
      <c r="H29" s="292">
        <f>'Rem. Anticipos R2'!I181</f>
        <v>14315915.6</v>
      </c>
      <c r="I29" s="292">
        <f>'Rem. Anticipos R2'!J181</f>
        <v>406510.66</v>
      </c>
      <c r="J29" s="288">
        <v>0</v>
      </c>
      <c r="K29" s="295">
        <f t="shared" ref="K29:K31" si="7">D29-E29-F29-G29-H29-I29-J29</f>
        <v>14902600.179999994</v>
      </c>
      <c r="L29" s="294">
        <v>0</v>
      </c>
      <c r="M29" s="295">
        <f>K29-L29</f>
        <v>14902600.179999994</v>
      </c>
      <c r="N29" s="294">
        <f>'Rem. Anticipos R2'!K181</f>
        <v>0</v>
      </c>
      <c r="O29" s="295">
        <f t="shared" ref="O29:O32" si="8">M29+N29</f>
        <v>14902600.179999994</v>
      </c>
      <c r="Q29" s="306"/>
      <c r="S29" s="314">
        <v>2</v>
      </c>
      <c r="T29" s="315" t="s">
        <v>11</v>
      </c>
      <c r="U29" s="316">
        <f>'Rem. Anticipos R2'!L181</f>
        <v>3668619.83</v>
      </c>
      <c r="V29" s="317">
        <f>'Rem. Anticipos R2'!M181</f>
        <v>4175302.62</v>
      </c>
      <c r="W29" s="317">
        <f>'Rem. Anticipos R2'!N181</f>
        <v>14329479.369999999</v>
      </c>
      <c r="X29" s="317">
        <f>'Rem. Anticipos R2'!O181</f>
        <v>9282610.9499999993</v>
      </c>
      <c r="Y29" s="318">
        <f>'Rem. Anticipos R2'!P181</f>
        <v>502138.48</v>
      </c>
      <c r="Z29" s="319">
        <f>L29*-1</f>
        <v>0</v>
      </c>
      <c r="AA29" s="320">
        <f>'Rem. Anticipos R2'!Q181</f>
        <v>-28.95</v>
      </c>
      <c r="AB29" s="294">
        <f>N29</f>
        <v>0</v>
      </c>
      <c r="AC29" s="320">
        <f>'Rem. Anticipos R2'!R181</f>
        <v>0</v>
      </c>
      <c r="AD29" s="291">
        <f>-J29+AE29</f>
        <v>-17055522.120000001</v>
      </c>
      <c r="AE29" s="291">
        <f>'Rem. Anticipos R2'!E182</f>
        <v>-17055522.120000001</v>
      </c>
      <c r="AF29" s="322">
        <f>SUM(U29:AD29)</f>
        <v>14902600.18</v>
      </c>
      <c r="AG29" s="522">
        <f>(AF29-O29)</f>
        <v>5.5879354476928711E-9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66508368.82</v>
      </c>
      <c r="E31" s="292">
        <f>'Rem. Anticipos R2'!F426</f>
        <v>9041231.2599999998</v>
      </c>
      <c r="F31" s="292">
        <f>'Rem. Anticipos R2'!G426</f>
        <v>5072388.55</v>
      </c>
      <c r="G31" s="292">
        <f>'Rem. Anticipos R2'!H426</f>
        <v>1011597.42</v>
      </c>
      <c r="H31" s="292">
        <f>'Rem. Anticipos R2'!I426</f>
        <v>7983360.1600000001</v>
      </c>
      <c r="I31" s="292">
        <f>'Rem. Anticipos R2'!J426</f>
        <v>230579.94</v>
      </c>
      <c r="J31" s="288">
        <v>0</v>
      </c>
      <c r="K31" s="295">
        <f t="shared" si="7"/>
        <v>43169211.49000001</v>
      </c>
      <c r="L31" s="294">
        <v>0</v>
      </c>
      <c r="M31" s="295">
        <f>K31-L31</f>
        <v>43169211.49000001</v>
      </c>
      <c r="N31" s="294">
        <f>'Rem. Anticipos R2'!K426</f>
        <v>0</v>
      </c>
      <c r="O31" s="295">
        <f t="shared" si="8"/>
        <v>43169211.49000001</v>
      </c>
      <c r="Q31" s="306"/>
      <c r="S31" s="314">
        <v>4</v>
      </c>
      <c r="T31" s="315" t="s">
        <v>13</v>
      </c>
      <c r="U31" s="316">
        <f>'Rem. Anticipos R2'!L426</f>
        <v>2199940.9</v>
      </c>
      <c r="V31" s="317">
        <f>'Rem. Anticipos R2'!M426</f>
        <v>2412632.5099999998</v>
      </c>
      <c r="W31" s="317">
        <f>'Rem. Anticipos R2'!N426</f>
        <v>10659886.970000001</v>
      </c>
      <c r="X31" s="317">
        <f>'Rem. Anticipos R2'!O426</f>
        <v>24512256.039999999</v>
      </c>
      <c r="Y31" s="318">
        <f>'Rem. Anticipos R2'!P426</f>
        <v>336993.11</v>
      </c>
      <c r="Z31" s="319">
        <f>L31*-1</f>
        <v>0</v>
      </c>
      <c r="AA31" s="320">
        <f>'Rem. Anticipos R2'!Q426</f>
        <v>84.56</v>
      </c>
      <c r="AB31" s="294">
        <f>N31</f>
        <v>0</v>
      </c>
      <c r="AC31" s="320">
        <f>'Rem. Anticipos R2'!R426</f>
        <v>0</v>
      </c>
      <c r="AD31" s="291">
        <f t="shared" si="10"/>
        <v>3047417.4</v>
      </c>
      <c r="AE31" s="291">
        <f>'Rem. Anticipos R2'!E427</f>
        <v>3047417.4</v>
      </c>
      <c r="AF31" s="322">
        <f>SUM(U31:AD31)</f>
        <v>43169211.490000002</v>
      </c>
      <c r="AG31" s="522">
        <f t="shared" si="11"/>
        <v>-7.4505805969238281E-9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101922698.10999998</v>
      </c>
      <c r="E33" s="290">
        <f>SUM(E28:E32)</f>
        <v>12258008.85</v>
      </c>
      <c r="F33" s="290">
        <f t="shared" ref="F33:O33" si="12">SUM(F28:F32)</f>
        <v>6871788</v>
      </c>
      <c r="G33" s="290">
        <f t="shared" si="12"/>
        <v>1784723.23</v>
      </c>
      <c r="H33" s="290">
        <f t="shared" si="12"/>
        <v>22299275.759999998</v>
      </c>
      <c r="I33" s="290">
        <f t="shared" si="12"/>
        <v>637090.6</v>
      </c>
      <c r="J33" s="290">
        <f t="shared" si="12"/>
        <v>0</v>
      </c>
      <c r="K33" s="300">
        <f t="shared" si="12"/>
        <v>58071811.670000002</v>
      </c>
      <c r="L33" s="301">
        <f t="shared" si="12"/>
        <v>0</v>
      </c>
      <c r="M33" s="302">
        <f t="shared" si="12"/>
        <v>58071811.670000002</v>
      </c>
      <c r="N33" s="301">
        <f t="shared" si="12"/>
        <v>0</v>
      </c>
      <c r="O33" s="302">
        <f t="shared" si="12"/>
        <v>58071811.670000002</v>
      </c>
      <c r="P33" s="329"/>
      <c r="Q33" s="306"/>
      <c r="S33" s="327"/>
      <c r="T33" s="328" t="s">
        <v>2</v>
      </c>
      <c r="U33" s="330">
        <f>SUM(U28:U32)</f>
        <v>5868560.7300000004</v>
      </c>
      <c r="V33" s="330">
        <f t="shared" ref="V33:AG33" si="13">SUM(V28:V32)</f>
        <v>6587935.1299999999</v>
      </c>
      <c r="W33" s="330">
        <f t="shared" si="13"/>
        <v>24989366.34</v>
      </c>
      <c r="X33" s="330">
        <f t="shared" si="13"/>
        <v>33794866.989999995</v>
      </c>
      <c r="Y33" s="330">
        <f t="shared" si="13"/>
        <v>839131.59</v>
      </c>
      <c r="Z33" s="290">
        <f t="shared" si="13"/>
        <v>0</v>
      </c>
      <c r="AA33" s="290">
        <f t="shared" si="13"/>
        <v>55.61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-14008104.720000001</v>
      </c>
      <c r="AE33" s="290">
        <f>SUM(AE28:AE32)</f>
        <v>-14008104.720000001</v>
      </c>
      <c r="AF33" s="331">
        <f t="shared" si="13"/>
        <v>58071811.670000002</v>
      </c>
      <c r="AG33" s="524">
        <f t="shared" si="13"/>
        <v>-1.862645149230957E-9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72079860.780000001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41900</v>
      </c>
      <c r="E50" s="292">
        <f>'Reporte Componentes R1'!G699</f>
        <v>2593.4699999999998</v>
      </c>
      <c r="F50" s="292">
        <f>'Reporte Componentes R1'!H699</f>
        <v>1464.28</v>
      </c>
      <c r="G50" s="292">
        <f>'Reporte Componentes R1'!I699</f>
        <v>768.54</v>
      </c>
      <c r="H50" s="292">
        <f>'Reporte Componentes R1'!J699</f>
        <v>8475</v>
      </c>
      <c r="I50" s="292">
        <f>'Reporte Componentes R1'!K699</f>
        <v>336.82</v>
      </c>
      <c r="J50" s="288">
        <v>0</v>
      </c>
      <c r="K50" s="295">
        <f t="shared" si="16"/>
        <v>28261.89</v>
      </c>
      <c r="L50" s="294">
        <v>0</v>
      </c>
      <c r="M50" s="295">
        <f>K50-L50</f>
        <v>28261.89</v>
      </c>
      <c r="N50" s="294">
        <f>'Reporte Componentes R1'!L699</f>
        <v>0</v>
      </c>
      <c r="O50" s="295">
        <f t="shared" si="17"/>
        <v>28261.89</v>
      </c>
      <c r="Q50" s="306"/>
      <c r="S50" s="314">
        <v>4</v>
      </c>
      <c r="T50" s="315" t="s">
        <v>13</v>
      </c>
      <c r="U50" s="316">
        <f>'Reporte Componentes R1'!M699</f>
        <v>2954.55</v>
      </c>
      <c r="V50" s="317">
        <f>'Reporte Componentes R1'!N699</f>
        <v>2903.79</v>
      </c>
      <c r="W50" s="317">
        <f>'Reporte Componentes R1'!O699</f>
        <v>14989.18</v>
      </c>
      <c r="X50" s="317">
        <f>'Reporte Componentes R1'!P699</f>
        <v>6864.83</v>
      </c>
      <c r="Y50" s="318">
        <f>'Reporte Componentes R1'!Q699</f>
        <v>549.54</v>
      </c>
      <c r="Z50" s="319">
        <f>-L50</f>
        <v>0</v>
      </c>
      <c r="AA50" s="320">
        <f>'Reporte Componentes R1'!R699+'Reporte Componentes R1'!V699+'Reporte Componentes R1'!U699</f>
        <v>0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0</v>
      </c>
      <c r="AE50" s="291">
        <f>'Reporte Componentes R1'!F700</f>
        <v>0</v>
      </c>
      <c r="AF50" s="322">
        <f t="shared" si="19"/>
        <v>28261.89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41900</v>
      </c>
      <c r="E52" s="290">
        <f t="shared" si="21"/>
        <v>2593.4699999999998</v>
      </c>
      <c r="F52" s="290">
        <f t="shared" si="21"/>
        <v>1464.28</v>
      </c>
      <c r="G52" s="290">
        <f t="shared" ref="G52" si="22">SUM(G47:G51)</f>
        <v>768.54</v>
      </c>
      <c r="H52" s="290">
        <f t="shared" si="21"/>
        <v>8475</v>
      </c>
      <c r="I52" s="290">
        <f t="shared" si="21"/>
        <v>336.82</v>
      </c>
      <c r="J52" s="290">
        <f t="shared" si="21"/>
        <v>0</v>
      </c>
      <c r="K52" s="300">
        <f t="shared" si="21"/>
        <v>28261.89</v>
      </c>
      <c r="L52" s="301">
        <f t="shared" si="21"/>
        <v>0</v>
      </c>
      <c r="M52" s="302">
        <f t="shared" si="21"/>
        <v>28261.89</v>
      </c>
      <c r="N52" s="301">
        <f t="shared" si="21"/>
        <v>0</v>
      </c>
      <c r="O52" s="302">
        <f t="shared" si="21"/>
        <v>28261.89</v>
      </c>
      <c r="P52" s="329"/>
      <c r="Q52" s="306"/>
      <c r="S52" s="327"/>
      <c r="T52" s="328" t="s">
        <v>2</v>
      </c>
      <c r="U52" s="330">
        <f>SUM(U47:U51)</f>
        <v>2954.55</v>
      </c>
      <c r="V52" s="330">
        <f t="shared" ref="V52:AG52" si="23">SUM(V47:V51)</f>
        <v>2903.79</v>
      </c>
      <c r="W52" s="330">
        <f t="shared" si="23"/>
        <v>14989.18</v>
      </c>
      <c r="X52" s="330">
        <f t="shared" si="23"/>
        <v>6864.83</v>
      </c>
      <c r="Y52" s="330">
        <f t="shared" si="23"/>
        <v>549.54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28261.89</v>
      </c>
      <c r="AG52" s="524">
        <f t="shared" si="23"/>
        <v>0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28261.89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-736030</v>
      </c>
      <c r="E69" s="292">
        <f>'Reversion Pagos R4'!E335</f>
        <v>-56621.87</v>
      </c>
      <c r="F69" s="292">
        <f>'Reversion Pagos R4'!F335</f>
        <v>-29964.27</v>
      </c>
      <c r="G69" s="292">
        <f>'Reversion Pagos R4'!G335</f>
        <v>-16688.439999999999</v>
      </c>
      <c r="H69" s="292">
        <f>'Reversion Pagos R4'!H335</f>
        <v>-192605.11</v>
      </c>
      <c r="I69" s="292">
        <f>'Reversion Pagos R4'!I335</f>
        <v>-5220.43</v>
      </c>
      <c r="J69" s="288">
        <v>0</v>
      </c>
      <c r="K69" s="295">
        <f t="shared" si="25"/>
        <v>-434929.88000000006</v>
      </c>
      <c r="L69" s="294">
        <v>0</v>
      </c>
      <c r="M69" s="295">
        <f>K69-L69</f>
        <v>-434929.88000000006</v>
      </c>
      <c r="N69" s="294">
        <f>'Reversion Pagos R4'!P335</f>
        <v>0</v>
      </c>
      <c r="O69" s="295">
        <f t="shared" si="26"/>
        <v>-434929.88000000006</v>
      </c>
      <c r="Q69" s="306"/>
      <c r="S69" s="314">
        <v>4</v>
      </c>
      <c r="T69" s="315" t="s">
        <v>13</v>
      </c>
      <c r="U69" s="316">
        <f>'Reversion Pagos R4'!J335</f>
        <v>-44096.46</v>
      </c>
      <c r="V69" s="317">
        <f>'Reversion Pagos R4'!K335</f>
        <v>-55230.35</v>
      </c>
      <c r="W69" s="317">
        <f>'Reversion Pagos R4'!L335</f>
        <v>-296231.31</v>
      </c>
      <c r="X69" s="317">
        <f>'Reversion Pagos R4'!M335</f>
        <v>-151197.87</v>
      </c>
      <c r="Y69" s="318">
        <f>'Reversion Pagos R4'!N335</f>
        <v>-8517.5499999999993</v>
      </c>
      <c r="Z69" s="319">
        <f t="shared" si="27"/>
        <v>0</v>
      </c>
      <c r="AA69" s="320">
        <f>'Reversion Pagos R4'!O335</f>
        <v>5.68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120337.98</v>
      </c>
      <c r="AE69" s="291">
        <f>'Reversion Pagos R4'!D336</f>
        <v>120337.98</v>
      </c>
      <c r="AF69" s="322">
        <f>SUM(U69:AD69)</f>
        <v>-434929.88</v>
      </c>
      <c r="AG69" s="522">
        <f>(AF69-O69)</f>
        <v>5.8207660913467407E-11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-736030</v>
      </c>
      <c r="E71" s="290">
        <f t="shared" si="32"/>
        <v>-56621.87</v>
      </c>
      <c r="F71" s="290">
        <f t="shared" si="32"/>
        <v>-29964.27</v>
      </c>
      <c r="G71" s="290">
        <f t="shared" si="32"/>
        <v>-16688.439999999999</v>
      </c>
      <c r="H71" s="290">
        <f t="shared" si="32"/>
        <v>-192605.11</v>
      </c>
      <c r="I71" s="290">
        <f t="shared" si="32"/>
        <v>-5220.43</v>
      </c>
      <c r="J71" s="290">
        <f t="shared" si="32"/>
        <v>0</v>
      </c>
      <c r="K71" s="300">
        <f t="shared" si="32"/>
        <v>-434929.88000000006</v>
      </c>
      <c r="L71" s="301">
        <f t="shared" si="32"/>
        <v>0</v>
      </c>
      <c r="M71" s="302">
        <f t="shared" si="32"/>
        <v>-434929.88000000006</v>
      </c>
      <c r="N71" s="301">
        <f t="shared" si="32"/>
        <v>0</v>
      </c>
      <c r="O71" s="302">
        <f t="shared" si="32"/>
        <v>-434929.88000000006</v>
      </c>
      <c r="P71" s="329"/>
      <c r="Q71" s="306"/>
      <c r="S71" s="327"/>
      <c r="T71" s="328" t="s">
        <v>2</v>
      </c>
      <c r="U71" s="330">
        <f>SUM(U66:U70)</f>
        <v>-44096.46</v>
      </c>
      <c r="V71" s="330">
        <f t="shared" ref="V71:AG71" si="33">SUM(V66:V70)</f>
        <v>-55230.35</v>
      </c>
      <c r="W71" s="330">
        <f t="shared" si="33"/>
        <v>-296231.31</v>
      </c>
      <c r="X71" s="330">
        <f t="shared" si="33"/>
        <v>-151197.87</v>
      </c>
      <c r="Y71" s="330">
        <f t="shared" si="33"/>
        <v>-8517.5499999999993</v>
      </c>
      <c r="Z71" s="290">
        <f t="shared" si="33"/>
        <v>0</v>
      </c>
      <c r="AA71" s="290">
        <f>SUM(AA66:AA70)</f>
        <v>5.68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120337.98</v>
      </c>
      <c r="AE71" s="290">
        <f>SUM(AE66:AE70)</f>
        <v>120337.98</v>
      </c>
      <c r="AF71" s="331">
        <f t="shared" si="33"/>
        <v>-434929.88</v>
      </c>
      <c r="AG71" s="524">
        <f t="shared" si="33"/>
        <v>5.8207660913467407E-11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-555273.54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216025.77</v>
      </c>
      <c r="E86" s="292">
        <f>'AJUSTES - SF-T'!E48</f>
        <v>31897.62</v>
      </c>
      <c r="F86" s="292">
        <f>'AJUSTES - SF-T'!F48</f>
        <v>18572.91</v>
      </c>
      <c r="G86" s="292">
        <f>'AJUSTES - SF-T'!G48</f>
        <v>8867.14</v>
      </c>
      <c r="H86" s="292">
        <f>'AJUSTES - SF-T'!H48</f>
        <v>92959.49</v>
      </c>
      <c r="I86" s="292">
        <f>'AJUSTES - SF-T'!I48</f>
        <v>3883.88</v>
      </c>
      <c r="J86" s="288">
        <f>'AJUSTES - SF-T'!J48</f>
        <v>0</v>
      </c>
      <c r="K86" s="295">
        <f t="shared" ref="K86:K89" si="36">D86-E86-F86-G86-H86-I86-J86</f>
        <v>59844.729999999974</v>
      </c>
      <c r="L86" s="294">
        <v>0</v>
      </c>
      <c r="M86" s="295">
        <f>K86-L86</f>
        <v>59844.729999999974</v>
      </c>
      <c r="N86" s="294">
        <f>'AJUSTES - SF-T'!N48</f>
        <v>0</v>
      </c>
      <c r="O86" s="295">
        <f t="shared" ref="O86:O89" si="37">M86+N86</f>
        <v>59844.729999999974</v>
      </c>
      <c r="Q86" s="306"/>
      <c r="S86" s="314">
        <v>2</v>
      </c>
      <c r="T86" s="315" t="s">
        <v>11</v>
      </c>
      <c r="U86" s="316">
        <f>'AJUSTES - SF-T'!U48</f>
        <v>61358.09</v>
      </c>
      <c r="V86" s="317">
        <f>'AJUSTES - SF-T'!V48</f>
        <v>33534.01</v>
      </c>
      <c r="W86" s="317">
        <f>'AJUSTES - SF-T'!W48</f>
        <v>127815.87</v>
      </c>
      <c r="X86" s="317">
        <f>'AJUSTES - SF-T'!X48</f>
        <v>64515.32</v>
      </c>
      <c r="Y86" s="318">
        <f>'AJUSTES - SF-T'!Y48</f>
        <v>5139.92</v>
      </c>
      <c r="Z86" s="319">
        <f>-L86</f>
        <v>0</v>
      </c>
      <c r="AA86" s="320">
        <f>'AJUSTES - SF-T'!AA48</f>
        <v>-0.36</v>
      </c>
      <c r="AB86" s="294">
        <f>N86</f>
        <v>0</v>
      </c>
      <c r="AC86" s="320">
        <v>0</v>
      </c>
      <c r="AD86" s="291">
        <f t="shared" ref="AD86:AD88" si="38">-J86+AE86</f>
        <v>-232518.12</v>
      </c>
      <c r="AE86" s="291">
        <f>'AJUSTES - SF-T'!AD48</f>
        <v>-232518.12</v>
      </c>
      <c r="AF86" s="322">
        <f>SUM(U86:AD86)</f>
        <v>59844.729999999981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35954.44</v>
      </c>
      <c r="E88" s="292">
        <f>'AJUSTES - SF-T'!E50</f>
        <v>1890.6</v>
      </c>
      <c r="F88" s="292">
        <f>'AJUSTES - SF-T'!F50</f>
        <v>1067.43</v>
      </c>
      <c r="G88" s="292">
        <f>'AJUSTES - SF-T'!G50</f>
        <v>560.27</v>
      </c>
      <c r="H88" s="292">
        <f>'AJUSTES - SF-T'!H50</f>
        <v>10800.02</v>
      </c>
      <c r="I88" s="292">
        <f>'AJUSTES - SF-T'!I50</f>
        <v>371.66</v>
      </c>
      <c r="J88" s="288">
        <f>'AJUSTES - SF-T'!J50</f>
        <v>0</v>
      </c>
      <c r="K88" s="295">
        <f t="shared" si="36"/>
        <v>21264.460000000003</v>
      </c>
      <c r="L88" s="294">
        <v>0</v>
      </c>
      <c r="M88" s="295">
        <f>K88-L88</f>
        <v>21264.460000000003</v>
      </c>
      <c r="N88" s="294">
        <f>'AJUSTES - SF-T'!N50</f>
        <v>0</v>
      </c>
      <c r="O88" s="295">
        <f t="shared" si="37"/>
        <v>21264.460000000003</v>
      </c>
      <c r="Q88" s="306"/>
      <c r="S88" s="314">
        <v>4</v>
      </c>
      <c r="T88" s="315" t="s">
        <v>13</v>
      </c>
      <c r="U88" s="316">
        <f>'AJUSTES - SF-T'!U50</f>
        <v>3260.18</v>
      </c>
      <c r="V88" s="317">
        <f>'AJUSTES - SF-T'!V50</f>
        <v>3149.08</v>
      </c>
      <c r="W88" s="317">
        <f>'AJUSTES - SF-T'!W50</f>
        <v>15696.81</v>
      </c>
      <c r="X88" s="317">
        <f>'AJUSTES - SF-T'!X50</f>
        <v>5005.76</v>
      </c>
      <c r="Y88" s="318">
        <f>'AJUSTES - SF-T'!Y50</f>
        <v>606.39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-6453.76</v>
      </c>
      <c r="AE88" s="291">
        <f>'AJUSTES - SF-T'!AD50</f>
        <v>-6453.76</v>
      </c>
      <c r="AF88" s="322">
        <f t="shared" si="39"/>
        <v>21264.46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251980.21</v>
      </c>
      <c r="E90" s="290">
        <f t="shared" si="40"/>
        <v>33788.22</v>
      </c>
      <c r="F90" s="290">
        <f t="shared" si="40"/>
        <v>19640.34</v>
      </c>
      <c r="G90" s="290">
        <f t="shared" si="40"/>
        <v>9427.41</v>
      </c>
      <c r="H90" s="290">
        <f t="shared" si="40"/>
        <v>103759.51000000001</v>
      </c>
      <c r="I90" s="290">
        <f t="shared" si="40"/>
        <v>4255.54</v>
      </c>
      <c r="J90" s="290">
        <f t="shared" si="40"/>
        <v>0</v>
      </c>
      <c r="K90" s="300">
        <f t="shared" si="40"/>
        <v>81109.189999999973</v>
      </c>
      <c r="L90" s="301">
        <f t="shared" si="40"/>
        <v>0</v>
      </c>
      <c r="M90" s="302">
        <f t="shared" si="40"/>
        <v>81109.189999999973</v>
      </c>
      <c r="N90" s="301">
        <f t="shared" si="40"/>
        <v>0</v>
      </c>
      <c r="O90" s="302">
        <f t="shared" si="40"/>
        <v>81109.189999999973</v>
      </c>
      <c r="P90" s="329"/>
      <c r="Q90" s="306"/>
      <c r="S90" s="327"/>
      <c r="T90" s="328" t="s">
        <v>2</v>
      </c>
      <c r="U90" s="330">
        <f>SUM(U85:U89)</f>
        <v>64618.27</v>
      </c>
      <c r="V90" s="330">
        <f t="shared" ref="V90:AG90" si="41">SUM(V85:V89)</f>
        <v>36683.090000000004</v>
      </c>
      <c r="W90" s="330">
        <f t="shared" si="41"/>
        <v>143512.68</v>
      </c>
      <c r="X90" s="330">
        <f t="shared" si="41"/>
        <v>69521.08</v>
      </c>
      <c r="Y90" s="330">
        <f t="shared" si="41"/>
        <v>5746.31</v>
      </c>
      <c r="Z90" s="290">
        <f t="shared" si="41"/>
        <v>0</v>
      </c>
      <c r="AA90" s="290">
        <f t="shared" si="41"/>
        <v>-0.36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-238971.88</v>
      </c>
      <c r="AE90" s="290">
        <f t="shared" si="41"/>
        <v>-238971.88</v>
      </c>
      <c r="AF90" s="331">
        <f t="shared" si="41"/>
        <v>81109.189999999973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320081.43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47041595.059999995</v>
      </c>
      <c r="E105" s="292">
        <f t="shared" si="43"/>
        <v>4095120.52</v>
      </c>
      <c r="F105" s="292">
        <f t="shared" si="43"/>
        <v>2274787</v>
      </c>
      <c r="G105" s="292">
        <f t="shared" si="43"/>
        <v>1028626.41</v>
      </c>
      <c r="H105" s="292">
        <f t="shared" si="43"/>
        <v>18268033.049999997</v>
      </c>
      <c r="I105" s="292">
        <f t="shared" si="43"/>
        <v>535415.67000000004</v>
      </c>
      <c r="J105" s="288">
        <f t="shared" si="43"/>
        <v>0</v>
      </c>
      <c r="K105" s="295">
        <f t="shared" ref="K105:K108" si="46">D105-E105-F105-G105-H105-I105-J105</f>
        <v>20839612.409999996</v>
      </c>
      <c r="L105" s="294">
        <f>L10+L29+L48+L67+L86</f>
        <v>0</v>
      </c>
      <c r="M105" s="295">
        <f>K105-L105</f>
        <v>20839612.409999996</v>
      </c>
      <c r="N105" s="294">
        <f>N10+N29+N48+N67+N86</f>
        <v>0</v>
      </c>
      <c r="O105" s="295">
        <f t="shared" ref="O105:O108" si="47">M105+N105</f>
        <v>20839612.409999996</v>
      </c>
      <c r="Q105" s="306"/>
      <c r="S105" s="314">
        <v>2</v>
      </c>
      <c r="T105" s="315" t="s">
        <v>11</v>
      </c>
      <c r="U105" s="316">
        <f t="shared" si="44"/>
        <v>4831656.13</v>
      </c>
      <c r="V105" s="317">
        <f t="shared" si="44"/>
        <v>5407389.7400000002</v>
      </c>
      <c r="W105" s="317">
        <f t="shared" si="44"/>
        <v>20054944.010000002</v>
      </c>
      <c r="X105" s="317">
        <f t="shared" si="44"/>
        <v>11013548.23</v>
      </c>
      <c r="Y105" s="318">
        <f t="shared" si="44"/>
        <v>712165.05</v>
      </c>
      <c r="Z105" s="319">
        <f t="shared" si="44"/>
        <v>0</v>
      </c>
      <c r="AA105" s="320">
        <f t="shared" si="44"/>
        <v>42.75</v>
      </c>
      <c r="AB105" s="294">
        <f t="shared" si="44"/>
        <v>0</v>
      </c>
      <c r="AC105" s="320">
        <f t="shared" si="44"/>
        <v>-7.0000000000000007E-2</v>
      </c>
      <c r="AD105" s="291">
        <f t="shared" ref="AD105:AD107" si="48">-J105+AE105</f>
        <v>-21180133.430000003</v>
      </c>
      <c r="AE105" s="291">
        <f>AE10+AE29+AE48+AE67+AE86</f>
        <v>-21180133.430000003</v>
      </c>
      <c r="AF105" s="322">
        <f>SUM(U105:AD105)</f>
        <v>20839612.409999993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71467043.25999999</v>
      </c>
      <c r="E107" s="292">
        <f t="shared" si="43"/>
        <v>9337119.6800000016</v>
      </c>
      <c r="F107" s="292">
        <f t="shared" si="43"/>
        <v>5227614.95</v>
      </c>
      <c r="G107" s="292">
        <f t="shared" si="43"/>
        <v>1095011.2200000002</v>
      </c>
      <c r="H107" s="292">
        <f t="shared" si="43"/>
        <v>8931941.6099999994</v>
      </c>
      <c r="I107" s="292">
        <f t="shared" si="43"/>
        <v>265264.06</v>
      </c>
      <c r="J107" s="288">
        <f t="shared" si="43"/>
        <v>0</v>
      </c>
      <c r="K107" s="295">
        <f t="shared" si="46"/>
        <v>46610091.739999987</v>
      </c>
      <c r="L107" s="294">
        <f>L12+L31+L50+L69+L88</f>
        <v>0</v>
      </c>
      <c r="M107" s="295">
        <f>K107-L107</f>
        <v>46610091.739999987</v>
      </c>
      <c r="N107" s="294">
        <f>N12+N31+N50+N69+N88</f>
        <v>0</v>
      </c>
      <c r="O107" s="295">
        <f t="shared" si="47"/>
        <v>46610091.739999987</v>
      </c>
      <c r="Q107" s="306"/>
      <c r="S107" s="314">
        <v>4</v>
      </c>
      <c r="T107" s="315" t="s">
        <v>13</v>
      </c>
      <c r="U107" s="316">
        <f t="shared" si="44"/>
        <v>2506113.27</v>
      </c>
      <c r="V107" s="317">
        <f t="shared" si="44"/>
        <v>2730225.84</v>
      </c>
      <c r="W107" s="317">
        <f t="shared" si="44"/>
        <v>12255014.02</v>
      </c>
      <c r="X107" s="317">
        <f t="shared" si="44"/>
        <v>25300845.309999999</v>
      </c>
      <c r="Y107" s="318">
        <f t="shared" si="44"/>
        <v>393638.25</v>
      </c>
      <c r="Z107" s="319">
        <f t="shared" si="44"/>
        <v>0</v>
      </c>
      <c r="AA107" s="320">
        <f t="shared" si="44"/>
        <v>52.11</v>
      </c>
      <c r="AB107" s="294">
        <f t="shared" si="44"/>
        <v>0</v>
      </c>
      <c r="AC107" s="320">
        <f t="shared" si="44"/>
        <v>0</v>
      </c>
      <c r="AD107" s="291">
        <f t="shared" si="48"/>
        <v>3424202.94</v>
      </c>
      <c r="AE107" s="291">
        <f>AE12+AE31+AE50+AE69+AE88</f>
        <v>3424202.94</v>
      </c>
      <c r="AF107" s="322">
        <f>SUM(U107:AD107)</f>
        <v>46610091.739999995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118508638.31999999</v>
      </c>
      <c r="E109" s="290">
        <f t="shared" si="49"/>
        <v>13432240.200000001</v>
      </c>
      <c r="F109" s="290">
        <f t="shared" si="49"/>
        <v>7502401.9500000002</v>
      </c>
      <c r="G109" s="290">
        <f t="shared" si="49"/>
        <v>2123637.6300000004</v>
      </c>
      <c r="H109" s="290">
        <f t="shared" si="49"/>
        <v>27199974.659999996</v>
      </c>
      <c r="I109" s="290">
        <f t="shared" si="49"/>
        <v>800679.73</v>
      </c>
      <c r="J109" s="290">
        <f t="shared" si="49"/>
        <v>0</v>
      </c>
      <c r="K109" s="300">
        <f t="shared" si="49"/>
        <v>67449704.149999976</v>
      </c>
      <c r="L109" s="301">
        <f t="shared" si="49"/>
        <v>0</v>
      </c>
      <c r="M109" s="302">
        <f t="shared" si="49"/>
        <v>67449704.149999976</v>
      </c>
      <c r="N109" s="301">
        <f t="shared" si="49"/>
        <v>0</v>
      </c>
      <c r="O109" s="302">
        <f t="shared" si="49"/>
        <v>67449704.149999976</v>
      </c>
      <c r="P109" s="329"/>
      <c r="Q109" s="306"/>
      <c r="S109" s="327"/>
      <c r="T109" s="328" t="s">
        <v>2</v>
      </c>
      <c r="U109" s="330">
        <f>SUM(U104:U108)</f>
        <v>7337769.4000000004</v>
      </c>
      <c r="V109" s="330">
        <f t="shared" ref="V109:AF109" si="50">SUM(V104:V108)</f>
        <v>8137615.5800000001</v>
      </c>
      <c r="W109" s="330">
        <f t="shared" si="50"/>
        <v>32309958.030000001</v>
      </c>
      <c r="X109" s="330">
        <f t="shared" si="50"/>
        <v>36314393.539999999</v>
      </c>
      <c r="Y109" s="330">
        <f t="shared" si="50"/>
        <v>1105803.3</v>
      </c>
      <c r="Z109" s="290">
        <f t="shared" si="50"/>
        <v>0</v>
      </c>
      <c r="AA109" s="290">
        <f t="shared" si="50"/>
        <v>94.86</v>
      </c>
      <c r="AB109" s="290">
        <f t="shared" si="50"/>
        <v>0</v>
      </c>
      <c r="AC109" s="290">
        <f t="shared" si="50"/>
        <v>-7.0000000000000007E-2</v>
      </c>
      <c r="AD109" s="290">
        <f t="shared" si="50"/>
        <v>-17755930.490000002</v>
      </c>
      <c r="AE109" s="290">
        <f>SUM(AE104:AE108)</f>
        <v>-17755930.490000002</v>
      </c>
      <c r="AF109" s="331">
        <f t="shared" si="50"/>
        <v>67449704.149999991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85205539.850000009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12820520</v>
      </c>
      <c r="E126" s="74">
        <v>0</v>
      </c>
      <c r="G126" s="339">
        <f>D48+N48</f>
        <v>0</v>
      </c>
      <c r="H126" s="340">
        <f>D29+N29</f>
        <v>35414329.289999992</v>
      </c>
      <c r="I126" s="288">
        <f>D86+N86</f>
        <v>216025.77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10268790</v>
      </c>
      <c r="E128" s="74">
        <v>0</v>
      </c>
      <c r="G128" s="339">
        <f>D50+N50</f>
        <v>41900</v>
      </c>
      <c r="H128" s="340">
        <f>D31+N31</f>
        <v>66508368.82</v>
      </c>
      <c r="I128" s="288">
        <f>D88+N88</f>
        <v>35954.44</v>
      </c>
      <c r="J128" s="288">
        <f t="shared" si="51"/>
        <v>-736030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23089310</v>
      </c>
      <c r="E131" s="107">
        <f>SUM(E125:E130)</f>
        <v>0</v>
      </c>
      <c r="F131" s="45"/>
      <c r="G131" s="350">
        <f t="shared" ref="G131" si="52">SUM(G125:G129)</f>
        <v>41900</v>
      </c>
      <c r="H131" s="350">
        <f>SUM(H125:H130)</f>
        <v>101922698.10999998</v>
      </c>
      <c r="I131" s="350">
        <f>SUM(I125:I130)</f>
        <v>251980.21</v>
      </c>
      <c r="J131" s="350">
        <f>SUM(J125:J130)</f>
        <v>-736030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59862115.059999995</v>
      </c>
      <c r="E143" s="18">
        <f>'Recaudo EAAB Reciprocidad'!F22</f>
        <v>24231760</v>
      </c>
      <c r="F143" s="18">
        <f>D29+N29</f>
        <v>35414329.289999992</v>
      </c>
      <c r="G143" s="18">
        <f>D67+N67</f>
        <v>0</v>
      </c>
      <c r="H143" s="18">
        <f>D86+N86</f>
        <v>216025.77</v>
      </c>
      <c r="I143" s="18">
        <f>('REPORTE RECAUDO x BANCO'!E64)</f>
        <v>0</v>
      </c>
      <c r="J143" s="18">
        <f t="shared" si="53"/>
        <v>0</v>
      </c>
      <c r="K143" s="83">
        <f t="shared" si="53"/>
        <v>35414329.289999992</v>
      </c>
      <c r="L143" s="597">
        <f>D143-E143-F143-G143-J143-H143-I143</f>
        <v>3.2887328416109085E-9</v>
      </c>
      <c r="M143" s="1" t="b">
        <f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81735833.25999999</v>
      </c>
      <c r="E145" s="18">
        <f>'Recaudo EAAB Reciprocidad'!F24</f>
        <v>15885640</v>
      </c>
      <c r="F145" s="18">
        <f>D31+N31</f>
        <v>66508368.82</v>
      </c>
      <c r="G145" s="18">
        <f>D69+N69</f>
        <v>-736030</v>
      </c>
      <c r="H145" s="18">
        <f>D88+N88</f>
        <v>35954.44</v>
      </c>
      <c r="I145" s="18">
        <f>('REPORTE RECAUDO x BANCO'!E69)</f>
        <v>0</v>
      </c>
      <c r="J145" s="18">
        <f t="shared" si="53"/>
        <v>41900</v>
      </c>
      <c r="K145" s="83">
        <f t="shared" si="53"/>
        <v>66508368.82</v>
      </c>
      <c r="L145" s="597">
        <f>D145-E145-F145-G145-J145-H145-I145</f>
        <v>-9.8370946943759918E-9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141597948.31999999</v>
      </c>
      <c r="E147" s="47">
        <f>SUM(E142:E146)</f>
        <v>40117400</v>
      </c>
      <c r="F147" s="47">
        <f t="shared" ref="F147:K147" si="55">SUM(F142:F146)</f>
        <v>101922698.10999998</v>
      </c>
      <c r="G147" s="47">
        <f t="shared" si="55"/>
        <v>-736030</v>
      </c>
      <c r="H147" s="47">
        <f t="shared" si="55"/>
        <v>251980.21</v>
      </c>
      <c r="I147" s="47">
        <f t="shared" si="55"/>
        <v>0</v>
      </c>
      <c r="J147" s="47">
        <f t="shared" si="55"/>
        <v>41900</v>
      </c>
      <c r="K147" s="47">
        <f t="shared" si="55"/>
        <v>101922698.10999998</v>
      </c>
      <c r="L147" s="597">
        <f>SUM(L142:L146)</f>
        <v>-6.5483618527650833E-9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Reciprocidad'!F22</f>
        <v>24231760</v>
      </c>
      <c r="D4" s="292">
        <f>'REMUNERACION Reciprocidad EAAB'!G126</f>
        <v>0</v>
      </c>
      <c r="E4" s="292">
        <f>'REMUNERACION Reciprocidad EAAB'!D29+'REMUNERACION Reciprocidad EAAB'!N29</f>
        <v>35414329.289999992</v>
      </c>
      <c r="F4" s="292">
        <f>'REMUNERACION Reciprocidad EAAB'!I143</f>
        <v>0</v>
      </c>
      <c r="G4" s="292">
        <f>'REMUNERACION Reciprocidad EAAB'!H143</f>
        <v>216025.77</v>
      </c>
      <c r="H4" s="340">
        <f t="shared" ref="H4:H8" si="1">SUM(C4:G4)</f>
        <v>59862115.059999995</v>
      </c>
      <c r="I4" s="291">
        <f>'REMUNERACION Reciprocidad EAAB'!D105</f>
        <v>47041595.059999995</v>
      </c>
      <c r="J4" s="292">
        <f>'REMUNERACION Reciprocidad EAAB'!N105</f>
        <v>0</v>
      </c>
      <c r="K4" s="292">
        <f>'REMUNERACION Reciprocidad EAAB'!D126</f>
        <v>12820520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59862115.059999995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Reciprocidad'!F23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Reciprocidad'!F24</f>
        <v>15885640</v>
      </c>
      <c r="D6" s="292">
        <f>'REMUNERACION Reciprocidad EAAB'!G128</f>
        <v>41900</v>
      </c>
      <c r="E6" s="292">
        <f>'REMUNERACION Reciprocidad EAAB'!D31+'REMUNERACION Reciprocidad EAAB'!N31</f>
        <v>66508368.82</v>
      </c>
      <c r="F6" s="292">
        <f>'REMUNERACION Reciprocidad EAAB'!I145</f>
        <v>0</v>
      </c>
      <c r="G6" s="292">
        <f>'REMUNERACION Reciprocidad EAAB'!H145</f>
        <v>35954.44</v>
      </c>
      <c r="H6" s="340">
        <f t="shared" si="1"/>
        <v>82471863.25999999</v>
      </c>
      <c r="I6" s="291">
        <f>'REMUNERACION Reciprocidad EAAB'!D107</f>
        <v>71467043.25999999</v>
      </c>
      <c r="J6" s="292">
        <f>'REMUNERACION Reciprocidad EAAB'!N107</f>
        <v>0</v>
      </c>
      <c r="K6" s="292">
        <f>'REMUNERACION Reciprocidad EAAB'!D128</f>
        <v>10268790</v>
      </c>
      <c r="L6" s="353">
        <f>'REMUNERACION Reciprocidad EAAB'!E128</f>
        <v>0</v>
      </c>
      <c r="M6" s="292">
        <f>-'REMUNERACION Reciprocidad EAAB'!D69-'REMUNERACION Reciprocidad EAAB'!N69</f>
        <v>736030</v>
      </c>
      <c r="N6" s="318">
        <f t="shared" ref="N6:N7" si="3">SUM(I6:M6)</f>
        <v>82471863.25999999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Reciprocidad'!F25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40117400</v>
      </c>
      <c r="D9" s="290">
        <f t="shared" ref="D9:M9" si="4">SUM(D3:D8)</f>
        <v>41900</v>
      </c>
      <c r="E9" s="290">
        <f>SUM(E3:E8)</f>
        <v>101922698.10999998</v>
      </c>
      <c r="F9" s="290">
        <f t="shared" si="4"/>
        <v>0</v>
      </c>
      <c r="G9" s="290">
        <f t="shared" si="4"/>
        <v>251980.21</v>
      </c>
      <c r="H9" s="290">
        <f t="shared" si="4"/>
        <v>142333978.31999999</v>
      </c>
      <c r="I9" s="290">
        <f t="shared" si="4"/>
        <v>118508638.31999999</v>
      </c>
      <c r="J9" s="290">
        <f t="shared" si="4"/>
        <v>0</v>
      </c>
      <c r="K9" s="290">
        <f t="shared" si="4"/>
        <v>23089310</v>
      </c>
      <c r="L9" s="290">
        <f t="shared" si="4"/>
        <v>0</v>
      </c>
      <c r="M9" s="290">
        <f t="shared" si="4"/>
        <v>736030</v>
      </c>
      <c r="N9" s="290">
        <f>SUM(N3:N8)</f>
        <v>142333978.31999999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40117400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46219</v>
      </c>
      <c r="J7" s="2" t="s">
        <v>28</v>
      </c>
      <c r="K7" s="9">
        <f>'REMUNERACION Reciprocidad EAAB'!K102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47041595.059999995</v>
      </c>
      <c r="E10" s="66">
        <f>'REMUNERACION Reciprocidad EAAB'!E105</f>
        <v>4095120.52</v>
      </c>
      <c r="F10" s="66">
        <f>'REMUNERACION Reciprocidad EAAB'!F105</f>
        <v>2274787</v>
      </c>
      <c r="G10" s="66">
        <f>'REMUNERACION Reciprocidad EAAB'!G105</f>
        <v>1028626.41</v>
      </c>
      <c r="H10" s="66">
        <f>'REMUNERACION Reciprocidad EAAB'!H105</f>
        <v>18268033.049999997</v>
      </c>
      <c r="I10" s="66">
        <f>'REMUNERACION Reciprocidad EAAB'!I105</f>
        <v>535415.67000000004</v>
      </c>
      <c r="J10" s="66">
        <f>'REMUNERACION Reciprocidad EAAB'!J105</f>
        <v>0</v>
      </c>
      <c r="K10" s="31">
        <f t="shared" ref="K10:K13" si="0">D10-E10-F10-G10-H10-I10-J10</f>
        <v>20839612.409999996</v>
      </c>
      <c r="L10" s="66">
        <f>'REMUNERACION Reciprocidad EAAB'!L105</f>
        <v>0</v>
      </c>
      <c r="M10" s="31">
        <f>K10-L10</f>
        <v>20839612.409999996</v>
      </c>
      <c r="N10" s="66">
        <f>'REMUNERACION Reciprocidad EAAB'!N105</f>
        <v>0</v>
      </c>
      <c r="O10" s="31">
        <f t="shared" ref="O10:O13" si="1">M10+N10</f>
        <v>20839612.409999996</v>
      </c>
      <c r="Q10" s="4"/>
      <c r="S10" s="16">
        <v>2</v>
      </c>
      <c r="T10" s="62" t="s">
        <v>11</v>
      </c>
      <c r="U10" s="66">
        <f>'REMUNERACION Reciprocidad EAAB'!U105</f>
        <v>4831656.13</v>
      </c>
      <c r="V10" s="66">
        <f>'REMUNERACION Reciprocidad EAAB'!V105</f>
        <v>5407389.7400000002</v>
      </c>
      <c r="W10" s="66">
        <f>'REMUNERACION Reciprocidad EAAB'!W105</f>
        <v>20054944.010000002</v>
      </c>
      <c r="X10" s="66">
        <f>'REMUNERACION Reciprocidad EAAB'!X105</f>
        <v>11013548.23</v>
      </c>
      <c r="Y10" s="66">
        <f>'REMUNERACION Reciprocidad EAAB'!Y105</f>
        <v>712165.05</v>
      </c>
      <c r="Z10" s="66">
        <f>'REMUNERACION Reciprocidad EAAB'!Z105</f>
        <v>0</v>
      </c>
      <c r="AA10" s="66">
        <f>'REMUNERACION Reciprocidad EAAB'!AA105</f>
        <v>42.75</v>
      </c>
      <c r="AB10" s="66">
        <f>'REMUNERACION Reciprocidad EAAB'!AB105</f>
        <v>0</v>
      </c>
      <c r="AC10" s="66">
        <f>'REMUNERACION Reciprocidad EAAB'!AC105</f>
        <v>-7.0000000000000007E-2</v>
      </c>
      <c r="AD10" s="66">
        <f>'REMUNERACION Reciprocidad EAAB'!AD105</f>
        <v>-21180133.430000003</v>
      </c>
      <c r="AE10" s="66">
        <f>'REMUNERACION Reciprocidad EAAB'!AE105</f>
        <v>-21180133.430000003</v>
      </c>
      <c r="AF10" s="70">
        <f>SUM(U10:AD10)</f>
        <v>20839612.409999993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71467043.25999999</v>
      </c>
      <c r="E12" s="66">
        <f>'REMUNERACION Reciprocidad EAAB'!E107</f>
        <v>9337119.6800000016</v>
      </c>
      <c r="F12" s="66">
        <f>'REMUNERACION Reciprocidad EAAB'!F107</f>
        <v>5227614.95</v>
      </c>
      <c r="G12" s="66">
        <f>'REMUNERACION Reciprocidad EAAB'!G107</f>
        <v>1095011.2200000002</v>
      </c>
      <c r="H12" s="66">
        <f>'REMUNERACION Reciprocidad EAAB'!H107</f>
        <v>8931941.6099999994</v>
      </c>
      <c r="I12" s="66">
        <f>'REMUNERACION Reciprocidad EAAB'!I107</f>
        <v>265264.06</v>
      </c>
      <c r="J12" s="66">
        <f>'REMUNERACION Reciprocidad EAAB'!J107</f>
        <v>0</v>
      </c>
      <c r="K12" s="31">
        <f t="shared" si="0"/>
        <v>46610091.739999987</v>
      </c>
      <c r="L12" s="66">
        <f>'REMUNERACION Reciprocidad EAAB'!L107</f>
        <v>0</v>
      </c>
      <c r="M12" s="31">
        <f>K12-L12</f>
        <v>46610091.739999987</v>
      </c>
      <c r="N12" s="66">
        <f>'REMUNERACION Reciprocidad EAAB'!N107</f>
        <v>0</v>
      </c>
      <c r="O12" s="31">
        <f t="shared" si="1"/>
        <v>46610091.739999987</v>
      </c>
      <c r="Q12" s="4"/>
      <c r="S12" s="16">
        <v>4</v>
      </c>
      <c r="T12" s="62" t="s">
        <v>13</v>
      </c>
      <c r="U12" s="66">
        <f>'REMUNERACION Reciprocidad EAAB'!U107</f>
        <v>2506113.27</v>
      </c>
      <c r="V12" s="66">
        <f>'REMUNERACION Reciprocidad EAAB'!V107</f>
        <v>2730225.84</v>
      </c>
      <c r="W12" s="66">
        <f>'REMUNERACION Reciprocidad EAAB'!W107</f>
        <v>12255014.02</v>
      </c>
      <c r="X12" s="66">
        <f>'REMUNERACION Reciprocidad EAAB'!X107</f>
        <v>25300845.309999999</v>
      </c>
      <c r="Y12" s="66">
        <f>'REMUNERACION Reciprocidad EAAB'!Y107</f>
        <v>393638.25</v>
      </c>
      <c r="Z12" s="66">
        <f>'REMUNERACION Reciprocidad EAAB'!Z107</f>
        <v>0</v>
      </c>
      <c r="AA12" s="66">
        <f>'REMUNERACION Reciprocidad EAAB'!AA107</f>
        <v>52.11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3424202.94</v>
      </c>
      <c r="AE12" s="66">
        <f>'REMUNERACION Reciprocidad EAAB'!AE107</f>
        <v>3424202.94</v>
      </c>
      <c r="AF12" s="70">
        <f>SUM(U12:AD12)</f>
        <v>46610091.739999995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118508638.31999999</v>
      </c>
      <c r="E14" s="43">
        <f t="shared" si="3"/>
        <v>13432240.200000001</v>
      </c>
      <c r="F14" s="43">
        <f t="shared" si="3"/>
        <v>7502401.9500000002</v>
      </c>
      <c r="G14" s="43">
        <f t="shared" si="3"/>
        <v>2123637.6300000004</v>
      </c>
      <c r="H14" s="43">
        <f t="shared" si="3"/>
        <v>27199974.659999996</v>
      </c>
      <c r="I14" s="43">
        <f t="shared" si="3"/>
        <v>800679.73</v>
      </c>
      <c r="J14" s="43">
        <f t="shared" si="3"/>
        <v>0</v>
      </c>
      <c r="K14" s="32">
        <f t="shared" si="3"/>
        <v>67449704.149999976</v>
      </c>
      <c r="L14" s="23">
        <f t="shared" si="3"/>
        <v>0</v>
      </c>
      <c r="M14" s="76">
        <f t="shared" si="3"/>
        <v>67449704.149999976</v>
      </c>
      <c r="N14" s="23">
        <f t="shared" si="3"/>
        <v>0</v>
      </c>
      <c r="O14" s="76">
        <f t="shared" si="3"/>
        <v>67449704.149999976</v>
      </c>
      <c r="P14" s="2"/>
      <c r="Q14" s="4"/>
      <c r="S14" s="21"/>
      <c r="T14" s="22" t="s">
        <v>2</v>
      </c>
      <c r="U14" s="43">
        <f>SUM(U9:U13)</f>
        <v>7337769.4000000004</v>
      </c>
      <c r="V14" s="43">
        <f t="shared" ref="V14:AG14" si="4">SUM(V9:V13)</f>
        <v>8137615.5800000001</v>
      </c>
      <c r="W14" s="43">
        <f t="shared" si="4"/>
        <v>32309958.030000001</v>
      </c>
      <c r="X14" s="43">
        <f t="shared" si="4"/>
        <v>36314393.539999999</v>
      </c>
      <c r="Y14" s="43">
        <f t="shared" si="4"/>
        <v>1105803.3</v>
      </c>
      <c r="Z14" s="43">
        <f t="shared" si="4"/>
        <v>0</v>
      </c>
      <c r="AA14" s="43">
        <f t="shared" si="4"/>
        <v>94.86</v>
      </c>
      <c r="AB14" s="43">
        <f t="shared" si="4"/>
        <v>0</v>
      </c>
      <c r="AC14" s="43">
        <f t="shared" si="4"/>
        <v>-7.0000000000000007E-2</v>
      </c>
      <c r="AD14" s="43">
        <f t="shared" si="4"/>
        <v>-17755930.490000002</v>
      </c>
      <c r="AE14" s="43">
        <f>SUM(AE9:AE13)</f>
        <v>-17755930.490000002</v>
      </c>
      <c r="AF14" s="68">
        <f t="shared" si="4"/>
        <v>67449704.149999991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85205539.850000009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46219</v>
      </c>
      <c r="J27" s="2" t="s">
        <v>28</v>
      </c>
      <c r="K27" s="9">
        <f>'REMUNERACION Reciprocidad EAAB'!K122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12820520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35414329.289999992</v>
      </c>
      <c r="I31" s="288">
        <f>'REMUNERACION Reciprocidad EAAB'!I126</f>
        <v>216025.77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10268790</v>
      </c>
      <c r="E33" s="74">
        <f>'REMUNERACION Reciprocidad EAAB'!E128</f>
        <v>0</v>
      </c>
      <c r="G33" s="339">
        <f>'REMUNERACION Reciprocidad EAAB'!G128</f>
        <v>41900</v>
      </c>
      <c r="H33" s="340">
        <f>'REMUNERACION Reciprocidad EAAB'!H128</f>
        <v>66508368.82</v>
      </c>
      <c r="I33" s="288">
        <f>'REMUNERACION Reciprocidad EAAB'!I128</f>
        <v>35954.44</v>
      </c>
      <c r="J33" s="288">
        <f>'REMUNERACION Reciprocidad EAAB'!J128</f>
        <v>-736030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23089310</v>
      </c>
      <c r="E36" s="107">
        <f>'REMUNERACION Reciprocidad EAAB'!E131</f>
        <v>0</v>
      </c>
      <c r="F36" s="45"/>
      <c r="G36" s="350">
        <f t="shared" ref="G36:L36" si="5">SUM(G30:G34)</f>
        <v>41900</v>
      </c>
      <c r="H36" s="350">
        <f t="shared" si="5"/>
        <v>101922698.10999998</v>
      </c>
      <c r="I36" s="350">
        <f t="shared" si="5"/>
        <v>251980.21</v>
      </c>
      <c r="J36" s="350">
        <f t="shared" si="5"/>
        <v>-736030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16560599150.5</v>
      </c>
      <c r="E9" s="292">
        <f>'Reporte Componentes R1'!G99</f>
        <v>801645029.27999997</v>
      </c>
      <c r="F9" s="292">
        <f>'Reporte Componentes R1'!H99</f>
        <v>452328892.93000001</v>
      </c>
      <c r="G9" s="292">
        <f>'Reporte Componentes R1'!I99</f>
        <v>237653152.88</v>
      </c>
      <c r="H9" s="292">
        <f>'Reporte Componentes R1'!J99</f>
        <v>3743398457.3299999</v>
      </c>
      <c r="I9" s="292">
        <f>'Reporte Componentes R1'!K99</f>
        <v>131909206.38000001</v>
      </c>
      <c r="J9" s="292">
        <f>'CONSOLIDADO_TOTAL RECAUDO'!J9</f>
        <v>-3589454665.5499997</v>
      </c>
      <c r="K9" s="293">
        <f>D9-E9-F9-G9-H9-I9-J9</f>
        <v>14783119077.25</v>
      </c>
      <c r="L9" s="294">
        <f>'CONSOLIDADO_TOTAL RECAUDO'!L9</f>
        <v>189185988</v>
      </c>
      <c r="M9" s="293">
        <f>K9-L9</f>
        <v>14593933089.25</v>
      </c>
      <c r="N9" s="294">
        <f>'Reporte Componentes R1'!L99</f>
        <v>16516492.25</v>
      </c>
      <c r="O9" s="293">
        <f>M9+N9</f>
        <v>14610449581.5</v>
      </c>
      <c r="Q9" s="306"/>
      <c r="S9" s="303">
        <v>1</v>
      </c>
      <c r="T9" s="304" t="s">
        <v>10</v>
      </c>
      <c r="U9" s="307">
        <f>'Reporte Componentes R1'!M99</f>
        <v>1160554403.1900001</v>
      </c>
      <c r="V9" s="308">
        <f>'Reporte Componentes R1'!N99</f>
        <v>1113470084.8499999</v>
      </c>
      <c r="W9" s="308">
        <f>'Reporte Componentes R1'!O99</f>
        <v>5271166494.5799999</v>
      </c>
      <c r="X9" s="308">
        <f>'Reporte Componentes R1'!P99</f>
        <v>2172128352.0600004</v>
      </c>
      <c r="Y9" s="309">
        <f>'Reporte Componentes R1'!Q99</f>
        <v>215238429.09999999</v>
      </c>
      <c r="Z9" s="310">
        <f>L9*-1</f>
        <v>-189185988</v>
      </c>
      <c r="AA9" s="311">
        <f>'Reporte Componentes R1'!R99+'Reporte Componentes R1'!V99+'Reporte Componentes R1'!U99</f>
        <v>-16764.259999999998</v>
      </c>
      <c r="AB9" s="294">
        <f>N9</f>
        <v>16516492.25</v>
      </c>
      <c r="AC9" s="311">
        <f>'Reporte Componentes R1'!T99+'Reporte Componentes R1'!W99+'Reporte Componentes R1'!X99+'Reporte Componentes R1'!Y99+'Reporte Componentes R1'!Z99+'Reporte Componentes R1'!S99</f>
        <v>521.77</v>
      </c>
      <c r="AD9" s="291">
        <f>-J9+AE9</f>
        <v>4850577555.96</v>
      </c>
      <c r="AE9" s="291">
        <f>'Reporte Componentes R1'!F100</f>
        <v>1261122890.4100001</v>
      </c>
      <c r="AF9" s="313">
        <f>SUM(U9:AD9)</f>
        <v>14610449581.5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19023525223.110004</v>
      </c>
      <c r="E10" s="292">
        <f>'Reporte Componentes R1'!G333</f>
        <v>1400142290.9300001</v>
      </c>
      <c r="F10" s="292">
        <f>'Reporte Componentes R1'!H333</f>
        <v>785434828.66999996</v>
      </c>
      <c r="G10" s="292">
        <f>'Reporte Componentes R1'!I333</f>
        <v>411976719.89000005</v>
      </c>
      <c r="H10" s="292">
        <f>'Reporte Componentes R1'!J333</f>
        <v>5566978557.3000002</v>
      </c>
      <c r="I10" s="292">
        <f>'Reporte Componentes R1'!K333</f>
        <v>215502798.99000001</v>
      </c>
      <c r="J10" s="292">
        <f>'CONSOLIDADO_TOTAL RECAUDO'!J10</f>
        <v>-3241193714.1100001</v>
      </c>
      <c r="K10" s="295">
        <f>D10-E10-F10-G10-H10-I10-J10</f>
        <v>13884683741.440004</v>
      </c>
      <c r="L10" s="294">
        <f>'CONSOLIDADO_TOTAL RECAUDO'!L10</f>
        <v>266580256</v>
      </c>
      <c r="M10" s="295">
        <f>K10-L10</f>
        <v>13618103485.440004</v>
      </c>
      <c r="N10" s="294">
        <f>'Reporte Componentes R1'!L333</f>
        <v>24273229.890000001</v>
      </c>
      <c r="O10" s="295">
        <f t="shared" ref="O10:O12" si="0">M10+N10</f>
        <v>13642376715.330004</v>
      </c>
      <c r="Q10" s="306"/>
      <c r="S10" s="314">
        <v>2</v>
      </c>
      <c r="T10" s="315" t="s">
        <v>11</v>
      </c>
      <c r="U10" s="316">
        <f>'Reporte Componentes R1'!M333</f>
        <v>1888691595.8999999</v>
      </c>
      <c r="V10" s="317">
        <f>'Reporte Componentes R1'!N333</f>
        <v>1865131607.0600002</v>
      </c>
      <c r="W10" s="317">
        <f>'Reporte Componentes R1'!O333</f>
        <v>8796190172.9300003</v>
      </c>
      <c r="X10" s="317">
        <f>'Reporte Componentes R1'!P333</f>
        <v>2757907535.29</v>
      </c>
      <c r="Y10" s="318">
        <f>'Reporte Componentes R1'!Q333</f>
        <v>352119526.00999999</v>
      </c>
      <c r="Z10" s="319">
        <f>L10*-1</f>
        <v>-266580256</v>
      </c>
      <c r="AA10" s="320">
        <f>'Reporte Componentes R1'!R333+'Reporte Componentes R1'!V333+'Reporte Componentes R1'!U333</f>
        <v>89964.42</v>
      </c>
      <c r="AB10" s="294">
        <f>N10</f>
        <v>24273229.890000001</v>
      </c>
      <c r="AC10" s="320">
        <f>'Reporte Componentes R1'!T333+'Reporte Componentes R1'!W333+'Reporte Componentes R1'!X333+'Reporte Componentes R1'!Y333+'Reporte Componentes R1'!Z333+'Reporte Componentes R1'!S333</f>
        <v>-109.61</v>
      </c>
      <c r="AD10" s="291">
        <f t="shared" ref="AD10:AD13" si="1">-J10+AE10</f>
        <v>-1775446550.5599999</v>
      </c>
      <c r="AE10" s="291">
        <f>'Reporte Componentes R1'!F334</f>
        <v>-5016640264.6700001</v>
      </c>
      <c r="AF10" s="322">
        <f>SUM(U10:AD10)</f>
        <v>13642376715.33</v>
      </c>
      <c r="AG10" s="323">
        <f>(AF10-O10)</f>
        <v>-3.814697265625E-6</v>
      </c>
      <c r="AH10" s="1" t="b">
        <f t="shared" ref="AH10:AH14" si="2">INT(AG10)=0</f>
        <v>0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13997194578.870001</v>
      </c>
      <c r="E11" s="292">
        <f>'Reporte Componentes R1'!G494</f>
        <v>987122183.24000001</v>
      </c>
      <c r="F11" s="292">
        <f>'Reporte Componentes R1'!H494</f>
        <v>556797987.04999995</v>
      </c>
      <c r="G11" s="292">
        <f>'Reporte Componentes R1'!I494</f>
        <v>292504434.60000002</v>
      </c>
      <c r="H11" s="292">
        <f>'Reporte Componentes R1'!J494</f>
        <v>3384957591.0900002</v>
      </c>
      <c r="I11" s="292">
        <f>'Reporte Componentes R1'!K494</f>
        <v>124652663.64</v>
      </c>
      <c r="J11" s="292">
        <f>'CONSOLIDADO_TOTAL RECAUDO'!J11</f>
        <v>-853244564.50999999</v>
      </c>
      <c r="K11" s="295">
        <f t="shared" ref="K11:K13" si="3">D11-E11-F11-G11-H11-I11-J11</f>
        <v>9504404283.7600021</v>
      </c>
      <c r="L11" s="294">
        <f>'CONSOLIDADO_TOTAL RECAUDO'!L11</f>
        <v>154788536</v>
      </c>
      <c r="M11" s="295">
        <f>K11-L11</f>
        <v>9349615747.7600021</v>
      </c>
      <c r="N11" s="294">
        <f>'Reporte Componentes R1'!L494</f>
        <v>13007833.130000001</v>
      </c>
      <c r="O11" s="295">
        <f t="shared" si="0"/>
        <v>9362623580.8900013</v>
      </c>
      <c r="Q11" s="306"/>
      <c r="S11" s="314">
        <v>3</v>
      </c>
      <c r="T11" s="315" t="s">
        <v>12</v>
      </c>
      <c r="U11" s="316">
        <f>'Reporte Componentes R1'!M494</f>
        <v>1093234289.8399999</v>
      </c>
      <c r="V11" s="317">
        <f>'Reporte Componentes R1'!N494</f>
        <v>1073707981.87</v>
      </c>
      <c r="W11" s="317">
        <f>'Reporte Componentes R1'!O494</f>
        <v>5081970328.25</v>
      </c>
      <c r="X11" s="317">
        <f>'Reporte Componentes R1'!P494</f>
        <v>2295380517.8499999</v>
      </c>
      <c r="Y11" s="318">
        <f>'Reporte Componentes R1'!Q494</f>
        <v>203480280.53</v>
      </c>
      <c r="Z11" s="319">
        <f>L11*-1</f>
        <v>-154788536</v>
      </c>
      <c r="AA11" s="320">
        <f>'Reporte Componentes R1'!R494+'Reporte Componentes R1'!V494+'Reporte Componentes R1'!U494</f>
        <v>247498.34</v>
      </c>
      <c r="AB11" s="294">
        <f>N11</f>
        <v>13007833.130000001</v>
      </c>
      <c r="AC11" s="320">
        <f>'Reporte Componentes R1'!T494+'Reporte Componentes R1'!W494+'Reporte Componentes R1'!X494+'Reporte Componentes R1'!Y494+'Reporte Componentes R1'!Z494+'Reporte Componentes R1'!S494</f>
        <v>0.24</v>
      </c>
      <c r="AD11" s="291">
        <f t="shared" si="1"/>
        <v>-243616613.16000009</v>
      </c>
      <c r="AE11" s="291">
        <f>'Reporte Componentes R1'!F495</f>
        <v>-1096861177.6700001</v>
      </c>
      <c r="AF11" s="322">
        <f t="shared" ref="AF11:AF13" si="4">SUM(U11:AD11)</f>
        <v>9362623580.8899994</v>
      </c>
      <c r="AG11" s="323">
        <f>(AF11-O11)</f>
        <v>-1.9073486328125E-6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6584787380.4700003</v>
      </c>
      <c r="E12" s="292">
        <f>'Reporte Componentes R1'!G702</f>
        <v>408144652.49000001</v>
      </c>
      <c r="F12" s="292">
        <f>'Reporte Componentes R1'!H702</f>
        <v>228232395.09</v>
      </c>
      <c r="G12" s="292">
        <f>'Reporte Componentes R1'!I702</f>
        <v>119582094.92999999</v>
      </c>
      <c r="H12" s="292">
        <f>'Reporte Componentes R1'!J702</f>
        <v>1524594519.48</v>
      </c>
      <c r="I12" s="292">
        <f>'Reporte Componentes R1'!K702</f>
        <v>59897729.049999997</v>
      </c>
      <c r="J12" s="292">
        <f>'CONSOLIDADO_TOTAL RECAUDO'!J12</f>
        <v>-699882713.37000012</v>
      </c>
      <c r="K12" s="295">
        <f>D12-E12-F12-G12-H12-I12-J12</f>
        <v>4944218702.7999992</v>
      </c>
      <c r="L12" s="294">
        <f>'CONSOLIDADO_TOTAL RECAUDO'!L12</f>
        <v>120391083</v>
      </c>
      <c r="M12" s="295">
        <f>K12-L12</f>
        <v>4823827619.7999992</v>
      </c>
      <c r="N12" s="294">
        <f>'Reporte Componentes R1'!L702</f>
        <v>19208887.530000001</v>
      </c>
      <c r="O12" s="295">
        <f t="shared" si="0"/>
        <v>4843036507.329999</v>
      </c>
      <c r="Q12" s="306"/>
      <c r="S12" s="314">
        <v>4</v>
      </c>
      <c r="T12" s="315" t="s">
        <v>13</v>
      </c>
      <c r="U12" s="316">
        <f>'Reporte Componentes R1'!M702</f>
        <v>524397834.05000001</v>
      </c>
      <c r="V12" s="317">
        <f>'Reporte Componentes R1'!N702</f>
        <v>518689495.65999997</v>
      </c>
      <c r="W12" s="317">
        <f>'Reporte Componentes R1'!O702</f>
        <v>2657171147.7400002</v>
      </c>
      <c r="X12" s="317">
        <f>'Reporte Componentes R1'!P702</f>
        <v>1079967383.1800001</v>
      </c>
      <c r="Y12" s="318">
        <f>'Reporte Componentes R1'!Q702</f>
        <v>97939197.519999996</v>
      </c>
      <c r="Z12" s="319">
        <f>L12*-1</f>
        <v>-120391083</v>
      </c>
      <c r="AA12" s="320">
        <f>'Reporte Componentes R1'!R702+'Reporte Componentes R1'!V702+'Reporte Componentes R1'!U702</f>
        <v>-16815.95</v>
      </c>
      <c r="AB12" s="294">
        <f>N12</f>
        <v>19208887.530000001</v>
      </c>
      <c r="AC12" s="320">
        <f>'Reporte Componentes R1'!T702+'Reporte Componentes R1'!W702+'Reporte Componentes R1'!X702+'Reporte Componentes R1'!Y702+'Reporte Componentes R1'!Z702+'Reporte Componentes R1'!S702</f>
        <v>-359.5</v>
      </c>
      <c r="AD12" s="291">
        <f t="shared" si="1"/>
        <v>66070820.100000143</v>
      </c>
      <c r="AE12" s="291">
        <f>'Reporte Componentes R1'!F703</f>
        <v>-633811893.26999998</v>
      </c>
      <c r="AF12" s="322">
        <f t="shared" si="4"/>
        <v>4843036507.3300009</v>
      </c>
      <c r="AG12" s="323">
        <f>(AF12-O12)</f>
        <v>1.9073486328125E-6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11701157844.9</v>
      </c>
      <c r="E13" s="297">
        <f>'Reporte Componentes R1'!G821</f>
        <v>696844795.02999997</v>
      </c>
      <c r="F13" s="297">
        <f>'Reporte Componentes R1'!H821</f>
        <v>392989640.31</v>
      </c>
      <c r="G13" s="297">
        <f>'Reporte Componentes R1'!I821</f>
        <v>206069582.44999999</v>
      </c>
      <c r="H13" s="297">
        <f>'Reporte Componentes R1'!J821</f>
        <v>2740722350.5100002</v>
      </c>
      <c r="I13" s="297">
        <f>'Reporte Componentes R1'!K821</f>
        <v>104578894.56</v>
      </c>
      <c r="J13" s="292">
        <f>'CONSOLIDADO_TOTAL RECAUDO'!J13</f>
        <v>-82959023.660000086</v>
      </c>
      <c r="K13" s="295">
        <f t="shared" si="3"/>
        <v>7642911605.6999979</v>
      </c>
      <c r="L13" s="294">
        <f>'CONSOLIDADO_TOTAL RECAUDO'!L13</f>
        <v>128990446</v>
      </c>
      <c r="M13" s="298">
        <f>K13-L13</f>
        <v>7513921159.6999979</v>
      </c>
      <c r="N13" s="299">
        <f>'Reporte Componentes R1'!L821</f>
        <v>8997077.0999999996</v>
      </c>
      <c r="O13" s="298">
        <f>M13+N13</f>
        <v>7522918236.7999983</v>
      </c>
      <c r="Q13" s="306"/>
      <c r="S13" s="324">
        <v>5</v>
      </c>
      <c r="T13" s="325" t="s">
        <v>14</v>
      </c>
      <c r="U13" s="296">
        <f>'Reporte Componentes R1'!M821</f>
        <v>916904609.30999994</v>
      </c>
      <c r="V13" s="297">
        <f>'Reporte Componentes R1'!N821</f>
        <v>898289087.46000004</v>
      </c>
      <c r="W13" s="297">
        <f>'Reporte Componentes R1'!O821</f>
        <v>4616985820.4700003</v>
      </c>
      <c r="X13" s="297">
        <f>'Reporte Componentes R1'!P821</f>
        <v>2070281460.76</v>
      </c>
      <c r="Y13" s="289">
        <f>'Reporte Componentes R1'!Q821</f>
        <v>170680332.09999999</v>
      </c>
      <c r="Z13" s="319">
        <f>L13*-1</f>
        <v>-128990446</v>
      </c>
      <c r="AA13" s="320">
        <f>'Reporte Componentes R1'!R821+'Reporte Componentes R1'!V821+'Reporte Componentes R1'!U821</f>
        <v>-147148.47</v>
      </c>
      <c r="AB13" s="294">
        <f>N13</f>
        <v>8997077.0999999996</v>
      </c>
      <c r="AC13" s="320">
        <f>'Reporte Componentes R1'!T821+'Reporte Componentes R1'!W821+'Reporte Componentes R1'!X821+'Reporte Componentes R1'!Y821+'Reporte Componentes R1'!Z821+'Reporte Componentes R1'!S821</f>
        <v>-33.33</v>
      </c>
      <c r="AD13" s="291">
        <f t="shared" si="1"/>
        <v>-1030082522.5999999</v>
      </c>
      <c r="AE13" s="291">
        <f>'Reporte Componentes R1'!F822</f>
        <v>-1113041546.26</v>
      </c>
      <c r="AF13" s="322">
        <f t="shared" si="4"/>
        <v>7522918236.8000011</v>
      </c>
      <c r="AG13" s="326">
        <f>(AF13-O13)</f>
        <v>2.86102294921875E-6</v>
      </c>
      <c r="AH13" s="1" t="b">
        <f t="shared" si="2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67867264177.850006</v>
      </c>
      <c r="E14" s="290">
        <f t="shared" ref="E14:O14" si="5">SUM(E9:E13)</f>
        <v>4293898950.9699993</v>
      </c>
      <c r="F14" s="290">
        <f t="shared" si="5"/>
        <v>2415783744.0499997</v>
      </c>
      <c r="G14" s="290">
        <f t="shared" si="5"/>
        <v>1267785984.75</v>
      </c>
      <c r="H14" s="290">
        <f t="shared" si="5"/>
        <v>16960651475.710001</v>
      </c>
      <c r="I14" s="290">
        <f t="shared" si="5"/>
        <v>636541292.62</v>
      </c>
      <c r="J14" s="290">
        <f t="shared" si="5"/>
        <v>-8466734681.1999998</v>
      </c>
      <c r="K14" s="300">
        <f t="shared" si="5"/>
        <v>50759337410.949997</v>
      </c>
      <c r="L14" s="301">
        <f>SUM(L9:L13)</f>
        <v>859936309</v>
      </c>
      <c r="M14" s="302">
        <f t="shared" si="5"/>
        <v>49899401101.949997</v>
      </c>
      <c r="N14" s="301">
        <f t="shared" si="5"/>
        <v>82003519.900000006</v>
      </c>
      <c r="O14" s="302">
        <f t="shared" si="5"/>
        <v>49981404621.849998</v>
      </c>
      <c r="P14" s="329"/>
      <c r="Q14" s="306"/>
      <c r="S14" s="327"/>
      <c r="T14" s="328" t="s">
        <v>2</v>
      </c>
      <c r="U14" s="330">
        <f>SUM(U9:U13)</f>
        <v>5583782732.2900009</v>
      </c>
      <c r="V14" s="330">
        <f t="shared" ref="V14:AF14" si="6">SUM(V9:V13)</f>
        <v>5469288256.8999996</v>
      </c>
      <c r="W14" s="330">
        <f t="shared" si="6"/>
        <v>26423483963.970005</v>
      </c>
      <c r="X14" s="330">
        <f t="shared" si="6"/>
        <v>10375665249.140001</v>
      </c>
      <c r="Y14" s="330">
        <f t="shared" si="6"/>
        <v>1039457765.26</v>
      </c>
      <c r="Z14" s="290">
        <f t="shared" si="6"/>
        <v>-859936309</v>
      </c>
      <c r="AA14" s="290">
        <f t="shared" si="6"/>
        <v>156734.07999999999</v>
      </c>
      <c r="AB14" s="290">
        <f t="shared" si="6"/>
        <v>82003519.900000006</v>
      </c>
      <c r="AC14" s="290">
        <f t="shared" si="6"/>
        <v>19.569999999999979</v>
      </c>
      <c r="AD14" s="290">
        <f>SUM(AD9:AD13)</f>
        <v>1867502689.7400002</v>
      </c>
      <c r="AE14" s="290">
        <f>SUM(AE9:AE13)</f>
        <v>-6599231991.460001</v>
      </c>
      <c r="AF14" s="331">
        <f t="shared" si="6"/>
        <v>49981404621.850006</v>
      </c>
      <c r="AG14" s="332">
        <f>SUM(AG9:AG13)</f>
        <v>-9.5367431640625E-7</v>
      </c>
      <c r="AH14" s="1" t="b">
        <f t="shared" si="2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48891677967.560005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97091142.519999996</v>
      </c>
      <c r="E28" s="292">
        <f>'Rem. Anticipos R2'!F63</f>
        <v>6976462.0700000003</v>
      </c>
      <c r="F28" s="292">
        <f>'Rem. Anticipos R2'!G63</f>
        <v>3989520.43</v>
      </c>
      <c r="G28" s="292">
        <f>'Rem. Anticipos R2'!H63</f>
        <v>1892052.01</v>
      </c>
      <c r="H28" s="292">
        <f>'Rem. Anticipos R2'!I63</f>
        <v>21816860.75</v>
      </c>
      <c r="I28" s="292">
        <f>'Rem. Anticipos R2'!J63</f>
        <v>885223.84</v>
      </c>
      <c r="J28" s="289">
        <v>0</v>
      </c>
      <c r="K28" s="293">
        <f>D28-E28-F28-G28-H28-I28-J28</f>
        <v>61531023.419999972</v>
      </c>
      <c r="L28" s="294">
        <v>0</v>
      </c>
      <c r="M28" s="293">
        <f>K28-L28</f>
        <v>61531023.419999972</v>
      </c>
      <c r="N28" s="294">
        <f>'Rem. Anticipos R2'!K63</f>
        <v>0</v>
      </c>
      <c r="O28" s="293">
        <f>M28+N28</f>
        <v>61531023.419999972</v>
      </c>
      <c r="Q28" s="306"/>
      <c r="S28" s="303">
        <v>1</v>
      </c>
      <c r="T28" s="304" t="s">
        <v>10</v>
      </c>
      <c r="U28" s="307">
        <f>'Rem. Anticipos R2'!L63</f>
        <v>8066881.2199999997</v>
      </c>
      <c r="V28" s="308">
        <f>'Rem. Anticipos R2'!M63</f>
        <v>7537523.3099999996</v>
      </c>
      <c r="W28" s="308">
        <f>'Rem. Anticipos R2'!N63</f>
        <v>33217967.449999999</v>
      </c>
      <c r="X28" s="308">
        <f>'Rem. Anticipos R2'!O63</f>
        <v>19118696.010000002</v>
      </c>
      <c r="Y28" s="309">
        <f>'Rem. Anticipos R2'!P63</f>
        <v>1269265.17</v>
      </c>
      <c r="Z28" s="310">
        <f>L28*-1</f>
        <v>0</v>
      </c>
      <c r="AA28" s="311">
        <f>'Rem. Anticipos R2'!Q63</f>
        <v>-0.55000000000000004</v>
      </c>
      <c r="AB28" s="294">
        <f>N28</f>
        <v>0</v>
      </c>
      <c r="AC28" s="311">
        <f>'Rem. Anticipos R2'!R63</f>
        <v>0</v>
      </c>
      <c r="AD28" s="291">
        <f>-J28+AE28</f>
        <v>-7679309.1900000004</v>
      </c>
      <c r="AE28" s="291">
        <f>'Rem. Anticipos R2'!E64</f>
        <v>-7679309.1900000004</v>
      </c>
      <c r="AF28" s="313">
        <f>SUM(U28:AD28)</f>
        <v>61531023.420000002</v>
      </c>
      <c r="AG28" s="311">
        <f>(AF28-O28)</f>
        <v>2.9802322387695313E-8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55676152.700000003</v>
      </c>
      <c r="E29" s="292">
        <f>'Rem. Anticipos R2'!F184</f>
        <v>4128221.21</v>
      </c>
      <c r="F29" s="292">
        <f>'Rem. Anticipos R2'!G184</f>
        <v>2450514.75</v>
      </c>
      <c r="G29" s="292">
        <f>'Rem. Anticipos R2'!H184</f>
        <v>991071.1</v>
      </c>
      <c r="H29" s="292">
        <f>'Rem. Anticipos R2'!I184</f>
        <v>18977352.940000001</v>
      </c>
      <c r="I29" s="292">
        <f>'Rem. Anticipos R2'!J184</f>
        <v>633591.15</v>
      </c>
      <c r="J29" s="288">
        <v>0</v>
      </c>
      <c r="K29" s="295">
        <f t="shared" ref="K29:K31" si="7">D29-E29-F29-G29-H29-I29-J29</f>
        <v>28495401.550000001</v>
      </c>
      <c r="L29" s="294">
        <v>0</v>
      </c>
      <c r="M29" s="295">
        <f>K29-L29</f>
        <v>28495401.550000001</v>
      </c>
      <c r="N29" s="294">
        <f>'Rem. Anticipos R2'!K184</f>
        <v>0</v>
      </c>
      <c r="O29" s="295">
        <f t="shared" ref="O29:O32" si="8">M29+N29</f>
        <v>28495401.550000001</v>
      </c>
      <c r="Q29" s="306"/>
      <c r="S29" s="314">
        <v>2</v>
      </c>
      <c r="T29" s="315" t="s">
        <v>11</v>
      </c>
      <c r="U29" s="316">
        <f>'Rem. Anticipos R2'!L184</f>
        <v>5929589.2400000002</v>
      </c>
      <c r="V29" s="317">
        <f>'Rem. Anticipos R2'!M184</f>
        <v>5758615.9699999997</v>
      </c>
      <c r="W29" s="317">
        <f>'Rem. Anticipos R2'!N184</f>
        <v>23292145.649999999</v>
      </c>
      <c r="X29" s="317">
        <f>'Rem. Anticipos R2'!O184</f>
        <v>8749581.6400000006</v>
      </c>
      <c r="Y29" s="318">
        <f>'Rem. Anticipos R2'!P184</f>
        <v>886619.66</v>
      </c>
      <c r="Z29" s="319">
        <f>L29*-1</f>
        <v>0</v>
      </c>
      <c r="AA29" s="320">
        <f>'Rem. Anticipos R2'!Q184</f>
        <v>144.25</v>
      </c>
      <c r="AB29" s="294">
        <f>N29</f>
        <v>0</v>
      </c>
      <c r="AC29" s="320">
        <f>'Rem. Anticipos R2'!R184</f>
        <v>0</v>
      </c>
      <c r="AD29" s="291">
        <f>-J29+AE29</f>
        <v>-16121294.859999999</v>
      </c>
      <c r="AE29" s="291">
        <f>'Rem. Anticipos R2'!E185</f>
        <v>-16121294.859999999</v>
      </c>
      <c r="AF29" s="322">
        <f>SUM(U29:AD29)</f>
        <v>28495401.549999997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10032919.670000002</v>
      </c>
      <c r="E30" s="292">
        <f>'Rem. Anticipos R2'!F305</f>
        <v>701731.13</v>
      </c>
      <c r="F30" s="292">
        <f>'Rem. Anticipos R2'!G305</f>
        <v>402850.38</v>
      </c>
      <c r="G30" s="292">
        <f>'Rem. Anticipos R2'!H305</f>
        <v>200945.85</v>
      </c>
      <c r="H30" s="292">
        <f>'Rem. Anticipos R2'!I305</f>
        <v>2080358.83</v>
      </c>
      <c r="I30" s="292">
        <f>'Rem. Anticipos R2'!J305</f>
        <v>75750.34</v>
      </c>
      <c r="J30" s="288">
        <v>0</v>
      </c>
      <c r="K30" s="295">
        <f t="shared" si="7"/>
        <v>6571283.1400000006</v>
      </c>
      <c r="L30" s="294">
        <v>0</v>
      </c>
      <c r="M30" s="295">
        <f>K30-L30</f>
        <v>6571283.1400000006</v>
      </c>
      <c r="N30" s="294">
        <f>'Rem. Anticipos R2'!K305</f>
        <v>22742.37</v>
      </c>
      <c r="O30" s="295">
        <f t="shared" si="8"/>
        <v>6594025.5100000007</v>
      </c>
      <c r="Q30" s="306"/>
      <c r="S30" s="314">
        <v>3</v>
      </c>
      <c r="T30" s="315" t="s">
        <v>12</v>
      </c>
      <c r="U30" s="316">
        <f>'Rem. Anticipos R2'!L305</f>
        <v>672022.47</v>
      </c>
      <c r="V30" s="317">
        <f>'Rem. Anticipos R2'!M305</f>
        <v>686444.88</v>
      </c>
      <c r="W30" s="317">
        <f>'Rem. Anticipos R2'!N305</f>
        <v>3594429</v>
      </c>
      <c r="X30" s="317">
        <f>'Rem. Anticipos R2'!O305</f>
        <v>1748778.82</v>
      </c>
      <c r="Y30" s="318">
        <f>'Rem. Anticipos R2'!P305</f>
        <v>105523.93999999999</v>
      </c>
      <c r="Z30" s="319">
        <f>L30*-1</f>
        <v>0</v>
      </c>
      <c r="AA30" s="320">
        <f>'Rem. Anticipos R2'!Q305</f>
        <v>14.57</v>
      </c>
      <c r="AB30" s="294">
        <f>N30</f>
        <v>22742.37</v>
      </c>
      <c r="AC30" s="320">
        <f>'Rem. Anticipos R2'!R305</f>
        <v>0</v>
      </c>
      <c r="AD30" s="291">
        <f t="shared" ref="AD30:AD32" si="10">-J30+AE30</f>
        <v>-235930.54</v>
      </c>
      <c r="AE30" s="291">
        <f>'Rem. Anticipos R2'!E306</f>
        <v>-235930.54</v>
      </c>
      <c r="AF30" s="322">
        <f>SUM(U30:AD30)</f>
        <v>6594025.5100000007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60774931.109999992</v>
      </c>
      <c r="E31" s="292">
        <f>'Rem. Anticipos R2'!F429</f>
        <v>3643585.71</v>
      </c>
      <c r="F31" s="292">
        <f>'Rem. Anticipos R2'!G429</f>
        <v>2134528.5099999998</v>
      </c>
      <c r="G31" s="292">
        <f>'Rem. Anticipos R2'!H429</f>
        <v>922327.31</v>
      </c>
      <c r="H31" s="292">
        <f>'Rem. Anticipos R2'!I429</f>
        <v>19101300.940000001</v>
      </c>
      <c r="I31" s="292">
        <f>'Rem. Anticipos R2'!J429</f>
        <v>695389.45</v>
      </c>
      <c r="J31" s="288">
        <v>0</v>
      </c>
      <c r="K31" s="295">
        <f t="shared" si="7"/>
        <v>34277799.189999983</v>
      </c>
      <c r="L31" s="294">
        <v>0</v>
      </c>
      <c r="M31" s="295">
        <f>K31-L31</f>
        <v>34277799.189999983</v>
      </c>
      <c r="N31" s="294">
        <f>'Rem. Anticipos R2'!K429</f>
        <v>0</v>
      </c>
      <c r="O31" s="295">
        <f t="shared" si="8"/>
        <v>34277799.189999983</v>
      </c>
      <c r="Q31" s="306"/>
      <c r="S31" s="314">
        <v>4</v>
      </c>
      <c r="T31" s="315" t="s">
        <v>13</v>
      </c>
      <c r="U31" s="316">
        <f>'Rem. Anticipos R2'!L429</f>
        <v>6006974.5499999998</v>
      </c>
      <c r="V31" s="317">
        <f>'Rem. Anticipos R2'!M429</f>
        <v>5941622.6399999997</v>
      </c>
      <c r="W31" s="317">
        <f>'Rem. Anticipos R2'!N429</f>
        <v>26384823.629999999</v>
      </c>
      <c r="X31" s="317">
        <f>'Rem. Anticipos R2'!O429</f>
        <v>9973356.7599999998</v>
      </c>
      <c r="Y31" s="318">
        <f>'Rem. Anticipos R2'!P429</f>
        <v>1107550.0900000001</v>
      </c>
      <c r="Z31" s="319">
        <f>L31*-1</f>
        <v>0</v>
      </c>
      <c r="AA31" s="320">
        <f>'Rem. Anticipos R2'!Q429</f>
        <v>-85.27</v>
      </c>
      <c r="AB31" s="294">
        <f>N31</f>
        <v>0</v>
      </c>
      <c r="AC31" s="320">
        <f>'Rem. Anticipos R2'!R429</f>
        <v>0</v>
      </c>
      <c r="AD31" s="291">
        <f t="shared" si="10"/>
        <v>-15136443.210000001</v>
      </c>
      <c r="AE31" s="291">
        <f>'Rem. Anticipos R2'!E430</f>
        <v>-15136443.210000001</v>
      </c>
      <c r="AF31" s="322">
        <f>SUM(U31:AD31)</f>
        <v>34277799.189999998</v>
      </c>
      <c r="AG31" s="323">
        <f t="shared" si="11"/>
        <v>1.4901161193847656E-8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23423861.739999998</v>
      </c>
      <c r="E32" s="297">
        <f>'Rem. Anticipos R2'!F516</f>
        <v>1434797.19</v>
      </c>
      <c r="F32" s="297">
        <f>'Rem. Anticipos R2'!G516</f>
        <v>822131.91</v>
      </c>
      <c r="G32" s="297">
        <f>'Rem. Anticipos R2'!H516</f>
        <v>382101.97</v>
      </c>
      <c r="H32" s="297">
        <f>'Rem. Anticipos R2'!I516</f>
        <v>4012967.88</v>
      </c>
      <c r="I32" s="297">
        <f>'Rem. Anticipos R2'!J516</f>
        <v>149799.45000000001</v>
      </c>
      <c r="J32" s="289">
        <v>0</v>
      </c>
      <c r="K32" s="295">
        <f>D32-E32-F32-G32-H32-I32-J32</f>
        <v>16622063.34</v>
      </c>
      <c r="L32" s="294">
        <v>0</v>
      </c>
      <c r="M32" s="298">
        <f>K32-L32</f>
        <v>16622063.34</v>
      </c>
      <c r="N32" s="299">
        <f>'Rem. Anticipos R2'!K516</f>
        <v>0</v>
      </c>
      <c r="O32" s="298">
        <f t="shared" si="8"/>
        <v>16622063.34</v>
      </c>
      <c r="Q32" s="306"/>
      <c r="S32" s="324">
        <v>5</v>
      </c>
      <c r="T32" s="325" t="s">
        <v>14</v>
      </c>
      <c r="U32" s="296">
        <f>'Rem. Anticipos R2'!L516</f>
        <v>1255063.1599999999</v>
      </c>
      <c r="V32" s="297">
        <f>'Rem. Anticipos R2'!M516</f>
        <v>1364790.51</v>
      </c>
      <c r="W32" s="297">
        <f>'Rem. Anticipos R2'!N516</f>
        <v>5825494.6100000003</v>
      </c>
      <c r="X32" s="297">
        <f>'Rem. Anticipos R2'!O516</f>
        <v>4273227.9400000004</v>
      </c>
      <c r="Y32" s="289">
        <f>'Rem. Anticipos R2'!P516</f>
        <v>211847.59</v>
      </c>
      <c r="Z32" s="319">
        <f>L32*-1</f>
        <v>0</v>
      </c>
      <c r="AA32" s="320">
        <f>'Rem. Anticipos R2'!Q516</f>
        <v>90.03</v>
      </c>
      <c r="AB32" s="294">
        <f>N32</f>
        <v>0</v>
      </c>
      <c r="AC32" s="320">
        <f>'Rem. Anticipos R2'!R516</f>
        <v>0</v>
      </c>
      <c r="AD32" s="291">
        <f t="shared" si="10"/>
        <v>3691549.5</v>
      </c>
      <c r="AE32" s="291">
        <f>'Rem. Anticipos R2'!E517</f>
        <v>3691549.5</v>
      </c>
      <c r="AF32" s="322">
        <f>SUM(U32:AD32)</f>
        <v>16622063.340000002</v>
      </c>
      <c r="AG32" s="326">
        <f>(AF32-O32)</f>
        <v>1.862645149230957E-9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246999007.73999998</v>
      </c>
      <c r="E33" s="290">
        <f>SUM(E28:E32)</f>
        <v>16884797.310000002</v>
      </c>
      <c r="F33" s="290">
        <f t="shared" ref="F33:O33" si="12">SUM(F28:F32)</f>
        <v>9799545.9800000004</v>
      </c>
      <c r="G33" s="290">
        <f t="shared" si="12"/>
        <v>4388498.24</v>
      </c>
      <c r="H33" s="290">
        <f t="shared" si="12"/>
        <v>65988841.339999996</v>
      </c>
      <c r="I33" s="290">
        <f t="shared" si="12"/>
        <v>2439754.2300000004</v>
      </c>
      <c r="J33" s="290">
        <f t="shared" si="12"/>
        <v>0</v>
      </c>
      <c r="K33" s="300">
        <f t="shared" si="12"/>
        <v>147497570.63999996</v>
      </c>
      <c r="L33" s="301">
        <f t="shared" si="12"/>
        <v>0</v>
      </c>
      <c r="M33" s="302">
        <f t="shared" si="12"/>
        <v>147497570.63999996</v>
      </c>
      <c r="N33" s="301">
        <f t="shared" si="12"/>
        <v>22742.37</v>
      </c>
      <c r="O33" s="302">
        <f t="shared" si="12"/>
        <v>147520313.00999996</v>
      </c>
      <c r="P33" s="329"/>
      <c r="Q33" s="306"/>
      <c r="S33" s="327"/>
      <c r="T33" s="328" t="s">
        <v>2</v>
      </c>
      <c r="U33" s="330">
        <f>SUM(U28:U32)</f>
        <v>21930530.640000001</v>
      </c>
      <c r="V33" s="330">
        <f t="shared" ref="V33:AG33" si="13">SUM(V28:V32)</f>
        <v>21288997.310000002</v>
      </c>
      <c r="W33" s="330">
        <f t="shared" si="13"/>
        <v>92314860.339999989</v>
      </c>
      <c r="X33" s="330">
        <f t="shared" si="13"/>
        <v>43863641.170000002</v>
      </c>
      <c r="Y33" s="330">
        <f t="shared" si="13"/>
        <v>3580806.45</v>
      </c>
      <c r="Z33" s="290">
        <f t="shared" si="13"/>
        <v>0</v>
      </c>
      <c r="AA33" s="290">
        <f t="shared" si="13"/>
        <v>163.02999999999997</v>
      </c>
      <c r="AB33" s="290">
        <f t="shared" si="13"/>
        <v>22742.37</v>
      </c>
      <c r="AC33" s="290">
        <f t="shared" ref="AC33" si="14">SUM(AC28:AC32)</f>
        <v>0</v>
      </c>
      <c r="AD33" s="290">
        <f>SUM(AD28:AD32)</f>
        <v>-35481428.299999997</v>
      </c>
      <c r="AE33" s="290">
        <f>SUM(AE28:AE32)</f>
        <v>-35481428.299999997</v>
      </c>
      <c r="AF33" s="331">
        <f t="shared" si="13"/>
        <v>147520313.00999999</v>
      </c>
      <c r="AG33" s="332">
        <f t="shared" si="13"/>
        <v>4.2840838432312012E-8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182978835.90999997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49580</v>
      </c>
      <c r="E47" s="292">
        <f>'Reporte Componentes R1'!G101</f>
        <v>2007.44</v>
      </c>
      <c r="F47" s="292">
        <f>'Reporte Componentes R1'!H101</f>
        <v>1133.3800000000001</v>
      </c>
      <c r="G47" s="292">
        <f>'Reporte Componentes R1'!I101</f>
        <v>594.88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45844.3</v>
      </c>
      <c r="L47" s="294">
        <v>0</v>
      </c>
      <c r="M47" s="293">
        <f>K47-L47</f>
        <v>45844.3</v>
      </c>
      <c r="N47" s="294">
        <f>'Reporte Componentes R1'!L101</f>
        <v>0</v>
      </c>
      <c r="O47" s="293">
        <f>M47+N47</f>
        <v>45844.3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5482.6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-2.61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40364.31</v>
      </c>
      <c r="AE47" s="291">
        <f>'Reporte Componentes R1'!F102</f>
        <v>40364.31</v>
      </c>
      <c r="AF47" s="313">
        <f>SUM(U47:AD47)</f>
        <v>45844.299999999996</v>
      </c>
      <c r="AG47" s="311">
        <f>(AF47-O47)</f>
        <v>-7.2759576141834259E-12</v>
      </c>
      <c r="AH47" s="1" t="b">
        <f>INT(AG47)=0</f>
        <v>0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56078860</v>
      </c>
      <c r="E48" s="292">
        <f>'Reporte Componentes R1'!G335</f>
        <v>7696969.2400000002</v>
      </c>
      <c r="F48" s="292">
        <f>'Reporte Componentes R1'!H335</f>
        <v>4351440.59</v>
      </c>
      <c r="G48" s="292">
        <f>'Reporte Componentes R1'!I335</f>
        <v>2306516.2999999998</v>
      </c>
      <c r="H48" s="292">
        <f>'Reporte Componentes R1'!J335</f>
        <v>107263.69</v>
      </c>
      <c r="I48" s="292">
        <f>'Reporte Componentes R1'!K335</f>
        <v>3376.45</v>
      </c>
      <c r="J48" s="288">
        <v>0</v>
      </c>
      <c r="K48" s="295">
        <f t="shared" ref="K48:K51" si="15">D48-E48-F48-G48-H48-I48-J48</f>
        <v>41613293.730000004</v>
      </c>
      <c r="L48" s="294">
        <v>0</v>
      </c>
      <c r="M48" s="295">
        <f>K48-L48</f>
        <v>41613293.730000004</v>
      </c>
      <c r="N48" s="294">
        <f>'Reporte Componentes R1'!L335</f>
        <v>0</v>
      </c>
      <c r="O48" s="295">
        <f t="shared" ref="O48:O51" si="16">M48+N48</f>
        <v>41613293.730000004</v>
      </c>
      <c r="Q48" s="306"/>
      <c r="S48" s="314">
        <v>2</v>
      </c>
      <c r="T48" s="315" t="s">
        <v>11</v>
      </c>
      <c r="U48" s="316">
        <f>'Reporte Componentes R1'!M335</f>
        <v>29617.98</v>
      </c>
      <c r="V48" s="317">
        <f>'Reporte Componentes R1'!N335</f>
        <v>33795.33</v>
      </c>
      <c r="W48" s="317">
        <f>'Reporte Componentes R1'!O335</f>
        <v>157592.63</v>
      </c>
      <c r="X48" s="317">
        <f>'Reporte Componentes R1'!P335</f>
        <v>15452175.380000001</v>
      </c>
      <c r="Y48" s="318">
        <f>'Reporte Componentes R1'!Q335</f>
        <v>5508.95</v>
      </c>
      <c r="Z48" s="319">
        <f>-L48</f>
        <v>0</v>
      </c>
      <c r="AA48" s="320">
        <f>'Reporte Componentes R1'!R335+'Reporte Componentes R1'!V335+'Reporte Componentes R1'!U335</f>
        <v>2.83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25934600.629999999</v>
      </c>
      <c r="AE48" s="291">
        <f>'Reporte Componentes R1'!F336</f>
        <v>25934600.629999999</v>
      </c>
      <c r="AF48" s="322">
        <f>SUM(U48:AD48)</f>
        <v>41613293.729999997</v>
      </c>
      <c r="AG48" s="323">
        <f>(AF48-O48)</f>
        <v>-7.4505805969238281E-9</v>
      </c>
      <c r="AH48" s="1" t="b">
        <f t="shared" ref="AH48:AH52" si="18">INT(AG48)=0</f>
        <v>0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1307680</v>
      </c>
      <c r="E49" s="292">
        <f>'Reporte Componentes R1'!G496</f>
        <v>147598.38</v>
      </c>
      <c r="F49" s="292">
        <f>'Reporte Componentes R1'!H496</f>
        <v>66140.960000000006</v>
      </c>
      <c r="G49" s="292">
        <f>'Reporte Componentes R1'!I496</f>
        <v>37291.57</v>
      </c>
      <c r="H49" s="292">
        <f>'Reporte Componentes R1'!J496</f>
        <v>33572.080000000002</v>
      </c>
      <c r="I49" s="292">
        <f>'Reporte Componentes R1'!K496</f>
        <v>682.45</v>
      </c>
      <c r="J49" s="288">
        <v>0</v>
      </c>
      <c r="K49" s="295">
        <f t="shared" si="15"/>
        <v>1022394.5600000002</v>
      </c>
      <c r="L49" s="294">
        <v>0</v>
      </c>
      <c r="M49" s="295">
        <f>K49-L49</f>
        <v>1022394.5600000002</v>
      </c>
      <c r="N49" s="294">
        <f>'Reporte Componentes R1'!L496</f>
        <v>0</v>
      </c>
      <c r="O49" s="295">
        <f t="shared" si="16"/>
        <v>1022394.5600000002</v>
      </c>
      <c r="Q49" s="306"/>
      <c r="S49" s="314">
        <v>3</v>
      </c>
      <c r="T49" s="315" t="s">
        <v>12</v>
      </c>
      <c r="U49" s="316">
        <f>'Reporte Componentes R1'!M496</f>
        <v>5991.23</v>
      </c>
      <c r="V49" s="317">
        <f>'Reporte Componentes R1'!N496</f>
        <v>7293.25</v>
      </c>
      <c r="W49" s="317">
        <f>'Reporte Componentes R1'!O496</f>
        <v>33919.089999999997</v>
      </c>
      <c r="X49" s="317">
        <f>'Reporte Componentes R1'!P496</f>
        <v>346942.9</v>
      </c>
      <c r="Y49" s="318">
        <f>'Reporte Componentes R1'!Q496</f>
        <v>1113.3699999999999</v>
      </c>
      <c r="Z49" s="319">
        <f>-L49</f>
        <v>0</v>
      </c>
      <c r="AA49" s="320">
        <f>'Reporte Componentes R1'!R496+'Reporte Componentes R1'!V496+'Reporte Componentes R1'!U496</f>
        <v>-7.95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0.7</v>
      </c>
      <c r="AD49" s="291">
        <f t="shared" si="17"/>
        <v>627141.97</v>
      </c>
      <c r="AE49" s="291">
        <f>'Reporte Componentes R1'!F497</f>
        <v>627141.97</v>
      </c>
      <c r="AF49" s="322">
        <f t="shared" ref="AF49:AF51" si="19">SUM(U49:AD49)</f>
        <v>1022394.56</v>
      </c>
      <c r="AG49" s="323">
        <f t="shared" ref="AG49:AG51" si="20">(AF49-O49)</f>
        <v>-1.1641532182693481E-10</v>
      </c>
      <c r="AH49" s="1" t="b">
        <f t="shared" si="18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3610007</v>
      </c>
      <c r="E50" s="292">
        <f>'Reporte Componentes R1'!G704</f>
        <v>257262.75</v>
      </c>
      <c r="F50" s="292">
        <f>'Reporte Componentes R1'!H704</f>
        <v>144117.51999999999</v>
      </c>
      <c r="G50" s="292">
        <f>'Reporte Componentes R1'!I704</f>
        <v>78318.55</v>
      </c>
      <c r="H50" s="292">
        <f>'Reporte Componentes R1'!J704</f>
        <v>797142.56</v>
      </c>
      <c r="I50" s="292">
        <f>'Reporte Componentes R1'!K704</f>
        <v>26303.65</v>
      </c>
      <c r="J50" s="288">
        <v>0</v>
      </c>
      <c r="K50" s="295">
        <f t="shared" si="15"/>
        <v>2306861.9700000002</v>
      </c>
      <c r="L50" s="294">
        <v>0</v>
      </c>
      <c r="M50" s="295">
        <f>K50-L50</f>
        <v>2306861.9700000002</v>
      </c>
      <c r="N50" s="294">
        <f>'Reporte Componentes R1'!L704</f>
        <v>0</v>
      </c>
      <c r="O50" s="295">
        <f t="shared" si="16"/>
        <v>2306861.9700000002</v>
      </c>
      <c r="Q50" s="306"/>
      <c r="S50" s="314">
        <v>4</v>
      </c>
      <c r="T50" s="315" t="s">
        <v>13</v>
      </c>
      <c r="U50" s="316">
        <f>'Reporte Componentes R1'!M704</f>
        <v>230741.2</v>
      </c>
      <c r="V50" s="317">
        <f>'Reporte Componentes R1'!N704</f>
        <v>257553.6</v>
      </c>
      <c r="W50" s="317">
        <f>'Reporte Componentes R1'!O704</f>
        <v>1317195.17</v>
      </c>
      <c r="X50" s="317">
        <f>'Reporte Componentes R1'!P704</f>
        <v>682944.24</v>
      </c>
      <c r="Y50" s="318">
        <f>'Reporte Componentes R1'!Q704</f>
        <v>44789.86</v>
      </c>
      <c r="Z50" s="319">
        <f>-L50</f>
        <v>0</v>
      </c>
      <c r="AA50" s="320">
        <f>'Reporte Componentes R1'!R704+'Reporte Componentes R1'!V704+'Reporte Componentes R1'!U704</f>
        <v>4.71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-88.74</v>
      </c>
      <c r="AD50" s="291">
        <f t="shared" si="17"/>
        <v>-226278.07</v>
      </c>
      <c r="AE50" s="291">
        <f>'Reporte Componentes R1'!F705</f>
        <v>-226278.07</v>
      </c>
      <c r="AF50" s="322">
        <f t="shared" si="19"/>
        <v>2306861.9699999997</v>
      </c>
      <c r="AG50" s="323">
        <f t="shared" si="20"/>
        <v>-4.6566128730773926E-10</v>
      </c>
      <c r="AH50" s="1" t="b">
        <f t="shared" si="18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61046127</v>
      </c>
      <c r="E52" s="290">
        <f t="shared" si="21"/>
        <v>8103837.8100000005</v>
      </c>
      <c r="F52" s="290">
        <f t="shared" si="21"/>
        <v>4562832.4499999993</v>
      </c>
      <c r="G52" s="290">
        <f t="shared" ref="G52" si="22">SUM(G47:G51)</f>
        <v>2422721.2999999993</v>
      </c>
      <c r="H52" s="290">
        <f t="shared" si="21"/>
        <v>937978.33000000007</v>
      </c>
      <c r="I52" s="290">
        <f t="shared" si="21"/>
        <v>30362.550000000003</v>
      </c>
      <c r="J52" s="290">
        <f t="shared" si="21"/>
        <v>0</v>
      </c>
      <c r="K52" s="300">
        <f t="shared" si="21"/>
        <v>44988394.560000002</v>
      </c>
      <c r="L52" s="301">
        <f t="shared" si="21"/>
        <v>0</v>
      </c>
      <c r="M52" s="302">
        <f t="shared" si="21"/>
        <v>44988394.560000002</v>
      </c>
      <c r="N52" s="301">
        <f t="shared" si="21"/>
        <v>0</v>
      </c>
      <c r="O52" s="302">
        <f t="shared" si="21"/>
        <v>44988394.560000002</v>
      </c>
      <c r="P52" s="329"/>
      <c r="Q52" s="306"/>
      <c r="S52" s="327"/>
      <c r="T52" s="328" t="s">
        <v>2</v>
      </c>
      <c r="U52" s="330">
        <f>SUM(U47:U51)</f>
        <v>266350.41000000003</v>
      </c>
      <c r="V52" s="330">
        <f t="shared" ref="V52:AG52" si="23">SUM(V47:V51)</f>
        <v>298642.18</v>
      </c>
      <c r="W52" s="330">
        <f t="shared" si="23"/>
        <v>1508706.89</v>
      </c>
      <c r="X52" s="330">
        <f t="shared" si="23"/>
        <v>16487545.120000001</v>
      </c>
      <c r="Y52" s="330">
        <f t="shared" si="23"/>
        <v>51412.18</v>
      </c>
      <c r="Z52" s="290">
        <f t="shared" si="23"/>
        <v>0</v>
      </c>
      <c r="AA52" s="290">
        <f t="shared" si="23"/>
        <v>-3.0200000000000005</v>
      </c>
      <c r="AB52" s="290">
        <f t="shared" si="23"/>
        <v>0</v>
      </c>
      <c r="AC52" s="290">
        <f t="shared" si="23"/>
        <v>-88.039999999999992</v>
      </c>
      <c r="AD52" s="290">
        <f>SUM(AD47:AD51)</f>
        <v>26375828.839999996</v>
      </c>
      <c r="AE52" s="290">
        <f>SUM(AE47:AE51)</f>
        <v>26375828.839999996</v>
      </c>
      <c r="AF52" s="331">
        <f t="shared" si="23"/>
        <v>44988394.559999995</v>
      </c>
      <c r="AG52" s="332">
        <f t="shared" si="23"/>
        <v>-8.0399331636726856E-9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18612656.780000001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-15533961.699999999</v>
      </c>
      <c r="E66" s="292">
        <f>'Reversion Pagos R4'!E85</f>
        <v>-793724.01</v>
      </c>
      <c r="F66" s="292">
        <f>'Reversion Pagos R4'!F85</f>
        <v>-444038.25</v>
      </c>
      <c r="G66" s="292">
        <f>'Reversion Pagos R4'!G85</f>
        <v>-235437.54</v>
      </c>
      <c r="H66" s="292">
        <f>'Reversion Pagos R4'!H85</f>
        <v>-3814145.68</v>
      </c>
      <c r="I66" s="292">
        <f>'Reversion Pagos R4'!I85</f>
        <v>-140234.1</v>
      </c>
      <c r="J66" s="309">
        <v>0</v>
      </c>
      <c r="K66" s="293">
        <f>D66-E66-F66-G66-H66-I66-J66</f>
        <v>-10106382.120000001</v>
      </c>
      <c r="L66" s="294">
        <v>0</v>
      </c>
      <c r="M66" s="293">
        <f>K66-L66</f>
        <v>-10106382.120000001</v>
      </c>
      <c r="N66" s="294">
        <f>'Reversion Pagos R4'!P85</f>
        <v>0</v>
      </c>
      <c r="O66" s="293">
        <f>M66+N66</f>
        <v>-10106382.120000001</v>
      </c>
      <c r="Q66" s="306"/>
      <c r="S66" s="303">
        <v>1</v>
      </c>
      <c r="T66" s="304" t="s">
        <v>10</v>
      </c>
      <c r="U66" s="307">
        <f>'Reversion Pagos R4'!J85</f>
        <v>-1243696.27</v>
      </c>
      <c r="V66" s="308">
        <f>'Reversion Pagos R4'!K85</f>
        <v>-1203871</v>
      </c>
      <c r="W66" s="308">
        <f>'Reversion Pagos R4'!L85</f>
        <v>-5528843.9900000002</v>
      </c>
      <c r="X66" s="308">
        <f>'Reversion Pagos R4'!M85</f>
        <v>-2184189.35</v>
      </c>
      <c r="Y66" s="309">
        <f>'Reversion Pagos R4'!N85</f>
        <v>-229854.06</v>
      </c>
      <c r="Z66" s="310">
        <f>-L66</f>
        <v>0</v>
      </c>
      <c r="AA66" s="311">
        <f>+'Reversion Pagos R4'!O85</f>
        <v>111.04</v>
      </c>
      <c r="AB66" s="294">
        <f>N66</f>
        <v>0</v>
      </c>
      <c r="AC66" s="311">
        <f>+'Reversion Pagos R4'!Q85+'Reversion Pagos R4'!R85</f>
        <v>0</v>
      </c>
      <c r="AD66" s="291">
        <f>-J66+AE66</f>
        <v>283961.51</v>
      </c>
      <c r="AE66" s="291">
        <f>'Reversion Pagos R4'!D86</f>
        <v>283961.51</v>
      </c>
      <c r="AF66" s="313">
        <f>SUM(U66:AD66)</f>
        <v>-10106382.120000001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-70779009</v>
      </c>
      <c r="E67" s="292">
        <f>'Reversion Pagos R4'!E186</f>
        <v>-15837976.050000001</v>
      </c>
      <c r="F67" s="292">
        <f>'Reversion Pagos R4'!F186</f>
        <v>-7358007.8200000003</v>
      </c>
      <c r="G67" s="292">
        <f>'Reversion Pagos R4'!G186</f>
        <v>-4026740.13</v>
      </c>
      <c r="H67" s="292">
        <f>'Reversion Pagos R4'!H186</f>
        <v>-3253504.04</v>
      </c>
      <c r="I67" s="292">
        <f>'Reversion Pagos R4'!I186</f>
        <v>-117278.95</v>
      </c>
      <c r="J67" s="288">
        <v>0</v>
      </c>
      <c r="K67" s="295">
        <f t="shared" ref="K67:K70" si="24">D67-E67-F67-G67-H67-I67-J67</f>
        <v>-40185502.009999998</v>
      </c>
      <c r="L67" s="294">
        <v>0</v>
      </c>
      <c r="M67" s="295">
        <f>K67-L67</f>
        <v>-40185502.009999998</v>
      </c>
      <c r="N67" s="294">
        <f>'Reversion Pagos R4'!P186</f>
        <v>0</v>
      </c>
      <c r="O67" s="295">
        <f t="shared" ref="O67:O70" si="25">M67+N67</f>
        <v>-40185502.009999998</v>
      </c>
      <c r="Q67" s="306"/>
      <c r="S67" s="314">
        <v>2</v>
      </c>
      <c r="T67" s="315" t="s">
        <v>11</v>
      </c>
      <c r="U67" s="316">
        <f>'Reversion Pagos R4'!J186</f>
        <v>-1030358.55</v>
      </c>
      <c r="V67" s="317">
        <f>'Reversion Pagos R4'!K186</f>
        <v>-1031768.99</v>
      </c>
      <c r="W67" s="317">
        <f>'Reversion Pagos R4'!L186</f>
        <v>-4830594.83</v>
      </c>
      <c r="X67" s="317">
        <f>'Reversion Pagos R4'!M186</f>
        <v>-32110042.210000001</v>
      </c>
      <c r="Y67" s="318">
        <f>'Reversion Pagos R4'!N186</f>
        <v>-191350.21</v>
      </c>
      <c r="Z67" s="319">
        <f t="shared" ref="Z67:Z70" si="26">-L67</f>
        <v>0</v>
      </c>
      <c r="AA67" s="320">
        <f>'Reversion Pagos R4'!O186</f>
        <v>23.74</v>
      </c>
      <c r="AB67" s="294">
        <f t="shared" ref="AB67:AB70" si="27">N67</f>
        <v>0</v>
      </c>
      <c r="AC67" s="320">
        <f>'Reversion Pagos R4'!Q186+'Reversion Pagos R4'!R186</f>
        <v>0</v>
      </c>
      <c r="AD67" s="291">
        <f t="shared" ref="AD67:AD70" si="28">-J67+AE67</f>
        <v>-991410.96</v>
      </c>
      <c r="AE67" s="291">
        <f>'Reversion Pagos R4'!D187</f>
        <v>-991410.96</v>
      </c>
      <c r="AF67" s="322">
        <f>SUM(U67:AD67)</f>
        <v>-40185502.009999998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-32004320</v>
      </c>
      <c r="E68" s="292">
        <f>'Reversion Pagos R4'!E223</f>
        <v>-2340537.3199999998</v>
      </c>
      <c r="F68" s="292">
        <f>'Reversion Pagos R4'!F223</f>
        <v>-1296820.46</v>
      </c>
      <c r="G68" s="292">
        <f>'Reversion Pagos R4'!G223</f>
        <v>-688419.35</v>
      </c>
      <c r="H68" s="292">
        <f>'Reversion Pagos R4'!H223</f>
        <v>-5532000.4000000004</v>
      </c>
      <c r="I68" s="292">
        <f>'Reversion Pagos R4'!I223</f>
        <v>-205312.19</v>
      </c>
      <c r="J68" s="288">
        <v>0</v>
      </c>
      <c r="K68" s="295">
        <f t="shared" si="24"/>
        <v>-21941230.279999997</v>
      </c>
      <c r="L68" s="294">
        <v>0</v>
      </c>
      <c r="M68" s="295">
        <f>K68-L68</f>
        <v>-21941230.279999997</v>
      </c>
      <c r="N68" s="294">
        <f>'Reversion Pagos R4'!P223</f>
        <v>0</v>
      </c>
      <c r="O68" s="295">
        <f t="shared" si="25"/>
        <v>-21941230.279999997</v>
      </c>
      <c r="Q68" s="306"/>
      <c r="S68" s="314">
        <v>3</v>
      </c>
      <c r="T68" s="315" t="s">
        <v>12</v>
      </c>
      <c r="U68" s="316">
        <f>'Reversion Pagos R4'!J223</f>
        <v>-1808499.37</v>
      </c>
      <c r="V68" s="317">
        <f>'Reversion Pagos R4'!K223</f>
        <v>-1737951.36</v>
      </c>
      <c r="W68" s="317">
        <f>'Reversion Pagos R4'!L223</f>
        <v>-8173269.9000000004</v>
      </c>
      <c r="X68" s="317">
        <f>'Reversion Pagos R4'!M223</f>
        <v>-5453141.6200000001</v>
      </c>
      <c r="Y68" s="318">
        <f>'Reversion Pagos R4'!N223</f>
        <v>-337646.88</v>
      </c>
      <c r="Z68" s="319">
        <f t="shared" si="26"/>
        <v>0</v>
      </c>
      <c r="AA68" s="320">
        <f>'Reversion Pagos R4'!O223</f>
        <v>-127.97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-4430593.18</v>
      </c>
      <c r="AE68" s="291">
        <f>'Reversion Pagos R4'!D224</f>
        <v>-4430593.18</v>
      </c>
      <c r="AF68" s="322">
        <f t="shared" ref="AF68:AF70" si="30">SUM(U68:AD68)</f>
        <v>-21941230.279999997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-29768645.890000001</v>
      </c>
      <c r="E69" s="292">
        <f>'Reversion Pagos R4'!E338</f>
        <v>-2979733</v>
      </c>
      <c r="F69" s="292">
        <f>'Reversion Pagos R4'!F338</f>
        <v>-1487124.52</v>
      </c>
      <c r="G69" s="292">
        <f>'Reversion Pagos R4'!G338</f>
        <v>-685656.31</v>
      </c>
      <c r="H69" s="292">
        <f>'Reversion Pagos R4'!H338</f>
        <v>-5741813.8499999996</v>
      </c>
      <c r="I69" s="292">
        <f>'Reversion Pagos R4'!I338</f>
        <v>-212062.94</v>
      </c>
      <c r="J69" s="288">
        <v>0</v>
      </c>
      <c r="K69" s="295">
        <f t="shared" si="24"/>
        <v>-18662255.27</v>
      </c>
      <c r="L69" s="294">
        <v>0</v>
      </c>
      <c r="M69" s="295">
        <f>K69-L69</f>
        <v>-18662255.27</v>
      </c>
      <c r="N69" s="294">
        <f>'Reversion Pagos R4'!P338</f>
        <v>0</v>
      </c>
      <c r="O69" s="295">
        <f t="shared" si="25"/>
        <v>-18662255.27</v>
      </c>
      <c r="Q69" s="306"/>
      <c r="S69" s="314">
        <v>4</v>
      </c>
      <c r="T69" s="315" t="s">
        <v>13</v>
      </c>
      <c r="U69" s="316">
        <f>'Reversion Pagos R4'!J338</f>
        <v>-1844890.36</v>
      </c>
      <c r="V69" s="317">
        <f>'Reversion Pagos R4'!K338</f>
        <v>-1940190.03</v>
      </c>
      <c r="W69" s="317">
        <f>'Reversion Pagos R4'!L338</f>
        <v>-8829559.8200000003</v>
      </c>
      <c r="X69" s="317">
        <f>'Reversion Pagos R4'!M338</f>
        <v>-7875657.4699999997</v>
      </c>
      <c r="Y69" s="318">
        <f>'Reversion Pagos R4'!N338</f>
        <v>-346018.31</v>
      </c>
      <c r="Z69" s="319">
        <f t="shared" si="26"/>
        <v>0</v>
      </c>
      <c r="AA69" s="320">
        <f>'Reversion Pagos R4'!O338</f>
        <v>-21.79</v>
      </c>
      <c r="AB69" s="294">
        <f t="shared" si="27"/>
        <v>0</v>
      </c>
      <c r="AC69" s="320">
        <f>'Reversion Pagos R4'!Q338+'Reversion Pagos R4'!R338</f>
        <v>-0.28999999999999998</v>
      </c>
      <c r="AD69" s="291">
        <f t="shared" si="28"/>
        <v>2174082.7999999998</v>
      </c>
      <c r="AE69" s="291">
        <f>'Reversion Pagos R4'!D339</f>
        <v>2174082.7999999998</v>
      </c>
      <c r="AF69" s="322">
        <f>SUM(U69:AD69)</f>
        <v>-18662255.269999996</v>
      </c>
      <c r="AG69" s="323">
        <f>(AF69-O69)</f>
        <v>3.7252902984619141E-9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-2065600</v>
      </c>
      <c r="E70" s="297">
        <f>'Reversion Pagos R4'!E379</f>
        <v>-131268.72</v>
      </c>
      <c r="F70" s="297">
        <f>'Reversion Pagos R4'!F379</f>
        <v>-73999.75</v>
      </c>
      <c r="G70" s="297">
        <f>'Reversion Pagos R4'!G379</f>
        <v>-38388.879999999997</v>
      </c>
      <c r="H70" s="297">
        <f>'Reversion Pagos R4'!H379</f>
        <v>-517154.17</v>
      </c>
      <c r="I70" s="297">
        <f>'Reversion Pagos R4'!I379</f>
        <v>-20620.099999999999</v>
      </c>
      <c r="J70" s="289">
        <v>0</v>
      </c>
      <c r="K70" s="295">
        <f t="shared" si="24"/>
        <v>-1284168.3800000001</v>
      </c>
      <c r="L70" s="294">
        <v>0</v>
      </c>
      <c r="M70" s="298">
        <f>K70-L70</f>
        <v>-1284168.3800000001</v>
      </c>
      <c r="N70" s="294">
        <f>'Reversion Pagos R4'!P379</f>
        <v>0</v>
      </c>
      <c r="O70" s="298">
        <f t="shared" si="25"/>
        <v>-1284168.3800000001</v>
      </c>
      <c r="Q70" s="306"/>
      <c r="S70" s="324">
        <v>5</v>
      </c>
      <c r="T70" s="325" t="s">
        <v>14</v>
      </c>
      <c r="U70" s="296">
        <f>'Reversion Pagos R4'!J379</f>
        <v>-180880.17</v>
      </c>
      <c r="V70" s="297">
        <f>'Reversion Pagos R4'!K379</f>
        <v>-177121.01</v>
      </c>
      <c r="W70" s="297">
        <f>'Reversion Pagos R4'!L379</f>
        <v>-904166.17</v>
      </c>
      <c r="X70" s="297">
        <f>'Reversion Pagos R4'!M379</f>
        <v>-384256.35</v>
      </c>
      <c r="Y70" s="289">
        <f>'Reversion Pagos R4'!N379</f>
        <v>-33643.24</v>
      </c>
      <c r="Z70" s="319">
        <f t="shared" si="26"/>
        <v>0</v>
      </c>
      <c r="AA70" s="320">
        <f>'Reversion Pagos R4'!O379</f>
        <v>8.7899999999999991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395889.77</v>
      </c>
      <c r="AE70" s="291">
        <f>'Reversion Pagos R4'!D380</f>
        <v>395889.77</v>
      </c>
      <c r="AF70" s="322">
        <f t="shared" si="30"/>
        <v>-1284168.3800000001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-150151536.59</v>
      </c>
      <c r="E71" s="290">
        <f t="shared" si="32"/>
        <v>-22083239.099999998</v>
      </c>
      <c r="F71" s="290">
        <f t="shared" si="32"/>
        <v>-10659990.800000001</v>
      </c>
      <c r="G71" s="290">
        <f t="shared" si="32"/>
        <v>-5674642.21</v>
      </c>
      <c r="H71" s="290">
        <f t="shared" si="32"/>
        <v>-18858618.140000001</v>
      </c>
      <c r="I71" s="290">
        <f t="shared" si="32"/>
        <v>-695508.27999999991</v>
      </c>
      <c r="J71" s="290">
        <f t="shared" si="32"/>
        <v>0</v>
      </c>
      <c r="K71" s="300">
        <f t="shared" si="32"/>
        <v>-92179538.059999987</v>
      </c>
      <c r="L71" s="301">
        <f t="shared" si="32"/>
        <v>0</v>
      </c>
      <c r="M71" s="302">
        <f t="shared" si="32"/>
        <v>-92179538.059999987</v>
      </c>
      <c r="N71" s="301">
        <f t="shared" si="32"/>
        <v>0</v>
      </c>
      <c r="O71" s="302">
        <f t="shared" si="32"/>
        <v>-92179538.059999987</v>
      </c>
      <c r="P71" s="329"/>
      <c r="Q71" s="306"/>
      <c r="S71" s="327"/>
      <c r="T71" s="328" t="s">
        <v>2</v>
      </c>
      <c r="U71" s="330">
        <f>SUM(U66:U70)</f>
        <v>-6108324.7200000007</v>
      </c>
      <c r="V71" s="330">
        <f t="shared" ref="V71:AG71" si="33">SUM(V66:V70)</f>
        <v>-6090902.3900000006</v>
      </c>
      <c r="W71" s="330">
        <f t="shared" si="33"/>
        <v>-28266434.710000001</v>
      </c>
      <c r="X71" s="330">
        <f t="shared" si="33"/>
        <v>-48007287</v>
      </c>
      <c r="Y71" s="330">
        <f t="shared" si="33"/>
        <v>-1138512.7</v>
      </c>
      <c r="Z71" s="290">
        <f t="shared" si="33"/>
        <v>0</v>
      </c>
      <c r="AA71" s="290">
        <f>SUM(AA66:AA70)</f>
        <v>-6.1899999999999977</v>
      </c>
      <c r="AB71" s="290">
        <f t="shared" si="33"/>
        <v>0</v>
      </c>
      <c r="AC71" s="290">
        <f t="shared" ref="AC71" si="34">SUM(AC66:AC70)</f>
        <v>-0.28999999999999998</v>
      </c>
      <c r="AD71" s="290">
        <f>SUM(AD66:AD70)</f>
        <v>-2568070.06</v>
      </c>
      <c r="AE71" s="290">
        <f>SUM(AE66:AE70)</f>
        <v>-2568070.06</v>
      </c>
      <c r="AF71" s="331">
        <f t="shared" si="33"/>
        <v>-92179538.059999987</v>
      </c>
      <c r="AG71" s="332">
        <f t="shared" si="33"/>
        <v>3.7252902984619141E-9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-89611461.519999996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973693.46</v>
      </c>
      <c r="E85" s="292">
        <f>'AJUSTES - SF-T'!E47</f>
        <v>65524.22</v>
      </c>
      <c r="F85" s="292">
        <f>'AJUSTES - SF-T'!F47</f>
        <v>36995.019999999997</v>
      </c>
      <c r="G85" s="292">
        <f>'AJUSTES - SF-T'!G47</f>
        <v>19417.650000000001</v>
      </c>
      <c r="H85" s="292">
        <f>'AJUSTES - SF-T'!H47</f>
        <v>156624.35</v>
      </c>
      <c r="I85" s="292">
        <f>'AJUSTES - SF-T'!I47</f>
        <v>5557.5</v>
      </c>
      <c r="J85" s="292">
        <f>'AJUSTES - SF-T'!J47</f>
        <v>0</v>
      </c>
      <c r="K85" s="292">
        <f>D85-E85-F85-G85-H85-I85-J85</f>
        <v>689574.72</v>
      </c>
      <c r="L85" s="294">
        <v>0</v>
      </c>
      <c r="M85" s="321">
        <f>K85-L85</f>
        <v>689574.72</v>
      </c>
      <c r="N85" s="321">
        <f>'AJUSTES - SF-T'!N47</f>
        <v>0</v>
      </c>
      <c r="O85" s="321">
        <f>M85+N85</f>
        <v>689574.72</v>
      </c>
      <c r="Q85" s="306"/>
      <c r="S85" s="303">
        <v>1</v>
      </c>
      <c r="T85" s="304" t="s">
        <v>10</v>
      </c>
      <c r="U85" s="312">
        <f>'AJUSTES - SF-T'!U47</f>
        <v>52109.79</v>
      </c>
      <c r="V85" s="312">
        <f>'AJUSTES - SF-T'!V47</f>
        <v>47607.03</v>
      </c>
      <c r="W85" s="312">
        <f>'AJUSTES - SF-T'!W47</f>
        <v>225441.17</v>
      </c>
      <c r="X85" s="312">
        <f>'AJUSTES - SF-T'!X47</f>
        <v>178429.31</v>
      </c>
      <c r="Y85" s="312">
        <f>'AJUSTES - SF-T'!Y47</f>
        <v>9067.43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176919.99</v>
      </c>
      <c r="AE85" s="294">
        <f>'AJUSTES - SF-T'!AD47</f>
        <v>176919.99</v>
      </c>
      <c r="AF85" s="363">
        <f>SUM(U85:AD85)</f>
        <v>689574.72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104231.83</v>
      </c>
      <c r="E87" s="292">
        <f>'AJUSTES - SF-T'!E49</f>
        <v>6620.63</v>
      </c>
      <c r="F87" s="292">
        <f>'AJUSTES - SF-T'!F49</f>
        <v>3738.02</v>
      </c>
      <c r="G87" s="292">
        <f>'AJUSTES - SF-T'!G49</f>
        <v>1961.98</v>
      </c>
      <c r="H87" s="292">
        <f>'AJUSTES - SF-T'!H49</f>
        <v>20927.5</v>
      </c>
      <c r="I87" s="292">
        <f>'AJUSTES - SF-T'!I49</f>
        <v>743.08</v>
      </c>
      <c r="J87" s="292">
        <f>'AJUSTES - SF-T'!J49</f>
        <v>0</v>
      </c>
      <c r="K87" s="292">
        <f>D87-E87-F87-G87-H87-I87-J87</f>
        <v>70240.62</v>
      </c>
      <c r="L87" s="294">
        <v>0</v>
      </c>
      <c r="M87" s="321">
        <f>K87-L87</f>
        <v>70240.62</v>
      </c>
      <c r="N87" s="321">
        <f>'AJUSTES - SF-T'!N49</f>
        <v>0</v>
      </c>
      <c r="O87" s="321">
        <f>M87+N87</f>
        <v>70240.62</v>
      </c>
      <c r="Q87" s="306"/>
      <c r="S87" s="314">
        <v>3</v>
      </c>
      <c r="T87" s="315" t="s">
        <v>12</v>
      </c>
      <c r="U87" s="320">
        <f>'AJUSTES - SF-T'!U49</f>
        <v>6518.28</v>
      </c>
      <c r="V87" s="320">
        <f>'AJUSTES - SF-T'!V49</f>
        <v>6410.86</v>
      </c>
      <c r="W87" s="320">
        <f>'AJUSTES - SF-T'!W49</f>
        <v>30349.1</v>
      </c>
      <c r="X87" s="320">
        <f>'AJUSTES - SF-T'!X49</f>
        <v>15383.1</v>
      </c>
      <c r="Y87" s="320">
        <f>'AJUSTES - SF-T'!Y49</f>
        <v>1212.4000000000001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10366.879999999999</v>
      </c>
      <c r="AE87" s="299">
        <f>'AJUSTES - SF-T'!AD49</f>
        <v>10366.879999999999</v>
      </c>
      <c r="AF87" s="365">
        <f>SUM(U87:AD87)</f>
        <v>70240.62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1077925.29</v>
      </c>
      <c r="E90" s="290">
        <f t="shared" si="40"/>
        <v>72144.850000000006</v>
      </c>
      <c r="F90" s="290">
        <f t="shared" si="40"/>
        <v>40733.039999999994</v>
      </c>
      <c r="G90" s="290">
        <f t="shared" si="40"/>
        <v>21379.63</v>
      </c>
      <c r="H90" s="290">
        <f t="shared" si="40"/>
        <v>177551.85</v>
      </c>
      <c r="I90" s="290">
        <f t="shared" si="40"/>
        <v>6300.58</v>
      </c>
      <c r="J90" s="290">
        <f t="shared" si="40"/>
        <v>0</v>
      </c>
      <c r="K90" s="300">
        <f t="shared" si="40"/>
        <v>759815.34</v>
      </c>
      <c r="L90" s="301">
        <f t="shared" si="40"/>
        <v>0</v>
      </c>
      <c r="M90" s="302">
        <f t="shared" si="40"/>
        <v>759815.34</v>
      </c>
      <c r="N90" s="301">
        <f t="shared" si="40"/>
        <v>0</v>
      </c>
      <c r="O90" s="302">
        <f t="shared" si="40"/>
        <v>759815.34</v>
      </c>
      <c r="P90" s="329"/>
      <c r="Q90" s="306"/>
      <c r="S90" s="327"/>
      <c r="T90" s="567" t="s">
        <v>2</v>
      </c>
      <c r="U90" s="330">
        <f>SUM(U85:U89)</f>
        <v>58628.07</v>
      </c>
      <c r="V90" s="330">
        <f t="shared" ref="V90:AG90" si="41">SUM(V85:V89)</f>
        <v>54017.89</v>
      </c>
      <c r="W90" s="568">
        <f t="shared" si="41"/>
        <v>255790.27000000002</v>
      </c>
      <c r="X90" s="330">
        <f t="shared" si="41"/>
        <v>193812.41</v>
      </c>
      <c r="Y90" s="330">
        <f t="shared" si="41"/>
        <v>10279.83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187286.87</v>
      </c>
      <c r="AE90" s="290">
        <f t="shared" si="41"/>
        <v>187286.87</v>
      </c>
      <c r="AF90" s="331">
        <f t="shared" si="41"/>
        <v>759815.34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572528.47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16643179604.779999</v>
      </c>
      <c r="E104" s="292">
        <f t="shared" si="43"/>
        <v>807895299.00000012</v>
      </c>
      <c r="F104" s="292">
        <f t="shared" si="43"/>
        <v>455912503.50999999</v>
      </c>
      <c r="G104" s="292">
        <f t="shared" si="43"/>
        <v>239329779.88</v>
      </c>
      <c r="H104" s="292">
        <f t="shared" si="43"/>
        <v>3761557796.75</v>
      </c>
      <c r="I104" s="292">
        <f t="shared" si="43"/>
        <v>132659753.62000002</v>
      </c>
      <c r="J104" s="292">
        <f t="shared" si="43"/>
        <v>-3589454665.5499997</v>
      </c>
      <c r="K104" s="293">
        <f>D104-E104-F104-G104-H104-I104-J104</f>
        <v>14835279137.569998</v>
      </c>
      <c r="L104" s="294">
        <f>L9+L28+L47+L66+L85</f>
        <v>189185988</v>
      </c>
      <c r="M104" s="293">
        <f>K104-L104</f>
        <v>14646093149.569998</v>
      </c>
      <c r="N104" s="294">
        <f>N9+N28+N47+N66+N85</f>
        <v>16516492.25</v>
      </c>
      <c r="O104" s="293">
        <f>M104+N104</f>
        <v>14662609641.819998</v>
      </c>
      <c r="Q104" s="306"/>
      <c r="S104" s="303">
        <v>1</v>
      </c>
      <c r="T104" s="304" t="s">
        <v>10</v>
      </c>
      <c r="U104" s="307">
        <f t="shared" ref="U104:AB108" si="44">U9+U28+U47+U66+U85</f>
        <v>1167429697.9300001</v>
      </c>
      <c r="V104" s="308">
        <f t="shared" si="44"/>
        <v>1119851344.1899998</v>
      </c>
      <c r="W104" s="308">
        <f t="shared" si="44"/>
        <v>5299081059.21</v>
      </c>
      <c r="X104" s="308">
        <f t="shared" si="44"/>
        <v>2189246770.6300006</v>
      </c>
      <c r="Y104" s="309">
        <f t="shared" si="44"/>
        <v>216286907.63999999</v>
      </c>
      <c r="Z104" s="310">
        <f t="shared" si="44"/>
        <v>-189185988</v>
      </c>
      <c r="AA104" s="311">
        <f>AA9+AA28+AA47+AA66+AA85</f>
        <v>-16656.379999999997</v>
      </c>
      <c r="AB104" s="294">
        <f>AB9+AB28+AB47+AB66+AB85</f>
        <v>16516492.25</v>
      </c>
      <c r="AC104" s="311">
        <f>AC9+AC28+AC47+AC66+AC85</f>
        <v>521.77</v>
      </c>
      <c r="AD104" s="291">
        <f>-J104+AE104</f>
        <v>4843399492.5799999</v>
      </c>
      <c r="AE104" s="291">
        <f>AE9+AE28+AE47+AE66+AE85</f>
        <v>1253944827.03</v>
      </c>
      <c r="AF104" s="313">
        <f>SUM(U104:AD104)</f>
        <v>14662609641.820002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19064501226.810005</v>
      </c>
      <c r="E105" s="292">
        <f t="shared" si="43"/>
        <v>1396129505.3300002</v>
      </c>
      <c r="F105" s="292">
        <f t="shared" si="43"/>
        <v>784878776.18999994</v>
      </c>
      <c r="G105" s="292">
        <f t="shared" si="43"/>
        <v>411247567.16000009</v>
      </c>
      <c r="H105" s="292">
        <f t="shared" si="43"/>
        <v>5582809669.8899994</v>
      </c>
      <c r="I105" s="292">
        <f t="shared" si="43"/>
        <v>216022487.64000002</v>
      </c>
      <c r="J105" s="292">
        <f t="shared" si="43"/>
        <v>-3241193714.1100001</v>
      </c>
      <c r="K105" s="295">
        <f t="shared" ref="K105:K108" si="45">D105-E105-F105-G105-H105-I105-J105</f>
        <v>13914606934.710005</v>
      </c>
      <c r="L105" s="294">
        <f>L10+L29+L48+L67+L86</f>
        <v>266580256</v>
      </c>
      <c r="M105" s="295">
        <f>K105-L105</f>
        <v>13648026678.710005</v>
      </c>
      <c r="N105" s="294">
        <f>N10+N29+N48+N67+N86</f>
        <v>24273229.890000001</v>
      </c>
      <c r="O105" s="295">
        <f t="shared" ref="O105:O108" si="46">M105+N105</f>
        <v>13672299908.600004</v>
      </c>
      <c r="Q105" s="306"/>
      <c r="S105" s="314">
        <v>2</v>
      </c>
      <c r="T105" s="315" t="s">
        <v>11</v>
      </c>
      <c r="U105" s="316">
        <f t="shared" si="44"/>
        <v>1893620444.5699999</v>
      </c>
      <c r="V105" s="317">
        <f t="shared" si="44"/>
        <v>1869892249.3700001</v>
      </c>
      <c r="W105" s="317">
        <f t="shared" si="44"/>
        <v>8814809316.3799992</v>
      </c>
      <c r="X105" s="317">
        <f t="shared" si="44"/>
        <v>2749999250.0999999</v>
      </c>
      <c r="Y105" s="318">
        <f t="shared" si="44"/>
        <v>352820304.41000003</v>
      </c>
      <c r="Z105" s="319">
        <f t="shared" si="44"/>
        <v>-266580256</v>
      </c>
      <c r="AA105" s="320">
        <f t="shared" si="44"/>
        <v>90135.24</v>
      </c>
      <c r="AB105" s="294">
        <f t="shared" si="44"/>
        <v>24273229.890000001</v>
      </c>
      <c r="AC105" s="320">
        <f t="shared" ref="AC105" si="47">AC10+AC29+AC48+AC67+AC86</f>
        <v>-109.61</v>
      </c>
      <c r="AD105" s="291">
        <f t="shared" ref="AD105:AD106" si="48">-J105+AE105</f>
        <v>-1766624655.7499995</v>
      </c>
      <c r="AE105" s="291">
        <f>AE10+AE29+AE48+AE67+AE86</f>
        <v>-5007818369.8599997</v>
      </c>
      <c r="AF105" s="322">
        <f>SUM(U105:AD105)</f>
        <v>13672299908.599998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13976635090.370001</v>
      </c>
      <c r="E106" s="292">
        <f t="shared" si="43"/>
        <v>985637596.05999994</v>
      </c>
      <c r="F106" s="292">
        <f t="shared" si="43"/>
        <v>555973895.94999993</v>
      </c>
      <c r="G106" s="292">
        <f t="shared" si="43"/>
        <v>292056214.65000004</v>
      </c>
      <c r="H106" s="292">
        <f t="shared" si="43"/>
        <v>3381560449.0999999</v>
      </c>
      <c r="I106" s="292">
        <f t="shared" si="43"/>
        <v>124524527.32000001</v>
      </c>
      <c r="J106" s="292">
        <f t="shared" si="43"/>
        <v>-853244564.50999999</v>
      </c>
      <c r="K106" s="295">
        <f t="shared" si="45"/>
        <v>9490126971.8000011</v>
      </c>
      <c r="L106" s="294">
        <f>L11+L30+L49+L68+L87</f>
        <v>154788536</v>
      </c>
      <c r="M106" s="295">
        <f>K106-L106</f>
        <v>9335338435.8000011</v>
      </c>
      <c r="N106" s="294">
        <f>N11+N30+N49+N68+N87</f>
        <v>13030575.5</v>
      </c>
      <c r="O106" s="295">
        <f t="shared" si="46"/>
        <v>9348369011.3000011</v>
      </c>
      <c r="Q106" s="306"/>
      <c r="S106" s="314">
        <v>3</v>
      </c>
      <c r="T106" s="315" t="s">
        <v>12</v>
      </c>
      <c r="U106" s="316">
        <f t="shared" si="44"/>
        <v>1092110322.45</v>
      </c>
      <c r="V106" s="317">
        <f t="shared" si="44"/>
        <v>1072670179.5</v>
      </c>
      <c r="W106" s="317">
        <f t="shared" si="44"/>
        <v>5077455755.5400009</v>
      </c>
      <c r="X106" s="317">
        <f t="shared" si="44"/>
        <v>2292038481.0500002</v>
      </c>
      <c r="Y106" s="318">
        <f t="shared" si="44"/>
        <v>203250483.36000001</v>
      </c>
      <c r="Z106" s="319">
        <f t="shared" si="44"/>
        <v>-154788536</v>
      </c>
      <c r="AA106" s="320">
        <f t="shared" si="44"/>
        <v>247376.99</v>
      </c>
      <c r="AB106" s="294">
        <f t="shared" si="44"/>
        <v>13030575.5</v>
      </c>
      <c r="AC106" s="320">
        <f t="shared" ref="AC106" si="50">AC11+AC30+AC49+AC68+AC87</f>
        <v>0.94</v>
      </c>
      <c r="AD106" s="291">
        <f t="shared" si="48"/>
        <v>-247645628.02999997</v>
      </c>
      <c r="AE106" s="291">
        <f>AE11+AE30+AE49+AE68+AE87</f>
        <v>-1100890192.54</v>
      </c>
      <c r="AF106" s="322">
        <f>SUM(U106:AD106)</f>
        <v>9348369011.3000011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6619403672.6899996</v>
      </c>
      <c r="E107" s="292">
        <f t="shared" si="43"/>
        <v>409065767.94999999</v>
      </c>
      <c r="F107" s="292">
        <f t="shared" si="43"/>
        <v>229023916.59999999</v>
      </c>
      <c r="G107" s="292">
        <f t="shared" si="43"/>
        <v>119897084.47999999</v>
      </c>
      <c r="H107" s="292">
        <f t="shared" si="43"/>
        <v>1538751149.1300001</v>
      </c>
      <c r="I107" s="292">
        <f t="shared" si="43"/>
        <v>60407359.210000001</v>
      </c>
      <c r="J107" s="292">
        <f t="shared" si="43"/>
        <v>-699882713.37000012</v>
      </c>
      <c r="K107" s="295">
        <f t="shared" si="45"/>
        <v>4962141108.6899996</v>
      </c>
      <c r="L107" s="294">
        <f>L12+L31+L50+L69+L88</f>
        <v>120391083</v>
      </c>
      <c r="M107" s="295">
        <f>K107-L107</f>
        <v>4841750025.6899996</v>
      </c>
      <c r="N107" s="294">
        <f>N12+N31+N50+N69+N88</f>
        <v>19208887.530000001</v>
      </c>
      <c r="O107" s="295">
        <f>M107+N107</f>
        <v>4860958913.2199993</v>
      </c>
      <c r="Q107" s="306"/>
      <c r="S107" s="314">
        <v>4</v>
      </c>
      <c r="T107" s="315" t="s">
        <v>13</v>
      </c>
      <c r="U107" s="316">
        <f t="shared" si="44"/>
        <v>528790659.44</v>
      </c>
      <c r="V107" s="317">
        <f t="shared" si="44"/>
        <v>522948481.87</v>
      </c>
      <c r="W107" s="317">
        <f t="shared" si="44"/>
        <v>2676043606.7200003</v>
      </c>
      <c r="X107" s="317">
        <f t="shared" si="44"/>
        <v>1082748026.71</v>
      </c>
      <c r="Y107" s="318">
        <f t="shared" si="44"/>
        <v>98745519.159999996</v>
      </c>
      <c r="Z107" s="319">
        <f t="shared" si="44"/>
        <v>-120391083</v>
      </c>
      <c r="AA107" s="320">
        <f>AA12+AA31+AA50+AA69+AA88</f>
        <v>-16918.300000000003</v>
      </c>
      <c r="AB107" s="294">
        <f t="shared" si="44"/>
        <v>19208887.530000001</v>
      </c>
      <c r="AC107" s="320">
        <f t="shared" ref="AC107" si="51">AC12+AC31+AC50+AC69+AC88</f>
        <v>-448.53000000000003</v>
      </c>
      <c r="AD107" s="291">
        <f t="shared" ref="AD107" si="52">-J107+AE107</f>
        <v>52882181.620000005</v>
      </c>
      <c r="AE107" s="291">
        <f>AE12+AE31+AE50+AE69+AE88</f>
        <v>-647000531.75000012</v>
      </c>
      <c r="AF107" s="322">
        <f t="shared" ref="AF107:AF108" si="53">SUM(U107:AD107)</f>
        <v>4860958913.2199993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11722516106.639999</v>
      </c>
      <c r="E108" s="297">
        <f t="shared" si="43"/>
        <v>698148323.5</v>
      </c>
      <c r="F108" s="297">
        <f t="shared" si="43"/>
        <v>393737772.47000003</v>
      </c>
      <c r="G108" s="297">
        <f t="shared" si="43"/>
        <v>206413295.53999999</v>
      </c>
      <c r="H108" s="297">
        <f t="shared" si="43"/>
        <v>2744218164.2200003</v>
      </c>
      <c r="I108" s="297">
        <f t="shared" si="43"/>
        <v>104708073.91000001</v>
      </c>
      <c r="J108" s="297">
        <f t="shared" si="43"/>
        <v>-82959023.660000086</v>
      </c>
      <c r="K108" s="295">
        <f t="shared" si="45"/>
        <v>7658249500.6599989</v>
      </c>
      <c r="L108" s="294">
        <f>L13+L32+L51+L70+L89</f>
        <v>128990446</v>
      </c>
      <c r="M108" s="298">
        <f>K108-L108</f>
        <v>7529259054.6599989</v>
      </c>
      <c r="N108" s="299">
        <f>N13+N32+N51+N70+N89</f>
        <v>8997077.0999999996</v>
      </c>
      <c r="O108" s="298">
        <f t="shared" si="46"/>
        <v>7538256131.7599993</v>
      </c>
      <c r="Q108" s="306"/>
      <c r="S108" s="324">
        <v>5</v>
      </c>
      <c r="T108" s="325" t="s">
        <v>14</v>
      </c>
      <c r="U108" s="296">
        <f t="shared" si="44"/>
        <v>917978792.29999995</v>
      </c>
      <c r="V108" s="297">
        <f t="shared" si="44"/>
        <v>899476756.96000004</v>
      </c>
      <c r="W108" s="297">
        <f t="shared" si="44"/>
        <v>4621907148.9099998</v>
      </c>
      <c r="X108" s="297">
        <f t="shared" si="44"/>
        <v>2074170432.3500001</v>
      </c>
      <c r="Y108" s="289">
        <f t="shared" si="44"/>
        <v>170858536.44999999</v>
      </c>
      <c r="Z108" s="319">
        <f t="shared" si="44"/>
        <v>-128990446</v>
      </c>
      <c r="AA108" s="320">
        <f t="shared" si="44"/>
        <v>-147049.65</v>
      </c>
      <c r="AB108" s="294">
        <f t="shared" si="44"/>
        <v>8997077.0999999996</v>
      </c>
      <c r="AC108" s="320">
        <f t="shared" ref="AC108" si="54">AC13+AC32+AC51+AC70+AC89</f>
        <v>-33.33</v>
      </c>
      <c r="AD108" s="291">
        <f>-J108+AE108</f>
        <v>-1025995083.3299999</v>
      </c>
      <c r="AE108" s="291">
        <f>AE13+AE32+AE51+AE70+AE89</f>
        <v>-1108954106.99</v>
      </c>
      <c r="AF108" s="322">
        <f t="shared" si="53"/>
        <v>7538256131.7600021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68026235701.290009</v>
      </c>
      <c r="E109" s="290">
        <f t="shared" ref="E109:O109" si="55">SUM(E104:E108)</f>
        <v>4296876491.8400002</v>
      </c>
      <c r="F109" s="290">
        <f t="shared" si="55"/>
        <v>2419526864.7199993</v>
      </c>
      <c r="G109" s="290">
        <f t="shared" si="55"/>
        <v>1268943941.71</v>
      </c>
      <c r="H109" s="290">
        <f t="shared" si="55"/>
        <v>17008897229.09</v>
      </c>
      <c r="I109" s="290">
        <f t="shared" si="55"/>
        <v>638322201.70000005</v>
      </c>
      <c r="J109" s="290">
        <f t="shared" si="55"/>
        <v>-8466734681.1999998</v>
      </c>
      <c r="K109" s="300">
        <f t="shared" si="55"/>
        <v>50860403653.43</v>
      </c>
      <c r="L109" s="301">
        <f t="shared" si="55"/>
        <v>859936309</v>
      </c>
      <c r="M109" s="302">
        <f t="shared" si="55"/>
        <v>50000467344.43</v>
      </c>
      <c r="N109" s="301">
        <f>SUM(N104:N108)</f>
        <v>82026262.269999996</v>
      </c>
      <c r="O109" s="302">
        <f t="shared" si="55"/>
        <v>50082493606.700005</v>
      </c>
      <c r="P109" s="329"/>
      <c r="Q109" s="306"/>
      <c r="S109" s="327"/>
      <c r="T109" s="328" t="s">
        <v>2</v>
      </c>
      <c r="U109" s="330">
        <f>SUM(U104:U108)</f>
        <v>5599929916.6899996</v>
      </c>
      <c r="V109" s="330">
        <f t="shared" ref="V109:AF109" si="56">SUM(V104:V108)</f>
        <v>5484839011.8900003</v>
      </c>
      <c r="W109" s="330">
        <f t="shared" si="56"/>
        <v>26489296886.760002</v>
      </c>
      <c r="X109" s="330">
        <f t="shared" si="56"/>
        <v>10388202960.84</v>
      </c>
      <c r="Y109" s="330">
        <f t="shared" si="56"/>
        <v>1041961751.02</v>
      </c>
      <c r="Z109" s="290">
        <f t="shared" si="56"/>
        <v>-859936309</v>
      </c>
      <c r="AA109" s="290">
        <f t="shared" si="56"/>
        <v>156887.9</v>
      </c>
      <c r="AB109" s="290">
        <f t="shared" si="56"/>
        <v>82026262.269999996</v>
      </c>
      <c r="AC109" s="290">
        <f t="shared" si="56"/>
        <v>-68.760000000000062</v>
      </c>
      <c r="AD109" s="290">
        <f t="shared" si="56"/>
        <v>1856016307.0900002</v>
      </c>
      <c r="AE109" s="290">
        <f>SUM(AE104:AE108)</f>
        <v>-6610718374.1099997</v>
      </c>
      <c r="AF109" s="331">
        <f t="shared" si="56"/>
        <v>50082493606.700005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49004230527.200005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83572548.25</v>
      </c>
      <c r="E125" s="111">
        <v>0</v>
      </c>
      <c r="G125" s="336">
        <f>D47+N47</f>
        <v>49580</v>
      </c>
      <c r="H125" s="310">
        <f>D28+N28</f>
        <v>97091142.519999996</v>
      </c>
      <c r="I125" s="309">
        <f>D85+N85</f>
        <v>973693.46</v>
      </c>
      <c r="J125" s="309">
        <f>D66+N66</f>
        <v>-15533961.699999999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44281124</v>
      </c>
      <c r="E126" s="74">
        <v>0</v>
      </c>
      <c r="G126" s="339">
        <f>D48+N48</f>
        <v>56078860</v>
      </c>
      <c r="H126" s="340">
        <f>D29+N29</f>
        <v>55676152.700000003</v>
      </c>
      <c r="I126" s="288">
        <f>D86+N86</f>
        <v>0</v>
      </c>
      <c r="J126" s="288">
        <f t="shared" ref="J126:J129" si="57">D67+N67</f>
        <v>-70779009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44039530</v>
      </c>
      <c r="E127" s="74">
        <v>0</v>
      </c>
      <c r="G127" s="339">
        <f>D49+N49</f>
        <v>1307680</v>
      </c>
      <c r="H127" s="340">
        <f>D30+N30</f>
        <v>10055662.040000001</v>
      </c>
      <c r="I127" s="288">
        <f>D87+N87</f>
        <v>104231.83</v>
      </c>
      <c r="J127" s="288">
        <f t="shared" si="57"/>
        <v>-32004320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48826052</v>
      </c>
      <c r="E128" s="74">
        <v>0</v>
      </c>
      <c r="G128" s="339">
        <f>D50+N50</f>
        <v>3610007</v>
      </c>
      <c r="H128" s="340">
        <f>D31+N31</f>
        <v>60774931.109999992</v>
      </c>
      <c r="I128" s="288">
        <f>D88+N88</f>
        <v>0</v>
      </c>
      <c r="J128" s="288">
        <f t="shared" si="57"/>
        <v>-29768645.890000001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15997915</v>
      </c>
      <c r="E129" s="139">
        <v>0</v>
      </c>
      <c r="G129" s="339">
        <f>D51+N51</f>
        <v>0</v>
      </c>
      <c r="H129" s="340">
        <f>D32+N32</f>
        <v>23423861.739999998</v>
      </c>
      <c r="I129" s="288">
        <f>D89+N89</f>
        <v>0</v>
      </c>
      <c r="J129" s="288">
        <f t="shared" si="57"/>
        <v>-2065600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236717169.25</v>
      </c>
      <c r="E131" s="107">
        <f>SUM(E125:E130)</f>
        <v>0</v>
      </c>
      <c r="F131" s="45"/>
      <c r="G131" s="350">
        <f t="shared" ref="G131" si="58">SUM(G125:G129)</f>
        <v>61046127</v>
      </c>
      <c r="H131" s="350">
        <f>SUM(H125:H130)</f>
        <v>247021750.10999998</v>
      </c>
      <c r="I131" s="350">
        <f>SUM(I125:I130)</f>
        <v>1077925.29</v>
      </c>
      <c r="J131" s="350">
        <f>SUM(J125:J130)</f>
        <v>-150151536.59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16743268645.279999</v>
      </c>
      <c r="E142" s="110">
        <f>'Recaudo ENEL'!F21</f>
        <v>16660688191</v>
      </c>
      <c r="F142" s="110">
        <f>D28+N28</f>
        <v>97091142.519999996</v>
      </c>
      <c r="G142" s="110">
        <f>D66+N66</f>
        <v>-15533961.699999999</v>
      </c>
      <c r="H142" s="110">
        <f>D85+N85</f>
        <v>973693.46</v>
      </c>
      <c r="I142" s="110">
        <f>('REPORTE RECAUDO x BANCO'!E62)</f>
        <v>0</v>
      </c>
      <c r="J142" s="110">
        <f t="shared" ref="J142:K146" si="59">G125</f>
        <v>49580</v>
      </c>
      <c r="K142" s="111">
        <f t="shared" si="59"/>
        <v>97091142.519999996</v>
      </c>
      <c r="L142" s="525">
        <f>D142-E142-F142-G142-J142-H142-I142</f>
        <v>-1.2172386050224304E-6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19133055580.700005</v>
      </c>
      <c r="E143" s="18">
        <f>'Recaudo ENEL'!F22</f>
        <v>19090710142</v>
      </c>
      <c r="F143" s="18">
        <f>D29+N29</f>
        <v>55676152.700000003</v>
      </c>
      <c r="G143" s="18">
        <f>D67+N67</f>
        <v>-70779009</v>
      </c>
      <c r="H143" s="18">
        <f>D86+N86</f>
        <v>0</v>
      </c>
      <c r="I143" s="18">
        <f>('REPORTE RECAUDO x BANCO'!E65)</f>
        <v>1369435</v>
      </c>
      <c r="J143" s="18">
        <f t="shared" si="59"/>
        <v>56078860</v>
      </c>
      <c r="K143" s="83">
        <f t="shared" si="59"/>
        <v>55676152.700000003</v>
      </c>
      <c r="L143" s="525">
        <f>D143-E143-F143-G143-J143-H143-I143</f>
        <v>4.5746564865112305E-6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14033705195.870001</v>
      </c>
      <c r="E144" s="18">
        <f>'Recaudo ENEL'!F23</f>
        <v>14027201822</v>
      </c>
      <c r="F144" s="18">
        <f>D30+N30</f>
        <v>10055662.040000001</v>
      </c>
      <c r="G144" s="18">
        <f>D68+N68</f>
        <v>-32004320</v>
      </c>
      <c r="H144" s="18">
        <f>D87+N87</f>
        <v>104231.83</v>
      </c>
      <c r="I144" s="18">
        <f>('REPORTE RECAUDO x BANCO'!E67)</f>
        <v>27040120</v>
      </c>
      <c r="J144" s="18">
        <f t="shared" si="59"/>
        <v>1307680</v>
      </c>
      <c r="K144" s="83">
        <f t="shared" si="59"/>
        <v>10055662.040000001</v>
      </c>
      <c r="L144" s="525">
        <f>D144-E144-F144-G144-J144-H144-I144</f>
        <v>8.4191560745239258E-7</v>
      </c>
      <c r="M144" s="1" t="b">
        <f t="shared" si="60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6687438612.2199993</v>
      </c>
      <c r="E145" s="18">
        <f>'Recaudo ENEL'!F24</f>
        <v>6640391410</v>
      </c>
      <c r="F145" s="18">
        <f>D31+N31</f>
        <v>60774931.109999992</v>
      </c>
      <c r="G145" s="18">
        <f>D69+N69</f>
        <v>-29768645.890000001</v>
      </c>
      <c r="H145" s="18">
        <f>D88+N88</f>
        <v>0</v>
      </c>
      <c r="I145" s="18">
        <f>('REPORTE RECAUDO x BANCO'!E70)</f>
        <v>12430910</v>
      </c>
      <c r="J145" s="18">
        <f t="shared" si="59"/>
        <v>3610007</v>
      </c>
      <c r="K145" s="83">
        <f t="shared" si="59"/>
        <v>60774931.109999992</v>
      </c>
      <c r="L145" s="525">
        <f>D145-E145-F145-G145-J145-H145-I145</f>
        <v>-6.7800283432006836E-7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11747511098.74</v>
      </c>
      <c r="E146" s="18">
        <f>'Recaudo ENEL'!F25</f>
        <v>11725626627</v>
      </c>
      <c r="F146" s="134">
        <f>D32+N32</f>
        <v>23423861.739999998</v>
      </c>
      <c r="G146" s="134">
        <f>D70+N70</f>
        <v>-2065600</v>
      </c>
      <c r="H146" s="134">
        <f>D89+N89</f>
        <v>0</v>
      </c>
      <c r="I146" s="134">
        <f>('REPORTE RECAUDO x BANCO'!E72)</f>
        <v>526210</v>
      </c>
      <c r="J146" s="134">
        <f t="shared" si="59"/>
        <v>0</v>
      </c>
      <c r="K146" s="136">
        <f t="shared" si="59"/>
        <v>23423861.739999998</v>
      </c>
      <c r="L146" s="525">
        <f>D146-E146-F146-G146-J146-H146-I146</f>
        <v>-2.2724270820617676E-7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68344979132.810005</v>
      </c>
      <c r="E147" s="47">
        <f>SUM(E142:E146)</f>
        <v>68144618192</v>
      </c>
      <c r="F147" s="47">
        <f t="shared" ref="F147:K147" si="61">SUM(F142:F146)</f>
        <v>247021750.10999998</v>
      </c>
      <c r="G147" s="47">
        <f t="shared" si="61"/>
        <v>-150151536.59</v>
      </c>
      <c r="H147" s="47">
        <f t="shared" si="61"/>
        <v>1077925.29</v>
      </c>
      <c r="I147" s="47">
        <f t="shared" si="61"/>
        <v>41366675</v>
      </c>
      <c r="J147" s="47">
        <f t="shared" si="61"/>
        <v>61046127</v>
      </c>
      <c r="K147" s="47">
        <f t="shared" si="61"/>
        <v>247021750.10999998</v>
      </c>
      <c r="L147" s="525">
        <f>SUM(L142:L146)</f>
        <v>3.2940879464149475E-6</v>
      </c>
      <c r="M147" s="1" t="b">
        <f t="shared" si="60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ENEL'!F21</f>
        <v>16660688191</v>
      </c>
      <c r="D3" s="292">
        <f>REMUNERACION_ENEL!G125</f>
        <v>49580</v>
      </c>
      <c r="E3" s="292">
        <f>REMUNERACION_ENEL!D28+REMUNERACION_ENEL!N28</f>
        <v>97091142.519999996</v>
      </c>
      <c r="F3" s="292">
        <f>REMUNERACION_ENEL!I142</f>
        <v>0</v>
      </c>
      <c r="G3" s="292">
        <f>REMUNERACION_ENEL!H142</f>
        <v>973693.46</v>
      </c>
      <c r="H3" s="340">
        <f>SUM(C3:G3)</f>
        <v>16758802606.98</v>
      </c>
      <c r="I3" s="291">
        <f>REMUNERACION_ENEL!D104</f>
        <v>16643179604.779999</v>
      </c>
      <c r="J3" s="292">
        <f>REMUNERACION_ENEL!N104</f>
        <v>16516492.25</v>
      </c>
      <c r="K3" s="292">
        <f>REMUNERACION_ENEL!D125</f>
        <v>83572548.25</v>
      </c>
      <c r="L3" s="353">
        <f>REMUNERACION_ENEL!E125</f>
        <v>0</v>
      </c>
      <c r="M3" s="292">
        <f>-REMUNERACION_ENEL!D66-REMUNERACION_ENEL!N66</f>
        <v>15533961.699999999</v>
      </c>
      <c r="N3" s="288">
        <f>SUM(I3:M3)</f>
        <v>16758802606.98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ENEL'!F22</f>
        <v>19090710142</v>
      </c>
      <c r="D4" s="292">
        <f>REMUNERACION_ENEL!G126</f>
        <v>56078860</v>
      </c>
      <c r="E4" s="292">
        <f>REMUNERACION_ENEL!D29+REMUNERACION_ENEL!N29</f>
        <v>55676152.700000003</v>
      </c>
      <c r="F4" s="292">
        <f>REMUNERACION_ENEL!I143</f>
        <v>1369435</v>
      </c>
      <c r="G4" s="292">
        <f>REMUNERACION_ENEL!H143</f>
        <v>0</v>
      </c>
      <c r="H4" s="340">
        <f t="shared" ref="H4:H8" si="1">SUM(C4:G4)</f>
        <v>19203834589.700001</v>
      </c>
      <c r="I4" s="291">
        <f>REMUNERACION_ENEL!D105</f>
        <v>19064501226.810005</v>
      </c>
      <c r="J4" s="292">
        <f>REMUNERACION_ENEL!N105</f>
        <v>24273229.890000001</v>
      </c>
      <c r="K4" s="292">
        <f>REMUNERACION_ENEL!D126</f>
        <v>44281124</v>
      </c>
      <c r="L4" s="353">
        <f>REMUNERACION_ENEL!E126</f>
        <v>0</v>
      </c>
      <c r="M4" s="292">
        <f>-REMUNERACION_ENEL!D67-REMUNERACION_ENEL!N67</f>
        <v>70779009</v>
      </c>
      <c r="N4" s="318">
        <f>SUM(I4:M4)</f>
        <v>19203834589.700005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ENEL'!F23</f>
        <v>14027201822</v>
      </c>
      <c r="D5" s="292">
        <f>REMUNERACION_ENEL!G127</f>
        <v>1307680</v>
      </c>
      <c r="E5" s="292">
        <f>REMUNERACION_ENEL!D30+REMUNERACION_ENEL!N30</f>
        <v>10055662.040000001</v>
      </c>
      <c r="F5" s="292">
        <f>REMUNERACION_ENEL!I144</f>
        <v>27040120</v>
      </c>
      <c r="G5" s="292">
        <f>REMUNERACION_ENEL!H144</f>
        <v>104231.83</v>
      </c>
      <c r="H5" s="340">
        <f t="shared" si="1"/>
        <v>14065709515.870001</v>
      </c>
      <c r="I5" s="291">
        <f>REMUNERACION_ENEL!D106</f>
        <v>13976635090.370001</v>
      </c>
      <c r="J5" s="292">
        <f>REMUNERACION_ENEL!N106</f>
        <v>13030575.5</v>
      </c>
      <c r="K5" s="292">
        <f>REMUNERACION_ENEL!D127</f>
        <v>44039530</v>
      </c>
      <c r="L5" s="353">
        <f>REMUNERACION_ENEL!E127</f>
        <v>0</v>
      </c>
      <c r="M5" s="292">
        <f>-REMUNERACION_ENEL!D68-REMUNERACION_ENEL!N68</f>
        <v>32004320</v>
      </c>
      <c r="N5" s="318">
        <f>SUM(I5:M5)</f>
        <v>14065709515.870001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ENEL'!F24</f>
        <v>6640391410</v>
      </c>
      <c r="D6" s="292">
        <f>REMUNERACION_ENEL!G128</f>
        <v>3610007</v>
      </c>
      <c r="E6" s="292">
        <f>REMUNERACION_ENEL!D31+REMUNERACION_ENEL!N31</f>
        <v>60774931.109999992</v>
      </c>
      <c r="F6" s="292">
        <f>REMUNERACION_ENEL!I145</f>
        <v>12430910</v>
      </c>
      <c r="G6" s="292">
        <f>REMUNERACION_ENEL!H145</f>
        <v>0</v>
      </c>
      <c r="H6" s="340">
        <f t="shared" si="1"/>
        <v>6717207258.1099997</v>
      </c>
      <c r="I6" s="291">
        <f>REMUNERACION_ENEL!D107</f>
        <v>6619403672.6899996</v>
      </c>
      <c r="J6" s="292">
        <f>REMUNERACION_ENEL!N107</f>
        <v>19208887.530000001</v>
      </c>
      <c r="K6" s="292">
        <f>REMUNERACION_ENEL!D128</f>
        <v>48826052</v>
      </c>
      <c r="L6" s="353">
        <f>REMUNERACION_ENEL!E128</f>
        <v>0</v>
      </c>
      <c r="M6" s="292">
        <f>-REMUNERACION_ENEL!D69-REMUNERACION_ENEL!N69</f>
        <v>29768645.890000001</v>
      </c>
      <c r="N6" s="318">
        <f t="shared" ref="N6:N7" si="3">SUM(I6:M6)</f>
        <v>6717207258.1099997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ENEL'!F25</f>
        <v>11725626627</v>
      </c>
      <c r="D7" s="292">
        <f>REMUNERACION_ENEL!G129</f>
        <v>0</v>
      </c>
      <c r="E7" s="292">
        <f>REMUNERACION_ENEL!D32+REMUNERACION_ENEL!N32</f>
        <v>23423861.739999998</v>
      </c>
      <c r="F7" s="292">
        <f>REMUNERACION_ENEL!I146</f>
        <v>526210</v>
      </c>
      <c r="G7" s="292">
        <f>REMUNERACION_ENEL!H146</f>
        <v>0</v>
      </c>
      <c r="H7" s="340">
        <f t="shared" si="1"/>
        <v>11749576698.74</v>
      </c>
      <c r="I7" s="291">
        <f>REMUNERACION_ENEL!D108</f>
        <v>11722516106.639999</v>
      </c>
      <c r="J7" s="292">
        <f>REMUNERACION_ENEL!N108</f>
        <v>8997077.0999999996</v>
      </c>
      <c r="K7" s="292">
        <f>REMUNERACION_ENEL!D129</f>
        <v>15997915</v>
      </c>
      <c r="L7" s="353">
        <f>REMUNERACION_ENEL!E129</f>
        <v>0</v>
      </c>
      <c r="M7" s="292">
        <f>-REMUNERACION_ENEL!D70-REMUNERACION_ENEL!N70</f>
        <v>2065600</v>
      </c>
      <c r="N7" s="318">
        <f t="shared" si="3"/>
        <v>11749576698.74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68144618192</v>
      </c>
      <c r="D9" s="290">
        <f t="shared" ref="D9:M9" si="4">SUM(D3:D8)</f>
        <v>61046127</v>
      </c>
      <c r="E9" s="290">
        <f t="shared" si="4"/>
        <v>247021750.10999998</v>
      </c>
      <c r="F9" s="290">
        <f t="shared" si="4"/>
        <v>41366675</v>
      </c>
      <c r="G9" s="290">
        <f t="shared" si="4"/>
        <v>1077925.29</v>
      </c>
      <c r="H9" s="290">
        <f t="shared" si="4"/>
        <v>68495130669.400002</v>
      </c>
      <c r="I9" s="290">
        <f t="shared" si="4"/>
        <v>68026235701.290009</v>
      </c>
      <c r="J9" s="290">
        <f t="shared" si="4"/>
        <v>82026262.269999996</v>
      </c>
      <c r="K9" s="290">
        <f t="shared" si="4"/>
        <v>236717169.25</v>
      </c>
      <c r="L9" s="290">
        <f t="shared" si="4"/>
        <v>0</v>
      </c>
      <c r="M9" s="290">
        <f t="shared" si="4"/>
        <v>150151536.59</v>
      </c>
      <c r="N9" s="290">
        <f>SUM(N3:N8)</f>
        <v>68495130669.400009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68144618192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46219</v>
      </c>
      <c r="J7" s="2" t="s">
        <v>28</v>
      </c>
      <c r="K7" s="9">
        <f>REMUNERACION_ENEL!K102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16643179604.779999</v>
      </c>
      <c r="E9" s="66">
        <f>REMUNERACION_ENEL!E104</f>
        <v>807895299.00000012</v>
      </c>
      <c r="F9" s="66">
        <f>REMUNERACION_ENEL!F104</f>
        <v>455912503.50999999</v>
      </c>
      <c r="G9" s="66">
        <f>REMUNERACION_ENEL!G104</f>
        <v>239329779.88</v>
      </c>
      <c r="H9" s="66">
        <f>REMUNERACION_ENEL!H104</f>
        <v>3761557796.75</v>
      </c>
      <c r="I9" s="66">
        <f>REMUNERACION_ENEL!I104</f>
        <v>132659753.62000002</v>
      </c>
      <c r="J9" s="66">
        <f>REMUNERACION_ENEL!J104</f>
        <v>-3589454665.5499997</v>
      </c>
      <c r="K9" s="30">
        <f>D9-E9-F9-G9-H9-I9-J9</f>
        <v>14835279137.569998</v>
      </c>
      <c r="L9" s="66">
        <f>REMUNERACION_ENEL!L104</f>
        <v>189185988</v>
      </c>
      <c r="M9" s="30">
        <f>K9-L9</f>
        <v>14646093149.569998</v>
      </c>
      <c r="N9" s="66">
        <f>REMUNERACION_ENEL!N104</f>
        <v>16516492.25</v>
      </c>
      <c r="O9" s="30">
        <f>M9+N9</f>
        <v>14662609641.819998</v>
      </c>
      <c r="Q9" s="4"/>
      <c r="S9" s="14">
        <v>1</v>
      </c>
      <c r="T9" s="61" t="s">
        <v>10</v>
      </c>
      <c r="U9" s="66">
        <f>REMUNERACION_ENEL!U104</f>
        <v>1167429697.9300001</v>
      </c>
      <c r="V9" s="66">
        <f>REMUNERACION_ENEL!V104</f>
        <v>1119851344.1899998</v>
      </c>
      <c r="W9" s="66">
        <f>REMUNERACION_ENEL!W104</f>
        <v>5299081059.21</v>
      </c>
      <c r="X9" s="66">
        <f>REMUNERACION_ENEL!X104</f>
        <v>2189246770.6300006</v>
      </c>
      <c r="Y9" s="66">
        <f>REMUNERACION_ENEL!Y104</f>
        <v>216286907.63999999</v>
      </c>
      <c r="Z9" s="66">
        <f>REMUNERACION_ENEL!Z104</f>
        <v>-189185988</v>
      </c>
      <c r="AA9" s="66">
        <f>REMUNERACION_ENEL!AA104</f>
        <v>-16656.379999999997</v>
      </c>
      <c r="AB9" s="66">
        <f>REMUNERACION_ENEL!AB104</f>
        <v>16516492.25</v>
      </c>
      <c r="AC9" s="66">
        <f>REMUNERACION_ENEL!AC104</f>
        <v>521.77</v>
      </c>
      <c r="AD9" s="66">
        <f>REMUNERACION_ENEL!AD104</f>
        <v>4843399492.5799999</v>
      </c>
      <c r="AE9" s="66">
        <f>REMUNERACION_ENEL!AE104</f>
        <v>1253944827.03</v>
      </c>
      <c r="AF9" s="69">
        <f>SUM(U9:AD9)</f>
        <v>14662609641.820002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19064501226.810005</v>
      </c>
      <c r="E10" s="66">
        <f>REMUNERACION_ENEL!E105</f>
        <v>1396129505.3300002</v>
      </c>
      <c r="F10" s="66">
        <f>REMUNERACION_ENEL!F105</f>
        <v>784878776.18999994</v>
      </c>
      <c r="G10" s="66">
        <f>REMUNERACION_ENEL!G105</f>
        <v>411247567.16000009</v>
      </c>
      <c r="H10" s="66">
        <f>REMUNERACION_ENEL!H105</f>
        <v>5582809669.8899994</v>
      </c>
      <c r="I10" s="66">
        <f>REMUNERACION_ENEL!I105</f>
        <v>216022487.64000002</v>
      </c>
      <c r="J10" s="66">
        <f>REMUNERACION_ENEL!J105</f>
        <v>-3241193714.1100001</v>
      </c>
      <c r="K10" s="31">
        <f t="shared" ref="K10:K13" si="0">D10-E10-F10-G10-H10-I10-J10</f>
        <v>13914606934.710005</v>
      </c>
      <c r="L10" s="66">
        <f>REMUNERACION_ENEL!L105</f>
        <v>266580256</v>
      </c>
      <c r="M10" s="31">
        <f>K10-L10</f>
        <v>13648026678.710005</v>
      </c>
      <c r="N10" s="66">
        <f>REMUNERACION_ENEL!N105</f>
        <v>24273229.890000001</v>
      </c>
      <c r="O10" s="31">
        <f t="shared" ref="O10:O13" si="1">M10+N10</f>
        <v>13672299908.600004</v>
      </c>
      <c r="Q10" s="4"/>
      <c r="S10" s="16">
        <v>2</v>
      </c>
      <c r="T10" s="62" t="s">
        <v>11</v>
      </c>
      <c r="U10" s="66">
        <f>REMUNERACION_ENEL!U105</f>
        <v>1893620444.5699999</v>
      </c>
      <c r="V10" s="66">
        <f>REMUNERACION_ENEL!V105</f>
        <v>1869892249.3700001</v>
      </c>
      <c r="W10" s="66">
        <f>REMUNERACION_ENEL!W105</f>
        <v>8814809316.3799992</v>
      </c>
      <c r="X10" s="66">
        <f>REMUNERACION_ENEL!X105</f>
        <v>2749999250.0999999</v>
      </c>
      <c r="Y10" s="66">
        <f>REMUNERACION_ENEL!Y105</f>
        <v>352820304.41000003</v>
      </c>
      <c r="Z10" s="66">
        <f>REMUNERACION_ENEL!Z105</f>
        <v>-266580256</v>
      </c>
      <c r="AA10" s="66">
        <f>REMUNERACION_ENEL!AA105</f>
        <v>90135.24</v>
      </c>
      <c r="AB10" s="66">
        <f>REMUNERACION_ENEL!AB105</f>
        <v>24273229.890000001</v>
      </c>
      <c r="AC10" s="66">
        <f>REMUNERACION_ENEL!AC105</f>
        <v>-109.61</v>
      </c>
      <c r="AD10" s="66">
        <f>REMUNERACION_ENEL!AD105</f>
        <v>-1766624655.7499995</v>
      </c>
      <c r="AE10" s="66">
        <f>REMUNERACION_ENEL!AE105</f>
        <v>-5007818369.8599997</v>
      </c>
      <c r="AF10" s="70">
        <f>SUM(U10:AD10)</f>
        <v>13672299908.599998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13976635090.370001</v>
      </c>
      <c r="E11" s="66">
        <f>REMUNERACION_ENEL!E106</f>
        <v>985637596.05999994</v>
      </c>
      <c r="F11" s="66">
        <f>REMUNERACION_ENEL!F106</f>
        <v>555973895.94999993</v>
      </c>
      <c r="G11" s="66">
        <f>REMUNERACION_ENEL!G106</f>
        <v>292056214.65000004</v>
      </c>
      <c r="H11" s="66">
        <f>REMUNERACION_ENEL!H106</f>
        <v>3381560449.0999999</v>
      </c>
      <c r="I11" s="66">
        <f>REMUNERACION_ENEL!I106</f>
        <v>124524527.32000001</v>
      </c>
      <c r="J11" s="66">
        <f>REMUNERACION_ENEL!J106</f>
        <v>-853244564.50999999</v>
      </c>
      <c r="K11" s="31">
        <f t="shared" si="0"/>
        <v>9490126971.8000011</v>
      </c>
      <c r="L11" s="66">
        <f>REMUNERACION_ENEL!L106</f>
        <v>154788536</v>
      </c>
      <c r="M11" s="31">
        <f>K11-L11</f>
        <v>9335338435.8000011</v>
      </c>
      <c r="N11" s="66">
        <f>REMUNERACION_ENEL!N106</f>
        <v>13030575.5</v>
      </c>
      <c r="O11" s="31">
        <f t="shared" si="1"/>
        <v>9348369011.3000011</v>
      </c>
      <c r="Q11" s="4"/>
      <c r="S11" s="16">
        <v>3</v>
      </c>
      <c r="T11" s="62" t="s">
        <v>12</v>
      </c>
      <c r="U11" s="66">
        <f>REMUNERACION_ENEL!U106</f>
        <v>1092110322.45</v>
      </c>
      <c r="V11" s="66">
        <f>REMUNERACION_ENEL!V106</f>
        <v>1072670179.5</v>
      </c>
      <c r="W11" s="66">
        <f>REMUNERACION_ENEL!W106</f>
        <v>5077455755.5400009</v>
      </c>
      <c r="X11" s="66">
        <f>REMUNERACION_ENEL!X106</f>
        <v>2292038481.0500002</v>
      </c>
      <c r="Y11" s="66">
        <f>REMUNERACION_ENEL!Y106</f>
        <v>203250483.36000001</v>
      </c>
      <c r="Z11" s="66">
        <f>REMUNERACION_ENEL!Z106</f>
        <v>-154788536</v>
      </c>
      <c r="AA11" s="66">
        <f>REMUNERACION_ENEL!AA106</f>
        <v>247376.99</v>
      </c>
      <c r="AB11" s="66">
        <f>REMUNERACION_ENEL!AB106</f>
        <v>13030575.5</v>
      </c>
      <c r="AC11" s="66">
        <f>REMUNERACION_ENEL!AC106</f>
        <v>0.94</v>
      </c>
      <c r="AD11" s="66">
        <f>REMUNERACION_ENEL!AD106</f>
        <v>-247645628.02999997</v>
      </c>
      <c r="AE11" s="66">
        <f>REMUNERACION_ENEL!AE106</f>
        <v>-1100890192.54</v>
      </c>
      <c r="AF11" s="70">
        <f>SUM(U11:AD11)</f>
        <v>9348369011.3000011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6619403672.6899996</v>
      </c>
      <c r="E12" s="66">
        <f>REMUNERACION_ENEL!E107</f>
        <v>409065767.94999999</v>
      </c>
      <c r="F12" s="66">
        <f>REMUNERACION_ENEL!F107</f>
        <v>229023916.59999999</v>
      </c>
      <c r="G12" s="66">
        <f>REMUNERACION_ENEL!G107</f>
        <v>119897084.47999999</v>
      </c>
      <c r="H12" s="66">
        <f>REMUNERACION_ENEL!H107</f>
        <v>1538751149.1300001</v>
      </c>
      <c r="I12" s="66">
        <f>REMUNERACION_ENEL!I107</f>
        <v>60407359.210000001</v>
      </c>
      <c r="J12" s="66">
        <f>REMUNERACION_ENEL!J107</f>
        <v>-699882713.37000012</v>
      </c>
      <c r="K12" s="31">
        <f t="shared" si="0"/>
        <v>4962141108.6899996</v>
      </c>
      <c r="L12" s="66">
        <f>REMUNERACION_ENEL!L107</f>
        <v>120391083</v>
      </c>
      <c r="M12" s="31">
        <f>K12-L12</f>
        <v>4841750025.6899996</v>
      </c>
      <c r="N12" s="66">
        <f>REMUNERACION_ENEL!N107</f>
        <v>19208887.530000001</v>
      </c>
      <c r="O12" s="31">
        <f t="shared" si="1"/>
        <v>4860958913.2199993</v>
      </c>
      <c r="Q12" s="4"/>
      <c r="S12" s="16">
        <v>4</v>
      </c>
      <c r="T12" s="62" t="s">
        <v>13</v>
      </c>
      <c r="U12" s="66">
        <f>REMUNERACION_ENEL!U107</f>
        <v>528790659.44</v>
      </c>
      <c r="V12" s="66">
        <f>REMUNERACION_ENEL!V107</f>
        <v>522948481.87</v>
      </c>
      <c r="W12" s="66">
        <f>REMUNERACION_ENEL!W107</f>
        <v>2676043606.7200003</v>
      </c>
      <c r="X12" s="66">
        <f>REMUNERACION_ENEL!X107</f>
        <v>1082748026.71</v>
      </c>
      <c r="Y12" s="66">
        <f>REMUNERACION_ENEL!Y107</f>
        <v>98745519.159999996</v>
      </c>
      <c r="Z12" s="66">
        <f>REMUNERACION_ENEL!Z107</f>
        <v>-120391083</v>
      </c>
      <c r="AA12" s="66">
        <f>REMUNERACION_ENEL!AA107</f>
        <v>-16918.300000000003</v>
      </c>
      <c r="AB12" s="66">
        <f>REMUNERACION_ENEL!AB107</f>
        <v>19208887.530000001</v>
      </c>
      <c r="AC12" s="66">
        <f>REMUNERACION_ENEL!AC107</f>
        <v>-448.53000000000003</v>
      </c>
      <c r="AD12" s="66">
        <f>REMUNERACION_ENEL!AD107</f>
        <v>52882181.620000005</v>
      </c>
      <c r="AE12" s="66">
        <f>REMUNERACION_ENEL!AE107</f>
        <v>-647000531.75000012</v>
      </c>
      <c r="AF12" s="70">
        <f>SUM(U12:AD12)</f>
        <v>4860958913.2199993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11722516106.639999</v>
      </c>
      <c r="E13" s="66">
        <f>REMUNERACION_ENEL!E108</f>
        <v>698148323.5</v>
      </c>
      <c r="F13" s="66">
        <f>REMUNERACION_ENEL!F108</f>
        <v>393737772.47000003</v>
      </c>
      <c r="G13" s="66">
        <f>REMUNERACION_ENEL!G108</f>
        <v>206413295.53999999</v>
      </c>
      <c r="H13" s="66">
        <f>REMUNERACION_ENEL!H108</f>
        <v>2744218164.2200003</v>
      </c>
      <c r="I13" s="66">
        <f>REMUNERACION_ENEL!I108</f>
        <v>104708073.91000001</v>
      </c>
      <c r="J13" s="66">
        <f>REMUNERACION_ENEL!J108</f>
        <v>-82959023.660000086</v>
      </c>
      <c r="K13" s="31">
        <f t="shared" si="0"/>
        <v>7658249500.6599989</v>
      </c>
      <c r="L13" s="66">
        <f>REMUNERACION_ENEL!L108</f>
        <v>128990446</v>
      </c>
      <c r="M13" s="40">
        <f>K13-L13</f>
        <v>7529259054.6599989</v>
      </c>
      <c r="N13" s="66">
        <f>REMUNERACION_ENEL!N108</f>
        <v>8997077.0999999996</v>
      </c>
      <c r="O13" s="40">
        <f t="shared" si="1"/>
        <v>7538256131.7599993</v>
      </c>
      <c r="Q13" s="4"/>
      <c r="S13" s="19">
        <v>5</v>
      </c>
      <c r="T13" s="63" t="s">
        <v>14</v>
      </c>
      <c r="U13" s="66">
        <f>REMUNERACION_ENEL!U108</f>
        <v>917978792.29999995</v>
      </c>
      <c r="V13" s="66">
        <f>REMUNERACION_ENEL!V108</f>
        <v>899476756.96000004</v>
      </c>
      <c r="W13" s="66">
        <f>REMUNERACION_ENEL!W108</f>
        <v>4621907148.9099998</v>
      </c>
      <c r="X13" s="66">
        <f>REMUNERACION_ENEL!X108</f>
        <v>2074170432.3500001</v>
      </c>
      <c r="Y13" s="66">
        <f>REMUNERACION_ENEL!Y108</f>
        <v>170858536.44999999</v>
      </c>
      <c r="Z13" s="66">
        <f>REMUNERACION_ENEL!Z108</f>
        <v>-128990446</v>
      </c>
      <c r="AA13" s="66">
        <f>REMUNERACION_ENEL!AA108</f>
        <v>-147049.65</v>
      </c>
      <c r="AB13" s="66">
        <f>REMUNERACION_ENEL!AB108</f>
        <v>8997077.0999999996</v>
      </c>
      <c r="AC13" s="66">
        <f>REMUNERACION_ENEL!AC108</f>
        <v>-33.33</v>
      </c>
      <c r="AD13" s="66">
        <f>REMUNERACION_ENEL!AD108</f>
        <v>-1025995083.3299999</v>
      </c>
      <c r="AE13" s="66">
        <f>REMUNERACION_ENEL!AE108</f>
        <v>-1108954106.99</v>
      </c>
      <c r="AF13" s="70">
        <f>SUM(U13:AD13)</f>
        <v>7538256131.7600021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68026235701.290009</v>
      </c>
      <c r="E14" s="43">
        <f t="shared" si="3"/>
        <v>4296876491.8400002</v>
      </c>
      <c r="F14" s="43">
        <f t="shared" si="3"/>
        <v>2419526864.7199993</v>
      </c>
      <c r="G14" s="43">
        <f t="shared" si="3"/>
        <v>1268943941.71</v>
      </c>
      <c r="H14" s="43">
        <f t="shared" si="3"/>
        <v>17008897229.09</v>
      </c>
      <c r="I14" s="43">
        <f t="shared" si="3"/>
        <v>638322201.70000005</v>
      </c>
      <c r="J14" s="43">
        <f t="shared" si="3"/>
        <v>-8466734681.1999998</v>
      </c>
      <c r="K14" s="32">
        <f t="shared" si="3"/>
        <v>50860403653.43</v>
      </c>
      <c r="L14" s="23">
        <f t="shared" si="3"/>
        <v>859936309</v>
      </c>
      <c r="M14" s="76">
        <f t="shared" si="3"/>
        <v>50000467344.43</v>
      </c>
      <c r="N14" s="23">
        <f t="shared" si="3"/>
        <v>82026262.269999996</v>
      </c>
      <c r="O14" s="76">
        <f t="shared" si="3"/>
        <v>50082493606.700005</v>
      </c>
      <c r="P14" s="2"/>
      <c r="Q14" s="4"/>
      <c r="S14" s="21"/>
      <c r="T14" s="22" t="s">
        <v>2</v>
      </c>
      <c r="U14" s="43">
        <f>SUM(U9:U13)</f>
        <v>5599929916.6899996</v>
      </c>
      <c r="V14" s="43">
        <f t="shared" ref="V14:AG14" si="4">SUM(V9:V13)</f>
        <v>5484839011.8900003</v>
      </c>
      <c r="W14" s="43">
        <f t="shared" si="4"/>
        <v>26489296886.760002</v>
      </c>
      <c r="X14" s="43">
        <f t="shared" si="4"/>
        <v>10388202960.84</v>
      </c>
      <c r="Y14" s="43">
        <f t="shared" si="4"/>
        <v>1041961751.02</v>
      </c>
      <c r="Z14" s="43">
        <f t="shared" si="4"/>
        <v>-859936309</v>
      </c>
      <c r="AA14" s="43">
        <f t="shared" si="4"/>
        <v>156887.9</v>
      </c>
      <c r="AB14" s="43">
        <f t="shared" si="4"/>
        <v>82026262.269999996</v>
      </c>
      <c r="AC14" s="43">
        <f t="shared" si="4"/>
        <v>-68.760000000000062</v>
      </c>
      <c r="AD14" s="43">
        <f t="shared" si="4"/>
        <v>1856016307.0900002</v>
      </c>
      <c r="AE14" s="43">
        <f>SUM(AE9:AE13)</f>
        <v>-6610718374.1099997</v>
      </c>
      <c r="AF14" s="68">
        <f t="shared" si="4"/>
        <v>50082493606.700005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49004230527.200005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46219</v>
      </c>
      <c r="J27" s="2" t="s">
        <v>28</v>
      </c>
      <c r="K27" s="9">
        <f>REMUNERACION_ENEL!K122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83572548.25</v>
      </c>
      <c r="E30" s="111">
        <f>REMUNERACION_ENEL!E125</f>
        <v>0</v>
      </c>
      <c r="G30" s="336">
        <f>REMUNERACION_ENEL!G125</f>
        <v>49580</v>
      </c>
      <c r="H30" s="310">
        <f>REMUNERACION_ENEL!H125</f>
        <v>97091142.519999996</v>
      </c>
      <c r="I30" s="309">
        <f>REMUNERACION_ENEL!I125</f>
        <v>973693.46</v>
      </c>
      <c r="J30" s="309">
        <f>REMUNERACION_ENEL!J125</f>
        <v>-15533961.699999999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44281124</v>
      </c>
      <c r="E31" s="74">
        <f>REMUNERACION_ENEL!E126</f>
        <v>0</v>
      </c>
      <c r="G31" s="339">
        <f>REMUNERACION_ENEL!G126</f>
        <v>56078860</v>
      </c>
      <c r="H31" s="340">
        <f>REMUNERACION_ENEL!H126</f>
        <v>55676152.700000003</v>
      </c>
      <c r="I31" s="288">
        <f>REMUNERACION_ENEL!I126</f>
        <v>0</v>
      </c>
      <c r="J31" s="288">
        <f>REMUNERACION_ENEL!J126</f>
        <v>-70779009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44039530</v>
      </c>
      <c r="E32" s="74">
        <f>REMUNERACION_ENEL!E127</f>
        <v>0</v>
      </c>
      <c r="G32" s="339">
        <f>REMUNERACION_ENEL!G127</f>
        <v>1307680</v>
      </c>
      <c r="H32" s="340">
        <f>REMUNERACION_ENEL!H127</f>
        <v>10055662.040000001</v>
      </c>
      <c r="I32" s="288">
        <f>REMUNERACION_ENEL!I127</f>
        <v>104231.83</v>
      </c>
      <c r="J32" s="288">
        <f>REMUNERACION_ENEL!J127</f>
        <v>-32004320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48826052</v>
      </c>
      <c r="E33" s="74">
        <f>REMUNERACION_ENEL!E128</f>
        <v>0</v>
      </c>
      <c r="G33" s="339">
        <f>REMUNERACION_ENEL!G128</f>
        <v>3610007</v>
      </c>
      <c r="H33" s="340">
        <f>REMUNERACION_ENEL!H128</f>
        <v>60774931.109999992</v>
      </c>
      <c r="I33" s="288">
        <f>REMUNERACION_ENEL!I128</f>
        <v>0</v>
      </c>
      <c r="J33" s="288">
        <f>REMUNERACION_ENEL!J128</f>
        <v>-29768645.890000001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15997915</v>
      </c>
      <c r="E34" s="139">
        <f>REMUNERACION_ENEL!E129</f>
        <v>0</v>
      </c>
      <c r="G34" s="339">
        <f>REMUNERACION_ENEL!G129</f>
        <v>0</v>
      </c>
      <c r="H34" s="340">
        <f>REMUNERACION_ENEL!H129</f>
        <v>23423861.739999998</v>
      </c>
      <c r="I34" s="288">
        <f>REMUNERACION_ENEL!I129</f>
        <v>0</v>
      </c>
      <c r="J34" s="288">
        <f>REMUNERACION_ENEL!J129</f>
        <v>-2065600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236717169.25</v>
      </c>
      <c r="E36" s="107">
        <f>REMUNERACION_ENEL!E131</f>
        <v>0</v>
      </c>
      <c r="F36" s="45"/>
      <c r="G36" s="350">
        <f t="shared" ref="G36:L36" si="6">SUM(G30:G34)</f>
        <v>61046127</v>
      </c>
      <c r="H36" s="350">
        <f t="shared" si="6"/>
        <v>247021750.10999998</v>
      </c>
      <c r="I36" s="350">
        <f t="shared" si="6"/>
        <v>1077925.29</v>
      </c>
      <c r="J36" s="350">
        <f t="shared" si="6"/>
        <v>-150151536.59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26864220</v>
      </c>
      <c r="E13" s="296">
        <f>'Reporte Componentes R1'!G826</f>
        <v>1901488.25</v>
      </c>
      <c r="F13" s="296">
        <f>'Reporte Componentes R1'!H826</f>
        <v>1046824.27</v>
      </c>
      <c r="G13" s="296">
        <f>'Reporte Componentes R1'!I826</f>
        <v>567773.57999999996</v>
      </c>
      <c r="H13" s="296">
        <f>'Reporte Componentes R1'!J826</f>
        <v>6845302.7000000002</v>
      </c>
      <c r="I13" s="296">
        <f>'Reporte Componentes R1'!K826</f>
        <v>247794.92</v>
      </c>
      <c r="J13" s="296">
        <v>0</v>
      </c>
      <c r="K13" s="295">
        <f t="shared" si="0"/>
        <v>16255036.280000003</v>
      </c>
      <c r="L13" s="294">
        <v>0</v>
      </c>
      <c r="M13" s="298">
        <f>K13-L13</f>
        <v>16255036.280000003</v>
      </c>
      <c r="N13" s="299">
        <f>'Reporte Componentes R1'!L826</f>
        <v>0</v>
      </c>
      <c r="O13" s="298">
        <f>M13+N13</f>
        <v>16255036.280000003</v>
      </c>
      <c r="Q13" s="306"/>
      <c r="S13" s="324">
        <v>5</v>
      </c>
      <c r="T13" s="325" t="s">
        <v>14</v>
      </c>
      <c r="U13" s="296">
        <f>'Reporte Componentes R1'!M826</f>
        <v>2162004.0299999998</v>
      </c>
      <c r="V13" s="296">
        <f>'Reporte Componentes R1'!N826</f>
        <v>2129267.87</v>
      </c>
      <c r="W13" s="296">
        <f>'Reporte Componentes R1'!O826</f>
        <v>11087908.49</v>
      </c>
      <c r="X13" s="296">
        <f>'Reporte Componentes R1'!P826</f>
        <v>5438800.2300000004</v>
      </c>
      <c r="Y13" s="296">
        <f>'Reporte Componentes R1'!Q826</f>
        <v>407765.67</v>
      </c>
      <c r="Z13" s="319">
        <f>L13*-1</f>
        <v>0</v>
      </c>
      <c r="AA13" s="320">
        <f>'Reporte Componentes R1'!R826+'Reporte Componentes R1'!V826+'Reporte Componentes R1'!U826</f>
        <v>87.55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-4970797.5599999996</v>
      </c>
      <c r="AE13" s="291">
        <f>'Reporte Componentes R1'!F827</f>
        <v>-4970797.5599999996</v>
      </c>
      <c r="AF13" s="322">
        <f t="shared" si="4"/>
        <v>16255036.280000005</v>
      </c>
      <c r="AG13" s="326">
        <f>(AF13-O13)</f>
        <v>1.862645149230957E-9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26864220</v>
      </c>
      <c r="E14" s="290">
        <f t="shared" ref="E14:O14" si="5">SUM(E9:E13)</f>
        <v>1901488.25</v>
      </c>
      <c r="F14" s="290">
        <f t="shared" si="5"/>
        <v>1046824.27</v>
      </c>
      <c r="G14" s="290">
        <f t="shared" si="5"/>
        <v>567773.57999999996</v>
      </c>
      <c r="H14" s="290">
        <f t="shared" si="5"/>
        <v>6845302.7000000002</v>
      </c>
      <c r="I14" s="290">
        <f t="shared" si="5"/>
        <v>247794.92</v>
      </c>
      <c r="J14" s="290">
        <f t="shared" si="5"/>
        <v>0</v>
      </c>
      <c r="K14" s="300">
        <f t="shared" si="5"/>
        <v>16255036.280000003</v>
      </c>
      <c r="L14" s="301">
        <f>SUM(L9:L13)</f>
        <v>0</v>
      </c>
      <c r="M14" s="302">
        <f t="shared" si="5"/>
        <v>16255036.280000003</v>
      </c>
      <c r="N14" s="301">
        <f t="shared" si="5"/>
        <v>0</v>
      </c>
      <c r="O14" s="302">
        <f t="shared" si="5"/>
        <v>16255036.280000003</v>
      </c>
      <c r="P14" s="329"/>
      <c r="Q14" s="306"/>
      <c r="S14" s="327"/>
      <c r="T14" s="328" t="s">
        <v>2</v>
      </c>
      <c r="U14" s="330">
        <f>SUM(U9:U13)</f>
        <v>2162004.0299999998</v>
      </c>
      <c r="V14" s="330">
        <f t="shared" ref="V14:AF14" si="6">SUM(V9:V13)</f>
        <v>2129267.87</v>
      </c>
      <c r="W14" s="330">
        <f t="shared" si="6"/>
        <v>11087908.49</v>
      </c>
      <c r="X14" s="330">
        <f t="shared" si="6"/>
        <v>5438800.2300000004</v>
      </c>
      <c r="Y14" s="330">
        <f t="shared" si="6"/>
        <v>407765.67</v>
      </c>
      <c r="Z14" s="290">
        <f t="shared" si="6"/>
        <v>0</v>
      </c>
      <c r="AA14" s="290">
        <f t="shared" si="6"/>
        <v>87.55</v>
      </c>
      <c r="AB14" s="290">
        <f t="shared" si="6"/>
        <v>0</v>
      </c>
      <c r="AC14" s="290">
        <f t="shared" si="6"/>
        <v>0</v>
      </c>
      <c r="AD14" s="290">
        <f>SUM(AD9:AD13)</f>
        <v>-4970797.5599999996</v>
      </c>
      <c r="AE14" s="290">
        <f>SUM(AE9:AE13)</f>
        <v>-4970797.5599999996</v>
      </c>
      <c r="AF14" s="331">
        <f t="shared" si="6"/>
        <v>16255036.280000005</v>
      </c>
      <c r="AG14" s="332">
        <f>SUM(AG9:AG13)</f>
        <v>1.862645149230957E-9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21225746.290000003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6242402.4799999995</v>
      </c>
      <c r="E32" s="296">
        <f>'Rem. Anticipos R2'!F519</f>
        <v>452527.33</v>
      </c>
      <c r="F32" s="296">
        <f>'Rem. Anticipos R2'!G519</f>
        <v>258109.06</v>
      </c>
      <c r="G32" s="296">
        <f>'Rem. Anticipos R2'!H519</f>
        <v>110591.63</v>
      </c>
      <c r="H32" s="296">
        <f>'Rem. Anticipos R2'!I519</f>
        <v>1818962.03</v>
      </c>
      <c r="I32" s="296">
        <f>'Rem. Anticipos R2'!J519</f>
        <v>58814.97</v>
      </c>
      <c r="J32" s="289">
        <v>0</v>
      </c>
      <c r="K32" s="295">
        <f>D32-E32-F32-G32-H32-I32-J32</f>
        <v>3543397.4599999995</v>
      </c>
      <c r="L32" s="294">
        <v>0</v>
      </c>
      <c r="M32" s="298">
        <f>K32-L32</f>
        <v>3543397.4599999995</v>
      </c>
      <c r="N32" s="299">
        <f>'Rem. Anticipos R2'!K519</f>
        <v>0</v>
      </c>
      <c r="O32" s="298">
        <f t="shared" si="7"/>
        <v>3543397.4599999995</v>
      </c>
      <c r="Q32" s="306"/>
      <c r="S32" s="324">
        <v>5</v>
      </c>
      <c r="T32" s="325" t="s">
        <v>14</v>
      </c>
      <c r="U32" s="296">
        <f>'Rem. Anticipos R2'!L519</f>
        <v>533561.96</v>
      </c>
      <c r="V32" s="297">
        <f>'Rem. Anticipos R2'!M519</f>
        <v>533532.74</v>
      </c>
      <c r="W32" s="297">
        <f>'Rem. Anticipos R2'!N519</f>
        <v>2380320.94</v>
      </c>
      <c r="X32" s="297">
        <f>'Rem. Anticipos R2'!O519</f>
        <v>1293968.43</v>
      </c>
      <c r="Y32" s="289">
        <f>'Rem. Anticipos R2'!P519</f>
        <v>89200.76</v>
      </c>
      <c r="Z32" s="319">
        <f>L32*-1</f>
        <v>0</v>
      </c>
      <c r="AA32" s="320">
        <f>'Rem. Anticipos R2'!Q519</f>
        <v>-22.21</v>
      </c>
      <c r="AB32" s="294">
        <f>N32</f>
        <v>0</v>
      </c>
      <c r="AC32" s="320">
        <f>'Rem. Anticipos R2'!R519</f>
        <v>0</v>
      </c>
      <c r="AD32" s="291">
        <f t="shared" si="10"/>
        <v>-1287165.1599999999</v>
      </c>
      <c r="AE32" s="291">
        <f>'Rem. Anticipos R2'!E520</f>
        <v>-1287165.1599999999</v>
      </c>
      <c r="AF32" s="322">
        <f>SUM(U32:AD32)</f>
        <v>3543397.459999999</v>
      </c>
      <c r="AG32" s="326">
        <f>(AF32-O32)</f>
        <v>-4.6566128730773926E-10</v>
      </c>
      <c r="AH32" s="1" t="b">
        <f t="shared" si="8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6242402.4799999995</v>
      </c>
      <c r="E33" s="290">
        <f>SUM(E28:E32)</f>
        <v>452527.33</v>
      </c>
      <c r="F33" s="290">
        <f t="shared" ref="F33:O33" si="12">SUM(F28:F32)</f>
        <v>258109.06</v>
      </c>
      <c r="G33" s="290">
        <f t="shared" si="12"/>
        <v>110591.63</v>
      </c>
      <c r="H33" s="290">
        <f t="shared" si="12"/>
        <v>1818962.03</v>
      </c>
      <c r="I33" s="290">
        <f t="shared" si="12"/>
        <v>58814.97</v>
      </c>
      <c r="J33" s="290">
        <f t="shared" si="12"/>
        <v>0</v>
      </c>
      <c r="K33" s="300">
        <f t="shared" si="12"/>
        <v>3543397.4599999995</v>
      </c>
      <c r="L33" s="301">
        <f t="shared" si="12"/>
        <v>0</v>
      </c>
      <c r="M33" s="302">
        <f t="shared" si="12"/>
        <v>3543397.4599999995</v>
      </c>
      <c r="N33" s="301">
        <f t="shared" si="12"/>
        <v>0</v>
      </c>
      <c r="O33" s="302">
        <f t="shared" si="12"/>
        <v>3543397.4599999995</v>
      </c>
      <c r="P33" s="329"/>
      <c r="Q33" s="306"/>
      <c r="S33" s="327"/>
      <c r="T33" s="328" t="s">
        <v>2</v>
      </c>
      <c r="U33" s="330">
        <f>SUM(U28:U32)</f>
        <v>533561.96</v>
      </c>
      <c r="V33" s="330">
        <f t="shared" ref="V33:AG33" si="13">SUM(V28:V32)</f>
        <v>533532.74</v>
      </c>
      <c r="W33" s="330">
        <f t="shared" si="13"/>
        <v>2380320.94</v>
      </c>
      <c r="X33" s="330">
        <f t="shared" si="13"/>
        <v>1293968.43</v>
      </c>
      <c r="Y33" s="330">
        <f t="shared" si="13"/>
        <v>89200.76</v>
      </c>
      <c r="Z33" s="290">
        <f t="shared" si="13"/>
        <v>0</v>
      </c>
      <c r="AA33" s="290">
        <f t="shared" si="13"/>
        <v>-22.21</v>
      </c>
      <c r="AB33" s="290">
        <f t="shared" si="13"/>
        <v>0</v>
      </c>
      <c r="AC33" s="290">
        <f t="shared" si="13"/>
        <v>0</v>
      </c>
      <c r="AD33" s="290">
        <f>SUM(AD28:AD32)</f>
        <v>-1287165.1599999999</v>
      </c>
      <c r="AE33" s="290">
        <f>SUM(AE28:AE32)</f>
        <v>-1287165.1599999999</v>
      </c>
      <c r="AF33" s="331">
        <f t="shared" si="13"/>
        <v>3543397.459999999</v>
      </c>
      <c r="AG33" s="332">
        <f t="shared" si="13"/>
        <v>-4.6566128730773926E-10</v>
      </c>
      <c r="AH33" s="1" t="b">
        <f t="shared" si="8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4830584.8299999991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327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33106622.48</v>
      </c>
      <c r="E108" s="297">
        <f t="shared" si="40"/>
        <v>2354015.58</v>
      </c>
      <c r="F108" s="297">
        <f t="shared" si="40"/>
        <v>1304933.33</v>
      </c>
      <c r="G108" s="297">
        <f t="shared" si="40"/>
        <v>678365.21</v>
      </c>
      <c r="H108" s="297">
        <f t="shared" si="40"/>
        <v>8664264.7300000004</v>
      </c>
      <c r="I108" s="297">
        <f t="shared" si="40"/>
        <v>306609.89</v>
      </c>
      <c r="J108" s="297">
        <f t="shared" si="40"/>
        <v>0</v>
      </c>
      <c r="K108" s="295">
        <f t="shared" si="42"/>
        <v>19798433.739999998</v>
      </c>
      <c r="L108" s="294">
        <f>L13+L32+L51+L70+L89</f>
        <v>0</v>
      </c>
      <c r="M108" s="298">
        <f>K108-L108</f>
        <v>19798433.739999998</v>
      </c>
      <c r="N108" s="299">
        <f>N13+N32+N51+N70+N89</f>
        <v>0</v>
      </c>
      <c r="O108" s="298">
        <f t="shared" si="43"/>
        <v>19798433.739999998</v>
      </c>
      <c r="Q108" s="306"/>
      <c r="S108" s="324">
        <v>5</v>
      </c>
      <c r="T108" s="325" t="s">
        <v>14</v>
      </c>
      <c r="U108" s="296">
        <f t="shared" si="41"/>
        <v>2695565.9899999998</v>
      </c>
      <c r="V108" s="297">
        <f t="shared" si="41"/>
        <v>2662800.6100000003</v>
      </c>
      <c r="W108" s="297">
        <f t="shared" si="41"/>
        <v>13468229.43</v>
      </c>
      <c r="X108" s="297">
        <f t="shared" si="41"/>
        <v>6732768.6600000001</v>
      </c>
      <c r="Y108" s="289">
        <f t="shared" si="41"/>
        <v>496966.43</v>
      </c>
      <c r="Z108" s="319">
        <f t="shared" si="41"/>
        <v>0</v>
      </c>
      <c r="AA108" s="320">
        <f t="shared" si="41"/>
        <v>65.34</v>
      </c>
      <c r="AB108" s="294">
        <f t="shared" si="41"/>
        <v>0</v>
      </c>
      <c r="AC108" s="320">
        <f t="shared" si="41"/>
        <v>0</v>
      </c>
      <c r="AD108" s="291">
        <f>-J108+AE108</f>
        <v>-6257962.7199999997</v>
      </c>
      <c r="AE108" s="291">
        <f>AE13+AE32+AE51+AE70+AE89</f>
        <v>-6257962.7199999997</v>
      </c>
      <c r="AF108" s="322">
        <f>SUM(U108:AD108)</f>
        <v>19798433.740000002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33106622.48</v>
      </c>
      <c r="E109" s="290">
        <f t="shared" si="46"/>
        <v>2354015.58</v>
      </c>
      <c r="F109" s="290">
        <f t="shared" si="46"/>
        <v>1304933.33</v>
      </c>
      <c r="G109" s="290">
        <f t="shared" si="46"/>
        <v>678365.21</v>
      </c>
      <c r="H109" s="290">
        <f t="shared" si="46"/>
        <v>8664264.7300000004</v>
      </c>
      <c r="I109" s="290">
        <f t="shared" si="46"/>
        <v>306609.89</v>
      </c>
      <c r="J109" s="290">
        <f t="shared" si="46"/>
        <v>0</v>
      </c>
      <c r="K109" s="300">
        <f t="shared" si="46"/>
        <v>19798433.739999998</v>
      </c>
      <c r="L109" s="301">
        <f t="shared" si="46"/>
        <v>0</v>
      </c>
      <c r="M109" s="302">
        <f t="shared" si="46"/>
        <v>19798433.739999998</v>
      </c>
      <c r="N109" s="301">
        <f t="shared" si="46"/>
        <v>0</v>
      </c>
      <c r="O109" s="302">
        <f t="shared" si="46"/>
        <v>19798433.739999998</v>
      </c>
      <c r="P109" s="329"/>
      <c r="Q109" s="306"/>
      <c r="S109" s="327"/>
      <c r="T109" s="328" t="s">
        <v>2</v>
      </c>
      <c r="U109" s="330">
        <f>SUM(U104:U108)</f>
        <v>2695565.9899999998</v>
      </c>
      <c r="V109" s="330">
        <f t="shared" ref="V109:AF109" si="47">SUM(V104:V108)</f>
        <v>2662800.6100000003</v>
      </c>
      <c r="W109" s="330">
        <f t="shared" si="47"/>
        <v>13468229.43</v>
      </c>
      <c r="X109" s="330">
        <f t="shared" si="47"/>
        <v>6732768.6600000001</v>
      </c>
      <c r="Y109" s="330">
        <f t="shared" si="47"/>
        <v>496966.43</v>
      </c>
      <c r="Z109" s="290">
        <f t="shared" si="47"/>
        <v>0</v>
      </c>
      <c r="AA109" s="290">
        <f t="shared" si="47"/>
        <v>65.34</v>
      </c>
      <c r="AB109" s="290">
        <f t="shared" si="47"/>
        <v>0</v>
      </c>
      <c r="AC109" s="290">
        <f t="shared" si="47"/>
        <v>0</v>
      </c>
      <c r="AD109" s="290">
        <f t="shared" si="47"/>
        <v>-6257962.7199999997</v>
      </c>
      <c r="AE109" s="290">
        <f>SUM(AE104:AE108)</f>
        <v>-6257962.7199999997</v>
      </c>
      <c r="AF109" s="331">
        <f t="shared" si="47"/>
        <v>19798433.740000002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26056331.120000001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1781103</v>
      </c>
      <c r="E129" s="139">
        <v>0</v>
      </c>
      <c r="G129" s="339">
        <f>D51+N51</f>
        <v>0</v>
      </c>
      <c r="H129" s="340">
        <f>D32+N32</f>
        <v>6242402.4799999995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1781103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6242402.4799999995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34887725.480000004</v>
      </c>
      <c r="E146" s="18">
        <f>'Recaudo ENERBIT'!F25</f>
        <v>28645323</v>
      </c>
      <c r="F146" s="134">
        <f>D32+N32</f>
        <v>6242402.4799999995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6242402.4799999995</v>
      </c>
      <c r="L146" s="525">
        <f>D146-E146-F146-G146-J146-H146-I146</f>
        <v>4.6566128730773926E-9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34887725.480000004</v>
      </c>
      <c r="E147" s="47">
        <f>SUM(E142:E146)</f>
        <v>28645323</v>
      </c>
      <c r="F147" s="47">
        <f t="shared" ref="F147:K147" si="52">SUM(F142:F146)</f>
        <v>6242402.4799999995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6242402.4799999995</v>
      </c>
      <c r="L147" s="525">
        <f>SUM(L142:L146)</f>
        <v>4.6566128730773926E-9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ENERBIT'!F21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ENERBIT'!F22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ENERBIT'!F23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ENERBIT'!F24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ENERBIT'!F25</f>
        <v>28645323</v>
      </c>
      <c r="D7" s="292">
        <f>REMUNERACION_ENERBIT!G129</f>
        <v>0</v>
      </c>
      <c r="E7" s="292">
        <f>REMUNERACION_ENERBIT!D32+REMUNERACION_ENERBIT!N32</f>
        <v>6242402.4799999995</v>
      </c>
      <c r="F7" s="292">
        <f>REMUNERACION_ENERBIT!I146</f>
        <v>0</v>
      </c>
      <c r="G7" s="292">
        <f>REMUNERACION_ENERBIT!H146</f>
        <v>0</v>
      </c>
      <c r="H7" s="340">
        <f t="shared" si="1"/>
        <v>34887725.479999997</v>
      </c>
      <c r="I7" s="291">
        <f>REMUNERACION_ENERBIT!D108</f>
        <v>33106622.48</v>
      </c>
      <c r="J7" s="292">
        <f>REMUNERACION_ENERBIT!N108</f>
        <v>0</v>
      </c>
      <c r="K7" s="292">
        <f>REMUNERACION_ENERBIT!D129</f>
        <v>1781103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34887725.480000004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28645323</v>
      </c>
      <c r="D9" s="290">
        <f t="shared" ref="D9:M9" si="4">SUM(D3:D8)</f>
        <v>0</v>
      </c>
      <c r="E9" s="290">
        <f t="shared" si="4"/>
        <v>6242402.4799999995</v>
      </c>
      <c r="F9" s="290">
        <f t="shared" si="4"/>
        <v>0</v>
      </c>
      <c r="G9" s="290">
        <f t="shared" si="4"/>
        <v>0</v>
      </c>
      <c r="H9" s="290">
        <f t="shared" si="4"/>
        <v>34887725.479999997</v>
      </c>
      <c r="I9" s="290">
        <f t="shared" si="4"/>
        <v>33106622.48</v>
      </c>
      <c r="J9" s="290">
        <f t="shared" si="4"/>
        <v>0</v>
      </c>
      <c r="K9" s="290">
        <f t="shared" si="4"/>
        <v>1781103</v>
      </c>
      <c r="L9" s="290">
        <f t="shared" si="4"/>
        <v>0</v>
      </c>
      <c r="M9" s="290">
        <f t="shared" si="4"/>
        <v>0</v>
      </c>
      <c r="N9" s="290">
        <f>SUM(N3:N8)</f>
        <v>34887725.480000004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28645323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46219</v>
      </c>
      <c r="J7" s="2" t="s">
        <v>28</v>
      </c>
      <c r="K7" s="9">
        <f>REMUNERACION_ENERBIT!K102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33106622.48</v>
      </c>
      <c r="E13" s="66">
        <f>REMUNERACION_ENERBIT!E108</f>
        <v>2354015.58</v>
      </c>
      <c r="F13" s="66">
        <f>REMUNERACION_ENERBIT!F108</f>
        <v>1304933.33</v>
      </c>
      <c r="G13" s="66">
        <f>REMUNERACION_ENERBIT!G108</f>
        <v>678365.21</v>
      </c>
      <c r="H13" s="66">
        <f>REMUNERACION_ENERBIT!H108</f>
        <v>8664264.7300000004</v>
      </c>
      <c r="I13" s="66">
        <f>REMUNERACION_ENERBIT!I108</f>
        <v>306609.89</v>
      </c>
      <c r="J13" s="66">
        <f>REMUNERACION_ENERBIT!J108</f>
        <v>0</v>
      </c>
      <c r="K13" s="31">
        <f t="shared" si="0"/>
        <v>19798433.739999998</v>
      </c>
      <c r="L13" s="66">
        <f>REMUNERACION_ENERBIT!L108</f>
        <v>0</v>
      </c>
      <c r="M13" s="40">
        <f>K13-L13</f>
        <v>19798433.739999998</v>
      </c>
      <c r="N13" s="66">
        <f>REMUNERACION_ENERBIT!N108</f>
        <v>0</v>
      </c>
      <c r="O13" s="40">
        <f t="shared" si="1"/>
        <v>19798433.739999998</v>
      </c>
      <c r="Q13" s="4"/>
      <c r="S13" s="19">
        <v>5</v>
      </c>
      <c r="T13" s="63" t="s">
        <v>14</v>
      </c>
      <c r="U13" s="66">
        <f>REMUNERACION_ENERBIT!U108</f>
        <v>2695565.9899999998</v>
      </c>
      <c r="V13" s="66">
        <f>REMUNERACION_ENERBIT!V108</f>
        <v>2662800.6100000003</v>
      </c>
      <c r="W13" s="66">
        <f>REMUNERACION_ENERBIT!W108</f>
        <v>13468229.43</v>
      </c>
      <c r="X13" s="66">
        <f>REMUNERACION_ENERBIT!X108</f>
        <v>6732768.6600000001</v>
      </c>
      <c r="Y13" s="66">
        <f>REMUNERACION_ENERBIT!Y108</f>
        <v>496966.43</v>
      </c>
      <c r="Z13" s="66">
        <f>REMUNERACION_ENERBIT!Z108</f>
        <v>0</v>
      </c>
      <c r="AA13" s="66">
        <f>REMUNERACION_ENERBIT!AA108</f>
        <v>65.34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-6257962.7199999997</v>
      </c>
      <c r="AE13" s="66">
        <f>REMUNERACION_ENERBIT!AE108</f>
        <v>-6257962.7199999997</v>
      </c>
      <c r="AF13" s="70">
        <f>SUM(U13:AD13)</f>
        <v>19798433.740000002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33106622.48</v>
      </c>
      <c r="E14" s="43">
        <f t="shared" si="3"/>
        <v>2354015.58</v>
      </c>
      <c r="F14" s="43">
        <f t="shared" si="3"/>
        <v>1304933.33</v>
      </c>
      <c r="G14" s="43">
        <f t="shared" si="3"/>
        <v>678365.21</v>
      </c>
      <c r="H14" s="43">
        <f t="shared" si="3"/>
        <v>8664264.7300000004</v>
      </c>
      <c r="I14" s="43">
        <f t="shared" si="3"/>
        <v>306609.89</v>
      </c>
      <c r="J14" s="43">
        <f t="shared" si="3"/>
        <v>0</v>
      </c>
      <c r="K14" s="32">
        <f t="shared" si="3"/>
        <v>19798433.739999998</v>
      </c>
      <c r="L14" s="23">
        <f t="shared" si="3"/>
        <v>0</v>
      </c>
      <c r="M14" s="76">
        <f t="shared" si="3"/>
        <v>19798433.739999998</v>
      </c>
      <c r="N14" s="23">
        <f t="shared" si="3"/>
        <v>0</v>
      </c>
      <c r="O14" s="76">
        <f t="shared" si="3"/>
        <v>19798433.739999998</v>
      </c>
      <c r="P14" s="2"/>
      <c r="Q14" s="4"/>
      <c r="S14" s="21"/>
      <c r="T14" s="22" t="s">
        <v>2</v>
      </c>
      <c r="U14" s="43">
        <f>SUM(U9:U13)</f>
        <v>2695565.9899999998</v>
      </c>
      <c r="V14" s="43">
        <f t="shared" ref="V14:AG14" si="4">SUM(V9:V13)</f>
        <v>2662800.6100000003</v>
      </c>
      <c r="W14" s="43">
        <f t="shared" si="4"/>
        <v>13468229.43</v>
      </c>
      <c r="X14" s="43">
        <f t="shared" si="4"/>
        <v>6732768.6600000001</v>
      </c>
      <c r="Y14" s="43">
        <f t="shared" si="4"/>
        <v>496966.43</v>
      </c>
      <c r="Z14" s="43">
        <f t="shared" si="4"/>
        <v>0</v>
      </c>
      <c r="AA14" s="43">
        <f t="shared" si="4"/>
        <v>65.34</v>
      </c>
      <c r="AB14" s="43">
        <f t="shared" si="4"/>
        <v>0</v>
      </c>
      <c r="AC14" s="43">
        <f t="shared" si="4"/>
        <v>0</v>
      </c>
      <c r="AD14" s="43">
        <f t="shared" si="4"/>
        <v>-6257962.7199999997</v>
      </c>
      <c r="AE14" s="43">
        <f>SUM(AE9:AE13)</f>
        <v>-6257962.7199999997</v>
      </c>
      <c r="AF14" s="68">
        <f t="shared" si="4"/>
        <v>19798433.740000002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26056331.120000001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46219</v>
      </c>
      <c r="J27" s="2" t="s">
        <v>28</v>
      </c>
      <c r="K27" s="9">
        <f>REMUNERACION_ENERBIT!K122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1781103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6242402.4799999995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1781103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6242402.4799999995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779194409.36000013</v>
      </c>
      <c r="E9" s="292">
        <f>'Reporte Componentes R1'!G109</f>
        <v>96578112.579999998</v>
      </c>
      <c r="F9" s="292">
        <f>'Reporte Componentes R1'!H109</f>
        <v>54231897.5</v>
      </c>
      <c r="G9" s="292">
        <f>'Reporte Componentes R1'!I109</f>
        <v>28481235.82</v>
      </c>
      <c r="H9" s="292">
        <f>'Reporte Componentes R1'!J109</f>
        <v>51159574.100000001</v>
      </c>
      <c r="I9" s="292">
        <f>'Reporte Componentes R1'!K109</f>
        <v>1633496.93</v>
      </c>
      <c r="J9" s="288">
        <v>0</v>
      </c>
      <c r="K9" s="293">
        <f>D9-E9-F9-G9-H9-I9-J9</f>
        <v>547110092.43000007</v>
      </c>
      <c r="L9" s="294">
        <v>0</v>
      </c>
      <c r="M9" s="293">
        <f>K9-L9</f>
        <v>547110092.43000007</v>
      </c>
      <c r="N9" s="294">
        <f>'Reporte Componentes R1'!L109</f>
        <v>8760824.0099999998</v>
      </c>
      <c r="O9" s="293">
        <f>M9+N9</f>
        <v>555870916.44000006</v>
      </c>
      <c r="Q9" s="306"/>
      <c r="S9" s="303">
        <v>1</v>
      </c>
      <c r="T9" s="304" t="s">
        <v>10</v>
      </c>
      <c r="U9" s="307">
        <f>'Reporte Componentes R1'!M109</f>
        <v>14374091.91</v>
      </c>
      <c r="V9" s="308">
        <f>'Reporte Componentes R1'!N109</f>
        <v>17418029.010000002</v>
      </c>
      <c r="W9" s="308">
        <f>'Reporte Componentes R1'!O109</f>
        <v>81009034.189999998</v>
      </c>
      <c r="X9" s="308">
        <f>'Reporte Componentes R1'!P109</f>
        <v>263621283.74000001</v>
      </c>
      <c r="Y9" s="309">
        <f>'Reporte Componentes R1'!Q109</f>
        <v>2666149.21</v>
      </c>
      <c r="Z9" s="310">
        <f>L9*-1</f>
        <v>0</v>
      </c>
      <c r="AA9" s="311">
        <f>'Reporte Componentes R1'!R109+'Reporte Componentes R1'!V109+'Reporte Componentes R1'!U109</f>
        <v>-780.94</v>
      </c>
      <c r="AB9" s="294">
        <f>N9</f>
        <v>8760824.0099999998</v>
      </c>
      <c r="AC9" s="311">
        <f>'Reporte Componentes R1'!T109+'Reporte Componentes R1'!W109+'Reporte Componentes R1'!X109+'Reporte Componentes R1'!Y109+'Reporte Componentes R1'!Z109+'Reporte Componentes R1'!S109</f>
        <v>-2114.38</v>
      </c>
      <c r="AD9" s="291">
        <f>-J9+AE9</f>
        <v>168024399.69</v>
      </c>
      <c r="AE9" s="291">
        <f>'Reporte Componentes R1'!F110</f>
        <v>168024399.69</v>
      </c>
      <c r="AF9" s="313">
        <f>SUM(U9:AD9)</f>
        <v>555870916.44000006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1317332077.6099999</v>
      </c>
      <c r="E10" s="292">
        <f>'Reporte Componentes R1'!G343</f>
        <v>174138863.09</v>
      </c>
      <c r="F10" s="292">
        <f>'Reporte Componentes R1'!H343</f>
        <v>97452521.459999993</v>
      </c>
      <c r="G10" s="292">
        <f>'Reporte Componentes R1'!I343</f>
        <v>51434122.149999999</v>
      </c>
      <c r="H10" s="292">
        <f>'Reporte Componentes R1'!J343</f>
        <v>200102039.23000002</v>
      </c>
      <c r="I10" s="292">
        <f>'Reporte Componentes R1'!K343</f>
        <v>5459981.3300000001</v>
      </c>
      <c r="J10" s="288">
        <v>0</v>
      </c>
      <c r="K10" s="295">
        <f t="shared" ref="K10:K13" si="0">D10-E10-F10-G10-H10-I10-J10</f>
        <v>788744550.3499999</v>
      </c>
      <c r="L10" s="294">
        <v>0</v>
      </c>
      <c r="M10" s="295">
        <f>K10-L10</f>
        <v>788744550.3499999</v>
      </c>
      <c r="N10" s="294">
        <f>'Reporte Componentes R1'!L343</f>
        <v>29180991.390000001</v>
      </c>
      <c r="O10" s="295">
        <f t="shared" ref="O10:O12" si="1">M10+N10</f>
        <v>817925541.73999989</v>
      </c>
      <c r="Q10" s="306"/>
      <c r="S10" s="314">
        <v>2</v>
      </c>
      <c r="T10" s="315" t="s">
        <v>11</v>
      </c>
      <c r="U10" s="316">
        <f>'Reporte Componentes R1'!M343</f>
        <v>47842952.129999995</v>
      </c>
      <c r="V10" s="317">
        <f>'Reporte Componentes R1'!N343</f>
        <v>66078855.299999997</v>
      </c>
      <c r="W10" s="317">
        <f>'Reporte Componentes R1'!O343</f>
        <v>304314267.79000002</v>
      </c>
      <c r="X10" s="317">
        <f>'Reporte Componentes R1'!P343</f>
        <v>346567700.09999996</v>
      </c>
      <c r="Y10" s="318">
        <f>'Reporte Componentes R1'!Q343</f>
        <v>8939603.1600000001</v>
      </c>
      <c r="Z10" s="319">
        <f>L10*-1</f>
        <v>0</v>
      </c>
      <c r="AA10" s="320">
        <f>'Reporte Componentes R1'!R343+'Reporte Componentes R1'!V343+'Reporte Componentes R1'!U343</f>
        <v>-3345.45</v>
      </c>
      <c r="AB10" s="294">
        <f>N10</f>
        <v>29180991.390000001</v>
      </c>
      <c r="AC10" s="320">
        <f>'Reporte Componentes R1'!T343+'Reporte Componentes R1'!W343+'Reporte Componentes R1'!X343+'Reporte Componentes R1'!Y343+'Reporte Componentes R1'!Z343+'Reporte Componentes R1'!S343</f>
        <v>-13.53</v>
      </c>
      <c r="AD10" s="291">
        <f t="shared" ref="AD10:AD13" si="2">-J10+AE10</f>
        <v>15004530.85</v>
      </c>
      <c r="AE10" s="291">
        <f>'Reporte Componentes R1'!F344</f>
        <v>15004530.85</v>
      </c>
      <c r="AF10" s="322">
        <f>SUM(U10:AD10)</f>
        <v>817925541.73999989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1229014628.26</v>
      </c>
      <c r="E11" s="292">
        <f>'Reporte Componentes R1'!G504</f>
        <v>167230330.67000002</v>
      </c>
      <c r="F11" s="292">
        <f>'Reporte Componentes R1'!H504</f>
        <v>93972472.179999992</v>
      </c>
      <c r="G11" s="292">
        <f>'Reporte Componentes R1'!I504</f>
        <v>49551756.759999998</v>
      </c>
      <c r="H11" s="292">
        <f>'Reporte Componentes R1'!J504</f>
        <v>36451248.549999997</v>
      </c>
      <c r="I11" s="292">
        <f>'Reporte Componentes R1'!K504</f>
        <v>1126893.08</v>
      </c>
      <c r="J11" s="288">
        <v>0</v>
      </c>
      <c r="K11" s="295">
        <f t="shared" si="0"/>
        <v>880681927.01999998</v>
      </c>
      <c r="L11" s="294">
        <v>0</v>
      </c>
      <c r="M11" s="295">
        <f>K11-L11</f>
        <v>880681927.01999998</v>
      </c>
      <c r="N11" s="294">
        <f>'Reporte Componentes R1'!L504</f>
        <v>1311387.82</v>
      </c>
      <c r="O11" s="295">
        <f t="shared" si="1"/>
        <v>881993314.84000003</v>
      </c>
      <c r="Q11" s="306"/>
      <c r="S11" s="314">
        <v>3</v>
      </c>
      <c r="T11" s="315" t="s">
        <v>12</v>
      </c>
      <c r="U11" s="316">
        <f>'Reporte Componentes R1'!M504</f>
        <v>9857217.8900000006</v>
      </c>
      <c r="V11" s="317">
        <f>'Reporte Componentes R1'!N504</f>
        <v>13264002.32</v>
      </c>
      <c r="W11" s="317">
        <f>'Reporte Componentes R1'!O504</f>
        <v>61942084.880000003</v>
      </c>
      <c r="X11" s="317">
        <f>'Reporte Componentes R1'!P504</f>
        <v>389042295.69999999</v>
      </c>
      <c r="Y11" s="318">
        <f>'Reporte Componentes R1'!Q504</f>
        <v>1840458.24</v>
      </c>
      <c r="Z11" s="319">
        <f>L11*-1</f>
        <v>0</v>
      </c>
      <c r="AA11" s="320">
        <f>'Reporte Componentes R1'!R504+'Reporte Componentes R1'!V504+'Reporte Componentes R1'!U504</f>
        <v>-1003.46</v>
      </c>
      <c r="AB11" s="294">
        <f>N11</f>
        <v>1311387.82</v>
      </c>
      <c r="AC11" s="320">
        <f>'Reporte Componentes R1'!T504+'Reporte Componentes R1'!W504+'Reporte Componentes R1'!X504+'Reporte Componentes R1'!Y504+'Reporte Componentes R1'!Z504+'Reporte Componentes R1'!S504</f>
        <v>-11886.56</v>
      </c>
      <c r="AD11" s="291">
        <f t="shared" si="2"/>
        <v>404748758.00999999</v>
      </c>
      <c r="AE11" s="291">
        <f>'Reporte Componentes R1'!F505</f>
        <v>404748758.00999999</v>
      </c>
      <c r="AF11" s="322">
        <f t="shared" ref="AF11:AF13" si="4">SUM(U11:AD11)</f>
        <v>881993314.83999991</v>
      </c>
      <c r="AG11" s="323">
        <f>(AF11-O11)</f>
        <v>-1.1920928955078125E-7</v>
      </c>
      <c r="AH11" s="1" t="b">
        <f t="shared" si="3"/>
        <v>0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457088264.26000005</v>
      </c>
      <c r="E12" s="292">
        <f>'Reporte Componentes R1'!G712</f>
        <v>51981760.799999997</v>
      </c>
      <c r="F12" s="292">
        <f>'Reporte Componentes R1'!H712</f>
        <v>28598318.150000002</v>
      </c>
      <c r="G12" s="292">
        <f>'Reporte Componentes R1'!I712</f>
        <v>14625062.6</v>
      </c>
      <c r="H12" s="292">
        <f>'Reporte Componentes R1'!J712</f>
        <v>53207476.460000001</v>
      </c>
      <c r="I12" s="292">
        <f>'Reporte Componentes R1'!K712</f>
        <v>1736150.0799999998</v>
      </c>
      <c r="J12" s="288">
        <v>0</v>
      </c>
      <c r="K12" s="295">
        <f t="shared" si="0"/>
        <v>306939496.17000008</v>
      </c>
      <c r="L12" s="294">
        <v>0</v>
      </c>
      <c r="M12" s="295">
        <f>K12-L12</f>
        <v>306939496.17000008</v>
      </c>
      <c r="N12" s="294">
        <f>'Reporte Componentes R1'!L712</f>
        <v>14919457.4</v>
      </c>
      <c r="O12" s="295">
        <f t="shared" si="1"/>
        <v>321858953.57000005</v>
      </c>
      <c r="Q12" s="306"/>
      <c r="S12" s="314">
        <v>4</v>
      </c>
      <c r="T12" s="315" t="s">
        <v>13</v>
      </c>
      <c r="U12" s="316">
        <f>'Reporte Componentes R1'!M712</f>
        <v>16813135.419999998</v>
      </c>
      <c r="V12" s="317">
        <f>'Reporte Componentes R1'!N712</f>
        <v>20989387.699999999</v>
      </c>
      <c r="W12" s="317">
        <f>'Reporte Componentes R1'!O712</f>
        <v>102824114.90000001</v>
      </c>
      <c r="X12" s="317">
        <f>'Reporte Componentes R1'!P712</f>
        <v>137777185.92000002</v>
      </c>
      <c r="Y12" s="318">
        <f>'Reporte Componentes R1'!Q712</f>
        <v>2838005.5900000003</v>
      </c>
      <c r="Z12" s="319">
        <f>L12*-1</f>
        <v>0</v>
      </c>
      <c r="AA12" s="320">
        <f>'Reporte Componentes R1'!R712+'Reporte Componentes R1'!V712+'Reporte Componentes R1'!U712</f>
        <v>576.65</v>
      </c>
      <c r="AB12" s="294">
        <f>N12</f>
        <v>14919457.4</v>
      </c>
      <c r="AC12" s="320">
        <f>'Reporte Componentes R1'!T712+'Reporte Componentes R1'!W712+'Reporte Componentes R1'!X712+'Reporte Componentes R1'!Y712+'Reporte Componentes R1'!Z712+'Reporte Componentes R1'!S712</f>
        <v>-80.570000000000007</v>
      </c>
      <c r="AD12" s="291">
        <f t="shared" si="2"/>
        <v>25697170.559999999</v>
      </c>
      <c r="AE12" s="291">
        <f>'Reporte Componentes R1'!F713</f>
        <v>25697170.559999999</v>
      </c>
      <c r="AF12" s="322">
        <f t="shared" si="4"/>
        <v>321858953.56999999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304989620.81</v>
      </c>
      <c r="E13" s="297">
        <f>'Reporte Componentes R1'!G831</f>
        <v>30071357.300000001</v>
      </c>
      <c r="F13" s="297">
        <f>'Reporte Componentes R1'!H831</f>
        <v>16806729.760000002</v>
      </c>
      <c r="G13" s="297">
        <f>'Reporte Componentes R1'!I831</f>
        <v>8826816.3499999996</v>
      </c>
      <c r="H13" s="297">
        <f>'Reporte Componentes R1'!J831</f>
        <v>17081891.02</v>
      </c>
      <c r="I13" s="297">
        <f>'Reporte Componentes R1'!K831</f>
        <v>809348.07</v>
      </c>
      <c r="J13" s="289">
        <v>0</v>
      </c>
      <c r="K13" s="295">
        <f t="shared" si="0"/>
        <v>231393478.31</v>
      </c>
      <c r="L13" s="294">
        <v>0</v>
      </c>
      <c r="M13" s="298">
        <f>K13-L13</f>
        <v>231393478.31</v>
      </c>
      <c r="N13" s="299">
        <f>'Reporte Componentes R1'!L831</f>
        <v>5904652.2300000004</v>
      </c>
      <c r="O13" s="298">
        <f>M13+N13</f>
        <v>237298130.53999999</v>
      </c>
      <c r="Q13" s="306"/>
      <c r="S13" s="324">
        <v>5</v>
      </c>
      <c r="T13" s="325" t="s">
        <v>14</v>
      </c>
      <c r="U13" s="296">
        <f>'Reporte Componentes R1'!M831</f>
        <v>7092178.5</v>
      </c>
      <c r="V13" s="297">
        <f>'Reporte Componentes R1'!N831</f>
        <v>8479028.6799999997</v>
      </c>
      <c r="W13" s="297">
        <f>'Reporte Componentes R1'!O831</f>
        <v>43405202.43</v>
      </c>
      <c r="X13" s="297">
        <f>'Reporte Componentes R1'!P831</f>
        <v>89395442.060000002</v>
      </c>
      <c r="Y13" s="289">
        <f>'Reporte Componentes R1'!Q831</f>
        <v>1330478.28</v>
      </c>
      <c r="Z13" s="319">
        <f>L13*-1</f>
        <v>0</v>
      </c>
      <c r="AA13" s="320">
        <f>'Reporte Componentes R1'!R831+'Reporte Componentes R1'!V831+'Reporte Componentes R1'!U831</f>
        <v>-673.41</v>
      </c>
      <c r="AB13" s="294">
        <f>N13</f>
        <v>5904652.2300000004</v>
      </c>
      <c r="AC13" s="320">
        <f>'Reporte Componentes R1'!T831+'Reporte Componentes R1'!W831+'Reporte Componentes R1'!X831+'Reporte Componentes R1'!Y831+'Reporte Componentes R1'!Z831+'Reporte Componentes R1'!S831</f>
        <v>0.35000000000000003</v>
      </c>
      <c r="AD13" s="291">
        <f t="shared" si="2"/>
        <v>81691821.420000002</v>
      </c>
      <c r="AE13" s="291">
        <f>'Reporte Componentes R1'!F832</f>
        <v>81691821.420000002</v>
      </c>
      <c r="AF13" s="322">
        <f t="shared" si="4"/>
        <v>237298130.54000002</v>
      </c>
      <c r="AG13" s="326">
        <f>(AF13-O13)</f>
        <v>2.9802322387695313E-8</v>
      </c>
      <c r="AH13" s="1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4087619000.3000002</v>
      </c>
      <c r="E14" s="290">
        <f t="shared" ref="E14:O14" si="5">SUM(E9:E13)</f>
        <v>520000424.44000006</v>
      </c>
      <c r="F14" s="290">
        <f t="shared" si="5"/>
        <v>291061939.04999995</v>
      </c>
      <c r="G14" s="290">
        <f t="shared" si="5"/>
        <v>152918993.67999998</v>
      </c>
      <c r="H14" s="290">
        <f t="shared" si="5"/>
        <v>358002229.35999995</v>
      </c>
      <c r="I14" s="290">
        <f t="shared" si="5"/>
        <v>10765869.49</v>
      </c>
      <c r="J14" s="290">
        <f t="shared" si="5"/>
        <v>0</v>
      </c>
      <c r="K14" s="300">
        <f t="shared" si="5"/>
        <v>2754869544.2800002</v>
      </c>
      <c r="L14" s="301">
        <f>SUM(L9:L13)</f>
        <v>0</v>
      </c>
      <c r="M14" s="302">
        <f t="shared" si="5"/>
        <v>2754869544.2800002</v>
      </c>
      <c r="N14" s="301">
        <f t="shared" si="5"/>
        <v>60077312.849999994</v>
      </c>
      <c r="O14" s="302">
        <f t="shared" si="5"/>
        <v>2814946857.1300001</v>
      </c>
      <c r="P14" s="329"/>
      <c r="Q14" s="306"/>
      <c r="S14" s="327"/>
      <c r="T14" s="328" t="s">
        <v>2</v>
      </c>
      <c r="U14" s="330">
        <f>SUM(U9:U13)</f>
        <v>95979575.849999994</v>
      </c>
      <c r="V14" s="330">
        <f t="shared" ref="V14:AF14" si="6">SUM(V9:V13)</f>
        <v>126229303.00999999</v>
      </c>
      <c r="W14" s="330">
        <f t="shared" si="6"/>
        <v>593494704.18999994</v>
      </c>
      <c r="X14" s="330">
        <f t="shared" si="6"/>
        <v>1226403907.52</v>
      </c>
      <c r="Y14" s="330">
        <f t="shared" si="6"/>
        <v>17614694.48</v>
      </c>
      <c r="Z14" s="290">
        <f t="shared" si="6"/>
        <v>0</v>
      </c>
      <c r="AA14" s="290">
        <f t="shared" si="6"/>
        <v>-5226.6099999999997</v>
      </c>
      <c r="AB14" s="290">
        <f t="shared" si="6"/>
        <v>60077312.849999994</v>
      </c>
      <c r="AC14" s="290">
        <f t="shared" si="6"/>
        <v>-14094.689999999999</v>
      </c>
      <c r="AD14" s="290">
        <f>SUM(AD9:AD13)</f>
        <v>695166680.52999985</v>
      </c>
      <c r="AE14" s="290">
        <f>SUM(AE9:AE13)</f>
        <v>695166680.52999985</v>
      </c>
      <c r="AF14" s="331">
        <f t="shared" si="6"/>
        <v>2814946857.1299996</v>
      </c>
      <c r="AG14" s="332">
        <f>SUM(AG9:AG13)</f>
        <v>-1.4901161193847656E-7</v>
      </c>
      <c r="AH14" s="1" t="b">
        <f t="shared" si="3"/>
        <v>0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2059722185.05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28857410.600000001</v>
      </c>
      <c r="E28" s="292">
        <f>'Rem. Anticipos R2'!F69</f>
        <v>2663940.84</v>
      </c>
      <c r="F28" s="292">
        <f>'Rem. Anticipos R2'!G69</f>
        <v>1501142.3</v>
      </c>
      <c r="G28" s="292">
        <f>'Rem. Anticipos R2'!H69</f>
        <v>893398.02</v>
      </c>
      <c r="H28" s="292">
        <f>'Rem. Anticipos R2'!I69</f>
        <v>2727207.12</v>
      </c>
      <c r="I28" s="292">
        <f>'Rem. Anticipos R2'!J69</f>
        <v>79662.820000000007</v>
      </c>
      <c r="J28" s="288">
        <v>0</v>
      </c>
      <c r="K28" s="293">
        <f>D28-E28-F28-G28-H28-I28-J28</f>
        <v>20992059.5</v>
      </c>
      <c r="L28" s="294">
        <v>0</v>
      </c>
      <c r="M28" s="293">
        <f>K28-L28</f>
        <v>20992059.5</v>
      </c>
      <c r="N28" s="294">
        <f>'Rem. Anticipos R2'!K69</f>
        <v>0</v>
      </c>
      <c r="O28" s="293">
        <f>M28+N28</f>
        <v>20992059.5</v>
      </c>
      <c r="Q28" s="306"/>
      <c r="S28" s="303">
        <v>1</v>
      </c>
      <c r="T28" s="304" t="s">
        <v>10</v>
      </c>
      <c r="U28" s="307">
        <f>'Rem. Anticipos R2'!L69</f>
        <v>757202.08</v>
      </c>
      <c r="V28" s="308">
        <f>'Rem. Anticipos R2'!M69</f>
        <v>985669.78</v>
      </c>
      <c r="W28" s="308">
        <f>'Rem. Anticipos R2'!N69</f>
        <v>4395697.5</v>
      </c>
      <c r="X28" s="308">
        <f>'Rem. Anticipos R2'!O69</f>
        <v>7892918.9900000002</v>
      </c>
      <c r="Y28" s="308">
        <f>'Rem. Anticipos R2'!P69</f>
        <v>124774.46</v>
      </c>
      <c r="Z28" s="310">
        <f>L28*-1</f>
        <v>0</v>
      </c>
      <c r="AA28" s="311">
        <f>'Rem. Anticipos R2'!Q69</f>
        <v>-73.2</v>
      </c>
      <c r="AB28" s="294">
        <f>N28</f>
        <v>0</v>
      </c>
      <c r="AC28" s="311">
        <f>'Rem. Anticipos R2'!R69</f>
        <v>0</v>
      </c>
      <c r="AD28" s="291">
        <f>-J28+AE28</f>
        <v>6835869.8899999997</v>
      </c>
      <c r="AE28" s="291">
        <f>'Rem. Anticipos R2'!E70</f>
        <v>6835869.8899999997</v>
      </c>
      <c r="AF28" s="313">
        <f>SUM(U28:AD28)</f>
        <v>20992059.5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87448610.169999987</v>
      </c>
      <c r="E29" s="292">
        <f>'Rem. Anticipos R2'!F190</f>
        <v>9848126.5199999996</v>
      </c>
      <c r="F29" s="292">
        <f>'Rem. Anticipos R2'!G190</f>
        <v>5509676.3200000003</v>
      </c>
      <c r="G29" s="292">
        <f>'Rem. Anticipos R2'!H190</f>
        <v>2910689.54</v>
      </c>
      <c r="H29" s="292">
        <f>'Rem. Anticipos R2'!I190</f>
        <v>13922812.67</v>
      </c>
      <c r="I29" s="292">
        <f>'Rem. Anticipos R2'!J190</f>
        <v>411257.4</v>
      </c>
      <c r="J29" s="288">
        <v>0</v>
      </c>
      <c r="K29" s="295">
        <f t="shared" ref="K29:K31" si="7">D29-E29-F29-G29-H29-I29-J29</f>
        <v>54846047.719999976</v>
      </c>
      <c r="L29" s="294">
        <v>0</v>
      </c>
      <c r="M29" s="295">
        <f>K29-L29</f>
        <v>54846047.719999976</v>
      </c>
      <c r="N29" s="294">
        <f>'Rem. Anticipos R2'!K190</f>
        <v>0</v>
      </c>
      <c r="O29" s="295">
        <f t="shared" ref="O29:O32" si="8">M29+N29</f>
        <v>54846047.719999976</v>
      </c>
      <c r="Q29" s="306"/>
      <c r="S29" s="314">
        <v>2</v>
      </c>
      <c r="T29" s="315" t="s">
        <v>11</v>
      </c>
      <c r="U29" s="316">
        <f>'Rem. Anticipos R2'!L190</f>
        <v>3594860.85</v>
      </c>
      <c r="V29" s="317">
        <f>'Rem. Anticipos R2'!M190</f>
        <v>4259384.97</v>
      </c>
      <c r="W29" s="317">
        <f>'Rem. Anticipos R2'!N190</f>
        <v>16704666.720000001</v>
      </c>
      <c r="X29" s="317">
        <f>'Rem. Anticipos R2'!O190</f>
        <v>34691802.689999998</v>
      </c>
      <c r="Y29" s="318">
        <f>'Rem. Anticipos R2'!P190</f>
        <v>531755.86</v>
      </c>
      <c r="Z29" s="319">
        <f>L29*-1</f>
        <v>0</v>
      </c>
      <c r="AA29" s="320">
        <f>'Rem. Anticipos R2'!Q190</f>
        <v>66.31</v>
      </c>
      <c r="AB29" s="294">
        <f>N29</f>
        <v>0</v>
      </c>
      <c r="AC29" s="320">
        <f>'Rem. Anticipos R2'!R190</f>
        <v>0</v>
      </c>
      <c r="AD29" s="291">
        <f>-J29+AE29</f>
        <v>-4936489.68</v>
      </c>
      <c r="AE29" s="291">
        <f>'Rem. Anticipos R2'!E191</f>
        <v>-4936489.68</v>
      </c>
      <c r="AF29" s="322">
        <f>SUM(U29:AD29)</f>
        <v>54846047.719999999</v>
      </c>
      <c r="AG29" s="323">
        <f>(AF29-O29)</f>
        <v>2.2351741790771484E-8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16553408.619999999</v>
      </c>
      <c r="E30" s="292">
        <f>'Rem. Anticipos R2'!F311</f>
        <v>1967684.86</v>
      </c>
      <c r="F30" s="292">
        <f>'Rem. Anticipos R2'!G311</f>
        <v>712268.5</v>
      </c>
      <c r="G30" s="292">
        <f>'Rem. Anticipos R2'!H311</f>
        <v>565645.02</v>
      </c>
      <c r="H30" s="292">
        <f>'Rem. Anticipos R2'!I311</f>
        <v>1569507.5</v>
      </c>
      <c r="I30" s="292">
        <f>'Rem. Anticipos R2'!J311</f>
        <v>42227.16</v>
      </c>
      <c r="J30" s="288">
        <v>0</v>
      </c>
      <c r="K30" s="295">
        <f t="shared" si="7"/>
        <v>11696075.58</v>
      </c>
      <c r="L30" s="294">
        <v>0</v>
      </c>
      <c r="M30" s="295">
        <f>K30-L30</f>
        <v>11696075.58</v>
      </c>
      <c r="N30" s="294">
        <f>'Rem. Anticipos R2'!K311</f>
        <v>0</v>
      </c>
      <c r="O30" s="295">
        <f t="shared" si="8"/>
        <v>11696075.58</v>
      </c>
      <c r="Q30" s="306"/>
      <c r="S30" s="314">
        <v>3</v>
      </c>
      <c r="T30" s="315" t="s">
        <v>12</v>
      </c>
      <c r="U30" s="316">
        <f>'Rem. Anticipos R2'!L311</f>
        <v>397564.25</v>
      </c>
      <c r="V30" s="317">
        <f>'Rem. Anticipos R2'!M311</f>
        <v>563201.06000000006</v>
      </c>
      <c r="W30" s="317">
        <f>'Rem. Anticipos R2'!N311</f>
        <v>2702825.49</v>
      </c>
      <c r="X30" s="317">
        <f>'Rem. Anticipos R2'!O311</f>
        <v>4820348.95</v>
      </c>
      <c r="Y30" s="318">
        <f>'Rem. Anticipos R2'!P311</f>
        <v>74361.179999999993</v>
      </c>
      <c r="Z30" s="319">
        <f>L30*-1</f>
        <v>0</v>
      </c>
      <c r="AA30" s="320">
        <f>'Rem. Anticipos R2'!Q311</f>
        <v>31.65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3137743</v>
      </c>
      <c r="AE30" s="291">
        <f>'Rem. Anticipos R2'!E312</f>
        <v>3137743</v>
      </c>
      <c r="AF30" s="322">
        <f>SUM(U30:AD30)</f>
        <v>11696075.58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34178649.799999997</v>
      </c>
      <c r="E31" s="292">
        <f>'Rem. Anticipos R2'!F435</f>
        <v>3414288.34</v>
      </c>
      <c r="F31" s="292">
        <f>'Rem. Anticipos R2'!G435</f>
        <v>1854126.13</v>
      </c>
      <c r="G31" s="292">
        <f>'Rem. Anticipos R2'!H435</f>
        <v>919021.33</v>
      </c>
      <c r="H31" s="292">
        <f>'Rem. Anticipos R2'!I435</f>
        <v>5255584.72</v>
      </c>
      <c r="I31" s="292">
        <f>'Rem. Anticipos R2'!J435</f>
        <v>198283.64</v>
      </c>
      <c r="J31" s="288">
        <v>0</v>
      </c>
      <c r="K31" s="295">
        <f t="shared" si="7"/>
        <v>22537345.640000001</v>
      </c>
      <c r="L31" s="294">
        <v>0</v>
      </c>
      <c r="M31" s="295">
        <f>K31-L31</f>
        <v>22537345.640000001</v>
      </c>
      <c r="N31" s="294">
        <f>'Rem. Anticipos R2'!K435</f>
        <v>0</v>
      </c>
      <c r="O31" s="295">
        <f t="shared" si="8"/>
        <v>22537345.640000001</v>
      </c>
      <c r="Q31" s="306"/>
      <c r="S31" s="314">
        <v>4</v>
      </c>
      <c r="T31" s="315" t="s">
        <v>13</v>
      </c>
      <c r="U31" s="316">
        <f>'Rem. Anticipos R2'!L435</f>
        <v>1581078.48</v>
      </c>
      <c r="V31" s="317">
        <f>'Rem. Anticipos R2'!M435</f>
        <v>1755343.15</v>
      </c>
      <c r="W31" s="317">
        <f>'Rem. Anticipos R2'!N435</f>
        <v>9281802.4800000004</v>
      </c>
      <c r="X31" s="317">
        <f>'Rem. Anticipos R2'!O435</f>
        <v>9224428.8599999994</v>
      </c>
      <c r="Y31" s="318">
        <f>'Rem. Anticipos R2'!P435</f>
        <v>314744.57</v>
      </c>
      <c r="Z31" s="319">
        <f>L31*-1</f>
        <v>0</v>
      </c>
      <c r="AA31" s="320">
        <f>'Rem. Anticipos R2'!Q435</f>
        <v>5.27</v>
      </c>
      <c r="AB31" s="294">
        <f>N31</f>
        <v>0</v>
      </c>
      <c r="AC31" s="320">
        <f>'Rem. Anticipos R2'!R435</f>
        <v>0</v>
      </c>
      <c r="AD31" s="291">
        <f t="shared" si="10"/>
        <v>379942.83</v>
      </c>
      <c r="AE31" s="291">
        <f>'Rem. Anticipos R2'!E436</f>
        <v>379942.83</v>
      </c>
      <c r="AF31" s="322">
        <f>SUM(U31:AD31)</f>
        <v>22537345.639999997</v>
      </c>
      <c r="AG31" s="323">
        <f t="shared" si="11"/>
        <v>-3.7252902984619141E-9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13317238.189999999</v>
      </c>
      <c r="E32" s="297">
        <f>'Rem. Anticipos R2'!F522</f>
        <v>1159470.44</v>
      </c>
      <c r="F32" s="297">
        <f>'Rem. Anticipos R2'!G522</f>
        <v>657305.62</v>
      </c>
      <c r="G32" s="297">
        <f>'Rem. Anticipos R2'!H522</f>
        <v>315836.09999999998</v>
      </c>
      <c r="H32" s="297">
        <f>'Rem. Anticipos R2'!I522</f>
        <v>1350476.33</v>
      </c>
      <c r="I32" s="297">
        <f>'Rem. Anticipos R2'!J522</f>
        <v>40561.129999999997</v>
      </c>
      <c r="J32" s="289">
        <v>0</v>
      </c>
      <c r="K32" s="295">
        <f>D32-E32-F32-G32-H32-I32-J32</f>
        <v>9793588.5700000003</v>
      </c>
      <c r="L32" s="294">
        <v>0</v>
      </c>
      <c r="M32" s="298">
        <f>K32-L32</f>
        <v>9793588.5700000003</v>
      </c>
      <c r="N32" s="299">
        <f>'Rem. Anticipos R2'!K522</f>
        <v>990006.55</v>
      </c>
      <c r="O32" s="298">
        <f t="shared" si="8"/>
        <v>10783595.120000001</v>
      </c>
      <c r="Q32" s="306"/>
      <c r="S32" s="324">
        <v>5</v>
      </c>
      <c r="T32" s="325" t="s">
        <v>14</v>
      </c>
      <c r="U32" s="296">
        <f>'Rem. Anticipos R2'!L522</f>
        <v>476777.82</v>
      </c>
      <c r="V32" s="297">
        <f>'Rem. Anticipos R2'!M522</f>
        <v>602817.05000000005</v>
      </c>
      <c r="W32" s="297">
        <f>'Rem. Anticipos R2'!N522</f>
        <v>2563786.98</v>
      </c>
      <c r="X32" s="297">
        <f>'Rem. Anticipos R2'!O522</f>
        <v>3693019.78</v>
      </c>
      <c r="Y32" s="289">
        <f>'Rem. Anticipos R2'!P522</f>
        <v>51007.22</v>
      </c>
      <c r="Z32" s="319">
        <f>L32*-1</f>
        <v>0</v>
      </c>
      <c r="AA32" s="320">
        <f>'Rem. Anticipos R2'!Q522</f>
        <v>-78.19</v>
      </c>
      <c r="AB32" s="294">
        <f>N32</f>
        <v>990006.55</v>
      </c>
      <c r="AC32" s="320">
        <f>'Rem. Anticipos R2'!R522</f>
        <v>0</v>
      </c>
      <c r="AD32" s="291">
        <f t="shared" si="10"/>
        <v>2406257.91</v>
      </c>
      <c r="AE32" s="291">
        <f>'Rem. Anticipos R2'!E523</f>
        <v>2406257.91</v>
      </c>
      <c r="AF32" s="322">
        <f>SUM(U32:AD32)</f>
        <v>10783595.119999999</v>
      </c>
      <c r="AG32" s="326">
        <f>(AF32-O32)</f>
        <v>-1.862645149230957E-9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180355317.38</v>
      </c>
      <c r="E33" s="290">
        <f>SUM(E28:E32)</f>
        <v>19053511</v>
      </c>
      <c r="F33" s="290">
        <f t="shared" ref="F33:O33" si="12">SUM(F28:F32)</f>
        <v>10234518.869999999</v>
      </c>
      <c r="G33" s="290">
        <f t="shared" si="12"/>
        <v>5604590.0099999998</v>
      </c>
      <c r="H33" s="290">
        <f t="shared" si="12"/>
        <v>24825588.339999996</v>
      </c>
      <c r="I33" s="290">
        <f t="shared" si="12"/>
        <v>771992.15</v>
      </c>
      <c r="J33" s="290">
        <f t="shared" si="12"/>
        <v>0</v>
      </c>
      <c r="K33" s="300">
        <f t="shared" si="12"/>
        <v>119865117.00999996</v>
      </c>
      <c r="L33" s="301">
        <f t="shared" si="12"/>
        <v>0</v>
      </c>
      <c r="M33" s="302">
        <f t="shared" si="12"/>
        <v>119865117.00999996</v>
      </c>
      <c r="N33" s="301">
        <f t="shared" si="12"/>
        <v>990006.55</v>
      </c>
      <c r="O33" s="302">
        <f t="shared" si="12"/>
        <v>120855123.55999997</v>
      </c>
      <c r="P33" s="329"/>
      <c r="Q33" s="306"/>
      <c r="S33" s="327"/>
      <c r="T33" s="328" t="s">
        <v>2</v>
      </c>
      <c r="U33" s="330">
        <f>SUM(U28:U32)</f>
        <v>6807483.4800000004</v>
      </c>
      <c r="V33" s="330">
        <f t="shared" ref="V33:AG33" si="13">SUM(V28:V32)</f>
        <v>8166416.0100000007</v>
      </c>
      <c r="W33" s="330">
        <f t="shared" si="13"/>
        <v>35648779.170000002</v>
      </c>
      <c r="X33" s="330">
        <f t="shared" si="13"/>
        <v>60322519.270000003</v>
      </c>
      <c r="Y33" s="330">
        <f t="shared" si="13"/>
        <v>1096643.29</v>
      </c>
      <c r="Z33" s="290">
        <f t="shared" si="13"/>
        <v>0</v>
      </c>
      <c r="AA33" s="290">
        <f t="shared" si="13"/>
        <v>-48.16</v>
      </c>
      <c r="AB33" s="290">
        <f t="shared" si="13"/>
        <v>990006.55</v>
      </c>
      <c r="AC33" s="290">
        <f t="shared" si="13"/>
        <v>0</v>
      </c>
      <c r="AD33" s="290">
        <f>SUM(AD28:AD32)</f>
        <v>7823323.9500000002</v>
      </c>
      <c r="AE33" s="290">
        <f>SUM(AE28:AE32)</f>
        <v>7823323.9500000002</v>
      </c>
      <c r="AF33" s="331">
        <f t="shared" si="13"/>
        <v>120855123.56</v>
      </c>
      <c r="AG33" s="332">
        <f t="shared" si="13"/>
        <v>1.6763806343078613E-8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112041841.22000001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0</v>
      </c>
      <c r="E47" s="292">
        <f>'Reporte Componentes R1'!G111</f>
        <v>0</v>
      </c>
      <c r="F47" s="292">
        <f>'Reporte Componentes R1'!H111</f>
        <v>0</v>
      </c>
      <c r="G47" s="292">
        <f>'Reporte Componentes R1'!I111</f>
        <v>0</v>
      </c>
      <c r="H47" s="292">
        <f>'Reporte Componentes R1'!J111</f>
        <v>0</v>
      </c>
      <c r="I47" s="292">
        <f>'Reporte Componentes R1'!K111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R1'!M111</f>
        <v>0</v>
      </c>
      <c r="V47" s="308">
        <f>'Reporte Componentes R1'!N111</f>
        <v>0</v>
      </c>
      <c r="W47" s="308">
        <f>'Reporte Componentes R1'!O111</f>
        <v>0</v>
      </c>
      <c r="X47" s="308">
        <f>'Reporte Componentes R1'!P111</f>
        <v>0</v>
      </c>
      <c r="Y47" s="309">
        <f>'Reporte Componentes R1'!Q111</f>
        <v>0</v>
      </c>
      <c r="Z47" s="310">
        <f>-L47</f>
        <v>0</v>
      </c>
      <c r="AA47" s="311">
        <f>'Reporte Componentes R1'!R111+'Reporte Componentes R1'!V111+'Reporte Componentes R1'!U111</f>
        <v>0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111210</v>
      </c>
      <c r="E48" s="292">
        <f>'Reporte Componentes R1'!G345</f>
        <v>11965.66</v>
      </c>
      <c r="F48" s="292">
        <f>'Reporte Componentes R1'!H345</f>
        <v>6772.46</v>
      </c>
      <c r="G48" s="292">
        <f>'Reporte Componentes R1'!I345</f>
        <v>3619.41</v>
      </c>
      <c r="H48" s="292">
        <f>'Reporte Componentes R1'!J345</f>
        <v>66663.69</v>
      </c>
      <c r="I48" s="292">
        <f>'Reporte Componentes R1'!K345</f>
        <v>1934.64</v>
      </c>
      <c r="J48" s="288">
        <v>0</v>
      </c>
      <c r="K48" s="295">
        <f t="shared" ref="K48:K51" si="14">D48-E48-F48-G48-H48-I48-J48</f>
        <v>20254.139999999985</v>
      </c>
      <c r="L48" s="294">
        <v>0</v>
      </c>
      <c r="M48" s="295">
        <f>K48-L48</f>
        <v>20254.139999999985</v>
      </c>
      <c r="N48" s="294">
        <f>'Reporte Componentes R1'!L345</f>
        <v>0</v>
      </c>
      <c r="O48" s="295">
        <f t="shared" ref="O48:O51" si="15">M48+N48</f>
        <v>20254.139999999985</v>
      </c>
      <c r="Q48" s="306"/>
      <c r="S48" s="314">
        <v>2</v>
      </c>
      <c r="T48" s="315" t="s">
        <v>11</v>
      </c>
      <c r="U48" s="316">
        <f>'Reporte Componentes R1'!M345</f>
        <v>16970.45</v>
      </c>
      <c r="V48" s="317">
        <f>'Reporte Componentes R1'!N345</f>
        <v>20142.73</v>
      </c>
      <c r="W48" s="317">
        <f>'Reporte Componentes R1'!O345</f>
        <v>93838.89</v>
      </c>
      <c r="X48" s="317">
        <f>'Reporte Componentes R1'!P345</f>
        <v>24111.07</v>
      </c>
      <c r="Y48" s="318">
        <f>'Reporte Componentes R1'!Q345</f>
        <v>3156.5</v>
      </c>
      <c r="Z48" s="319">
        <f>-L48</f>
        <v>0</v>
      </c>
      <c r="AA48" s="320">
        <f>'Reporte Componentes R1'!R345+'Reporte Componentes R1'!V345+'Reporte Componentes R1'!U345</f>
        <v>-3.24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-137962.26</v>
      </c>
      <c r="AE48" s="291">
        <f>'Reporte Componentes R1'!F346</f>
        <v>-137962.26</v>
      </c>
      <c r="AF48" s="322">
        <f>SUM(U48:AD48)</f>
        <v>20254.140000000014</v>
      </c>
      <c r="AG48" s="323">
        <f>(AF48-O48)</f>
        <v>2.9103830456733704E-11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0</v>
      </c>
      <c r="E49" s="292">
        <f>'Reporte Componentes R1'!G506</f>
        <v>0</v>
      </c>
      <c r="F49" s="292">
        <f>'Reporte Componentes R1'!H506</f>
        <v>0</v>
      </c>
      <c r="G49" s="292">
        <f>'Reporte Componentes R1'!I506</f>
        <v>0</v>
      </c>
      <c r="H49" s="292">
        <f>'Reporte Componentes R1'!J506</f>
        <v>0</v>
      </c>
      <c r="I49" s="292">
        <f>'Reporte Componentes R1'!K506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R1'!L506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R1'!M506</f>
        <v>0</v>
      </c>
      <c r="V49" s="317">
        <f>'Reporte Componentes R1'!N506</f>
        <v>0</v>
      </c>
      <c r="W49" s="317">
        <f>'Reporte Componentes R1'!O506</f>
        <v>0</v>
      </c>
      <c r="X49" s="317">
        <f>'Reporte Componentes R1'!P506</f>
        <v>0</v>
      </c>
      <c r="Y49" s="318">
        <f>'Reporte Componentes R1'!Q506</f>
        <v>0</v>
      </c>
      <c r="Z49" s="319">
        <f>-L49</f>
        <v>0</v>
      </c>
      <c r="AA49" s="320">
        <f>'Reporte Componentes R1'!R506+'Reporte Componentes R1'!V506+'Reporte Componentes R1'!U506</f>
        <v>0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0</v>
      </c>
      <c r="AE49" s="291">
        <f>'Reporte Componentes R1'!F507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691194</v>
      </c>
      <c r="E50" s="292">
        <f>'Reporte Componentes R1'!G714</f>
        <v>51581.84</v>
      </c>
      <c r="F50" s="292">
        <f>'Reporte Componentes R1'!H714</f>
        <v>29163.39</v>
      </c>
      <c r="G50" s="292">
        <f>'Reporte Componentes R1'!I714</f>
        <v>15465.48</v>
      </c>
      <c r="H50" s="292">
        <f>'Reporte Componentes R1'!J714</f>
        <v>165858.38</v>
      </c>
      <c r="I50" s="292">
        <f>'Reporte Componentes R1'!K714</f>
        <v>4892.05</v>
      </c>
      <c r="J50" s="288">
        <v>0</v>
      </c>
      <c r="K50" s="295">
        <f t="shared" si="14"/>
        <v>424232.86000000004</v>
      </c>
      <c r="L50" s="294">
        <v>0</v>
      </c>
      <c r="M50" s="295">
        <f>K50-L50</f>
        <v>424232.86000000004</v>
      </c>
      <c r="N50" s="294">
        <f>'Reporte Componentes R1'!L714</f>
        <v>0</v>
      </c>
      <c r="O50" s="295">
        <f t="shared" si="15"/>
        <v>424232.86000000004</v>
      </c>
      <c r="Q50" s="306"/>
      <c r="S50" s="314">
        <v>4</v>
      </c>
      <c r="T50" s="315" t="s">
        <v>13</v>
      </c>
      <c r="U50" s="316">
        <f>'Reporte Componentes R1'!M714</f>
        <v>46424.71</v>
      </c>
      <c r="V50" s="317">
        <f>'Reporte Componentes R1'!N714</f>
        <v>49446.239999999998</v>
      </c>
      <c r="W50" s="317">
        <f>'Reporte Componentes R1'!O714</f>
        <v>210914.4</v>
      </c>
      <c r="X50" s="317">
        <f>'Reporte Componentes R1'!P714</f>
        <v>140655.57</v>
      </c>
      <c r="Y50" s="318">
        <f>'Reporte Componentes R1'!Q714</f>
        <v>7981.76</v>
      </c>
      <c r="Z50" s="319">
        <f>-L50</f>
        <v>0</v>
      </c>
      <c r="AA50" s="320">
        <f>'Reporte Componentes R1'!R714+'Reporte Componentes R1'!V714+'Reporte Componentes R1'!U714</f>
        <v>6.27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-31196.09</v>
      </c>
      <c r="AE50" s="291">
        <f>'Reporte Componentes R1'!F715</f>
        <v>-31196.09</v>
      </c>
      <c r="AF50" s="322">
        <f t="shared" si="18"/>
        <v>424232.86</v>
      </c>
      <c r="AG50" s="323">
        <f t="shared" si="19"/>
        <v>-5.8207660913467407E-11</v>
      </c>
      <c r="AH50" s="1" t="b">
        <f t="shared" si="17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441849</v>
      </c>
      <c r="E51" s="297">
        <f>'Reporte Componentes R1'!G833</f>
        <v>26657.43</v>
      </c>
      <c r="F51" s="297">
        <f>'Reporte Componentes R1'!H833</f>
        <v>14138.02</v>
      </c>
      <c r="G51" s="297">
        <f>'Reporte Componentes R1'!I833</f>
        <v>7723.27</v>
      </c>
      <c r="H51" s="297">
        <f>'Reporte Componentes R1'!J833</f>
        <v>93911.73</v>
      </c>
      <c r="I51" s="297">
        <f>'Reporte Componentes R1'!K833</f>
        <v>2290.29</v>
      </c>
      <c r="J51" s="289">
        <v>0</v>
      </c>
      <c r="K51" s="295">
        <f t="shared" si="14"/>
        <v>297128.26</v>
      </c>
      <c r="L51" s="294">
        <v>0</v>
      </c>
      <c r="M51" s="298">
        <f>K51-L51</f>
        <v>297128.26</v>
      </c>
      <c r="N51" s="299">
        <f>'Reporte Componentes R1'!L833</f>
        <v>0</v>
      </c>
      <c r="O51" s="298">
        <f t="shared" si="15"/>
        <v>297128.26</v>
      </c>
      <c r="Q51" s="306"/>
      <c r="S51" s="324">
        <v>5</v>
      </c>
      <c r="T51" s="325" t="s">
        <v>14</v>
      </c>
      <c r="U51" s="296">
        <f>'Reporte Componentes R1'!M833</f>
        <v>20089.34</v>
      </c>
      <c r="V51" s="297">
        <f>'Reporte Componentes R1'!N833</f>
        <v>28092.36</v>
      </c>
      <c r="W51" s="297">
        <f>'Reporte Componentes R1'!O833</f>
        <v>141333</v>
      </c>
      <c r="X51" s="297">
        <f>'Reporte Componentes R1'!P833</f>
        <v>79544.789999999994</v>
      </c>
      <c r="Y51" s="289">
        <f>'Reporte Componentes R1'!Q833</f>
        <v>3736.7</v>
      </c>
      <c r="Z51" s="319">
        <f>-L51</f>
        <v>0</v>
      </c>
      <c r="AA51" s="320">
        <f>'Reporte Componentes R1'!R833+'Reporte Componentes R1'!V833+'Reporte Componentes R1'!U833</f>
        <v>2.69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24329.38</v>
      </c>
      <c r="AE51" s="291">
        <f>'Reporte Componentes R1'!F834</f>
        <v>24329.38</v>
      </c>
      <c r="AF51" s="322">
        <f t="shared" si="18"/>
        <v>297128.26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1244253</v>
      </c>
      <c r="E52" s="290">
        <f t="shared" si="20"/>
        <v>90204.93</v>
      </c>
      <c r="F52" s="290">
        <f t="shared" si="20"/>
        <v>50073.869999999995</v>
      </c>
      <c r="G52" s="290">
        <f t="shared" ref="G52" si="21">SUM(G47:G51)</f>
        <v>26808.16</v>
      </c>
      <c r="H52" s="290">
        <f t="shared" si="20"/>
        <v>326433.8</v>
      </c>
      <c r="I52" s="290">
        <f t="shared" si="20"/>
        <v>9116.98</v>
      </c>
      <c r="J52" s="290">
        <f t="shared" si="20"/>
        <v>0</v>
      </c>
      <c r="K52" s="300">
        <f t="shared" si="20"/>
        <v>741615.26</v>
      </c>
      <c r="L52" s="301">
        <f t="shared" si="20"/>
        <v>0</v>
      </c>
      <c r="M52" s="302">
        <f t="shared" si="20"/>
        <v>741615.26</v>
      </c>
      <c r="N52" s="301">
        <f t="shared" si="20"/>
        <v>0</v>
      </c>
      <c r="O52" s="302">
        <f t="shared" si="20"/>
        <v>741615.26</v>
      </c>
      <c r="P52" s="329"/>
      <c r="Q52" s="306"/>
      <c r="S52" s="327"/>
      <c r="T52" s="328" t="s">
        <v>2</v>
      </c>
      <c r="U52" s="330">
        <f>SUM(U47:U51)</f>
        <v>83484.5</v>
      </c>
      <c r="V52" s="330">
        <f t="shared" ref="V52:AG52" si="22">SUM(V47:V51)</f>
        <v>97681.33</v>
      </c>
      <c r="W52" s="330">
        <f t="shared" si="22"/>
        <v>446086.29</v>
      </c>
      <c r="X52" s="330">
        <f t="shared" si="22"/>
        <v>244311.43</v>
      </c>
      <c r="Y52" s="330">
        <f t="shared" si="22"/>
        <v>14874.96</v>
      </c>
      <c r="Z52" s="290">
        <f t="shared" si="22"/>
        <v>0</v>
      </c>
      <c r="AA52" s="290">
        <f t="shared" si="22"/>
        <v>5.7199999999999989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-144828.97</v>
      </c>
      <c r="AE52" s="290">
        <f>SUM(AE47:AE51)</f>
        <v>-144828.97</v>
      </c>
      <c r="AF52" s="331">
        <f t="shared" si="22"/>
        <v>741615.26</v>
      </c>
      <c r="AG52" s="332">
        <f t="shared" si="22"/>
        <v>-2.9103830456733704E-11</v>
      </c>
      <c r="AH52" s="1" t="b">
        <f t="shared" si="17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886438.51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-1002751.39</v>
      </c>
      <c r="E66" s="292">
        <f>'Reversion Pagos R4'!E91</f>
        <v>-48320.26</v>
      </c>
      <c r="F66" s="292">
        <f>'Reversion Pagos R4'!F91</f>
        <v>-26461.59</v>
      </c>
      <c r="G66" s="292">
        <f>'Reversion Pagos R4'!G91</f>
        <v>-13894.78</v>
      </c>
      <c r="H66" s="292">
        <f>'Reversion Pagos R4'!H91</f>
        <v>-192321.07</v>
      </c>
      <c r="I66" s="292">
        <f>'Reversion Pagos R4'!I91</f>
        <v>-4769.8999999999996</v>
      </c>
      <c r="J66" s="288">
        <v>0</v>
      </c>
      <c r="K66" s="293">
        <f>D66-E66-F66-G66-H66-I66-J66</f>
        <v>-716983.78999999992</v>
      </c>
      <c r="L66" s="294">
        <v>0</v>
      </c>
      <c r="M66" s="293">
        <f>K66-L66</f>
        <v>-716983.78999999992</v>
      </c>
      <c r="N66" s="294">
        <f>'Reversion Pagos R4'!P91</f>
        <v>0</v>
      </c>
      <c r="O66" s="293">
        <f>M66+N66</f>
        <v>-716983.78999999992</v>
      </c>
      <c r="Q66" s="306"/>
      <c r="S66" s="303">
        <v>1</v>
      </c>
      <c r="T66" s="304" t="s">
        <v>10</v>
      </c>
      <c r="U66" s="307">
        <f>'Reversion Pagos R4'!J91</f>
        <v>-58128.54</v>
      </c>
      <c r="V66" s="308">
        <f>'Reversion Pagos R4'!K91</f>
        <v>-51931.95</v>
      </c>
      <c r="W66" s="308">
        <f>'Reversion Pagos R4'!L91</f>
        <v>-246615.55</v>
      </c>
      <c r="X66" s="308">
        <f>'Reversion Pagos R4'!M91</f>
        <v>-112108.07</v>
      </c>
      <c r="Y66" s="308">
        <f>'Reversion Pagos R4'!N91</f>
        <v>-7782.32</v>
      </c>
      <c r="Z66" s="310">
        <f>-L66</f>
        <v>0</v>
      </c>
      <c r="AA66" s="320">
        <f>'Reversion Pagos R4'!O91</f>
        <v>-10.3</v>
      </c>
      <c r="AB66" s="294">
        <f>N66</f>
        <v>0</v>
      </c>
      <c r="AC66" s="320">
        <f>+'Reversion Pagos R4'!Q91+'Reversion Pagos R4'!R91</f>
        <v>0</v>
      </c>
      <c r="AD66" s="291">
        <f>-J66+AE66</f>
        <v>-240407.06</v>
      </c>
      <c r="AE66" s="291">
        <f>'Reversion Pagos R4'!D92</f>
        <v>-240407.06</v>
      </c>
      <c r="AF66" s="313">
        <f>SUM(U66:AD66)</f>
        <v>-716983.79</v>
      </c>
      <c r="AG66" s="311">
        <f>(AF66-O66)</f>
        <v>-1.1641532182693481E-10</v>
      </c>
      <c r="AH66" s="1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-290750</v>
      </c>
      <c r="E67" s="292">
        <f>'Reversion Pagos R4'!E192</f>
        <v>-43743.29</v>
      </c>
      <c r="F67" s="292">
        <f>'Reversion Pagos R4'!F192</f>
        <v>-24370.81</v>
      </c>
      <c r="G67" s="292">
        <f>'Reversion Pagos R4'!G192</f>
        <v>-13155.43</v>
      </c>
      <c r="H67" s="292">
        <f>'Reversion Pagos R4'!H192</f>
        <v>-79698.95</v>
      </c>
      <c r="I67" s="292">
        <f>'Reversion Pagos R4'!I192</f>
        <v>-2346.52</v>
      </c>
      <c r="J67" s="288">
        <v>0</v>
      </c>
      <c r="K67" s="295">
        <f t="shared" ref="K67:K70" si="24">D67-E67-F67-G67-H67-I67-J67</f>
        <v>-127435</v>
      </c>
      <c r="L67" s="294">
        <v>0</v>
      </c>
      <c r="M67" s="295">
        <f>K67-L67</f>
        <v>-127435</v>
      </c>
      <c r="N67" s="294">
        <f>'Reversion Pagos R4'!P192</f>
        <v>0</v>
      </c>
      <c r="O67" s="295">
        <f t="shared" ref="O67:O70" si="25">M67+N67</f>
        <v>-127435</v>
      </c>
      <c r="Q67" s="306"/>
      <c r="S67" s="314">
        <v>2</v>
      </c>
      <c r="T67" s="315" t="s">
        <v>11</v>
      </c>
      <c r="U67" s="316">
        <f>'Reversion Pagos R4'!J192</f>
        <v>-20583.689999999999</v>
      </c>
      <c r="V67" s="317">
        <f>'Reversion Pagos R4'!K192</f>
        <v>-20985.200000000001</v>
      </c>
      <c r="W67" s="317">
        <f>'Reversion Pagos R4'!L192</f>
        <v>-90885.63</v>
      </c>
      <c r="X67" s="317">
        <f>'Reversion Pagos R4'!M192</f>
        <v>-87049.75</v>
      </c>
      <c r="Y67" s="318">
        <f>'Reversion Pagos R4'!N192</f>
        <v>-3406.74</v>
      </c>
      <c r="Z67" s="319">
        <f t="shared" ref="Z67:Z70" si="26">-L67</f>
        <v>0</v>
      </c>
      <c r="AA67" s="320">
        <f>'Reversion Pagos R4'!O192</f>
        <v>4.55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95471.46</v>
      </c>
      <c r="AE67" s="291">
        <f>'Reversion Pagos R4'!D193</f>
        <v>95471.46</v>
      </c>
      <c r="AF67" s="322">
        <f>SUM(U67:AD67)</f>
        <v>-127435.00000000001</v>
      </c>
      <c r="AG67" s="323">
        <f>(AF67-O67)</f>
        <v>-1.4551915228366852E-11</v>
      </c>
      <c r="AH67" s="1" t="b">
        <f t="shared" ref="AH67:AH71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-306659.8</v>
      </c>
      <c r="E68" s="292">
        <f>'Reversion Pagos R4'!E229</f>
        <v>-18693.55</v>
      </c>
      <c r="F68" s="292">
        <f>'Reversion Pagos R4'!F229</f>
        <v>-10379.85</v>
      </c>
      <c r="G68" s="292">
        <f>'Reversion Pagos R4'!G229</f>
        <v>-4689.01</v>
      </c>
      <c r="H68" s="292">
        <f>'Reversion Pagos R4'!H229</f>
        <v>-109918.57</v>
      </c>
      <c r="I68" s="292">
        <f>'Reversion Pagos R4'!I229</f>
        <v>-3364.6</v>
      </c>
      <c r="J68" s="288">
        <v>0</v>
      </c>
      <c r="K68" s="295">
        <f t="shared" si="24"/>
        <v>-159614.22</v>
      </c>
      <c r="L68" s="294">
        <v>0</v>
      </c>
      <c r="M68" s="295">
        <f>K68-L68</f>
        <v>-159614.22</v>
      </c>
      <c r="N68" s="294">
        <f>'Reversion Pagos R4'!P229</f>
        <v>0</v>
      </c>
      <c r="O68" s="295">
        <f t="shared" si="25"/>
        <v>-159614.22</v>
      </c>
      <c r="Q68" s="306"/>
      <c r="S68" s="314">
        <v>3</v>
      </c>
      <c r="T68" s="315" t="s">
        <v>12</v>
      </c>
      <c r="U68" s="316">
        <f>'Reversion Pagos R4'!J229</f>
        <v>-29514.26</v>
      </c>
      <c r="V68" s="317">
        <f>'Reversion Pagos R4'!K229</f>
        <v>-33174.65</v>
      </c>
      <c r="W68" s="317">
        <f>'Reversion Pagos R4'!L229</f>
        <v>-139418.01</v>
      </c>
      <c r="X68" s="317">
        <f>'Reversion Pagos R4'!M229</f>
        <v>-43609.04</v>
      </c>
      <c r="Y68" s="318">
        <f>'Reversion Pagos R4'!N229</f>
        <v>-5073.46</v>
      </c>
      <c r="Z68" s="319">
        <f t="shared" si="26"/>
        <v>0</v>
      </c>
      <c r="AA68" s="320">
        <f>'Reversion Pagos R4'!O229</f>
        <v>-0.6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91175.8</v>
      </c>
      <c r="AE68" s="291">
        <f>'Reversion Pagos R4'!D230</f>
        <v>91175.8</v>
      </c>
      <c r="AF68" s="322">
        <f t="shared" ref="AF68:AF70" si="30">SUM(U68:AD68)</f>
        <v>-159614.22000000003</v>
      </c>
      <c r="AG68" s="323">
        <f t="shared" ref="AG68:AG70" si="31">(AF68-O68)</f>
        <v>-2.9103830456733704E-11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-3233428.34</v>
      </c>
      <c r="E69" s="292">
        <f>'Reversion Pagos R4'!E344</f>
        <v>-244475.28</v>
      </c>
      <c r="F69" s="292">
        <f>'Reversion Pagos R4'!F344</f>
        <v>-136481.51999999999</v>
      </c>
      <c r="G69" s="292">
        <f>'Reversion Pagos R4'!G344</f>
        <v>-70069.759999999995</v>
      </c>
      <c r="H69" s="292">
        <f>'Reversion Pagos R4'!H344</f>
        <v>-874916.54</v>
      </c>
      <c r="I69" s="292">
        <f>'Reversion Pagos R4'!I344</f>
        <v>-29547.52</v>
      </c>
      <c r="J69" s="288">
        <v>0</v>
      </c>
      <c r="K69" s="295">
        <f t="shared" si="24"/>
        <v>-1877937.7200000002</v>
      </c>
      <c r="L69" s="294">
        <v>0</v>
      </c>
      <c r="M69" s="295">
        <f>K69-L69</f>
        <v>-1877937.7200000002</v>
      </c>
      <c r="N69" s="294">
        <f>'Reversion Pagos R4'!P344</f>
        <v>0</v>
      </c>
      <c r="O69" s="295">
        <f t="shared" si="25"/>
        <v>-1877937.7200000002</v>
      </c>
      <c r="Q69" s="306"/>
      <c r="S69" s="314">
        <v>4</v>
      </c>
      <c r="T69" s="315" t="s">
        <v>13</v>
      </c>
      <c r="U69" s="316">
        <f>'Reversion Pagos R4'!J344</f>
        <v>-287002.90999999997</v>
      </c>
      <c r="V69" s="317">
        <f>'Reversion Pagos R4'!K344</f>
        <v>-286014.33</v>
      </c>
      <c r="W69" s="317">
        <f>'Reversion Pagos R4'!L344</f>
        <v>-1382695.11</v>
      </c>
      <c r="X69" s="317">
        <f>'Reversion Pagos R4'!M344</f>
        <v>-664042.92000000004</v>
      </c>
      <c r="Y69" s="318">
        <f>'Reversion Pagos R4'!N344</f>
        <v>-49987.93</v>
      </c>
      <c r="Z69" s="319">
        <f t="shared" si="26"/>
        <v>0</v>
      </c>
      <c r="AA69" s="320">
        <f>'Reversion Pagos R4'!O344</f>
        <v>14.81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791790.67</v>
      </c>
      <c r="AE69" s="291">
        <f>'Reversion Pagos R4'!D345</f>
        <v>791790.67</v>
      </c>
      <c r="AF69" s="322">
        <f>SUM(U69:AD69)</f>
        <v>-1877937.7200000002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-1026775.53</v>
      </c>
      <c r="E70" s="297">
        <f>'Reversion Pagos R4'!E385</f>
        <v>-73382.63</v>
      </c>
      <c r="F70" s="297">
        <f>'Reversion Pagos R4'!F385</f>
        <v>-40062.910000000003</v>
      </c>
      <c r="G70" s="297">
        <f>'Reversion Pagos R4'!G385</f>
        <v>-21037.22</v>
      </c>
      <c r="H70" s="297">
        <f>'Reversion Pagos R4'!H385</f>
        <v>-237911.25</v>
      </c>
      <c r="I70" s="297">
        <f>'Reversion Pagos R4'!I385</f>
        <v>-6630.82</v>
      </c>
      <c r="J70" s="289">
        <v>0</v>
      </c>
      <c r="K70" s="295">
        <f t="shared" si="24"/>
        <v>-647750.70000000007</v>
      </c>
      <c r="L70" s="294">
        <v>0</v>
      </c>
      <c r="M70" s="298">
        <f>K70-L70</f>
        <v>-647750.70000000007</v>
      </c>
      <c r="N70" s="294">
        <f>'Reversion Pagos R4'!P385</f>
        <v>0</v>
      </c>
      <c r="O70" s="298">
        <f t="shared" si="25"/>
        <v>-647750.70000000007</v>
      </c>
      <c r="Q70" s="306"/>
      <c r="S70" s="324">
        <v>5</v>
      </c>
      <c r="T70" s="325" t="s">
        <v>14</v>
      </c>
      <c r="U70" s="296">
        <f>'Reversion Pagos R4'!J385</f>
        <v>-58163.8</v>
      </c>
      <c r="V70" s="297">
        <f>'Reversion Pagos R4'!K385</f>
        <v>-68993.55</v>
      </c>
      <c r="W70" s="297">
        <f>'Reversion Pagos R4'!L385</f>
        <v>-354139.53</v>
      </c>
      <c r="X70" s="297">
        <f>'Reversion Pagos R4'!M385</f>
        <v>-219912.31</v>
      </c>
      <c r="Y70" s="289">
        <f>'Reversion Pagos R4'!N385</f>
        <v>-10818.54</v>
      </c>
      <c r="Z70" s="319">
        <f t="shared" si="26"/>
        <v>0</v>
      </c>
      <c r="AA70" s="320">
        <f>'Reversion Pagos R4'!O385</f>
        <v>-11.35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64288.38</v>
      </c>
      <c r="AE70" s="291">
        <f>'Reversion Pagos R4'!D386</f>
        <v>64288.38</v>
      </c>
      <c r="AF70" s="322">
        <f t="shared" si="30"/>
        <v>-647750.69999999995</v>
      </c>
      <c r="AG70" s="326">
        <f t="shared" si="31"/>
        <v>1.1641532182693481E-10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-5860365.0600000005</v>
      </c>
      <c r="E71" s="290">
        <f t="shared" si="32"/>
        <v>-428615.01</v>
      </c>
      <c r="F71" s="290">
        <f t="shared" si="32"/>
        <v>-237756.68</v>
      </c>
      <c r="G71" s="290">
        <f t="shared" si="32"/>
        <v>-122846.2</v>
      </c>
      <c r="H71" s="290">
        <f t="shared" si="32"/>
        <v>-1494766.3800000001</v>
      </c>
      <c r="I71" s="290">
        <f t="shared" si="32"/>
        <v>-46659.360000000001</v>
      </c>
      <c r="J71" s="290">
        <f t="shared" si="32"/>
        <v>0</v>
      </c>
      <c r="K71" s="300">
        <f t="shared" si="32"/>
        <v>-3529721.43</v>
      </c>
      <c r="L71" s="301">
        <f t="shared" si="32"/>
        <v>0</v>
      </c>
      <c r="M71" s="302">
        <f t="shared" si="32"/>
        <v>-3529721.43</v>
      </c>
      <c r="N71" s="301">
        <f t="shared" si="32"/>
        <v>0</v>
      </c>
      <c r="O71" s="302">
        <f t="shared" si="32"/>
        <v>-3529721.43</v>
      </c>
      <c r="P71" s="329"/>
      <c r="Q71" s="306"/>
      <c r="S71" s="327"/>
      <c r="T71" s="328" t="s">
        <v>2</v>
      </c>
      <c r="U71" s="330">
        <f>SUM(U66:U70)</f>
        <v>-453393.19999999995</v>
      </c>
      <c r="V71" s="330">
        <f t="shared" ref="V71:AG71" si="33">SUM(V66:V70)</f>
        <v>-461099.68</v>
      </c>
      <c r="W71" s="330">
        <f t="shared" si="33"/>
        <v>-2213753.83</v>
      </c>
      <c r="X71" s="330">
        <f t="shared" si="33"/>
        <v>-1126722.0900000001</v>
      </c>
      <c r="Y71" s="330">
        <f t="shared" si="33"/>
        <v>-77068.989999999991</v>
      </c>
      <c r="Z71" s="290">
        <f t="shared" si="33"/>
        <v>0</v>
      </c>
      <c r="AA71" s="290">
        <f>SUM(AA66:AA70)</f>
        <v>-2.8899999999999988</v>
      </c>
      <c r="AB71" s="290">
        <f t="shared" si="33"/>
        <v>0</v>
      </c>
      <c r="AC71" s="290">
        <f t="shared" si="33"/>
        <v>0</v>
      </c>
      <c r="AD71" s="290">
        <f>SUM(AD66:AD70)</f>
        <v>802319.25000000012</v>
      </c>
      <c r="AE71" s="290">
        <f>SUM(AE66:AE70)</f>
        <v>802319.25000000012</v>
      </c>
      <c r="AF71" s="331">
        <f t="shared" si="33"/>
        <v>-3529721.4300000006</v>
      </c>
      <c r="AG71" s="332">
        <f t="shared" si="33"/>
        <v>-4.3655745685100555E-11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-4332037.79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807049068.57000017</v>
      </c>
      <c r="E104" s="292">
        <f t="shared" si="40"/>
        <v>99193733.159999996</v>
      </c>
      <c r="F104" s="292">
        <f t="shared" si="40"/>
        <v>55706578.209999993</v>
      </c>
      <c r="G104" s="292">
        <f t="shared" si="40"/>
        <v>29360739.059999999</v>
      </c>
      <c r="H104" s="292">
        <f t="shared" si="40"/>
        <v>53694460.149999999</v>
      </c>
      <c r="I104" s="292">
        <f t="shared" si="40"/>
        <v>1708389.85</v>
      </c>
      <c r="J104" s="288">
        <f t="shared" si="40"/>
        <v>0</v>
      </c>
      <c r="K104" s="293">
        <f>D104-E104-F104-G104-H104-I104-J104</f>
        <v>567385168.14000022</v>
      </c>
      <c r="L104" s="294">
        <f>L9+L28+L47+L66+L85</f>
        <v>0</v>
      </c>
      <c r="M104" s="293">
        <f>K104-L104</f>
        <v>567385168.14000022</v>
      </c>
      <c r="N104" s="294">
        <f>N9+N28+N47+N66+N85</f>
        <v>8760824.0099999998</v>
      </c>
      <c r="O104" s="293">
        <f>M104+N104</f>
        <v>576145992.15000021</v>
      </c>
      <c r="Q104" s="306"/>
      <c r="S104" s="303">
        <v>1</v>
      </c>
      <c r="T104" s="304" t="s">
        <v>10</v>
      </c>
      <c r="U104" s="307">
        <f t="shared" ref="U104:AB108" si="41">U9+U28+U47+U66+U85</f>
        <v>15073165.450000001</v>
      </c>
      <c r="V104" s="308">
        <f t="shared" si="41"/>
        <v>18351766.840000004</v>
      </c>
      <c r="W104" s="308">
        <f t="shared" si="41"/>
        <v>85158116.140000001</v>
      </c>
      <c r="X104" s="308">
        <f t="shared" si="41"/>
        <v>271402094.66000003</v>
      </c>
      <c r="Y104" s="309">
        <f t="shared" si="41"/>
        <v>2783141.35</v>
      </c>
      <c r="Z104" s="310">
        <f t="shared" si="41"/>
        <v>0</v>
      </c>
      <c r="AA104" s="311">
        <f t="shared" si="41"/>
        <v>-864.44</v>
      </c>
      <c r="AB104" s="294">
        <f t="shared" si="41"/>
        <v>8760824.0099999998</v>
      </c>
      <c r="AC104" s="312">
        <f t="shared" ref="AC104" si="42">AC9+AC28+AC47+AC66+AC85</f>
        <v>-2114.38</v>
      </c>
      <c r="AD104" s="291">
        <f>-J104+AE104</f>
        <v>174619862.51999998</v>
      </c>
      <c r="AE104" s="291">
        <f>AE9+AE28+AE47+AE66+AE85</f>
        <v>174619862.51999998</v>
      </c>
      <c r="AF104" s="313">
        <f>SUM(U104:AD104)</f>
        <v>576145992.1500001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1404601147.78</v>
      </c>
      <c r="E105" s="292">
        <f t="shared" si="40"/>
        <v>183955211.98000002</v>
      </c>
      <c r="F105" s="292">
        <f t="shared" si="40"/>
        <v>102944599.42999999</v>
      </c>
      <c r="G105" s="292">
        <f t="shared" si="40"/>
        <v>54335275.669999994</v>
      </c>
      <c r="H105" s="292">
        <f t="shared" si="40"/>
        <v>214011816.64000002</v>
      </c>
      <c r="I105" s="292">
        <f t="shared" si="40"/>
        <v>5870826.8500000006</v>
      </c>
      <c r="J105" s="288">
        <f t="shared" si="40"/>
        <v>0</v>
      </c>
      <c r="K105" s="295">
        <f t="shared" ref="K105:K108" si="43">D105-E105-F105-G105-H105-I105-J105</f>
        <v>843483417.20999992</v>
      </c>
      <c r="L105" s="294">
        <f>L10+L29+L48+L67+L86</f>
        <v>0</v>
      </c>
      <c r="M105" s="295">
        <f>K105-L105</f>
        <v>843483417.20999992</v>
      </c>
      <c r="N105" s="294">
        <f>N10+N29+N48+N67+N86</f>
        <v>29180991.390000001</v>
      </c>
      <c r="O105" s="295">
        <f t="shared" ref="O105:O108" si="44">M105+N105</f>
        <v>872664408.5999999</v>
      </c>
      <c r="Q105" s="306"/>
      <c r="S105" s="314">
        <v>2</v>
      </c>
      <c r="T105" s="315" t="s">
        <v>11</v>
      </c>
      <c r="U105" s="316">
        <f t="shared" si="41"/>
        <v>51434199.740000002</v>
      </c>
      <c r="V105" s="317">
        <f t="shared" si="41"/>
        <v>70337397.799999997</v>
      </c>
      <c r="W105" s="317">
        <f t="shared" si="41"/>
        <v>321021887.77000004</v>
      </c>
      <c r="X105" s="317">
        <f t="shared" si="41"/>
        <v>381196564.10999995</v>
      </c>
      <c r="Y105" s="318">
        <f t="shared" si="41"/>
        <v>9471108.7799999993</v>
      </c>
      <c r="Z105" s="319">
        <f t="shared" si="41"/>
        <v>0</v>
      </c>
      <c r="AA105" s="320">
        <f t="shared" si="41"/>
        <v>-3277.8299999999995</v>
      </c>
      <c r="AB105" s="294">
        <f t="shared" si="41"/>
        <v>29180991.390000001</v>
      </c>
      <c r="AC105" s="321">
        <f t="shared" ref="AC105" si="45">AC10+AC29+AC48+AC67+AC86</f>
        <v>-13.53</v>
      </c>
      <c r="AD105" s="291">
        <f t="shared" ref="AD105:AD107" si="46">-J105+AE105</f>
        <v>10025550.370000001</v>
      </c>
      <c r="AE105" s="291">
        <f>AE10+AE29+AE48+AE67+AE86</f>
        <v>10025550.370000001</v>
      </c>
      <c r="AF105" s="322">
        <f>SUM(U105:AD105)</f>
        <v>872664408.60000002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1245261377.0799999</v>
      </c>
      <c r="E106" s="292">
        <f t="shared" si="40"/>
        <v>169179321.98000002</v>
      </c>
      <c r="F106" s="292">
        <f t="shared" si="40"/>
        <v>94674360.829999998</v>
      </c>
      <c r="G106" s="292">
        <f t="shared" si="40"/>
        <v>50112712.770000003</v>
      </c>
      <c r="H106" s="292">
        <f t="shared" si="40"/>
        <v>37910837.479999997</v>
      </c>
      <c r="I106" s="292">
        <f t="shared" si="40"/>
        <v>1165755.6399999999</v>
      </c>
      <c r="J106" s="288">
        <f t="shared" si="40"/>
        <v>0</v>
      </c>
      <c r="K106" s="295">
        <f t="shared" si="43"/>
        <v>892218388.37999988</v>
      </c>
      <c r="L106" s="294">
        <f>L11+L30+L49+L68+L87</f>
        <v>0</v>
      </c>
      <c r="M106" s="295">
        <f>K106-L106</f>
        <v>892218388.37999988</v>
      </c>
      <c r="N106" s="294">
        <f>N11+N30+N49+N68+N87</f>
        <v>1311387.82</v>
      </c>
      <c r="O106" s="295">
        <f t="shared" si="44"/>
        <v>893529776.19999993</v>
      </c>
      <c r="Q106" s="306"/>
      <c r="S106" s="314">
        <v>3</v>
      </c>
      <c r="T106" s="315" t="s">
        <v>12</v>
      </c>
      <c r="U106" s="316">
        <f t="shared" si="41"/>
        <v>10225267.880000001</v>
      </c>
      <c r="V106" s="317">
        <f t="shared" si="41"/>
        <v>13794028.73</v>
      </c>
      <c r="W106" s="317">
        <f t="shared" si="41"/>
        <v>64505492.360000007</v>
      </c>
      <c r="X106" s="317">
        <f t="shared" si="41"/>
        <v>393819035.60999995</v>
      </c>
      <c r="Y106" s="318">
        <f t="shared" si="41"/>
        <v>1909745.96</v>
      </c>
      <c r="Z106" s="319">
        <f t="shared" si="41"/>
        <v>0</v>
      </c>
      <c r="AA106" s="320">
        <f t="shared" si="41"/>
        <v>-972.41000000000008</v>
      </c>
      <c r="AB106" s="294">
        <f t="shared" si="41"/>
        <v>1311387.82</v>
      </c>
      <c r="AC106" s="321">
        <f t="shared" ref="AC106" si="48">AC11+AC30+AC49+AC68+AC87</f>
        <v>-11886.56</v>
      </c>
      <c r="AD106" s="291">
        <f t="shared" si="46"/>
        <v>407977676.81</v>
      </c>
      <c r="AE106" s="291">
        <f>AE11+AE30+AE49+AE68+AE87</f>
        <v>407977676.81</v>
      </c>
      <c r="AF106" s="322">
        <f>SUM(U106:AD106)</f>
        <v>893529776.19999981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488724679.72000009</v>
      </c>
      <c r="E107" s="292">
        <f t="shared" si="40"/>
        <v>55203155.700000003</v>
      </c>
      <c r="F107" s="292">
        <f t="shared" si="40"/>
        <v>30345126.150000002</v>
      </c>
      <c r="G107" s="292">
        <f t="shared" si="40"/>
        <v>15489479.65</v>
      </c>
      <c r="H107" s="292">
        <f t="shared" si="40"/>
        <v>57754003.020000003</v>
      </c>
      <c r="I107" s="292">
        <f t="shared" si="40"/>
        <v>1909778.2499999998</v>
      </c>
      <c r="J107" s="288">
        <f t="shared" si="40"/>
        <v>0</v>
      </c>
      <c r="K107" s="295">
        <f t="shared" si="43"/>
        <v>328023136.95000017</v>
      </c>
      <c r="L107" s="294">
        <f>L12+L31+L50+L69+L88</f>
        <v>0</v>
      </c>
      <c r="M107" s="295">
        <f>K107-L107</f>
        <v>328023136.95000017</v>
      </c>
      <c r="N107" s="294">
        <f>N12+N31+N50+N69+N88</f>
        <v>14919457.4</v>
      </c>
      <c r="O107" s="295">
        <f t="shared" si="44"/>
        <v>342942594.35000014</v>
      </c>
      <c r="Q107" s="306"/>
      <c r="S107" s="314">
        <v>4</v>
      </c>
      <c r="T107" s="315" t="s">
        <v>13</v>
      </c>
      <c r="U107" s="316">
        <f t="shared" si="41"/>
        <v>18153635.699999999</v>
      </c>
      <c r="V107" s="317">
        <f t="shared" si="41"/>
        <v>22508162.759999998</v>
      </c>
      <c r="W107" s="317">
        <f t="shared" si="41"/>
        <v>110934136.67000002</v>
      </c>
      <c r="X107" s="317">
        <f t="shared" si="41"/>
        <v>146478227.43000004</v>
      </c>
      <c r="Y107" s="318">
        <f t="shared" si="41"/>
        <v>3110743.9899999998</v>
      </c>
      <c r="Z107" s="319">
        <f t="shared" si="41"/>
        <v>0</v>
      </c>
      <c r="AA107" s="320">
        <f t="shared" si="41"/>
        <v>602.99999999999989</v>
      </c>
      <c r="AB107" s="294">
        <f t="shared" si="41"/>
        <v>14919457.4</v>
      </c>
      <c r="AC107" s="321">
        <f t="shared" ref="AC107" si="49">AC12+AC31+AC50+AC69+AC88</f>
        <v>-80.570000000000007</v>
      </c>
      <c r="AD107" s="291">
        <f t="shared" si="46"/>
        <v>26837707.969999999</v>
      </c>
      <c r="AE107" s="291">
        <f>AE12+AE31+AE50+AE69+AE88</f>
        <v>26837707.969999999</v>
      </c>
      <c r="AF107" s="322">
        <f>SUM(U107:AD107)</f>
        <v>342942594.35000002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317721932.47000003</v>
      </c>
      <c r="E108" s="297">
        <f t="shared" si="40"/>
        <v>31184102.540000003</v>
      </c>
      <c r="F108" s="297">
        <f t="shared" si="40"/>
        <v>17438110.490000002</v>
      </c>
      <c r="G108" s="297">
        <f t="shared" si="40"/>
        <v>9129338.4999999981</v>
      </c>
      <c r="H108" s="297">
        <f t="shared" si="40"/>
        <v>18288367.830000002</v>
      </c>
      <c r="I108" s="297">
        <f t="shared" si="40"/>
        <v>845568.67</v>
      </c>
      <c r="J108" s="289">
        <f t="shared" si="40"/>
        <v>0</v>
      </c>
      <c r="K108" s="295">
        <f t="shared" si="43"/>
        <v>240836444.44</v>
      </c>
      <c r="L108" s="294">
        <f>L13+L32+L51+L70+L89</f>
        <v>0</v>
      </c>
      <c r="M108" s="298">
        <f>K108-L108</f>
        <v>240836444.44</v>
      </c>
      <c r="N108" s="299">
        <f>N13+N32+N51+N70+N89</f>
        <v>6894658.7800000003</v>
      </c>
      <c r="O108" s="298">
        <f t="shared" si="44"/>
        <v>247731103.22</v>
      </c>
      <c r="Q108" s="306"/>
      <c r="S108" s="324">
        <v>5</v>
      </c>
      <c r="T108" s="325" t="s">
        <v>14</v>
      </c>
      <c r="U108" s="296">
        <f t="shared" si="41"/>
        <v>7530881.8600000003</v>
      </c>
      <c r="V108" s="297">
        <f t="shared" si="41"/>
        <v>9040944.5399999991</v>
      </c>
      <c r="W108" s="297">
        <f t="shared" si="41"/>
        <v>45756182.879999995</v>
      </c>
      <c r="X108" s="297">
        <f t="shared" si="41"/>
        <v>92948094.320000008</v>
      </c>
      <c r="Y108" s="289">
        <f t="shared" si="41"/>
        <v>1374403.66</v>
      </c>
      <c r="Z108" s="319">
        <f t="shared" si="41"/>
        <v>0</v>
      </c>
      <c r="AA108" s="320">
        <f t="shared" si="41"/>
        <v>-760.25999999999988</v>
      </c>
      <c r="AB108" s="294">
        <f t="shared" si="41"/>
        <v>6894658.7800000003</v>
      </c>
      <c r="AC108" s="321">
        <f t="shared" ref="AC108" si="50">AC13+AC32+AC51+AC70+AC89</f>
        <v>0.35000000000000003</v>
      </c>
      <c r="AD108" s="291">
        <f>-J108+AE108</f>
        <v>84186697.089999989</v>
      </c>
      <c r="AE108" s="291">
        <f>AE13+AE32+AE51+AE70+AE89</f>
        <v>84186697.089999989</v>
      </c>
      <c r="AF108" s="322">
        <f>SUM(U108:AD108)</f>
        <v>247731103.21999997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4263358205.6200008</v>
      </c>
      <c r="E109" s="290">
        <f t="shared" ref="E109:O109" si="51">SUM(E104:E108)</f>
        <v>538715525.36000001</v>
      </c>
      <c r="F109" s="290">
        <f t="shared" si="51"/>
        <v>301108775.10999995</v>
      </c>
      <c r="G109" s="290">
        <f t="shared" si="51"/>
        <v>158427545.65000001</v>
      </c>
      <c r="H109" s="290">
        <f t="shared" si="51"/>
        <v>381659485.12</v>
      </c>
      <c r="I109" s="290">
        <f t="shared" si="51"/>
        <v>11500319.260000002</v>
      </c>
      <c r="J109" s="290">
        <f t="shared" si="51"/>
        <v>0</v>
      </c>
      <c r="K109" s="300">
        <f t="shared" si="51"/>
        <v>2871946555.1200004</v>
      </c>
      <c r="L109" s="301">
        <f t="shared" si="51"/>
        <v>0</v>
      </c>
      <c r="M109" s="302">
        <f t="shared" si="51"/>
        <v>2871946555.1200004</v>
      </c>
      <c r="N109" s="301">
        <f>SUM(N104:N108)</f>
        <v>61067319.399999999</v>
      </c>
      <c r="O109" s="302">
        <f t="shared" si="51"/>
        <v>2933013874.52</v>
      </c>
      <c r="P109" s="329"/>
      <c r="Q109" s="306"/>
      <c r="S109" s="327"/>
      <c r="T109" s="328" t="s">
        <v>2</v>
      </c>
      <c r="U109" s="330">
        <f>SUM(U104:U108)</f>
        <v>102417150.63000001</v>
      </c>
      <c r="V109" s="330">
        <f t="shared" ref="V109:AF109" si="52">SUM(V104:V108)</f>
        <v>134032300.66999999</v>
      </c>
      <c r="W109" s="330">
        <f t="shared" si="52"/>
        <v>627375815.82000005</v>
      </c>
      <c r="X109" s="330">
        <f t="shared" si="52"/>
        <v>1285844016.1299999</v>
      </c>
      <c r="Y109" s="330">
        <f t="shared" si="52"/>
        <v>18649143.739999998</v>
      </c>
      <c r="Z109" s="290">
        <f t="shared" si="52"/>
        <v>0</v>
      </c>
      <c r="AA109" s="290">
        <f t="shared" si="52"/>
        <v>-5271.94</v>
      </c>
      <c r="AB109" s="470">
        <f t="shared" si="52"/>
        <v>61067319.399999999</v>
      </c>
      <c r="AC109" s="290">
        <f t="shared" ref="AC109" si="53">SUM(AC104:AC108)</f>
        <v>-14094.689999999999</v>
      </c>
      <c r="AD109" s="290">
        <f t="shared" si="52"/>
        <v>703647494.76000011</v>
      </c>
      <c r="AE109" s="290">
        <f>SUM(AE104:AE108)</f>
        <v>703647494.76000011</v>
      </c>
      <c r="AF109" s="331">
        <f t="shared" si="52"/>
        <v>2933013874.5199995</v>
      </c>
      <c r="AG109" s="332">
        <f>SUM(AG104:AG108)</f>
        <v>0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2168318426.9899998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17358483.629999999</v>
      </c>
      <c r="E125" s="309">
        <v>0</v>
      </c>
      <c r="G125" s="336">
        <f>D47+N47</f>
        <v>0</v>
      </c>
      <c r="H125" s="310">
        <f>D28+N28</f>
        <v>28857410.600000001</v>
      </c>
      <c r="I125" s="309">
        <f>D85+N85</f>
        <v>0</v>
      </c>
      <c r="J125" s="309">
        <f>D66+N66</f>
        <v>-1002751.39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79433109</v>
      </c>
      <c r="E126" s="288">
        <v>0</v>
      </c>
      <c r="G126" s="339">
        <f>D48+N48</f>
        <v>111210</v>
      </c>
      <c r="H126" s="340">
        <f>D29+N29</f>
        <v>87448610.169999987</v>
      </c>
      <c r="I126" s="288">
        <f>D86+N86</f>
        <v>0</v>
      </c>
      <c r="J126" s="288">
        <f t="shared" ref="J126:J129" si="54">D67+N67</f>
        <v>-290750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14844502.92</v>
      </c>
      <c r="E127" s="288">
        <v>0</v>
      </c>
      <c r="G127" s="339">
        <f>D49+N49</f>
        <v>0</v>
      </c>
      <c r="H127" s="340">
        <f>D30+N30</f>
        <v>16553408.619999999</v>
      </c>
      <c r="I127" s="288">
        <f>D87+N87</f>
        <v>0</v>
      </c>
      <c r="J127" s="288">
        <f t="shared" si="54"/>
        <v>-306659.8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14631795.34</v>
      </c>
      <c r="E128" s="288">
        <v>0</v>
      </c>
      <c r="G128" s="339">
        <f>D50+N50</f>
        <v>691194</v>
      </c>
      <c r="H128" s="340">
        <f>D31+N31</f>
        <v>34178649.799999997</v>
      </c>
      <c r="I128" s="288">
        <f>D88+N88</f>
        <v>0</v>
      </c>
      <c r="J128" s="288">
        <f t="shared" si="54"/>
        <v>-3233428.34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10604847.960000001</v>
      </c>
      <c r="E129" s="344">
        <v>0</v>
      </c>
      <c r="G129" s="339">
        <f>D51+N51</f>
        <v>441849</v>
      </c>
      <c r="H129" s="340">
        <f>D32+N32</f>
        <v>14307244.74</v>
      </c>
      <c r="I129" s="288">
        <f>D89+N89</f>
        <v>0</v>
      </c>
      <c r="J129" s="288">
        <f t="shared" si="54"/>
        <v>-1026775.53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136872738.84999999</v>
      </c>
      <c r="E131" s="350">
        <f>SUM(E125:E130)</f>
        <v>0</v>
      </c>
      <c r="F131" s="351"/>
      <c r="G131" s="350">
        <f t="shared" ref="G131" si="55">SUM(G125:G129)</f>
        <v>1244253</v>
      </c>
      <c r="H131" s="350">
        <f>SUM(H125:H130)</f>
        <v>181345323.93000001</v>
      </c>
      <c r="I131" s="350">
        <f>SUM(I125:I130)</f>
        <v>0</v>
      </c>
      <c r="J131" s="350">
        <f>SUM(J125:J130)</f>
        <v>-5860365.0600000005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833168376.21000016</v>
      </c>
      <c r="E142" s="110">
        <f>'Recaudo Directa Occidente'!F21</f>
        <v>805313717</v>
      </c>
      <c r="F142" s="110">
        <f>D28+N28</f>
        <v>28857410.600000001</v>
      </c>
      <c r="G142" s="110">
        <f>D66+N66</f>
        <v>-1002751.39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28857410.600000001</v>
      </c>
      <c r="L142" s="525">
        <f>D142-E142-F142-G142-J142-H142-I142</f>
        <v>1.5588011592626572E-7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1513215248.1700001</v>
      </c>
      <c r="E143" s="18">
        <f>'Recaudo Directa Occidente'!F22</f>
        <v>1425946178</v>
      </c>
      <c r="F143" s="18">
        <f>D29+N29</f>
        <v>87448610.169999987</v>
      </c>
      <c r="G143" s="18">
        <f>D67+N67</f>
        <v>-290750</v>
      </c>
      <c r="H143" s="18">
        <f>D86+N86</f>
        <v>0</v>
      </c>
      <c r="I143" s="18">
        <f>('REPORTE RECAUDO x BANCO'!E76)</f>
        <v>0</v>
      </c>
      <c r="J143" s="18">
        <f t="shared" si="56"/>
        <v>111210</v>
      </c>
      <c r="K143" s="83">
        <f t="shared" si="56"/>
        <v>87448610.169999987</v>
      </c>
      <c r="L143" s="525">
        <f>D143-E143-F143-G143-J143-H143-I143</f>
        <v>8.9406967163085938E-8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1261417267.8199999</v>
      </c>
      <c r="E144" s="18">
        <f>'Recaudo Directa Occidente'!F23</f>
        <v>1245170519</v>
      </c>
      <c r="F144" s="18">
        <f>D30+N30</f>
        <v>16553408.619999999</v>
      </c>
      <c r="G144" s="18">
        <f>D68+N68</f>
        <v>-306659.8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16553408.619999999</v>
      </c>
      <c r="L144" s="525">
        <f>D144-E144-F144-G144-J144-H144-I144</f>
        <v>-6.5949279814958572E-8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518275932.46000004</v>
      </c>
      <c r="E145" s="18">
        <f>'Recaudo Directa Occidente'!F24</f>
        <v>486639517</v>
      </c>
      <c r="F145" s="18">
        <f>D31+N31</f>
        <v>34178649.799999997</v>
      </c>
      <c r="G145" s="18">
        <f>D69+N69</f>
        <v>-3233428.34</v>
      </c>
      <c r="H145" s="18">
        <f>D88+N88</f>
        <v>0</v>
      </c>
      <c r="I145" s="18">
        <f>('REPORTE RECAUDO x BANCO'!E78)</f>
        <v>0</v>
      </c>
      <c r="J145" s="18">
        <f t="shared" si="56"/>
        <v>691194</v>
      </c>
      <c r="K145" s="83">
        <f t="shared" si="56"/>
        <v>34178649.799999997</v>
      </c>
      <c r="L145" s="525">
        <f>D145-E145-F145-G145-J145-H145-I145</f>
        <v>4.0978193283081055E-8</v>
      </c>
      <c r="M145" s="1" t="b">
        <f t="shared" si="5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335221439.20999998</v>
      </c>
      <c r="E146" s="18">
        <f>'Recaudo Directa Occidente'!F25</f>
        <v>321499121</v>
      </c>
      <c r="F146" s="134">
        <f>D32+N32</f>
        <v>14307244.74</v>
      </c>
      <c r="G146" s="134">
        <f>D70+N70</f>
        <v>-1026775.53</v>
      </c>
      <c r="H146" s="134">
        <f>D89+N89</f>
        <v>0</v>
      </c>
      <c r="I146" s="134">
        <f>('REPORTE RECAUDO x BANCO'!E79)</f>
        <v>0</v>
      </c>
      <c r="J146" s="134">
        <f t="shared" si="56"/>
        <v>441849</v>
      </c>
      <c r="K146" s="136">
        <f t="shared" si="56"/>
        <v>14307244.74</v>
      </c>
      <c r="L146" s="525">
        <f>D146-E146-F146-G146-J146-H146-I146</f>
        <v>-2.1653249859809875E-8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4461298263.8699999</v>
      </c>
      <c r="E147" s="47">
        <f>SUM(E142:E146)</f>
        <v>4284569052</v>
      </c>
      <c r="F147" s="47">
        <f t="shared" ref="F147:K147" si="58">SUM(F142:F146)</f>
        <v>181345323.93000001</v>
      </c>
      <c r="G147" s="47">
        <f t="shared" si="58"/>
        <v>-5860365.0600000005</v>
      </c>
      <c r="H147" s="47">
        <f t="shared" si="58"/>
        <v>0</v>
      </c>
      <c r="I147" s="47">
        <f t="shared" si="58"/>
        <v>0</v>
      </c>
      <c r="J147" s="47">
        <f t="shared" si="58"/>
        <v>1244253</v>
      </c>
      <c r="K147" s="47">
        <f t="shared" si="58"/>
        <v>181345323.93000001</v>
      </c>
      <c r="L147" s="525">
        <f>SUM(L142:L146)</f>
        <v>1.9866274669766426E-7</v>
      </c>
      <c r="M147" s="1" t="b">
        <f t="shared" si="57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Occidente'!F21</f>
        <v>805313717</v>
      </c>
      <c r="D3" s="292">
        <f>'REMUNERACION_OCCIDENTE_ Directa'!G125</f>
        <v>0</v>
      </c>
      <c r="E3" s="292">
        <f>'REMUNERACION_OCCIDENTE_ Directa'!D28+'REMUNERACION_OCCIDENTE_ Directa'!N28</f>
        <v>28857410.600000001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834171127.60000002</v>
      </c>
      <c r="I3" s="291">
        <f>'REMUNERACION_OCCIDENTE_ Directa'!D104</f>
        <v>807049068.57000017</v>
      </c>
      <c r="J3" s="292">
        <f>'REMUNERACION_OCCIDENTE_ Directa'!N104</f>
        <v>8760824.0099999998</v>
      </c>
      <c r="K3" s="292">
        <f>'REMUNERACION_OCCIDENTE_ Directa'!D125</f>
        <v>17358483.629999999</v>
      </c>
      <c r="L3" s="353">
        <f>'REMUNERACION_OCCIDENTE_ Directa'!E125</f>
        <v>0</v>
      </c>
      <c r="M3" s="292">
        <f>-'REMUNERACION_OCCIDENTE_ Directa'!D66-'REMUNERACION_OCCIDENTE_ Directa'!N66</f>
        <v>1002751.39</v>
      </c>
      <c r="N3" s="288">
        <f>SUM(I3:M3)</f>
        <v>834171127.60000014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Occidente'!F22</f>
        <v>1425946178</v>
      </c>
      <c r="D4" s="292">
        <f>'REMUNERACION_OCCIDENTE_ Directa'!G126</f>
        <v>111210</v>
      </c>
      <c r="E4" s="292">
        <f>'REMUNERACION_OCCIDENTE_ Directa'!D29+'REMUNERACION_OCCIDENTE_ Directa'!N29</f>
        <v>87448610.169999987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1513505998.1700001</v>
      </c>
      <c r="I4" s="291">
        <f>'REMUNERACION_OCCIDENTE_ Directa'!D105</f>
        <v>1404601147.78</v>
      </c>
      <c r="J4" s="292">
        <f>'REMUNERACION_OCCIDENTE_ Directa'!N105</f>
        <v>29180991.390000001</v>
      </c>
      <c r="K4" s="292">
        <f>'REMUNERACION_OCCIDENTE_ Directa'!D126</f>
        <v>79433109</v>
      </c>
      <c r="L4" s="353">
        <f>'REMUNERACION_OCCIDENTE_ Directa'!E126</f>
        <v>0</v>
      </c>
      <c r="M4" s="292">
        <f>-'REMUNERACION_OCCIDENTE_ Directa'!D67-'REMUNERACION_OCCIDENTE_ Directa'!N67</f>
        <v>290750</v>
      </c>
      <c r="N4" s="318">
        <f>SUM(I4:M4)</f>
        <v>1513505998.1700001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Occidente'!F23</f>
        <v>1245170519</v>
      </c>
      <c r="D5" s="292">
        <f>'REMUNERACION_OCCIDENTE_ Directa'!G127</f>
        <v>0</v>
      </c>
      <c r="E5" s="292">
        <f>'REMUNERACION_OCCIDENTE_ Directa'!D30+'REMUNERACION_OCCIDENTE_ Directa'!N30</f>
        <v>16553408.619999999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1261723927.6199999</v>
      </c>
      <c r="I5" s="291">
        <f>'REMUNERACION_OCCIDENTE_ Directa'!D106</f>
        <v>1245261377.0799999</v>
      </c>
      <c r="J5" s="292">
        <f>'REMUNERACION_OCCIDENTE_ Directa'!N106</f>
        <v>1311387.82</v>
      </c>
      <c r="K5" s="292">
        <f>'REMUNERACION_OCCIDENTE_ Directa'!D127</f>
        <v>14844502.92</v>
      </c>
      <c r="L5" s="353">
        <f>'REMUNERACION_OCCIDENTE_ Directa'!E127</f>
        <v>0</v>
      </c>
      <c r="M5" s="292">
        <f>-'REMUNERACION_OCCIDENTE_ Directa'!D68-'REMUNERACION_OCCIDENTE_ Directa'!N68</f>
        <v>306659.8</v>
      </c>
      <c r="N5" s="318">
        <f>SUM(I5:M5)</f>
        <v>1261723927.6199999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Occidente'!F24</f>
        <v>486639517</v>
      </c>
      <c r="D6" s="292">
        <f>'REMUNERACION_OCCIDENTE_ Directa'!G128</f>
        <v>691194</v>
      </c>
      <c r="E6" s="292">
        <f>'REMUNERACION_OCCIDENTE_ Directa'!D31+'REMUNERACION_OCCIDENTE_ Directa'!N31</f>
        <v>34178649.799999997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521509360.80000001</v>
      </c>
      <c r="I6" s="291">
        <f>'REMUNERACION_OCCIDENTE_ Directa'!D107</f>
        <v>488724679.72000009</v>
      </c>
      <c r="J6" s="292">
        <f>'REMUNERACION_OCCIDENTE_ Directa'!N107</f>
        <v>14919457.4</v>
      </c>
      <c r="K6" s="292">
        <f>'REMUNERACION_OCCIDENTE_ Directa'!D128</f>
        <v>14631795.34</v>
      </c>
      <c r="L6" s="353">
        <f>'REMUNERACION_OCCIDENTE_ Directa'!E128</f>
        <v>0</v>
      </c>
      <c r="M6" s="292">
        <f>-'REMUNERACION_OCCIDENTE_ Directa'!D69-'REMUNERACION_OCCIDENTE_ Directa'!N69</f>
        <v>3233428.34</v>
      </c>
      <c r="N6" s="318">
        <f t="shared" ref="N6:N7" si="3">SUM(I6:M6)</f>
        <v>521509360.80000001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Occidente'!F25</f>
        <v>321499121</v>
      </c>
      <c r="D7" s="292">
        <f>'REMUNERACION_OCCIDENTE_ Directa'!G129</f>
        <v>441849</v>
      </c>
      <c r="E7" s="292">
        <f>'REMUNERACION_OCCIDENTE_ Directa'!D32+'REMUNERACION_OCCIDENTE_ Directa'!N32</f>
        <v>14307244.74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336248214.74000001</v>
      </c>
      <c r="I7" s="291">
        <f>'REMUNERACION_OCCIDENTE_ Directa'!D108</f>
        <v>317721932.47000003</v>
      </c>
      <c r="J7" s="292">
        <f>'REMUNERACION_OCCIDENTE_ Directa'!N108</f>
        <v>6894658.7800000003</v>
      </c>
      <c r="K7" s="292">
        <f>'REMUNERACION_OCCIDENTE_ Directa'!D129</f>
        <v>10604847.960000001</v>
      </c>
      <c r="L7" s="353">
        <f>'REMUNERACION_OCCIDENTE_ Directa'!E129</f>
        <v>0</v>
      </c>
      <c r="M7" s="292">
        <f>-'REMUNERACION_OCCIDENTE_ Directa'!D70-'REMUNERACION_OCCIDENTE_ Directa'!N70</f>
        <v>1026775.53</v>
      </c>
      <c r="N7" s="318">
        <f t="shared" si="3"/>
        <v>336248214.73999995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4284569052</v>
      </c>
      <c r="D9" s="290">
        <f t="shared" ref="D9:M9" si="4">SUM(D3:D8)</f>
        <v>1244253</v>
      </c>
      <c r="E9" s="290">
        <f>SUM(E3:E8)</f>
        <v>181345323.93000001</v>
      </c>
      <c r="F9" s="290">
        <f t="shared" si="4"/>
        <v>0</v>
      </c>
      <c r="G9" s="290">
        <f t="shared" si="4"/>
        <v>0</v>
      </c>
      <c r="H9" s="290">
        <f t="shared" si="4"/>
        <v>4467158628.9300003</v>
      </c>
      <c r="I9" s="290">
        <f t="shared" si="4"/>
        <v>4263358205.6200008</v>
      </c>
      <c r="J9" s="290">
        <f t="shared" si="4"/>
        <v>61067319.399999999</v>
      </c>
      <c r="K9" s="290">
        <f t="shared" si="4"/>
        <v>136872738.84999999</v>
      </c>
      <c r="L9" s="290">
        <f t="shared" si="4"/>
        <v>0</v>
      </c>
      <c r="M9" s="290">
        <f t="shared" si="4"/>
        <v>5860365.0600000005</v>
      </c>
      <c r="N9" s="290">
        <f>SUM(N3:N8)</f>
        <v>4467158628.9300003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4284569052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46219</v>
      </c>
      <c r="J7" s="2" t="s">
        <v>28</v>
      </c>
      <c r="K7" s="9">
        <f>'REMUNERACION_OCCIDENTE_ Directa'!K102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807049068.57000017</v>
      </c>
      <c r="E9" s="66">
        <f>'REMUNERACION_OCCIDENTE_ Directa'!E104</f>
        <v>99193733.159999996</v>
      </c>
      <c r="F9" s="66">
        <f>'REMUNERACION_OCCIDENTE_ Directa'!F104</f>
        <v>55706578.209999993</v>
      </c>
      <c r="G9" s="66">
        <f>'REMUNERACION_OCCIDENTE_ Directa'!G104</f>
        <v>29360739.059999999</v>
      </c>
      <c r="H9" s="66">
        <f>'REMUNERACION_OCCIDENTE_ Directa'!H104</f>
        <v>53694460.149999999</v>
      </c>
      <c r="I9" s="66">
        <f>'REMUNERACION_OCCIDENTE_ Directa'!I104</f>
        <v>1708389.85</v>
      </c>
      <c r="J9" s="66">
        <f>'REMUNERACION_OCCIDENTE_ Directa'!J104</f>
        <v>0</v>
      </c>
      <c r="K9" s="30">
        <f>D9-E9-F9-G9-H9-I9-J9</f>
        <v>567385168.14000022</v>
      </c>
      <c r="L9" s="66">
        <f>'REMUNERACION_OCCIDENTE_ Directa'!L104</f>
        <v>0</v>
      </c>
      <c r="M9" s="30">
        <f>K9-L9</f>
        <v>567385168.14000022</v>
      </c>
      <c r="N9" s="66">
        <f>'REMUNERACION_OCCIDENTE_ Directa'!N104</f>
        <v>8760824.0099999998</v>
      </c>
      <c r="O9" s="30">
        <f>M9+N9</f>
        <v>576145992.15000021</v>
      </c>
      <c r="Q9" s="4"/>
      <c r="S9" s="14">
        <v>1</v>
      </c>
      <c r="T9" s="61" t="s">
        <v>10</v>
      </c>
      <c r="U9" s="66">
        <f>'REMUNERACION_OCCIDENTE_ Directa'!U104</f>
        <v>15073165.450000001</v>
      </c>
      <c r="V9" s="66">
        <f>'REMUNERACION_OCCIDENTE_ Directa'!V104</f>
        <v>18351766.840000004</v>
      </c>
      <c r="W9" s="66">
        <f>'REMUNERACION_OCCIDENTE_ Directa'!W104</f>
        <v>85158116.140000001</v>
      </c>
      <c r="X9" s="66">
        <f>'REMUNERACION_OCCIDENTE_ Directa'!X104</f>
        <v>271402094.66000003</v>
      </c>
      <c r="Y9" s="66">
        <f>'REMUNERACION_OCCIDENTE_ Directa'!Y104</f>
        <v>2783141.35</v>
      </c>
      <c r="Z9" s="66">
        <f>'REMUNERACION_OCCIDENTE_ Directa'!Z104</f>
        <v>0</v>
      </c>
      <c r="AA9" s="66">
        <f>'REMUNERACION_OCCIDENTE_ Directa'!AA104</f>
        <v>-864.44</v>
      </c>
      <c r="AB9" s="66">
        <f>'REMUNERACION_OCCIDENTE_ Directa'!AB104</f>
        <v>8760824.0099999998</v>
      </c>
      <c r="AC9" s="66">
        <f>'REMUNERACION_OCCIDENTE_ Directa'!AC104</f>
        <v>-2114.38</v>
      </c>
      <c r="AD9" s="66">
        <f>'REMUNERACION_OCCIDENTE_ Directa'!AD104</f>
        <v>174619862.51999998</v>
      </c>
      <c r="AE9" s="66">
        <f>'REMUNERACION_OCCIDENTE_ Directa'!AE104</f>
        <v>174619862.51999998</v>
      </c>
      <c r="AF9" s="69">
        <f>SUM(U9:AD9)</f>
        <v>576145992.1500001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1404601147.78</v>
      </c>
      <c r="E10" s="66">
        <f>'REMUNERACION_OCCIDENTE_ Directa'!E105</f>
        <v>183955211.98000002</v>
      </c>
      <c r="F10" s="66">
        <f>'REMUNERACION_OCCIDENTE_ Directa'!F105</f>
        <v>102944599.42999999</v>
      </c>
      <c r="G10" s="66">
        <f>'REMUNERACION_OCCIDENTE_ Directa'!G105</f>
        <v>54335275.669999994</v>
      </c>
      <c r="H10" s="66">
        <f>'REMUNERACION_OCCIDENTE_ Directa'!H105</f>
        <v>214011816.64000002</v>
      </c>
      <c r="I10" s="66">
        <f>'REMUNERACION_OCCIDENTE_ Directa'!I105</f>
        <v>5870826.8500000006</v>
      </c>
      <c r="J10" s="66">
        <f>'REMUNERACION_OCCIDENTE_ Directa'!J105</f>
        <v>0</v>
      </c>
      <c r="K10" s="31">
        <f t="shared" ref="K10:K13" si="0">D10-E10-F10-G10-H10-I10-J10</f>
        <v>843483417.20999992</v>
      </c>
      <c r="L10" s="66">
        <f>'REMUNERACION_OCCIDENTE_ Directa'!L105</f>
        <v>0</v>
      </c>
      <c r="M10" s="31">
        <f>K10-L10</f>
        <v>843483417.20999992</v>
      </c>
      <c r="N10" s="66">
        <f>'REMUNERACION_OCCIDENTE_ Directa'!N105</f>
        <v>29180991.390000001</v>
      </c>
      <c r="O10" s="31">
        <f t="shared" ref="O10:O13" si="1">M10+N10</f>
        <v>872664408.5999999</v>
      </c>
      <c r="Q10" s="4"/>
      <c r="S10" s="16">
        <v>2</v>
      </c>
      <c r="T10" s="62" t="s">
        <v>11</v>
      </c>
      <c r="U10" s="66">
        <f>'REMUNERACION_OCCIDENTE_ Directa'!U105</f>
        <v>51434199.740000002</v>
      </c>
      <c r="V10" s="66">
        <f>'REMUNERACION_OCCIDENTE_ Directa'!V105</f>
        <v>70337397.799999997</v>
      </c>
      <c r="W10" s="66">
        <f>'REMUNERACION_OCCIDENTE_ Directa'!W105</f>
        <v>321021887.77000004</v>
      </c>
      <c r="X10" s="66">
        <f>'REMUNERACION_OCCIDENTE_ Directa'!X105</f>
        <v>381196564.10999995</v>
      </c>
      <c r="Y10" s="66">
        <f>'REMUNERACION_OCCIDENTE_ Directa'!Y105</f>
        <v>9471108.7799999993</v>
      </c>
      <c r="Z10" s="66">
        <f>'REMUNERACION_OCCIDENTE_ Directa'!Z105</f>
        <v>0</v>
      </c>
      <c r="AA10" s="66">
        <f>'REMUNERACION_OCCIDENTE_ Directa'!AA105</f>
        <v>-3277.8299999999995</v>
      </c>
      <c r="AB10" s="66">
        <f>'REMUNERACION_OCCIDENTE_ Directa'!AB105</f>
        <v>29180991.390000001</v>
      </c>
      <c r="AC10" s="66">
        <f>'REMUNERACION_OCCIDENTE_ Directa'!AC105</f>
        <v>-13.53</v>
      </c>
      <c r="AD10" s="66">
        <f>'REMUNERACION_OCCIDENTE_ Directa'!AD105</f>
        <v>10025550.370000001</v>
      </c>
      <c r="AE10" s="66">
        <f>'REMUNERACION_OCCIDENTE_ Directa'!AE105</f>
        <v>10025550.370000001</v>
      </c>
      <c r="AF10" s="70">
        <f>SUM(U10:AD10)</f>
        <v>872664408.60000002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1245261377.0799999</v>
      </c>
      <c r="E11" s="66">
        <f>'REMUNERACION_OCCIDENTE_ Directa'!E106</f>
        <v>169179321.98000002</v>
      </c>
      <c r="F11" s="66">
        <f>'REMUNERACION_OCCIDENTE_ Directa'!F106</f>
        <v>94674360.829999998</v>
      </c>
      <c r="G11" s="66">
        <f>'REMUNERACION_OCCIDENTE_ Directa'!G106</f>
        <v>50112712.770000003</v>
      </c>
      <c r="H11" s="66">
        <f>'REMUNERACION_OCCIDENTE_ Directa'!H106</f>
        <v>37910837.479999997</v>
      </c>
      <c r="I11" s="66">
        <f>'REMUNERACION_OCCIDENTE_ Directa'!I106</f>
        <v>1165755.6399999999</v>
      </c>
      <c r="J11" s="66">
        <f>'REMUNERACION_OCCIDENTE_ Directa'!J106</f>
        <v>0</v>
      </c>
      <c r="K11" s="31">
        <f t="shared" si="0"/>
        <v>892218388.37999988</v>
      </c>
      <c r="L11" s="66">
        <f>'REMUNERACION_OCCIDENTE_ Directa'!L106</f>
        <v>0</v>
      </c>
      <c r="M11" s="31">
        <f>K11-L11</f>
        <v>892218388.37999988</v>
      </c>
      <c r="N11" s="66">
        <f>'REMUNERACION_OCCIDENTE_ Directa'!N106</f>
        <v>1311387.82</v>
      </c>
      <c r="O11" s="31">
        <f t="shared" si="1"/>
        <v>893529776.19999993</v>
      </c>
      <c r="Q11" s="4"/>
      <c r="S11" s="16">
        <v>3</v>
      </c>
      <c r="T11" s="62" t="s">
        <v>12</v>
      </c>
      <c r="U11" s="66">
        <f>'REMUNERACION_OCCIDENTE_ Directa'!U106</f>
        <v>10225267.880000001</v>
      </c>
      <c r="V11" s="66">
        <f>'REMUNERACION_OCCIDENTE_ Directa'!V106</f>
        <v>13794028.73</v>
      </c>
      <c r="W11" s="66">
        <f>'REMUNERACION_OCCIDENTE_ Directa'!W106</f>
        <v>64505492.360000007</v>
      </c>
      <c r="X11" s="66">
        <f>'REMUNERACION_OCCIDENTE_ Directa'!X106</f>
        <v>393819035.60999995</v>
      </c>
      <c r="Y11" s="66">
        <f>'REMUNERACION_OCCIDENTE_ Directa'!Y106</f>
        <v>1909745.96</v>
      </c>
      <c r="Z11" s="66">
        <f>'REMUNERACION_OCCIDENTE_ Directa'!Z106</f>
        <v>0</v>
      </c>
      <c r="AA11" s="66">
        <f>'REMUNERACION_OCCIDENTE_ Directa'!AA106</f>
        <v>-972.41000000000008</v>
      </c>
      <c r="AB11" s="66">
        <f>'REMUNERACION_OCCIDENTE_ Directa'!AB106</f>
        <v>1311387.82</v>
      </c>
      <c r="AC11" s="66">
        <f>'REMUNERACION_OCCIDENTE_ Directa'!AC106</f>
        <v>-11886.56</v>
      </c>
      <c r="AD11" s="66">
        <f>'REMUNERACION_OCCIDENTE_ Directa'!AD106</f>
        <v>407977676.81</v>
      </c>
      <c r="AE11" s="66">
        <f>'REMUNERACION_OCCIDENTE_ Directa'!AE106</f>
        <v>407977676.81</v>
      </c>
      <c r="AF11" s="70">
        <f>SUM(U11:AD11)</f>
        <v>893529776.19999981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488724679.72000009</v>
      </c>
      <c r="E12" s="66">
        <f>'REMUNERACION_OCCIDENTE_ Directa'!E107</f>
        <v>55203155.700000003</v>
      </c>
      <c r="F12" s="66">
        <f>'REMUNERACION_OCCIDENTE_ Directa'!F107</f>
        <v>30345126.150000002</v>
      </c>
      <c r="G12" s="66">
        <f>'REMUNERACION_OCCIDENTE_ Directa'!G107</f>
        <v>15489479.65</v>
      </c>
      <c r="H12" s="66">
        <f>'REMUNERACION_OCCIDENTE_ Directa'!H107</f>
        <v>57754003.020000003</v>
      </c>
      <c r="I12" s="66">
        <f>'REMUNERACION_OCCIDENTE_ Directa'!I107</f>
        <v>1909778.2499999998</v>
      </c>
      <c r="J12" s="66">
        <f>'REMUNERACION_OCCIDENTE_ Directa'!J107</f>
        <v>0</v>
      </c>
      <c r="K12" s="31">
        <f t="shared" si="0"/>
        <v>328023136.95000017</v>
      </c>
      <c r="L12" s="66">
        <f>'REMUNERACION_OCCIDENTE_ Directa'!L107</f>
        <v>0</v>
      </c>
      <c r="M12" s="31">
        <f>K12-L12</f>
        <v>328023136.95000017</v>
      </c>
      <c r="N12" s="66">
        <f>'REMUNERACION_OCCIDENTE_ Directa'!N107</f>
        <v>14919457.4</v>
      </c>
      <c r="O12" s="31">
        <f t="shared" si="1"/>
        <v>342942594.35000014</v>
      </c>
      <c r="Q12" s="4"/>
      <c r="S12" s="16">
        <v>4</v>
      </c>
      <c r="T12" s="62" t="s">
        <v>13</v>
      </c>
      <c r="U12" s="66">
        <f>'REMUNERACION_OCCIDENTE_ Directa'!U107</f>
        <v>18153635.699999999</v>
      </c>
      <c r="V12" s="66">
        <f>'REMUNERACION_OCCIDENTE_ Directa'!V107</f>
        <v>22508162.759999998</v>
      </c>
      <c r="W12" s="66">
        <f>'REMUNERACION_OCCIDENTE_ Directa'!W107</f>
        <v>110934136.67000002</v>
      </c>
      <c r="X12" s="66">
        <f>'REMUNERACION_OCCIDENTE_ Directa'!X107</f>
        <v>146478227.43000004</v>
      </c>
      <c r="Y12" s="66">
        <f>'REMUNERACION_OCCIDENTE_ Directa'!Y107</f>
        <v>3110743.9899999998</v>
      </c>
      <c r="Z12" s="66">
        <f>'REMUNERACION_OCCIDENTE_ Directa'!Z107</f>
        <v>0</v>
      </c>
      <c r="AA12" s="66">
        <f>'REMUNERACION_OCCIDENTE_ Directa'!AA107</f>
        <v>602.99999999999989</v>
      </c>
      <c r="AB12" s="66">
        <f>'REMUNERACION_OCCIDENTE_ Directa'!AB107</f>
        <v>14919457.4</v>
      </c>
      <c r="AC12" s="66">
        <f>'REMUNERACION_OCCIDENTE_ Directa'!AC107</f>
        <v>-80.570000000000007</v>
      </c>
      <c r="AD12" s="66">
        <f>'REMUNERACION_OCCIDENTE_ Directa'!AD107</f>
        <v>26837707.969999999</v>
      </c>
      <c r="AE12" s="66">
        <f>'REMUNERACION_OCCIDENTE_ Directa'!AE107</f>
        <v>26837707.969999999</v>
      </c>
      <c r="AF12" s="70">
        <f>SUM(U12:AD12)</f>
        <v>342942594.35000002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317721932.47000003</v>
      </c>
      <c r="E13" s="66">
        <f>'REMUNERACION_OCCIDENTE_ Directa'!E108</f>
        <v>31184102.540000003</v>
      </c>
      <c r="F13" s="66">
        <f>'REMUNERACION_OCCIDENTE_ Directa'!F108</f>
        <v>17438110.490000002</v>
      </c>
      <c r="G13" s="66">
        <f>'REMUNERACION_OCCIDENTE_ Directa'!G108</f>
        <v>9129338.4999999981</v>
      </c>
      <c r="H13" s="66">
        <f>'REMUNERACION_OCCIDENTE_ Directa'!H108</f>
        <v>18288367.830000002</v>
      </c>
      <c r="I13" s="66">
        <f>'REMUNERACION_OCCIDENTE_ Directa'!I108</f>
        <v>845568.67</v>
      </c>
      <c r="J13" s="66">
        <f>'REMUNERACION_OCCIDENTE_ Directa'!J108</f>
        <v>0</v>
      </c>
      <c r="K13" s="31">
        <f t="shared" si="0"/>
        <v>240836444.44</v>
      </c>
      <c r="L13" s="66">
        <f>'REMUNERACION_OCCIDENTE_ Directa'!L108</f>
        <v>0</v>
      </c>
      <c r="M13" s="40">
        <f>K13-L13</f>
        <v>240836444.44</v>
      </c>
      <c r="N13" s="66">
        <f>'REMUNERACION_OCCIDENTE_ Directa'!N108</f>
        <v>6894658.7800000003</v>
      </c>
      <c r="O13" s="40">
        <f t="shared" si="1"/>
        <v>247731103.22</v>
      </c>
      <c r="Q13" s="4"/>
      <c r="S13" s="19">
        <v>5</v>
      </c>
      <c r="T13" s="63" t="s">
        <v>14</v>
      </c>
      <c r="U13" s="66">
        <f>'REMUNERACION_OCCIDENTE_ Directa'!U108</f>
        <v>7530881.8600000003</v>
      </c>
      <c r="V13" s="66">
        <f>'REMUNERACION_OCCIDENTE_ Directa'!V108</f>
        <v>9040944.5399999991</v>
      </c>
      <c r="W13" s="66">
        <f>'REMUNERACION_OCCIDENTE_ Directa'!W108</f>
        <v>45756182.879999995</v>
      </c>
      <c r="X13" s="66">
        <f>'REMUNERACION_OCCIDENTE_ Directa'!X108</f>
        <v>92948094.320000008</v>
      </c>
      <c r="Y13" s="66">
        <f>'REMUNERACION_OCCIDENTE_ Directa'!Y108</f>
        <v>1374403.66</v>
      </c>
      <c r="Z13" s="66">
        <f>'REMUNERACION_OCCIDENTE_ Directa'!Z108</f>
        <v>0</v>
      </c>
      <c r="AA13" s="66">
        <f>'REMUNERACION_OCCIDENTE_ Directa'!AA108</f>
        <v>-760.25999999999988</v>
      </c>
      <c r="AB13" s="66">
        <f>'REMUNERACION_OCCIDENTE_ Directa'!AB108</f>
        <v>6894658.7800000003</v>
      </c>
      <c r="AC13" s="66">
        <f>'REMUNERACION_OCCIDENTE_ Directa'!AC108</f>
        <v>0.35000000000000003</v>
      </c>
      <c r="AD13" s="66">
        <f>'REMUNERACION_OCCIDENTE_ Directa'!AD108</f>
        <v>84186697.089999989</v>
      </c>
      <c r="AE13" s="66">
        <f>'REMUNERACION_OCCIDENTE_ Directa'!AE108</f>
        <v>84186697.089999989</v>
      </c>
      <c r="AF13" s="70">
        <f>SUM(U13:AD13)</f>
        <v>247731103.21999997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4263358205.6200008</v>
      </c>
      <c r="E14" s="43">
        <f t="shared" si="3"/>
        <v>538715525.36000001</v>
      </c>
      <c r="F14" s="43">
        <f t="shared" si="3"/>
        <v>301108775.10999995</v>
      </c>
      <c r="G14" s="43">
        <f t="shared" si="3"/>
        <v>158427545.65000001</v>
      </c>
      <c r="H14" s="43">
        <f t="shared" si="3"/>
        <v>381659485.12</v>
      </c>
      <c r="I14" s="43">
        <f t="shared" si="3"/>
        <v>11500319.260000002</v>
      </c>
      <c r="J14" s="43">
        <f t="shared" si="3"/>
        <v>0</v>
      </c>
      <c r="K14" s="32">
        <f t="shared" si="3"/>
        <v>2871946555.1200004</v>
      </c>
      <c r="L14" s="23">
        <f t="shared" si="3"/>
        <v>0</v>
      </c>
      <c r="M14" s="76">
        <f t="shared" si="3"/>
        <v>2871946555.1200004</v>
      </c>
      <c r="N14" s="23">
        <f t="shared" si="3"/>
        <v>61067319.399999999</v>
      </c>
      <c r="O14" s="76">
        <f t="shared" si="3"/>
        <v>2933013874.52</v>
      </c>
      <c r="P14" s="2"/>
      <c r="Q14" s="4"/>
      <c r="S14" s="21"/>
      <c r="T14" s="22" t="s">
        <v>119</v>
      </c>
      <c r="U14" s="43">
        <f>SUM(U9:U13)</f>
        <v>102417150.63000001</v>
      </c>
      <c r="V14" s="43">
        <f t="shared" ref="V14:AG14" si="4">SUM(V9:V13)</f>
        <v>134032300.66999999</v>
      </c>
      <c r="W14" s="43">
        <f t="shared" si="4"/>
        <v>627375815.82000005</v>
      </c>
      <c r="X14" s="43">
        <f t="shared" si="4"/>
        <v>1285844016.1299999</v>
      </c>
      <c r="Y14" s="43">
        <f t="shared" si="4"/>
        <v>18649143.739999998</v>
      </c>
      <c r="Z14" s="43">
        <f t="shared" si="4"/>
        <v>0</v>
      </c>
      <c r="AA14" s="43">
        <f t="shared" si="4"/>
        <v>-5271.94</v>
      </c>
      <c r="AB14" s="43">
        <f t="shared" si="4"/>
        <v>61067319.399999999</v>
      </c>
      <c r="AC14" s="43">
        <f t="shared" si="4"/>
        <v>-14094.689999999999</v>
      </c>
      <c r="AD14" s="43">
        <f t="shared" si="4"/>
        <v>703647494.76000011</v>
      </c>
      <c r="AE14" s="43">
        <f>SUM(AE9:AE13)</f>
        <v>703647494.76000011</v>
      </c>
      <c r="AF14" s="68">
        <f t="shared" si="4"/>
        <v>2933013874.5199995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2168318426.9899998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46219</v>
      </c>
      <c r="J27" s="2" t="s">
        <v>28</v>
      </c>
      <c r="K27" s="9">
        <f>'REMUNERACION_OCCIDENTE_ Directa'!K122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17358483.629999999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28857410.600000001</v>
      </c>
      <c r="I30" s="309">
        <f>'REMUNERACION_OCCIDENTE_ Directa'!I125</f>
        <v>0</v>
      </c>
      <c r="J30" s="309">
        <f>'REMUNERACION_OCCIDENTE_ Directa'!J125</f>
        <v>-1002751.39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79433109</v>
      </c>
      <c r="E31" s="74">
        <f>'REMUNERACION_OCCIDENTE_ Directa'!E126</f>
        <v>0</v>
      </c>
      <c r="G31" s="339">
        <f>'REMUNERACION_OCCIDENTE_ Directa'!G126</f>
        <v>111210</v>
      </c>
      <c r="H31" s="340">
        <f>'REMUNERACION_OCCIDENTE_ Directa'!H126</f>
        <v>87448610.169999987</v>
      </c>
      <c r="I31" s="288">
        <f>'REMUNERACION_OCCIDENTE_ Directa'!I126</f>
        <v>0</v>
      </c>
      <c r="J31" s="288">
        <f>'REMUNERACION_OCCIDENTE_ Directa'!J126</f>
        <v>-290750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14844502.92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16553408.619999999</v>
      </c>
      <c r="I32" s="288">
        <f>'REMUNERACION_OCCIDENTE_ Directa'!I127</f>
        <v>0</v>
      </c>
      <c r="J32" s="288">
        <f>'REMUNERACION_OCCIDENTE_ Directa'!J127</f>
        <v>-306659.8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14631795.34</v>
      </c>
      <c r="E33" s="74">
        <f>'REMUNERACION_OCCIDENTE_ Directa'!E128</f>
        <v>0</v>
      </c>
      <c r="G33" s="339">
        <f>'REMUNERACION_OCCIDENTE_ Directa'!G128</f>
        <v>691194</v>
      </c>
      <c r="H33" s="340">
        <f>'REMUNERACION_OCCIDENTE_ Directa'!H128</f>
        <v>34178649.799999997</v>
      </c>
      <c r="I33" s="288">
        <f>'REMUNERACION_OCCIDENTE_ Directa'!I128</f>
        <v>0</v>
      </c>
      <c r="J33" s="288">
        <f>'REMUNERACION_OCCIDENTE_ Directa'!J128</f>
        <v>-3233428.34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10604847.960000001</v>
      </c>
      <c r="E34" s="139">
        <f>'REMUNERACION_OCCIDENTE_ Directa'!E129</f>
        <v>0</v>
      </c>
      <c r="G34" s="339">
        <f>'REMUNERACION_OCCIDENTE_ Directa'!G129</f>
        <v>441849</v>
      </c>
      <c r="H34" s="340">
        <f>'REMUNERACION_OCCIDENTE_ Directa'!H129</f>
        <v>14307244.74</v>
      </c>
      <c r="I34" s="288">
        <f>'REMUNERACION_OCCIDENTE_ Directa'!I129</f>
        <v>0</v>
      </c>
      <c r="J34" s="288">
        <f>'REMUNERACION_OCCIDENTE_ Directa'!J129</f>
        <v>-1026775.53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136872738.84999999</v>
      </c>
      <c r="E36" s="107">
        <f>'REMUNERACION_OCCIDENTE_ Directa'!E131</f>
        <v>0</v>
      </c>
      <c r="F36" s="45"/>
      <c r="G36" s="350">
        <f t="shared" ref="G36:L36" si="6">SUM(G30:G34)</f>
        <v>1244253</v>
      </c>
      <c r="H36" s="350">
        <f t="shared" si="6"/>
        <v>181345323.93000001</v>
      </c>
      <c r="I36" s="350">
        <f t="shared" si="6"/>
        <v>0</v>
      </c>
      <c r="J36" s="350">
        <f t="shared" si="6"/>
        <v>-5860365.0600000005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Limp'!F21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Limp'!F22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Limp'!F23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Limp'!F24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Limp'!F25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46219</v>
      </c>
      <c r="J7" s="2" t="s">
        <v>28</v>
      </c>
      <c r="K7" s="9">
        <f>'CONSOLIDADO_TOTAL RECAUDO'!K102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328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339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340</v>
      </c>
      <c r="F6" s="660" t="s">
        <v>230</v>
      </c>
    </row>
    <row r="7" spans="2:20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17450228673</v>
      </c>
      <c r="E9" s="642">
        <v>907089032</v>
      </c>
      <c r="F9" s="642">
        <v>511619082</v>
      </c>
      <c r="G9" s="642">
        <v>268690519</v>
      </c>
      <c r="H9" s="642">
        <v>3815252257</v>
      </c>
      <c r="I9" s="642">
        <v>134368143</v>
      </c>
      <c r="J9" s="642">
        <v>-3589454666</v>
      </c>
      <c r="K9" s="642">
        <v>15402664306</v>
      </c>
      <c r="L9" s="642">
        <v>189185988</v>
      </c>
      <c r="M9" s="642">
        <v>15213478318</v>
      </c>
      <c r="N9" s="642">
        <v>25277316</v>
      </c>
      <c r="O9" s="642">
        <v>15238755634</v>
      </c>
    </row>
    <row r="10" spans="2:20" customFormat="1" ht="13.2" x14ac:dyDescent="0.25">
      <c r="B10" s="641" t="s">
        <v>116</v>
      </c>
      <c r="C10" s="641" t="s">
        <v>11</v>
      </c>
      <c r="D10" s="642">
        <v>20516143970</v>
      </c>
      <c r="E10" s="642">
        <v>1584179838</v>
      </c>
      <c r="F10" s="642">
        <v>890098163</v>
      </c>
      <c r="G10" s="642">
        <v>466611469</v>
      </c>
      <c r="H10" s="642">
        <v>5815089520</v>
      </c>
      <c r="I10" s="642">
        <v>222428730</v>
      </c>
      <c r="J10" s="642">
        <v>-3241193714</v>
      </c>
      <c r="K10" s="642">
        <v>14778929964</v>
      </c>
      <c r="L10" s="642">
        <v>266580256</v>
      </c>
      <c r="M10" s="642">
        <v>14512349708</v>
      </c>
      <c r="N10" s="642">
        <v>53454221</v>
      </c>
      <c r="O10" s="642">
        <v>14565803930</v>
      </c>
    </row>
    <row r="11" spans="2:20" customFormat="1" ht="13.2" x14ac:dyDescent="0.25">
      <c r="B11" s="641" t="s">
        <v>117</v>
      </c>
      <c r="C11" s="641" t="s">
        <v>246</v>
      </c>
      <c r="D11" s="642">
        <v>15221896467</v>
      </c>
      <c r="E11" s="642">
        <v>1154816918</v>
      </c>
      <c r="F11" s="642">
        <v>650648257</v>
      </c>
      <c r="G11" s="642">
        <v>342168927</v>
      </c>
      <c r="H11" s="642">
        <v>3419471287</v>
      </c>
      <c r="I11" s="642">
        <v>125690283</v>
      </c>
      <c r="J11" s="642">
        <v>-853244565</v>
      </c>
      <c r="K11" s="642">
        <v>10382345360</v>
      </c>
      <c r="L11" s="642">
        <v>154788536</v>
      </c>
      <c r="M11" s="642">
        <v>10227556824</v>
      </c>
      <c r="N11" s="642">
        <v>14341963</v>
      </c>
      <c r="O11" s="642">
        <v>10241898788</v>
      </c>
    </row>
    <row r="12" spans="2:20" customFormat="1" ht="13.2" x14ac:dyDescent="0.25">
      <c r="B12" s="641" t="s">
        <v>247</v>
      </c>
      <c r="C12" s="641" t="s">
        <v>13</v>
      </c>
      <c r="D12" s="642">
        <v>7179595396</v>
      </c>
      <c r="E12" s="642">
        <v>473606043</v>
      </c>
      <c r="F12" s="642">
        <v>264596658</v>
      </c>
      <c r="G12" s="642">
        <v>136481575</v>
      </c>
      <c r="H12" s="642">
        <v>1605437094</v>
      </c>
      <c r="I12" s="642">
        <v>62582402</v>
      </c>
      <c r="J12" s="642">
        <v>-699882713</v>
      </c>
      <c r="K12" s="642">
        <v>5336774337</v>
      </c>
      <c r="L12" s="642">
        <v>120391083</v>
      </c>
      <c r="M12" s="642">
        <v>5216383254</v>
      </c>
      <c r="N12" s="642">
        <v>34128345</v>
      </c>
      <c r="O12" s="642">
        <v>5250511599</v>
      </c>
    </row>
    <row r="13" spans="2:20" customFormat="1" ht="13.2" x14ac:dyDescent="0.25">
      <c r="B13" s="641" t="s">
        <v>118</v>
      </c>
      <c r="C13" s="641" t="s">
        <v>14</v>
      </c>
      <c r="D13" s="642">
        <v>12073344662</v>
      </c>
      <c r="E13" s="642">
        <v>731686442</v>
      </c>
      <c r="F13" s="642">
        <v>412480816</v>
      </c>
      <c r="G13" s="642">
        <v>216220999</v>
      </c>
      <c r="H13" s="642">
        <v>2771170797</v>
      </c>
      <c r="I13" s="642">
        <v>105860252</v>
      </c>
      <c r="J13" s="642">
        <v>-82959024</v>
      </c>
      <c r="K13" s="642">
        <v>7918884379</v>
      </c>
      <c r="L13" s="642">
        <v>128990446</v>
      </c>
      <c r="M13" s="642">
        <v>7789893933</v>
      </c>
      <c r="N13" s="642">
        <v>15891736</v>
      </c>
      <c r="O13" s="642">
        <v>7805785669</v>
      </c>
    </row>
    <row r="14" spans="2:20" customFormat="1" ht="13.2" x14ac:dyDescent="0.25">
      <c r="B14" s="641"/>
      <c r="C14" s="641" t="s">
        <v>70</v>
      </c>
      <c r="D14" s="642">
        <v>72441209168</v>
      </c>
      <c r="E14" s="642">
        <v>4851378273</v>
      </c>
      <c r="F14" s="642">
        <v>2729442976</v>
      </c>
      <c r="G14" s="642">
        <v>1430173489</v>
      </c>
      <c r="H14" s="642">
        <v>17426420955</v>
      </c>
      <c r="I14" s="642">
        <v>650929810</v>
      </c>
      <c r="J14" s="642">
        <v>-8466734682</v>
      </c>
      <c r="K14" s="642">
        <v>53819598346</v>
      </c>
      <c r="L14" s="642">
        <v>859936309</v>
      </c>
      <c r="M14" s="642">
        <v>52959662037</v>
      </c>
      <c r="N14" s="642">
        <v>143093581</v>
      </c>
      <c r="O14" s="642">
        <v>53102755620</v>
      </c>
    </row>
    <row r="15" spans="2:20" customFormat="1" ht="13.2" x14ac:dyDescent="0.25"/>
    <row r="16" spans="2:20" customFormat="1" ht="13.2" x14ac:dyDescent="0.25">
      <c r="C16" s="662" t="s">
        <v>344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-0.34999847412109375</v>
      </c>
      <c r="E23" s="648">
        <f>E9-'CONSOLIDADO_TOTAL RECAUDO'!E104</f>
        <v>-0.16000008583068848</v>
      </c>
      <c r="F23" s="648">
        <f>F9-'CONSOLIDADO_TOTAL RECAUDO'!F104</f>
        <v>0.27999997138977051</v>
      </c>
      <c r="G23" s="648">
        <f>G9-'CONSOLIDADO_TOTAL RECAUDO'!G104</f>
        <v>6.0000002384185791E-2</v>
      </c>
      <c r="H23" s="648">
        <f>H9-'CONSOLIDADO_TOTAL RECAUDO'!H104</f>
        <v>9.9999904632568359E-2</v>
      </c>
      <c r="I23" s="648">
        <f>I9-'CONSOLIDADO_TOTAL RECAUDO'!I104</f>
        <v>-0.4699999988079071</v>
      </c>
      <c r="J23" s="648">
        <f>J9-'CONSOLIDADO_TOTAL RECAUDO'!J104</f>
        <v>-0.45000028610229492</v>
      </c>
      <c r="K23" s="648">
        <f>K9-'CONSOLIDADO_TOTAL RECAUDO'!K104</f>
        <v>0.29000091552734375</v>
      </c>
      <c r="L23" s="648">
        <f>L9-'CONSOLIDADO_TOTAL RECAUDO'!L104</f>
        <v>0</v>
      </c>
      <c r="M23" s="648">
        <f>M9-'CONSOLIDADO_TOTAL RECAUDO'!M104</f>
        <v>0.29000091552734375</v>
      </c>
      <c r="N23" s="648">
        <f>N9-'CONSOLIDADO_TOTAL RECAUDO'!N104</f>
        <v>-0.26000000163912773</v>
      </c>
      <c r="O23" s="648">
        <f>O9-'CONSOLIDADO_TOTAL RECAUDO'!O104</f>
        <v>3.0000686645507813E-2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0.34999847412109375</v>
      </c>
      <c r="E24" s="648">
        <f>E10-'CONSOLIDADO_TOTAL RECAUDO'!E105</f>
        <v>0.17000007629394531</v>
      </c>
      <c r="F24" s="648">
        <f>F10-'CONSOLIDADO_TOTAL RECAUDO'!F105</f>
        <v>0.38000011444091797</v>
      </c>
      <c r="G24" s="648">
        <f>G10-'CONSOLIDADO_TOTAL RECAUDO'!G105</f>
        <v>-0.23999994993209839</v>
      </c>
      <c r="H24" s="648">
        <f>H10-'CONSOLIDADO_TOTAL RECAUDO'!H105</f>
        <v>0.41999912261962891</v>
      </c>
      <c r="I24" s="648">
        <f>I10-'CONSOLIDADO_TOTAL RECAUDO'!I105</f>
        <v>-0.15999999642372131</v>
      </c>
      <c r="J24" s="648">
        <f>J10-'CONSOLIDADO_TOTAL RECAUDO'!J105</f>
        <v>0.1100001335144043</v>
      </c>
      <c r="K24" s="648">
        <f>K10-'CONSOLIDADO_TOTAL RECAUDO'!K105</f>
        <v>-0.32999801635742188</v>
      </c>
      <c r="L24" s="648">
        <f>L10-'CONSOLIDADO_TOTAL RECAUDO'!L105</f>
        <v>0</v>
      </c>
      <c r="M24" s="648">
        <f>M10-'CONSOLIDADO_TOTAL RECAUDO'!M105</f>
        <v>-0.32999801635742188</v>
      </c>
      <c r="N24" s="648">
        <f>N10-'CONSOLIDADO_TOTAL RECAUDO'!N105</f>
        <v>-0.2800000011920929</v>
      </c>
      <c r="O24" s="648">
        <f>O10-'CONSOLIDADO_TOTAL RECAUDO'!O105</f>
        <v>0.39000129699707031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-0.45000267028808594</v>
      </c>
      <c r="E25" s="648">
        <f>E11-'CONSOLIDADO_TOTAL RECAUDO'!E106</f>
        <v>-4.0000200271606445E-2</v>
      </c>
      <c r="F25" s="648">
        <f>F11-'CONSOLIDADO_TOTAL RECAUDO'!F106</f>
        <v>0.21999990940093994</v>
      </c>
      <c r="G25" s="648">
        <f>G11-'CONSOLIDADO_TOTAL RECAUDO'!G106</f>
        <v>-0.41999995708465576</v>
      </c>
      <c r="H25" s="648">
        <f>H11-'CONSOLIDADO_TOTAL RECAUDO'!H106</f>
        <v>0.42000007629394531</v>
      </c>
      <c r="I25" s="648">
        <f>I11-'CONSOLIDADO_TOTAL RECAUDO'!I106</f>
        <v>4.0000006556510925E-2</v>
      </c>
      <c r="J25" s="648">
        <f>J11-'CONSOLIDADO_TOTAL RECAUDO'!J106</f>
        <v>-0.49000000953674316</v>
      </c>
      <c r="K25" s="648">
        <f>K11-'CONSOLIDADO_TOTAL RECAUDO'!K106</f>
        <v>-0.18000221252441406</v>
      </c>
      <c r="L25" s="648">
        <f>L11-'CONSOLIDADO_TOTAL RECAUDO'!L106</f>
        <v>0</v>
      </c>
      <c r="M25" s="648">
        <f>M11-'CONSOLIDADO_TOTAL RECAUDO'!M106</f>
        <v>-0.18000221252441406</v>
      </c>
      <c r="N25" s="648">
        <f>N11-'CONSOLIDADO_TOTAL RECAUDO'!N106</f>
        <v>-0.31999999843537807</v>
      </c>
      <c r="O25" s="648">
        <f>O11-'CONSOLIDADO_TOTAL RECAUDO'!O106</f>
        <v>0.49999809265136719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0.33000087738037109</v>
      </c>
      <c r="E26" s="648">
        <f>E12-'CONSOLIDADO_TOTAL RECAUDO'!E107</f>
        <v>-0.33000004291534424</v>
      </c>
      <c r="F26" s="648">
        <f>F12-'CONSOLIDADO_TOTAL RECAUDO'!F107</f>
        <v>0.29999998211860657</v>
      </c>
      <c r="G26" s="648">
        <f>G12-'CONSOLIDADO_TOTAL RECAUDO'!G107</f>
        <v>-0.35000002384185791</v>
      </c>
      <c r="H26" s="648">
        <f>H12-'CONSOLIDADO_TOTAL RECAUDO'!H107</f>
        <v>0.24000000953674316</v>
      </c>
      <c r="I26" s="648">
        <f>I12-'CONSOLIDADO_TOTAL RECAUDO'!I107</f>
        <v>0.48000000417232513</v>
      </c>
      <c r="J26" s="648">
        <f>J12-'CONSOLIDADO_TOTAL RECAUDO'!J107</f>
        <v>0.37000012397766113</v>
      </c>
      <c r="K26" s="648">
        <f>K12-'CONSOLIDADO_TOTAL RECAUDO'!K107</f>
        <v>-0.37999820709228516</v>
      </c>
      <c r="L26" s="648">
        <f>L12-'CONSOLIDADO_TOTAL RECAUDO'!L107</f>
        <v>0</v>
      </c>
      <c r="M26" s="648">
        <f>M12-'CONSOLIDADO_TOTAL RECAUDO'!M107</f>
        <v>-0.37999820709228516</v>
      </c>
      <c r="N26" s="648">
        <f>N12-'CONSOLIDADO_TOTAL RECAUDO'!N107</f>
        <v>7.0000000298023224E-2</v>
      </c>
      <c r="O26" s="648">
        <f>O12-'CONSOLIDADO_TOTAL RECAUDO'!O107</f>
        <v>-0.30999851226806641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0.40999984741210938</v>
      </c>
      <c r="E27" s="648">
        <f>E13-'CONSOLIDADO_TOTAL RECAUDO'!E108</f>
        <v>0.37999999523162842</v>
      </c>
      <c r="F27" s="648">
        <f>F13-'CONSOLIDADO_TOTAL RECAUDO'!F108</f>
        <v>-0.28999990224838257</v>
      </c>
      <c r="G27" s="648">
        <f>G13-'CONSOLIDADO_TOTAL RECAUDO'!G108</f>
        <v>-0.25</v>
      </c>
      <c r="H27" s="648">
        <f>H13-'CONSOLIDADO_TOTAL RECAUDO'!H108</f>
        <v>0.22000026702880859</v>
      </c>
      <c r="I27" s="648">
        <f>I13-'CONSOLIDADO_TOTAL RECAUDO'!I108</f>
        <v>-0.4699999988079071</v>
      </c>
      <c r="J27" s="648">
        <f>J13-'CONSOLIDADO_TOTAL RECAUDO'!J108</f>
        <v>-0.33999991416931152</v>
      </c>
      <c r="K27" s="648">
        <f>K13-'CONSOLIDADO_TOTAL RECAUDO'!K108</f>
        <v>0.15999984741210938</v>
      </c>
      <c r="L27" s="648">
        <f>L13-'CONSOLIDADO_TOTAL RECAUDO'!L108</f>
        <v>0</v>
      </c>
      <c r="M27" s="648">
        <f>M13-'CONSOLIDADO_TOTAL RECAUDO'!M108</f>
        <v>0.15999984741210938</v>
      </c>
      <c r="N27" s="648">
        <f>N13-'CONSOLIDADO_TOTAL RECAUDO'!N108</f>
        <v>0.11999999918043613</v>
      </c>
      <c r="O27" s="648">
        <f>O13-'CONSOLIDADO_TOTAL RECAUDO'!O108</f>
        <v>0.27999973297119141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0.2899932861328125</v>
      </c>
      <c r="E28" s="648">
        <f>E14-'CONSOLIDADO_TOTAL RECAUDO'!E109</f>
        <v>2.0000457763671875E-2</v>
      </c>
      <c r="F28" s="648">
        <f>F14-'CONSOLIDADO_TOTAL RECAUDO'!F109</f>
        <v>0.89000034332275391</v>
      </c>
      <c r="G28" s="648">
        <f>G14-'CONSOLIDADO_TOTAL RECAUDO'!G109</f>
        <v>-1.1999998092651367</v>
      </c>
      <c r="H28" s="648">
        <f>H14-'CONSOLIDADO_TOTAL RECAUDO'!H109</f>
        <v>1.3999977111816406</v>
      </c>
      <c r="I28" s="648">
        <f>I14-'CONSOLIDADO_TOTAL RECAUDO'!I109</f>
        <v>-0.58000004291534424</v>
      </c>
      <c r="J28" s="648">
        <f>J14-'CONSOLIDADO_TOTAL RECAUDO'!J109</f>
        <v>-0.80000019073486328</v>
      </c>
      <c r="K28" s="648">
        <f>K14-'CONSOLIDADO_TOTAL RECAUDO'!K109</f>
        <v>-0.44000244140625</v>
      </c>
      <c r="L28" s="648">
        <f>L14-'CONSOLIDADO_TOTAL RECAUDO'!L109</f>
        <v>0</v>
      </c>
      <c r="M28" s="648">
        <f>M14-'CONSOLIDADO_TOTAL RECAUDO'!M109</f>
        <v>-0.44000244140625</v>
      </c>
      <c r="N28" s="648">
        <f>N14-'CONSOLIDADO_TOTAL RECAUDO'!N109</f>
        <v>-0.66999998688697815</v>
      </c>
      <c r="O28" s="648">
        <f>O14-'CONSOLIDADO_TOTAL RECAUDO'!O109</f>
        <v>0.8899993896484375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1</v>
      </c>
      <c r="F32" s="651" t="b">
        <f>+F23+'Reporte Componentes R1'!H89+'Rem. Anticipos R2'!G57+'Reversion Pagos R4'!F79+'Reporte Componentes R1'!H91+'AJUSTES - SF-T'!F47=F9</f>
        <v>1</v>
      </c>
      <c r="G32" s="651" t="b">
        <f>+G23+'Reporte Componentes R1'!I89+'Rem. Anticipos R2'!H57+'Reversion Pagos R4'!G79+'Reporte Componentes R1'!I91+'AJUSTES - SF-T'!G47=G9</f>
        <v>1</v>
      </c>
      <c r="H32" s="651" t="b">
        <f>+H23+'Reporte Componentes R1'!J89+'Rem. Anticipos R2'!I57+'Reversion Pagos R4'!H79+'Reporte Componentes R1'!J91+'AJUSTES - SF-T'!H47=H9</f>
        <v>1</v>
      </c>
      <c r="I32" s="651" t="b">
        <f>+I23+'Reporte Componentes R1'!K89+'Rem. Anticipos R2'!J57+'Reversion Pagos R4'!I79+'Reporte Componentes R1'!K91+'AJUSTES - SF-T'!I47=I9</f>
        <v>1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1</v>
      </c>
      <c r="L32" s="698" t="b">
        <f>INTERVENTORIA!M26+L23=L9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FACT.'!F3))-INTERVENTORIA!M26)+M23)+'AJUSTES - SF-T'!M47=M9</f>
        <v>1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FACT.'!F3))-INTERVENTORIA!M26))+'Reporte Componentes R1'!L89+'Rem. Anticipos R2'!K57+'Reversion Pagos R4'!P79+'Reporte Componentes R1'!L91+O23+'AJUSTES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1</v>
      </c>
      <c r="F33" s="651" t="b">
        <f>+F24+'Reporte Componentes R1'!H323+'Rem. Anticipos R2'!G178+'Reversion Pagos R4'!F180+'Reporte Componentes R1'!H325+'AJUSTES - SF-T'!F48=F10</f>
        <v>1</v>
      </c>
      <c r="G33" s="651" t="b">
        <f>+G24+'Reporte Componentes R1'!I323+'Rem. Anticipos R2'!H178+'Reversion Pagos R4'!G180+'Reporte Componentes R1'!I325+'AJUSTES - SF-T'!G48=G10</f>
        <v>1</v>
      </c>
      <c r="H33" s="651" t="b">
        <f>+H24+'Reporte Componentes R1'!J323+'Rem. Anticipos R2'!I178+'Reversion Pagos R4'!H180+'Reporte Componentes R1'!J325+'AJUSTES - SF-T'!H48=H10</f>
        <v>1</v>
      </c>
      <c r="I33" s="651" t="b">
        <f>+I24+'Reporte Componentes R1'!K323+'Rem. Anticipos R2'!J178+'Reversion Pagos R4'!I180+'Reporte Componentes R1'!K325+'AJUSTES - SF-T'!I48=I10</f>
        <v>1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INTERVENTORIA!M27+L24=L10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FACT.'!F4))+M24)-INTERVENTORIA!M27)+'AJUSTES - SF-T'!M48=M10</f>
        <v>1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FACT.'!F4)))-INTERVENTORIA!M27)+O24+'Reporte Componentes R1'!L323+'Rem. Anticipos R2'!K178+'Reversion Pagos R4'!P180+'Reporte Componentes R1'!L325+'AJUSTES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INTERVENTORIA!M28+L25=L11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FACT.'!F5))+M25)-INTERVENTORIA!M28)+'AJUSTES - SF-T'!M49=M11</f>
        <v>1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FACT.'!F5)))-INTERVENTORIA!M28)++'Reporte Componentes R1'!L484+'Reporte Componentes R1'!L486+'Rem. Anticipos R2'!K299+'Reversion Pagos R4'!P217+O25+'AJUSTES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INTERVENTORIA!M29+L26=L12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FACT.'!F6))+M26)-INTERVENTORIA!M29)+'AJUSTES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FACT.'!F6)))-INTERVENTORIA!M29)+'Reporte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1</v>
      </c>
      <c r="F36" s="651" t="b">
        <f>+F27+'Reporte Componentes R1'!H811+'Reporte Componentes R1'!H813+'Rem. Anticipos R2'!G510+'Reversion Pagos R4'!F373+'AJUSTES - SF-T'!F51=F13</f>
        <v>1</v>
      </c>
      <c r="G36" s="651" t="b">
        <f>+G27+'Reporte Componentes R1'!I811+'Reporte Componentes R1'!I813+'Rem. Anticipos R2'!H510+'Reversion Pagos R4'!G373+'AJUSTES - SF-T'!G51=G13</f>
        <v>1</v>
      </c>
      <c r="H36" s="651" t="b">
        <f>+H27+'Reporte Componentes R1'!J811+'Reporte Componentes R1'!J813+'Rem. Anticipos R2'!I510+'Reversion Pagos R4'!H373+'AJUSTES - SF-T'!H51=H13</f>
        <v>1</v>
      </c>
      <c r="I36" s="651" t="b">
        <f>+I27+'Reporte Componentes R1'!K811+'Reporte Componentes R1'!K813+'Rem. Anticipos R2'!J510+'Reversion Pagos R4'!I373+'AJUSTES - SF-T'!I51=I13</f>
        <v>1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INTERVENTORIA!M30+L27=L13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FACT.'!F7))+M27)-INTERVENTORIA!M30)+'AJUSTES - SF-T'!M51=M13</f>
        <v>1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FACT.'!F7)))-INTERVENTORIA!M30)+'Reporte Componentes R1'!L811+'Reporte Componentes R1'!L813+'Rem. Anticipos R2'!K510+'Reversion Pagos R4'!P373+O27+'AJUSTES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339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340</v>
      </c>
      <c r="F6" s="660" t="s">
        <v>230</v>
      </c>
    </row>
    <row r="7" spans="2:15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1182502863</v>
      </c>
      <c r="E9" s="642">
        <v>1138203111</v>
      </c>
      <c r="F9" s="642">
        <v>5384239175</v>
      </c>
      <c r="G9" s="642">
        <v>2460648865</v>
      </c>
      <c r="H9" s="642">
        <v>219070049</v>
      </c>
      <c r="I9" s="642">
        <v>-189185988</v>
      </c>
      <c r="J9" s="642">
        <v>-19113</v>
      </c>
      <c r="K9" s="642">
        <v>25277316</v>
      </c>
      <c r="L9" s="642">
        <v>1428564690</v>
      </c>
      <c r="M9" s="642">
        <v>5018019355</v>
      </c>
      <c r="N9" s="642">
        <v>15238755634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1949886300</v>
      </c>
      <c r="E10" s="642">
        <v>1945637037</v>
      </c>
      <c r="F10" s="642">
        <v>9155886148</v>
      </c>
      <c r="G10" s="642">
        <v>3142209362</v>
      </c>
      <c r="H10" s="642">
        <v>363003578</v>
      </c>
      <c r="I10" s="642">
        <v>-266580256</v>
      </c>
      <c r="J10" s="642">
        <v>86777</v>
      </c>
      <c r="K10" s="642">
        <v>53454221</v>
      </c>
      <c r="L10" s="642">
        <v>-5018972953</v>
      </c>
      <c r="M10" s="642">
        <v>-1777779239</v>
      </c>
      <c r="N10" s="642">
        <v>14565803930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1102335590</v>
      </c>
      <c r="E11" s="642">
        <v>1086464208</v>
      </c>
      <c r="F11" s="642">
        <v>5141961248</v>
      </c>
      <c r="G11" s="642">
        <v>2685857517</v>
      </c>
      <c r="H11" s="642">
        <v>205160229</v>
      </c>
      <c r="I11" s="642">
        <v>-154788536</v>
      </c>
      <c r="J11" s="642">
        <v>234519</v>
      </c>
      <c r="K11" s="642">
        <v>14341963</v>
      </c>
      <c r="L11" s="642">
        <v>-692912516</v>
      </c>
      <c r="M11" s="642">
        <v>160332049</v>
      </c>
      <c r="N11" s="642">
        <v>10241898788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549450408</v>
      </c>
      <c r="E12" s="642">
        <v>548186870</v>
      </c>
      <c r="F12" s="642">
        <v>2799232757</v>
      </c>
      <c r="G12" s="642">
        <v>1254527099</v>
      </c>
      <c r="H12" s="642">
        <v>102249901</v>
      </c>
      <c r="I12" s="642">
        <v>-120391083</v>
      </c>
      <c r="J12" s="642">
        <v>-16792</v>
      </c>
      <c r="K12" s="642">
        <v>34128345</v>
      </c>
      <c r="L12" s="642">
        <v>-616738621</v>
      </c>
      <c r="M12" s="642">
        <v>83144093</v>
      </c>
      <c r="N12" s="642">
        <v>5250511599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928205240</v>
      </c>
      <c r="E13" s="642">
        <v>911180502</v>
      </c>
      <c r="F13" s="642">
        <v>4681131561</v>
      </c>
      <c r="G13" s="642">
        <v>2173851295</v>
      </c>
      <c r="H13" s="642">
        <v>172729907</v>
      </c>
      <c r="I13" s="642">
        <v>-128990446</v>
      </c>
      <c r="J13" s="642">
        <v>-147778</v>
      </c>
      <c r="K13" s="642">
        <v>15891736</v>
      </c>
      <c r="L13" s="642">
        <v>-1031025373</v>
      </c>
      <c r="M13" s="642">
        <v>-948066349</v>
      </c>
      <c r="N13" s="642">
        <v>7805785669</v>
      </c>
      <c r="O13" s="642">
        <v>0</v>
      </c>
    </row>
    <row r="14" spans="2:15" customFormat="1" ht="13.2" x14ac:dyDescent="0.25">
      <c r="B14" s="641"/>
      <c r="C14" s="641" t="s">
        <v>70</v>
      </c>
      <c r="D14" s="642">
        <v>5712380401</v>
      </c>
      <c r="E14" s="642">
        <v>5629671728</v>
      </c>
      <c r="F14" s="642">
        <v>27162450889</v>
      </c>
      <c r="G14" s="642">
        <v>11717094138</v>
      </c>
      <c r="H14" s="642">
        <v>1062213664</v>
      </c>
      <c r="I14" s="642">
        <v>-859936309</v>
      </c>
      <c r="J14" s="642">
        <v>137613</v>
      </c>
      <c r="K14" s="642">
        <v>143093581</v>
      </c>
      <c r="L14" s="642">
        <v>-5931084773</v>
      </c>
      <c r="M14" s="642">
        <v>2535649909</v>
      </c>
      <c r="N14" s="642">
        <v>53102755620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-0.38000011444091797</v>
      </c>
      <c r="E16" s="648">
        <f>E9-'CONSOLIDADO_TOTAL RECAUDO'!V104</f>
        <v>-2.9999732971191406E-2</v>
      </c>
      <c r="F16" s="648">
        <f>F9-'CONSOLIDADO_TOTAL RECAUDO'!W104</f>
        <v>-0.34999942779541016</v>
      </c>
      <c r="G16" s="648">
        <f>G9-'CONSOLIDADO_TOTAL RECAUDO'!X104</f>
        <v>-0.28999996185302734</v>
      </c>
      <c r="H16" s="648">
        <f>H9-'CONSOLIDADO_TOTAL RECAUDO'!Y104</f>
        <v>9.9999904632568359E-3</v>
      </c>
      <c r="I16" s="648">
        <f>I9-'CONSOLIDADO_TOTAL RECAUDO'!Z104</f>
        <v>0</v>
      </c>
      <c r="J16" s="648">
        <f>J9-'CONSOLIDADO_TOTAL RECAUDO'!AA104-'CONSOLIDADO_TOTAL RECAUDO'!AC104</f>
        <v>0.42999999999960892</v>
      </c>
      <c r="K16" s="648">
        <f>K9-'CONSOLIDADO_TOTAL RECAUDO'!AB104</f>
        <v>-0.26000000163912773</v>
      </c>
      <c r="L16" s="648">
        <f>L9-'CONSOLIDADO_TOTAL RECAUDO'!AE104</f>
        <v>0.45000004768371582</v>
      </c>
      <c r="M16" s="648">
        <f>M9-'CONSOLIDADO_TOTAL RECAUDO'!AD104</f>
        <v>-9.9999427795410156E-2</v>
      </c>
      <c r="N16" s="648">
        <f>N9-'CONSOLIDADO_TOTAL RECAUDO'!AF104</f>
        <v>3.0002593994140625E-2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-0.44000005722045898</v>
      </c>
      <c r="E17" s="648">
        <f>E10-'CONSOLIDADO_TOTAL RECAUDO'!V105</f>
        <v>9.0000391006469727E-2</v>
      </c>
      <c r="F17" s="648">
        <f>F10-'CONSOLIDADO_TOTAL RECAUDO'!W105</f>
        <v>-0.160003662109375</v>
      </c>
      <c r="G17" s="648">
        <f>G10-'CONSOLIDADO_TOTAL RECAUDO'!X105</f>
        <v>-0.44000005722045898</v>
      </c>
      <c r="H17" s="648">
        <f>H10-'CONSOLIDADO_TOTAL RECAUDO'!Y105</f>
        <v>-0.24000000953674316</v>
      </c>
      <c r="I17" s="648">
        <f>I10-'CONSOLIDADO_TOTAL RECAUDO'!Z105</f>
        <v>0</v>
      </c>
      <c r="J17" s="648">
        <f>J10-'CONSOLIDADO_TOTAL RECAUDO'!AA105-'CONSOLIDADO_TOTAL RECAUDO'!AC105</f>
        <v>5.0000000011053203E-2</v>
      </c>
      <c r="K17" s="648">
        <f>K10-'CONSOLIDADO_TOTAL RECAUDO'!AB105</f>
        <v>-0.2800000011920929</v>
      </c>
      <c r="L17" s="648">
        <f>L10-'CONSOLIDADO_TOTAL RECAUDO'!AE105</f>
        <v>-7.9999923706054688E-2</v>
      </c>
      <c r="M17" s="648">
        <f>M10-'CONSOLIDADO_TOTAL RECAUDO'!AD105</f>
        <v>-0.19000005722045898</v>
      </c>
      <c r="N17" s="648">
        <f>N10-'CONSOLIDADO_TOTAL RECAUDO'!AF105</f>
        <v>0.38999557495117188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-0.32999992370605469</v>
      </c>
      <c r="E18" s="648">
        <f>E11-'CONSOLIDADO_TOTAL RECAUDO'!V106</f>
        <v>-0.23000001907348633</v>
      </c>
      <c r="F18" s="648">
        <f>F11-'CONSOLIDADO_TOTAL RECAUDO'!W106</f>
        <v>9.9999427795410156E-2</v>
      </c>
      <c r="G18" s="648">
        <f>G11-'CONSOLIDADO_TOTAL RECAUDO'!X106</f>
        <v>0.33999967575073242</v>
      </c>
      <c r="H18" s="648">
        <f>H11-'CONSOLIDADO_TOTAL RECAUDO'!Y106</f>
        <v>-0.32000002264976501</v>
      </c>
      <c r="I18" s="648">
        <f>I11-'CONSOLIDADO_TOTAL RECAUDO'!Z106</f>
        <v>0</v>
      </c>
      <c r="J18" s="648">
        <f>J11-'CONSOLIDADO_TOTAL RECAUDO'!AA106-'CONSOLIDADO_TOTAL RECAUDO'!AC106</f>
        <v>4.0000000011787051E-2</v>
      </c>
      <c r="K18" s="648">
        <f>K11-'CONSOLIDADO_TOTAL RECAUDO'!AB106</f>
        <v>-0.31999999843537807</v>
      </c>
      <c r="L18" s="648">
        <f>L11-'CONSOLIDADO_TOTAL RECAUDO'!AE106</f>
        <v>-0.27000010013580322</v>
      </c>
      <c r="M18" s="648">
        <f>M11-'CONSOLIDADO_TOTAL RECAUDO'!AD106</f>
        <v>0.21999990940093994</v>
      </c>
      <c r="N18" s="648">
        <f>N11-'CONSOLIDADO_TOTAL RECAUDO'!AF106</f>
        <v>0.5</v>
      </c>
      <c r="O18" s="648">
        <f>O11-'CONSOLIDADO_TOTAL RECAUDO'!AG106</f>
        <v>0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-0.40999996662139893</v>
      </c>
      <c r="E19" s="648">
        <f>E12-'CONSOLIDADO_TOTAL RECAUDO'!V107</f>
        <v>-0.46999990940093994</v>
      </c>
      <c r="F19" s="648">
        <f>F12-'CONSOLIDADO_TOTAL RECAUDO'!W107</f>
        <v>-0.40999984741210938</v>
      </c>
      <c r="G19" s="648">
        <f>G12-'CONSOLIDADO_TOTAL RECAUDO'!X107</f>
        <v>-0.45000028610229492</v>
      </c>
      <c r="H19" s="648">
        <f>H12-'CONSOLIDADO_TOTAL RECAUDO'!Y107</f>
        <v>-0.39999999105930328</v>
      </c>
      <c r="I19" s="648">
        <f>I12-'CONSOLIDADO_TOTAL RECAUDO'!Z107</f>
        <v>0</v>
      </c>
      <c r="J19" s="648">
        <f>J12-'CONSOLIDADO_TOTAL RECAUDO'!AA107-'CONSOLIDADO_TOTAL RECAUDO'!AC107</f>
        <v>0.29000000000041837</v>
      </c>
      <c r="K19" s="648">
        <f>K12-'CONSOLIDADO_TOTAL RECAUDO'!AB107</f>
        <v>7.0000000298023224E-2</v>
      </c>
      <c r="L19" s="648">
        <f>L12-'CONSOLIDADO_TOTAL RECAUDO'!AE107</f>
        <v>-0.16000008583068848</v>
      </c>
      <c r="M19" s="648">
        <f>M12-'CONSOLIDADO_TOTAL RECAUDO'!AD107</f>
        <v>0.46999979019165039</v>
      </c>
      <c r="N19" s="648">
        <f>N12-'CONSOLIDADO_TOTAL RECAUDO'!AF107</f>
        <v>-0.30999946594238281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-0.15000009536743164</v>
      </c>
      <c r="E20" s="648">
        <f>E13-'CONSOLIDADO_TOTAL RECAUDO'!V108</f>
        <v>-0.11000001430511475</v>
      </c>
      <c r="F20" s="648">
        <f>F13-'CONSOLIDADO_TOTAL RECAUDO'!W108</f>
        <v>-0.22000026702880859</v>
      </c>
      <c r="G20" s="648">
        <f>G13-'CONSOLIDADO_TOTAL RECAUDO'!X108</f>
        <v>-0.33000040054321289</v>
      </c>
      <c r="H20" s="648">
        <f>H13-'CONSOLIDADO_TOTAL RECAUDO'!Y108</f>
        <v>0.46000000834465027</v>
      </c>
      <c r="I20" s="648">
        <f>I13-'CONSOLIDADO_TOTAL RECAUDO'!Z108</f>
        <v>0</v>
      </c>
      <c r="J20" s="648">
        <f>J13-'CONSOLIDADO_TOTAL RECAUDO'!AA108-'CONSOLIDADO_TOTAL RECAUDO'!AC108</f>
        <v>-0.45000000002212204</v>
      </c>
      <c r="K20" s="648">
        <f>K13-'CONSOLIDADO_TOTAL RECAUDO'!AB108</f>
        <v>0.11999999918043613</v>
      </c>
      <c r="L20" s="648">
        <f>L13-'CONSOLIDADO_TOTAL RECAUDO'!AE108</f>
        <v>-0.37999999523162842</v>
      </c>
      <c r="M20" s="648">
        <f>M13-'CONSOLIDADO_TOTAL RECAUDO'!AD108</f>
        <v>-4.0000081062316895E-2</v>
      </c>
      <c r="N20" s="648">
        <f>N13-'CONSOLIDADO_TOTAL RECAUDO'!AF108</f>
        <v>0.27999782562255859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-1.7100009918212891</v>
      </c>
      <c r="E21" s="648">
        <f>E14-'CONSOLIDADO_TOTAL RECAUDO'!V109</f>
        <v>-0.74999904632568359</v>
      </c>
      <c r="F21" s="648">
        <f>F14-'CONSOLIDADO_TOTAL RECAUDO'!W109</f>
        <v>-1.0400047302246094</v>
      </c>
      <c r="G21" s="648">
        <f>G14-'CONSOLIDADO_TOTAL RECAUDO'!X109</f>
        <v>-1.1700000762939453</v>
      </c>
      <c r="H21" s="648">
        <f>H14-'CONSOLIDADO_TOTAL RECAUDO'!Y109</f>
        <v>-0.49000000953674316</v>
      </c>
      <c r="I21" s="648">
        <f>I14-'CONSOLIDADO_TOTAL RECAUDO'!Z109</f>
        <v>0</v>
      </c>
      <c r="J21" s="648">
        <f>J14-'CONSOLIDADO_TOTAL RECAUDO'!AA109-'CONSOLIDADO_TOTAL RECAUDO'!AC109</f>
        <v>0.35999999999512511</v>
      </c>
      <c r="K21" s="648">
        <f>K14-'CONSOLIDADO_TOTAL RECAUDO'!AB109</f>
        <v>-0.66999998688697815</v>
      </c>
      <c r="L21" s="648">
        <f>L14-'CONSOLIDADO_TOTAL RECAUDO'!AE109</f>
        <v>-0.44000053405761719</v>
      </c>
      <c r="M21" s="648">
        <f>M14-'CONSOLIDADO_TOTAL RECAUDO'!AD109</f>
        <v>0.3600001335144043</v>
      </c>
      <c r="N21" s="648">
        <f>N14-'CONSOLIDADO_TOTAL RECAUDO'!AF109</f>
        <v>0.8899993896484375</v>
      </c>
      <c r="O21" s="648">
        <f>O14-'CONSOLIDADO_TOTAL RECAUDO'!AG109</f>
        <v>0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-INTERVENTORIA!M26+I16=I9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+DetRetri2026072!N32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1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-INTERVENTORIA!M27+I17=I10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1</v>
      </c>
      <c r="K25" s="654" t="b">
        <f>+DetRetri2026072!N33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0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0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-INTERVENTORIA!M28+I18=I11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+DetRetri2026072!N34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0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-INTERVENTORIA!M29+I19=I12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+DetRetri2026072!N35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0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-INTERVENTORIA!M30+I20=I13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+DetRetri2026072!N36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0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1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1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1</v>
      </c>
      <c r="I29" s="698" t="b">
        <f>-INTERVENTORIA!M31+I21=I14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0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1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17450228673.349998</v>
      </c>
      <c r="E9" s="292">
        <f>'CONSOLIDADO_TOTAL RECAUDO'!E104</f>
        <v>907089032.16000009</v>
      </c>
      <c r="F9" s="292">
        <f>'CONSOLIDADO_TOTAL RECAUDO'!F104</f>
        <v>511619081.72000003</v>
      </c>
      <c r="G9" s="292">
        <f>'CONSOLIDADO_TOTAL RECAUDO'!G104</f>
        <v>268690518.94</v>
      </c>
      <c r="H9" s="292">
        <f>'CONSOLIDADO_TOTAL RECAUDO'!H104</f>
        <v>3815252256.9000001</v>
      </c>
      <c r="I9" s="292">
        <f>'CONSOLIDADO_TOTAL RECAUDO'!I104</f>
        <v>134368143.47</v>
      </c>
      <c r="J9" s="288">
        <f>'CONSOLIDADO_TOTAL RECAUDO'!J104</f>
        <v>-3589454665.5499997</v>
      </c>
      <c r="K9" s="293">
        <f>'CONSOLIDADO_TOTAL RECAUDO'!K104</f>
        <v>15402664305.709999</v>
      </c>
      <c r="L9" s="294">
        <f>'CONSOLIDADO_TOTAL RECAUDO'!L104</f>
        <v>189185988</v>
      </c>
      <c r="M9" s="293">
        <f>'CONSOLIDADO_TOTAL RECAUDO'!M104</f>
        <v>15213478317.709999</v>
      </c>
      <c r="N9" s="294">
        <f>'CONSOLIDADO_TOTAL RECAUDO'!N104</f>
        <v>25277316.260000002</v>
      </c>
      <c r="O9" s="293">
        <f>'CONSOLIDADO_TOTAL RECAUDO'!O104</f>
        <v>15238755633.969999</v>
      </c>
      <c r="Q9" s="306"/>
      <c r="S9" s="303">
        <v>1</v>
      </c>
      <c r="T9" s="304" t="s">
        <v>10</v>
      </c>
      <c r="U9" s="307">
        <f>'CONSOLIDADO_TOTAL RECAUDO'!U104</f>
        <v>1182502863.3800001</v>
      </c>
      <c r="V9" s="308">
        <f>'CONSOLIDADO_TOTAL RECAUDO'!V104</f>
        <v>1138203111.0299997</v>
      </c>
      <c r="W9" s="308">
        <f>'CONSOLIDADO_TOTAL RECAUDO'!W104</f>
        <v>5384239175.3499994</v>
      </c>
      <c r="X9" s="308">
        <f>'CONSOLIDADO_TOTAL RECAUDO'!X104</f>
        <v>2460648865.29</v>
      </c>
      <c r="Y9" s="309">
        <f>'CONSOLIDADO_TOTAL RECAUDO'!Y104</f>
        <v>219070048.99000001</v>
      </c>
      <c r="Z9" s="310">
        <f>'CONSOLIDADO_TOTAL RECAUDO'!Z104</f>
        <v>-189185988</v>
      </c>
      <c r="AA9" s="311">
        <f>'CONSOLIDADO_TOTAL RECAUDO'!AA104</f>
        <v>-17520.82</v>
      </c>
      <c r="AB9" s="294">
        <f>'CONSOLIDADO_TOTAL RECAUDO'!AB104</f>
        <v>25277316.260000002</v>
      </c>
      <c r="AC9" s="311">
        <f>'CONSOLIDADO_TOTAL RECAUDO'!AC104</f>
        <v>-1592.61</v>
      </c>
      <c r="AD9" s="291">
        <f>'CONSOLIDADO_TOTAL RECAUDO'!AD104</f>
        <v>5018019355.0999994</v>
      </c>
      <c r="AE9" s="291">
        <f>'CONSOLIDADO_TOTAL RECAUDO'!AE104</f>
        <v>1428564689.55</v>
      </c>
      <c r="AF9" s="313">
        <f>'CONSOLIDADO_TOTAL RECAUDO'!AF104</f>
        <v>15238755633.969997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20516143969.650002</v>
      </c>
      <c r="E10" s="292">
        <f>'CONSOLIDADO_TOTAL RECAUDO'!E105</f>
        <v>1584179837.8299999</v>
      </c>
      <c r="F10" s="292">
        <f>'CONSOLIDADO_TOTAL RECAUDO'!F105</f>
        <v>890098162.61999989</v>
      </c>
      <c r="G10" s="292">
        <f>'CONSOLIDADO_TOTAL RECAUDO'!G105</f>
        <v>466611469.23999995</v>
      </c>
      <c r="H10" s="292">
        <f>'CONSOLIDADO_TOTAL RECAUDO'!H105</f>
        <v>5815089519.5800009</v>
      </c>
      <c r="I10" s="292">
        <f>'CONSOLIDADO_TOTAL RECAUDO'!I105</f>
        <v>222428730.16</v>
      </c>
      <c r="J10" s="288">
        <f>'CONSOLIDADO_TOTAL RECAUDO'!J105</f>
        <v>-3241193714.1100001</v>
      </c>
      <c r="K10" s="295">
        <f>'CONSOLIDADO_TOTAL RECAUDO'!K105</f>
        <v>14778929964.329998</v>
      </c>
      <c r="L10" s="294">
        <f>'CONSOLIDADO_TOTAL RECAUDO'!L105</f>
        <v>266580256</v>
      </c>
      <c r="M10" s="295">
        <f>'CONSOLIDADO_TOTAL RECAUDO'!M105</f>
        <v>14512349708.329998</v>
      </c>
      <c r="N10" s="294">
        <f>'CONSOLIDADO_TOTAL RECAUDO'!N105</f>
        <v>53454221.280000001</v>
      </c>
      <c r="O10" s="295">
        <f>'CONSOLIDADO_TOTAL RECAUDO'!O105</f>
        <v>14565803929.609999</v>
      </c>
      <c r="Q10" s="306"/>
      <c r="S10" s="314">
        <v>2</v>
      </c>
      <c r="T10" s="315" t="s">
        <v>11</v>
      </c>
      <c r="U10" s="316">
        <f>'CONSOLIDADO_TOTAL RECAUDO'!U105</f>
        <v>1949886300.4400001</v>
      </c>
      <c r="V10" s="317">
        <f>'CONSOLIDADO_TOTAL RECAUDO'!V105</f>
        <v>1945637036.9099996</v>
      </c>
      <c r="W10" s="317">
        <f>'CONSOLIDADO_TOTAL RECAUDO'!W105</f>
        <v>9155886148.1600037</v>
      </c>
      <c r="X10" s="317">
        <f>'CONSOLIDADO_TOTAL RECAUDO'!X105</f>
        <v>3142209362.4400001</v>
      </c>
      <c r="Y10" s="318">
        <f>'CONSOLIDADO_TOTAL RECAUDO'!Y105</f>
        <v>363003578.24000001</v>
      </c>
      <c r="Z10" s="319">
        <f>'CONSOLIDADO_TOTAL RECAUDO'!Z105</f>
        <v>-266580256</v>
      </c>
      <c r="AA10" s="320">
        <f>'CONSOLIDADO_TOTAL RECAUDO'!AA105</f>
        <v>86900.159999999989</v>
      </c>
      <c r="AB10" s="294">
        <f>'CONSOLIDADO_TOTAL RECAUDO'!AB105</f>
        <v>53454221.280000001</v>
      </c>
      <c r="AC10" s="320">
        <f>'CONSOLIDADO_TOTAL RECAUDO'!AC105</f>
        <v>-123.21</v>
      </c>
      <c r="AD10" s="291">
        <f>'CONSOLIDADO_TOTAL RECAUDO'!AD105</f>
        <v>-1777779238.8099999</v>
      </c>
      <c r="AE10" s="291">
        <f>'CONSOLIDADO_TOTAL RECAUDO'!AE105</f>
        <v>-5018972952.9200001</v>
      </c>
      <c r="AF10" s="322">
        <f>'CONSOLIDADO_TOTAL RECAUDO'!AF105</f>
        <v>14565803929.610004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15221896467.450003</v>
      </c>
      <c r="E11" s="292">
        <f>'CONSOLIDADO_TOTAL RECAUDO'!E106</f>
        <v>1154816918.0400002</v>
      </c>
      <c r="F11" s="292">
        <f>'CONSOLIDADO_TOTAL RECAUDO'!F106</f>
        <v>650648256.78000009</v>
      </c>
      <c r="G11" s="292">
        <f>'CONSOLIDADO_TOTAL RECAUDO'!G106</f>
        <v>342168927.41999996</v>
      </c>
      <c r="H11" s="292">
        <f>'CONSOLIDADO_TOTAL RECAUDO'!H106</f>
        <v>3419471286.5799999</v>
      </c>
      <c r="I11" s="292">
        <f>'CONSOLIDADO_TOTAL RECAUDO'!I106</f>
        <v>125690282.95999999</v>
      </c>
      <c r="J11" s="288">
        <f>'CONSOLIDADO_TOTAL RECAUDO'!J106</f>
        <v>-853244564.50999999</v>
      </c>
      <c r="K11" s="295">
        <f>'CONSOLIDADO_TOTAL RECAUDO'!K106</f>
        <v>10382345360.180002</v>
      </c>
      <c r="L11" s="294">
        <f>'CONSOLIDADO_TOTAL RECAUDO'!L106</f>
        <v>154788536</v>
      </c>
      <c r="M11" s="295">
        <f>'CONSOLIDADO_TOTAL RECAUDO'!M106</f>
        <v>10227556824.180002</v>
      </c>
      <c r="N11" s="294">
        <f>'CONSOLIDADO_TOTAL RECAUDO'!N106</f>
        <v>14341963.319999998</v>
      </c>
      <c r="O11" s="295">
        <f>'CONSOLIDADO_TOTAL RECAUDO'!O106</f>
        <v>10241898787.500002</v>
      </c>
      <c r="Q11" s="306"/>
      <c r="S11" s="314">
        <v>3</v>
      </c>
      <c r="T11" s="315" t="s">
        <v>12</v>
      </c>
      <c r="U11" s="316">
        <f>'CONSOLIDADO_TOTAL RECAUDO'!U106</f>
        <v>1102335590.3299999</v>
      </c>
      <c r="V11" s="317">
        <f>'CONSOLIDADO_TOTAL RECAUDO'!V106</f>
        <v>1086464208.23</v>
      </c>
      <c r="W11" s="317">
        <f>'CONSOLIDADO_TOTAL RECAUDO'!W106</f>
        <v>5141961247.9000006</v>
      </c>
      <c r="X11" s="317">
        <f>'CONSOLIDADO_TOTAL RECAUDO'!X106</f>
        <v>2685857516.6600003</v>
      </c>
      <c r="Y11" s="318">
        <f>'CONSOLIDADO_TOTAL RECAUDO'!Y106</f>
        <v>205160229.32000002</v>
      </c>
      <c r="Z11" s="319">
        <f>'CONSOLIDADO_TOTAL RECAUDO'!Z106</f>
        <v>-154788536</v>
      </c>
      <c r="AA11" s="320">
        <f>'CONSOLIDADO_TOTAL RECAUDO'!AA106</f>
        <v>246404.58</v>
      </c>
      <c r="AB11" s="294">
        <f>'CONSOLIDADO_TOTAL RECAUDO'!AB106</f>
        <v>14341963.319999998</v>
      </c>
      <c r="AC11" s="320">
        <f>'CONSOLIDADO_TOTAL RECAUDO'!AC106</f>
        <v>-11885.619999999999</v>
      </c>
      <c r="AD11" s="291">
        <f>'CONSOLIDADO_TOTAL RECAUDO'!AD106</f>
        <v>160332048.78000009</v>
      </c>
      <c r="AE11" s="291">
        <f>'CONSOLIDADO_TOTAL RECAUDO'!AE106</f>
        <v>-692912515.7299999</v>
      </c>
      <c r="AF11" s="322">
        <f>'CONSOLIDADO_TOTAL RECAUDO'!AF106</f>
        <v>10241898787.5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7179595395.6699991</v>
      </c>
      <c r="E12" s="292">
        <f>'CONSOLIDADO_TOTAL RECAUDO'!E107</f>
        <v>473606043.33000004</v>
      </c>
      <c r="F12" s="292">
        <f>'CONSOLIDADO_TOTAL RECAUDO'!F107</f>
        <v>264596657.70000002</v>
      </c>
      <c r="G12" s="292">
        <f>'CONSOLIDADO_TOTAL RECAUDO'!G107</f>
        <v>136481575.35000002</v>
      </c>
      <c r="H12" s="292">
        <f>'CONSOLIDADO_TOTAL RECAUDO'!H107</f>
        <v>1605437093.76</v>
      </c>
      <c r="I12" s="292">
        <f>'CONSOLIDADO_TOTAL RECAUDO'!I107</f>
        <v>62582401.519999996</v>
      </c>
      <c r="J12" s="288">
        <f>'CONSOLIDADO_TOTAL RECAUDO'!J107</f>
        <v>-699882713.37000012</v>
      </c>
      <c r="K12" s="295">
        <f>'CONSOLIDADO_TOTAL RECAUDO'!K107</f>
        <v>5336774337.3799982</v>
      </c>
      <c r="L12" s="294">
        <f>'CONSOLIDADO_TOTAL RECAUDO'!L107</f>
        <v>120391083</v>
      </c>
      <c r="M12" s="295">
        <f>'CONSOLIDADO_TOTAL RECAUDO'!M107</f>
        <v>5216383254.3799982</v>
      </c>
      <c r="N12" s="294">
        <f>'CONSOLIDADO_TOTAL RECAUDO'!N107</f>
        <v>34128344.93</v>
      </c>
      <c r="O12" s="295">
        <f>'CONSOLIDADO_TOTAL RECAUDO'!O107</f>
        <v>5250511599.3099985</v>
      </c>
      <c r="Q12" s="306"/>
      <c r="S12" s="314">
        <v>4</v>
      </c>
      <c r="T12" s="315" t="s">
        <v>13</v>
      </c>
      <c r="U12" s="316">
        <f>'CONSOLIDADO_TOTAL RECAUDO'!U107</f>
        <v>549450408.40999997</v>
      </c>
      <c r="V12" s="317">
        <f>'CONSOLIDADO_TOTAL RECAUDO'!V107</f>
        <v>548186870.46999991</v>
      </c>
      <c r="W12" s="317">
        <f>'CONSOLIDADO_TOTAL RECAUDO'!W107</f>
        <v>2799232757.4099998</v>
      </c>
      <c r="X12" s="317">
        <f>'CONSOLIDADO_TOTAL RECAUDO'!X107</f>
        <v>1254527099.4500003</v>
      </c>
      <c r="Y12" s="318">
        <f>'CONSOLIDADO_TOTAL RECAUDO'!Y107</f>
        <v>102249901.39999999</v>
      </c>
      <c r="Z12" s="319">
        <f>'CONSOLIDADO_TOTAL RECAUDO'!Z107</f>
        <v>-120391083</v>
      </c>
      <c r="AA12" s="320">
        <f>'CONSOLIDADO_TOTAL RECAUDO'!AA107</f>
        <v>-16263.19</v>
      </c>
      <c r="AB12" s="294">
        <f>'CONSOLIDADO_TOTAL RECAUDO'!AB107</f>
        <v>34128344.93</v>
      </c>
      <c r="AC12" s="320">
        <f>'CONSOLIDADO_TOTAL RECAUDO'!AC107</f>
        <v>-529.09999999999991</v>
      </c>
      <c r="AD12" s="291">
        <f>'CONSOLIDADO_TOTAL RECAUDO'!AD107</f>
        <v>83144092.53000021</v>
      </c>
      <c r="AE12" s="291">
        <f>'CONSOLIDADO_TOTAL RECAUDO'!AE107</f>
        <v>-616738620.83999991</v>
      </c>
      <c r="AF12" s="322">
        <f>'CONSOLIDADO_TOTAL RECAUDO'!AF107</f>
        <v>5250511599.3099995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12073344661.59</v>
      </c>
      <c r="E13" s="297">
        <f>'CONSOLIDADO_TOTAL RECAUDO'!E108</f>
        <v>731686441.62</v>
      </c>
      <c r="F13" s="297">
        <f>'CONSOLIDADO_TOTAL RECAUDO'!F108</f>
        <v>412480816.2899999</v>
      </c>
      <c r="G13" s="297">
        <f>'CONSOLIDADO_TOTAL RECAUDO'!G108</f>
        <v>216220999.25</v>
      </c>
      <c r="H13" s="297">
        <f>'CONSOLIDADO_TOTAL RECAUDO'!H108</f>
        <v>2771170796.7799997</v>
      </c>
      <c r="I13" s="297">
        <f>'CONSOLIDADO_TOTAL RECAUDO'!I108</f>
        <v>105860252.47</v>
      </c>
      <c r="J13" s="289">
        <f>'CONSOLIDADO_TOTAL RECAUDO'!J108</f>
        <v>-82959023.660000086</v>
      </c>
      <c r="K13" s="295">
        <f>'CONSOLIDADO_TOTAL RECAUDO'!K108</f>
        <v>7918884378.8400002</v>
      </c>
      <c r="L13" s="294">
        <f>'CONSOLIDADO_TOTAL RECAUDO'!L108</f>
        <v>128990446</v>
      </c>
      <c r="M13" s="298">
        <f>'CONSOLIDADO_TOTAL RECAUDO'!M108</f>
        <v>7789893932.8400002</v>
      </c>
      <c r="N13" s="299">
        <f>'CONSOLIDADO_TOTAL RECAUDO'!N108</f>
        <v>15891735.880000001</v>
      </c>
      <c r="O13" s="298">
        <f>'CONSOLIDADO_TOTAL RECAUDO'!O108</f>
        <v>7805785668.7200003</v>
      </c>
      <c r="Q13" s="306"/>
      <c r="S13" s="324">
        <v>5</v>
      </c>
      <c r="T13" s="325" t="s">
        <v>14</v>
      </c>
      <c r="U13" s="296">
        <f>'CONSOLIDADO_TOTAL RECAUDO'!U108</f>
        <v>928205240.1500001</v>
      </c>
      <c r="V13" s="297">
        <f>'CONSOLIDADO_TOTAL RECAUDO'!V108</f>
        <v>911180502.11000001</v>
      </c>
      <c r="W13" s="297">
        <f>'CONSOLIDADO_TOTAL RECAUDO'!W108</f>
        <v>4681131561.2200003</v>
      </c>
      <c r="X13" s="297">
        <f>'CONSOLIDADO_TOTAL RECAUDO'!X108</f>
        <v>2173851295.3300004</v>
      </c>
      <c r="Y13" s="289">
        <f>'CONSOLIDADO_TOTAL RECAUDO'!Y108</f>
        <v>172729906.53999999</v>
      </c>
      <c r="Z13" s="319">
        <f>'CONSOLIDADO_TOTAL RECAUDO'!Z108</f>
        <v>-128990446</v>
      </c>
      <c r="AA13" s="320">
        <f>'CONSOLIDADO_TOTAL RECAUDO'!AA108</f>
        <v>-147744.56999999998</v>
      </c>
      <c r="AB13" s="294">
        <f>'CONSOLIDADO_TOTAL RECAUDO'!AB108</f>
        <v>15891735.880000001</v>
      </c>
      <c r="AC13" s="320">
        <f>'CONSOLIDADO_TOTAL RECAUDO'!AC108</f>
        <v>-32.979999999999997</v>
      </c>
      <c r="AD13" s="291">
        <f>'CONSOLIDADO_TOTAL RECAUDO'!AD108</f>
        <v>-948066348.95999992</v>
      </c>
      <c r="AE13" s="291">
        <f>'CONSOLIDADO_TOTAL RECAUDO'!AE108</f>
        <v>-1031025372.62</v>
      </c>
      <c r="AF13" s="322">
        <f>'CONSOLIDADO_TOTAL RECAUDO'!AF108</f>
        <v>7805785668.7200022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72441209167.710007</v>
      </c>
      <c r="E14" s="290">
        <f>'CONSOLIDADO_TOTAL RECAUDO'!E109</f>
        <v>4851378272.9799995</v>
      </c>
      <c r="F14" s="290">
        <f>'CONSOLIDADO_TOTAL RECAUDO'!F109</f>
        <v>2729442975.1099997</v>
      </c>
      <c r="G14" s="290">
        <f>'CONSOLIDADO_TOTAL RECAUDO'!G109</f>
        <v>1430173490.1999998</v>
      </c>
      <c r="H14" s="290">
        <f>'CONSOLIDADO_TOTAL RECAUDO'!H109</f>
        <v>17426420953.600002</v>
      </c>
      <c r="I14" s="290">
        <f>'CONSOLIDADO_TOTAL RECAUDO'!I109</f>
        <v>650929810.58000004</v>
      </c>
      <c r="J14" s="290">
        <f>'CONSOLIDADO_TOTAL RECAUDO'!J109</f>
        <v>-8466734681.1999998</v>
      </c>
      <c r="K14" s="300">
        <f>'CONSOLIDADO_TOTAL RECAUDO'!K109</f>
        <v>53819598346.440002</v>
      </c>
      <c r="L14" s="301">
        <f>'CONSOLIDADO_TOTAL RECAUDO'!L109</f>
        <v>859936309</v>
      </c>
      <c r="M14" s="302">
        <f>'CONSOLIDADO_TOTAL RECAUDO'!M109</f>
        <v>52959662037.440002</v>
      </c>
      <c r="N14" s="301">
        <f>'CONSOLIDADO_TOTAL RECAUDO'!N109</f>
        <v>143093581.66999999</v>
      </c>
      <c r="O14" s="302">
        <f>'CONSOLIDADO_TOTAL RECAUDO'!O109</f>
        <v>53102755619.110001</v>
      </c>
      <c r="P14" s="329"/>
      <c r="Q14" s="306"/>
      <c r="S14" s="327"/>
      <c r="T14" s="328" t="s">
        <v>2</v>
      </c>
      <c r="U14" s="330">
        <f>'CONSOLIDADO_TOTAL RECAUDO'!U109</f>
        <v>5712380402.710001</v>
      </c>
      <c r="V14" s="330">
        <f>'CONSOLIDADO_TOTAL RECAUDO'!V109</f>
        <v>5629671728.749999</v>
      </c>
      <c r="W14" s="330">
        <f>'CONSOLIDADO_TOTAL RECAUDO'!W109</f>
        <v>27162450890.040005</v>
      </c>
      <c r="X14" s="330">
        <f>'CONSOLIDADO_TOTAL RECAUDO'!X109</f>
        <v>11717094139.17</v>
      </c>
      <c r="Y14" s="330">
        <f>'CONSOLIDADO_TOTAL RECAUDO'!Y109</f>
        <v>1062213664.49</v>
      </c>
      <c r="Z14" s="290">
        <f>'CONSOLIDADO_TOTAL RECAUDO'!Z109</f>
        <v>-859936309</v>
      </c>
      <c r="AA14" s="290">
        <f>'CONSOLIDADO_TOTAL RECAUDO'!AA109</f>
        <v>151776.16</v>
      </c>
      <c r="AB14" s="290">
        <f>'CONSOLIDADO_TOTAL RECAUDO'!AB109</f>
        <v>143093581.66999999</v>
      </c>
      <c r="AC14" s="290">
        <f>'CONSOLIDADO_TOTAL RECAUDO'!AC109</f>
        <v>-14163.519999999999</v>
      </c>
      <c r="AD14" s="290">
        <f>'CONSOLIDADO_TOTAL RECAUDO'!AD109</f>
        <v>2535649908.6399999</v>
      </c>
      <c r="AE14" s="290">
        <f>'CONSOLIDADO_TOTAL RECAUDO'!AE109</f>
        <v>-5931084772.5599995</v>
      </c>
      <c r="AF14" s="331">
        <f>'CONSOLIDADO_TOTAL RECAUDO'!AF109</f>
        <v>53102755619.110001</v>
      </c>
      <c r="AG14" s="524">
        <f>'CONSOLIDADO_TOTAL RECAUDO'!AG109</f>
        <v>0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47041595.059999995</v>
      </c>
      <c r="E27" s="292">
        <f>'REMUNERACION Reciprocidad EAAB'!E105</f>
        <v>4095120.52</v>
      </c>
      <c r="F27" s="292">
        <f>'REMUNERACION Reciprocidad EAAB'!F105</f>
        <v>2274787</v>
      </c>
      <c r="G27" s="292">
        <f>'REMUNERACION Reciprocidad EAAB'!G105</f>
        <v>1028626.41</v>
      </c>
      <c r="H27" s="292">
        <f>'REMUNERACION Reciprocidad EAAB'!H105</f>
        <v>18268033.049999997</v>
      </c>
      <c r="I27" s="292">
        <f>'REMUNERACION Reciprocidad EAAB'!I105</f>
        <v>535415.67000000004</v>
      </c>
      <c r="J27" s="288">
        <f>'REMUNERACION Reciprocidad EAAB'!J105</f>
        <v>0</v>
      </c>
      <c r="K27" s="295">
        <f>'REMUNERACION Reciprocidad EAAB'!K105</f>
        <v>20839612.409999996</v>
      </c>
      <c r="L27" s="294">
        <f>'REMUNERACION Reciprocidad EAAB'!L105</f>
        <v>0</v>
      </c>
      <c r="M27" s="295">
        <f>'REMUNERACION Reciprocidad EAAB'!M105</f>
        <v>20839612.409999996</v>
      </c>
      <c r="N27" s="294">
        <f>'REMUNERACION Reciprocidad EAAB'!N105</f>
        <v>0</v>
      </c>
      <c r="O27" s="295">
        <f>'REMUNERACION Reciprocidad EAAB'!O105</f>
        <v>20839612.409999996</v>
      </c>
      <c r="Q27" s="306"/>
      <c r="S27" s="314">
        <v>2</v>
      </c>
      <c r="T27" s="315" t="s">
        <v>11</v>
      </c>
      <c r="U27" s="316">
        <f>'REMUNERACION Reciprocidad EAAB'!U105</f>
        <v>4831656.13</v>
      </c>
      <c r="V27" s="317">
        <f>'REMUNERACION Reciprocidad EAAB'!V105</f>
        <v>5407389.7400000002</v>
      </c>
      <c r="W27" s="317">
        <f>'REMUNERACION Reciprocidad EAAB'!W105</f>
        <v>20054944.010000002</v>
      </c>
      <c r="X27" s="317">
        <f>'REMUNERACION Reciprocidad EAAB'!X105</f>
        <v>11013548.23</v>
      </c>
      <c r="Y27" s="318">
        <f>'REMUNERACION Reciprocidad EAAB'!Y105</f>
        <v>712165.05</v>
      </c>
      <c r="Z27" s="319">
        <f>'REMUNERACION Reciprocidad EAAB'!Z105</f>
        <v>0</v>
      </c>
      <c r="AA27" s="320">
        <f>'REMUNERACION Reciprocidad EAAB'!AA105</f>
        <v>42.75</v>
      </c>
      <c r="AB27" s="294">
        <f>'REMUNERACION Reciprocidad EAAB'!AB105</f>
        <v>0</v>
      </c>
      <c r="AC27" s="320">
        <f>'REMUNERACION Reciprocidad EAAB'!AC105</f>
        <v>-7.0000000000000007E-2</v>
      </c>
      <c r="AD27" s="291">
        <f>'REMUNERACION Reciprocidad EAAB'!AD105</f>
        <v>-21180133.430000003</v>
      </c>
      <c r="AE27" s="291">
        <f>'REMUNERACION Reciprocidad EAAB'!AE105</f>
        <v>-21180133.430000003</v>
      </c>
      <c r="AF27" s="322">
        <f>'REMUNERACION Reciprocidad EAAB'!AF105</f>
        <v>20839612.409999993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71467043.25999999</v>
      </c>
      <c r="E29" s="292">
        <f>'REMUNERACION Reciprocidad EAAB'!E107</f>
        <v>9337119.6800000016</v>
      </c>
      <c r="F29" s="292">
        <f>'REMUNERACION Reciprocidad EAAB'!F107</f>
        <v>5227614.95</v>
      </c>
      <c r="G29" s="292">
        <f>'REMUNERACION Reciprocidad EAAB'!G107</f>
        <v>1095011.2200000002</v>
      </c>
      <c r="H29" s="292">
        <f>'REMUNERACION Reciprocidad EAAB'!H107</f>
        <v>8931941.6099999994</v>
      </c>
      <c r="I29" s="292">
        <f>'REMUNERACION Reciprocidad EAAB'!I107</f>
        <v>265264.06</v>
      </c>
      <c r="J29" s="288">
        <f>'REMUNERACION Reciprocidad EAAB'!J107</f>
        <v>0</v>
      </c>
      <c r="K29" s="295">
        <f>'REMUNERACION Reciprocidad EAAB'!K107</f>
        <v>46610091.739999987</v>
      </c>
      <c r="L29" s="294">
        <f>'REMUNERACION Reciprocidad EAAB'!L107</f>
        <v>0</v>
      </c>
      <c r="M29" s="295">
        <f>'REMUNERACION Reciprocidad EAAB'!M107</f>
        <v>46610091.739999987</v>
      </c>
      <c r="N29" s="294">
        <f>'REMUNERACION Reciprocidad EAAB'!N107</f>
        <v>0</v>
      </c>
      <c r="O29" s="295">
        <f>'REMUNERACION Reciprocidad EAAB'!O107</f>
        <v>46610091.739999987</v>
      </c>
      <c r="Q29" s="306"/>
      <c r="S29" s="314">
        <v>4</v>
      </c>
      <c r="T29" s="315" t="s">
        <v>13</v>
      </c>
      <c r="U29" s="316">
        <f>'REMUNERACION Reciprocidad EAAB'!U107</f>
        <v>2506113.27</v>
      </c>
      <c r="V29" s="317">
        <f>'REMUNERACION Reciprocidad EAAB'!V107</f>
        <v>2730225.84</v>
      </c>
      <c r="W29" s="317">
        <f>'REMUNERACION Reciprocidad EAAB'!W107</f>
        <v>12255014.02</v>
      </c>
      <c r="X29" s="317">
        <f>'REMUNERACION Reciprocidad EAAB'!X107</f>
        <v>25300845.309999999</v>
      </c>
      <c r="Y29" s="318">
        <f>'REMUNERACION Reciprocidad EAAB'!Y107</f>
        <v>393638.25</v>
      </c>
      <c r="Z29" s="319">
        <f>'REMUNERACION Reciprocidad EAAB'!Z107</f>
        <v>0</v>
      </c>
      <c r="AA29" s="320">
        <f>'REMUNERACION Reciprocidad EAAB'!AA107</f>
        <v>52.11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3424202.94</v>
      </c>
      <c r="AE29" s="291">
        <f>'REMUNERACION Reciprocidad EAAB'!AE107</f>
        <v>3424202.94</v>
      </c>
      <c r="AF29" s="322">
        <f>'REMUNERACION Reciprocidad EAAB'!AF107</f>
        <v>46610091.739999995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118508638.31999999</v>
      </c>
      <c r="E31" s="290">
        <f>'REMUNERACION Reciprocidad EAAB'!E109</f>
        <v>13432240.200000001</v>
      </c>
      <c r="F31" s="290">
        <f>'REMUNERACION Reciprocidad EAAB'!F109</f>
        <v>7502401.9500000002</v>
      </c>
      <c r="G31" s="290">
        <f>'REMUNERACION Reciprocidad EAAB'!G109</f>
        <v>2123637.6300000004</v>
      </c>
      <c r="H31" s="290">
        <f>'REMUNERACION Reciprocidad EAAB'!H109</f>
        <v>27199974.659999996</v>
      </c>
      <c r="I31" s="290">
        <f>'REMUNERACION Reciprocidad EAAB'!I109</f>
        <v>800679.73</v>
      </c>
      <c r="J31" s="290">
        <f>'REMUNERACION Reciprocidad EAAB'!J109</f>
        <v>0</v>
      </c>
      <c r="K31" s="300">
        <f>'REMUNERACION Reciprocidad EAAB'!K109</f>
        <v>67449704.149999976</v>
      </c>
      <c r="L31" s="301">
        <f>'REMUNERACION Reciprocidad EAAB'!L109</f>
        <v>0</v>
      </c>
      <c r="M31" s="302">
        <f>'REMUNERACION Reciprocidad EAAB'!M109</f>
        <v>67449704.149999976</v>
      </c>
      <c r="N31" s="301">
        <f>'REMUNERACION Reciprocidad EAAB'!N109</f>
        <v>0</v>
      </c>
      <c r="O31" s="302">
        <f>'REMUNERACION Reciprocidad EAAB'!O109</f>
        <v>67449704.149999976</v>
      </c>
      <c r="P31" s="329"/>
      <c r="Q31" s="306"/>
      <c r="S31" s="327"/>
      <c r="T31" s="328" t="s">
        <v>2</v>
      </c>
      <c r="U31" s="330">
        <f>'REMUNERACION Reciprocidad EAAB'!U109</f>
        <v>7337769.4000000004</v>
      </c>
      <c r="V31" s="330">
        <f>'REMUNERACION Reciprocidad EAAB'!V109</f>
        <v>8137615.5800000001</v>
      </c>
      <c r="W31" s="330">
        <f>'REMUNERACION Reciprocidad EAAB'!W109</f>
        <v>32309958.030000001</v>
      </c>
      <c r="X31" s="330">
        <f>'REMUNERACION Reciprocidad EAAB'!X109</f>
        <v>36314393.539999999</v>
      </c>
      <c r="Y31" s="330">
        <f>'REMUNERACION Reciprocidad EAAB'!Y109</f>
        <v>1105803.3</v>
      </c>
      <c r="Z31" s="290">
        <f>'REMUNERACION Reciprocidad EAAB'!Z109</f>
        <v>0</v>
      </c>
      <c r="AA31" s="290">
        <f>'REMUNERACION Reciprocidad EAAB'!AA109</f>
        <v>94.86</v>
      </c>
      <c r="AB31" s="290">
        <f>'REMUNERACION Reciprocidad EAAB'!AB109</f>
        <v>0</v>
      </c>
      <c r="AC31" s="290">
        <f>'REMUNERACION Reciprocidad EAAB'!AC109</f>
        <v>-7.0000000000000007E-2</v>
      </c>
      <c r="AD31" s="290">
        <f>'REMUNERACION Reciprocidad EAAB'!AD109</f>
        <v>-17755930.490000002</v>
      </c>
      <c r="AE31" s="290">
        <f>'REMUNERACION Reciprocidad EAAB'!AE109</f>
        <v>-17755930.490000002</v>
      </c>
      <c r="AF31" s="331">
        <f>'REMUNERACION Reciprocidad EAAB'!AF109</f>
        <v>67449704.149999991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16643179604.779999</v>
      </c>
      <c r="E43" s="292">
        <f>REMUNERACION_ENEL!E104</f>
        <v>807895299.00000012</v>
      </c>
      <c r="F43" s="292">
        <f>REMUNERACION_ENEL!F104</f>
        <v>455912503.50999999</v>
      </c>
      <c r="G43" s="292">
        <f>REMUNERACION_ENEL!G104</f>
        <v>239329779.88</v>
      </c>
      <c r="H43" s="292">
        <f>REMUNERACION_ENEL!H104</f>
        <v>3761557796.75</v>
      </c>
      <c r="I43" s="292">
        <f>REMUNERACION_ENEL!I104</f>
        <v>132659753.62000002</v>
      </c>
      <c r="J43" s="288">
        <f>REMUNERACION_ENEL!J104</f>
        <v>-3589454665.5499997</v>
      </c>
      <c r="K43" s="293">
        <f>REMUNERACION_ENEL!K104</f>
        <v>14835279137.569998</v>
      </c>
      <c r="L43" s="294">
        <f>REMUNERACION_ENEL!L104</f>
        <v>189185988</v>
      </c>
      <c r="M43" s="293">
        <f>REMUNERACION_ENEL!M104</f>
        <v>14646093149.569998</v>
      </c>
      <c r="N43" s="294">
        <f>REMUNERACION_ENEL!N104</f>
        <v>16516492.25</v>
      </c>
      <c r="O43" s="293">
        <f>REMUNERACION_ENEL!O104</f>
        <v>14662609641.819998</v>
      </c>
      <c r="Q43" s="306"/>
      <c r="S43" s="303">
        <v>1</v>
      </c>
      <c r="T43" s="304" t="s">
        <v>10</v>
      </c>
      <c r="U43" s="307">
        <f>REMUNERACION_ENEL!U104</f>
        <v>1167429697.9300001</v>
      </c>
      <c r="V43" s="308">
        <f>REMUNERACION_ENEL!V104</f>
        <v>1119851344.1899998</v>
      </c>
      <c r="W43" s="308">
        <f>REMUNERACION_ENEL!W104</f>
        <v>5299081059.21</v>
      </c>
      <c r="X43" s="308">
        <f>REMUNERACION_ENEL!X104</f>
        <v>2189246770.6300006</v>
      </c>
      <c r="Y43" s="309">
        <f>REMUNERACION_ENEL!Y104</f>
        <v>216286907.63999999</v>
      </c>
      <c r="Z43" s="310">
        <f>REMUNERACION_ENEL!Z104</f>
        <v>-189185988</v>
      </c>
      <c r="AA43" s="311">
        <f>REMUNERACION_ENEL!AA104</f>
        <v>-16656.379999999997</v>
      </c>
      <c r="AB43" s="294">
        <f>REMUNERACION_ENEL!AB104</f>
        <v>16516492.25</v>
      </c>
      <c r="AC43" s="311">
        <f>REMUNERACION_ENEL!AC104</f>
        <v>521.77</v>
      </c>
      <c r="AD43" s="291">
        <f>REMUNERACION_ENEL!AD104</f>
        <v>4843399492.5799999</v>
      </c>
      <c r="AE43" s="291">
        <f>REMUNERACION_ENEL!AE104</f>
        <v>1253944827.03</v>
      </c>
      <c r="AF43" s="313">
        <f>REMUNERACION_ENEL!AF104</f>
        <v>14662609641.820002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19064501226.810005</v>
      </c>
      <c r="E44" s="292">
        <f>REMUNERACION_ENEL!E105</f>
        <v>1396129505.3300002</v>
      </c>
      <c r="F44" s="292">
        <f>REMUNERACION_ENEL!F105</f>
        <v>784878776.18999994</v>
      </c>
      <c r="G44" s="292">
        <f>REMUNERACION_ENEL!G105</f>
        <v>411247567.16000009</v>
      </c>
      <c r="H44" s="292">
        <f>REMUNERACION_ENEL!H105</f>
        <v>5582809669.8899994</v>
      </c>
      <c r="I44" s="292">
        <f>REMUNERACION_ENEL!I105</f>
        <v>216022487.64000002</v>
      </c>
      <c r="J44" s="288">
        <f>REMUNERACION_ENEL!J105</f>
        <v>-3241193714.1100001</v>
      </c>
      <c r="K44" s="295">
        <f>REMUNERACION_ENEL!K105</f>
        <v>13914606934.710005</v>
      </c>
      <c r="L44" s="294">
        <f>REMUNERACION_ENEL!L105</f>
        <v>266580256</v>
      </c>
      <c r="M44" s="295">
        <f>REMUNERACION_ENEL!M105</f>
        <v>13648026678.710005</v>
      </c>
      <c r="N44" s="294">
        <f>REMUNERACION_ENEL!N105</f>
        <v>24273229.890000001</v>
      </c>
      <c r="O44" s="295">
        <f>REMUNERACION_ENEL!O105</f>
        <v>13672299908.600004</v>
      </c>
      <c r="Q44" s="306"/>
      <c r="S44" s="314">
        <v>2</v>
      </c>
      <c r="T44" s="315" t="s">
        <v>11</v>
      </c>
      <c r="U44" s="316">
        <f>REMUNERACION_ENEL!U105</f>
        <v>1893620444.5699999</v>
      </c>
      <c r="V44" s="317">
        <f>REMUNERACION_ENEL!V105</f>
        <v>1869892249.3700001</v>
      </c>
      <c r="W44" s="317">
        <f>REMUNERACION_ENEL!W105</f>
        <v>8814809316.3799992</v>
      </c>
      <c r="X44" s="317">
        <f>REMUNERACION_ENEL!X105</f>
        <v>2749999250.0999999</v>
      </c>
      <c r="Y44" s="318">
        <f>REMUNERACION_ENEL!Y105</f>
        <v>352820304.41000003</v>
      </c>
      <c r="Z44" s="319">
        <f>REMUNERACION_ENEL!Z105</f>
        <v>-266580256</v>
      </c>
      <c r="AA44" s="320">
        <f>REMUNERACION_ENEL!AA105</f>
        <v>90135.24</v>
      </c>
      <c r="AB44" s="294">
        <f>REMUNERACION_ENEL!AB105</f>
        <v>24273229.890000001</v>
      </c>
      <c r="AC44" s="320">
        <f>REMUNERACION_ENEL!AC105</f>
        <v>-109.61</v>
      </c>
      <c r="AD44" s="291">
        <f>REMUNERACION_ENEL!AD105</f>
        <v>-1766624655.7499995</v>
      </c>
      <c r="AE44" s="291">
        <f>REMUNERACION_ENEL!AE105</f>
        <v>-5007818369.8599997</v>
      </c>
      <c r="AF44" s="322">
        <f>REMUNERACION_ENEL!AF105</f>
        <v>13672299908.599998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13976635090.370001</v>
      </c>
      <c r="E45" s="292">
        <f>REMUNERACION_ENEL!E106</f>
        <v>985637596.05999994</v>
      </c>
      <c r="F45" s="292">
        <f>REMUNERACION_ENEL!F106</f>
        <v>555973895.94999993</v>
      </c>
      <c r="G45" s="292">
        <f>REMUNERACION_ENEL!G106</f>
        <v>292056214.65000004</v>
      </c>
      <c r="H45" s="292">
        <f>REMUNERACION_ENEL!H106</f>
        <v>3381560449.0999999</v>
      </c>
      <c r="I45" s="292">
        <f>REMUNERACION_ENEL!I106</f>
        <v>124524527.32000001</v>
      </c>
      <c r="J45" s="288">
        <f>REMUNERACION_ENEL!J106</f>
        <v>-853244564.50999999</v>
      </c>
      <c r="K45" s="295">
        <f>REMUNERACION_ENEL!K106</f>
        <v>9490126971.8000011</v>
      </c>
      <c r="L45" s="294">
        <f>REMUNERACION_ENEL!L106</f>
        <v>154788536</v>
      </c>
      <c r="M45" s="295">
        <f>REMUNERACION_ENEL!M106</f>
        <v>9335338435.8000011</v>
      </c>
      <c r="N45" s="294">
        <f>REMUNERACION_ENEL!N106</f>
        <v>13030575.5</v>
      </c>
      <c r="O45" s="295">
        <f>REMUNERACION_ENEL!O106</f>
        <v>9348369011.3000011</v>
      </c>
      <c r="Q45" s="306"/>
      <c r="S45" s="314">
        <v>3</v>
      </c>
      <c r="T45" s="315" t="s">
        <v>12</v>
      </c>
      <c r="U45" s="316">
        <f>REMUNERACION_ENEL!U106</f>
        <v>1092110322.45</v>
      </c>
      <c r="V45" s="317">
        <f>REMUNERACION_ENEL!V106</f>
        <v>1072670179.5</v>
      </c>
      <c r="W45" s="317">
        <f>REMUNERACION_ENEL!W106</f>
        <v>5077455755.5400009</v>
      </c>
      <c r="X45" s="317">
        <f>REMUNERACION_ENEL!X106</f>
        <v>2292038481.0500002</v>
      </c>
      <c r="Y45" s="318">
        <f>REMUNERACION_ENEL!Y106</f>
        <v>203250483.36000001</v>
      </c>
      <c r="Z45" s="319">
        <f>REMUNERACION_ENEL!Z106</f>
        <v>-154788536</v>
      </c>
      <c r="AA45" s="320">
        <f>REMUNERACION_ENEL!AA106</f>
        <v>247376.99</v>
      </c>
      <c r="AB45" s="294">
        <f>REMUNERACION_ENEL!AB106</f>
        <v>13030575.5</v>
      </c>
      <c r="AC45" s="320">
        <f>REMUNERACION_ENEL!AC106</f>
        <v>0.94</v>
      </c>
      <c r="AD45" s="291">
        <f>REMUNERACION_ENEL!AD106</f>
        <v>-247645628.02999997</v>
      </c>
      <c r="AE45" s="291">
        <f>REMUNERACION_ENEL!AE106</f>
        <v>-1100890192.54</v>
      </c>
      <c r="AF45" s="322">
        <f>REMUNERACION_ENEL!AF106</f>
        <v>9348369011.3000011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6619403672.6899996</v>
      </c>
      <c r="E46" s="292">
        <f>REMUNERACION_ENEL!E107</f>
        <v>409065767.94999999</v>
      </c>
      <c r="F46" s="292">
        <f>REMUNERACION_ENEL!F107</f>
        <v>229023916.59999999</v>
      </c>
      <c r="G46" s="292">
        <f>REMUNERACION_ENEL!G107</f>
        <v>119897084.47999999</v>
      </c>
      <c r="H46" s="292">
        <f>REMUNERACION_ENEL!H107</f>
        <v>1538751149.1300001</v>
      </c>
      <c r="I46" s="292">
        <f>REMUNERACION_ENEL!I107</f>
        <v>60407359.210000001</v>
      </c>
      <c r="J46" s="288">
        <f>REMUNERACION_ENEL!J107</f>
        <v>-699882713.37000012</v>
      </c>
      <c r="K46" s="295">
        <f>REMUNERACION_ENEL!K107</f>
        <v>4962141108.6899996</v>
      </c>
      <c r="L46" s="294">
        <f>REMUNERACION_ENEL!L107</f>
        <v>120391083</v>
      </c>
      <c r="M46" s="295">
        <f>REMUNERACION_ENEL!M107</f>
        <v>4841750025.6899996</v>
      </c>
      <c r="N46" s="294">
        <f>REMUNERACION_ENEL!N107</f>
        <v>19208887.530000001</v>
      </c>
      <c r="O46" s="295">
        <f>REMUNERACION_ENEL!O107</f>
        <v>4860958913.2199993</v>
      </c>
      <c r="Q46" s="306"/>
      <c r="S46" s="314">
        <v>4</v>
      </c>
      <c r="T46" s="315" t="s">
        <v>13</v>
      </c>
      <c r="U46" s="316">
        <f>REMUNERACION_ENEL!U107</f>
        <v>528790659.44</v>
      </c>
      <c r="V46" s="317">
        <f>REMUNERACION_ENEL!V107</f>
        <v>522948481.87</v>
      </c>
      <c r="W46" s="317">
        <f>REMUNERACION_ENEL!W107</f>
        <v>2676043606.7200003</v>
      </c>
      <c r="X46" s="317">
        <f>REMUNERACION_ENEL!X107</f>
        <v>1082748026.71</v>
      </c>
      <c r="Y46" s="318">
        <f>REMUNERACION_ENEL!Y107</f>
        <v>98745519.159999996</v>
      </c>
      <c r="Z46" s="319">
        <f>REMUNERACION_ENEL!Z107</f>
        <v>-120391083</v>
      </c>
      <c r="AA46" s="320">
        <f>REMUNERACION_ENEL!AA107</f>
        <v>-16918.300000000003</v>
      </c>
      <c r="AB46" s="294">
        <f>REMUNERACION_ENEL!AB107</f>
        <v>19208887.530000001</v>
      </c>
      <c r="AC46" s="320">
        <f>REMUNERACION_ENEL!AC107</f>
        <v>-448.53000000000003</v>
      </c>
      <c r="AD46" s="291">
        <f>REMUNERACION_ENEL!AD107</f>
        <v>52882181.620000005</v>
      </c>
      <c r="AE46" s="291">
        <f>REMUNERACION_ENEL!AE107</f>
        <v>-647000531.75000012</v>
      </c>
      <c r="AF46" s="322">
        <f>REMUNERACION_ENEL!AF107</f>
        <v>4860958913.2199993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11722516106.639999</v>
      </c>
      <c r="E47" s="297">
        <f>REMUNERACION_ENEL!E108</f>
        <v>698148323.5</v>
      </c>
      <c r="F47" s="297">
        <f>REMUNERACION_ENEL!F108</f>
        <v>393737772.47000003</v>
      </c>
      <c r="G47" s="297">
        <f>REMUNERACION_ENEL!G108</f>
        <v>206413295.53999999</v>
      </c>
      <c r="H47" s="297">
        <f>REMUNERACION_ENEL!H108</f>
        <v>2744218164.2200003</v>
      </c>
      <c r="I47" s="297">
        <f>REMUNERACION_ENEL!I108</f>
        <v>104708073.91000001</v>
      </c>
      <c r="J47" s="289">
        <f>REMUNERACION_ENEL!J108</f>
        <v>-82959023.660000086</v>
      </c>
      <c r="K47" s="295">
        <f>REMUNERACION_ENEL!K108</f>
        <v>7658249500.6599989</v>
      </c>
      <c r="L47" s="294">
        <f>REMUNERACION_ENEL!L108</f>
        <v>128990446</v>
      </c>
      <c r="M47" s="298">
        <f>REMUNERACION_ENEL!M108</f>
        <v>7529259054.6599989</v>
      </c>
      <c r="N47" s="299">
        <f>REMUNERACION_ENEL!N108</f>
        <v>8997077.0999999996</v>
      </c>
      <c r="O47" s="298">
        <f>REMUNERACION_ENEL!O108</f>
        <v>7538256131.7599993</v>
      </c>
      <c r="Q47" s="306"/>
      <c r="S47" s="324">
        <v>5</v>
      </c>
      <c r="T47" s="325" t="s">
        <v>14</v>
      </c>
      <c r="U47" s="296">
        <f>REMUNERACION_ENEL!U108</f>
        <v>917978792.29999995</v>
      </c>
      <c r="V47" s="297">
        <f>REMUNERACION_ENEL!V108</f>
        <v>899476756.96000004</v>
      </c>
      <c r="W47" s="297">
        <f>REMUNERACION_ENEL!W108</f>
        <v>4621907148.9099998</v>
      </c>
      <c r="X47" s="297">
        <f>REMUNERACION_ENEL!X108</f>
        <v>2074170432.3500001</v>
      </c>
      <c r="Y47" s="289">
        <f>REMUNERACION_ENEL!Y108</f>
        <v>170858536.44999999</v>
      </c>
      <c r="Z47" s="319">
        <f>REMUNERACION_ENEL!Z108</f>
        <v>-128990446</v>
      </c>
      <c r="AA47" s="320">
        <f>REMUNERACION_ENEL!AA108</f>
        <v>-147049.65</v>
      </c>
      <c r="AB47" s="294">
        <f>REMUNERACION_ENEL!AB108</f>
        <v>8997077.0999999996</v>
      </c>
      <c r="AC47" s="320">
        <f>REMUNERACION_ENEL!AC108</f>
        <v>-33.33</v>
      </c>
      <c r="AD47" s="291">
        <f>REMUNERACION_ENEL!AD108</f>
        <v>-1025995083.3299999</v>
      </c>
      <c r="AE47" s="291">
        <f>REMUNERACION_ENEL!AE108</f>
        <v>-1108954106.99</v>
      </c>
      <c r="AF47" s="322">
        <f>REMUNERACION_ENEL!AF108</f>
        <v>7538256131.7600021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68026235701.290009</v>
      </c>
      <c r="E48" s="290">
        <f>REMUNERACION_ENEL!E109</f>
        <v>4296876491.8400002</v>
      </c>
      <c r="F48" s="290">
        <f>REMUNERACION_ENEL!F109</f>
        <v>2419526864.7199993</v>
      </c>
      <c r="G48" s="290">
        <f>REMUNERACION_ENEL!G109</f>
        <v>1268943941.71</v>
      </c>
      <c r="H48" s="290">
        <f>REMUNERACION_ENEL!H109</f>
        <v>17008897229.09</v>
      </c>
      <c r="I48" s="290">
        <f>REMUNERACION_ENEL!I109</f>
        <v>638322201.70000005</v>
      </c>
      <c r="J48" s="290">
        <f>REMUNERACION_ENEL!J109</f>
        <v>-8466734681.1999998</v>
      </c>
      <c r="K48" s="300">
        <f>REMUNERACION_ENEL!K109</f>
        <v>50860403653.43</v>
      </c>
      <c r="L48" s="301">
        <f>REMUNERACION_ENEL!L109</f>
        <v>859936309</v>
      </c>
      <c r="M48" s="302">
        <f>REMUNERACION_ENEL!M109</f>
        <v>50000467344.43</v>
      </c>
      <c r="N48" s="301">
        <f>REMUNERACION_ENEL!N109</f>
        <v>82026262.269999996</v>
      </c>
      <c r="O48" s="302">
        <f>REMUNERACION_ENEL!O109</f>
        <v>50082493606.700005</v>
      </c>
      <c r="P48" s="329"/>
      <c r="Q48" s="306"/>
      <c r="S48" s="327"/>
      <c r="T48" s="328" t="s">
        <v>2</v>
      </c>
      <c r="U48" s="330">
        <f>REMUNERACION_ENEL!U109</f>
        <v>5599929916.6899996</v>
      </c>
      <c r="V48" s="330">
        <f>REMUNERACION_ENEL!V109</f>
        <v>5484839011.8900003</v>
      </c>
      <c r="W48" s="330">
        <f>REMUNERACION_ENEL!W109</f>
        <v>26489296886.760002</v>
      </c>
      <c r="X48" s="330">
        <f>REMUNERACION_ENEL!X109</f>
        <v>10388202960.84</v>
      </c>
      <c r="Y48" s="330">
        <f>REMUNERACION_ENEL!Y109</f>
        <v>1041961751.02</v>
      </c>
      <c r="Z48" s="290">
        <f>REMUNERACION_ENEL!Z109</f>
        <v>-859936309</v>
      </c>
      <c r="AA48" s="290">
        <f>REMUNERACION_ENEL!AA109</f>
        <v>156887.9</v>
      </c>
      <c r="AB48" s="290">
        <f>REMUNERACION_ENEL!AB109</f>
        <v>82026262.269999996</v>
      </c>
      <c r="AC48" s="290">
        <f>REMUNERACION_ENEL!AC109</f>
        <v>-68.760000000000062</v>
      </c>
      <c r="AD48" s="290">
        <f>REMUNERACION_ENEL!AD109</f>
        <v>1856016307.0900002</v>
      </c>
      <c r="AE48" s="290">
        <f>REMUNERACION_ENEL!AE109</f>
        <v>-6610718374.1099997</v>
      </c>
      <c r="AF48" s="331">
        <f>REMUNERACION_ENEL!AF109</f>
        <v>50082493606.700005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329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33106622.48</v>
      </c>
      <c r="E64" s="291">
        <f>REMUNERACION_ENERBIT!E108</f>
        <v>2354015.58</v>
      </c>
      <c r="F64" s="291">
        <f>REMUNERACION_ENERBIT!F108</f>
        <v>1304933.33</v>
      </c>
      <c r="G64" s="291">
        <f>REMUNERACION_ENERBIT!G108</f>
        <v>678365.21</v>
      </c>
      <c r="H64" s="291">
        <f>REMUNERACION_ENERBIT!H108</f>
        <v>8664264.7300000004</v>
      </c>
      <c r="I64" s="291">
        <f>REMUNERACION_ENERBIT!I108</f>
        <v>306609.89</v>
      </c>
      <c r="J64" s="291">
        <f>REMUNERACION_ENERBIT!J108</f>
        <v>0</v>
      </c>
      <c r="K64" s="295">
        <f>REMUNERACION_ENERBIT!K108</f>
        <v>19798433.739999998</v>
      </c>
      <c r="L64" s="294">
        <f>REMUNERACION_ENERBIT!L108</f>
        <v>0</v>
      </c>
      <c r="M64" s="298">
        <f>REMUNERACION_ENERBIT!M108</f>
        <v>19798433.739999998</v>
      </c>
      <c r="N64" s="299">
        <f>REMUNERACION_ENERBIT!N108</f>
        <v>0</v>
      </c>
      <c r="O64" s="298">
        <f>REMUNERACION_ENERBIT!O108</f>
        <v>19798433.739999998</v>
      </c>
      <c r="Q64" s="306"/>
      <c r="S64" s="324">
        <v>5</v>
      </c>
      <c r="T64" s="325" t="s">
        <v>14</v>
      </c>
      <c r="U64" s="296">
        <f>REMUNERACION_ENERBIT!U108</f>
        <v>2695565.9899999998</v>
      </c>
      <c r="V64" s="297">
        <f>REMUNERACION_ENERBIT!V108</f>
        <v>2662800.6100000003</v>
      </c>
      <c r="W64" s="297">
        <f>REMUNERACION_ENERBIT!W108</f>
        <v>13468229.43</v>
      </c>
      <c r="X64" s="297">
        <f>REMUNERACION_ENERBIT!X108</f>
        <v>6732768.6600000001</v>
      </c>
      <c r="Y64" s="289">
        <f>REMUNERACION_ENERBIT!Y108</f>
        <v>496966.43</v>
      </c>
      <c r="Z64" s="289">
        <f>REMUNERACION_ENERBIT!Z108</f>
        <v>0</v>
      </c>
      <c r="AA64" s="289">
        <f>REMUNERACION_ENERBIT!AA108</f>
        <v>65.34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-6257962.7199999997</v>
      </c>
      <c r="AE64" s="289">
        <f>REMUNERACION_ENERBIT!AE108</f>
        <v>-6257962.7199999997</v>
      </c>
      <c r="AF64" s="322">
        <f>REMUNERACION_ENERBIT!AF108</f>
        <v>19798433.740000002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33106622.48</v>
      </c>
      <c r="E65" s="290">
        <f>REMUNERACION_ENERBIT!E109</f>
        <v>2354015.58</v>
      </c>
      <c r="F65" s="290">
        <f>REMUNERACION_ENERBIT!F109</f>
        <v>1304933.33</v>
      </c>
      <c r="G65" s="290">
        <f>REMUNERACION_ENERBIT!G109</f>
        <v>678365.21</v>
      </c>
      <c r="H65" s="290">
        <f>REMUNERACION_ENERBIT!H109</f>
        <v>8664264.7300000004</v>
      </c>
      <c r="I65" s="290">
        <f>REMUNERACION_ENERBIT!I109</f>
        <v>306609.89</v>
      </c>
      <c r="J65" s="290">
        <f>REMUNERACION_ENERBIT!J109</f>
        <v>0</v>
      </c>
      <c r="K65" s="300">
        <f>REMUNERACION_ENERBIT!K109</f>
        <v>19798433.739999998</v>
      </c>
      <c r="L65" s="301">
        <f>REMUNERACION_ENERBIT!L109</f>
        <v>0</v>
      </c>
      <c r="M65" s="302">
        <f>REMUNERACION_ENERBIT!M109</f>
        <v>19798433.739999998</v>
      </c>
      <c r="N65" s="301">
        <f>REMUNERACION_ENERBIT!N109</f>
        <v>0</v>
      </c>
      <c r="O65" s="302">
        <f>REMUNERACION_ENERBIT!O109</f>
        <v>19798433.739999998</v>
      </c>
      <c r="P65" s="329"/>
      <c r="Q65" s="306"/>
      <c r="S65" s="327"/>
      <c r="T65" s="328" t="s">
        <v>2</v>
      </c>
      <c r="U65" s="330">
        <f>REMUNERACION_ENERBIT!U109</f>
        <v>2695565.9899999998</v>
      </c>
      <c r="V65" s="330">
        <f>REMUNERACION_ENERBIT!V109</f>
        <v>2662800.6100000003</v>
      </c>
      <c r="W65" s="330">
        <f>REMUNERACION_ENERBIT!W109</f>
        <v>13468229.43</v>
      </c>
      <c r="X65" s="330">
        <f>REMUNERACION_ENERBIT!X109</f>
        <v>6732768.6600000001</v>
      </c>
      <c r="Y65" s="330">
        <f>REMUNERACION_ENERBIT!Y109</f>
        <v>496966.43</v>
      </c>
      <c r="Z65" s="330">
        <f>REMUNERACION_ENERBIT!Z109</f>
        <v>0</v>
      </c>
      <c r="AA65" s="330">
        <f>REMUNERACION_ENERBIT!AA109</f>
        <v>65.34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-6257962.7199999997</v>
      </c>
      <c r="AE65" s="330">
        <f>REMUNERACION_ENERBIT!AE109</f>
        <v>-6257962.7199999997</v>
      </c>
      <c r="AF65" s="331">
        <f>REMUNERACION_ENERBIT!AF109</f>
        <v>19798433.740000002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807049068.57000017</v>
      </c>
      <c r="E76" s="292">
        <f>'REMUNERACION_OCCIDENTE_ Directa'!E104</f>
        <v>99193733.159999996</v>
      </c>
      <c r="F76" s="292">
        <f>'REMUNERACION_OCCIDENTE_ Directa'!F104</f>
        <v>55706578.209999993</v>
      </c>
      <c r="G76" s="292">
        <f>'REMUNERACION_OCCIDENTE_ Directa'!G104</f>
        <v>29360739.059999999</v>
      </c>
      <c r="H76" s="292">
        <f>'REMUNERACION_OCCIDENTE_ Directa'!H104</f>
        <v>53694460.149999999</v>
      </c>
      <c r="I76" s="292">
        <f>'REMUNERACION_OCCIDENTE_ Directa'!I104</f>
        <v>1708389.85</v>
      </c>
      <c r="J76" s="288">
        <f>'REMUNERACION_OCCIDENTE_ Directa'!J104</f>
        <v>0</v>
      </c>
      <c r="K76" s="293">
        <f>'REMUNERACION_OCCIDENTE_ Directa'!K104</f>
        <v>567385168.14000022</v>
      </c>
      <c r="L76" s="294">
        <f>'REMUNERACION_OCCIDENTE_ Directa'!L104</f>
        <v>0</v>
      </c>
      <c r="M76" s="293">
        <f>'REMUNERACION_OCCIDENTE_ Directa'!M104</f>
        <v>567385168.14000022</v>
      </c>
      <c r="N76" s="294">
        <f>'REMUNERACION_OCCIDENTE_ Directa'!N104</f>
        <v>8760824.0099999998</v>
      </c>
      <c r="O76" s="293">
        <f>'REMUNERACION_OCCIDENTE_ Directa'!O104</f>
        <v>576145992.15000021</v>
      </c>
      <c r="Q76" s="306"/>
      <c r="S76" s="303">
        <v>1</v>
      </c>
      <c r="T76" s="304" t="s">
        <v>10</v>
      </c>
      <c r="U76" s="307">
        <f>'REMUNERACION_OCCIDENTE_ Directa'!U104</f>
        <v>15073165.450000001</v>
      </c>
      <c r="V76" s="308">
        <f>'REMUNERACION_OCCIDENTE_ Directa'!V104</f>
        <v>18351766.840000004</v>
      </c>
      <c r="W76" s="308">
        <f>'REMUNERACION_OCCIDENTE_ Directa'!W104</f>
        <v>85158116.140000001</v>
      </c>
      <c r="X76" s="308">
        <f>'REMUNERACION_OCCIDENTE_ Directa'!X104</f>
        <v>271402094.66000003</v>
      </c>
      <c r="Y76" s="309">
        <f>'REMUNERACION_OCCIDENTE_ Directa'!Y104</f>
        <v>2783141.35</v>
      </c>
      <c r="Z76" s="310">
        <f>'REMUNERACION_OCCIDENTE_ Directa'!Z104</f>
        <v>0</v>
      </c>
      <c r="AA76" s="311">
        <f>'REMUNERACION_OCCIDENTE_ Directa'!AA104</f>
        <v>-864.44</v>
      </c>
      <c r="AB76" s="294">
        <f>'REMUNERACION_OCCIDENTE_ Directa'!AB104</f>
        <v>8760824.0099999998</v>
      </c>
      <c r="AC76" s="311">
        <f>'REMUNERACION_OCCIDENTE_ Directa'!AC104</f>
        <v>-2114.38</v>
      </c>
      <c r="AD76" s="291">
        <f>'REMUNERACION_OCCIDENTE_ Directa'!AD104</f>
        <v>174619862.51999998</v>
      </c>
      <c r="AE76" s="291">
        <f>'REMUNERACION_OCCIDENTE_ Directa'!AE104</f>
        <v>174619862.51999998</v>
      </c>
      <c r="AF76" s="313">
        <f>'REMUNERACION_OCCIDENTE_ Directa'!AF104</f>
        <v>576145992.1500001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1404601147.78</v>
      </c>
      <c r="E77" s="292">
        <f>'REMUNERACION_OCCIDENTE_ Directa'!E105</f>
        <v>183955211.98000002</v>
      </c>
      <c r="F77" s="292">
        <f>'REMUNERACION_OCCIDENTE_ Directa'!F105</f>
        <v>102944599.42999999</v>
      </c>
      <c r="G77" s="292">
        <f>'REMUNERACION_OCCIDENTE_ Directa'!G105</f>
        <v>54335275.669999994</v>
      </c>
      <c r="H77" s="292">
        <f>'REMUNERACION_OCCIDENTE_ Directa'!H105</f>
        <v>214011816.64000002</v>
      </c>
      <c r="I77" s="292">
        <f>'REMUNERACION_OCCIDENTE_ Directa'!I105</f>
        <v>5870826.8500000006</v>
      </c>
      <c r="J77" s="288">
        <f>'REMUNERACION_OCCIDENTE_ Directa'!J105</f>
        <v>0</v>
      </c>
      <c r="K77" s="295">
        <f>'REMUNERACION_OCCIDENTE_ Directa'!K105</f>
        <v>843483417.20999992</v>
      </c>
      <c r="L77" s="294">
        <f>'REMUNERACION_OCCIDENTE_ Directa'!L105</f>
        <v>0</v>
      </c>
      <c r="M77" s="295">
        <f>'REMUNERACION_OCCIDENTE_ Directa'!M105</f>
        <v>843483417.20999992</v>
      </c>
      <c r="N77" s="294">
        <f>'REMUNERACION_OCCIDENTE_ Directa'!N105</f>
        <v>29180991.390000001</v>
      </c>
      <c r="O77" s="295">
        <f>'REMUNERACION_OCCIDENTE_ Directa'!O105</f>
        <v>872664408.5999999</v>
      </c>
      <c r="Q77" s="306"/>
      <c r="S77" s="314">
        <v>2</v>
      </c>
      <c r="T77" s="315" t="s">
        <v>11</v>
      </c>
      <c r="U77" s="316">
        <f>'REMUNERACION_OCCIDENTE_ Directa'!U105</f>
        <v>51434199.740000002</v>
      </c>
      <c r="V77" s="317">
        <f>'REMUNERACION_OCCIDENTE_ Directa'!V105</f>
        <v>70337397.799999997</v>
      </c>
      <c r="W77" s="317">
        <f>'REMUNERACION_OCCIDENTE_ Directa'!W105</f>
        <v>321021887.77000004</v>
      </c>
      <c r="X77" s="317">
        <f>'REMUNERACION_OCCIDENTE_ Directa'!X105</f>
        <v>381196564.10999995</v>
      </c>
      <c r="Y77" s="318">
        <f>'REMUNERACION_OCCIDENTE_ Directa'!Y105</f>
        <v>9471108.7799999993</v>
      </c>
      <c r="Z77" s="319">
        <f>'REMUNERACION_OCCIDENTE_ Directa'!Z105</f>
        <v>0</v>
      </c>
      <c r="AA77" s="320">
        <f>'REMUNERACION_OCCIDENTE_ Directa'!AA105</f>
        <v>-3277.8299999999995</v>
      </c>
      <c r="AB77" s="294">
        <f>'REMUNERACION_OCCIDENTE_ Directa'!AB105</f>
        <v>29180991.390000001</v>
      </c>
      <c r="AC77" s="320">
        <f>'REMUNERACION_OCCIDENTE_ Directa'!AC105</f>
        <v>-13.53</v>
      </c>
      <c r="AD77" s="291">
        <f>'REMUNERACION_OCCIDENTE_ Directa'!AD105</f>
        <v>10025550.370000001</v>
      </c>
      <c r="AE77" s="291">
        <f>'REMUNERACION_OCCIDENTE_ Directa'!AE105</f>
        <v>10025550.370000001</v>
      </c>
      <c r="AF77" s="322">
        <f>'REMUNERACION_OCCIDENTE_ Directa'!AF105</f>
        <v>872664408.60000002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1245261377.0799999</v>
      </c>
      <c r="E78" s="292">
        <f>'REMUNERACION_OCCIDENTE_ Directa'!E106</f>
        <v>169179321.98000002</v>
      </c>
      <c r="F78" s="292">
        <f>'REMUNERACION_OCCIDENTE_ Directa'!F106</f>
        <v>94674360.829999998</v>
      </c>
      <c r="G78" s="292">
        <f>'REMUNERACION_OCCIDENTE_ Directa'!G106</f>
        <v>50112712.770000003</v>
      </c>
      <c r="H78" s="292">
        <f>'REMUNERACION_OCCIDENTE_ Directa'!H106</f>
        <v>37910837.479999997</v>
      </c>
      <c r="I78" s="292">
        <f>'REMUNERACION_OCCIDENTE_ Directa'!I106</f>
        <v>1165755.6399999999</v>
      </c>
      <c r="J78" s="288">
        <f>'REMUNERACION_OCCIDENTE_ Directa'!J106</f>
        <v>0</v>
      </c>
      <c r="K78" s="295">
        <f>'REMUNERACION_OCCIDENTE_ Directa'!K106</f>
        <v>892218388.37999988</v>
      </c>
      <c r="L78" s="294">
        <f>'REMUNERACION_OCCIDENTE_ Directa'!L106</f>
        <v>0</v>
      </c>
      <c r="M78" s="295">
        <f>'REMUNERACION_OCCIDENTE_ Directa'!M106</f>
        <v>892218388.37999988</v>
      </c>
      <c r="N78" s="294">
        <f>'REMUNERACION_OCCIDENTE_ Directa'!N106</f>
        <v>1311387.82</v>
      </c>
      <c r="O78" s="295">
        <f>'REMUNERACION_OCCIDENTE_ Directa'!O106</f>
        <v>893529776.19999993</v>
      </c>
      <c r="Q78" s="306"/>
      <c r="S78" s="314">
        <v>3</v>
      </c>
      <c r="T78" s="315" t="s">
        <v>12</v>
      </c>
      <c r="U78" s="316">
        <f>'REMUNERACION_OCCIDENTE_ Directa'!U106</f>
        <v>10225267.880000001</v>
      </c>
      <c r="V78" s="317">
        <f>'REMUNERACION_OCCIDENTE_ Directa'!V106</f>
        <v>13794028.73</v>
      </c>
      <c r="W78" s="317">
        <f>'REMUNERACION_OCCIDENTE_ Directa'!W106</f>
        <v>64505492.360000007</v>
      </c>
      <c r="X78" s="317">
        <f>'REMUNERACION_OCCIDENTE_ Directa'!X106</f>
        <v>393819035.60999995</v>
      </c>
      <c r="Y78" s="318">
        <f>'REMUNERACION_OCCIDENTE_ Directa'!Y106</f>
        <v>1909745.96</v>
      </c>
      <c r="Z78" s="319">
        <f>'REMUNERACION_OCCIDENTE_ Directa'!Z106</f>
        <v>0</v>
      </c>
      <c r="AA78" s="320">
        <f>'REMUNERACION_OCCIDENTE_ Directa'!AA106</f>
        <v>-972.41000000000008</v>
      </c>
      <c r="AB78" s="294">
        <f>'REMUNERACION_OCCIDENTE_ Directa'!AB106</f>
        <v>1311387.82</v>
      </c>
      <c r="AC78" s="320">
        <f>'REMUNERACION_OCCIDENTE_ Directa'!AC106</f>
        <v>-11886.56</v>
      </c>
      <c r="AD78" s="291">
        <f>'REMUNERACION_OCCIDENTE_ Directa'!AD106</f>
        <v>407977676.81</v>
      </c>
      <c r="AE78" s="291">
        <f>'REMUNERACION_OCCIDENTE_ Directa'!AE106</f>
        <v>407977676.81</v>
      </c>
      <c r="AF78" s="322">
        <f>'REMUNERACION_OCCIDENTE_ Directa'!AF106</f>
        <v>893529776.19999981</v>
      </c>
      <c r="AG78" s="522">
        <f>'REMUNERACION_OCCIDENTE_ Directa'!AG106</f>
        <v>0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488724679.72000009</v>
      </c>
      <c r="E79" s="292">
        <f>'REMUNERACION_OCCIDENTE_ Directa'!E107</f>
        <v>55203155.700000003</v>
      </c>
      <c r="F79" s="292">
        <f>'REMUNERACION_OCCIDENTE_ Directa'!F107</f>
        <v>30345126.150000002</v>
      </c>
      <c r="G79" s="292">
        <f>'REMUNERACION_OCCIDENTE_ Directa'!G107</f>
        <v>15489479.65</v>
      </c>
      <c r="H79" s="292">
        <f>'REMUNERACION_OCCIDENTE_ Directa'!H107</f>
        <v>57754003.020000003</v>
      </c>
      <c r="I79" s="292">
        <f>'REMUNERACION_OCCIDENTE_ Directa'!I107</f>
        <v>1909778.2499999998</v>
      </c>
      <c r="J79" s="288">
        <f>'REMUNERACION_OCCIDENTE_ Directa'!J107</f>
        <v>0</v>
      </c>
      <c r="K79" s="295">
        <f>'REMUNERACION_OCCIDENTE_ Directa'!K107</f>
        <v>328023136.95000017</v>
      </c>
      <c r="L79" s="294">
        <f>'REMUNERACION_OCCIDENTE_ Directa'!L107</f>
        <v>0</v>
      </c>
      <c r="M79" s="295">
        <f>'REMUNERACION_OCCIDENTE_ Directa'!M107</f>
        <v>328023136.95000017</v>
      </c>
      <c r="N79" s="294">
        <f>'REMUNERACION_OCCIDENTE_ Directa'!N107</f>
        <v>14919457.4</v>
      </c>
      <c r="O79" s="295">
        <f>'REMUNERACION_OCCIDENTE_ Directa'!O107</f>
        <v>342942594.35000014</v>
      </c>
      <c r="Q79" s="306"/>
      <c r="S79" s="314">
        <v>4</v>
      </c>
      <c r="T79" s="315" t="s">
        <v>13</v>
      </c>
      <c r="U79" s="316">
        <f>'REMUNERACION_OCCIDENTE_ Directa'!U107</f>
        <v>18153635.699999999</v>
      </c>
      <c r="V79" s="317">
        <f>'REMUNERACION_OCCIDENTE_ Directa'!V107</f>
        <v>22508162.759999998</v>
      </c>
      <c r="W79" s="317">
        <f>'REMUNERACION_OCCIDENTE_ Directa'!W107</f>
        <v>110934136.67000002</v>
      </c>
      <c r="X79" s="317">
        <f>'REMUNERACION_OCCIDENTE_ Directa'!X107</f>
        <v>146478227.43000004</v>
      </c>
      <c r="Y79" s="318">
        <f>'REMUNERACION_OCCIDENTE_ Directa'!Y107</f>
        <v>3110743.9899999998</v>
      </c>
      <c r="Z79" s="319">
        <f>'REMUNERACION_OCCIDENTE_ Directa'!Z107</f>
        <v>0</v>
      </c>
      <c r="AA79" s="320">
        <f>'REMUNERACION_OCCIDENTE_ Directa'!AA107</f>
        <v>602.99999999999989</v>
      </c>
      <c r="AB79" s="294">
        <f>'REMUNERACION_OCCIDENTE_ Directa'!AB107</f>
        <v>14919457.4</v>
      </c>
      <c r="AC79" s="320">
        <f>'REMUNERACION_OCCIDENTE_ Directa'!AC107</f>
        <v>-80.570000000000007</v>
      </c>
      <c r="AD79" s="291">
        <f>'REMUNERACION_OCCIDENTE_ Directa'!AD107</f>
        <v>26837707.969999999</v>
      </c>
      <c r="AE79" s="291">
        <f>'REMUNERACION_OCCIDENTE_ Directa'!AE107</f>
        <v>26837707.969999999</v>
      </c>
      <c r="AF79" s="322">
        <f>'REMUNERACION_OCCIDENTE_ Directa'!AF107</f>
        <v>342942594.35000002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317721932.47000003</v>
      </c>
      <c r="E80" s="297">
        <f>'REMUNERACION_OCCIDENTE_ Directa'!E108</f>
        <v>31184102.540000003</v>
      </c>
      <c r="F80" s="297">
        <f>'REMUNERACION_OCCIDENTE_ Directa'!F108</f>
        <v>17438110.490000002</v>
      </c>
      <c r="G80" s="297">
        <f>'REMUNERACION_OCCIDENTE_ Directa'!G108</f>
        <v>9129338.4999999981</v>
      </c>
      <c r="H80" s="297">
        <f>'REMUNERACION_OCCIDENTE_ Directa'!H108</f>
        <v>18288367.830000002</v>
      </c>
      <c r="I80" s="297">
        <f>'REMUNERACION_OCCIDENTE_ Directa'!I108</f>
        <v>845568.67</v>
      </c>
      <c r="J80" s="289">
        <f>'REMUNERACION_OCCIDENTE_ Directa'!J108</f>
        <v>0</v>
      </c>
      <c r="K80" s="295">
        <f>'REMUNERACION_OCCIDENTE_ Directa'!K108</f>
        <v>240836444.44</v>
      </c>
      <c r="L80" s="294">
        <f>'REMUNERACION_OCCIDENTE_ Directa'!L108</f>
        <v>0</v>
      </c>
      <c r="M80" s="298">
        <f>'REMUNERACION_OCCIDENTE_ Directa'!M108</f>
        <v>240836444.44</v>
      </c>
      <c r="N80" s="299">
        <f>'REMUNERACION_OCCIDENTE_ Directa'!N108</f>
        <v>6894658.7800000003</v>
      </c>
      <c r="O80" s="298">
        <f>'REMUNERACION_OCCIDENTE_ Directa'!O108</f>
        <v>247731103.22</v>
      </c>
      <c r="Q80" s="306"/>
      <c r="S80" s="324">
        <v>5</v>
      </c>
      <c r="T80" s="325" t="s">
        <v>14</v>
      </c>
      <c r="U80" s="296">
        <f>'REMUNERACION_OCCIDENTE_ Directa'!U108</f>
        <v>7530881.8600000003</v>
      </c>
      <c r="V80" s="297">
        <f>'REMUNERACION_OCCIDENTE_ Directa'!V108</f>
        <v>9040944.5399999991</v>
      </c>
      <c r="W80" s="297">
        <f>'REMUNERACION_OCCIDENTE_ Directa'!W108</f>
        <v>45756182.879999995</v>
      </c>
      <c r="X80" s="297">
        <f>'REMUNERACION_OCCIDENTE_ Directa'!X108</f>
        <v>92948094.320000008</v>
      </c>
      <c r="Y80" s="289">
        <f>'REMUNERACION_OCCIDENTE_ Directa'!Y108</f>
        <v>1374403.66</v>
      </c>
      <c r="Z80" s="319">
        <f>'REMUNERACION_OCCIDENTE_ Directa'!Z108</f>
        <v>0</v>
      </c>
      <c r="AA80" s="320">
        <f>'REMUNERACION_OCCIDENTE_ Directa'!AA108</f>
        <v>-760.25999999999988</v>
      </c>
      <c r="AB80" s="294">
        <f>'REMUNERACION_OCCIDENTE_ Directa'!AB108</f>
        <v>6894658.7800000003</v>
      </c>
      <c r="AC80" s="320">
        <f>'REMUNERACION_OCCIDENTE_ Directa'!AC108</f>
        <v>0.35000000000000003</v>
      </c>
      <c r="AD80" s="291">
        <f>'REMUNERACION_OCCIDENTE_ Directa'!AD108</f>
        <v>84186697.089999989</v>
      </c>
      <c r="AE80" s="291">
        <f>'REMUNERACION_OCCIDENTE_ Directa'!AE108</f>
        <v>84186697.089999989</v>
      </c>
      <c r="AF80" s="322">
        <f>'REMUNERACION_OCCIDENTE_ Directa'!AF108</f>
        <v>247731103.21999997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4263358205.6200008</v>
      </c>
      <c r="E81" s="290">
        <f>'REMUNERACION_OCCIDENTE_ Directa'!E109</f>
        <v>538715525.36000001</v>
      </c>
      <c r="F81" s="290">
        <f>'REMUNERACION_OCCIDENTE_ Directa'!F109</f>
        <v>301108775.10999995</v>
      </c>
      <c r="G81" s="290">
        <f>'REMUNERACION_OCCIDENTE_ Directa'!G109</f>
        <v>158427545.65000001</v>
      </c>
      <c r="H81" s="290">
        <f>'REMUNERACION_OCCIDENTE_ Directa'!H109</f>
        <v>381659485.12</v>
      </c>
      <c r="I81" s="290">
        <f>'REMUNERACION_OCCIDENTE_ Directa'!I109</f>
        <v>11500319.260000002</v>
      </c>
      <c r="J81" s="290">
        <f>'REMUNERACION_OCCIDENTE_ Directa'!J109</f>
        <v>0</v>
      </c>
      <c r="K81" s="300">
        <f>'REMUNERACION_OCCIDENTE_ Directa'!K109</f>
        <v>2871946555.1200004</v>
      </c>
      <c r="L81" s="301">
        <f>'REMUNERACION_OCCIDENTE_ Directa'!L109</f>
        <v>0</v>
      </c>
      <c r="M81" s="302">
        <f>'REMUNERACION_OCCIDENTE_ Directa'!M109</f>
        <v>2871946555.1200004</v>
      </c>
      <c r="N81" s="301">
        <f>'REMUNERACION_OCCIDENTE_ Directa'!N109</f>
        <v>61067319.399999999</v>
      </c>
      <c r="O81" s="302">
        <f>'REMUNERACION_OCCIDENTE_ Directa'!O109</f>
        <v>2933013874.52</v>
      </c>
      <c r="P81" s="329"/>
      <c r="Q81" s="306"/>
      <c r="S81" s="327"/>
      <c r="T81" s="328" t="s">
        <v>2</v>
      </c>
      <c r="U81" s="330">
        <f>'REMUNERACION_OCCIDENTE_ Directa'!U109</f>
        <v>102417150.63000001</v>
      </c>
      <c r="V81" s="330">
        <f>'REMUNERACION_OCCIDENTE_ Directa'!V109</f>
        <v>134032300.66999999</v>
      </c>
      <c r="W81" s="330">
        <f>'REMUNERACION_OCCIDENTE_ Directa'!W109</f>
        <v>627375815.82000005</v>
      </c>
      <c r="X81" s="330">
        <f>'REMUNERACION_OCCIDENTE_ Directa'!X109</f>
        <v>1285844016.1299999</v>
      </c>
      <c r="Y81" s="330">
        <f>'REMUNERACION_OCCIDENTE_ Directa'!Y109</f>
        <v>18649143.739999998</v>
      </c>
      <c r="Z81" s="290">
        <f>'REMUNERACION_OCCIDENTE_ Directa'!Z109</f>
        <v>0</v>
      </c>
      <c r="AA81" s="290">
        <f>'REMUNERACION_OCCIDENTE_ Directa'!AA109</f>
        <v>-5271.94</v>
      </c>
      <c r="AB81" s="290">
        <f>'REMUNERACION_OCCIDENTE_ Directa'!AB109</f>
        <v>61067319.399999999</v>
      </c>
      <c r="AC81" s="290">
        <f>'REMUNERACION_OCCIDENTE_ Directa'!AC109</f>
        <v>-14094.689999999999</v>
      </c>
      <c r="AD81" s="290">
        <f>'REMUNERACION_OCCIDENTE_ Directa'!AD109</f>
        <v>703647494.76000011</v>
      </c>
      <c r="AE81" s="290">
        <f>'REMUNERACION_OCCIDENTE_ Directa'!AE109</f>
        <v>703647494.76000011</v>
      </c>
      <c r="AF81" s="331">
        <f>'REMUNERACION_OCCIDENTE_ Directa'!AF109</f>
        <v>2933013874.5199995</v>
      </c>
      <c r="AG81" s="524">
        <f>'REMUNERACION_OCCIDENTE_ Directa'!AG109</f>
        <v>0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2.0861625671386719E-7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2026072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46219</v>
      </c>
      <c r="H125" s="45"/>
      <c r="I125" s="45"/>
      <c r="J125" s="555" t="s">
        <v>28</v>
      </c>
      <c r="K125" s="557">
        <f>'REMUNERACION_EAAB-CL'!K102</f>
        <v>46234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46219</v>
      </c>
      <c r="W125" s="45" t="s">
        <v>1</v>
      </c>
      <c r="X125" s="45" t="str">
        <f>J125</f>
        <v>Feha Hasta:</v>
      </c>
      <c r="Y125" s="557">
        <f>'REMUNERACION_EAAB-CL'!Y102</f>
        <v>46234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100931031.88</v>
      </c>
      <c r="E6" s="309">
        <f>'CONSOLIDADO_TOTAL RECAUDO'!E125</f>
        <v>0</v>
      </c>
      <c r="G6" s="336">
        <f>'CONSOLIDADO_TOTAL RECAUDO'!G125</f>
        <v>49580</v>
      </c>
      <c r="H6" s="310">
        <f>'CONSOLIDADO_TOTAL RECAUDO'!H125</f>
        <v>125948553.12</v>
      </c>
      <c r="I6" s="309">
        <f>'CONSOLIDADO_TOTAL RECAUDO'!I125</f>
        <v>973693.46</v>
      </c>
      <c r="J6" s="309">
        <f>'CONSOLIDADO_TOTAL RECAUDO'!J125</f>
        <v>-16536713.09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136534753</v>
      </c>
      <c r="E7" s="288">
        <f>'CONSOLIDADO_TOTAL RECAUDO'!E126</f>
        <v>0</v>
      </c>
      <c r="G7" s="339">
        <f>'CONSOLIDADO_TOTAL RECAUDO'!G126</f>
        <v>56190070</v>
      </c>
      <c r="H7" s="340">
        <f>'CONSOLIDADO_TOTAL RECAUDO'!H126</f>
        <v>178539092.16</v>
      </c>
      <c r="I7" s="288">
        <f>'CONSOLIDADO_TOTAL RECAUDO'!I126</f>
        <v>216025.77</v>
      </c>
      <c r="J7" s="288">
        <f>'CONSOLIDADO_TOTAL RECAUDO'!J126</f>
        <v>-71069759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58884032.920000002</v>
      </c>
      <c r="E8" s="288">
        <f>'CONSOLIDADO_TOTAL RECAUDO'!E127</f>
        <v>0</v>
      </c>
      <c r="G8" s="339">
        <f>'CONSOLIDADO_TOTAL RECAUDO'!G127</f>
        <v>1307680</v>
      </c>
      <c r="H8" s="340">
        <f>'CONSOLIDADO_TOTAL RECAUDO'!H127</f>
        <v>26609070.66</v>
      </c>
      <c r="I8" s="288">
        <f>'CONSOLIDADO_TOTAL RECAUDO'!I127</f>
        <v>104231.83</v>
      </c>
      <c r="J8" s="288">
        <f>'CONSOLIDADO_TOTAL RECAUDO'!J127</f>
        <v>-32310979.800000001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73726637.340000004</v>
      </c>
      <c r="E9" s="288">
        <f>'CONSOLIDADO_TOTAL RECAUDO'!E128</f>
        <v>0</v>
      </c>
      <c r="G9" s="339">
        <f>'CONSOLIDADO_TOTAL RECAUDO'!G128</f>
        <v>4343101</v>
      </c>
      <c r="H9" s="340">
        <f>'CONSOLIDADO_TOTAL RECAUDO'!H128</f>
        <v>161461949.73000002</v>
      </c>
      <c r="I9" s="288">
        <f>'CONSOLIDADO_TOTAL RECAUDO'!I128</f>
        <v>35954.44</v>
      </c>
      <c r="J9" s="288">
        <f>'CONSOLIDADO_TOTAL RECAUDO'!J128</f>
        <v>-33738104.229999997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28383865.960000001</v>
      </c>
      <c r="E10" s="344">
        <f>'CONSOLIDADO_TOTAL RECAUDO'!E129</f>
        <v>0</v>
      </c>
      <c r="G10" s="339">
        <f>'CONSOLIDADO_TOTAL RECAUDO'!G129</f>
        <v>441849</v>
      </c>
      <c r="H10" s="340">
        <f>'CONSOLIDADO_TOTAL RECAUDO'!H129</f>
        <v>43973508.960000001</v>
      </c>
      <c r="I10" s="288">
        <f>'CONSOLIDADO_TOTAL RECAUDO'!I129</f>
        <v>0</v>
      </c>
      <c r="J10" s="288">
        <f>'CONSOLIDADO_TOTAL RECAUDO'!J129</f>
        <v>-3092375.53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398460321.09999996</v>
      </c>
      <c r="E12" s="350">
        <f>'CONSOLIDADO_TOTAL RECAUDO'!E131</f>
        <v>0</v>
      </c>
      <c r="F12" s="351"/>
      <c r="G12" s="350">
        <f>'CONSOLIDADO_TOTAL RECAUDO'!G131</f>
        <v>62332280</v>
      </c>
      <c r="H12" s="350">
        <f>'CONSOLIDADO_TOTAL RECAUDO'!H131</f>
        <v>536532174.63</v>
      </c>
      <c r="I12" s="350">
        <f>'CONSOLIDADO_TOTAL RECAUDO'!I131</f>
        <v>1329905.5</v>
      </c>
      <c r="J12" s="350">
        <f>'CONSOLIDADO_TOTAL RECAUDO'!J131</f>
        <v>-156747931.65000001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12820520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35414329.289999992</v>
      </c>
      <c r="I22" s="288">
        <f>'REMUNERACION Reciprocidad EAAB'!I126</f>
        <v>216025.77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10268790</v>
      </c>
      <c r="E24" s="288">
        <f>'REMUNERACION Reciprocidad EAAB'!E128</f>
        <v>0</v>
      </c>
      <c r="G24" s="339">
        <f>'REMUNERACION Reciprocidad EAAB'!G128</f>
        <v>41900</v>
      </c>
      <c r="H24" s="340">
        <f>'REMUNERACION Reciprocidad EAAB'!H128</f>
        <v>66508368.82</v>
      </c>
      <c r="I24" s="288">
        <f>'REMUNERACION Reciprocidad EAAB'!I128</f>
        <v>35954.44</v>
      </c>
      <c r="J24" s="288">
        <f>'REMUNERACION Reciprocidad EAAB'!J128</f>
        <v>-736030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23089310</v>
      </c>
      <c r="E27" s="350">
        <f>'REMUNERACION Reciprocidad EAAB'!E131</f>
        <v>0</v>
      </c>
      <c r="F27" s="351"/>
      <c r="G27" s="350">
        <f>'REMUNERACION Reciprocidad EAAB'!G131</f>
        <v>41900</v>
      </c>
      <c r="H27" s="350">
        <f>'REMUNERACION Reciprocidad EAAB'!H131</f>
        <v>101922698.10999998</v>
      </c>
      <c r="I27" s="350">
        <f>'REMUNERACION Reciprocidad EAAB'!I131</f>
        <v>251980.21</v>
      </c>
      <c r="J27" s="350">
        <f>'REMUNERACION Reciprocidad EAAB'!J131</f>
        <v>-736030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83572548.25</v>
      </c>
      <c r="E35" s="309">
        <f>REMUNERACION_ENEL!E125</f>
        <v>0</v>
      </c>
      <c r="G35" s="336">
        <f>REMUNERACION_ENEL!G125</f>
        <v>49580</v>
      </c>
      <c r="H35" s="310">
        <f>REMUNERACION_ENEL!H125</f>
        <v>97091142.519999996</v>
      </c>
      <c r="I35" s="309">
        <f>REMUNERACION_ENEL!I125</f>
        <v>973693.46</v>
      </c>
      <c r="J35" s="309">
        <f>REMUNERACION_ENEL!J125</f>
        <v>-15533961.699999999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44281124</v>
      </c>
      <c r="E36" s="288">
        <f>REMUNERACION_ENEL!E126</f>
        <v>0</v>
      </c>
      <c r="G36" s="339">
        <f>REMUNERACION_ENEL!G126</f>
        <v>56078860</v>
      </c>
      <c r="H36" s="340">
        <f>REMUNERACION_ENEL!H126</f>
        <v>55676152.700000003</v>
      </c>
      <c r="I36" s="288">
        <f>REMUNERACION_ENEL!I126</f>
        <v>0</v>
      </c>
      <c r="J36" s="288">
        <f>REMUNERACION_ENEL!J126</f>
        <v>-70779009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44039530</v>
      </c>
      <c r="E37" s="288">
        <f>REMUNERACION_ENEL!E127</f>
        <v>0</v>
      </c>
      <c r="G37" s="339">
        <f>REMUNERACION_ENEL!G127</f>
        <v>1307680</v>
      </c>
      <c r="H37" s="340">
        <f>REMUNERACION_ENEL!H127</f>
        <v>10055662.040000001</v>
      </c>
      <c r="I37" s="288">
        <f>REMUNERACION_ENEL!I127</f>
        <v>104231.83</v>
      </c>
      <c r="J37" s="288">
        <f>REMUNERACION_ENEL!J127</f>
        <v>-32004320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48826052</v>
      </c>
      <c r="E38" s="288">
        <f>REMUNERACION_ENEL!E128</f>
        <v>0</v>
      </c>
      <c r="G38" s="339">
        <f>REMUNERACION_ENEL!G128</f>
        <v>3610007</v>
      </c>
      <c r="H38" s="340">
        <f>REMUNERACION_ENEL!H128</f>
        <v>60774931.109999992</v>
      </c>
      <c r="I38" s="288">
        <f>REMUNERACION_ENEL!I128</f>
        <v>0</v>
      </c>
      <c r="J38" s="288">
        <f>REMUNERACION_ENEL!J128</f>
        <v>-29768645.890000001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15997915</v>
      </c>
      <c r="E39" s="344">
        <f>REMUNERACION_ENEL!E129</f>
        <v>0</v>
      </c>
      <c r="G39" s="339">
        <f>REMUNERACION_ENEL!G129</f>
        <v>0</v>
      </c>
      <c r="H39" s="340">
        <f>REMUNERACION_ENEL!H129</f>
        <v>23423861.739999998</v>
      </c>
      <c r="I39" s="288">
        <f>REMUNERACION_ENEL!I129</f>
        <v>0</v>
      </c>
      <c r="J39" s="288">
        <f>REMUNERACION_ENEL!J129</f>
        <v>-2065600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236717169.25</v>
      </c>
      <c r="E41" s="350">
        <f>REMUNERACION_ENEL!E131</f>
        <v>0</v>
      </c>
      <c r="F41" s="351"/>
      <c r="G41" s="350">
        <f>REMUNERACION_ENEL!G131</f>
        <v>61046127</v>
      </c>
      <c r="H41" s="350">
        <f>REMUNERACION_ENEL!H131</f>
        <v>247021750.10999998</v>
      </c>
      <c r="I41" s="350">
        <f>REMUNERACION_ENEL!I131</f>
        <v>1077925.29</v>
      </c>
      <c r="J41" s="350">
        <f>REMUNERACION_ENEL!J131</f>
        <v>-150151536.59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330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1781103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6242402.4799999995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1781103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6242402.4799999995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17358483.629999999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28857410.600000001</v>
      </c>
      <c r="I63" s="309">
        <f>'REMUNERACION_OCCIDENTE_ Directa'!I125</f>
        <v>0</v>
      </c>
      <c r="J63" s="309">
        <f>'REMUNERACION_OCCIDENTE_ Directa'!J125</f>
        <v>-1002751.39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79433109</v>
      </c>
      <c r="E64" s="288">
        <f>'REMUNERACION_OCCIDENTE_ Directa'!E126</f>
        <v>0</v>
      </c>
      <c r="G64" s="339">
        <f>'REMUNERACION_OCCIDENTE_ Directa'!G126</f>
        <v>111210</v>
      </c>
      <c r="H64" s="340">
        <f>'REMUNERACION_OCCIDENTE_ Directa'!H126</f>
        <v>87448610.169999987</v>
      </c>
      <c r="I64" s="288">
        <f>'REMUNERACION_OCCIDENTE_ Directa'!I126</f>
        <v>0</v>
      </c>
      <c r="J64" s="288">
        <f>'REMUNERACION_OCCIDENTE_ Directa'!J126</f>
        <v>-290750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14844502.92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16553408.619999999</v>
      </c>
      <c r="I65" s="288">
        <f>'REMUNERACION_OCCIDENTE_ Directa'!I127</f>
        <v>0</v>
      </c>
      <c r="J65" s="288">
        <f>'REMUNERACION_OCCIDENTE_ Directa'!J127</f>
        <v>-306659.8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14631795.34</v>
      </c>
      <c r="E66" s="288">
        <f>'REMUNERACION_OCCIDENTE_ Directa'!E128</f>
        <v>0</v>
      </c>
      <c r="G66" s="339">
        <f>'REMUNERACION_OCCIDENTE_ Directa'!G128</f>
        <v>691194</v>
      </c>
      <c r="H66" s="340">
        <f>'REMUNERACION_OCCIDENTE_ Directa'!H128</f>
        <v>34178649.799999997</v>
      </c>
      <c r="I66" s="288">
        <f>'REMUNERACION_OCCIDENTE_ Directa'!I128</f>
        <v>0</v>
      </c>
      <c r="J66" s="288">
        <f>'REMUNERACION_OCCIDENTE_ Directa'!J128</f>
        <v>-3233428.34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10604847.960000001</v>
      </c>
      <c r="E67" s="344">
        <f>'REMUNERACION_OCCIDENTE_ Directa'!E129</f>
        <v>0</v>
      </c>
      <c r="G67" s="339">
        <f>'REMUNERACION_OCCIDENTE_ Directa'!G129</f>
        <v>441849</v>
      </c>
      <c r="H67" s="340">
        <f>'REMUNERACION_OCCIDENTE_ Directa'!H129</f>
        <v>14307244.74</v>
      </c>
      <c r="I67" s="288">
        <f>'REMUNERACION_OCCIDENTE_ Directa'!I129</f>
        <v>0</v>
      </c>
      <c r="J67" s="288">
        <f>'REMUNERACION_OCCIDENTE_ Directa'!J129</f>
        <v>-1026775.53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136872738.84999999</v>
      </c>
      <c r="E69" s="350">
        <f>'REMUNERACION_OCCIDENTE_ Directa'!E131</f>
        <v>0</v>
      </c>
      <c r="F69" s="351"/>
      <c r="G69" s="350">
        <f>'REMUNERACION_OCCIDENTE_ Directa'!G131</f>
        <v>1244253</v>
      </c>
      <c r="H69" s="350">
        <f>'REMUNERACION_OCCIDENTE_ Directa'!H131</f>
        <v>181345323.93000001</v>
      </c>
      <c r="I69" s="350">
        <f>'REMUNERACION_OCCIDENTE_ Directa'!I131</f>
        <v>0</v>
      </c>
      <c r="J69" s="350">
        <f>'REMUNERACION_OCCIDENTE_ Directa'!J131</f>
        <v>-5860365.0600000005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2026072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338</v>
      </c>
      <c r="D7" s="546">
        <v>68144618192</v>
      </c>
      <c r="E7" s="533">
        <f>SUM(D7:D9)</f>
        <v>68213380915</v>
      </c>
      <c r="F7" s="534" t="b">
        <v>1</v>
      </c>
      <c r="G7" s="143"/>
      <c r="H7" s="143"/>
      <c r="I7" s="143"/>
    </row>
    <row r="8" spans="2:9" ht="14.4" x14ac:dyDescent="0.3">
      <c r="C8" s="545" t="s">
        <v>325</v>
      </c>
      <c r="D8" s="546">
        <v>28645323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40117400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4284569052</v>
      </c>
      <c r="E10" s="535">
        <f>SUM(D10)</f>
        <v>4284569052</v>
      </c>
      <c r="F10" s="536">
        <f>E7+E10</f>
        <v>72497949967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2026-10-29T18:29:12Z</dcterms:modified>
</cp:coreProperties>
</file>