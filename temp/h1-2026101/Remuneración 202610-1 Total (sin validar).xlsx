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4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Docs/Plantilla estandarizada/v2/"/>
    </mc:Choice>
  </mc:AlternateContent>
  <xr:revisionPtr revIDLastSave="14" documentId="13_ncr:1_{A376A982-D23D-482E-BE0C-EEADC22F44C3}" xr6:coauthVersionLast="47" xr6:coauthVersionMax="47" xr10:uidLastSave="{5D675423-6240-4E79-905B-DDEAC9F3C1D4}"/>
  <x:bookViews>
    <x:workbookView xWindow="-103" yWindow="-103" windowWidth="16663" windowHeight="8743" tabRatio="780" firstSheet="7" activeTab="9" xr2:uid="{00000000-000D-0000-FFFF-FFFF00000000}"/>
  </x:bookViews>
  <x:sheets>
    <x:sheet name="Recaudo EAAB Reciprocidad" sheetId="66" r:id="rId1"/>
    <x:sheet name="Recaudo ENEL" sheetId="71" r:id="rId2"/>
    <x:sheet name="Recaudo ENERBIT" sheetId="96" r:id="rId3"/>
    <x:sheet name="Recaudo EAAB + Ciud Limp" sheetId="57" r:id="rId4"/>
    <x:sheet name="Recaudo Directa Occidente" sheetId="58" r:id="rId5"/>
    <x:sheet name="REPORTE RECAUDO x BANCO" sheetId="62" r:id="rId6"/>
    <x:sheet name="ANT EXT-REV" sheetId="70" r:id="rId7"/>
    <x:sheet name="ANTICIPOS USUARIOS" sheetId="56" r:id="rId8"/>
    <x:sheet name="BCE SC POR FACT." sheetId="64" r:id="rId9"/>
    <x:sheet name="Reporte Componentes R1" sheetId="55" r:id="rId10"/>
    <x:sheet name="Rem. Anticipos R2" sheetId="59" r:id="rId11"/>
    <x:sheet name="Reversion Pagos R4" sheetId="61" r:id="rId12"/>
    <x:sheet name="SALDOS POR NOTA" sheetId="68" r:id="rId13"/>
    <x:sheet name="RETRIBUCION NEGATIVA" sheetId="67" r:id="rId14"/>
    <x:sheet name="AJUSTES - SF-T" sheetId="69" r:id="rId15"/>
    <x:sheet name="INTERVENTORIA" sheetId="95" r:id="rId16"/>
    <x:sheet name="Informe AFaseo Recaudo 202610-1" sheetId="89" r:id="rId17"/>
    <x:sheet name="CONSOLIDADO_TOTAL RECAUDO" sheetId="22" r:id="rId18"/>
    <x:sheet name="VALIDACION_TOTAL" sheetId="36" r:id="rId19"/>
    <x:sheet name="GERENTES_TOTAL" sheetId="39" r:id="rId20"/>
    <x:sheet name="REMUNERACION Reciprocidad EAAB" sheetId="75" r:id="rId21"/>
    <x:sheet name="VALIDACION_RECIP" sheetId="77" r:id="rId22"/>
    <x:sheet name="GERENTES_Reciprocidad_ EAAB" sheetId="76" r:id="rId23"/>
    <x:sheet name="REMUNERACION_ENEL" sheetId="79" r:id="rId24"/>
    <x:sheet name="VALIDACION_ENEL" sheetId="80" r:id="rId25"/>
    <x:sheet name="GERENTES_ENEL" sheetId="81" r:id="rId26"/>
    <x:sheet name="REMUNERACION_ENERBIT" sheetId="97" r:id="rId27"/>
    <x:sheet name="VALIDACION_ENERBIT" sheetId="98" r:id="rId28"/>
    <x:sheet name="GERENTES_ENERBIT" sheetId="99" r:id="rId29"/>
    <x:sheet name="REMUNERACION_OCCIDENTE_ Directa" sheetId="85" r:id="rId30"/>
    <x:sheet name="VALIDACION_OCCIDENTE" sheetId="83" r:id="rId31"/>
    <x:sheet name="GERENTES_OCCIDENTE _ Directa" sheetId="82" r:id="rId32"/>
    <x:sheet name="REMUNERACION_EAAB-CL" sheetId="86" r:id="rId33"/>
    <x:sheet name="VALIDACION_EAAB-CL" sheetId="87" r:id="rId34"/>
    <x:sheet name="GERENTES_EAAB-CL" sheetId="88" r:id="rId35"/>
    <x:sheet name="DetRetri2026101" sheetId="93" r:id="rId36"/>
    <x:sheet name="DetValiRetri2026101" sheetId="94" r:id="rId37"/>
    <x:sheet name="Valida -Remunera" sheetId="90" r:id="rId38"/>
    <x:sheet name="Valida - Anticipos" sheetId="91" r:id="rId39"/>
    <x:sheet name="Valida - Control Recaudo" sheetId="92" r:id="rId40"/>
  </x:sheets>
  <x:externalReferences>
    <x:externalReference r:id="rId41"/>
    <x:externalReference r:id="rId42"/>
    <x:externalReference r:id="rId43"/>
    <x:externalReference r:id="rId44"/>
    <x:externalReference r:id="rId45"/>
  </x:externalReferences>
  <x:definedNames>
    <x:definedName name="\0">#REF!</x:definedName>
    <x:definedName name="_1">#REF!</x:definedName>
    <x:definedName name="_2">#REF!</x:definedName>
    <x:definedName name="_A655555">#REF!</x:definedName>
    <x:definedName name="_CFR1">#REF!</x:definedName>
    <x:definedName name="_cia1">#REF!</x:definedName>
    <x:definedName name="_xlnm._FilterDatabase" localSheetId="3" hidden="1">'Recaudo EAAB + Ciud Limp'!#REF!</x:definedName>
    <x:definedName name="_xlnm._FilterDatabase" localSheetId="0" hidden="1">'Recaudo EAAB Reciprocidad'!#REF!</x:definedName>
    <x:definedName name="_Order1" hidden="1">0</x:definedName>
    <x:definedName name="_XL250">#REF!</x:definedName>
    <x:definedName name="A">#REF!</x:definedName>
    <x:definedName name="ADM" localSheetId="28">[1]!ADM</x:definedName>
    <x:definedName name="ADM" localSheetId="2">[1]!ADM</x:definedName>
    <x:definedName name="ADM" localSheetId="26">[1]!ADM</x:definedName>
    <x:definedName name="ADM" localSheetId="27">[1]!ADM</x:definedName>
    <x:definedName name="ADM">[1]!ADM</x:definedName>
    <x:definedName name="ADM_" localSheetId="28">[1]!ADM</x:definedName>
    <x:definedName name="ADM_" localSheetId="2">[1]!ADM</x:definedName>
    <x:definedName name="ADM_" localSheetId="26">[1]!ADM</x:definedName>
    <x:definedName name="ADM_" localSheetId="27">[1]!ADM</x:definedName>
    <x:definedName name="ADM_">[1]!ADM</x:definedName>
    <x:definedName name="AI">#REF!</x:definedName>
    <x:definedName name="Air">#REF!</x:definedName>
    <x:definedName name="anscount" hidden="1">1</x:definedName>
    <x:definedName name="AP">'[2]TARIFA no aforos'!$C$12</x:definedName>
    <x:definedName name="_xlnm.Print_Area">#REF!</x:definedName>
    <x:definedName name="Bancos">[3]Fx!$C$1:$C$23</x:definedName>
    <x:definedName name="CBL">#REF!</x:definedName>
    <x:definedName name="CCS">#REF!</x:definedName>
    <x:definedName name="CDT_p">[4]CDT!$C$3</x:definedName>
    <x:definedName name="CFR">#REF!</x:definedName>
    <x:definedName name="cia">#REF!</x:definedName>
    <x:definedName name="COM">#REF!</x:definedName>
    <x:definedName name="CRT">#REF!</x:definedName>
    <x:definedName name="CRT___CTEp___CDTp___CMRv">#REF!</x:definedName>
    <x:definedName name="CRT_aislados">'[4]COSTOS AJUSTADOS'!$C$13</x:definedName>
    <x:definedName name="CRT_costas">#REF!</x:definedName>
    <x:definedName name="CTE_p">[4]CTE!$C$5</x:definedName>
    <x:definedName name="Denominador">#REF!</x:definedName>
    <x:definedName name="dg" localSheetId="28">[1]!ADM</x:definedName>
    <x:definedName name="dg" localSheetId="2">[1]!ADM</x:definedName>
    <x:definedName name="dg" localSheetId="26">[1]!ADM</x:definedName>
    <x:definedName name="dg" localSheetId="27">[1]!ADM</x:definedName>
    <x:definedName name="dg">[1]!ADM</x:definedName>
    <x:definedName name="DIAS">[5]CONTRA!#REF!</x:definedName>
    <x:definedName name="Fmerc">#REF!</x:definedName>
    <x:definedName name="FPS">#REF!</x:definedName>
    <x:definedName name="InformacionGeneral" localSheetId="28">[1]!InformacionGeneral</x:definedName>
    <x:definedName name="InformacionGeneral" localSheetId="2">[1]!InformacionGeneral</x:definedName>
    <x:definedName name="InformacionGeneral" localSheetId="26">[1]!InformacionGeneral</x:definedName>
    <x:definedName name="InformacionGeneral" localSheetId="27">[1]!InformacionGeneral</x:definedName>
    <x:definedName name="InformacionGeneral">[1]!InformacionGeneral</x:definedName>
    <x:definedName name="INTFIN">#REF!</x:definedName>
    <x:definedName name="INV" localSheetId="28">[1]!INV</x:definedName>
    <x:definedName name="INV" localSheetId="2">[1]!INV</x:definedName>
    <x:definedName name="INV" localSheetId="26">[1]!INV</x:definedName>
    <x:definedName name="INV" localSheetId="27">[1]!INV</x:definedName>
    <x:definedName name="INV">[1]!INV</x:definedName>
    <x:definedName name="K">#REF!</x:definedName>
    <x:definedName name="N">'[4]COSTOS AJUSTADOS'!#REF!</x:definedName>
    <x:definedName name="Na">'[2]TARIFA no aforos'!$C$39</x:definedName>
    <x:definedName name="nfc">'[4]COSTOS AJUSTADOS'!#REF!</x:definedName>
    <x:definedName name="OYM" localSheetId="28">[1]!OYM</x:definedName>
    <x:definedName name="OYM" localSheetId="2">[1]!OYM</x:definedName>
    <x:definedName name="OYM" localSheetId="26">[1]!OYM</x:definedName>
    <x:definedName name="OYM" localSheetId="27">[1]!OYM</x:definedName>
    <x:definedName name="OYM">[1]!OYM</x:definedName>
    <x:definedName name="parametros" localSheetId="28">[1]!parametros</x:definedName>
    <x:definedName name="parametros" localSheetId="2">[1]!parametros</x:definedName>
    <x:definedName name="parametros" localSheetId="26">[1]!parametros</x:definedName>
    <x:definedName name="parametros" localSheetId="27">[1]!parametros</x:definedName>
    <x:definedName name="parametros">[1]!parametros</x:definedName>
    <x:definedName name="PPP">#REF!</x:definedName>
    <x:definedName name="PROMOAMBIENTAL_1">'Reporte Componentes R1'!$A$5:$X$45</x:definedName>
    <x:definedName name="Q">'[2]TARIFA no aforos'!$C$9</x:definedName>
    <x:definedName name="Qa">'[2]TARIFA no aforos'!$C$11</x:definedName>
    <x:definedName name="Qb">'[2]TARIFA no aforos'!$C$10</x:definedName>
    <x:definedName name="Qbr">#REF!</x:definedName>
    <x:definedName name="Qr">#REF!</x:definedName>
    <x:definedName name="Ref.">#REF!</x:definedName>
    <x:definedName name="RES" localSheetId="28">[1]!RES</x:definedName>
    <x:definedName name="RES" localSheetId="2">[1]!RES</x:definedName>
    <x:definedName name="RES" localSheetId="26">[1]!RES</x:definedName>
    <x:definedName name="RES" localSheetId="27">[1]!RES</x:definedName>
    <x:definedName name="RES">[1]!RES</x:definedName>
    <x:definedName name="SUBSIDIOS" localSheetId="28">[1]!SUBSIDIOS</x:definedName>
    <x:definedName name="SUBSIDIOS" localSheetId="2">[1]!SUBSIDIOS</x:definedName>
    <x:definedName name="SUBSIDIOS" localSheetId="26">[1]!SUBSIDIOS</x:definedName>
    <x:definedName name="SUBSIDIOS" localSheetId="27">[1]!SUBSIDIOS</x:definedName>
    <x:definedName name="SUBSIDIOS">[1]!SUBSIDIOS</x:definedName>
    <x:definedName name="Suma_Au">'[2]TARIFA no aforos'!$C$40</x:definedName>
    <x:definedName name="TAforadas">#REF!</x:definedName>
    <x:definedName name="TAj">#REF!</x:definedName>
    <x:definedName name="TAR" localSheetId="28">[1]!TAR</x:definedName>
    <x:definedName name="TAR" localSheetId="2">[1]!TAR</x:definedName>
    <x:definedName name="TAR" localSheetId="26">[1]!TAR</x:definedName>
    <x:definedName name="TAR" localSheetId="27">[1]!TAR</x:definedName>
    <x:definedName name="TAR">[1]!TAR</x:definedName>
    <x:definedName name="TBL">#REF!</x:definedName>
    <x:definedName name="TDT">#REF!</x:definedName>
    <x:definedName name="TFR">#REF!</x:definedName>
    <x:definedName name="TFRi">#REF!</x:definedName>
    <x:definedName name="_xlnm.Print_Titles">#N/A</x:definedName>
    <x:definedName name="Tj">#REF!</x:definedName>
    <x:definedName name="TMRf">#REF!</x:definedName>
    <x:definedName name="TMRv">#REF!</x:definedName>
    <x:definedName name="TNoAforadas">#REF!</x:definedName>
    <x:definedName name="TODO">#REF!</x:definedName>
    <x:definedName name="Trecep">#REF!</x:definedName>
    <x:definedName name="TRF">#REF!</x:definedName>
    <x:definedName name="TRFi">#REF!</x:definedName>
    <x:definedName name="TRT">#REF!</x:definedName>
    <x:definedName name="TTE">#REF!</x:definedName>
    <x:definedName name="TTotales">#REF!</x:definedName>
    <x:definedName name="TU">#REF!</x:definedName>
    <x:definedName name="VP_CTE">#REF!</x:definedName>
    <x:definedName name="wrn.resumen." localSheetId="15" hidden="1">{"total",#N/A,FALSE,"TD 0% ";"total",#N/A,FALSE,"TD 12%";"total",#N/A,FALSE,"TD 10%"}</x:definedName>
    <x:definedName name="wrn.resumen." hidden="1">{"total",#N/A,FALSE,"TD 0% ";"total",#N/A,FALSE,"TD 12%";"total",#N/A,FALSE,"TD 10%"}</x:definedName>
  </x:definedNames>
  <x:calcPr calcId="191029" fullCalcOn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<x:sst xmlns:x="http://schemas.openxmlformats.org/spreadsheetml/2006/main" count="7772" uniqueCount="345">
  <x:si>
    <x:t xml:space="preserve">Hora: </x:t>
  </x:si>
  <x:si>
    <x:t xml:space="preserve"> </x:t>
  </x:si>
  <x:si>
    <x:t>TOTAL</x:t>
  </x:si>
  <x:si>
    <x:t>ASE</x:t>
  </x:si>
  <x:si>
    <x:t>Recaudo Total</x:t>
  </x:si>
  <x:si>
    <x:t>Recaudo por disposicion final</x:t>
  </x:si>
  <x:si>
    <x:t>Recaudo por tratamiento de lixiviados</x:t>
  </x:si>
  <x:si>
    <x:t xml:space="preserve">Conceptos especiales </x:t>
  </x:si>
  <x:si>
    <x:t>PROCERASEO S.A.S.</x:t>
  </x:si>
  <x:si>
    <x:t>Concesionarios</x:t>
  </x:si>
  <x:si>
    <x:t>PROMOAMBIENTAL DISTRITO S.A.S. ESP.</x:t>
  </x:si>
  <x:si>
    <x:t>LIMPIEZA METROPOLITANA S.A. ESP.</x:t>
  </x:si>
  <x:si>
    <x:t>CIUDAD LIMPIA BOGOTA S.A. ESP.</x:t>
  </x:si>
  <x:si>
    <x:t>BOGOTA LIMPIA S.A.S. ESP.</x:t>
  </x:si>
  <x:si>
    <x:t>AREA LIMPIA DISTRITO CAPITAL S.A.S. ESP.</x:t>
  </x:si>
  <x:si>
    <x:t xml:space="preserve">Codigo Remuneración: </x:t>
  </x:si>
  <x:si>
    <x:t>NIT: 901 153 639 - 0</x:t>
  </x:si>
  <x:si>
    <x:t xml:space="preserve">Fecha de Proceso: </x:t>
  </x:si>
  <x:si>
    <x:t xml:space="preserve">Recaudo por aprovechamiento </x:t>
  </x:si>
  <x:si>
    <x:t>Balance de subsidio o contribuciones</x:t>
  </x:si>
  <x:si>
    <x:t>RECAUDO BASE DE REMUNERACION</x:t>
  </x:si>
  <x:si>
    <x:t>Costo de la Interventoría</x:t>
  </x:si>
  <x:si>
    <x:t>REMUNERACION FINAL</x:t>
  </x:si>
  <x:si>
    <x:t>REMUNERACION FINAL MAS CONCEPTOS ESPECIALES</x:t>
  </x:si>
  <x:si>
    <x:t>Recaudo del componente de comercializacion para Aprovechamiento (11,4%)</x:t>
  </x:si>
  <x:si>
    <x:t>Firma autorizada</x:t>
  </x:si>
  <x:si>
    <x:t xml:space="preserve">R1 - RECAUDO OPORTUNO </x:t>
  </x:si>
  <x:si>
    <x:t>Fecha Desde:</x:t>
  </x:si>
  <x:si>
    <x:t>Feha Hasta:</x:t>
  </x:si>
  <x:si>
    <x:t>3. ESQUEMA FINANCIERO DEL SERVICIO PUBLICO DE ASEO</x:t>
  </x:si>
  <x:si>
    <x:t>Resoluciòn UAESP Número 27 de 2018</x:t>
  </x:si>
  <x:si>
    <x:t>R2 - ANTICIPOS A USUARIOS</x:t>
  </x:si>
  <x:si>
    <x:t>R3 - RECAUDO EXTEMPORANEO</x:t>
  </x:si>
  <x:si>
    <x:t>R4 - REVERSIÓN DE PAGOS</x:t>
  </x:si>
  <x:si>
    <x:t>R5 - DEVOLUCIÓN A USUARIOS</x:t>
  </x:si>
  <x:si>
    <x:t>REPORTE CONSOLIDADO DE REMUNERACION</x:t>
  </x:si>
  <x:si>
    <x:t>PROCERASEO SAS</x:t>
  </x:si>
  <x:si>
    <x:t>REPORTE CONSOLIDADO DE ANTICIPOS</x:t>
  </x:si>
  <x:si>
    <x:t>ANTICIPOS GENERADOS</x:t>
  </x:si>
  <x:si>
    <x:t>Tarifa de Comercialización del Servicio.
 ( TCS)</x:t>
  </x:si>
  <x:si>
    <x:t>Tarifa de Limpieza Urbana del Servicio.
 ( TLU)</x:t>
  </x:si>
  <x:si>
    <x:t>Tarifa de Barrido y Limpieza del Servicio.
 ( TBL)</x:t>
  </x:si>
  <x:si>
    <x:t>Tarifa de Recolección
 y Transporte del Servicio.
 (TRT)</x:t>
  </x:si>
  <x:si>
    <x:t>Recaudo del componente de comercializacion para Aprovechamiento (18,6%)</x:t>
  </x:si>
  <x:si>
    <x:t>Recaudo REMUNERADO</x:t>
  </x:si>
  <x:si>
    <x:t>RECAUDO RECIBIDO</x:t>
  </x:si>
  <x:si>
    <x:t>Ajuste a la decena</x:t>
  </x:si>
  <x:si>
    <x:t>RECAUDO APLICADO PERIODOS ANTERIORES</x:t>
  </x:si>
  <x:si>
    <x:t>PAGOS PENDIENTES POR APLICAR</x:t>
  </x:si>
  <x:si>
    <x:t>VALIDACION DEL RECAUDO VERSUS REMUNERACION</x:t>
  </x:si>
  <x:si>
    <x:t>RECAUDO PERIODOS ANTERIORES</x:t>
  </x:si>
  <x:si>
    <x:t>RECAUDO APLICADO ANTICIPOS</x:t>
  </x:si>
  <x:si>
    <x:t>TOTAL RECAUDO</x:t>
  </x:si>
  <x:si>
    <x:t>REMUNERACION ANTICIPOS GENERADOS</x:t>
  </x:si>
  <x:si>
    <x:t>TOTAL REMUNERACION</x:t>
  </x:si>
  <x:si>
    <x:t>TOTAL RECAUDO RECIBIDO</x:t>
  </x:si>
  <x:si>
    <x:t>ANTICIPOS QUE DESCARGAN</x:t>
  </x:si>
  <x:si>
    <x:t>(REMUNERACION) ANTICIPOS QUE DESCARGAN</x:t>
  </x:si>
  <x:si>
    <x:t>REMUNERACION RECAUDO TOTAL</x:t>
  </x:si>
  <x:si>
    <x:t>REMUNERACION CONCEPTOS ESPECIALES</x:t>
  </x:si>
  <x:si>
    <x:t>REMUNERACION PAGOS PENDIENTES POR APLICAR</x:t>
  </x:si>
  <x:si>
    <x:t>Componente TBL</x:t>
  </x:si>
  <x:si>
    <x:t>Componente TRT</x:t>
  </x:si>
  <x:si>
    <x:t>Componente TLU</x:t>
  </x:si>
  <x:si>
    <x:t>Componente TDF</x:t>
  </x:si>
  <x:si>
    <x:t>Componente TTL</x:t>
  </x:si>
  <x:si>
    <x:t>Componente TCS</x:t>
  </x:si>
  <x:si>
    <x:t>CCSA Prest. No Aprov.</x:t>
  </x:si>
  <x:si>
    <x:t>CCSA Prest.Aprov.</x:t>
  </x:si>
  <x:si>
    <x:t>Aprovechamiento</x:t>
  </x:si>
  <x:si>
    <x:t>Total</x:t>
  </x:si>
  <x:si>
    <x:t>SERVICIO ESPECIALES</x:t>
  </x:si>
  <x:si>
    <x:t>Vlr Servicio</x:t>
  </x:si>
  <x:si>
    <x:t>Subsidio(-)/Contribucion(+)</x:t>
  </x:si>
  <x:si>
    <x:t>PROMOAMBIENTAL</x:t>
  </x:si>
  <x:si>
    <x:t>LIME</x:t>
  </x:si>
  <x:si>
    <x:t>CIUDAD LIMPIA</x:t>
  </x:si>
  <x:si>
    <x:t>Ajuste Decena</x:t>
  </x:si>
  <x:si>
    <x:t>Componente</x:t>
  </x:si>
  <x:si>
    <x:t>Subs/Cont</x:t>
  </x:si>
  <x:si>
    <x:t>Ajuste Recargo Aseo</x:t>
  </x:si>
  <x:si>
    <x:t>Vlr Intereses</x:t>
  </x:si>
  <x:si>
    <x:t>H</x:t>
  </x:si>
  <x:si>
    <x:t>Especiales</x:t>
  </x:si>
  <x:si>
    <x:t>Deb/Cred</x:t>
  </x:si>
  <x:si>
    <x:t>EAB</x:t>
  </x:si>
  <x:si>
    <x:t>O</x:t>
  </x:si>
  <x:si>
    <x:t>T</x:t>
  </x:si>
  <x:si>
    <x:t>BOGOTA LIMPIA</x:t>
  </x:si>
  <x:si>
    <x:t>X</x:t>
  </x:si>
  <x:si>
    <x:t>Recaudo pendiente de identificar</x:t>
  </x:si>
  <x:si>
    <x:t>R4 - REVERSION DE PAGOS</x:t>
  </x:si>
  <x:si>
    <x:t>REVERSION DE PAGOS</x:t>
  </x:si>
  <x:si>
    <x:t>AREA LIMPIA</x:t>
  </x:si>
  <x:si>
    <x:t>Anticipos generados por pago</x:t>
  </x:si>
  <x:si>
    <x:t>Sale del reporte Recaudo por Bancos.</x:t>
  </x:si>
  <x:si>
    <x:t>Resumen Recaudo Aplicado Por Servicio</x:t>
  </x:si>
  <x:si>
    <x:t>1-APLICADOS A FACTURACION</x:t>
  </x:si>
  <x:si>
    <x:t>2-SALDOS A FAVOR GENERADOS</x:t>
  </x:si>
  <x:si>
    <x:t>ASE 1</x:t>
  </x:si>
  <x:si>
    <x:t>ASE 2</x:t>
  </x:si>
  <x:si>
    <x:t>ASE 3</x:t>
  </x:si>
  <x:si>
    <x:t>ASE 4</x:t>
  </x:si>
  <x:si>
    <x:t>ASE 5</x:t>
  </x:si>
  <x:si>
    <x:t>Balance de subsidio o contribuciones (Recaudo)</x:t>
  </x:si>
  <x:si>
    <x:t>Diferencial Balance Subsidio y Contribución (Fac vs Rec)</x:t>
  </x:si>
  <x:si>
    <x:t>Balance S / C Con Baase en (Recaudo)</x:t>
  </x:si>
  <x:si>
    <x:t>Diferencial Balance S / C 
(Fac vs Rec)</x:t>
  </x:si>
  <x:si>
    <x:t>%</x:t>
  </x:si>
  <x:si>
    <x:t>CONTRIBUCION</x:t>
  </x:si>
  <x:si>
    <x:t>SUBSIDIO</x:t>
  </x:si>
  <x:si>
    <x:t>TOTAL BSC</x:t>
  </x:si>
  <x:si>
    <x:t>Mes</x:t>
  </x:si>
  <x:si>
    <x:t>PENDIENTE POR APLICAR</x:t>
  </x:si>
  <x:si>
    <x:t>ANTICIPOS 
GENERADOS 
POR PAGO</x:t>
  </x:si>
  <x:si>
    <x:t>1</x:t>
  </x:si>
  <x:si>
    <x:t>2</x:t>
  </x:si>
  <x:si>
    <x:t>3</x:t>
  </x:si>
  <x:si>
    <x:t>5</x:t>
  </x:si>
  <x:si>
    <x:t>OCCIDENTE</x:t>
  </x:si>
  <x:si>
    <x:t>NUEVO ESQUEMA</x:t>
  </x:si>
  <x:si>
    <x:t>REPORTE CONSOLIDADO DE REMUNERACION// TOTAL</x:t>
  </x:si>
  <x:si>
    <x:t>Aplicacion nuevos x reversion</x:t>
  </x:si>
  <x:si>
    <x:t xml:space="preserve">SALDOS A FAVOR POR NOTA </x:t>
  </x:si>
  <x:si>
    <x:t>RETRIBUCION NEGATIVA</x:t>
  </x:si>
  <x:si>
    <x:t>CONSOLIDADO SALDOS A FAVOR</x:t>
  </x:si>
  <x:si>
    <x:t>R5 - REMUNERACIÓN SALDOS A FAVOR POR NOTA</x:t>
  </x:si>
  <x:si>
    <x:t>RECAUDO PENDIENTE POR REVERSAR</x:t>
  </x:si>
  <x:si>
    <x:t>R5 - SALDOS A FAVOR POR NOTA</x:t>
  </x:si>
  <x:si>
    <x:t>RECAUDO POR REVERSAR</x:t>
  </x:si>
  <x:si>
    <x:t>SALDOS A FAVOR POR NOTA</x:t>
  </x:si>
  <x:si>
    <x:t>3-APLICADOS A FINANCIACIONES NUEVAS</x:t>
  </x:si>
  <x:si>
    <x:t>OPORTUNO</x:t>
  </x:si>
  <x:si>
    <x:t>EXTEMPORANEO</x:t>
  </x:si>
  <x:si>
    <x:t>VALOR MES</x:t>
  </x:si>
  <x:si>
    <x:t>Intereses Cte Financiac. Aseo</x:t>
  </x:si>
  <x:si>
    <x:t>VALOR 1° Q</x:t>
  </x:si>
  <x:si>
    <x:t>NUMERO REG. 1°Q</x:t>
  </x:si>
  <x:si>
    <x:t>VALOR 2° Q</x:t>
  </x:si>
  <x:si>
    <x:t>NUMERO REG. 2°Q</x:t>
  </x:si>
  <x:si>
    <x:t>EXTEMP.</x:t>
  </x:si>
  <x:si>
    <x:t>VALOR TOTAL MES</x:t>
  </x:si>
  <x:si>
    <x:t>NUMERO REGISTROS MES</x:t>
  </x:si>
  <x:si>
    <x:t>SALDOS A FAVOR GENERADOS RECAUDO EXTEMPORANEO</x:t>
  </x:si>
  <x:si>
    <x:t>SALDOS A FAVOR  QUE DESCARGAN POR REVERSIONES</x:t>
  </x:si>
  <x:si>
    <x:t>ANTICIPOS 
GENERADOS 
POR EXTEMPORANEOS</x:t>
  </x:si>
  <x:si>
    <x:t>Anticipos generados por pagos aplicados de reversiones</x:t>
  </x:si>
  <x:si>
    <x:t>Sale del reporte Recaudo reversado</x:t>
  </x:si>
  <x:si>
    <x:t>BANCO DE OCCIDENTE</x:t>
  </x:si>
  <x:si>
    <x:t>REPORTE 3</x:t>
  </x:si>
  <x:si>
    <x:t>REPORTE 4</x:t>
  </x:si>
  <x:si>
    <x:t>APLICADO</x:t>
  </x:si>
  <x:si>
    <x:t>ANTICIPOS</x:t>
  </x:si>
  <x:si>
    <x:t>EAAB RECIPROCIDAD</x:t>
  </x:si>
  <x:si>
    <x:t>EAAB CIUDAD LIMPIA</x:t>
  </x:si>
  <x:si>
    <x:t>ENEL</x:t>
  </x:si>
  <x:si>
    <x:t>E</x:t>
  </x:si>
  <x:si>
    <x:t>Ciudad Limpia - Prestador</x:t>
  </x:si>
  <x:si>
    <x:t>EAAB - Prestador</x:t>
  </x:si>
  <x:si>
    <x:t>Recaudo por Componente VIAT ( Decreto 2412/2018)</x:t>
  </x:si>
  <x:si>
    <x:t>RECIPROCIDAD</x:t>
  </x:si>
  <x:si>
    <x:t>CIUDAD LIMPIA-ACUEDUCTO</x:t>
  </x:si>
  <x:si>
    <x:t>REPORTE CONSOLIDADO DE REMUNERACION// ENEL</x:t>
  </x:si>
  <x:si>
    <x:t>Recaudo OCCIDENTE</x:t>
  </x:si>
  <x:si>
    <x:t>Componente TVIAT</x:t>
  </x:si>
  <x:si>
    <x:t>RECIPRCIDAD</x:t>
  </x:si>
  <x:si>
    <x:t>EAAB-CIUDADLIMPIA</x:t>
  </x:si>
  <x:si>
    <x:t>Rec.Intereses</x:t>
  </x:si>
  <x:si>
    <x:t>Otros</x:t>
  </x:si>
  <x:si>
    <x:t>7-APLICADOS A RECIBOS SERVICIOS ESPECIALES</x:t>
  </x:si>
  <x:si>
    <x:t>ANTICIPOS QUE CARGAN POR REVERSIONES</x:t>
  </x:si>
  <x:si>
    <x:t>Anticipos que cargan de reversiones</x:t>
  </x:si>
  <x:si>
    <x:t>REVERSIÓN DE PAGOS</x:t>
  </x:si>
  <x:si>
    <x:t>Exonera-Recargo Aseo</x:t>
  </x:si>
  <x:si>
    <x:t>INFORME AFaseo</x:t>
  </x:si>
  <x:si>
    <x:t xml:space="preserve">BENEFICIO TRANSITORIO ALIVIO SOBRE EL VALOR DE LA FACTURA </x:t>
  </x:si>
  <x:si>
    <x:t>Según Resoluciòn UAESP Número 273 de 2.020</x:t>
  </x:si>
  <x:si>
    <x:t>Valor Afaseo</x:t>
  </x:si>
  <x:si>
    <x:t>Afaseo por disposicion final</x:t>
  </x:si>
  <x:si>
    <x:t>Afaseo por tratamiento de lixiviados</x:t>
  </x:si>
  <x:si>
    <x:t>Afaseo por Componente VIAT ( Decreto 2412/2018)</x:t>
  </x:si>
  <x:si>
    <x:t xml:space="preserve">Afaseo por aprovechamiento </x:t>
  </x:si>
  <x:si>
    <x:t>Afaseo del componente de comercializacion para Aprovechamiento (11,4%)</x:t>
  </x:si>
  <x:si>
    <x:t>Afaseo
RBL</x:t>
  </x:si>
  <x:si>
    <x:t xml:space="preserve"> Componente de comercialización para Aprovechamiento (18,6%)</x:t>
  </x:si>
  <x:si>
    <x:r>
      <x:t xml:space="preserve">INFORME Afaseo   // </x:t>
    </x:r>
    <x:r>
      <x:rPr>
        <x:b/>
        <x:sz val="11"/>
        <x:color rgb="FFFF0000"/>
        <x:rFont val="Arial"/>
        <x:family val="2"/>
      </x:rPr>
      <x:t>RECAUDO</x:t>
    </x:r>
  </x:si>
  <x:si>
    <x:t>AFaseo</x:t>
  </x:si>
  <x:si>
    <x:t>REPORTE CONSOLIDADO DE REMUNERACION// RECIPROCIDAD - EAAB</x:t>
  </x:si>
  <x:si>
    <x:t>REPORTE CONSOLIDADO DE REMUNERACION// OCCIDENTE - Recaudo Facturación Directa</x:t>
  </x:si>
  <x:si>
    <x:t>REPORTE CONSOLIDADO DE REMUNERACION// EAAB-CIUDAD LIMPIA*</x:t>
  </x:si>
  <x:si>
    <x:t>*En el Esquema anterior, EAAB y CIUD LIMP son Prestadores. // Recaudo en cuentas bancarias de Esquema anterior.</x:t>
  </x:si>
  <x:si>
    <x:t>DIFERENCIA</x:t>
  </x:si>
  <x:si>
    <x:t>REPORTE CONSOLIDADO DE ANTICIPOS-reciprocidad</x:t>
  </x:si>
  <x:si>
    <x:t>REPORTE CONSOLIDADO DE ANTICIPOS -ENEL</x:t>
  </x:si>
  <x:si>
    <x:t>REPORTE CONSOLIDADO DE ANTICIPOS -OCCIDENTE</x:t>
  </x:si>
  <x:si>
    <x:t>REPORTE CONSOLIDADO DE ANTICIPOS EAAB-CIULIM</x:t>
  </x:si>
  <x:si>
    <x:t>REMUN TOTAL</x:t>
  </x:si>
  <x:si>
    <x:t>SISTEMA</x:t>
  </x:si>
  <x:si>
    <x:t>DIFERENCIA VALIDA 2</x:t>
  </x:si>
  <x:si>
    <x:t>VALIDA 2</x:t>
  </x:si>
  <x:si>
    <x:t>VALIDA 1</x:t>
  </x:si>
  <x:si>
    <x:t>VALIDACION</x:t>
  </x:si>
  <x:si>
    <x:t>TOTALES</x:t>
  </x:si>
  <x:si>
    <x:t>EAAB</x:t>
  </x:si>
  <x:si>
    <x:t>CIUD LIMPIA</x:t>
  </x:si>
  <x:si>
    <x:t>EAAB / RECIP.</x:t>
  </x:si>
  <x:si>
    <x:t>DIRECTA OCCIDENTE</x:t>
  </x:si>
  <x:si>
    <x:t>Recaudo ENEL - ASE 1</x:t>
  </x:si>
  <x:si>
    <x:t>Recaudo ENEL - ASE 5</x:t>
  </x:si>
  <x:si>
    <x:t>Recaudo Reciprocidad EAAB - ASE 2</x:t>
  </x:si>
  <x:si>
    <x:t>Recaudo Reciprocidad EAAB - ASE 4</x:t>
  </x:si>
  <x:si>
    <x:t>Recaudo ENEL - ASE 3</x:t>
  </x:si>
  <x:si>
    <x:t>REPORTE CONSOLIDADO TOTAL DE RECAUDO</x:t>
  </x:si>
  <x:si>
    <x:t>REPORTE DETALLADO SUBBOLSA RBL DISCRIMINADO POR ACTIVIDADES</x:t>
  </x:si>
  <x:si>
    <x:t>REPORTE CONSOLIDADO TOTAL DE RECAUDO // RECIPROCIDAD - EAAB</x:t>
  </x:si>
  <x:si>
    <x:t>REPORTE DETALLADO SUBBOLSA RBL DISCRIMINADO POR ACTIVIDADES // RECIPROCIDAD - EAAB</x:t>
  </x:si>
  <x:si>
    <x:t>REPORTE CONSOLIDADO TOTAL DE RECAUDO  // ENEL</x:t>
  </x:si>
  <x:si>
    <x:t>REPORTE DETALLADO SUBBOLSA RBL DISCRIMINADO POR ACTIVIDADES // ENEL</x:t>
  </x:si>
  <x:si>
    <x:t>REPORTE DETALLADO SUBBOLSA RBL DISCRIMINADO POR ACTIVIDADES // OCCIDENTE - Recaudo Facturación Directa</x:t>
  </x:si>
  <x:si>
    <x:t>REPORTE CONSOLIDADO TOTAL DE RECAUDO // OCCIDENTE - Recaudo Facturación Directa</x:t>
  </x:si>
  <x:si>
    <x:t>REPORTE CONSOLIDADO TOTAL DE RECAUDO //EAAB-CIUDAD LIMPIA*</x:t>
  </x:si>
  <x:si>
    <x:t>REPORTE DETALLADO SUBBOLSA RBL DISCRIMINADO POR ACTIVIDADES //EAAB-CIUDAD LIMPIA*</x:t>
  </x:si>
  <x:si>
    <x:t>Exonera-Ajuste Decena Aseo</x:t>
  </x:si>
  <x:si>
    <x:t>VALOR</x:t>
  </x:si>
  <x:si>
    <x:t>Balance S / C Con Base en (Recaudo)</x:t>
  </x:si>
  <x:si>
    <x:t>Deb/Cred-otros</x:t>
  </x:si>
  <x:si>
    <x:t>|</x:t>
  </x:si>
  <x:si>
    <x:t>Código Remuneración:</x:t>
  </x:si>
  <x:si>
    <x:t>Resolución UAESP Número 27 de 2018</x:t>
  </x:si>
  <x:si>
    <x:t>Fecha de Proceso:</x:t>
  </x:si>
  <x:si>
    <x:t>R10 - Recaudo Consolidado</x:t>
  </x:si>
  <x:si>
    <x:t>Hora:</x:t>
  </x:si>
  <x:si>
    <x:t>Fecha Hasta:</x:t>
  </x:si>
  <x:si>
    <x:t>CONCESIONARIOS</x:t>
  </x:si>
  <x:si>
    <x:t>RECAUDO TOTAL</x:t>
  </x:si>
  <x:si>
    <x:t>RECAUDO POR DISPOSICIÓN FINAL</x:t>
  </x:si>
  <x:si>
    <x:t>RECAUDO POR TRATAMIENTO DE LIXIVIADOS</x:t>
  </x:si>
  <x:si>
    <x:t>RECAUDO POR COMPONENTE VIAT (DECRETO 2412/2018)</x:t>
  </x:si>
  <x:si>
    <x:t>RECAUDO POR APROVECHAMIENTO</x:t>
  </x:si>
  <x:si>
    <x:t>RECAUDO DEL COMPONENTE DE COMERCIALIZACIÓN PARA APROVECHAMIENTO (11,4%)</x:t>
  </x:si>
  <x:si>
    <x:t>BALANCE DE SUBSIDIO O CONTRIBUCIONES</x:t>
  </x:si>
  <x:si>
    <x:t>RECAUDO BASE DE REMUNERACIÓN</x:t>
  </x:si>
  <x:si>
    <x:t>COSTO DE LA INTERVENTORÍA (*)</x:t>
  </x:si>
  <x:si>
    <x:t>REMUNERACIÓN FINAL</x:t>
  </x:si>
  <x:si>
    <x:t>CONCEPTOS ESPECIALES</x:t>
  </x:si>
  <x:si>
    <x:t>REMUNERACIÓN FINAL MAS CONCEPTOS ESPECIALES</x:t>
  </x:si>
  <x:si>
    <x:t>CIUDAD LIMPIA BOGOTA S.A. ESP</x:t>
  </x:si>
  <x:si>
    <x:t>4</x:t>
  </x:si>
  <x:si>
    <x:t/>
  </x:si>
  <x:si>
    <x:t>_____________________________________________________________________________</x:t>
  </x:si>
  <x:si>
    <x:t>TARIFA DE COMERCIALIZACIÓN DEL SERVICIO. (TCS)</x:t>
  </x:si>
  <x:si>
    <x:t>TARIFA DE LIMPIEZA URBANA DEL SERVICIO. (TLU)</x:t>
  </x:si>
  <x:si>
    <x:t>TARIFA DE BARRIDO Y LIMPIEZA DEL SERVICIO. (TBL)</x:t>
  </x:si>
  <x:si>
    <x:t>TARIFA DE RECOLECCIÓN Y TRANSPORTE DEL SERVICIO. (TRT)</x:t>
  </x:si>
  <x:si>
    <x:t>RECAUDO DEL COMPONENTE DE COMERCIALIZACIÓN PARA APROVECHAMIENTO (18,6%)</x:t>
  </x:si>
  <x:si>
    <x:t>COSTO DE LA INTERVENTORÍA</x:t>
  </x:si>
  <x:si>
    <x:t>AJUSTE A LA DECENA</x:t>
  </x:si>
  <x:si>
    <x:t>BALANCE SUBSIDIO Y CONTRIBUCIÓN BASADO EN EL RECAUDO</x:t>
  </x:si>
  <x:si>
    <x:t>DIF BSCF – BSCR</x:t>
  </x:si>
  <x:si>
    <x:t>VALIDACIÓN RETRIBUCIÓN</x:t>
  </x:si>
  <x:si>
    <x:t>Recaudo Banco Occidente ASE 1</x:t>
  </x:si>
  <x:si>
    <x:t>Recaudo Banco Occidente ASE 2</x:t>
  </x:si>
  <x:si>
    <x:t>Recaudo Banco Occidente ASE 3</x:t>
  </x:si>
  <x:si>
    <x:t>Recaudo Banco Occidente ASE 4</x:t>
  </x:si>
  <x:si>
    <x:t>Recaudo Banco Occidente ASE 5</x:t>
  </x:si>
  <x:si>
    <x:t>VALIDADOR DE POSTIVIOS EN REMUNERACION NEGATIVA</x:t>
  </x:si>
  <x:si>
    <x:t>Segunda quincena</x:t>
  </x:si>
  <x:si>
    <x:t>Primera quincena</x:t>
  </x:si>
  <x:si>
    <x:t>VALOR OFICIAL
MES</x:t>
  </x:si>
  <x:si>
    <x:t>CONCILIACIÓN CAJA</x:t>
  </x:si>
  <x:si>
    <x:t>CONCILIACIÓN _ REMUNERACIÓN</x:t>
  </x:si>
  <x:si>
    <x:t>VALIDACIÓN</x:t>
  </x:si>
  <x:si>
    <x:t>PxI</x:t>
  </x:si>
  <x:si>
    <x:t>SALDOS A FAVOR  POR NOTA+REMUNERA NEGATIVA</x:t>
  </x:si>
  <x:si>
    <x:t>TOTAL RECAUDO + CONCP ESP</x:t>
  </x:si>
  <x:si>
    <x:t>2026 01 2</x:t>
  </x:si>
  <x:si>
    <x:t>2026 02 1</x:t>
  </x:si>
  <x:si>
    <x:t>2026 02 2</x:t>
  </x:si>
  <x:si>
    <x:t>2026 03 1</x:t>
  </x:si>
  <x:si>
    <x:t>2026 03 2</x:t>
  </x:si>
  <x:si>
    <x:t>2026 04 1</x:t>
  </x:si>
  <x:si>
    <x:t>2026 04 2</x:t>
  </x:si>
  <x:si>
    <x:t>2026 05 1</x:t>
  </x:si>
  <x:si>
    <x:t>2026 05 2</x:t>
  </x:si>
  <x:si>
    <x:t>2026 06 1</x:t>
  </x:si>
  <x:si>
    <x:t>2026 06 2</x:t>
  </x:si>
  <x:si>
    <x:t>2026 07 1</x:t>
  </x:si>
  <x:si>
    <x:t xml:space="preserve"> MITAD 1
// ENERO -26</x:t>
  </x:si>
  <x:si>
    <x:t xml:space="preserve"> MITAD 2
// ENERO -26</x:t>
  </x:si>
  <x:si>
    <x:t xml:space="preserve"> MITAD 1
// FEBRERO -26</x:t>
  </x:si>
  <x:si>
    <x:t xml:space="preserve"> MITAD 2
// FEBRERO -26</x:t>
  </x:si>
  <x:si>
    <x:t xml:space="preserve"> MITAD 1
// MARZO -26</x:t>
  </x:si>
  <x:si>
    <x:t xml:space="preserve"> MITAD 2
// MARZO -26</x:t>
  </x:si>
  <x:si>
    <x:t xml:space="preserve"> MITAD 1
// ABRIL -26</x:t>
  </x:si>
  <x:si>
    <x:t xml:space="preserve"> MITAD 2
// ABRIL -26</x:t>
  </x:si>
  <x:si>
    <x:t xml:space="preserve"> MITAD 1
// MAYO -26</x:t>
  </x:si>
  <x:si>
    <x:t xml:space="preserve"> MITAD 2
// MAYO -26</x:t>
  </x:si>
  <x:si>
    <x:t xml:space="preserve"> MITAD 1
// JUNIO -26</x:t>
  </x:si>
  <x:si>
    <x:t xml:space="preserve"> MITAD 2
// JUNIO -26</x:t>
  </x:si>
  <x:si>
    <x:t>2026 07 2</x:t>
  </x:si>
  <x:si>
    <x:t>2026 08 1</x:t>
  </x:si>
  <x:si>
    <x:t>2026 08 2</x:t>
  </x:si>
  <x:si>
    <x:t>2026 09 1</x:t>
  </x:si>
  <x:si>
    <x:t>2026 09 2</x:t>
  </x:si>
  <x:si>
    <x:t>2026 10 1</x:t>
  </x:si>
  <x:si>
    <x:t>2026 10 2</x:t>
  </x:si>
  <x:si>
    <x:t>2026 11 1</x:t>
  </x:si>
  <x:si>
    <x:t>2026 11 2</x:t>
  </x:si>
  <x:si>
    <x:t>2026 12 1</x:t>
  </x:si>
  <x:si>
    <x:t>2026 12 2</x:t>
  </x:si>
  <x:si>
    <x:t>2027 01 1</x:t>
  </x:si>
  <x:si>
    <x:t xml:space="preserve"> MITAD 1
// JULIO -26</x:t>
  </x:si>
  <x:si>
    <x:t xml:space="preserve"> MITAD 2
// JULIO -26</x:t>
  </x:si>
  <x:si>
    <x:t xml:space="preserve"> MITAD 1
// AGOSTO -26</x:t>
  </x:si>
  <x:si>
    <x:t xml:space="preserve"> MITAD 2
// AGOSTO -26</x:t>
  </x:si>
  <x:si>
    <x:t xml:space="preserve"> MITAD 1
// SEPTIEMBRE -26</x:t>
  </x:si>
  <x:si>
    <x:t xml:space="preserve"> MITAD 2
// SEPTIEMBRE -26</x:t>
  </x:si>
  <x:si>
    <x:t xml:space="preserve"> MITAD 1
// OCTUBRE -26</x:t>
  </x:si>
  <x:si>
    <x:t xml:space="preserve"> MITAD 2
// OCTUBRE -26</x:t>
  </x:si>
  <x:si>
    <x:t xml:space="preserve"> MITAD 1
// NOVIEMBRE -26</x:t>
  </x:si>
  <x:si>
    <x:t xml:space="preserve"> MITAD 2
// NOVIEMBRE -26</x:t>
  </x:si>
  <x:si>
    <x:t xml:space="preserve"> MITAD 1
// DICIEMBRE -26</x:t>
  </x:si>
  <x:si>
    <x:t xml:space="preserve"> MITAD 2
// DICIEMBRE -26</x:t>
  </x:si>
  <x:si>
    <x:t>* Costos de Interventoría: remuneración 2026031</x:t>
  </x:si>
  <x:si>
    <x:t>Recaudo ENEL - ASE 2</x:t>
  </x:si>
  <x:si>
    <x:t>Recaudo ENEL - ASE 4</x:t>
  </x:si>
  <x:si>
    <x:t>ENERBIT</x:t>
  </x:si>
  <x:si>
    <x:t>Recaudo ENERBIT - ASE 5</x:t>
  </x:si>
  <x:si>
    <x:t>REPORTE CONSOLIDADO TOTAL DE RECAUDO  // ENERBIT</x:t>
  </x:si>
  <x:si>
    <x:t xml:space="preserve">REPORTE R10- RECAUDO CONSOLIDADO </x:t>
  </x:si>
  <x:si>
    <x:t>REPORTE CONSOLIDADO DE REMUNERACION// ENERBIT</x:t>
  </x:si>
  <x:si>
    <x:t>REPORTE CONSOLIDADO DE ANTICIPOS -ENERBIT</x:t>
  </x:si>
  <x:si>
    <x:t>A</x:t>
  </x:si>
  <x:si>
    <x:t>QUINCENA</x:t>
  </x:si>
  <x:si>
    <x:t>OJO/// DILIGENCIAR</x:t>
  </x:si>
  <x:si>
    <x:t>Recaudo ENERBIT - ASE 1</x:t>
  </x:si>
  <x:si>
    <x:t>Recaudo ENERBIT - ASE 2</x:t>
  </x:si>
  <x:si>
    <x:t>Recaudo ENERBIT - ASE 3</x:t>
  </x:si>
  <x:si>
    <x:t>Recaudo ENERBIT - ASE 4</x:t>
  </x:si>
  <x:si>
    <x:t>ENEL / RECIP.</x:t>
  </x:si>
  <x:si>
    <x:t>2026101</x:t>
  </x:si>
  <x:si>
    <x:t>02/10/2026</x:t>
  </x:si>
  <x:si>
    <x:t>10:43 AM</x:t>
  </x:si>
  <x:si>
    <x:t>16/09/2026</x:t>
  </x:si>
  <x:si>
    <x:t>30/09/2026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</x:si>
</x:sst>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$&quot;\ #,##0;[Red]\-&quot;$&quot;\ #,##0"/>
    <numFmt numFmtId="167" formatCode="&quot;$&quot;\ #,##0.00;[Red]\-&quot;$&quot;\ #,##0.00"/>
    <numFmt numFmtId="168" formatCode="_-* #,##0_-;\-* #,##0_-;_-* &quot;-&quot;??_-;_-@_-"/>
    <numFmt numFmtId="169" formatCode="_([$€]* #,##0.00_);_([$€]* \(#,##0.00\);_([$€]* &quot;-&quot;??_);_(@_)"/>
    <numFmt numFmtId="170" formatCode="_ &quot;$&quot;\ * #,##0.00_ ;_ &quot;$&quot;\ * \-#,##0.00_ ;_ &quot;$&quot;\ * &quot;-&quot;??_ ;_ @_ 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9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7" fillId="31" borderId="0" applyNumberFormat="0" applyBorder="0" applyAlignment="0" applyProtection="0"/>
    <xf numFmtId="43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6" fillId="31" borderId="0" applyNumberFormat="0" applyBorder="0" applyAlignment="0" applyProtection="0"/>
    <xf numFmtId="43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43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9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43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165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9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165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3" fillId="30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0" fillId="31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8" fillId="31" borderId="0" applyNumberFormat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165" fontId="19" fillId="0" borderId="0" applyFont="0" applyFill="0" applyBorder="0" applyAlignment="0" applyProtection="0"/>
    <xf numFmtId="165" fontId="47" fillId="0" borderId="0" applyFont="0" applyFill="0" applyBorder="0" applyAlignment="0" applyProtection="0"/>
    <xf numFmtId="44" fontId="19" fillId="0" borderId="0" applyFont="0" applyFill="0" applyBorder="0" applyAlignment="0" applyProtection="0"/>
    <xf numFmtId="164" fontId="47" fillId="0" borderId="0" applyFont="0" applyFill="0" applyBorder="0" applyAlignment="0" applyProtection="0"/>
    <xf numFmtId="165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63" fillId="0" borderId="0"/>
    <xf numFmtId="165" fontId="64" fillId="0" borderId="0" applyFont="0" applyFill="0" applyBorder="0" applyAlignment="0" applyProtection="0"/>
    <xf numFmtId="0" fontId="19" fillId="0" borderId="0"/>
    <xf numFmtId="0" fontId="66" fillId="0" borderId="0"/>
  </cellStyleXfs>
  <cellXfs count="785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8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8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8" fontId="20" fillId="0" borderId="14" xfId="2599" applyNumberFormat="1" applyFont="1" applyBorder="1"/>
    <xf numFmtId="168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8" fontId="20" fillId="35" borderId="21" xfId="2599" applyNumberFormat="1" applyFont="1" applyFill="1" applyBorder="1"/>
    <xf numFmtId="168" fontId="20" fillId="35" borderId="22" xfId="2599" applyNumberFormat="1" applyFont="1" applyFill="1" applyBorder="1"/>
    <xf numFmtId="168" fontId="20" fillId="35" borderId="11" xfId="2599" applyNumberFormat="1" applyFont="1" applyFill="1" applyBorder="1"/>
    <xf numFmtId="168" fontId="25" fillId="0" borderId="2" xfId="2599" applyNumberFormat="1" applyFont="1" applyBorder="1"/>
    <xf numFmtId="0" fontId="20" fillId="33" borderId="0" xfId="0" applyFont="1" applyFill="1"/>
    <xf numFmtId="168" fontId="25" fillId="33" borderId="0" xfId="2599" applyNumberFormat="1" applyFont="1" applyFill="1"/>
    <xf numFmtId="0" fontId="23" fillId="0" borderId="0" xfId="0" applyFont="1"/>
    <xf numFmtId="168" fontId="25" fillId="0" borderId="37" xfId="2599" applyNumberFormat="1" applyFont="1" applyBorder="1"/>
    <xf numFmtId="168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8" fontId="20" fillId="35" borderId="23" xfId="2599" applyNumberFormat="1" applyFont="1" applyFill="1" applyBorder="1"/>
    <xf numFmtId="0" fontId="49" fillId="0" borderId="0" xfId="0" applyFont="1"/>
    <xf numFmtId="168" fontId="20" fillId="0" borderId="0" xfId="2599" applyNumberFormat="1" applyFont="1"/>
    <xf numFmtId="168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8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8" fontId="25" fillId="37" borderId="0" xfId="2599" applyNumberFormat="1" applyFont="1" applyFill="1"/>
    <xf numFmtId="168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8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8" fontId="25" fillId="0" borderId="15" xfId="2599" applyNumberFormat="1" applyFont="1" applyBorder="1"/>
    <xf numFmtId="168" fontId="25" fillId="0" borderId="22" xfId="2599" applyNumberFormat="1" applyFont="1" applyBorder="1"/>
    <xf numFmtId="168" fontId="20" fillId="38" borderId="11" xfId="2599" applyNumberFormat="1" applyFont="1" applyFill="1" applyBorder="1"/>
    <xf numFmtId="168" fontId="20" fillId="38" borderId="21" xfId="2599" applyNumberFormat="1" applyFont="1" applyFill="1" applyBorder="1"/>
    <xf numFmtId="168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8" fontId="25" fillId="0" borderId="41" xfId="2599" applyNumberFormat="1" applyFont="1" applyBorder="1"/>
    <xf numFmtId="165" fontId="25" fillId="0" borderId="21" xfId="2599" applyFont="1" applyBorder="1"/>
    <xf numFmtId="168" fontId="22" fillId="35" borderId="11" xfId="2599" applyNumberFormat="1" applyFont="1" applyFill="1" applyBorder="1"/>
    <xf numFmtId="168" fontId="25" fillId="0" borderId="17" xfId="2599" applyNumberFormat="1" applyFont="1" applyBorder="1"/>
    <xf numFmtId="168" fontId="25" fillId="0" borderId="18" xfId="2599" applyNumberFormat="1" applyFont="1" applyBorder="1"/>
    <xf numFmtId="168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8" fontId="25" fillId="0" borderId="16" xfId="2599" applyNumberFormat="1" applyFont="1" applyBorder="1"/>
    <xf numFmtId="168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8" fontId="20" fillId="39" borderId="11" xfId="2599" applyNumberFormat="1" applyFont="1" applyFill="1" applyBorder="1"/>
    <xf numFmtId="168" fontId="25" fillId="0" borderId="47" xfId="2599" applyNumberFormat="1" applyFont="1" applyBorder="1"/>
    <xf numFmtId="168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164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8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8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8" fontId="25" fillId="0" borderId="40" xfId="2599" applyNumberFormat="1" applyFont="1" applyBorder="1"/>
    <xf numFmtId="168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8" fontId="20" fillId="38" borderId="54" xfId="2599" applyNumberFormat="1" applyFont="1" applyFill="1" applyBorder="1"/>
    <xf numFmtId="168" fontId="20" fillId="38" borderId="55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164" fontId="41" fillId="38" borderId="20" xfId="2601" applyFont="1" applyFill="1" applyBorder="1" applyAlignment="1">
      <alignment horizontal="center"/>
    </xf>
    <xf numFmtId="164" fontId="41" fillId="38" borderId="45" xfId="2601" applyFont="1" applyFill="1" applyBorder="1" applyAlignment="1">
      <alignment horizontal="center"/>
    </xf>
    <xf numFmtId="165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8" fontId="25" fillId="0" borderId="58" xfId="2599" applyNumberFormat="1" applyFont="1" applyBorder="1"/>
    <xf numFmtId="168" fontId="25" fillId="0" borderId="63" xfId="2599" applyNumberFormat="1" applyFont="1" applyBorder="1"/>
    <xf numFmtId="168" fontId="25" fillId="0" borderId="60" xfId="2599" applyNumberFormat="1" applyFont="1" applyBorder="1"/>
    <xf numFmtId="165" fontId="0" fillId="0" borderId="0" xfId="0" applyNumberFormat="1"/>
    <xf numFmtId="0" fontId="20" fillId="0" borderId="58" xfId="0" applyFont="1" applyBorder="1"/>
    <xf numFmtId="168" fontId="25" fillId="0" borderId="64" xfId="2599" applyNumberFormat="1" applyFont="1" applyBorder="1"/>
    <xf numFmtId="168" fontId="25" fillId="0" borderId="51" xfId="2599" applyNumberFormat="1" applyFont="1" applyBorder="1"/>
    <xf numFmtId="168" fontId="0" fillId="0" borderId="0" xfId="0" applyNumberFormat="1"/>
    <xf numFmtId="0" fontId="19" fillId="0" borderId="0" xfId="0" applyFont="1"/>
    <xf numFmtId="164" fontId="0" fillId="0" borderId="0" xfId="2601" applyFont="1"/>
    <xf numFmtId="173" fontId="0" fillId="0" borderId="0" xfId="2601" applyNumberFormat="1" applyFont="1"/>
    <xf numFmtId="173" fontId="0" fillId="41" borderId="0" xfId="2601" applyNumberFormat="1" applyFont="1" applyFill="1" applyAlignment="1">
      <alignment vertical="top"/>
    </xf>
    <xf numFmtId="173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166" fontId="25" fillId="0" borderId="0" xfId="0" applyNumberFormat="1" applyFont="1"/>
    <xf numFmtId="0" fontId="19" fillId="0" borderId="0" xfId="2"/>
    <xf numFmtId="164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164" fontId="22" fillId="40" borderId="34" xfId="2604" applyFont="1" applyFill="1" applyBorder="1" applyAlignment="1">
      <alignment horizontal="center"/>
    </xf>
    <xf numFmtId="164" fontId="22" fillId="40" borderId="20" xfId="2604" applyFont="1" applyFill="1" applyBorder="1" applyAlignment="1">
      <alignment horizontal="center"/>
    </xf>
    <xf numFmtId="164" fontId="22" fillId="40" borderId="45" xfId="2604" applyFont="1" applyFill="1" applyBorder="1" applyAlignment="1">
      <alignment horizontal="center"/>
    </xf>
    <xf numFmtId="164" fontId="22" fillId="0" borderId="0" xfId="2604" applyFont="1" applyAlignment="1">
      <alignment horizontal="center"/>
    </xf>
    <xf numFmtId="164" fontId="0" fillId="0" borderId="21" xfId="2604" applyFont="1" applyBorder="1"/>
    <xf numFmtId="164" fontId="0" fillId="0" borderId="15" xfId="2604" applyFont="1" applyBorder="1"/>
    <xf numFmtId="164" fontId="0" fillId="0" borderId="4" xfId="2604" applyFont="1" applyBorder="1"/>
    <xf numFmtId="164" fontId="0" fillId="0" borderId="41" xfId="2604" applyFont="1" applyBorder="1"/>
    <xf numFmtId="164" fontId="0" fillId="0" borderId="22" xfId="2604" applyFont="1" applyBorder="1"/>
    <xf numFmtId="164" fontId="0" fillId="0" borderId="16" xfId="2604" applyFont="1" applyBorder="1"/>
    <xf numFmtId="164" fontId="0" fillId="0" borderId="3" xfId="2604" applyFont="1" applyBorder="1"/>
    <xf numFmtId="164" fontId="0" fillId="0" borderId="49" xfId="2604" applyFont="1" applyBorder="1"/>
    <xf numFmtId="164" fontId="0" fillId="0" borderId="23" xfId="2604" applyFont="1" applyBorder="1" applyAlignment="1">
      <alignment horizontal="right"/>
    </xf>
    <xf numFmtId="164" fontId="0" fillId="0" borderId="17" xfId="2604" applyFont="1" applyBorder="1"/>
    <xf numFmtId="164" fontId="0" fillId="0" borderId="18" xfId="2604" applyFont="1" applyBorder="1"/>
    <xf numFmtId="164" fontId="0" fillId="0" borderId="46" xfId="2604" applyFont="1" applyBorder="1"/>
    <xf numFmtId="164" fontId="22" fillId="40" borderId="11" xfId="2604" applyFont="1" applyFill="1" applyBorder="1"/>
    <xf numFmtId="164" fontId="22" fillId="40" borderId="57" xfId="2604" applyFont="1" applyFill="1" applyBorder="1" applyAlignment="1">
      <alignment horizontal="center"/>
    </xf>
    <xf numFmtId="164" fontId="22" fillId="40" borderId="65" xfId="2604" applyFont="1" applyFill="1" applyBorder="1" applyAlignment="1">
      <alignment horizontal="center"/>
    </xf>
    <xf numFmtId="0" fontId="22" fillId="0" borderId="0" xfId="2" applyFont="1"/>
    <xf numFmtId="164" fontId="0" fillId="0" borderId="54" xfId="2604" applyFont="1" applyBorder="1"/>
    <xf numFmtId="164" fontId="0" fillId="0" borderId="40" xfId="2604" applyFont="1" applyBorder="1"/>
    <xf numFmtId="164" fontId="0" fillId="0" borderId="52" xfId="2604" applyFont="1" applyBorder="1"/>
    <xf numFmtId="164" fontId="0" fillId="0" borderId="55" xfId="2604" applyFont="1" applyBorder="1"/>
    <xf numFmtId="164" fontId="0" fillId="0" borderId="68" xfId="2604" applyFont="1" applyBorder="1" applyAlignment="1">
      <alignment horizontal="right"/>
    </xf>
    <xf numFmtId="164" fontId="0" fillId="40" borderId="17" xfId="2604" applyFont="1" applyFill="1" applyBorder="1"/>
    <xf numFmtId="164" fontId="0" fillId="40" borderId="18" xfId="2604" applyFont="1" applyFill="1" applyBorder="1"/>
    <xf numFmtId="164" fontId="0" fillId="40" borderId="46" xfId="2604" applyFont="1" applyFill="1" applyBorder="1"/>
    <xf numFmtId="164" fontId="22" fillId="40" borderId="13" xfId="2604" applyFont="1" applyFill="1" applyBorder="1"/>
    <xf numFmtId="164" fontId="22" fillId="39" borderId="19" xfId="2604" applyFont="1" applyFill="1" applyBorder="1" applyAlignment="1">
      <alignment horizontal="center"/>
    </xf>
    <xf numFmtId="164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164" fontId="0" fillId="0" borderId="59" xfId="2604" applyFont="1" applyBorder="1"/>
    <xf numFmtId="164" fontId="0" fillId="0" borderId="60" xfId="2604" applyFont="1" applyBorder="1"/>
    <xf numFmtId="164" fontId="22" fillId="39" borderId="19" xfId="2604" applyFont="1" applyFill="1" applyBorder="1"/>
    <xf numFmtId="164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164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4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164" fontId="0" fillId="0" borderId="3" xfId="2601" applyFont="1" applyBorder="1" applyAlignment="1">
      <alignment vertical="top"/>
    </xf>
    <xf numFmtId="164" fontId="0" fillId="0" borderId="3" xfId="2601" applyFont="1" applyBorder="1"/>
    <xf numFmtId="164" fontId="0" fillId="51" borderId="3" xfId="2601" applyFont="1" applyFill="1" applyBorder="1" applyAlignment="1">
      <alignment vertical="top"/>
    </xf>
    <xf numFmtId="164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164" fontId="0" fillId="0" borderId="3" xfId="0" applyNumberFormat="1" applyBorder="1"/>
    <xf numFmtId="164" fontId="22" fillId="0" borderId="3" xfId="0" applyNumberFormat="1" applyFont="1" applyBorder="1"/>
    <xf numFmtId="164" fontId="0" fillId="34" borderId="0" xfId="0" applyNumberFormat="1" applyFill="1"/>
    <xf numFmtId="164" fontId="19" fillId="0" borderId="63" xfId="0" applyNumberFormat="1" applyFont="1" applyBorder="1"/>
    <xf numFmtId="164" fontId="22" fillId="0" borderId="19" xfId="0" applyNumberFormat="1" applyFont="1" applyBorder="1"/>
    <xf numFmtId="164" fontId="22" fillId="0" borderId="20" xfId="0" applyNumberFormat="1" applyFont="1" applyBorder="1"/>
    <xf numFmtId="164" fontId="22" fillId="0" borderId="45" xfId="0" applyNumberFormat="1" applyFont="1" applyBorder="1"/>
    <xf numFmtId="164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164" fontId="22" fillId="0" borderId="16" xfId="0" applyNumberFormat="1" applyFont="1" applyBorder="1"/>
    <xf numFmtId="164" fontId="22" fillId="0" borderId="49" xfId="0" applyNumberFormat="1" applyFont="1" applyBorder="1"/>
    <xf numFmtId="173" fontId="0" fillId="0" borderId="49" xfId="2601" applyNumberFormat="1" applyFont="1" applyBorder="1"/>
    <xf numFmtId="173" fontId="0" fillId="0" borderId="46" xfId="2601" applyNumberFormat="1" applyFont="1" applyBorder="1"/>
    <xf numFmtId="173" fontId="0" fillId="0" borderId="11" xfId="2601" applyNumberFormat="1" applyFont="1" applyBorder="1"/>
    <xf numFmtId="173" fontId="22" fillId="0" borderId="11" xfId="2601" applyNumberFormat="1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6" fontId="0" fillId="0" borderId="0" xfId="0" applyNumberFormat="1"/>
    <xf numFmtId="164" fontId="0" fillId="0" borderId="15" xfId="2604" applyFont="1" applyFill="1" applyBorder="1"/>
    <xf numFmtId="164" fontId="0" fillId="0" borderId="16" xfId="2604" applyFont="1" applyFill="1" applyBorder="1"/>
    <xf numFmtId="164" fontId="0" fillId="0" borderId="17" xfId="2604" applyFont="1" applyFill="1" applyBorder="1"/>
    <xf numFmtId="164" fontId="0" fillId="0" borderId="0" xfId="2604" applyFont="1" applyFill="1"/>
    <xf numFmtId="164" fontId="0" fillId="0" borderId="51" xfId="2604" applyFont="1" applyFill="1" applyBorder="1"/>
    <xf numFmtId="164" fontId="0" fillId="0" borderId="4" xfId="2604" applyFont="1" applyFill="1" applyBorder="1"/>
    <xf numFmtId="164" fontId="0" fillId="0" borderId="3" xfId="2604" applyFont="1" applyFill="1" applyBorder="1"/>
    <xf numFmtId="164" fontId="0" fillId="45" borderId="23" xfId="2604" applyFont="1" applyFill="1" applyBorder="1" applyAlignment="1">
      <alignment horizontal="right"/>
    </xf>
    <xf numFmtId="164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6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1" xfId="2599" applyNumberFormat="1" applyFont="1" applyBorder="1"/>
    <xf numFmtId="175" fontId="25" fillId="0" borderId="40" xfId="2599" applyNumberFormat="1" applyFont="1" applyBorder="1"/>
    <xf numFmtId="175" fontId="25" fillId="0" borderId="52" xfId="2599" applyNumberFormat="1" applyFont="1" applyBorder="1"/>
    <xf numFmtId="175" fontId="25" fillId="0" borderId="47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4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9" xfId="2599" applyNumberFormat="1" applyFont="1" applyBorder="1"/>
    <xf numFmtId="175" fontId="25" fillId="0" borderId="48" xfId="2599" applyNumberFormat="1" applyFont="1" applyBorder="1"/>
    <xf numFmtId="175" fontId="25" fillId="0" borderId="22" xfId="2599" applyNumberFormat="1" applyFont="1" applyBorder="1"/>
    <xf numFmtId="175" fontId="25" fillId="0" borderId="43" xfId="2599" applyNumberFormat="1" applyFont="1" applyBorder="1"/>
    <xf numFmtId="175" fontId="20" fillId="38" borderId="55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1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1" xfId="2599" applyNumberFormat="1" applyFont="1" applyBorder="1"/>
    <xf numFmtId="175" fontId="20" fillId="0" borderId="59" xfId="0" applyNumberFormat="1" applyFont="1" applyBorder="1" applyAlignment="1">
      <alignment horizontal="center"/>
    </xf>
    <xf numFmtId="175" fontId="20" fillId="0" borderId="58" xfId="0" applyNumberFormat="1" applyFont="1" applyBorder="1"/>
    <xf numFmtId="175" fontId="25" fillId="0" borderId="63" xfId="2599" applyNumberFormat="1" applyFont="1" applyBorder="1"/>
    <xf numFmtId="175" fontId="25" fillId="0" borderId="64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6" xfId="2599" applyNumberFormat="1" applyFont="1" applyBorder="1"/>
    <xf numFmtId="175" fontId="20" fillId="0" borderId="50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8" xfId="2599" applyNumberFormat="1" applyFont="1" applyBorder="1"/>
    <xf numFmtId="175" fontId="25" fillId="0" borderId="62" xfId="2599" applyNumberFormat="1" applyFont="1" applyBorder="1"/>
    <xf numFmtId="175" fontId="25" fillId="0" borderId="60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4" xfId="2601" applyNumberFormat="1" applyFont="1" applyBorder="1"/>
    <xf numFmtId="175" fontId="20" fillId="0" borderId="70" xfId="0" applyNumberFormat="1" applyFont="1" applyBorder="1"/>
    <xf numFmtId="175" fontId="20" fillId="0" borderId="69" xfId="0" applyNumberFormat="1" applyFont="1" applyBorder="1"/>
    <xf numFmtId="164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8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8" fontId="20" fillId="0" borderId="13" xfId="2599" applyNumberFormat="1" applyFont="1" applyBorder="1"/>
    <xf numFmtId="165" fontId="25" fillId="0" borderId="22" xfId="2599" applyFont="1" applyBorder="1"/>
    <xf numFmtId="165" fontId="25" fillId="0" borderId="23" xfId="2599" applyFont="1" applyBorder="1"/>
    <xf numFmtId="0" fontId="19" fillId="0" borderId="0" xfId="0" applyFont="1" applyAlignment="1">
      <alignment vertical="top"/>
    </xf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1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6" fontId="25" fillId="0" borderId="0" xfId="2611" applyNumberFormat="1" applyFont="1"/>
    <xf numFmtId="168" fontId="25" fillId="0" borderId="0" xfId="2602" applyNumberFormat="1" applyFont="1"/>
    <xf numFmtId="168" fontId="20" fillId="39" borderId="11" xfId="2602" applyNumberFormat="1" applyFont="1" applyFill="1" applyBorder="1"/>
    <xf numFmtId="168" fontId="25" fillId="0" borderId="2" xfId="2602" applyNumberFormat="1" applyFont="1" applyBorder="1"/>
    <xf numFmtId="168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8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2" xfId="2612" applyNumberFormat="1" applyFont="1" applyBorder="1"/>
    <xf numFmtId="175" fontId="25" fillId="0" borderId="49" xfId="2612" applyNumberFormat="1" applyFont="1" applyBorder="1"/>
    <xf numFmtId="175" fontId="20" fillId="34" borderId="18" xfId="2602" applyNumberFormat="1" applyFont="1" applyFill="1" applyBorder="1"/>
    <xf numFmtId="175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8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164" fontId="0" fillId="37" borderId="0" xfId="2604" applyFont="1" applyFill="1"/>
    <xf numFmtId="0" fontId="0" fillId="37" borderId="0" xfId="0" applyFill="1" applyAlignment="1">
      <alignment horizontal="center"/>
    </xf>
    <xf numFmtId="164" fontId="0" fillId="37" borderId="0" xfId="2601" applyFont="1" applyFill="1"/>
    <xf numFmtId="165" fontId="0" fillId="37" borderId="0" xfId="0" applyNumberFormat="1" applyFill="1"/>
    <xf numFmtId="164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164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4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164" fontId="41" fillId="38" borderId="19" xfId="2601" applyFont="1" applyFill="1" applyBorder="1" applyAlignment="1">
      <alignment horizontal="center"/>
    </xf>
    <xf numFmtId="164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3" fontId="0" fillId="0" borderId="54" xfId="2601" applyNumberFormat="1" applyFont="1" applyBorder="1"/>
    <xf numFmtId="0" fontId="0" fillId="0" borderId="40" xfId="0" applyBorder="1"/>
    <xf numFmtId="173" fontId="0" fillId="0" borderId="52" xfId="2601" applyNumberFormat="1" applyFont="1" applyBorder="1"/>
    <xf numFmtId="173" fontId="0" fillId="0" borderId="55" xfId="2601" applyNumberFormat="1" applyFont="1" applyBorder="1"/>
    <xf numFmtId="173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164" fontId="0" fillId="0" borderId="11" xfId="2601" applyFont="1" applyBorder="1" applyAlignment="1">
      <alignment horizontal="center"/>
    </xf>
    <xf numFmtId="164" fontId="0" fillId="55" borderId="40" xfId="2601" applyFont="1" applyFill="1" applyBorder="1"/>
    <xf numFmtId="164" fontId="0" fillId="0" borderId="65" xfId="2601" applyFont="1" applyBorder="1"/>
    <xf numFmtId="164" fontId="0" fillId="55" borderId="3" xfId="2601" applyFont="1" applyFill="1" applyBorder="1"/>
    <xf numFmtId="164" fontId="0" fillId="0" borderId="4" xfId="2601" applyFont="1" applyBorder="1"/>
    <xf numFmtId="164" fontId="0" fillId="0" borderId="64" xfId="2601" applyFont="1" applyBorder="1"/>
    <xf numFmtId="164" fontId="0" fillId="0" borderId="58" xfId="2601" applyFont="1" applyBorder="1"/>
    <xf numFmtId="164" fontId="41" fillId="34" borderId="64" xfId="2601" applyFont="1" applyFill="1" applyBorder="1"/>
    <xf numFmtId="164" fontId="0" fillId="55" borderId="18" xfId="2601" applyFont="1" applyFill="1" applyBorder="1"/>
    <xf numFmtId="164" fontId="41" fillId="34" borderId="73" xfId="2601" applyFont="1" applyFill="1" applyBorder="1"/>
    <xf numFmtId="164" fontId="41" fillId="55" borderId="51" xfId="2601" applyFont="1" applyFill="1" applyBorder="1" applyAlignment="1">
      <alignment horizontal="left"/>
    </xf>
    <xf numFmtId="164" fontId="0" fillId="55" borderId="57" xfId="2601" applyFont="1" applyFill="1" applyBorder="1"/>
    <xf numFmtId="164" fontId="41" fillId="55" borderId="16" xfId="2601" applyFont="1" applyFill="1" applyBorder="1" applyAlignment="1">
      <alignment horizontal="left"/>
    </xf>
    <xf numFmtId="164" fontId="0" fillId="55" borderId="4" xfId="2601" applyFont="1" applyFill="1" applyBorder="1"/>
    <xf numFmtId="164" fontId="41" fillId="54" borderId="16" xfId="2601" applyFont="1" applyFill="1" applyBorder="1" applyAlignment="1">
      <alignment horizontal="left"/>
    </xf>
    <xf numFmtId="164" fontId="0" fillId="54" borderId="3" xfId="2601" applyFont="1" applyFill="1" applyBorder="1"/>
    <xf numFmtId="164" fontId="0" fillId="54" borderId="58" xfId="2601" applyFont="1" applyFill="1" applyBorder="1"/>
    <xf numFmtId="164" fontId="0" fillId="54" borderId="4" xfId="2601" applyFont="1" applyFill="1" applyBorder="1"/>
    <xf numFmtId="164" fontId="41" fillId="0" borderId="16" xfId="2601" applyFont="1" applyFill="1" applyBorder="1" applyAlignment="1">
      <alignment horizontal="left"/>
    </xf>
    <xf numFmtId="164" fontId="0" fillId="0" borderId="3" xfId="2601" applyFont="1" applyFill="1" applyBorder="1"/>
    <xf numFmtId="164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8" fontId="25" fillId="0" borderId="0" xfId="2602" applyNumberFormat="1" applyFont="1" applyFill="1"/>
    <xf numFmtId="0" fontId="20" fillId="0" borderId="74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2" fontId="25" fillId="0" borderId="51" xfId="2604" applyNumberFormat="1" applyFont="1" applyBorder="1"/>
    <xf numFmtId="172" fontId="25" fillId="0" borderId="75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0" fontId="22" fillId="0" borderId="78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7" xfId="2601" applyNumberFormat="1" applyFont="1" applyBorder="1"/>
    <xf numFmtId="175" fontId="25" fillId="0" borderId="77" xfId="2601" applyNumberFormat="1" applyFont="1" applyBorder="1"/>
    <xf numFmtId="175" fontId="25" fillId="0" borderId="71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6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164" fontId="25" fillId="0" borderId="0" xfId="2601" applyFont="1"/>
    <xf numFmtId="179" fontId="25" fillId="0" borderId="0" xfId="0" applyNumberFormat="1" applyFont="1"/>
    <xf numFmtId="3" fontId="63" fillId="0" borderId="3" xfId="2614" applyNumberFormat="1" applyBorder="1" applyAlignment="1">
      <alignment vertical="top"/>
    </xf>
    <xf numFmtId="165" fontId="25" fillId="0" borderId="0" xfId="2615" applyFont="1"/>
    <xf numFmtId="173" fontId="0" fillId="0" borderId="4" xfId="2604" applyNumberFormat="1" applyFont="1" applyBorder="1" applyAlignment="1">
      <alignment vertical="top"/>
    </xf>
    <xf numFmtId="173" fontId="0" fillId="0" borderId="49" xfId="2604" applyNumberFormat="1" applyFont="1" applyBorder="1"/>
    <xf numFmtId="173" fontId="0" fillId="0" borderId="46" xfId="2604" applyNumberFormat="1" applyFont="1" applyBorder="1"/>
    <xf numFmtId="181" fontId="0" fillId="34" borderId="0" xfId="2601" applyNumberFormat="1" applyFont="1" applyFill="1"/>
    <xf numFmtId="180" fontId="65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8" fontId="0" fillId="0" borderId="0" xfId="2615" applyNumberFormat="1" applyFont="1"/>
    <xf numFmtId="173" fontId="0" fillId="0" borderId="3" xfId="2604" applyNumberFormat="1" applyFont="1" applyFill="1" applyBorder="1" applyAlignment="1">
      <alignment vertical="top"/>
    </xf>
    <xf numFmtId="173" fontId="0" fillId="0" borderId="42" xfId="2604" applyNumberFormat="1" applyFont="1" applyFill="1" applyBorder="1" applyAlignment="1">
      <alignment vertical="top"/>
    </xf>
    <xf numFmtId="175" fontId="25" fillId="0" borderId="76" xfId="2599" applyNumberFormat="1" applyFont="1" applyBorder="1"/>
    <xf numFmtId="175" fontId="25" fillId="0" borderId="81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3" xfId="2599" applyNumberFormat="1" applyFont="1" applyBorder="1"/>
    <xf numFmtId="175" fontId="25" fillId="0" borderId="10" xfId="2599" applyNumberFormat="1" applyFont="1" applyBorder="1"/>
    <xf numFmtId="0" fontId="66" fillId="0" borderId="0" xfId="2617"/>
    <xf numFmtId="49" fontId="66" fillId="0" borderId="3" xfId="2617" applyNumberFormat="1" applyBorder="1"/>
    <xf numFmtId="183" fontId="66" fillId="0" borderId="0" xfId="2617" applyNumberFormat="1"/>
    <xf numFmtId="173" fontId="0" fillId="0" borderId="41" xfId="2601" applyNumberFormat="1" applyFont="1" applyBorder="1" applyAlignment="1">
      <alignment horizontal="right"/>
    </xf>
    <xf numFmtId="173" fontId="0" fillId="0" borderId="49" xfId="2601" applyNumberFormat="1" applyFont="1" applyBorder="1" applyAlignment="1">
      <alignment horizontal="right"/>
    </xf>
    <xf numFmtId="173" fontId="0" fillId="0" borderId="46" xfId="2601" applyNumberFormat="1" applyFont="1" applyBorder="1" applyAlignment="1">
      <alignment horizontal="right"/>
    </xf>
    <xf numFmtId="164" fontId="0" fillId="0" borderId="0" xfId="2601" applyFont="1" applyAlignment="1">
      <alignment horizontal="right"/>
    </xf>
    <xf numFmtId="184" fontId="0" fillId="0" borderId="0" xfId="0" applyNumberFormat="1"/>
    <xf numFmtId="184" fontId="22" fillId="0" borderId="0" xfId="0" applyNumberFormat="1" applyFont="1"/>
    <xf numFmtId="184" fontId="0" fillId="0" borderId="0" xfId="0" applyNumberFormat="1" applyAlignment="1">
      <alignment vertical="top"/>
    </xf>
    <xf numFmtId="184" fontId="19" fillId="36" borderId="0" xfId="0" applyNumberFormat="1" applyFont="1" applyFill="1" applyAlignment="1">
      <alignment vertical="top"/>
    </xf>
    <xf numFmtId="184" fontId="19" fillId="0" borderId="0" xfId="0" applyNumberFormat="1" applyFont="1" applyAlignment="1">
      <alignment vertical="top"/>
    </xf>
    <xf numFmtId="184" fontId="0" fillId="55" borderId="0" xfId="0" applyNumberFormat="1" applyFill="1"/>
    <xf numFmtId="184" fontId="0" fillId="55" borderId="0" xfId="0" applyNumberFormat="1" applyFill="1" applyAlignment="1">
      <alignment vertical="top"/>
    </xf>
    <xf numFmtId="184" fontId="0" fillId="54" borderId="0" xfId="0" applyNumberFormat="1" applyFill="1"/>
    <xf numFmtId="184" fontId="0" fillId="54" borderId="0" xfId="0" applyNumberFormat="1" applyFill="1" applyAlignment="1">
      <alignment vertical="top"/>
    </xf>
    <xf numFmtId="184" fontId="0" fillId="38" borderId="0" xfId="0" applyNumberFormat="1" applyFill="1"/>
    <xf numFmtId="184" fontId="0" fillId="38" borderId="0" xfId="0" applyNumberFormat="1" applyFill="1" applyAlignment="1">
      <alignment vertical="top"/>
    </xf>
    <xf numFmtId="184" fontId="19" fillId="38" borderId="0" xfId="0" applyNumberFormat="1" applyFont="1" applyFill="1" applyAlignment="1">
      <alignment vertical="top"/>
    </xf>
    <xf numFmtId="184" fontId="0" fillId="33" borderId="0" xfId="0" applyNumberFormat="1" applyFill="1" applyAlignment="1">
      <alignment vertical="top"/>
    </xf>
    <xf numFmtId="184" fontId="19" fillId="33" borderId="0" xfId="0" applyNumberFormat="1" applyFont="1" applyFill="1" applyAlignment="1">
      <alignment vertical="top"/>
    </xf>
    <xf numFmtId="184" fontId="0" fillId="41" borderId="0" xfId="0" applyNumberFormat="1" applyFill="1" applyAlignment="1">
      <alignment vertical="top"/>
    </xf>
    <xf numFmtId="184" fontId="0" fillId="41" borderId="0" xfId="0" applyNumberFormat="1" applyFill="1"/>
    <xf numFmtId="184" fontId="0" fillId="46" borderId="0" xfId="0" applyNumberFormat="1" applyFill="1" applyAlignment="1">
      <alignment vertical="top"/>
    </xf>
    <xf numFmtId="184" fontId="0" fillId="39" borderId="0" xfId="0" applyNumberFormat="1" applyFill="1" applyAlignment="1">
      <alignment vertical="top"/>
    </xf>
    <xf numFmtId="184" fontId="0" fillId="48" borderId="0" xfId="0" applyNumberFormat="1" applyFill="1" applyAlignment="1">
      <alignment vertical="top"/>
    </xf>
    <xf numFmtId="184" fontId="0" fillId="37" borderId="0" xfId="0" applyNumberFormat="1" applyFill="1"/>
    <xf numFmtId="184" fontId="19" fillId="54" borderId="0" xfId="0" applyNumberFormat="1" applyFont="1" applyFill="1" applyAlignment="1">
      <alignment vertical="top"/>
    </xf>
    <xf numFmtId="184" fontId="0" fillId="39" borderId="0" xfId="0" applyNumberFormat="1" applyFill="1"/>
    <xf numFmtId="4" fontId="53" fillId="0" borderId="0" xfId="0" applyNumberFormat="1" applyFont="1"/>
    <xf numFmtId="168" fontId="25" fillId="0" borderId="0" xfId="2599" applyNumberFormat="1" applyFont="1" applyAlignment="1"/>
    <xf numFmtId="168" fontId="25" fillId="0" borderId="0" xfId="2602" applyNumberFormat="1" applyFont="1" applyBorder="1"/>
    <xf numFmtId="49" fontId="0" fillId="0" borderId="3" xfId="0" applyNumberFormat="1" applyBorder="1"/>
    <xf numFmtId="166" fontId="0" fillId="0" borderId="3" xfId="0" applyNumberFormat="1" applyBorder="1" applyAlignment="1">
      <alignment horizontal="center" vertical="center"/>
    </xf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6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7" fillId="0" borderId="3" xfId="2617" quotePrefix="1" applyNumberFormat="1" applyFont="1" applyBorder="1"/>
    <xf numFmtId="4" fontId="66" fillId="0" borderId="3" xfId="2617" quotePrefix="1" applyNumberFormat="1" applyBorder="1"/>
    <xf numFmtId="4" fontId="66" fillId="0" borderId="0" xfId="2617" applyNumberFormat="1"/>
    <xf numFmtId="166" fontId="66" fillId="0" borderId="0" xfId="2617" applyNumberFormat="1"/>
    <xf numFmtId="4" fontId="67" fillId="0" borderId="3" xfId="2617" applyNumberFormat="1" applyFont="1" applyBorder="1"/>
    <xf numFmtId="0" fontId="67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8" fontId="25" fillId="0" borderId="0" xfId="2615" applyNumberFormat="1" applyFont="1"/>
    <xf numFmtId="49" fontId="68" fillId="0" borderId="3" xfId="0" applyNumberFormat="1" applyFont="1" applyBorder="1" applyAlignment="1">
      <alignment horizontal="center" vertical="center"/>
    </xf>
    <xf numFmtId="49" fontId="68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6" fillId="0" borderId="3" xfId="2617" applyNumberFormat="1" applyBorder="1"/>
    <xf numFmtId="0" fontId="69" fillId="0" borderId="0" xfId="0" applyFont="1" applyAlignment="1">
      <alignment wrapText="1"/>
    </xf>
    <xf numFmtId="173" fontId="55" fillId="0" borderId="0" xfId="2604" applyNumberFormat="1" applyFont="1"/>
    <xf numFmtId="173" fontId="62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164" fontId="55" fillId="59" borderId="72" xfId="2604" applyFont="1" applyFill="1" applyBorder="1"/>
    <xf numFmtId="164" fontId="55" fillId="59" borderId="43" xfId="2604" applyFont="1" applyFill="1" applyBorder="1"/>
    <xf numFmtId="164" fontId="55" fillId="0" borderId="43" xfId="2604" applyFont="1" applyFill="1" applyBorder="1"/>
    <xf numFmtId="164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164" fontId="55" fillId="59" borderId="55" xfId="2604" applyFont="1" applyFill="1" applyBorder="1"/>
    <xf numFmtId="164" fontId="55" fillId="59" borderId="22" xfId="2604" applyFont="1" applyFill="1" applyBorder="1"/>
    <xf numFmtId="164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164" fontId="55" fillId="59" borderId="79" xfId="2604" applyFont="1" applyFill="1" applyBorder="1"/>
    <xf numFmtId="164" fontId="55" fillId="59" borderId="23" xfId="2604" applyFont="1" applyFill="1" applyBorder="1"/>
    <xf numFmtId="164" fontId="55" fillId="0" borderId="23" xfId="2604" applyFont="1" applyFill="1" applyBorder="1"/>
    <xf numFmtId="164" fontId="55" fillId="0" borderId="80" xfId="2604" applyFont="1" applyFill="1" applyBorder="1"/>
    <xf numFmtId="172" fontId="62" fillId="36" borderId="11" xfId="2604" applyNumberFormat="1" applyFont="1" applyFill="1" applyBorder="1"/>
    <xf numFmtId="164" fontId="62" fillId="59" borderId="11" xfId="2604" applyFont="1" applyFill="1" applyBorder="1"/>
    <xf numFmtId="164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164" fontId="55" fillId="36" borderId="41" xfId="2604" applyFont="1" applyFill="1" applyBorder="1"/>
    <xf numFmtId="164" fontId="55" fillId="36" borderId="49" xfId="2604" applyFont="1" applyFill="1" applyBorder="1"/>
    <xf numFmtId="164" fontId="19" fillId="0" borderId="3" xfId="2604" applyFont="1" applyBorder="1"/>
    <xf numFmtId="164" fontId="55" fillId="36" borderId="46" xfId="2604" applyFont="1" applyFill="1" applyBorder="1"/>
    <xf numFmtId="164" fontId="19" fillId="0" borderId="3" xfId="2604" applyFont="1" applyFill="1" applyBorder="1"/>
    <xf numFmtId="164" fontId="62" fillId="36" borderId="11" xfId="2604" applyFont="1" applyFill="1" applyBorder="1"/>
    <xf numFmtId="164" fontId="22" fillId="0" borderId="3" xfId="2604" applyFont="1" applyBorder="1"/>
    <xf numFmtId="168" fontId="0" fillId="0" borderId="0" xfId="2598" applyNumberFormat="1" applyFont="1"/>
    <xf numFmtId="164" fontId="0" fillId="34" borderId="3" xfId="0" applyNumberFormat="1" applyFill="1" applyBorder="1"/>
    <xf numFmtId="164" fontId="66" fillId="0" borderId="0" xfId="2617" applyNumberFormat="1"/>
    <xf numFmtId="164" fontId="66" fillId="0" borderId="3" xfId="2617" applyNumberFormat="1" applyBorder="1"/>
    <xf numFmtId="167" fontId="66" fillId="0" borderId="0" xfId="2617" applyNumberFormat="1"/>
    <xf numFmtId="187" fontId="66" fillId="0" borderId="0" xfId="0" applyNumberFormat="1" applyFont="1" applyAlignment="1">
      <alignment vertical="center"/>
    </xf>
    <xf numFmtId="0" fontId="22" fillId="36" borderId="0" xfId="0" applyFont="1" applyFill="1"/>
    <xf numFmtId="168" fontId="0" fillId="42" borderId="0" xfId="0" applyNumberFormat="1" applyFill="1"/>
    <xf numFmtId="188" fontId="0" fillId="0" borderId="0" xfId="2598" applyNumberFormat="1" applyFont="1"/>
    <xf numFmtId="188" fontId="0" fillId="0" borderId="0" xfId="0" applyNumberFormat="1"/>
    <xf numFmtId="189" fontId="0" fillId="0" borderId="0" xfId="2598" applyNumberFormat="1" applyFont="1"/>
    <xf numFmtId="168" fontId="0" fillId="42" borderId="0" xfId="2598" applyNumberFormat="1" applyFont="1" applyFill="1"/>
    <xf numFmtId="189" fontId="0" fillId="53" borderId="0" xfId="2598" applyNumberFormat="1" applyFont="1" applyFill="1"/>
    <xf numFmtId="168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90" fontId="66" fillId="0" borderId="3" xfId="2617" applyNumberFormat="1" applyBorder="1"/>
    <xf numFmtId="191" fontId="66" fillId="0" borderId="3" xfId="2617" applyNumberFormat="1" applyBorder="1"/>
    <xf numFmtId="192" fontId="25" fillId="0" borderId="0" xfId="2599" applyNumberFormat="1" applyFont="1"/>
    <xf numFmtId="184" fontId="19" fillId="46" borderId="0" xfId="0" applyNumberFormat="1" applyFont="1" applyFill="1" applyAlignment="1">
      <alignment vertical="top"/>
    </xf>
    <xf numFmtId="193" fontId="66" fillId="0" borderId="3" xfId="2617" applyNumberFormat="1" applyBorder="1"/>
    <xf numFmtId="194" fontId="0" fillId="0" borderId="3" xfId="0" applyNumberFormat="1" applyBorder="1"/>
    <xf numFmtId="164" fontId="0" fillId="0" borderId="72" xfId="2604" applyFont="1" applyBorder="1"/>
    <xf numFmtId="173" fontId="62" fillId="34" borderId="11" xfId="260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0" fillId="53" borderId="0" xfId="0" applyNumberFormat="1" applyFill="1" applyAlignment="1">
      <alignment vertical="top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0" fontId="0" fillId="52" borderId="0" xfId="0" applyFill="1"/>
    <xf numFmtId="165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164" fontId="22" fillId="0" borderId="0" xfId="2604" applyFont="1" applyAlignment="1"/>
    <xf numFmtId="164" fontId="0" fillId="0" borderId="0" xfId="2604" applyFont="1" applyAlignment="1"/>
    <xf numFmtId="0" fontId="22" fillId="0" borderId="0" xfId="0" applyFont="1" applyAlignment="1">
      <alignment horizontal="left"/>
    </xf>
    <xf numFmtId="164" fontId="0" fillId="0" borderId="17" xfId="0" applyNumberFormat="1" applyBorder="1"/>
    <xf numFmtId="164" fontId="0" fillId="0" borderId="18" xfId="0" applyNumberFormat="1" applyBorder="1"/>
    <xf numFmtId="0" fontId="56" fillId="0" borderId="1" xfId="0" applyFont="1" applyBorder="1"/>
    <xf numFmtId="164" fontId="0" fillId="0" borderId="16" xfId="0" applyNumberFormat="1" applyBorder="1"/>
    <xf numFmtId="164" fontId="22" fillId="0" borderId="17" xfId="0" applyNumberFormat="1" applyFont="1" applyBorder="1"/>
    <xf numFmtId="164" fontId="22" fillId="0" borderId="46" xfId="0" applyNumberFormat="1" applyFont="1" applyBorder="1"/>
    <xf numFmtId="0" fontId="19" fillId="38" borderId="0" xfId="0" applyFont="1" applyFill="1" applyAlignment="1">
      <alignment vertical="top"/>
    </xf>
    <xf numFmtId="0" fontId="69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/>
    </xf>
    <xf numFmtId="0" fontId="0" fillId="48" borderId="0" xfId="0" applyFill="1"/>
    <xf numFmtId="4" fontId="19" fillId="48" borderId="0" xfId="0" applyNumberFormat="1" applyFont="1" applyFill="1" applyAlignment="1">
      <alignment vertical="top"/>
    </xf>
    <xf numFmtId="0" fontId="19" fillId="38" borderId="0" xfId="0" applyFont="1" applyFill="1"/>
    <xf numFmtId="0" fontId="0" fillId="49" borderId="0" xfId="0" applyFill="1"/>
    <xf numFmtId="0" fontId="0" fillId="34" borderId="0" xfId="0" applyFill="1" applyAlignment="1">
      <alignment horizontal="right"/>
    </xf>
    <xf numFmtId="0" fontId="72" fillId="0" borderId="0" xfId="0" applyFont="1"/>
    <xf numFmtId="0" fontId="0" fillId="61" borderId="3" xfId="0" applyFill="1" applyBorder="1"/>
    <xf numFmtId="164" fontId="0" fillId="61" borderId="3" xfId="2604" applyFont="1" applyFill="1" applyBorder="1"/>
    <xf numFmtId="164" fontId="0" fillId="61" borderId="3" xfId="0" applyNumberFormat="1" applyFill="1" applyBorder="1"/>
    <xf numFmtId="0" fontId="0" fillId="53" borderId="3" xfId="0" applyFill="1" applyBorder="1"/>
    <xf numFmtId="164" fontId="0" fillId="53" borderId="3" xfId="2604" applyFont="1" applyFill="1" applyBorder="1"/>
    <xf numFmtId="164" fontId="0" fillId="53" borderId="3" xfId="0" applyNumberFormat="1" applyFill="1" applyBorder="1"/>
    <xf numFmtId="0" fontId="19" fillId="35" borderId="0" xfId="0" applyFont="1" applyFill="1"/>
    <xf numFmtId="4" fontId="19" fillId="35" borderId="0" xfId="0" applyNumberFormat="1" applyFont="1" applyFill="1" applyAlignment="1">
      <alignment vertical="top"/>
    </xf>
    <xf numFmtId="0" fontId="19" fillId="35" borderId="0" xfId="0" applyFont="1" applyFill="1" applyAlignment="1">
      <alignment vertical="top"/>
    </xf>
    <xf numFmtId="184" fontId="0" fillId="33" borderId="0" xfId="0" applyNumberFormat="1" applyFill="1"/>
    <xf numFmtId="184" fontId="0" fillId="35" borderId="0" xfId="0" applyNumberFormat="1" applyFill="1"/>
    <xf numFmtId="184" fontId="19" fillId="35" borderId="0" xfId="0" applyNumberFormat="1" applyFont="1" applyFill="1" applyAlignment="1">
      <alignment vertical="top"/>
    </xf>
    <xf numFmtId="184" fontId="0" fillId="35" borderId="0" xfId="0" applyNumberFormat="1" applyFill="1" applyAlignment="1">
      <alignment vertical="top"/>
    </xf>
    <xf numFmtId="164" fontId="0" fillId="0" borderId="63" xfId="2601" applyFont="1" applyBorder="1"/>
    <xf numFmtId="164" fontId="19" fillId="51" borderId="0" xfId="2604" applyFont="1" applyFill="1"/>
    <xf numFmtId="168" fontId="19" fillId="0" borderId="0" xfId="2615" applyNumberFormat="1" applyFont="1"/>
    <xf numFmtId="0" fontId="62" fillId="50" borderId="11" xfId="0" applyFont="1" applyFill="1" applyBorder="1" applyAlignment="1">
      <alignment horizontal="center" vertical="center"/>
    </xf>
    <xf numFmtId="164" fontId="55" fillId="0" borderId="0" xfId="2601" applyFont="1"/>
    <xf numFmtId="184" fontId="0" fillId="47" borderId="0" xfId="0" applyNumberFormat="1" applyFill="1"/>
    <xf numFmtId="184" fontId="0" fillId="47" borderId="0" xfId="0" applyNumberFormat="1" applyFill="1" applyAlignment="1">
      <alignment vertical="top"/>
    </xf>
    <xf numFmtId="184" fontId="19" fillId="47" borderId="0" xfId="0" applyNumberFormat="1" applyFont="1" applyFill="1" applyAlignment="1">
      <alignment vertical="top"/>
    </xf>
    <xf numFmtId="184" fontId="0" fillId="42" borderId="0" xfId="0" applyNumberFormat="1" applyFill="1" applyAlignment="1">
      <alignment vertical="top"/>
    </xf>
    <xf numFmtId="184" fontId="19" fillId="42" borderId="0" xfId="0" applyNumberFormat="1" applyFont="1" applyFill="1" applyAlignment="1">
      <alignment vertical="top"/>
    </xf>
    <xf numFmtId="0" fontId="62" fillId="49" borderId="11" xfId="0" applyFont="1" applyFill="1" applyBorder="1" applyAlignment="1">
      <alignment horizontal="center" vertical="center"/>
    </xf>
    <xf numFmtId="0" fontId="19" fillId="48" borderId="0" xfId="0" applyFont="1" applyFill="1" applyAlignment="1">
      <alignment vertical="top"/>
    </xf>
    <xf numFmtId="173" fontId="0" fillId="61" borderId="3" xfId="0" applyNumberFormat="1" applyFill="1" applyBorder="1"/>
    <xf numFmtId="164" fontId="0" fillId="0" borderId="3" xfId="2601" applyFont="1" applyFill="1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5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184" fontId="22" fillId="0" borderId="0" xfId="0" applyNumberFormat="1" applyFont="1" applyAlignment="1">
      <alignment horizontal="center" vertical="center" wrapText="1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184" fontId="22" fillId="34" borderId="0" xfId="0" applyNumberFormat="1" applyFont="1" applyFill="1" applyAlignment="1">
      <alignment horizontal="center" vertical="center"/>
    </xf>
    <xf numFmtId="164" fontId="62" fillId="0" borderId="5" xfId="0" applyNumberFormat="1" applyFont="1" applyBorder="1" applyAlignment="1">
      <alignment horizontal="center"/>
    </xf>
    <xf numFmtId="164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CCFFCC"/>
      <color rgb="FF9ACDD4"/>
      <color rgb="FFFFFF00"/>
      <color rgb="FF00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3.xml" Id="rId13" /><Relationship Type="http://schemas.openxmlformats.org/officeDocument/2006/relationships/worksheet" Target="worksheets/sheet18.xml" Id="rId18" /><Relationship Type="http://schemas.openxmlformats.org/officeDocument/2006/relationships/worksheet" Target="worksheets/sheet26.xml" Id="rId26" /><Relationship Type="http://schemas.openxmlformats.org/officeDocument/2006/relationships/worksheet" Target="worksheets/sheet39.xml" Id="rId39" /><Relationship Type="http://schemas.openxmlformats.org/officeDocument/2006/relationships/worksheet" Target="worksheets/sheet21.xml" Id="rId21" /><Relationship Type="http://schemas.openxmlformats.org/officeDocument/2006/relationships/worksheet" Target="worksheets/sheet34.xml" Id="rId34" /><Relationship Type="http://schemas.openxmlformats.org/officeDocument/2006/relationships/externalLink" Target="externalLinks/externalLink2.xml" Id="rId42" /><Relationship Type="http://schemas.openxmlformats.org/officeDocument/2006/relationships/styles" Target="styles.xml" Id="rId47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worksheet" Target="worksheets/sheet29.xml" Id="rId29" /><Relationship Type="http://schemas.openxmlformats.org/officeDocument/2006/relationships/worksheet" Target="worksheets/sheet11.xml" Id="rId11" /><Relationship Type="http://schemas.openxmlformats.org/officeDocument/2006/relationships/worksheet" Target="worksheets/sheet24.xml" Id="rId24" /><Relationship Type="http://schemas.openxmlformats.org/officeDocument/2006/relationships/worksheet" Target="worksheets/sheet32.xml" Id="rId32" /><Relationship Type="http://schemas.openxmlformats.org/officeDocument/2006/relationships/worksheet" Target="worksheets/sheet37.xml" Id="rId37" /><Relationship Type="http://schemas.openxmlformats.org/officeDocument/2006/relationships/worksheet" Target="worksheets/sheet40.xml" Id="rId40" /><Relationship Type="http://schemas.openxmlformats.org/officeDocument/2006/relationships/externalLink" Target="externalLinks/externalLink5.xml" Id="rId45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23.xml" Id="rId23" /><Relationship Type="http://schemas.openxmlformats.org/officeDocument/2006/relationships/worksheet" Target="worksheets/sheet28.xml" Id="rId28" /><Relationship Type="http://schemas.openxmlformats.org/officeDocument/2006/relationships/worksheet" Target="worksheets/sheet36.xml" Id="rId36" /><Relationship Type="http://schemas.openxmlformats.org/officeDocument/2006/relationships/worksheet" Target="worksheets/sheet10.xml" Id="rId10" /><Relationship Type="http://schemas.openxmlformats.org/officeDocument/2006/relationships/worksheet" Target="worksheets/sheet19.xml" Id="rId19" /><Relationship Type="http://schemas.openxmlformats.org/officeDocument/2006/relationships/worksheet" Target="worksheets/sheet31.xml" Id="rId31" /><Relationship Type="http://schemas.openxmlformats.org/officeDocument/2006/relationships/externalLink" Target="externalLinks/externalLink4.xml" Id="rId44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Relationship Type="http://schemas.openxmlformats.org/officeDocument/2006/relationships/worksheet" Target="worksheets/sheet22.xml" Id="rId22" /><Relationship Type="http://schemas.openxmlformats.org/officeDocument/2006/relationships/worksheet" Target="worksheets/sheet27.xml" Id="rId27" /><Relationship Type="http://schemas.openxmlformats.org/officeDocument/2006/relationships/worksheet" Target="worksheets/sheet30.xml" Id="rId30" /><Relationship Type="http://schemas.openxmlformats.org/officeDocument/2006/relationships/worksheet" Target="worksheets/sheet35.xml" Id="rId35" /><Relationship Type="http://schemas.openxmlformats.org/officeDocument/2006/relationships/externalLink" Target="externalLinks/externalLink3.xml" Id="rId43" /><Relationship Type="http://schemas.openxmlformats.org/officeDocument/2006/relationships/sharedStrings" Target="sharedStrings.xml" Id="rId48" /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5.xml" Id="rId25" /><Relationship Type="http://schemas.openxmlformats.org/officeDocument/2006/relationships/worksheet" Target="worksheets/sheet33.xml" Id="rId33" /><Relationship Type="http://schemas.openxmlformats.org/officeDocument/2006/relationships/worksheet" Target="worksheets/sheet38.xml" Id="rId38" /><Relationship Type="http://schemas.openxmlformats.org/officeDocument/2006/relationships/theme" Target="theme/theme1.xml" Id="rId46" /><Relationship Type="http://schemas.openxmlformats.org/officeDocument/2006/relationships/worksheet" Target="worksheets/sheet20.xml" Id="rId20" /><Relationship Type="http://schemas.openxmlformats.org/officeDocument/2006/relationships/externalLink" Target="externalLinks/externalLink1.xml" Id="rId41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64063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1459442</xdr:colOff>
      <xdr:row>25</xdr:row>
      <xdr:rowOff>25846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45012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64062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1282700</xdr:colOff>
      <xdr:row>101</xdr:row>
      <xdr:rowOff>105337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143437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0</xdr:row>
      <xdr:rowOff>114300</xdr:rowOff>
    </xdr:from>
    <xdr:to>
      <xdr:col>19</xdr:col>
      <xdr:colOff>981075</xdr:colOff>
      <xdr:row>5</xdr:row>
      <xdr:rowOff>130737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275" y="114300"/>
          <a:ext cx="149542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48187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825500</xdr:colOff>
      <xdr:row>44</xdr:row>
      <xdr:rowOff>6912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86287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83112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787400</xdr:colOff>
      <xdr:row>101</xdr:row>
      <xdr:rowOff>121212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:/NTDATCAL/Comercial/Mis%20documentos/Comercial%20Aseo/Estudio%20Tarifa/Buga/BUGAASEO7000CRA%20decisi&#243;n.xls" TargetMode="External"/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:/INFORMACION%20DOS%20EMPRESAS/TARIFAS%20SICO/A&#209;O%202011/TARIFAS_PERIODO_DE_FACTURACION_ENERO_2011%20DOS.xls" TargetMode="External"/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upic03/recaudo/INFORME%20GENERAL/2008/ENERO%202008.xls" TargetMode="External"/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:/W3datcal/comercial/Comercial%20Aseo/Marco%20regulario2006/ESTIMACION%20TARIFAS/Modelo%20TARIFARIO%20Palmira.xls" TargetMode="External"/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:/NTNETPAL/Operaciones/HOJAS%202003/MARZO%20%202003.xls" TargetMode="External"/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M69"/>
  <x:sheetViews>
    <x:sheetView workbookViewId="0">
      <x:selection activeCell="I30" sqref="I30"/>
    </x:sheetView>
  </x:sheetViews>
  <x:sheetFormatPr baseColWidth="10" defaultRowHeight="12.45" x14ac:dyDescent="0.3"/>
  <x:cols>
    <x:col min="1" max="1" width="2.15234375" customWidth="1"/>
    <x:col min="2" max="2" width="12.84375" bestFit="1" customWidth="1"/>
    <x:col min="3" max="3" width="7.15234375" customWidth="1"/>
    <x:col min="4" max="4" width="15.15234375" style="167" customWidth="1"/>
    <x:col min="5" max="5" width="20.3828125" style="167" customWidth="1"/>
    <x:col min="6" max="6" width="15.15234375" style="167" customWidth="1"/>
    <x:col min="7" max="7" width="20.15234375" style="167" customWidth="1"/>
    <x:col min="8" max="8" width="3.84375" style="167" customWidth="1"/>
    <x:col min="9" max="10" width="26.53515625" style="167" bestFit="1" customWidth="1"/>
    <x:col min="11" max="13" width="19.84375" style="167" customWidth="1"/>
  </x:cols>
  <x:sheetData>
    <x:row r="1" spans="2:13" ht="12.9" thickBot="1" x14ac:dyDescent="0.35"/>
    <x:row r="2" spans="2:13" s="102" customFormat="1" ht="12.9" thickBot="1" x14ac:dyDescent="0.35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x14ac:dyDescent="0.3">
      <x:c r="C3" s="174">
        <x:v>1</x:v>
      </x:c>
      <x:c r="D3" s="175" t="n">
        <x:v>0</x:v>
      </x:c>
      <x:c r="E3" s="176" t="n">
        <x:v>0</x:v>
      </x:c>
      <x:c r="F3" s="176">
        <x:v>0</x:v>
      </x:c>
      <x:c r="G3" s="177">
        <x:v>0</x:v>
      </x:c>
      <x:c r="J3" s="728"/>
    </x:row>
    <x:row r="4" spans="2:13" x14ac:dyDescent="0.3">
      <x:c r="C4" s="178">
        <x:v>2</x:v>
      </x:c>
      <x:c r="D4" s="179" t="n">
        <x:v>0</x:v>
      </x:c>
      <x:c r="E4" s="180" t="n">
        <x:v>0</x:v>
      </x:c>
      <x:c r="F4" s="180">
        <x:v>0</x:v>
      </x:c>
      <x:c r="G4" s="181">
        <x:v>0</x:v>
      </x:c>
      <x:c r="J4" s="728"/>
    </x:row>
    <x:row r="5" spans="2:13" x14ac:dyDescent="0.3">
      <x:c r="C5" s="178">
        <x:v>3</x:v>
      </x:c>
      <x:c r="D5" s="179" t="n">
        <x:v>0</x:v>
      </x:c>
      <x:c r="E5" s="180" t="n">
        <x:v>0</x:v>
      </x:c>
      <x:c r="F5" s="180">
        <x:v>0</x:v>
      </x:c>
      <x:c r="G5" s="181">
        <x:v>0</x:v>
      </x:c>
      <x:c r="J5" s="728"/>
    </x:row>
    <x:row r="6" spans="2:13" ht="13.5" customHeight="1" x14ac:dyDescent="0.3">
      <x:c r="C6" s="178">
        <x:v>4</x:v>
      </x:c>
      <x:c r="D6" s="179" t="n">
        <x:v>0</x:v>
      </x:c>
      <x:c r="E6" s="180" t="n">
        <x:v>0</x:v>
      </x:c>
      <x:c r="F6" s="180">
        <x:v>0</x:v>
      </x:c>
      <x:c r="G6" s="181">
        <x:v>0</x:v>
      </x:c>
      <x:c r="J6" s="728"/>
    </x:row>
    <x:row r="7" spans="2:13" ht="13.5" customHeight="1" x14ac:dyDescent="0.3">
      <x:c r="C7" s="178">
        <x:v>5</x:v>
      </x:c>
      <x:c r="D7" s="179" t="n">
        <x:v>0</x:v>
      </x:c>
      <x:c r="E7" s="180" t="n">
        <x:v>0</x:v>
      </x:c>
      <x:c r="F7" s="180">
        <x:v>0</x:v>
      </x:c>
      <x:c r="G7" s="181">
        <x:v>0</x:v>
      </x:c>
      <x:c r="J7" s="728"/>
    </x:row>
    <x:row r="8" spans="2:13" ht="12.9" thickBot="1" x14ac:dyDescent="0.35">
      <x:c r="C8" s="182" t="s">
        <x:v>89</x:v>
      </x:c>
      <x:c r="D8" s="183"/>
      <x:c r="E8" s="184"/>
      <x:c r="F8" s="184"/>
      <x:c r="G8" s="185"/>
      <x:c r="J8" s="728"/>
    </x:row>
    <x:row r="9" spans="2:13" ht="12.9" thickBot="1" x14ac:dyDescent="0.35">
      <x:c r="D9" s="186" t="n">
        <x:v>0</x:v>
      </x:c>
      <x:c r="E9" s="186" t="n">
        <x:v>0</x:v>
      </x:c>
      <x:c r="F9" s="186">
        <x:v>0</x:v>
      </x:c>
      <x:c r="G9" s="186">
        <x:v>0</x:v>
      </x:c>
      <x:c r="J9" s="728"/>
    </x:row>
    <x:row r="10" spans="2:13" ht="12.9" thickBot="1" x14ac:dyDescent="0.35"/>
    <x:row r="11" spans="2:13" s="102" customFormat="1" ht="12.9" thickBot="1" x14ac:dyDescent="0.35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3">
      <x:c r="B12" s="97" t="s">
        <x:v>140</x:v>
      </x:c>
      <x:c r="C12" s="174">
        <x:v>1</x:v>
      </x:c>
      <x:c r="D12" s="175" t="n">
        <x:v>0</x:v>
      </x:c>
      <x:c r="E12" s="176" t="n">
        <x:v>0</x:v>
      </x:c>
      <x:c r="F12" s="176">
        <x:v>0</x:v>
      </x:c>
      <x:c r="G12" s="177">
        <x:v>0</x:v>
      </x:c>
    </x:row>
    <x:row r="13" spans="2:13" x14ac:dyDescent="0.3">
      <x:c r="C13" s="178">
        <x:v>2</x:v>
      </x:c>
      <x:c r="D13" s="179" t="n">
        <x:v>0</x:v>
      </x:c>
      <x:c r="E13" s="180" t="n">
        <x:v>0</x:v>
      </x:c>
      <x:c r="F13" s="180">
        <x:v>0</x:v>
      </x:c>
      <x:c r="G13" s="181">
        <x:v>0</x:v>
      </x:c>
    </x:row>
    <x:row r="14" spans="2:13" x14ac:dyDescent="0.3">
      <x:c r="C14" s="178">
        <x:v>3</x:v>
      </x:c>
      <x:c r="D14" s="179" t="n">
        <x:v>0</x:v>
      </x:c>
      <x:c r="E14" s="180" t="n">
        <x:v>0</x:v>
      </x:c>
      <x:c r="F14" s="180">
        <x:v>0</x:v>
      </x:c>
      <x:c r="G14" s="181">
        <x:v>0</x:v>
      </x:c>
    </x:row>
    <x:row r="15" spans="2:13" x14ac:dyDescent="0.3">
      <x:c r="C15" s="178">
        <x:v>4</x:v>
      </x:c>
      <x:c r="D15" s="179" t="n">
        <x:v>0</x:v>
      </x:c>
      <x:c r="E15" s="180" t="n">
        <x:v>0</x:v>
      </x:c>
      <x:c r="F15" s="180">
        <x:v>0</x:v>
      </x:c>
      <x:c r="G15" s="181">
        <x:v>0</x:v>
      </x:c>
    </x:row>
    <x:row r="16" spans="2:13" x14ac:dyDescent="0.3">
      <x:c r="C16" s="178">
        <x:v>5</x:v>
      </x:c>
      <x:c r="D16" s="179" t="n">
        <x:v>0</x:v>
      </x:c>
      <x:c r="E16" s="180" t="n">
        <x:v>0</x:v>
      </x:c>
      <x:c r="F16" s="180">
        <x:v>0</x:v>
      </x:c>
      <x:c r="G16" s="181">
        <x:v>0</x:v>
      </x:c>
    </x:row>
    <x:row r="17" spans="1:11" ht="12.9" thickBot="1" x14ac:dyDescent="0.35">
      <x:c r="C17" s="182" t="s">
        <x:v>89</x:v>
      </x:c>
      <x:c r="D17" s="183"/>
      <x:c r="E17" s="184"/>
      <x:c r="F17" s="184"/>
      <x:c r="G17" s="185"/>
    </x:row>
    <x:row r="18" spans="1:11" ht="12.9" thickBot="1" x14ac:dyDescent="0.35">
      <x:c r="D18" s="186" t="n">
        <x:v>0</x:v>
      </x:c>
      <x:c r="E18" s="186" t="n">
        <x:v>0</x:v>
      </x:c>
      <x:c r="F18" s="186">
        <x:v>0</x:v>
      </x:c>
      <x:c r="G18" s="186">
        <x:v>0</x:v>
      </x:c>
    </x:row>
    <x:row r="19" spans="1:11" ht="12.9" thickBot="1" x14ac:dyDescent="0.35"/>
    <x:row r="20" spans="1:11" ht="12.9" thickBot="1" x14ac:dyDescent="0.35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x14ac:dyDescent="0.3">
      <x:c r="B21" s="207" t="s">
        <x:v>2</x:v>
      </x:c>
      <x:c r="C21" s="174">
        <x:v>1</x:v>
      </x:c>
      <x:c r="D21" s="175" t="n">
        <x:v>0</x:v>
      </x:c>
      <x:c r="E21" s="176" t="n">
        <x:v>0</x:v>
      </x:c>
      <x:c r="F21" s="176">
        <x:v>0</x:v>
      </x:c>
      <x:c r="G21" s="177">
        <x:v>0</x:v>
      </x:c>
      <x:c r="I21" s="175">
        <x:v>0</x:v>
      </x:c>
      <x:c r="J21" s="177">
        <x:v>0</x:v>
      </x:c>
    </x:row>
    <x:row r="22" spans="1:11" s="167" customFormat="1" x14ac:dyDescent="0.3">
      <x:c r="B22"/>
      <x:c r="C22" s="178">
        <x:v>2</x:v>
      </x:c>
      <x:c r="D22" s="179" t="n">
        <x:v>0</x:v>
      </x:c>
      <x:c r="E22" s="180" t="n">
        <x:v>0</x:v>
      </x:c>
      <x:c r="F22" s="180">
        <x:v>0</x:v>
      </x:c>
      <x:c r="G22" s="181">
        <x:v>0</x:v>
      </x:c>
      <x:c r="I22" s="179">
        <x:v>0</x:v>
      </x:c>
      <x:c r="J22" s="181">
        <x:v>0</x:v>
      </x:c>
    </x:row>
    <x:row r="23" spans="1:11" s="167" customFormat="1" x14ac:dyDescent="0.3">
      <x:c r="B23"/>
      <x:c r="C23" s="178">
        <x:v>3</x:v>
      </x:c>
      <x:c r="D23" s="179" t="n">
        <x:v>0</x:v>
      </x:c>
      <x:c r="E23" s="180" t="n">
        <x:v>0</x:v>
      </x:c>
      <x:c r="F23" s="180">
        <x:v>0</x:v>
      </x:c>
      <x:c r="G23" s="181">
        <x:v>0</x:v>
      </x:c>
      <x:c r="I23" s="179">
        <x:v>0</x:v>
      </x:c>
      <x:c r="J23" s="181">
        <x:v>0</x:v>
      </x:c>
    </x:row>
    <x:row r="24" spans="1:11" s="167" customFormat="1" x14ac:dyDescent="0.3">
      <x:c r="B24"/>
      <x:c r="C24" s="178">
        <x:v>4</x:v>
      </x:c>
      <x:c r="D24" s="179" t="n">
        <x:v>0</x:v>
      </x:c>
      <x:c r="E24" s="180" t="n">
        <x:v>0</x:v>
      </x:c>
      <x:c r="F24" s="180">
        <x:v>0</x:v>
      </x:c>
      <x:c r="G24" s="181">
        <x:v>0</x:v>
      </x:c>
      <x:c r="I24" s="179">
        <x:v>0</x:v>
      </x:c>
      <x:c r="J24" s="181">
        <x:v>0</x:v>
      </x:c>
    </x:row>
    <x:row r="25" spans="1:11" s="167" customFormat="1" x14ac:dyDescent="0.3">
      <x:c r="B25"/>
      <x:c r="C25" s="178">
        <x:v>5</x:v>
      </x:c>
      <x:c r="D25" s="179" t="n">
        <x:v>0</x:v>
      </x:c>
      <x:c r="E25" s="180" t="n">
        <x:v>0</x:v>
      </x:c>
      <x:c r="F25" s="180">
        <x:v>0</x:v>
      </x:c>
      <x:c r="G25" s="181">
        <x:v>0</x:v>
      </x:c>
      <x:c r="I25" s="179">
        <x:v>0</x:v>
      </x:c>
      <x:c r="J25" s="181">
        <x:v>0</x:v>
      </x:c>
    </x:row>
    <x:row r="26" spans="1:11" ht="12.9" thickBot="1" x14ac:dyDescent="0.35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2.9" thickBot="1" x14ac:dyDescent="0.35">
      <x:c r="D27" s="186" t="n">
        <x:v>0</x:v>
      </x:c>
      <x:c r="E27" s="186" t="n">
        <x:v>0</x:v>
      </x:c>
      <x:c r="F27" s="186">
        <x:v>0</x:v>
      </x:c>
      <x:c r="G27" s="186">
        <x:v>0</x:v>
      </x:c>
      <x:c r="I27" s="204">
        <x:v>0</x:v>
      </x:c>
      <x:c r="J27" s="205">
        <x:v>0</x:v>
      </x:c>
    </x:row>
    <x:row r="29" spans="1:11" x14ac:dyDescent="0.3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3">
      <x:c r="B31" s="102" t="s">
        <x:v>132</x:v>
      </x:c>
      <x:c r="D31" s="167" t="b">
        <x:f>D9=SUM(D3:D8)</x:f>
        <x:v>1</x:v>
      </x:c>
      <x:c r="E31" s="167" t="b">
        <x:f t="shared" ref="E31:F31" si="0">E9=SUM(E3:E8)</x:f>
        <x:v>1</x:v>
      </x:c>
      <x:c r="F31" s="167" t="b">
        <x:f t="shared" si="0"/>
        <x:v>1</x:v>
      </x:c>
      <x:c r="G31" s="167" t="b">
        <x:f>G9=SUM(G3:G8)</x:f>
        <x:v>1</x:v>
      </x:c>
    </x:row>
    <x:row r="33" spans="2:10" x14ac:dyDescent="0.3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3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 t="shared" si="2"/>
        <x:v>1</x:v>
      </x:c>
      <x:c r="G35" s="167" t="b">
        <x:f t="shared" si="2"/>
        <x:v>1</x:v>
      </x:c>
      <x:c r="I35" s="167" t="b">
        <x:f t="shared" si="2"/>
        <x:v>1</x:v>
      </x:c>
      <x:c r="J35" s="167" t="b">
        <x:f t="shared" si="2"/>
        <x:v>1</x:v>
      </x:c>
    </x:row>
    <x:row r="69" spans="5:5" x14ac:dyDescent="0.3">
      <x:c r="E69" s="167">
        <x:f>C69-G17</x:f>
        <x:v>0</x:v>
      </x:c>
    </x:row>
  </x:sheetData>
  <x:conditionalFormatting sqref="D31:G31">
    <x:cfRule type="cellIs" dxfId="103" priority="5" operator="notEqual">
      <x:formula>TRUE</x:formula>
    </x:cfRule>
  </x:conditionalFormatting>
  <x:conditionalFormatting sqref="D33:G33">
    <x:cfRule type="cellIs" dxfId="102" priority="4" operator="notEqual">
      <x:formula>TRUE</x:formula>
    </x:cfRule>
  </x:conditionalFormatting>
  <x:conditionalFormatting sqref="D35:G35">
    <x:cfRule type="cellIs" dxfId="101" priority="3" operator="notEqual">
      <x:formula>TRUE</x:formula>
    </x:cfRule>
  </x:conditionalFormatting>
  <x:conditionalFormatting sqref="I35:J35">
    <x:cfRule type="cellIs" dxfId="100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M69"/>
  <x:sheetViews>
    <x:sheetView zoomScaleNormal="100" workbookViewId="0">
      <x:selection activeCell="B1" sqref="B1"/>
    </x:sheetView>
  </x:sheetViews>
  <x:sheetFormatPr baseColWidth="10" defaultRowHeight="12.45" x14ac:dyDescent="0.3"/>
  <x:cols>
    <x:col min="1" max="1" width="2.15234375" customWidth="1"/>
    <x:col min="2" max="2" width="12.84375" bestFit="1" customWidth="1"/>
    <x:col min="3" max="3" width="7.15234375" customWidth="1"/>
    <x:col min="4" max="4" width="16" style="167" bestFit="1" customWidth="1"/>
    <x:col min="5" max="5" width="20.3828125" style="167" customWidth="1"/>
    <x:col min="6" max="6" width="16" style="167" bestFit="1" customWidth="1"/>
    <x:col min="7" max="7" width="20.15234375" style="167" customWidth="1"/>
    <x:col min="8" max="8" width="3.84375" style="167" customWidth="1"/>
    <x:col min="9" max="10" width="26.53515625" style="167" bestFit="1" customWidth="1"/>
    <x:col min="11" max="13" width="19.84375" style="167" customWidth="1"/>
  </x:cols>
  <x:sheetData>
    <x:row r="1" spans="2:13" ht="14.5" customHeight="1" thickBot="1" x14ac:dyDescent="0.35"/>
    <x:row r="2" spans="2:13" s="102" customFormat="1" ht="12.65" customHeight="1" thickBot="1" x14ac:dyDescent="0.35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ht="12.65" customHeight="1" x14ac:dyDescent="0.3">
      <x:c r="C3" s="174">
        <x:v>1</x:v>
      </x:c>
      <x:c r="D3" s="175" t="n">
        <x:v>14382259562</x:v>
      </x:c>
      <x:c r="E3" s="176" t="n">
        <x:v>305702</x:v>
      </x:c>
      <x:c r="F3" s="176">
        <x:v>0</x:v>
      </x:c>
      <x:c r="G3" s="177">
        <x:v>0</x:v>
      </x:c>
      <x:c r="J3" s="728"/>
    </x:row>
    <x:row r="4" spans="2:13" ht="12.65" customHeight="1" x14ac:dyDescent="0.3">
      <x:c r="C4" s="178">
        <x:v>2</x:v>
      </x:c>
      <x:c r="D4" s="179" t="n">
        <x:v>10247752463</x:v>
      </x:c>
      <x:c r="E4" s="180" t="n">
        <x:v>198695</x:v>
      </x:c>
      <x:c r="F4" s="180">
        <x:v>0</x:v>
      </x:c>
      <x:c r="G4" s="181">
        <x:v>0</x:v>
      </x:c>
      <x:c r="J4" s="728"/>
    </x:row>
    <x:row r="5" spans="2:13" ht="12.65" customHeight="1" x14ac:dyDescent="0.3">
      <x:c r="C5" s="178">
        <x:v>3</x:v>
      </x:c>
      <x:c r="D5" s="179" t="n">
        <x:v>8348318512</x:v>
      </x:c>
      <x:c r="E5" s="180" t="n">
        <x:v>195122</x:v>
      </x:c>
      <x:c r="F5" s="180">
        <x:v>0</x:v>
      </x:c>
      <x:c r="G5" s="181">
        <x:v>0</x:v>
      </x:c>
      <x:c r="J5" s="728"/>
    </x:row>
    <x:row r="6" spans="2:13" ht="12.65" customHeight="1" x14ac:dyDescent="0.3">
      <x:c r="C6" s="178">
        <x:v>4</x:v>
      </x:c>
      <x:c r="D6" s="179" t="n">
        <x:v>9859647946</x:v>
      </x:c>
      <x:c r="E6" s="180" t="n">
        <x:v>172571</x:v>
      </x:c>
      <x:c r="F6" s="180">
        <x:v>0</x:v>
      </x:c>
      <x:c r="G6" s="181">
        <x:v>0</x:v>
      </x:c>
    </x:row>
    <x:row r="7" spans="2:13" ht="12.65" customHeight="1" x14ac:dyDescent="0.3">
      <x:c r="C7" s="178">
        <x:v>5</x:v>
      </x:c>
      <x:c r="D7" s="179" t="n">
        <x:v>7125653520</x:v>
      </x:c>
      <x:c r="E7" s="180" t="n">
        <x:v>137028</x:v>
      </x:c>
      <x:c r="F7" s="180">
        <x:v>0</x:v>
      </x:c>
      <x:c r="G7" s="181">
        <x:v>0</x:v>
      </x:c>
    </x:row>
    <x:row r="8" spans="2:13" ht="12.65" customHeight="1" thickBot="1" x14ac:dyDescent="0.35">
      <x:c r="C8" s="182" t="s">
        <x:v>89</x:v>
      </x:c>
      <x:c r="D8" s="183"/>
      <x:c r="E8" s="184"/>
      <x:c r="F8" s="184"/>
      <x:c r="G8" s="185"/>
    </x:row>
    <x:row r="9" spans="2:13" ht="12.65" customHeight="1" thickBot="1" x14ac:dyDescent="0.35">
      <x:c r="D9" s="186" t="n">
        <x:v>49963632003</x:v>
      </x:c>
      <x:c r="E9" s="186" t="n">
        <x:v>1009118</x:v>
      </x:c>
      <x:c r="F9" s="186">
        <x:v>0</x:v>
      </x:c>
      <x:c r="G9" s="186">
        <x:v>0</x:v>
      </x:c>
    </x:row>
    <x:row r="10" spans="2:13" ht="12.65" customHeight="1" thickBot="1" x14ac:dyDescent="0.35"/>
    <x:row r="11" spans="2:13" s="102" customFormat="1" ht="12.65" customHeight="1" thickBot="1" x14ac:dyDescent="0.35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ht="12.65" customHeight="1" x14ac:dyDescent="0.3">
      <x:c r="B12" s="97" t="s">
        <x:v>140</x:v>
      </x:c>
      <x:c r="C12" s="174">
        <x:v>1</x:v>
      </x:c>
      <x:c r="D12" s="175" t="n">
        <x:v>128684600</x:v>
      </x:c>
      <x:c r="E12" s="176" t="n">
        <x:v>2090</x:v>
      </x:c>
      <x:c r="F12" s="176">
        <x:v>0</x:v>
      </x:c>
      <x:c r="G12" s="177">
        <x:v>0</x:v>
      </x:c>
    </x:row>
    <x:row r="13" spans="2:13" ht="12.65" customHeight="1" x14ac:dyDescent="0.3">
      <x:c r="C13" s="178">
        <x:v>2</x:v>
      </x:c>
      <x:c r="D13" s="179" t="n">
        <x:v>60162560</x:v>
      </x:c>
      <x:c r="E13" s="180" t="n">
        <x:v>1233</x:v>
      </x:c>
      <x:c r="F13" s="180">
        <x:v>0</x:v>
      </x:c>
      <x:c r="G13" s="181">
        <x:v>0</x:v>
      </x:c>
    </x:row>
    <x:row r="14" spans="2:13" ht="12.65" customHeight="1" x14ac:dyDescent="0.3">
      <x:c r="C14" s="178">
        <x:v>3</x:v>
      </x:c>
      <x:c r="D14" s="179" t="n">
        <x:v>58639078</x:v>
      </x:c>
      <x:c r="E14" s="180" t="n">
        <x:v>1146</x:v>
      </x:c>
      <x:c r="F14" s="180">
        <x:v>0</x:v>
      </x:c>
      <x:c r="G14" s="181">
        <x:v>0</x:v>
      </x:c>
    </x:row>
    <x:row r="15" spans="2:13" ht="12.65" customHeight="1" x14ac:dyDescent="0.3">
      <x:c r="C15" s="178">
        <x:v>4</x:v>
      </x:c>
      <x:c r="D15" s="179" t="n">
        <x:v>72782190</x:v>
      </x:c>
      <x:c r="E15" s="180" t="n">
        <x:v>1190</x:v>
      </x:c>
      <x:c r="F15" s="180">
        <x:v>0</x:v>
      </x:c>
      <x:c r="G15" s="181">
        <x:v>0</x:v>
      </x:c>
    </x:row>
    <x:row r="16" spans="2:13" ht="12.65" customHeight="1" x14ac:dyDescent="0.3">
      <x:c r="C16" s="178">
        <x:v>5</x:v>
      </x:c>
      <x:c r="D16" s="179" t="n">
        <x:v>122557965</x:v>
      </x:c>
      <x:c r="E16" s="180" t="n">
        <x:v>2207</x:v>
      </x:c>
      <x:c r="F16" s="180">
        <x:v>0</x:v>
      </x:c>
      <x:c r="G16" s="181">
        <x:v>0</x:v>
      </x:c>
    </x:row>
    <x:row r="17" spans="1:11" ht="12.65" customHeight="1" thickBot="1" x14ac:dyDescent="0.35">
      <x:c r="C17" s="182" t="s">
        <x:v>89</x:v>
      </x:c>
      <x:c r="D17" s="183"/>
      <x:c r="E17" s="184"/>
      <x:c r="F17" s="184"/>
      <x:c r="G17" s="185"/>
    </x:row>
    <x:row r="18" spans="1:11" ht="12.65" customHeight="1" thickBot="1" x14ac:dyDescent="0.35">
      <x:c r="D18" s="186" t="n">
        <x:v>442826393</x:v>
      </x:c>
      <x:c r="E18" s="186" t="n">
        <x:v>7866</x:v>
      </x:c>
      <x:c r="F18" s="186">
        <x:v>0</x:v>
      </x:c>
      <x:c r="G18" s="186">
        <x:v>0</x:v>
      </x:c>
    </x:row>
    <x:row r="19" spans="1:11" ht="12.65" customHeight="1" thickBot="1" x14ac:dyDescent="0.35"/>
    <x:row r="20" spans="1:11" ht="12.65" customHeight="1" thickBot="1" x14ac:dyDescent="0.35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ht="12.65" customHeight="1" x14ac:dyDescent="0.3">
      <x:c r="B21" s="207" t="s">
        <x:v>2</x:v>
      </x:c>
      <x:c r="C21" s="174">
        <x:v>1</x:v>
      </x:c>
      <x:c r="D21" s="175" t="n">
        <x:v>14510944162</x:v>
      </x:c>
      <x:c r="E21" s="176" t="n">
        <x:v>307792</x:v>
      </x:c>
      <x:c r="F21" s="176">
        <x:v>0</x:v>
      </x:c>
      <x:c r="G21" s="177">
        <x:v>0</x:v>
      </x:c>
      <x:c r="I21" s="175">
        <x:v>0</x:v>
      </x:c>
      <x:c r="J21" s="177">
        <x:v>0</x:v>
      </x:c>
    </x:row>
    <x:row r="22" spans="1:11" s="167" customFormat="1" ht="12.65" customHeight="1" x14ac:dyDescent="0.3">
      <x:c r="B22"/>
      <x:c r="C22" s="178">
        <x:v>2</x:v>
      </x:c>
      <x:c r="D22" s="179" t="n">
        <x:v>10307915023</x:v>
      </x:c>
      <x:c r="E22" s="180" t="n">
        <x:v>199928</x:v>
      </x:c>
      <x:c r="F22" s="180">
        <x:v>0</x:v>
      </x:c>
      <x:c r="G22" s="181">
        <x:v>0</x:v>
      </x:c>
      <x:c r="I22" s="179">
        <x:v>0</x:v>
      </x:c>
      <x:c r="J22" s="181">
        <x:v>0</x:v>
      </x:c>
    </x:row>
    <x:row r="23" spans="1:11" s="167" customFormat="1" ht="12.65" customHeight="1" x14ac:dyDescent="0.3">
      <x:c r="B23"/>
      <x:c r="C23" s="178">
        <x:v>3</x:v>
      </x:c>
      <x:c r="D23" s="179" t="n">
        <x:v>8406957590</x:v>
      </x:c>
      <x:c r="E23" s="180" t="n">
        <x:v>196268</x:v>
      </x:c>
      <x:c r="F23" s="180">
        <x:v>0</x:v>
      </x:c>
      <x:c r="G23" s="181">
        <x:v>0</x:v>
      </x:c>
      <x:c r="I23" s="179">
        <x:v>0</x:v>
      </x:c>
      <x:c r="J23" s="181">
        <x:v>0</x:v>
      </x:c>
    </x:row>
    <x:row r="24" spans="1:11" s="167" customFormat="1" ht="12.65" customHeight="1" x14ac:dyDescent="0.3">
      <x:c r="B24"/>
      <x:c r="C24" s="178">
        <x:v>4</x:v>
      </x:c>
      <x:c r="D24" s="179" t="n">
        <x:v>9932430136</x:v>
      </x:c>
      <x:c r="E24" s="180" t="n">
        <x:v>173761</x:v>
      </x:c>
      <x:c r="F24" s="180">
        <x:v>0</x:v>
      </x:c>
      <x:c r="G24" s="181">
        <x:v>0</x:v>
      </x:c>
      <x:c r="I24" s="179">
        <x:v>0</x:v>
      </x:c>
      <x:c r="J24" s="181">
        <x:v>0</x:v>
      </x:c>
    </x:row>
    <x:row r="25" spans="1:11" s="167" customFormat="1" ht="12.65" customHeight="1" x14ac:dyDescent="0.3">
      <x:c r="B25"/>
      <x:c r="C25" s="178">
        <x:v>5</x:v>
      </x:c>
      <x:c r="D25" s="179" t="n">
        <x:v>7248211485</x:v>
      </x:c>
      <x:c r="E25" s="180" t="n">
        <x:v>139235</x:v>
      </x:c>
      <x:c r="F25" s="180">
        <x:v>0</x:v>
      </x:c>
      <x:c r="G25" s="181">
        <x:v>0</x:v>
      </x:c>
      <x:c r="I25" s="179">
        <x:v>0</x:v>
      </x:c>
      <x:c r="J25" s="181">
        <x:v>0</x:v>
      </x:c>
    </x:row>
    <x:row r="26" spans="1:11" ht="12.65" customHeight="1" thickBot="1" x14ac:dyDescent="0.35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2.65" customHeight="1" thickBot="1" x14ac:dyDescent="0.35">
      <x:c r="D27" s="186" t="n">
        <x:v>50406458396</x:v>
      </x:c>
      <x:c r="E27" s="186" t="n">
        <x:v>1016984</x:v>
      </x:c>
      <x:c r="F27" s="186">
        <x:v>0</x:v>
      </x:c>
      <x:c r="G27" s="186">
        <x:v>0</x:v>
      </x:c>
      <x:c r="I27" s="204">
        <x:v>0</x:v>
      </x:c>
      <x:c r="J27" s="205">
        <x:v>0</x:v>
      </x:c>
    </x:row>
    <x:row r="29" spans="1:11" x14ac:dyDescent="0.3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3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</x:row>
    <x:row r="33" spans="2:10" x14ac:dyDescent="0.3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3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I35" s="167" t="b">
        <x:f t="shared" si="2"/>
        <x:v>1</x:v>
      </x:c>
      <x:c r="J35" s="167" t="b">
        <x:f t="shared" si="2"/>
        <x:v>1</x:v>
      </x:c>
    </x:row>
    <x:row r="69" spans="5:5" x14ac:dyDescent="0.3">
      <x:c r="E69" s="167">
        <x:f>C69-G17</x:f>
        <x:v>0</x:v>
      </x:c>
    </x:row>
  </x:sheetData>
  <x:conditionalFormatting sqref="D31:G31">
    <x:cfRule type="cellIs" dxfId="99" priority="5" operator="notEqual">
      <x:formula>TRUE</x:formula>
    </x:cfRule>
  </x:conditionalFormatting>
  <x:conditionalFormatting sqref="D33:G33">
    <x:cfRule type="cellIs" dxfId="98" priority="4" operator="notEqual">
      <x:formula>TRUE</x:formula>
    </x:cfRule>
  </x:conditionalFormatting>
  <x:conditionalFormatting sqref="D35:G35">
    <x:cfRule type="cellIs" dxfId="97" priority="3" operator="notEqual">
      <x:formula>TRUE</x:formula>
    </x:cfRule>
  </x:conditionalFormatting>
  <x:conditionalFormatting sqref="I35:J35">
    <x:cfRule type="cellIs" dxfId="96" priority="1" operator="notEqual">
      <x:formula>TRUE</x:formula>
    </x:cfRule>
  </x:conditionalFormatting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D0F965-C917-49F6-90EC-EEF6E0E10FCD}" mc:Ignorable="x14ac xr xr2 xr3">
  <x:dimension ref="A1:M69"/>
  <x:sheetViews>
    <x:sheetView zoomScaleNormal="100" workbookViewId="0">
      <x:selection activeCell="B2" sqref="B2"/>
    </x:sheetView>
  </x:sheetViews>
  <x:sheetFormatPr baseColWidth="10" defaultRowHeight="12.45" x14ac:dyDescent="0.3"/>
  <x:cols>
    <x:col min="1" max="1" width="2.15234375" customWidth="1"/>
    <x:col min="2" max="2" width="12.84375" bestFit="1" customWidth="1"/>
    <x:col min="3" max="3" width="7.15234375" customWidth="1"/>
    <x:col min="4" max="4" width="16" style="167" bestFit="1" customWidth="1"/>
    <x:col min="5" max="5" width="20.3828125" style="167" customWidth="1"/>
    <x:col min="6" max="6" width="16" style="167" bestFit="1" customWidth="1"/>
    <x:col min="7" max="7" width="20.15234375" style="167" customWidth="1"/>
    <x:col min="8" max="8" width="3.84375" style="167" customWidth="1"/>
    <x:col min="9" max="10" width="26.53515625" style="167" bestFit="1" customWidth="1"/>
    <x:col min="11" max="13" width="19.84375" style="167" customWidth="1"/>
  </x:cols>
  <x:sheetData>
    <x:row r="1" spans="2:13" ht="14.5" customHeight="1" thickBot="1" x14ac:dyDescent="0.35"/>
    <x:row r="2" spans="2:13" s="102" customFormat="1" ht="12.65" customHeight="1" thickBot="1" x14ac:dyDescent="0.35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ht="12.65" customHeight="1" x14ac:dyDescent="0.3">
      <x:c r="C3" s="174">
        <x:v>1</x:v>
      </x:c>
      <x:c r="D3" s="175" t="n">
        <x:v>0</x:v>
      </x:c>
      <x:c r="E3" s="176" t="n">
        <x:v>0</x:v>
      </x:c>
      <x:c r="F3" s="176">
        <x:v>0</x:v>
      </x:c>
      <x:c r="G3" s="177">
        <x:v>0</x:v>
      </x:c>
      <x:c r="J3" s="728"/>
    </x:row>
    <x:row r="4" spans="2:13" ht="12.65" customHeight="1" x14ac:dyDescent="0.3">
      <x:c r="C4" s="178">
        <x:v>2</x:v>
      </x:c>
      <x:c r="D4" s="179" t="n">
        <x:v>0</x:v>
      </x:c>
      <x:c r="E4" s="180" t="n">
        <x:v>0</x:v>
      </x:c>
      <x:c r="F4" s="180">
        <x:v>0</x:v>
      </x:c>
      <x:c r="G4" s="181">
        <x:v>0</x:v>
      </x:c>
      <x:c r="J4" s="728"/>
    </x:row>
    <x:row r="5" spans="2:13" ht="12.65" customHeight="1" x14ac:dyDescent="0.3">
      <x:c r="C5" s="178">
        <x:v>3</x:v>
      </x:c>
      <x:c r="D5" s="179" t="n">
        <x:v>0</x:v>
      </x:c>
      <x:c r="E5" s="180" t="n">
        <x:v>0</x:v>
      </x:c>
      <x:c r="F5" s="180">
        <x:v>0</x:v>
      </x:c>
      <x:c r="G5" s="181">
        <x:v>0</x:v>
      </x:c>
      <x:c r="J5" s="728"/>
    </x:row>
    <x:row r="6" spans="2:13" ht="12.65" customHeight="1" x14ac:dyDescent="0.3">
      <x:c r="C6" s="178">
        <x:v>4</x:v>
      </x:c>
      <x:c r="D6" s="179" t="n">
        <x:v>0</x:v>
      </x:c>
      <x:c r="E6" s="180" t="n">
        <x:v>0</x:v>
      </x:c>
      <x:c r="F6" s="180">
        <x:v>0</x:v>
      </x:c>
      <x:c r="G6" s="181">
        <x:v>0</x:v>
      </x:c>
    </x:row>
    <x:row r="7" spans="2:13" ht="12.65" customHeight="1" x14ac:dyDescent="0.3">
      <x:c r="C7" s="178">
        <x:v>5</x:v>
      </x:c>
      <x:c r="D7" s="179" t="n">
        <x:v>140424760</x:v>
      </x:c>
      <x:c r="E7" s="180" t="n">
        <x:v>2998</x:v>
      </x:c>
      <x:c r="F7" s="180">
        <x:v>0</x:v>
      </x:c>
      <x:c r="G7" s="181">
        <x:v>0</x:v>
      </x:c>
    </x:row>
    <x:row r="8" spans="2:13" ht="12.65" customHeight="1" thickBot="1" x14ac:dyDescent="0.35">
      <x:c r="C8" s="182" t="s">
        <x:v>89</x:v>
      </x:c>
      <x:c r="D8" s="183"/>
      <x:c r="E8" s="184"/>
      <x:c r="F8" s="184"/>
      <x:c r="G8" s="185"/>
    </x:row>
    <x:row r="9" spans="2:13" ht="12.65" customHeight="1" thickBot="1" x14ac:dyDescent="0.35">
      <x:c r="D9" s="186" t="n">
        <x:v>140424760</x:v>
      </x:c>
      <x:c r="E9" s="186" t="n">
        <x:v>2998</x:v>
      </x:c>
      <x:c r="F9" s="186">
        <x:v>0</x:v>
      </x:c>
      <x:c r="G9" s="186">
        <x:v>0</x:v>
      </x:c>
    </x:row>
    <x:row r="10" spans="2:13" ht="12.65" customHeight="1" thickBot="1" x14ac:dyDescent="0.35"/>
    <x:row r="11" spans="2:13" s="102" customFormat="1" ht="12.65" customHeight="1" thickBot="1" x14ac:dyDescent="0.35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ht="12.65" customHeight="1" x14ac:dyDescent="0.3">
      <x:c r="B12" s="97" t="s">
        <x:v>140</x:v>
      </x:c>
      <x:c r="C12" s="174">
        <x:v>1</x:v>
      </x:c>
      <x:c r="D12" s="175" t="n">
        <x:v>0</x:v>
      </x:c>
      <x:c r="E12" s="176" t="n">
        <x:v>0</x:v>
      </x:c>
      <x:c r="F12" s="176">
        <x:v>0</x:v>
      </x:c>
      <x:c r="G12" s="177">
        <x:v>0</x:v>
      </x:c>
    </x:row>
    <x:row r="13" spans="2:13" ht="12.65" customHeight="1" x14ac:dyDescent="0.3">
      <x:c r="C13" s="178">
        <x:v>2</x:v>
      </x:c>
      <x:c r="D13" s="179" t="n">
        <x:v>0</x:v>
      </x:c>
      <x:c r="E13" s="180" t="n">
        <x:v>0</x:v>
      </x:c>
      <x:c r="F13" s="180">
        <x:v>0</x:v>
      </x:c>
      <x:c r="G13" s="181">
        <x:v>0</x:v>
      </x:c>
    </x:row>
    <x:row r="14" spans="2:13" ht="12.65" customHeight="1" x14ac:dyDescent="0.3">
      <x:c r="C14" s="178">
        <x:v>3</x:v>
      </x:c>
      <x:c r="D14" s="179" t="n">
        <x:v>0</x:v>
      </x:c>
      <x:c r="E14" s="180" t="n">
        <x:v>0</x:v>
      </x:c>
      <x:c r="F14" s="180">
        <x:v>0</x:v>
      </x:c>
      <x:c r="G14" s="181">
        <x:v>0</x:v>
      </x:c>
    </x:row>
    <x:row r="15" spans="2:13" ht="12.65" customHeight="1" x14ac:dyDescent="0.3">
      <x:c r="C15" s="178">
        <x:v>4</x:v>
      </x:c>
      <x:c r="D15" s="179" t="n">
        <x:v>0</x:v>
      </x:c>
      <x:c r="E15" s="180" t="n">
        <x:v>0</x:v>
      </x:c>
      <x:c r="F15" s="180">
        <x:v>0</x:v>
      </x:c>
      <x:c r="G15" s="181">
        <x:v>0</x:v>
      </x:c>
    </x:row>
    <x:row r="16" spans="2:13" ht="12.65" customHeight="1" x14ac:dyDescent="0.3">
      <x:c r="C16" s="178">
        <x:v>5</x:v>
      </x:c>
      <x:c r="D16" s="179" t="n">
        <x:v>0</x:v>
      </x:c>
      <x:c r="E16" s="180" t="n">
        <x:v>0</x:v>
      </x:c>
      <x:c r="F16" s="180">
        <x:v>0</x:v>
      </x:c>
      <x:c r="G16" s="181">
        <x:v>0</x:v>
      </x:c>
    </x:row>
    <x:row r="17" spans="1:11" ht="12.65" customHeight="1" thickBot="1" x14ac:dyDescent="0.35">
      <x:c r="C17" s="182" t="s">
        <x:v>89</x:v>
      </x:c>
      <x:c r="D17" s="183"/>
      <x:c r="E17" s="184"/>
      <x:c r="F17" s="184"/>
      <x:c r="G17" s="185"/>
    </x:row>
    <x:row r="18" spans="1:11" ht="12.65" customHeight="1" thickBot="1" x14ac:dyDescent="0.35">
      <x:c r="D18" s="186" t="n">
        <x:v>0</x:v>
      </x:c>
      <x:c r="E18" s="186" t="n">
        <x:v>0</x:v>
      </x:c>
      <x:c r="F18" s="186">
        <x:v>0</x:v>
      </x:c>
      <x:c r="G18" s="186">
        <x:v>0</x:v>
      </x:c>
    </x:row>
    <x:row r="19" spans="1:11" ht="12.65" customHeight="1" thickBot="1" x14ac:dyDescent="0.35"/>
    <x:row r="20" spans="1:11" ht="12.65" customHeight="1" thickBot="1" x14ac:dyDescent="0.35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ht="12.65" customHeight="1" x14ac:dyDescent="0.3">
      <x:c r="B21" s="207" t="s">
        <x:v>2</x:v>
      </x:c>
      <x:c r="C21" s="174">
        <x:v>1</x:v>
      </x:c>
      <x:c r="D21" s="175" t="n">
        <x:v>0</x:v>
      </x:c>
      <x:c r="E21" s="176" t="n">
        <x:v>0</x:v>
      </x:c>
      <x:c r="F21" s="176">
        <x:v>0</x:v>
      </x:c>
      <x:c r="G21" s="177">
        <x:v>0</x:v>
      </x:c>
      <x:c r="I21" s="175">
        <x:v>0</x:v>
      </x:c>
      <x:c r="J21" s="177">
        <x:v>0</x:v>
      </x:c>
    </x:row>
    <x:row r="22" spans="1:11" s="167" customFormat="1" ht="12.65" customHeight="1" x14ac:dyDescent="0.3">
      <x:c r="B22"/>
      <x:c r="C22" s="178">
        <x:v>2</x:v>
      </x:c>
      <x:c r="D22" s="179" t="n">
        <x:v>0</x:v>
      </x:c>
      <x:c r="E22" s="180" t="n">
        <x:v>0</x:v>
      </x:c>
      <x:c r="F22" s="180">
        <x:v>0</x:v>
      </x:c>
      <x:c r="G22" s="181">
        <x:v>0</x:v>
      </x:c>
      <x:c r="I22" s="179">
        <x:v>0</x:v>
      </x:c>
      <x:c r="J22" s="181">
        <x:v>0</x:v>
      </x:c>
    </x:row>
    <x:row r="23" spans="1:11" s="167" customFormat="1" ht="12.65" customHeight="1" x14ac:dyDescent="0.3">
      <x:c r="B23"/>
      <x:c r="C23" s="178">
        <x:v>3</x:v>
      </x:c>
      <x:c r="D23" s="179" t="n">
        <x:v>0</x:v>
      </x:c>
      <x:c r="E23" s="180" t="n">
        <x:v>0</x:v>
      </x:c>
      <x:c r="F23" s="180">
        <x:v>0</x:v>
      </x:c>
      <x:c r="G23" s="181">
        <x:v>0</x:v>
      </x:c>
      <x:c r="I23" s="179">
        <x:v>0</x:v>
      </x:c>
      <x:c r="J23" s="181">
        <x:v>0</x:v>
      </x:c>
    </x:row>
    <x:row r="24" spans="1:11" s="167" customFormat="1" ht="12.65" customHeight="1" x14ac:dyDescent="0.3">
      <x:c r="B24"/>
      <x:c r="C24" s="178">
        <x:v>4</x:v>
      </x:c>
      <x:c r="D24" s="179" t="n">
        <x:v>0</x:v>
      </x:c>
      <x:c r="E24" s="180" t="n">
        <x:v>0</x:v>
      </x:c>
      <x:c r="F24" s="180">
        <x:v>0</x:v>
      </x:c>
      <x:c r="G24" s="181">
        <x:v>0</x:v>
      </x:c>
      <x:c r="I24" s="179">
        <x:v>0</x:v>
      </x:c>
      <x:c r="J24" s="181">
        <x:v>0</x:v>
      </x:c>
    </x:row>
    <x:row r="25" spans="1:11" s="167" customFormat="1" ht="12.65" customHeight="1" x14ac:dyDescent="0.3">
      <x:c r="B25"/>
      <x:c r="C25" s="178">
        <x:v>5</x:v>
      </x:c>
      <x:c r="D25" s="179" t="n">
        <x:v>140424760</x:v>
      </x:c>
      <x:c r="E25" s="180" t="n">
        <x:v>2998</x:v>
      </x:c>
      <x:c r="F25" s="180">
        <x:v>0</x:v>
      </x:c>
      <x:c r="G25" s="181">
        <x:v>0</x:v>
      </x:c>
      <x:c r="I25" s="179">
        <x:v>0</x:v>
      </x:c>
      <x:c r="J25" s="181">
        <x:v>0</x:v>
      </x:c>
    </x:row>
    <x:row r="26" spans="1:11" ht="12.65" customHeight="1" thickBot="1" x14ac:dyDescent="0.35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2.65" customHeight="1" thickBot="1" x14ac:dyDescent="0.35">
      <x:c r="D27" s="186" t="n">
        <x:v>140424760</x:v>
      </x:c>
      <x:c r="E27" s="186" t="n">
        <x:v>2998</x:v>
      </x:c>
      <x:c r="F27" s="186">
        <x:v>0</x:v>
      </x:c>
      <x:c r="G27" s="186">
        <x:v>0</x:v>
      </x:c>
      <x:c r="I27" s="204">
        <x:v>0</x:v>
      </x:c>
      <x:c r="J27" s="205">
        <x:v>0</x:v>
      </x:c>
    </x:row>
    <x:row r="29" spans="1:11" x14ac:dyDescent="0.3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3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</x:row>
    <x:row r="33" spans="2:10" x14ac:dyDescent="0.3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3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I35" s="167" t="b">
        <x:f>I27=SUM(I21:I26)</x:f>
        <x:v>1</x:v>
      </x:c>
      <x:c r="J35" s="167" t="b">
        <x:f t="shared" si="2"/>
        <x:v>1</x:v>
      </x:c>
    </x:row>
    <x:row r="69" spans="5:5" x14ac:dyDescent="0.3">
      <x:c r="E69" s="167">
        <x:f>C69-G17</x:f>
        <x:v>0</x:v>
      </x:c>
    </x:row>
  </x:sheetData>
  <x:conditionalFormatting sqref="D31:G31">
    <x:cfRule type="cellIs" dxfId="95" priority="4" operator="notEqual">
      <x:formula>TRUE</x:formula>
    </x:cfRule>
  </x:conditionalFormatting>
  <x:conditionalFormatting sqref="D33:G33">
    <x:cfRule type="cellIs" dxfId="94" priority="3" operator="notEqual">
      <x:formula>TRUE</x:formula>
    </x:cfRule>
  </x:conditionalFormatting>
  <x:conditionalFormatting sqref="D35:G35">
    <x:cfRule type="cellIs" dxfId="93" priority="2" operator="notEqual">
      <x:formula>TRUE</x:formula>
    </x:cfRule>
  </x:conditionalFormatting>
  <x:conditionalFormatting sqref="I35:J35">
    <x:cfRule type="cellIs" dxfId="92" priority="1" operator="notEqual">
      <x:formula>TRUE</x:formula>
    </x:cfRule>
  </x:conditionalFormatting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M37"/>
  <x:sheetViews>
    <x:sheetView workbookViewId="0">
      <x:selection activeCell="B2" sqref="B2"/>
    </x:sheetView>
  </x:sheetViews>
  <x:sheetFormatPr baseColWidth="10" defaultColWidth="11.3828125" defaultRowHeight="12.45" x14ac:dyDescent="0.3"/>
  <x:cols>
    <x:col min="1" max="1" width="2.15234375" style="213" customWidth="1"/>
    <x:col min="2" max="2" width="25" style="213" bestFit="1" customWidth="1"/>
    <x:col min="3" max="3" width="4.84375" style="213" bestFit="1" customWidth="1"/>
    <x:col min="4" max="4" width="13.84375" style="167" bestFit="1" customWidth="1"/>
    <x:col min="5" max="5" width="19" style="167" bestFit="1" customWidth="1"/>
    <x:col min="6" max="6" width="13.84375" style="167" bestFit="1" customWidth="1"/>
    <x:col min="7" max="7" width="19" style="167" bestFit="1" customWidth="1"/>
    <x:col min="8" max="8" width="3.84375" style="167" customWidth="1"/>
    <x:col min="9" max="9" width="20" style="167" bestFit="1" customWidth="1"/>
    <x:col min="10" max="10" width="26.53515625" style="167" bestFit="1" customWidth="1"/>
    <x:col min="11" max="13" width="19.84375" style="167" customWidth="1"/>
    <x:col min="14" max="16384" width="11.3828125" style="213"/>
  </x:cols>
  <x:sheetData>
    <x:row r="1" spans="2:13" ht="12.9" thickBot="1" x14ac:dyDescent="0.35"/>
    <x:row r="2" spans="2:13" s="214" customFormat="1" ht="12.9" thickBot="1" x14ac:dyDescent="0.35">
      <x:c r="B2" s="214" t="s">
        <x:v>157</x:v>
      </x:c>
      <x:c r="C2" s="215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173"/>
      <x:c r="K2" s="173"/>
      <x:c r="L2" s="173"/>
      <x:c r="M2" s="173"/>
    </x:row>
    <x:row r="3" spans="2:13" x14ac:dyDescent="0.3">
      <x:c r="C3" s="174">
        <x:v>1</x:v>
      </x:c>
      <x:c r="D3" s="175" t="n">
        <x:v>0</x:v>
      </x:c>
      <x:c r="E3" s="180" t="n">
        <x:v>0</x:v>
      </x:c>
      <x:c r="F3" s="176">
        <x:v>0</x:v>
      </x:c>
      <x:c r="G3" s="177">
        <x:v>0</x:v>
      </x:c>
    </x:row>
    <x:row r="4" spans="2:13" x14ac:dyDescent="0.3">
      <x:c r="C4" s="178">
        <x:v>2</x:v>
      </x:c>
      <x:c r="D4" s="180" t="n">
        <x:v>0</x:v>
      </x:c>
      <x:c r="E4" s="180" t="n">
        <x:v>0</x:v>
      </x:c>
      <x:c r="F4" s="180">
        <x:v>0</x:v>
      </x:c>
      <x:c r="G4" s="181">
        <x:v>0</x:v>
      </x:c>
    </x:row>
    <x:row r="5" spans="2:13" x14ac:dyDescent="0.3">
      <x:c r="C5" s="178">
        <x:v>3</x:v>
      </x:c>
      <x:c r="D5" s="180" t="n">
        <x:v>0</x:v>
      </x:c>
      <x:c r="E5" s="180" t="n">
        <x:v>0</x:v>
      </x:c>
      <x:c r="F5" s="180">
        <x:v>0</x:v>
      </x:c>
      <x:c r="G5" s="181">
        <x:v>0</x:v>
      </x:c>
    </x:row>
    <x:row r="6" spans="2:13" ht="13.5" customHeight="1" x14ac:dyDescent="0.3">
      <x:c r="C6" s="178">
        <x:v>4</x:v>
      </x:c>
      <x:c r="D6" s="180" t="n">
        <x:v>0</x:v>
      </x:c>
      <x:c r="E6" s="180" t="n">
        <x:v>0</x:v>
      </x:c>
      <x:c r="F6" s="180">
        <x:v>0</x:v>
      </x:c>
      <x:c r="G6" s="181">
        <x:v>0</x:v>
      </x:c>
    </x:row>
    <x:row r="7" spans="2:13" ht="13.5" customHeight="1" x14ac:dyDescent="0.3">
      <x:c r="C7" s="178">
        <x:v>5</x:v>
      </x:c>
      <x:c r="D7" s="180" t="n">
        <x:v>0</x:v>
      </x:c>
      <x:c r="E7" s="180" t="n">
        <x:v>0</x:v>
      </x:c>
      <x:c r="F7" s="180">
        <x:v>0</x:v>
      </x:c>
      <x:c r="G7" s="181">
        <x:v>0</x:v>
      </x:c>
    </x:row>
    <x:row r="8" spans="2:13" ht="12.9" thickBot="1" x14ac:dyDescent="0.35">
      <x:c r="C8" s="182" t="s">
        <x:v>89</x:v>
      </x:c>
      <x:c r="D8" s="183"/>
      <x:c r="E8" s="184"/>
      <x:c r="F8" s="184"/>
      <x:c r="G8" s="185"/>
    </x:row>
    <x:row r="9" spans="2:13" ht="12.9" thickBot="1" x14ac:dyDescent="0.35">
      <x:c r="D9" s="186" t="n">
        <x:v>0</x:v>
      </x:c>
      <x:c r="E9" s="186" t="n">
        <x:v>0</x:v>
      </x:c>
      <x:c r="F9" s="186">
        <x:v>0</x:v>
      </x:c>
      <x:c r="G9" s="186">
        <x:v>0</x:v>
      </x:c>
    </x:row>
    <x:row r="10" spans="2:13" ht="12.9" thickBot="1" x14ac:dyDescent="0.35"/>
    <x:row r="11" spans="2:13" s="214" customFormat="1" ht="12.9" thickBot="1" x14ac:dyDescent="0.35">
      <x:c r="C11" s="215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3">
      <x:c r="B12" s="216" t="s">
        <x:v>158</x:v>
      </x:c>
      <x:c r="C12" s="174">
        <x:v>1</x:v>
      </x:c>
      <x:c r="D12" s="175" t="n">
        <x:v>0</x:v>
      </x:c>
      <x:c r="E12" s="180" t="n">
        <x:v>0</x:v>
      </x:c>
      <x:c r="F12" s="176">
        <x:v>0</x:v>
      </x:c>
      <x:c r="G12" s="177">
        <x:v>0</x:v>
      </x:c>
    </x:row>
    <x:row r="13" spans="2:13" x14ac:dyDescent="0.3">
      <x:c r="C13" s="178">
        <x:v>2</x:v>
      </x:c>
      <x:c r="D13" s="180" t="n">
        <x:v>0</x:v>
      </x:c>
      <x:c r="E13" s="180" t="n">
        <x:v>0</x:v>
      </x:c>
      <x:c r="F13" s="180">
        <x:v>0</x:v>
      </x:c>
      <x:c r="G13" s="181">
        <x:v>0</x:v>
      </x:c>
    </x:row>
    <x:row r="14" spans="2:13" x14ac:dyDescent="0.3">
      <x:c r="C14" s="178">
        <x:v>3</x:v>
      </x:c>
      <x:c r="D14" s="180" t="n">
        <x:v>0</x:v>
      </x:c>
      <x:c r="E14" s="180" t="n">
        <x:v>0</x:v>
      </x:c>
      <x:c r="F14" s="180">
        <x:v>0</x:v>
      </x:c>
      <x:c r="G14" s="181">
        <x:v>0</x:v>
      </x:c>
    </x:row>
    <x:row r="15" spans="2:13" x14ac:dyDescent="0.3">
      <x:c r="C15" s="178">
        <x:v>4</x:v>
      </x:c>
      <x:c r="D15" s="180" t="n">
        <x:v>0</x:v>
      </x:c>
      <x:c r="E15" s="180" t="n">
        <x:v>0</x:v>
      </x:c>
      <x:c r="F15" s="180">
        <x:v>0</x:v>
      </x:c>
      <x:c r="G15" s="181">
        <x:v>0</x:v>
      </x:c>
    </x:row>
    <x:row r="16" spans="2:13" x14ac:dyDescent="0.3">
      <x:c r="C16" s="178">
        <x:v>5</x:v>
      </x:c>
      <x:c r="D16" s="180" t="n">
        <x:v>0</x:v>
      </x:c>
      <x:c r="E16" s="180" t="n">
        <x:v>0</x:v>
      </x:c>
      <x:c r="F16" s="180">
        <x:v>0</x:v>
      </x:c>
      <x:c r="G16" s="181">
        <x:v>0</x:v>
      </x:c>
    </x:row>
    <x:row r="17" spans="1:13" ht="12.9" thickBot="1" x14ac:dyDescent="0.35">
      <x:c r="C17" s="182" t="s">
        <x:v>89</x:v>
      </x:c>
      <x:c r="D17" s="183"/>
      <x:c r="E17" s="184"/>
      <x:c r="F17" s="184"/>
      <x:c r="G17" s="185"/>
    </x:row>
    <x:row r="18" spans="1:13" ht="12.9" thickBot="1" x14ac:dyDescent="0.35">
      <x:c r="D18" s="186" t="n">
        <x:v>0</x:v>
      </x:c>
      <x:c r="E18" s="186" t="n">
        <x:v>0</x:v>
      </x:c>
      <x:c r="F18" s="186">
        <x:v>0</x:v>
      </x:c>
      <x:c r="G18" s="186">
        <x:v>0</x:v>
      </x:c>
    </x:row>
    <x:row r="19" spans="1:13" ht="12.9" thickBot="1" x14ac:dyDescent="0.35"/>
    <x:row r="20" spans="1:13" ht="12.9" thickBot="1" x14ac:dyDescent="0.35">
      <x:c r="C20" s="215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3" s="167" customFormat="1" x14ac:dyDescent="0.3">
      <x:c r="B21" s="217" t="s">
        <x:v>2</x:v>
      </x:c>
      <x:c r="C21" s="174">
        <x:v>1</x:v>
      </x:c>
      <x:c r="D21" s="175" t="n">
        <x:v>0</x:v>
      </x:c>
      <x:c r="E21" s="176" t="n">
        <x:v>0</x:v>
      </x:c>
      <x:c r="F21" s="176">
        <x:v>0</x:v>
      </x:c>
      <x:c r="G21" s="177">
        <x:v>0</x:v>
      </x:c>
      <x:c r="I21" s="175">
        <x:v>0</x:v>
      </x:c>
      <x:c r="J21" s="177">
        <x:v>0</x:v>
      </x:c>
    </x:row>
    <x:row r="22" spans="1:13" s="167" customFormat="1" x14ac:dyDescent="0.3">
      <x:c r="B22" s="213"/>
      <x:c r="C22" s="178">
        <x:v>2</x:v>
      </x:c>
      <x:c r="D22" s="179" t="n">
        <x:v>0</x:v>
      </x:c>
      <x:c r="E22" s="180" t="n">
        <x:v>0</x:v>
      </x:c>
      <x:c r="F22" s="180">
        <x:v>0</x:v>
      </x:c>
      <x:c r="G22" s="181">
        <x:v>0</x:v>
      </x:c>
      <x:c r="I22" s="179">
        <x:v>0</x:v>
      </x:c>
      <x:c r="J22" s="181">
        <x:v>0</x:v>
      </x:c>
    </x:row>
    <x:row r="23" spans="1:13" s="167" customFormat="1" x14ac:dyDescent="0.3">
      <x:c r="B23" s="213"/>
      <x:c r="C23" s="178">
        <x:v>3</x:v>
      </x:c>
      <x:c r="D23" s="179" t="n">
        <x:v>0</x:v>
      </x:c>
      <x:c r="E23" s="180" t="n">
        <x:v>0</x:v>
      </x:c>
      <x:c r="F23" s="180">
        <x:v>0</x:v>
      </x:c>
      <x:c r="G23" s="181">
        <x:v>0</x:v>
      </x:c>
      <x:c r="I23" s="179">
        <x:v>0</x:v>
      </x:c>
      <x:c r="J23" s="181">
        <x:v>0</x:v>
      </x:c>
    </x:row>
    <x:row r="24" spans="1:13" s="167" customFormat="1" x14ac:dyDescent="0.3">
      <x:c r="B24" s="213"/>
      <x:c r="C24" s="178">
        <x:v>4</x:v>
      </x:c>
      <x:c r="D24" s="179" t="n">
        <x:v>0</x:v>
      </x:c>
      <x:c r="E24" s="180" t="n">
        <x:v>0</x:v>
      </x:c>
      <x:c r="F24" s="180">
        <x:v>0</x:v>
      </x:c>
      <x:c r="G24" s="181">
        <x:v>0</x:v>
      </x:c>
      <x:c r="I24" s="179">
        <x:v>0</x:v>
      </x:c>
      <x:c r="J24" s="181">
        <x:v>0</x:v>
      </x:c>
    </x:row>
    <x:row r="25" spans="1:13" s="167" customFormat="1" x14ac:dyDescent="0.3">
      <x:c r="B25" s="213"/>
      <x:c r="C25" s="178">
        <x:v>5</x:v>
      </x:c>
      <x:c r="D25" s="179" t="n">
        <x:v>0</x:v>
      </x:c>
      <x:c r="E25" s="180" t="n">
        <x:v>0</x:v>
      </x:c>
      <x:c r="F25" s="180">
        <x:v>0</x:v>
      </x:c>
      <x:c r="G25" s="181">
        <x:v>0</x:v>
      </x:c>
      <x:c r="I25" s="179">
        <x:v>0</x:v>
      </x:c>
      <x:c r="J25" s="181">
        <x:v>0</x:v>
      </x:c>
    </x:row>
    <x:row r="26" spans="1:13" ht="12.9" thickBot="1" x14ac:dyDescent="0.35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3" ht="12.9" thickBot="1" x14ac:dyDescent="0.35">
      <x:c r="D27" s="186" t="n">
        <x:v>0</x:v>
      </x:c>
      <x:c r="E27" s="186" t="n">
        <x:v>0</x:v>
      </x:c>
      <x:c r="F27" s="186">
        <x:v>0</x:v>
      </x:c>
      <x:c r="G27" s="186">
        <x:v>0</x:v>
      </x:c>
      <x:c r="I27" s="204">
        <x:v>0</x:v>
      </x:c>
      <x:c r="J27" s="205">
        <x:v>0</x:v>
      </x:c>
    </x:row>
    <x:row r="29" spans="1:13" customFormat="1" x14ac:dyDescent="0.3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  <x:c r="L29" s="167"/>
      <x:c r="M29" s="167"/>
    </x:row>
    <x:row r="30" spans="1:13" customFormat="1" x14ac:dyDescent="0.3"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</x:row>
    <x:row r="31" spans="1:13" customFormat="1" x14ac:dyDescent="0.3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  <x:c r="H31" s="167"/>
      <x:c r="I31" s="167"/>
      <x:c r="J31" s="167"/>
      <x:c r="K31" s="167"/>
      <x:c r="L31" s="167"/>
      <x:c r="M31" s="167"/>
    </x:row>
    <x:row r="32" spans="1:13" customFormat="1" x14ac:dyDescent="0.3"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</x:row>
    <x:row r="33" spans="2:13" customFormat="1" x14ac:dyDescent="0.3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  <x:c r="H33" s="167"/>
      <x:c r="I33" s="167"/>
      <x:c r="J33" s="167"/>
      <x:c r="K33" s="167"/>
      <x:c r="L33" s="167"/>
      <x:c r="M33" s="167"/>
    </x:row>
    <x:row r="34" spans="2:13" customFormat="1" x14ac:dyDescent="0.3"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</x:row>
    <x:row r="35" spans="2:13" customFormat="1" x14ac:dyDescent="0.3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 t="shared" si="2"/>
        <x:v>1</x:v>
      </x:c>
      <x:c r="G35" s="167" t="b">
        <x:f t="shared" si="2"/>
        <x:v>1</x:v>
      </x:c>
      <x:c r="H35" s="167"/>
      <x:c r="I35" s="167" t="b">
        <x:f t="shared" si="2"/>
        <x:v>1</x:v>
      </x:c>
      <x:c r="J35" s="167" t="b">
        <x:f t="shared" si="2"/>
        <x:v>1</x:v>
      </x:c>
      <x:c r="K35" s="167"/>
      <x:c r="L35" s="167"/>
      <x:c r="M35" s="167"/>
    </x:row>
    <x:row r="36" spans="2:13" customFormat="1" x14ac:dyDescent="0.3"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</x:row>
    <x:row r="37" spans="2:13" customFormat="1" x14ac:dyDescent="0.3"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</x:row>
  </x:sheetData>
  <x:conditionalFormatting sqref="D31:G31">
    <x:cfRule type="cellIs" dxfId="91" priority="5" operator="notEqual">
      <x:formula>TRUE</x:formula>
    </x:cfRule>
  </x:conditionalFormatting>
  <x:conditionalFormatting sqref="D33:G33">
    <x:cfRule type="cellIs" dxfId="90" priority="4" operator="notEqual">
      <x:formula>TRUE</x:formula>
    </x:cfRule>
  </x:conditionalFormatting>
  <x:conditionalFormatting sqref="D35:G35">
    <x:cfRule type="cellIs" dxfId="89" priority="3" operator="notEqual">
      <x:formula>TRUE</x:formula>
    </x:cfRule>
  </x:conditionalFormatting>
  <x:conditionalFormatting sqref="I35:J35">
    <x:cfRule type="cellIs" dxfId="88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dimension ref="A1:M69"/>
  <x:sheetViews>
    <x:sheetView zoomScaleNormal="100" workbookViewId="0">
      <x:selection activeCell="G9" sqref="G9"/>
    </x:sheetView>
  </x:sheetViews>
  <x:sheetFormatPr baseColWidth="10" defaultColWidth="11.3828125" defaultRowHeight="12.45" x14ac:dyDescent="0.3"/>
  <x:cols>
    <x:col min="1" max="1" width="2.15234375" style="166" customWidth="1"/>
    <x:col min="2" max="2" width="12.84375" style="166" bestFit="1" customWidth="1"/>
    <x:col min="3" max="3" width="7.15234375" style="166" customWidth="1"/>
    <x:col min="4" max="4" width="15.15234375" style="167" customWidth="1"/>
    <x:col min="5" max="5" width="20.3828125" style="167" customWidth="1"/>
    <x:col min="6" max="6" width="15.15234375" style="167" customWidth="1"/>
    <x:col min="7" max="7" width="20.15234375" style="167" customWidth="1"/>
    <x:col min="8" max="8" width="3.84375" style="167" customWidth="1"/>
    <x:col min="9" max="10" width="26.53515625" style="167" bestFit="1" customWidth="1"/>
    <x:col min="11" max="13" width="19.84375" style="167" customWidth="1"/>
    <x:col min="14" max="16384" width="11.3828125" style="166"/>
  </x:cols>
  <x:sheetData>
    <x:row r="1" spans="2:13" ht="12.9" thickBot="1" x14ac:dyDescent="0.35"/>
    <x:row r="2" spans="2:13" s="168" customFormat="1" ht="12.9" thickBot="1" x14ac:dyDescent="0.35">
      <x:c r="B2" s="168" t="s">
        <x:v>132</x:v>
      </x:c>
      <x:c r="C2" s="169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x14ac:dyDescent="0.3">
      <x:c r="C3" s="174">
        <x:v>1</x:v>
      </x:c>
      <x:c r="D3" s="277" t="n">
        <x:v>322739090</x:v>
      </x:c>
      <x:c r="E3" s="176" t="n">
        <x:v>1616</x:v>
      </x:c>
      <x:c r="F3" s="176">
        <x:v>0</x:v>
      </x:c>
      <x:c r="G3" s="177">
        <x:v>0</x:v>
      </x:c>
      <x:c r="J3" s="728"/>
    </x:row>
    <x:row r="4" spans="2:13" x14ac:dyDescent="0.3">
      <x:c r="C4" s="178">
        <x:v>2</x:v>
      </x:c>
      <x:c r="D4" s="278" t="n">
        <x:v>839789795</x:v>
      </x:c>
      <x:c r="E4" s="180" t="n">
        <x:v>3964</x:v>
      </x:c>
      <x:c r="F4" s="180">
        <x:v>0</x:v>
      </x:c>
      <x:c r="G4" s="181">
        <x:v>0</x:v>
      </x:c>
      <x:c r="J4" s="728"/>
    </x:row>
    <x:row r="5" spans="2:13" x14ac:dyDescent="0.3">
      <x:c r="C5" s="178">
        <x:v>3</x:v>
      </x:c>
      <x:c r="D5" s="278" t="n">
        <x:v>417500887</x:v>
      </x:c>
      <x:c r="E5" s="180" t="n">
        <x:v>1376</x:v>
      </x:c>
      <x:c r="F5" s="180">
        <x:v>0</x:v>
      </x:c>
      <x:c r="G5" s="181">
        <x:v>0</x:v>
      </x:c>
      <x:c r="J5" s="728"/>
    </x:row>
    <x:row r="6" spans="2:13" x14ac:dyDescent="0.3">
      <x:c r="C6" s="178">
        <x:v>4</x:v>
      </x:c>
      <x:c r="D6" s="278" t="n">
        <x:v>481464262</x:v>
      </x:c>
      <x:c r="E6" s="180" t="n">
        <x:v>2591</x:v>
      </x:c>
      <x:c r="F6" s="180">
        <x:v>0</x:v>
      </x:c>
      <x:c r="G6" s="181">
        <x:v>0</x:v>
      </x:c>
    </x:row>
    <x:row r="7" spans="2:13" x14ac:dyDescent="0.3">
      <x:c r="C7" s="178">
        <x:v>5</x:v>
      </x:c>
      <x:c r="D7" s="278" t="n">
        <x:v>168793421</x:v>
      </x:c>
      <x:c r="E7" s="180" t="n">
        <x:v>1160</x:v>
      </x:c>
      <x:c r="F7" s="180">
        <x:v>0</x:v>
      </x:c>
      <x:c r="G7" s="181">
        <x:v>0</x:v>
      </x:c>
    </x:row>
    <x:row r="8" spans="2:13" ht="12.9" thickBot="1" x14ac:dyDescent="0.35">
      <x:c r="C8" s="182" t="s">
        <x:v>89</x:v>
      </x:c>
      <x:c r="D8" s="279" t="n">
        <x:v>0</x:v>
      </x:c>
      <x:c r="E8" s="184" t="n">
        <x:v>0</x:v>
      </x:c>
      <x:c r="F8" s="184">
        <x:v>0</x:v>
      </x:c>
      <x:c r="G8" s="185">
        <x:v>0</x:v>
      </x:c>
    </x:row>
    <x:row r="9" spans="2:13" ht="12.9" thickBot="1" x14ac:dyDescent="0.35">
      <x:c r="D9" s="186" t="n">
        <x:v>2230287455</x:v>
      </x:c>
      <x:c r="E9" s="186" t="n">
        <x:v>10707</x:v>
      </x:c>
      <x:c r="F9" s="186">
        <x:v>0</x:v>
      </x:c>
      <x:c r="G9" s="186">
        <x:v>0</x:v>
      </x:c>
    </x:row>
    <x:row r="10" spans="2:13" ht="12.9" thickBot="1" x14ac:dyDescent="0.35">
      <x:c r="D10" s="280"/>
    </x:row>
    <x:row r="11" spans="2:13" s="168" customFormat="1" ht="12.9" thickBot="1" x14ac:dyDescent="0.35">
      <x:c r="C11" s="169" t="s">
        <x:v>3</x:v>
      </x:c>
      <x:c r="D11" s="169" t="s">
        <x:v>136</x:v>
      </x:c>
      <x:c r="E11" s="187" t="s">
        <x:v>137</x:v>
      </x:c>
      <x:c r="F11" s="187" t="s">
        <x:v>138</x:v>
      </x:c>
      <x:c r="G11" s="188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3">
      <x:c r="B12" s="189" t="s">
        <x:v>140</x:v>
      </x:c>
      <x:c r="C12" s="190">
        <x:v>1</x:v>
      </x:c>
      <x:c r="D12" s="281" t="n">
        <x:v>48127653</x:v>
      </x:c>
      <x:c r="E12" s="191" t="n">
        <x:v>73</x:v>
      </x:c>
      <x:c r="F12" s="191">
        <x:v>0</x:v>
      </x:c>
      <x:c r="G12" s="192">
        <x:v>0</x:v>
      </x:c>
    </x:row>
    <x:row r="13" spans="2:13" x14ac:dyDescent="0.3">
      <x:c r="C13" s="193">
        <x:v>2</x:v>
      </x:c>
      <x:c r="D13" s="278" t="n">
        <x:v>132160935</x:v>
      </x:c>
      <x:c r="E13" s="180" t="n">
        <x:v>54</x:v>
      </x:c>
      <x:c r="F13" s="180">
        <x:v>0</x:v>
      </x:c>
      <x:c r="G13" s="181">
        <x:v>0</x:v>
      </x:c>
    </x:row>
    <x:row r="14" spans="2:13" x14ac:dyDescent="0.3">
      <x:c r="C14" s="193">
        <x:v>3</x:v>
      </x:c>
      <x:c r="D14" s="278" t="n">
        <x:v>19609348</x:v>
      </x:c>
      <x:c r="E14" s="180" t="n">
        <x:v>11</x:v>
      </x:c>
      <x:c r="F14" s="180">
        <x:v>0</x:v>
      </x:c>
      <x:c r="G14" s="181">
        <x:v>0</x:v>
      </x:c>
    </x:row>
    <x:row r="15" spans="2:13" x14ac:dyDescent="0.3">
      <x:c r="C15" s="193">
        <x:v>4</x:v>
      </x:c>
      <x:c r="D15" s="278" t="n">
        <x:v>118198907</x:v>
      </x:c>
      <x:c r="E15" s="180" t="n">
        <x:v>9</x:v>
      </x:c>
      <x:c r="F15" s="180">
        <x:v>0</x:v>
      </x:c>
      <x:c r="G15" s="181">
        <x:v>0</x:v>
      </x:c>
    </x:row>
    <x:row r="16" spans="2:13" x14ac:dyDescent="0.3">
      <x:c r="C16" s="193">
        <x:v>5</x:v>
      </x:c>
      <x:c r="D16" s="278" t="n">
        <x:v>7112332</x:v>
      </x:c>
      <x:c r="E16" s="180" t="n">
        <x:v>27</x:v>
      </x:c>
      <x:c r="F16" s="180">
        <x:v>0</x:v>
      </x:c>
      <x:c r="G16" s="181">
        <x:v>0</x:v>
      </x:c>
    </x:row>
    <x:row r="17" spans="1:13" ht="12.9" thickBot="1" x14ac:dyDescent="0.35">
      <x:c r="C17" s="194" t="s">
        <x:v>89</x:v>
      </x:c>
      <x:c r="D17" s="195" t="n">
        <x:v>0</x:v>
      </x:c>
      <x:c r="E17" s="196" t="n">
        <x:v>0</x:v>
      </x:c>
      <x:c r="F17" s="196">
        <x:v>0</x:v>
      </x:c>
      <x:c r="G17" s="197">
        <x:v>0</x:v>
      </x:c>
    </x:row>
    <x:row r="18" spans="1:13" ht="12.9" thickBot="1" x14ac:dyDescent="0.35">
      <x:c r="D18" s="198" t="n">
        <x:v>325209175</x:v>
      </x:c>
      <x:c r="E18" s="198" t="n">
        <x:v>174</x:v>
      </x:c>
      <x:c r="F18" s="198">
        <x:v>0</x:v>
      </x:c>
      <x:c r="G18" s="198">
        <x:v>0</x:v>
      </x:c>
    </x:row>
    <x:row r="19" spans="1:13" ht="12.9" thickBot="1" x14ac:dyDescent="0.35"/>
    <x:row r="20" spans="1:13" ht="12.9" thickBot="1" x14ac:dyDescent="0.35">
      <x:c r="C20" s="169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3" s="167" customFormat="1" x14ac:dyDescent="0.3">
      <x:c r="B21" s="201" t="s">
        <x:v>2</x:v>
      </x:c>
      <x:c r="C21" s="174">
        <x:v>1</x:v>
      </x:c>
      <x:c r="D21" s="277" t="n">
        <x:v>370866743</x:v>
      </x:c>
      <x:c r="E21" s="282" t="n">
        <x:v>1689</x:v>
      </x:c>
      <x:c r="F21" s="176">
        <x:v>0</x:v>
      </x:c>
      <x:c r="G21" s="177">
        <x:v>0</x:v>
      </x:c>
      <x:c r="I21" s="175">
        <x:v>0</x:v>
      </x:c>
      <x:c r="J21" s="177">
        <x:v>0</x:v>
      </x:c>
    </x:row>
    <x:row r="22" spans="1:13" s="167" customFormat="1" x14ac:dyDescent="0.3">
      <x:c r="B22" s="166"/>
      <x:c r="C22" s="178">
        <x:v>2</x:v>
      </x:c>
      <x:c r="D22" s="278" t="n">
        <x:v>971950730</x:v>
      </x:c>
      <x:c r="E22" s="283" t="n">
        <x:v>4018</x:v>
      </x:c>
      <x:c r="F22" s="180">
        <x:v>0</x:v>
      </x:c>
      <x:c r="G22" s="181">
        <x:v>0</x:v>
      </x:c>
      <x:c r="I22" s="179">
        <x:v>0</x:v>
      </x:c>
      <x:c r="J22" s="181">
        <x:v>0</x:v>
      </x:c>
    </x:row>
    <x:row r="23" spans="1:13" s="167" customFormat="1" x14ac:dyDescent="0.3">
      <x:c r="B23" s="166"/>
      <x:c r="C23" s="178">
        <x:v>3</x:v>
      </x:c>
      <x:c r="D23" s="278" t="n">
        <x:v>437110235</x:v>
      </x:c>
      <x:c r="E23" s="283" t="n">
        <x:v>1387</x:v>
      </x:c>
      <x:c r="F23" s="180">
        <x:v>0</x:v>
      </x:c>
      <x:c r="G23" s="181">
        <x:v>0</x:v>
      </x:c>
      <x:c r="I23" s="179">
        <x:v>0</x:v>
      </x:c>
      <x:c r="J23" s="181">
        <x:v>0</x:v>
      </x:c>
    </x:row>
    <x:row r="24" spans="1:13" s="167" customFormat="1" x14ac:dyDescent="0.3">
      <x:c r="B24" s="166"/>
      <x:c r="C24" s="178">
        <x:v>4</x:v>
      </x:c>
      <x:c r="D24" s="278" t="n">
        <x:v>599663169</x:v>
      </x:c>
      <x:c r="E24" s="283" t="n">
        <x:v>2600</x:v>
      </x:c>
      <x:c r="F24" s="180">
        <x:v>0</x:v>
      </x:c>
      <x:c r="G24" s="181">
        <x:v>0</x:v>
      </x:c>
      <x:c r="I24" s="179">
        <x:v>0</x:v>
      </x:c>
      <x:c r="J24" s="181">
        <x:v>0</x:v>
      </x:c>
    </x:row>
    <x:row r="25" spans="1:13" s="167" customFormat="1" x14ac:dyDescent="0.3">
      <x:c r="B25" s="166"/>
      <x:c r="C25" s="178">
        <x:v>5</x:v>
      </x:c>
      <x:c r="D25" s="278" t="n">
        <x:v>175905753</x:v>
      </x:c>
      <x:c r="E25" s="283" t="n">
        <x:v>1187</x:v>
      </x:c>
      <x:c r="F25" s="180">
        <x:v>0</x:v>
      </x:c>
      <x:c r="G25" s="181">
        <x:v>0</x:v>
      </x:c>
      <x:c r="I25" s="179">
        <x:v>0</x:v>
      </x:c>
      <x:c r="J25" s="181">
        <x:v>0</x:v>
      </x:c>
    </x:row>
    <x:row r="26" spans="1:13" ht="12.9" thickBot="1" x14ac:dyDescent="0.35">
      <x:c r="C26" s="284" t="s">
        <x:v>89</x:v>
      </x:c>
      <x:c r="D26" s="285" t="n">
        <x:v>0</x:v>
      </x:c>
      <x:c r="E26" s="283" t="n">
        <x:v>0</x:v>
      </x:c>
      <x:c r="F26" s="180">
        <x:v>0</x:v>
      </x:c>
      <x:c r="G26" s="181">
        <x:v>0</x:v>
      </x:c>
      <x:c r="I26" s="202">
        <x:v>0</x:v>
      </x:c>
      <x:c r="J26" s="203">
        <x:v>0</x:v>
      </x:c>
    </x:row>
    <x:row r="27" spans="1:13" ht="12.9" thickBot="1" x14ac:dyDescent="0.35">
      <x:c r="D27" s="186" t="n">
        <x:v>2555496630</x:v>
      </x:c>
      <x:c r="E27" s="186" t="n">
        <x:v>10881</x:v>
      </x:c>
      <x:c r="F27" s="186">
        <x:v>0</x:v>
      </x:c>
      <x:c r="G27" s="186">
        <x:v>0</x:v>
      </x:c>
      <x:c r="I27" s="204">
        <x:v>0</x:v>
      </x:c>
      <x:c r="J27" s="205">
        <x:v>0</x:v>
      </x:c>
    </x:row>
    <x:row r="29" spans="1:13" customFormat="1" x14ac:dyDescent="0.3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  <x:c r="L29" s="167"/>
      <x:c r="M29" s="167"/>
    </x:row>
    <x:row r="30" spans="1:13" customFormat="1" x14ac:dyDescent="0.3"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</x:row>
    <x:row r="31" spans="1:13" customFormat="1" x14ac:dyDescent="0.3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  <x:c r="H31" s="167"/>
      <x:c r="I31" s="167"/>
      <x:c r="J31" s="167"/>
      <x:c r="K31" s="167"/>
      <x:c r="L31" s="167"/>
      <x:c r="M31" s="167"/>
    </x:row>
    <x:row r="32" spans="1:13" customFormat="1" x14ac:dyDescent="0.3"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</x:row>
    <x:row r="33" spans="2:13" customFormat="1" x14ac:dyDescent="0.3">
      <x:c r="B33" s="97" t="s">
        <x:v>140</x:v>
      </x:c>
      <x:c r="D33" s="167" t="b">
        <x:f>D18=SUM(D12:D17)</x:f>
        <x:v>1</x:v>
      </x:c>
      <x:c r="E33" s="167" t="b">
        <x:f t="shared" ref="E33:F33" si="1">E18=SUM(E12:E17)</x:f>
        <x:v>1</x:v>
      </x:c>
      <x:c r="F33" s="167" t="b">
        <x:f t="shared" si="1"/>
        <x:v>1</x:v>
      </x:c>
      <x:c r="G33" s="167" t="b">
        <x:f>G18=SUM(G12:G17)</x:f>
        <x:v>1</x:v>
      </x:c>
      <x:c r="H33" s="167"/>
      <x:c r="I33" s="167"/>
      <x:c r="J33" s="167"/>
      <x:c r="K33" s="167"/>
      <x:c r="L33" s="167"/>
      <x:c r="M33" s="167"/>
    </x:row>
    <x:row r="34" spans="2:13" customFormat="1" x14ac:dyDescent="0.3"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</x:row>
    <x:row r="35" spans="2:13" customFormat="1" x14ac:dyDescent="0.3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H35" s="167"/>
      <x:c r="I35" s="167" t="b">
        <x:f t="shared" si="2"/>
        <x:v>1</x:v>
      </x:c>
      <x:c r="J35" s="167" t="b">
        <x:f t="shared" si="2"/>
        <x:v>1</x:v>
      </x:c>
      <x:c r="K35" s="167"/>
      <x:c r="L35" s="167"/>
      <x:c r="M35" s="167"/>
    </x:row>
    <x:row r="36" spans="2:13" customFormat="1" x14ac:dyDescent="0.3"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</x:row>
    <x:row r="37" spans="2:13" customFormat="1" x14ac:dyDescent="0.3"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</x:row>
    <x:row r="69" spans="5:5" x14ac:dyDescent="0.3">
      <x:c r="E69" s="167">
        <x:f>C69-G17</x:f>
        <x:v>0</x:v>
      </x:c>
    </x:row>
  </x:sheetData>
  <x:conditionalFormatting sqref="D31:G31">
    <x:cfRule type="cellIs" dxfId="87" priority="5" operator="notEqual">
      <x:formula>TRUE</x:formula>
    </x:cfRule>
  </x:conditionalFormatting>
  <x:conditionalFormatting sqref="D33:G33">
    <x:cfRule type="cellIs" dxfId="86" priority="4" operator="notEqual">
      <x:formula>TRUE</x:formula>
    </x:cfRule>
  </x:conditionalFormatting>
  <x:conditionalFormatting sqref="D35:G35">
    <x:cfRule type="cellIs" dxfId="85" priority="3" operator="notEqual">
      <x:formula>TRUE</x:formula>
    </x:cfRule>
  </x:conditionalFormatting>
  <x:conditionalFormatting sqref="I35:J35">
    <x:cfRule type="cellIs" dxfId="84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drawing r:id="rId2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dimension ref="A1:K79"/>
  <x:sheetViews>
    <x:sheetView zoomScale="90" zoomScaleNormal="90" workbookViewId="0">
      <x:selection activeCell="L8" sqref="L8"/>
    </x:sheetView>
  </x:sheetViews>
  <x:sheetFormatPr baseColWidth="10" defaultRowHeight="12.45" x14ac:dyDescent="0.3"/>
  <x:cols>
    <x:col min="1" max="1" width="6" customWidth="1"/>
    <x:col min="2" max="2" width="47.84375" bestFit="1" customWidth="1"/>
    <x:col min="3" max="9" width="22.69140625" customWidth="1"/>
    <x:col min="10" max="10" width="17.84375" customWidth="1"/>
  </x:cols>
  <x:sheetData>
    <x:row r="1" spans="1:10" x14ac:dyDescent="0.3">
      <x:c r="C1" s="248" t="s">
        <x:v>155</x:v>
      </x:c>
      <x:c r="D1" s="248" t="s">
        <x:v>76</x:v>
      </x:c>
      <x:c r="E1" s="248" t="s">
        <x:v>85</x:v>
      </x:c>
      <x:c r="F1" s="248" t="s">
        <x:v>120</x:v>
      </x:c>
      <x:c r="G1" s="248" t="s">
        <x:v>326</x:v>
      </x:c>
      <x:c r="H1" s="248" t="s">
        <x:v>119</x:v>
      </x:c>
      <x:c r="I1" s="248" t="s">
        <x:v>70</x:v>
      </x:c>
    </x:row>
    <x:row r="2" spans="1:10" x14ac:dyDescent="0.3">
      <x:c r="B2" t="s">
        <x:v>97</x:v>
      </x:c>
      <x:c r="C2" s="249">
        <x:f>C13+C23+C32+C41+C51</x:f>
        <x:v>0</x:v>
      </x:c>
      <x:c r="D2" s="249">
        <x:f t="shared" ref="D2:H2" si="0">D13+D23+D32+D41+D51</x:f>
        <x:v>0</x:v>
      </x:c>
      <x:c r="E2" s="249">
        <x:f t="shared" si="0"/>
        <x:v>0</x:v>
      </x:c>
      <x:c r="F2" s="249">
        <x:f t="shared" si="0"/>
        <x:v>0</x:v>
      </x:c>
      <x:c r="G2" s="249">
        <x:f t="shared" si="0"/>
        <x:v>0</x:v>
      </x:c>
      <x:c r="H2" s="249">
        <x:f t="shared" si="0"/>
        <x:v>0</x:v>
      </x:c>
      <x:c r="I2" s="250">
        <x:f>SUM(C2:H2)</x:f>
        <x:v>0</x:v>
      </x:c>
    </x:row>
    <x:row r="3" spans="1:10" x14ac:dyDescent="0.3">
      <x:c r="B3" t="s">
        <x:v>98</x:v>
      </x:c>
      <x:c r="C3" s="249">
        <x:f>C14+C24+C33+C42+C52</x:f>
        <x:v>0</x:v>
      </x:c>
      <x:c r="D3" s="249">
        <x:f t="shared" ref="D3:H5" si="1">D14+D24+D33+D42+D52</x:f>
        <x:v>0</x:v>
      </x:c>
      <x:c r="E3" s="249">
        <x:f t="shared" si="1"/>
        <x:v>0</x:v>
      </x:c>
      <x:c r="F3" s="249">
        <x:f t="shared" si="1"/>
        <x:v>0</x:v>
      </x:c>
      <x:c r="G3" s="249">
        <x:f t="shared" ref="G3" si="2">G14+G24+G33+G42+G52</x:f>
        <x:v>0</x:v>
      </x:c>
      <x:c r="H3" s="249">
        <x:f t="shared" si="1"/>
        <x:v>0</x:v>
      </x:c>
      <x:c r="I3" s="250">
        <x:f>SUM(C3:H3)</x:f>
        <x:v>0</x:v>
      </x:c>
      <x:c r="J3" s="252" t="s">
        <x:v>1</x:v>
      </x:c>
    </x:row>
    <x:row r="4" spans="1:10" x14ac:dyDescent="0.3">
      <x:c r="B4" t="s">
        <x:v>131</x:v>
      </x:c>
      <x:c r="C4" s="249">
        <x:f>C15+C25+C34+C43+C53</x:f>
        <x:v>0</x:v>
      </x:c>
      <x:c r="D4" s="249">
        <x:f t="shared" si="1"/>
        <x:v>0</x:v>
      </x:c>
      <x:c r="E4" s="249">
        <x:f t="shared" si="1"/>
        <x:v>0</x:v>
      </x:c>
      <x:c r="F4" s="249">
        <x:f t="shared" si="1"/>
        <x:v>0</x:v>
      </x:c>
      <x:c r="G4" s="249">
        <x:f t="shared" ref="G4" si="3">G15+G25+G34+G43+G53</x:f>
        <x:v>0</x:v>
      </x:c>
      <x:c r="H4" s="249">
        <x:f t="shared" si="1"/>
        <x:v>0</x:v>
      </x:c>
      <x:c r="I4" s="250">
        <x:f>SUM(C4:H4)</x:f>
        <x:v>0</x:v>
      </x:c>
    </x:row>
    <x:row r="5" spans="1:10" x14ac:dyDescent="0.3">
      <x:c r="B5" t="s">
        <x:v>169</x:v>
      </x:c>
      <x:c r="C5" s="249">
        <x:f>C16+C26+C35+C44+C54</x:f>
        <x:v>0</x:v>
      </x:c>
      <x:c r="D5" s="249">
        <x:f t="shared" si="1"/>
        <x:v>0</x:v>
      </x:c>
      <x:c r="E5" s="249">
        <x:f t="shared" si="1"/>
        <x:v>0</x:v>
      </x:c>
      <x:c r="F5" s="249">
        <x:f t="shared" si="1"/>
        <x:v>0</x:v>
      </x:c>
      <x:c r="G5" s="249">
        <x:f t="shared" ref="G5" si="4">G16+G26+G35+G44+G54</x:f>
        <x:v>0</x:v>
      </x:c>
      <x:c r="H5" s="249">
        <x:f t="shared" si="1"/>
        <x:v>0</x:v>
      </x:c>
      <x:c r="I5" s="250">
        <x:f>SUM(C5:H5)</x:f>
        <x:v>0</x:v>
      </x:c>
    </x:row>
    <x:row r="6" spans="1:10" x14ac:dyDescent="0.3">
      <x:c r="B6" t="s">
        <x:v>70</x:v>
      </x:c>
      <x:c r="C6" s="250">
        <x:f>SUM(C2:C5)</x:f>
        <x:v>0</x:v>
      </x:c>
      <x:c r="D6" s="250">
        <x:f t="shared" ref="D6:H6" si="5">SUM(D2:D5)</x:f>
        <x:v>0</x:v>
      </x:c>
      <x:c r="E6" s="250">
        <x:f t="shared" si="5"/>
        <x:v>0</x:v>
      </x:c>
      <x:c r="F6" s="250">
        <x:f t="shared" si="5"/>
        <x:v>0</x:v>
      </x:c>
      <x:c r="G6" s="250">
        <x:f t="shared" si="5"/>
        <x:v>0</x:v>
      </x:c>
      <x:c r="H6" s="250">
        <x:f t="shared" si="5"/>
        <x:v>0</x:v>
      </x:c>
      <x:c r="I6" s="250">
        <x:f>SUM(I2:I5)</x:f>
        <x:v>0</x:v>
      </x:c>
    </x:row>
    <x:row r="7" spans="1:10" x14ac:dyDescent="0.3">
      <x:c r="C7" s="251" t="b">
        <x:f>C6=(C17+C27+C36+C45+C55)</x:f>
        <x:v>1</x:v>
      </x:c>
      <x:c r="D7" s="251" t="b">
        <x:f t="shared" ref="D7:H7" si="6">D6=(D17+D27+D36+D45+D55)</x:f>
        <x:v>1</x:v>
      </x:c>
      <x:c r="E7" s="251" t="b">
        <x:f t="shared" si="6"/>
        <x:v>1</x:v>
      </x:c>
      <x:c r="F7" s="251" t="b">
        <x:f t="shared" si="6"/>
        <x:v>1</x:v>
      </x:c>
      <x:c r="G7" s="251"/>
      <x:c r="H7" s="251" t="b">
        <x:f t="shared" si="6"/>
        <x:v>1</x:v>
      </x:c>
      <x:c r="I7" s="251" t="b">
        <x:f>I6=(I17+I27+I36+I45+I55)</x:f>
        <x:v>1</x:v>
      </x:c>
    </x:row>
    <x:row r="8" spans="1:10" x14ac:dyDescent="0.3">
      <x:c r="A8" s="238"/>
      <x:c r="B8" s="238"/>
      <x:c r="C8" s="238"/>
      <x:c r="D8" s="238"/>
      <x:c r="E8" s="238"/>
      <x:c r="F8" s="238"/>
      <x:c r="G8" s="238"/>
      <x:c r="H8" s="238"/>
      <x:c r="I8" s="238"/>
      <x:c r="J8" s="238"/>
    </x:row>
    <x:row r="10" spans="1:10" x14ac:dyDescent="0.3">
      <x:c r="B10" s="97" t="s">
        <x:v>99</x:v>
      </x:c>
      <x:c r="H10" s="212"/>
    </x:row>
    <x:row r="11" spans="1:10" x14ac:dyDescent="0.3">
      <x:c r="B11" s="114" t="s">
        <x:v>96</x:v>
      </x:c>
    </x:row>
    <x:row r="12" spans="1:10" x14ac:dyDescent="0.3">
      <x:c r="C12" s="89" t="s">
        <x:v>155</x:v>
      </x:c>
      <x:c r="D12" s="89" t="s">
        <x:v>76</x:v>
      </x:c>
      <x:c r="E12" s="89" t="s">
        <x:v>85</x:v>
      </x:c>
      <x:c r="F12" s="89" t="s">
        <x:v>120</x:v>
      </x:c>
      <x:c r="G12" s="89" t="s">
        <x:v>326</x:v>
      </x:c>
      <x:c r="H12" s="89" t="s">
        <x:v>119</x:v>
      </x:c>
      <x:c r="I12" s="89" t="s">
        <x:v>70</x:v>
      </x:c>
    </x:row>
    <x:row r="13" spans="1:10" x14ac:dyDescent="0.3">
      <x:c r="B13" t="s">
        <x:v>97</x:v>
      </x:c>
      <x:c r="C13" s="244" t="n">
        <x:v>14481337615</x:v>
      </x:c>
      <x:c r="D13" s="244">
        <x:v>0</x:v>
      </x:c>
      <x:c r="E13" s="244">
        <x:v>0</x:v>
      </x:c>
      <x:c r="F13" s="244">
        <x:v>0</x:v>
      </x:c>
      <x:c r="G13" s="244">
        <x:v>0</x:v>
      </x:c>
      <x:c r="H13" s="244" t="n">
        <x:v>351466052.78</x:v>
      </x:c>
      <x:c r="I13" s="246">
        <x:f>SUM(C13:H13)</x:f>
        <x:v>0</x:v>
      </x:c>
      <x:c r="J13" s="251" t="b">
        <x:f>SUM(C13:H13)=I13</x:f>
        <x:v>1</x:v>
      </x:c>
    </x:row>
    <x:row r="14" spans="1:10" x14ac:dyDescent="0.3">
      <x:c r="B14" s="89" t="s">
        <x:v>98</x:v>
      </x:c>
      <x:c r="C14" s="244" t="n">
        <x:v>29606547</x:v>
      </x:c>
      <x:c r="D14" s="244">
        <x:v>0</x:v>
      </x:c>
      <x:c r="E14" s="244">
        <x:v>0</x:v>
      </x:c>
      <x:c r="F14" s="244">
        <x:v>0</x:v>
      </x:c>
      <x:c r="G14" s="244">
        <x:v>0</x:v>
      </x:c>
      <x:c r="H14" s="244" t="n">
        <x:v>17250690.22</x:v>
      </x:c>
      <x:c r="I14" s="246">
        <x:f t="shared" ref="I14:I16" si="7">SUM(C14:H14)</x:f>
        <x:v>0</x:v>
      </x:c>
      <x:c r="J14" s="251" t="b">
        <x:f t="shared" ref="J14:J17" si="8">SUM(C14:H14)=I14</x:f>
        <x:v>1</x:v>
      </x:c>
    </x:row>
    <x:row r="15" spans="1:10" x14ac:dyDescent="0.3">
      <x:c r="B15" t="s">
        <x:v>131</x:v>
      </x:c>
      <x:c r="C15" s="244" t="n">
        <x:v>0</x:v>
      </x:c>
      <x:c r="D15" s="244">
        <x:v>0</x:v>
      </x:c>
      <x:c r="E15" s="244">
        <x:v>0</x:v>
      </x:c>
      <x:c r="F15" s="244">
        <x:v>0</x:v>
      </x:c>
      <x:c r="G15" s="244">
        <x:v>0</x:v>
      </x:c>
      <x:c r="H15" s="771" t="n">
        <x:v>2150000</x:v>
      </x:c>
      <x:c r="I15" s="246">
        <x:f t="shared" si="7"/>
        <x:v>0</x:v>
      </x:c>
      <x:c r="J15" s="251" t="b">
        <x:f t="shared" si="8"/>
        <x:v>1</x:v>
      </x:c>
    </x:row>
    <x:row r="16" spans="1:10" x14ac:dyDescent="0.3">
      <x:c r="B16" t="s">
        <x:v>169</x:v>
      </x:c>
      <x:c r="C16" s="244" t="n">
        <x:v>0</x:v>
      </x:c>
      <x:c r="D16" s="244">
        <x:v>0</x:v>
      </x:c>
      <x:c r="E16" s="244">
        <x:v>0</x:v>
      </x:c>
      <x:c r="F16" s="244">
        <x:v>0</x:v>
      </x:c>
      <x:c r="G16" s="244">
        <x:v>0</x:v>
      </x:c>
      <x:c r="H16" s="244" t="n">
        <x:v>0</x:v>
      </x:c>
      <x:c r="I16" s="246">
        <x:f t="shared" si="7"/>
        <x:v>0</x:v>
      </x:c>
      <x:c r="J16" s="251" t="b">
        <x:f t="shared" si="8"/>
        <x:v>1</x:v>
      </x:c>
    </x:row>
    <x:row r="17" spans="2:11" x14ac:dyDescent="0.3">
      <x:c r="B17" s="89" t="s">
        <x:v>70</x:v>
      </x:c>
      <x:c r="C17" s="244">
        <x:f>SUM(C13:C16)</x:f>
        <x:v>0</x:v>
      </x:c>
      <x:c r="D17" s="244">
        <x:f t="shared" ref="D17:I17" si="9">SUM(D13:D16)</x:f>
        <x:v>0</x:v>
      </x:c>
      <x:c r="E17" s="244">
        <x:f t="shared" si="9"/>
        <x:v>0</x:v>
      </x:c>
      <x:c r="F17" s="244">
        <x:f t="shared" si="9"/>
        <x:v>0</x:v>
      </x:c>
      <x:c r="G17" s="244">
        <x:f t="shared" si="9"/>
        <x:v>0</x:v>
      </x:c>
      <x:c r="H17" s="244">
        <x:f>SUM(H13:H16)</x:f>
        <x:v>0</x:v>
      </x:c>
      <x:c r="I17" s="247">
        <x:f t="shared" si="9"/>
        <x:v>0</x:v>
      </x:c>
      <x:c r="J17" s="251" t="b">
        <x:f t="shared" si="8"/>
        <x:v>1</x:v>
      </x:c>
      <x:c r="K17" s="122"/>
    </x:row>
    <x:row r="18" spans="2:11" x14ac:dyDescent="0.3">
      <x:c r="B18" s="89"/>
      <x:c r="C18" s="113"/>
      <x:c r="D18" s="113"/>
      <x:c r="E18" s="113"/>
      <x:c r="F18" s="113"/>
      <x:c r="G18" s="113"/>
      <x:c r="H18" s="113"/>
      <x:c r="I18" s="113"/>
    </x:row>
    <x:row r="19" spans="2:11" x14ac:dyDescent="0.3">
      <x:c r="C19" s="143"/>
      <x:c r="D19" s="212"/>
      <x:c r="I19" s="212"/>
    </x:row>
    <x:row r="20" spans="2:11" x14ac:dyDescent="0.3">
      <x:c r="B20" t="s">
        <x:v>100</x:v>
      </x:c>
    </x:row>
    <x:row r="21" spans="2:11" x14ac:dyDescent="0.3">
      <x:c r="B21" s="114" t="s">
        <x:v>96</x:v>
      </x:c>
    </x:row>
    <x:row r="22" spans="2:11" x14ac:dyDescent="0.3">
      <x:c r="C22" s="89" t="s">
        <x:v>155</x:v>
      </x:c>
      <x:c r="D22" s="89" t="s">
        <x:v>76</x:v>
      </x:c>
      <x:c r="E22" s="89" t="s">
        <x:v>85</x:v>
      </x:c>
      <x:c r="F22" s="89" t="s">
        <x:v>120</x:v>
      </x:c>
      <x:c r="G22" s="89" t="s">
        <x:v>326</x:v>
      </x:c>
      <x:c r="H22" s="89" t="s">
        <x:v>119</x:v>
      </x:c>
      <x:c r="I22" t="s">
        <x:v>70</x:v>
      </x:c>
    </x:row>
    <x:row r="23" spans="2:11" x14ac:dyDescent="0.3">
      <x:c r="B23" t="s">
        <x:v>97</x:v>
      </x:c>
      <x:c r="C23" s="244" t="n">
        <x:v>10286935425.87</x:v>
      </x:c>
      <x:c r="D23" s="244">
        <x:v>0</x:v>
      </x:c>
      <x:c r="E23" s="244">
        <x:v>0</x:v>
      </x:c>
      <x:c r="F23" s="244">
        <x:v>0</x:v>
      </x:c>
      <x:c r="G23" s="244">
        <x:v>0</x:v>
      </x:c>
      <x:c r="H23" s="244" t="n">
        <x:v>924037603.39</x:v>
      </x:c>
      <x:c r="I23" s="246">
        <x:f>SUM(C23:H23)</x:f>
        <x:v>0</x:v>
      </x:c>
      <x:c r="J23" s="251" t="b">
        <x:f t="shared" ref="J23:J26" si="10">SUM(C23:H23)=I23</x:f>
        <x:v>1</x:v>
      </x:c>
    </x:row>
    <x:row r="24" spans="2:11" x14ac:dyDescent="0.3">
      <x:c r="B24" s="89" t="s">
        <x:v>98</x:v>
      </x:c>
      <x:c r="C24" s="244" t="n">
        <x:v>22325147.13</x:v>
      </x:c>
      <x:c r="D24" s="244">
        <x:v>0</x:v>
      </x:c>
      <x:c r="E24" s="244">
        <x:v>0</x:v>
      </x:c>
      <x:c r="F24" s="244">
        <x:v>0</x:v>
      </x:c>
      <x:c r="G24" s="244">
        <x:v>0</x:v>
      </x:c>
      <x:c r="H24" s="244" t="n">
        <x:v>29950514.97</x:v>
      </x:c>
      <x:c r="I24" s="246">
        <x:f t="shared" ref="I24:I26" si="11">SUM(C24:H24)</x:f>
        <x:v>0</x:v>
      </x:c>
      <x:c r="J24" s="251" t="b">
        <x:f t="shared" si="10"/>
        <x:v>1</x:v>
      </x:c>
    </x:row>
    <x:row r="25" spans="2:11" x14ac:dyDescent="0.3">
      <x:c r="B25" s="89" t="s">
        <x:v>131</x:v>
      </x:c>
      <x:c r="C25" s="244" t="n">
        <x:v>0</x:v>
      </x:c>
      <x:c r="D25" s="244">
        <x:v>0</x:v>
      </x:c>
      <x:c r="E25" s="244">
        <x:v>0</x:v>
      </x:c>
      <x:c r="F25" s="244">
        <x:v>0</x:v>
      </x:c>
      <x:c r="G25" s="244">
        <x:v>0</x:v>
      </x:c>
      <x:c r="H25" s="244" t="n">
        <x:v>17962611.64</x:v>
      </x:c>
      <x:c r="I25" s="246">
        <x:f t="shared" si="11"/>
        <x:v>0</x:v>
      </x:c>
      <x:c r="J25" s="251" t="b">
        <x:f t="shared" si="10"/>
        <x:v>1</x:v>
      </x:c>
    </x:row>
    <x:row r="26" spans="2:11" x14ac:dyDescent="0.3">
      <x:c r="B26" s="89" t="s">
        <x:v>169</x:v>
      </x:c>
      <x:c r="C26" s="244" t="n">
        <x:v>0</x:v>
      </x:c>
      <x:c r="D26" s="244">
        <x:v>0</x:v>
      </x:c>
      <x:c r="E26" s="244">
        <x:v>0</x:v>
      </x:c>
      <x:c r="F26" s="244">
        <x:v>0</x:v>
      </x:c>
      <x:c r="G26" s="244">
        <x:v>0</x:v>
      </x:c>
      <x:c r="H26" s="244" t="n">
        <x:v>0</x:v>
      </x:c>
      <x:c r="I26" s="246">
        <x:f t="shared" si="11"/>
        <x:v>0</x:v>
      </x:c>
      <x:c r="J26" s="251" t="b">
        <x:f t="shared" si="10"/>
        <x:v>1</x:v>
      </x:c>
    </x:row>
    <x:row r="27" spans="2:11" x14ac:dyDescent="0.3">
      <x:c r="B27" s="89" t="s">
        <x:v>70</x:v>
      </x:c>
      <x:c r="C27" s="244">
        <x:f>SUM(C23:C26)</x:f>
        <x:v>0</x:v>
      </x:c>
      <x:c r="D27" s="244">
        <x:f t="shared" ref="D27:E27" si="12">SUM(D23:D26)</x:f>
        <x:v>0</x:v>
      </x:c>
      <x:c r="E27" s="244">
        <x:f t="shared" si="12"/>
        <x:v>0</x:v>
      </x:c>
      <x:c r="F27" s="244">
        <x:f>SUM(F23:F26)</x:f>
        <x:v>0</x:v>
      </x:c>
      <x:c r="G27" s="244">
        <x:f>SUM(G23:G26)</x:f>
        <x:v>0</x:v>
      </x:c>
      <x:c r="H27" s="244">
        <x:f>SUM(H23:H26)</x:f>
        <x:v>0</x:v>
      </x:c>
      <x:c r="I27" s="247">
        <x:f>SUM(I23:I26)</x:f>
        <x:v>0</x:v>
      </x:c>
      <x:c r="J27" s="251" t="b">
        <x:f>SUM(C27:H27)=I27</x:f>
        <x:v>1</x:v>
      </x:c>
    </x:row>
    <x:row r="29" spans="2:11" x14ac:dyDescent="0.3">
      <x:c r="B29" t="s">
        <x:v>101</x:v>
      </x:c>
      <x:c r="H29" s="212"/>
      <x:c r="I29" s="212"/>
    </x:row>
    <x:row r="30" spans="2:11" x14ac:dyDescent="0.3">
      <x:c r="B30" s="114" t="s">
        <x:v>96</x:v>
      </x:c>
    </x:row>
    <x:row r="31" spans="2:11" x14ac:dyDescent="0.3">
      <x:c r="C31" s="89" t="s">
        <x:v>155</x:v>
      </x:c>
      <x:c r="D31" s="89" t="s">
        <x:v>76</x:v>
      </x:c>
      <x:c r="E31" s="89" t="s">
        <x:v>85</x:v>
      </x:c>
      <x:c r="F31" s="89" t="s">
        <x:v>120</x:v>
      </x:c>
      <x:c r="G31" s="89" t="s">
        <x:v>326</x:v>
      </x:c>
      <x:c r="H31" s="89" t="s">
        <x:v>119</x:v>
      </x:c>
      <x:c r="I31" t="s">
        <x:v>70</x:v>
      </x:c>
    </x:row>
    <x:row r="32" spans="2:11" x14ac:dyDescent="0.3">
      <x:c r="B32" s="89" t="s">
        <x:v>97</x:v>
      </x:c>
      <x:c r="C32" s="244" t="n">
        <x:v>8398576932</x:v>
      </x:c>
      <x:c r="D32" s="244">
        <x:v>0</x:v>
      </x:c>
      <x:c r="E32" s="244">
        <x:v>0</x:v>
      </x:c>
      <x:c r="F32" s="244">
        <x:v>0</x:v>
      </x:c>
      <x:c r="G32" s="244">
        <x:v>0</x:v>
      </x:c>
      <x:c r="H32" s="244" t="n">
        <x:v>431521625.29</x:v>
      </x:c>
      <x:c r="I32" s="246">
        <x:f>SUM(C32:H32)</x:f>
        <x:v>0</x:v>
      </x:c>
      <x:c r="J32" s="251" t="b">
        <x:f>SUM(C32:H32)=I32</x:f>
        <x:v>1</x:v>
      </x:c>
    </x:row>
    <x:row r="33" spans="2:10" x14ac:dyDescent="0.3">
      <x:c r="B33" s="89" t="s">
        <x:v>98</x:v>
      </x:c>
      <x:c r="C33" s="244" t="n">
        <x:v>8845080</x:v>
      </x:c>
      <x:c r="D33" s="244">
        <x:v>0</x:v>
      </x:c>
      <x:c r="E33" s="244">
        <x:v>0</x:v>
      </x:c>
      <x:c r="F33" s="244">
        <x:v>0</x:v>
      </x:c>
      <x:c r="G33" s="244">
        <x:v>0</x:v>
      </x:c>
      <x:c r="H33" s="244" t="n">
        <x:v>4909289</x:v>
      </x:c>
      <x:c r="I33" s="246">
        <x:f>SUM(C33:H33)</x:f>
        <x:v>0</x:v>
      </x:c>
      <x:c r="J33" s="251" t="b">
        <x:f t="shared" ref="J33:J36" si="13">SUM(C33:H33)=I33</x:f>
        <x:v>1</x:v>
      </x:c>
    </x:row>
    <x:row r="34" spans="2:10" x14ac:dyDescent="0.3">
      <x:c r="B34" s="89" t="s">
        <x:v>131</x:v>
      </x:c>
      <x:c r="C34" s="244" t="n">
        <x:v>0</x:v>
      </x:c>
      <x:c r="D34" s="244">
        <x:v>0</x:v>
      </x:c>
      <x:c r="E34" s="244">
        <x:v>0</x:v>
      </x:c>
      <x:c r="F34" s="244">
        <x:v>0</x:v>
      </x:c>
      <x:c r="G34" s="244">
        <x:v>0</x:v>
      </x:c>
      <x:c r="H34" s="244" t="n">
        <x:v>679320.71</x:v>
      </x:c>
      <x:c r="I34" s="246">
        <x:f t="shared" ref="I34:I35" si="14">SUM(C34:H34)</x:f>
        <x:v>0</x:v>
      </x:c>
      <x:c r="J34" s="251" t="b">
        <x:f t="shared" si="13"/>
        <x:v>1</x:v>
      </x:c>
    </x:row>
    <x:row r="35" spans="2:10" x14ac:dyDescent="0.3">
      <x:c r="B35" s="89" t="s">
        <x:v>169</x:v>
      </x:c>
      <x:c r="C35" s="244" t="n">
        <x:v>0</x:v>
      </x:c>
      <x:c r="D35" s="244">
        <x:v>0</x:v>
      </x:c>
      <x:c r="E35" s="244">
        <x:v>0</x:v>
      </x:c>
      <x:c r="F35" s="244">
        <x:v>0</x:v>
      </x:c>
      <x:c r="G35" s="244">
        <x:v>0</x:v>
      </x:c>
      <x:c r="H35" s="244" t="n">
        <x:v>0</x:v>
      </x:c>
      <x:c r="I35" s="246">
        <x:f t="shared" si="14"/>
        <x:v>0</x:v>
      </x:c>
      <x:c r="J35" s="251" t="b">
        <x:f t="shared" si="13"/>
        <x:v>1</x:v>
      </x:c>
    </x:row>
    <x:row r="36" spans="2:10" x14ac:dyDescent="0.3">
      <x:c r="B36" s="89" t="s">
        <x:v>70</x:v>
      </x:c>
      <x:c r="C36" s="244">
        <x:f>SUM(C32:C35)</x:f>
        <x:v>0</x:v>
      </x:c>
      <x:c r="D36" s="244">
        <x:f t="shared" ref="D36:G36" si="15">SUM(D32:D35)</x:f>
        <x:v>0</x:v>
      </x:c>
      <x:c r="E36" s="244">
        <x:f t="shared" si="15"/>
        <x:v>0</x:v>
      </x:c>
      <x:c r="F36" s="244">
        <x:f t="shared" si="15"/>
        <x:v>0</x:v>
      </x:c>
      <x:c r="G36" s="244">
        <x:f t="shared" si="15"/>
        <x:v>0</x:v>
      </x:c>
      <x:c r="H36" s="244">
        <x:f>SUM(H32:H35)</x:f>
        <x:v>0</x:v>
      </x:c>
      <x:c r="I36" s="247">
        <x:f>SUM(I32:I35)</x:f>
        <x:v>0</x:v>
      </x:c>
      <x:c r="J36" s="251" t="b">
        <x:f t="shared" si="13"/>
        <x:v>1</x:v>
      </x:c>
    </x:row>
    <x:row r="38" spans="2:10" x14ac:dyDescent="0.3">
      <x:c r="B38" t="s">
        <x:v>102</x:v>
      </x:c>
    </x:row>
    <x:row r="39" spans="2:10" x14ac:dyDescent="0.3">
      <x:c r="B39" s="114" t="s">
        <x:v>96</x:v>
      </x:c>
    </x:row>
    <x:row r="40" spans="2:10" x14ac:dyDescent="0.3">
      <x:c r="C40" s="89" t="s">
        <x:v>155</x:v>
      </x:c>
      <x:c r="D40" s="89" t="s">
        <x:v>76</x:v>
      </x:c>
      <x:c r="E40" s="89" t="s">
        <x:v>85</x:v>
      </x:c>
      <x:c r="F40" s="89" t="s">
        <x:v>120</x:v>
      </x:c>
      <x:c r="G40" s="89" t="s">
        <x:v>326</x:v>
      </x:c>
      <x:c r="H40" s="89" t="s">
        <x:v>119</x:v>
      </x:c>
      <x:c r="I40" s="89" t="s">
        <x:v>70</x:v>
      </x:c>
    </x:row>
    <x:row r="41" spans="2:10" x14ac:dyDescent="0.3">
      <x:c r="B41" s="89" t="s">
        <x:v>97</x:v>
      </x:c>
      <x:c r="C41" s="244" t="n">
        <x:v>9890363914</x:v>
      </x:c>
      <x:c r="D41" s="244">
        <x:v>0</x:v>
      </x:c>
      <x:c r="E41" s="244">
        <x:v>0</x:v>
      </x:c>
      <x:c r="F41" s="244">
        <x:v>0</x:v>
      </x:c>
      <x:c r="G41" s="244">
        <x:v>0</x:v>
      </x:c>
      <x:c r="H41" s="244" t="n">
        <x:v>567677879.85</x:v>
      </x:c>
      <x:c r="I41" s="246">
        <x:f t="shared" ref="I41:I44" si="16">SUM(C41:H41)</x:f>
        <x:v>0</x:v>
      </x:c>
      <x:c r="J41" s="251" t="b">
        <x:f>SUM(C41:H41)=I41</x:f>
        <x:v>1</x:v>
      </x:c>
    </x:row>
    <x:row r="42" spans="2:10" x14ac:dyDescent="0.3">
      <x:c r="B42" s="89" t="s">
        <x:v>98</x:v>
      </x:c>
      <x:c r="C42" s="244" t="n">
        <x:v>42284806</x:v>
      </x:c>
      <x:c r="D42" s="244">
        <x:v>0</x:v>
      </x:c>
      <x:c r="E42" s="244">
        <x:v>0</x:v>
      </x:c>
      <x:c r="F42" s="244">
        <x:v>0</x:v>
      </x:c>
      <x:c r="G42" s="244">
        <x:v>0</x:v>
      </x:c>
      <x:c r="H42" s="244" t="n">
        <x:v>7416134</x:v>
      </x:c>
      <x:c r="I42" s="246">
        <x:f t="shared" si="16"/>
        <x:v>0</x:v>
      </x:c>
      <x:c r="J42" s="251" t="b">
        <x:f t="shared" ref="J42:J45" si="17">SUM(C42:H42)=I42</x:f>
        <x:v>1</x:v>
      </x:c>
    </x:row>
    <x:row r="43" spans="2:10" x14ac:dyDescent="0.3">
      <x:c r="B43" s="89" t="s">
        <x:v>131</x:v>
      </x:c>
      <x:c r="C43" s="244" t="n">
        <x:v>0</x:v>
      </x:c>
      <x:c r="D43" s="244">
        <x:v>0</x:v>
      </x:c>
      <x:c r="E43" s="244">
        <x:v>0</x:v>
      </x:c>
      <x:c r="F43" s="244">
        <x:v>0</x:v>
      </x:c>
      <x:c r="G43" s="244">
        <x:v>0</x:v>
      </x:c>
      <x:c r="H43" s="244" t="n">
        <x:v>24569155.15</x:v>
      </x:c>
      <x:c r="I43" s="246">
        <x:f t="shared" si="16"/>
        <x:v>0</x:v>
      </x:c>
      <x:c r="J43" s="251" t="b">
        <x:f t="shared" si="17"/>
        <x:v>1</x:v>
      </x:c>
    </x:row>
    <x:row r="44" spans="2:10" x14ac:dyDescent="0.3">
      <x:c r="B44" s="89" t="s">
        <x:v>169</x:v>
      </x:c>
      <x:c r="C44" s="244" t="n">
        <x:v>0</x:v>
      </x:c>
      <x:c r="D44" s="244">
        <x:v>0</x:v>
      </x:c>
      <x:c r="E44" s="244">
        <x:v>0</x:v>
      </x:c>
      <x:c r="F44" s="244">
        <x:v>0</x:v>
      </x:c>
      <x:c r="G44" s="244">
        <x:v>0</x:v>
      </x:c>
      <x:c r="H44" s="244" t="n">
        <x:v>0</x:v>
      </x:c>
      <x:c r="I44" s="246">
        <x:f t="shared" si="16"/>
        <x:v>0</x:v>
      </x:c>
      <x:c r="J44" s="251" t="b">
        <x:f t="shared" si="17"/>
        <x:v>1</x:v>
      </x:c>
    </x:row>
    <x:row r="45" spans="2:10" x14ac:dyDescent="0.3">
      <x:c r="B45" s="89" t="s">
        <x:v>70</x:v>
      </x:c>
      <x:c r="C45" s="244">
        <x:f>SUM(C41:C44)</x:f>
        <x:v>0</x:v>
      </x:c>
      <x:c r="D45" s="244">
        <x:f t="shared" ref="D45:E45" si="18">SUM(D41:D44)</x:f>
        <x:v>0</x:v>
      </x:c>
      <x:c r="E45" s="244">
        <x:f t="shared" si="18"/>
        <x:v>0</x:v>
      </x:c>
      <x:c r="F45" s="244">
        <x:f>SUM(F41:F44)</x:f>
        <x:v>0</x:v>
      </x:c>
      <x:c r="G45" s="244">
        <x:f>SUM(G41:G44)</x:f>
        <x:v>0</x:v>
      </x:c>
      <x:c r="H45" s="244">
        <x:f>SUM(H41:H44)</x:f>
        <x:v>0</x:v>
      </x:c>
      <x:c r="I45" s="247">
        <x:f>SUM(I41:I44)</x:f>
        <x:v>0</x:v>
      </x:c>
      <x:c r="J45" s="251" t="b">
        <x:f t="shared" si="17"/>
        <x:v>1</x:v>
      </x:c>
    </x:row>
    <x:row r="46" spans="2:10" x14ac:dyDescent="0.3">
      <x:c r="B46" s="89"/>
      <x:c r="C46" s="113"/>
      <x:c r="D46" s="113"/>
      <x:c r="E46" s="113"/>
      <x:c r="F46" s="113"/>
      <x:c r="G46" s="113"/>
      <x:c r="H46" s="113"/>
    </x:row>
    <x:row r="47" spans="2:10" x14ac:dyDescent="0.3">
      <x:c r="F47" s="212"/>
      <x:c r="G47" s="212"/>
    </x:row>
    <x:row r="48" spans="2:10" x14ac:dyDescent="0.3">
      <x:c r="B48" t="s">
        <x:v>103</x:v>
      </x:c>
    </x:row>
    <x:row r="49" spans="2:10" x14ac:dyDescent="0.3">
      <x:c r="B49" s="114" t="s">
        <x:v>96</x:v>
      </x:c>
    </x:row>
    <x:row r="50" spans="2:10" x14ac:dyDescent="0.3">
      <x:c r="C50" s="89" t="s">
        <x:v>155</x:v>
      </x:c>
      <x:c r="D50" s="89" t="s">
        <x:v>76</x:v>
      </x:c>
      <x:c r="E50" s="89" t="s">
        <x:v>85</x:v>
      </x:c>
      <x:c r="F50" s="89" t="s">
        <x:v>120</x:v>
      </x:c>
      <x:c r="G50" s="89" t="s">
        <x:v>326</x:v>
      </x:c>
      <x:c r="H50" s="89" t="s">
        <x:v>119</x:v>
      </x:c>
      <x:c r="I50" s="89" t="s">
        <x:v>70</x:v>
      </x:c>
    </x:row>
    <x:row r="51" spans="2:10" x14ac:dyDescent="0.3">
      <x:c r="B51" t="s">
        <x:v>97</x:v>
      </x:c>
      <x:c r="C51" s="590" t="n">
        <x:v>7243649125</x:v>
      </x:c>
      <x:c r="D51" s="244">
        <x:v>0</x:v>
      </x:c>
      <x:c r="E51" s="244">
        <x:v>0</x:v>
      </x:c>
      <x:c r="F51" s="244">
        <x:v>0</x:v>
      </x:c>
      <x:c r="G51" s="244" t="n">
        <x:v>139510580</x:v>
      </x:c>
      <x:c r="H51" s="590" t="n">
        <x:v>173353067.24</x:v>
      </x:c>
      <x:c r="I51" s="246">
        <x:f t="shared" ref="I51:I54" si="19">SUM(C51:H51)</x:f>
        <x:v>0</x:v>
      </x:c>
      <x:c r="J51" s="251" t="b">
        <x:f>SUM(C51:H51)=I51</x:f>
        <x:v>1</x:v>
      </x:c>
    </x:row>
    <x:row r="52" spans="2:10" x14ac:dyDescent="0.3">
      <x:c r="B52" s="89" t="s">
        <x:v>98</x:v>
      </x:c>
      <x:c r="C52" s="590" t="n">
        <x:v>5249580</x:v>
      </x:c>
      <x:c r="D52" s="244">
        <x:v>0</x:v>
      </x:c>
      <x:c r="E52" s="244">
        <x:v>0</x:v>
      </x:c>
      <x:c r="F52" s="244">
        <x:v>0</x:v>
      </x:c>
      <x:c r="G52" s="244" t="n">
        <x:v>914180</x:v>
      </x:c>
      <x:c r="H52" s="590" t="n">
        <x:v>2432240</x:v>
      </x:c>
      <x:c r="I52" s="246">
        <x:f>SUM(C52:H52)</x:f>
        <x:v>0</x:v>
      </x:c>
      <x:c r="J52" s="251" t="b">
        <x:f t="shared" ref="J52:J55" si="20">SUM(C52:H52)=I52</x:f>
        <x:v>1</x:v>
      </x:c>
    </x:row>
    <x:row r="53" spans="2:10" x14ac:dyDescent="0.3">
      <x:c r="B53" s="89" t="s">
        <x:v>131</x:v>
      </x:c>
      <x:c r="C53" s="590" t="n">
        <x:v>0</x:v>
      </x:c>
      <x:c r="D53" s="244">
        <x:v>0</x:v>
      </x:c>
      <x:c r="E53" s="244">
        <x:v>0</x:v>
      </x:c>
      <x:c r="F53" s="244">
        <x:v>0</x:v>
      </x:c>
      <x:c r="G53" s="244" t="n">
        <x:v>0</x:v>
      </x:c>
      <x:c r="H53" s="590" t="n">
        <x:v>120445.76</x:v>
      </x:c>
      <x:c r="I53" s="246">
        <x:f t="shared" si="19"/>
        <x:v>0</x:v>
      </x:c>
      <x:c r="J53" s="251" t="b">
        <x:f t="shared" si="20"/>
        <x:v>1</x:v>
      </x:c>
    </x:row>
    <x:row r="54" spans="2:10" x14ac:dyDescent="0.3">
      <x:c r="B54" s="89" t="s">
        <x:v>169</x:v>
      </x:c>
      <x:c r="C54" s="244" t="n">
        <x:v>0</x:v>
      </x:c>
      <x:c r="D54" s="244">
        <x:v>0</x:v>
      </x:c>
      <x:c r="E54" s="244">
        <x:v>0</x:v>
      </x:c>
      <x:c r="F54" s="244">
        <x:v>0</x:v>
      </x:c>
      <x:c r="G54" s="244" t="n">
        <x:v>0</x:v>
      </x:c>
      <x:c r="H54" s="244" t="n">
        <x:v>0</x:v>
      </x:c>
      <x:c r="I54" s="246">
        <x:f t="shared" si="19"/>
        <x:v>0</x:v>
      </x:c>
      <x:c r="J54" s="251" t="b">
        <x:f t="shared" si="20"/>
        <x:v>1</x:v>
      </x:c>
    </x:row>
    <x:row r="55" spans="2:10" x14ac:dyDescent="0.3">
      <x:c r="B55" s="89" t="s">
        <x:v>70</x:v>
      </x:c>
      <x:c r="C55" s="244">
        <x:f>SUM(C51:C54)</x:f>
        <x:v>0</x:v>
      </x:c>
      <x:c r="D55" s="244">
        <x:f t="shared" ref="D55:G55" si="21">SUM(D51:D54)</x:f>
        <x:v>0</x:v>
      </x:c>
      <x:c r="E55" s="244">
        <x:f t="shared" si="21"/>
        <x:v>0</x:v>
      </x:c>
      <x:c r="F55" s="244">
        <x:f t="shared" si="21"/>
        <x:v>0</x:v>
      </x:c>
      <x:c r="G55" s="244">
        <x:f t="shared" si="21"/>
        <x:v>0</x:v>
      </x:c>
      <x:c r="H55" s="244">
        <x:f>SUM(H51:H54)</x:f>
        <x:v>0</x:v>
      </x:c>
      <x:c r="I55" s="247">
        <x:f>SUM(I51:I54)</x:f>
        <x:v>0</x:v>
      </x:c>
      <x:c r="J55" s="251" t="b">
        <x:f t="shared" si="20"/>
        <x:v>1</x:v>
      </x:c>
    </x:row>
    <x:row r="57" spans="2:10" x14ac:dyDescent="0.3">
      <x:c r="H57" s="212"/>
      <x:c r="I57" s="212"/>
    </x:row>
    <x:row r="58" spans="2:10" x14ac:dyDescent="0.3">
      <x:c r="F58" s="212"/>
      <x:c r="G58" s="212"/>
      <x:c r="H58" s="212"/>
      <x:c r="I58" s="212"/>
    </x:row>
    <x:row r="59" spans="2:10" x14ac:dyDescent="0.3">
      <x:c r="B59" s="743" t="s">
        <x:v>333</x:v>
      </x:c>
      <x:c r="C59" s="209" t="n">
        <x:v>1</x:v>
      </x:c>
      <x:c r="D59" s="744" t="s">
        <x:v>334</x:v>
      </x:c>
      <x:c r="H59" s="167"/>
    </x:row>
    <x:row r="60" spans="2:10" x14ac:dyDescent="0.3">
      <x:c r="H60" s="212"/>
    </x:row>
    <x:row r="61" spans="2:10" x14ac:dyDescent="0.3">
      <x:c r="B61" t="s">
        <x:v>1</x:v>
      </x:c>
      <x:c r="C61" s="143"/>
      <x:c r="E61" s="142"/>
    </x:row>
    <x:row r="62" spans="2:10" x14ac:dyDescent="0.3">
      <x:c r="B62" s="745" t="s">
        <x:v>207</x:v>
      </x:c>
      <x:c r="C62" s="746">
        <x:f>IF($C$59=1,'Recaudo ENEL'!D21,'Recaudo ENEL'!F21)</x:f>
        <x:v>0</x:v>
      </x:c>
      <x:c r="D62" s="745" t="b">
        <x:f>C17=C62</x:f>
        <x:v>1</x:v>
      </x:c>
      <x:c r="E62" s="747">
        <x:f>C17-C62</x:f>
        <x:v>0</x:v>
      </x:c>
      <x:c r="F62" s="212"/>
    </x:row>
    <x:row r="63" spans="2:10" x14ac:dyDescent="0.3">
      <x:c r="B63" s="745" t="s">
        <x:v>335</x:v>
      </x:c>
      <x:c r="C63" s="746">
        <x:f>IF($C$59=1,'Recaudo ENERBIT'!D21,'Recaudo ENERBIT'!F21)</x:f>
        <x:v>0</x:v>
      </x:c>
      <x:c r="D63" s="745" t="b">
        <x:f>G17=C63</x:f>
        <x:v>1</x:v>
      </x:c>
      <x:c r="E63" s="747">
        <x:f>G17-C63</x:f>
        <x:v>0</x:v>
      </x:c>
    </x:row>
    <x:row r="64" spans="2:10" x14ac:dyDescent="0.3">
      <x:c r="B64" s="748" t="s">
        <x:v>209</x:v>
      </x:c>
      <x:c r="C64" s="749">
        <x:f>IF($C$59=1,'Recaudo EAAB Reciprocidad'!D22,'Recaudo EAAB Reciprocidad'!F22)</x:f>
        <x:v>0</x:v>
      </x:c>
      <x:c r="D64" s="748" t="b">
        <x:f>F27=C64</x:f>
        <x:v>1</x:v>
      </x:c>
      <x:c r="E64" s="750">
        <x:f>F27-C64</x:f>
        <x:v>0</x:v>
      </x:c>
      <x:c r="H64" s="167"/>
    </x:row>
    <x:row r="65" spans="2:7" x14ac:dyDescent="0.3">
      <x:c r="B65" s="748" t="s">
        <x:v>324</x:v>
      </x:c>
      <x:c r="C65" s="749">
        <x:f>IF($C$59=1,'Recaudo ENEL'!D22,'Recaudo ENEL'!F22)</x:f>
        <x:v>0</x:v>
      </x:c>
      <x:c r="D65" s="748" t="b">
        <x:f>C27=C65</x:f>
        <x:v>1</x:v>
      </x:c>
      <x:c r="E65" s="750">
        <x:f>C27-C65</x:f>
        <x:v>0</x:v>
      </x:c>
      <x:c r="F65" s="142"/>
    </x:row>
    <x:row r="66" spans="2:7" x14ac:dyDescent="0.3">
      <x:c r="B66" s="748" t="s">
        <x:v>336</x:v>
      </x:c>
      <x:c r="C66" s="749">
        <x:f>IF($C$59=1,'Recaudo ENERBIT'!D22,'Recaudo ENERBIT'!F22)</x:f>
        <x:v>0</x:v>
      </x:c>
      <x:c r="D66" s="748" t="b">
        <x:f>G27=C66</x:f>
        <x:v>1</x:v>
      </x:c>
      <x:c r="E66" s="750">
        <x:f>G27-C66</x:f>
        <x:v>0</x:v>
      </x:c>
    </x:row>
    <x:row r="67" spans="2:7" x14ac:dyDescent="0.3">
      <x:c r="B67" s="745" t="s">
        <x:v>211</x:v>
      </x:c>
      <x:c r="C67" s="746">
        <x:f>IF($C$59=1,'Recaudo ENEL'!D23,'Recaudo ENEL'!F23)</x:f>
        <x:v>0</x:v>
      </x:c>
      <x:c r="D67" s="745" t="b">
        <x:f>C36=C67</x:f>
        <x:v>1</x:v>
      </x:c>
      <x:c r="E67" s="747">
        <x:f>C36-C67</x:f>
        <x:v>0</x:v>
      </x:c>
      <x:c r="F67" s="760"/>
    </x:row>
    <x:row r="68" spans="2:7" x14ac:dyDescent="0.3">
      <x:c r="B68" s="745" t="s">
        <x:v>337</x:v>
      </x:c>
      <x:c r="C68" s="746">
        <x:f>IF($C$59=1,'Recaudo ENERBIT'!D23,'Recaudo ENERBIT'!F23)</x:f>
        <x:v>0</x:v>
      </x:c>
      <x:c r="D68" s="745" t="b">
        <x:f>G36=C68</x:f>
        <x:v>1</x:v>
      </x:c>
      <x:c r="E68" s="747">
        <x:f>G36-C68</x:f>
        <x:v>0</x:v>
      </x:c>
    </x:row>
    <x:row r="69" spans="2:7" x14ac:dyDescent="0.3">
      <x:c r="B69" s="748" t="s">
        <x:v>210</x:v>
      </x:c>
      <x:c r="C69" s="749">
        <x:f>IF($C$59=1,'Recaudo EAAB Reciprocidad'!D24,'Recaudo EAAB Reciprocidad'!F24)</x:f>
        <x:v>0</x:v>
      </x:c>
      <x:c r="D69" s="748" t="b">
        <x:f>F45=C69</x:f>
        <x:v>1</x:v>
      </x:c>
      <x:c r="E69" s="750">
        <x:f>F45-C69</x:f>
        <x:v>0</x:v>
      </x:c>
    </x:row>
    <x:row r="70" spans="2:7" x14ac:dyDescent="0.3">
      <x:c r="B70" s="748" t="s">
        <x:v>325</x:v>
      </x:c>
      <x:c r="C70" s="749">
        <x:f>IF($C$59=1,'Recaudo ENEL'!D24,'Recaudo ENEL'!F24)</x:f>
        <x:v>0</x:v>
      </x:c>
      <x:c r="D70" s="748" t="b">
        <x:f>C45=C70</x:f>
        <x:v>1</x:v>
      </x:c>
      <x:c r="E70" s="750">
        <x:f>C45-C70</x:f>
        <x:v>0</x:v>
      </x:c>
      <x:c r="F70" s="142"/>
    </x:row>
    <x:row r="71" spans="2:7" x14ac:dyDescent="0.3">
      <x:c r="B71" s="748" t="s">
        <x:v>338</x:v>
      </x:c>
      <x:c r="C71" s="749">
        <x:f>IF($C$59=1,'Recaudo ENERBIT'!D24,'Recaudo ENERBIT'!F24)</x:f>
        <x:v>0</x:v>
      </x:c>
      <x:c r="D71" s="748" t="b">
        <x:f>G45=C71</x:f>
        <x:v>1</x:v>
      </x:c>
      <x:c r="E71" s="750">
        <x:f>G45-C71</x:f>
        <x:v>0</x:v>
      </x:c>
      <x:c r="F71" s="212"/>
    </x:row>
    <x:row r="72" spans="2:7" x14ac:dyDescent="0.3">
      <x:c r="B72" s="745" t="s">
        <x:v>208</x:v>
      </x:c>
      <x:c r="C72" s="746">
        <x:f>IF($C$59=1,'Recaudo ENEL'!D25,'Recaudo ENEL'!F25)</x:f>
        <x:v>0</x:v>
      </x:c>
      <x:c r="D72" s="745" t="b">
        <x:f>C55=C72</x:f>
        <x:v>1</x:v>
      </x:c>
      <x:c r="E72" s="747">
        <x:f>C55-C72</x:f>
        <x:v>0</x:v>
      </x:c>
      <x:c r="F72" s="142"/>
    </x:row>
    <x:row r="73" spans="2:7" x14ac:dyDescent="0.3">
      <x:c r="B73" s="745" t="s">
        <x:v>327</x:v>
      </x:c>
      <x:c r="C73" s="746">
        <x:f>IF($C$59=1,'Recaudo ENERBIT'!D25,'Recaudo ENERBIT'!F25)</x:f>
        <x:v>0</x:v>
      </x:c>
      <x:c r="D73" s="745" t="b">
        <x:f>G55=C73</x:f>
        <x:v>1</x:v>
      </x:c>
      <x:c r="E73" s="747">
        <x:f>G55-C73</x:f>
        <x:v>0</x:v>
      </x:c>
    </x:row>
    <x:row r="74" spans="2:7" x14ac:dyDescent="0.3">
      <x:c r="C74" s="167"/>
    </x:row>
    <x:row r="75" spans="2:7" x14ac:dyDescent="0.3">
      <x:c r="B75" s="745" t="s">
        <x:v>260</x:v>
      </x:c>
      <x:c r="C75" s="746">
        <x:f>IF($C$59=1,'Recaudo Directa Occidente'!D21,'Recaudo Directa Occidente'!F21)</x:f>
        <x:v>0</x:v>
      </x:c>
      <x:c r="D75" s="745" t="b">
        <x:f>C75=H17</x:f>
        <x:v>1</x:v>
      </x:c>
      <x:c r="E75" s="770">
        <x:f>C75-H17</x:f>
        <x:v>0</x:v>
      </x:c>
      <x:c r="F75" s="695"/>
      <x:c r="G75" s="695"/>
    </x:row>
    <x:row r="76" spans="2:7" x14ac:dyDescent="0.3">
      <x:c r="B76" s="748" t="s">
        <x:v>261</x:v>
      </x:c>
      <x:c r="C76" s="749">
        <x:f>IF($C$59=1,'Recaudo Directa Occidente'!D22,'Recaudo Directa Occidente'!F22)</x:f>
        <x:v>0</x:v>
      </x:c>
      <x:c r="D76" s="748" t="b">
        <x:f>C76=H27</x:f>
        <x:v>1</x:v>
      </x:c>
      <x:c r="E76" s="750">
        <x:f>C76-H27</x:f>
        <x:v>0</x:v>
      </x:c>
    </x:row>
    <x:row r="77" spans="2:7" x14ac:dyDescent="0.3">
      <x:c r="B77" s="745" t="s">
        <x:v>262</x:v>
      </x:c>
      <x:c r="C77" s="746">
        <x:f>IF($C$59=1,'Recaudo Directa Occidente'!D23,'Recaudo Directa Occidente'!F23)</x:f>
        <x:v>0</x:v>
      </x:c>
      <x:c r="D77" s="745" t="b">
        <x:f>C77=H36</x:f>
        <x:v>1</x:v>
      </x:c>
      <x:c r="E77" s="747">
        <x:f>C77-H36</x:f>
        <x:v>0</x:v>
      </x:c>
      <x:c r="F77" s="212"/>
      <x:c r="G77" s="212"/>
    </x:row>
    <x:row r="78" spans="2:7" x14ac:dyDescent="0.3">
      <x:c r="B78" s="748" t="s">
        <x:v>263</x:v>
      </x:c>
      <x:c r="C78" s="749">
        <x:f>IF($C$59=1,'Recaudo Directa Occidente'!D24,'Recaudo Directa Occidente'!F24)</x:f>
        <x:v>0</x:v>
      </x:c>
      <x:c r="D78" s="748" t="b">
        <x:f>C78=H45</x:f>
        <x:v>1</x:v>
      </x:c>
      <x:c r="E78" s="750">
        <x:f>C78-H45</x:f>
        <x:v>0</x:v>
      </x:c>
    </x:row>
    <x:row r="79" spans="2:7" x14ac:dyDescent="0.3">
      <x:c r="B79" s="745" t="s">
        <x:v>264</x:v>
      </x:c>
      <x:c r="C79" s="746">
        <x:f>IF($C$59=1,'Recaudo Directa Occidente'!D25,'Recaudo Directa Occidente'!F25)</x:f>
        <x:v>0</x:v>
      </x:c>
      <x:c r="D79" s="745" t="b">
        <x:f>C79=H55</x:f>
        <x:v>1</x:v>
      </x:c>
      <x:c r="E79" s="747">
        <x:f>C79-H55</x:f>
        <x:v>0</x:v>
      </x:c>
    </x:row>
  </x:sheetData>
  <x:phoneticPr fontId="21" type="noConversion"/>
  <x:pageMargins left="0.7" right="0.7" top="0.75" bottom="0.75" header="0.3" footer="0.3"/>
  <x:pageSetup orientation="portrait"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FFC000"/>
  </x:sheetPr>
  <x:dimension ref="A1:P45"/>
  <x:sheetViews>
    <x:sheetView zoomScaleNormal="100" workbookViewId="0">
      <x:selection activeCell="B35" sqref="B35"/>
    </x:sheetView>
  </x:sheetViews>
  <x:sheetFormatPr baseColWidth="10" defaultRowHeight="12.45" x14ac:dyDescent="0.3"/>
  <x:cols>
    <x:col min="1" max="1" width="3.3828125" customWidth="1"/>
    <x:col min="2" max="2" width="20.84375" bestFit="1" customWidth="1"/>
    <x:col min="3" max="3" width="13.15234375" bestFit="1" customWidth="1"/>
    <x:col min="4" max="6" width="12.84375" bestFit="1" customWidth="1"/>
    <x:col min="7" max="7" width="12.53515625" customWidth="1"/>
    <x:col min="8" max="14" width="12.84375" bestFit="1" customWidth="1"/>
    <x:col min="16" max="16" width="12.84375" bestFit="1" customWidth="1"/>
  </x:cols>
  <x:sheetData>
    <x:row r="1" spans="1:16" ht="12.9" thickBot="1" x14ac:dyDescent="0.35">
      <x:c r="C1" s="774" t="s">
        <x:v>99</x:v>
      </x:c>
      <x:c r="D1" s="774"/>
      <x:c r="E1" s="774" t="s">
        <x:v>100</x:v>
      </x:c>
      <x:c r="F1" s="774"/>
      <x:c r="G1" s="774" t="s">
        <x:v>101</x:v>
      </x:c>
      <x:c r="H1" s="774"/>
      <x:c r="I1" s="774" t="s">
        <x:v>102</x:v>
      </x:c>
      <x:c r="J1" s="774"/>
      <x:c r="K1" s="774" t="s">
        <x:v>103</x:v>
      </x:c>
      <x:c r="L1" s="774"/>
      <x:c r="M1" s="774" t="s">
        <x:v>2</x:v>
      </x:c>
      <x:c r="N1" s="774"/>
    </x:row>
    <x:row r="2" spans="1:16" x14ac:dyDescent="0.3">
      <x:c r="C2" s="257" t="s">
        <x:v>149</x:v>
      </x:c>
      <x:c r="D2" s="732" t="s">
        <x:v>150</x:v>
      </x:c>
      <x:c r="E2" s="732" t="s">
        <x:v>149</x:v>
      </x:c>
      <x:c r="F2" s="732" t="s">
        <x:v>150</x:v>
      </x:c>
      <x:c r="G2" s="732" t="s">
        <x:v>149</x:v>
      </x:c>
      <x:c r="H2" s="732" t="s">
        <x:v>150</x:v>
      </x:c>
      <x:c r="I2" s="732" t="s">
        <x:v>149</x:v>
      </x:c>
      <x:c r="J2" s="732" t="s">
        <x:v>150</x:v>
      </x:c>
      <x:c r="K2" s="732" t="s">
        <x:v>149</x:v>
      </x:c>
      <x:c r="L2" s="732" t="s">
        <x:v>150</x:v>
      </x:c>
      <x:c r="M2" s="257" t="s">
        <x:v>149</x:v>
      </x:c>
      <x:c r="N2" s="258" t="s">
        <x:v>150</x:v>
      </x:c>
    </x:row>
    <x:row r="3" spans="1:16" x14ac:dyDescent="0.3">
      <x:c r="B3" s="210" t="s">
        <x:v>151</x:v>
      </x:c>
      <x:c r="C3" s="733">
        <x:f>C11+C19+C27+C35+C43</x:f>
        <x:v>0</x:v>
      </x:c>
      <x:c r="D3" s="249">
        <x:f>D11+D19+D27+D35+D43</x:f>
        <x:v>0</x:v>
      </x:c>
      <x:c r="E3" s="249">
        <x:f t="shared" ref="E3:K3" si="0">E11+E19+E27+E35+E43</x:f>
        <x:v>0</x:v>
      </x:c>
      <x:c r="F3" s="249">
        <x:f>F11+F19+F27+F35+F43</x:f>
        <x:v>0</x:v>
      </x:c>
      <x:c r="G3" s="249">
        <x:f t="shared" si="0"/>
        <x:v>0</x:v>
      </x:c>
      <x:c r="H3" s="249">
        <x:f t="shared" si="0"/>
        <x:v>0</x:v>
      </x:c>
      <x:c r="I3" s="249">
        <x:f t="shared" si="0"/>
        <x:v>0</x:v>
      </x:c>
      <x:c r="J3" s="249">
        <x:f t="shared" si="0"/>
        <x:v>0</x:v>
      </x:c>
      <x:c r="K3" s="249">
        <x:f t="shared" si="0"/>
        <x:v>0</x:v>
      </x:c>
      <x:c r="L3" s="249">
        <x:f>L11+L19+L27+L35+L43</x:f>
        <x:v>0</x:v>
      </x:c>
      <x:c r="M3" s="259">
        <x:f>C3+E3+G3+I3+K3</x:f>
        <x:v>0</x:v>
      </x:c>
      <x:c r="N3" s="260">
        <x:f>D3+F3+H3+J3+L3</x:f>
        <x:v>0</x:v>
      </x:c>
      <x:c r="P3" s="209" t="b">
        <x:f>N3=(-VALIDACION_TOTAL!M9)</x:f>
        <x:v>1</x:v>
      </x:c>
    </x:row>
    <x:row r="4" spans="1:16" ht="12.9" thickBot="1" x14ac:dyDescent="0.35">
      <x:c r="B4" s="210" t="s">
        <x:v>152</x:v>
      </x:c>
      <x:c r="C4" s="730">
        <x:f>C12+C20+C28+C36+C44</x:f>
        <x:v>0</x:v>
      </x:c>
      <x:c r="D4" s="731">
        <x:f>D12+D20+D28+D36+D44</x:f>
        <x:v>0</x:v>
      </x:c>
      <x:c r="E4" s="731">
        <x:f t="shared" ref="E4:K4" si="1">E12+E20+E28+E36+E44</x:f>
        <x:v>0</x:v>
      </x:c>
      <x:c r="F4" s="731">
        <x:f t="shared" si="1"/>
        <x:v>0</x:v>
      </x:c>
      <x:c r="G4" s="731">
        <x:f t="shared" si="1"/>
        <x:v>0</x:v>
      </x:c>
      <x:c r="H4" s="731">
        <x:f t="shared" si="1"/>
        <x:v>0</x:v>
      </x:c>
      <x:c r="I4" s="731">
        <x:f t="shared" si="1"/>
        <x:v>0</x:v>
      </x:c>
      <x:c r="J4" s="731">
        <x:f t="shared" si="1"/>
        <x:v>0</x:v>
      </x:c>
      <x:c r="K4" s="731">
        <x:f t="shared" si="1"/>
        <x:v>0</x:v>
      </x:c>
      <x:c r="L4" s="731">
        <x:f>L12+L20+L28+L36+L44</x:f>
        <x:v>0</x:v>
      </x:c>
      <x:c r="M4" s="734">
        <x:f>C4+E4+G4+I4+K4</x:f>
        <x:v>0</x:v>
      </x:c>
      <x:c r="N4" s="735">
        <x:f>D4+F4+H4+J4+L4</x:f>
        <x:v>0</x:v>
      </x:c>
      <x:c r="P4" s="209" t="b">
        <x:f>N4=(-'CONSOLIDADO_TOTAL RECAUDO'!L131)</x:f>
        <x:v>1</x:v>
      </x:c>
    </x:row>
    <x:row r="5" spans="1:16" ht="12.9" thickBot="1" x14ac:dyDescent="0.35">
      <x:c r="B5" s="211" t="s">
        <x:v>2</x:v>
      </x:c>
      <x:c r="C5" s="253">
        <x:f>SUM(C3:C4)</x:f>
        <x:v>0</x:v>
      </x:c>
      <x:c r="D5" s="254">
        <x:f t="shared" ref="D5:L5" si="2">SUM(D3:D4)</x:f>
        <x:v>0</x:v>
      </x:c>
      <x:c r="E5" s="254">
        <x:f t="shared" si="2"/>
        <x:v>0</x:v>
      </x:c>
      <x:c r="F5" s="254">
        <x:f t="shared" si="2"/>
        <x:v>0</x:v>
      </x:c>
      <x:c r="G5" s="254">
        <x:f t="shared" si="2"/>
        <x:v>0</x:v>
      </x:c>
      <x:c r="H5" s="254">
        <x:f t="shared" si="2"/>
        <x:v>0</x:v>
      </x:c>
      <x:c r="I5" s="254">
        <x:f t="shared" si="2"/>
        <x:v>0</x:v>
      </x:c>
      <x:c r="J5" s="254">
        <x:f t="shared" si="2"/>
        <x:v>0</x:v>
      </x:c>
      <x:c r="K5" s="254">
        <x:f>SUM(K3:K4)</x:f>
        <x:v>0</x:v>
      </x:c>
      <x:c r="L5" s="256">
        <x:f t="shared" si="2"/>
        <x:v>0</x:v>
      </x:c>
      <x:c r="M5" s="253">
        <x:f t="shared" ref="M5" si="3">SUM(M3:M4)</x:f>
        <x:v>0</x:v>
      </x:c>
      <x:c r="N5" s="255">
        <x:f>SUM(N3:N4)</x:f>
        <x:v>0</x:v>
      </x:c>
    </x:row>
    <x:row r="6" spans="1:16" x14ac:dyDescent="0.3">
      <x:c r="C6" s="209" t="b">
        <x:f t="shared" ref="C6:K6" si="4">C5=(C13+C21+C29+C37+C45)</x:f>
        <x:v>1</x:v>
      </x:c>
      <x:c r="D6" s="209" t="b">
        <x:f t="shared" si="4"/>
        <x:v>1</x:v>
      </x:c>
      <x:c r="E6" s="209" t="b">
        <x:f t="shared" si="4"/>
        <x:v>1</x:v>
      </x:c>
      <x:c r="F6" s="209" t="b">
        <x:f t="shared" si="4"/>
        <x:v>1</x:v>
      </x:c>
      <x:c r="G6" s="209" t="b">
        <x:f t="shared" si="4"/>
        <x:v>1</x:v>
      </x:c>
      <x:c r="H6" s="209" t="b">
        <x:f t="shared" si="4"/>
        <x:v>1</x:v>
      </x:c>
      <x:c r="I6" s="209" t="b">
        <x:f t="shared" si="4"/>
        <x:v>1</x:v>
      </x:c>
      <x:c r="J6" s="209" t="b">
        <x:f t="shared" si="4"/>
        <x:v>1</x:v>
      </x:c>
      <x:c r="K6" s="209" t="b">
        <x:f t="shared" si="4"/>
        <x:v>1</x:v>
      </x:c>
      <x:c r="L6" s="209" t="b">
        <x:f>L5=(L13+L21+L29+L37+L45)</x:f>
        <x:v>1</x:v>
      </x:c>
      <x:c r="M6" s="209" t="b">
        <x:f t="shared" ref="M6" si="5">M5=(M13+M21+M29+M37+M45)</x:f>
        <x:v>1</x:v>
      </x:c>
      <x:c r="N6" s="209" t="b">
        <x:f>N5=(N13+N21+N29+N37+N45)</x:f>
        <x:v>1</x:v>
      </x:c>
    </x:row>
    <x:row r="7" spans="1:16" x14ac:dyDescent="0.3">
      <x:c r="A7" s="238"/>
      <x:c r="B7" s="238"/>
      <x:c r="C7" s="238"/>
      <x:c r="D7" s="238"/>
      <x:c r="E7" s="238"/>
      <x:c r="F7" s="238"/>
      <x:c r="G7" s="238"/>
      <x:c r="H7" s="238"/>
      <x:c r="I7" s="238"/>
      <x:c r="J7" s="238"/>
      <x:c r="K7" s="238"/>
      <x:c r="L7" s="238"/>
      <x:c r="M7" s="238"/>
      <x:c r="N7" s="238"/>
      <x:c r="O7" s="238"/>
      <x:c r="P7" s="238"/>
    </x:row>
    <x:row r="8" spans="1:16" ht="14.6" x14ac:dyDescent="0.4">
      <x:c r="B8" s="208" t="s">
        <x:v>148</x:v>
      </x:c>
      <x:c r="C8" s="209"/>
    </x:row>
    <x:row r="9" spans="1:16" x14ac:dyDescent="0.3">
      <x:c r="C9" s="774" t="s">
        <x:v>99</x:v>
      </x:c>
      <x:c r="D9" s="774"/>
      <x:c r="E9" s="774" t="s">
        <x:v>100</x:v>
      </x:c>
      <x:c r="F9" s="774"/>
      <x:c r="G9" s="774" t="s">
        <x:v>101</x:v>
      </x:c>
      <x:c r="H9" s="774"/>
      <x:c r="I9" s="774" t="s">
        <x:v>102</x:v>
      </x:c>
      <x:c r="J9" s="774"/>
      <x:c r="K9" s="774" t="s">
        <x:v>103</x:v>
      </x:c>
      <x:c r="L9" s="774"/>
      <x:c r="M9" s="774" t="s">
        <x:v>2</x:v>
      </x:c>
      <x:c r="N9" s="774"/>
    </x:row>
    <x:row r="10" spans="1:16" x14ac:dyDescent="0.3">
      <x:c r="C10" s="210" t="s">
        <x:v>149</x:v>
      </x:c>
      <x:c r="D10" s="210" t="s">
        <x:v>150</x:v>
      </x:c>
      <x:c r="E10" s="210" t="s">
        <x:v>149</x:v>
      </x:c>
      <x:c r="F10" s="210" t="s">
        <x:v>150</x:v>
      </x:c>
      <x:c r="G10" s="210" t="s">
        <x:v>149</x:v>
      </x:c>
      <x:c r="H10" s="210" t="s">
        <x:v>150</x:v>
      </x:c>
      <x:c r="I10" s="210" t="s">
        <x:v>149</x:v>
      </x:c>
      <x:c r="J10" s="210" t="s">
        <x:v>150</x:v>
      </x:c>
      <x:c r="K10" s="210" t="s">
        <x:v>149</x:v>
      </x:c>
      <x:c r="L10" s="210" t="s">
        <x:v>150</x:v>
      </x:c>
      <x:c r="M10" s="210" t="s">
        <x:v>149</x:v>
      </x:c>
      <x:c r="N10" s="210" t="s">
        <x:v>150</x:v>
      </x:c>
    </x:row>
    <x:row r="11" spans="1:16" x14ac:dyDescent="0.3">
      <x:c r="B11" s="210" t="s">
        <x:v>151</x:v>
      </x:c>
      <x:c r="C11" s="245">
        <x:v>0</x:v>
      </x:c>
      <x:c r="D11" s="245">
        <x:v>0</x:v>
      </x:c>
      <x:c r="E11" s="245">
        <x:v>0</x:v>
      </x:c>
      <x:c r="F11" s="245">
        <x:v>0</x:v>
      </x:c>
      <x:c r="G11" s="245">
        <x:v>0</x:v>
      </x:c>
      <x:c r="H11" s="245">
        <x:v>0</x:v>
      </x:c>
      <x:c r="I11" s="245">
        <x:v>0</x:v>
      </x:c>
      <x:c r="J11" s="245">
        <x:v>0</x:v>
      </x:c>
      <x:c r="K11" s="244">
        <x:v>0</x:v>
      </x:c>
      <x:c r="L11" s="245">
        <x:v>0</x:v>
      </x:c>
      <x:c r="M11" s="249">
        <x:f>C11+E11+G11+I11+K11</x:f>
        <x:v>0</x:v>
      </x:c>
      <x:c r="N11" s="245">
        <x:f>D11+F11+H11+J11+L11</x:f>
        <x:v>0</x:v>
      </x:c>
    </x:row>
    <x:row r="12" spans="1:16" x14ac:dyDescent="0.3">
      <x:c r="B12" s="210" t="s">
        <x:v>152</x:v>
      </x:c>
      <x:c r="C12" s="245">
        <x:v>0</x:v>
      </x:c>
      <x:c r="D12" s="245">
        <x:v>0</x:v>
      </x:c>
      <x:c r="E12" s="245">
        <x:v>0</x:v>
      </x:c>
      <x:c r="F12" s="245">
        <x:v>0</x:v>
      </x:c>
      <x:c r="G12" s="245">
        <x:v>0</x:v>
      </x:c>
      <x:c r="H12" s="245">
        <x:v>0</x:v>
      </x:c>
      <x:c r="I12" s="245">
        <x:v>0</x:v>
      </x:c>
      <x:c r="J12" s="245">
        <x:v>0</x:v>
      </x:c>
      <x:c r="K12" s="244">
        <x:v>0</x:v>
      </x:c>
      <x:c r="L12" s="245">
        <x:v>0</x:v>
      </x:c>
      <x:c r="M12" s="249">
        <x:f>C12+E12+G12+I12+K12</x:f>
        <x:v>0</x:v>
      </x:c>
      <x:c r="N12" s="245">
        <x:f>D12+F12+H12+J12+L12</x:f>
        <x:v>0</x:v>
      </x:c>
    </x:row>
    <x:row r="13" spans="1:16" x14ac:dyDescent="0.3">
      <x:c r="B13" s="211" t="s">
        <x:v>2</x:v>
      </x:c>
      <x:c r="C13" s="249">
        <x:f>SUM(C11:C12)</x:f>
        <x:v>0</x:v>
      </x:c>
      <x:c r="D13" s="249">
        <x:f t="shared" ref="D13:N13" si="6">SUM(D11:D12)</x:f>
        <x:v>0</x:v>
      </x:c>
      <x:c r="E13" s="249">
        <x:f t="shared" si="6"/>
        <x:v>0</x:v>
      </x:c>
      <x:c r="F13" s="249">
        <x:f t="shared" si="6"/>
        <x:v>0</x:v>
      </x:c>
      <x:c r="G13" s="249">
        <x:f>SUM(G11:G12)</x:f>
        <x:v>0</x:v>
      </x:c>
      <x:c r="H13" s="249">
        <x:f>SUM(H11:H12)</x:f>
        <x:v>0</x:v>
      </x:c>
      <x:c r="I13" s="249">
        <x:f t="shared" si="6"/>
        <x:v>0</x:v>
      </x:c>
      <x:c r="J13" s="249">
        <x:f t="shared" si="6"/>
        <x:v>0</x:v>
      </x:c>
      <x:c r="K13" s="249">
        <x:f t="shared" si="6"/>
        <x:v>0</x:v>
      </x:c>
      <x:c r="L13" s="249">
        <x:f t="shared" si="6"/>
        <x:v>0</x:v>
      </x:c>
      <x:c r="M13" s="249">
        <x:f t="shared" si="6"/>
        <x:v>0</x:v>
      </x:c>
      <x:c r="N13" s="249">
        <x:f t="shared" si="6"/>
        <x:v>0</x:v>
      </x:c>
    </x:row>
    <x:row r="14" spans="1:16" x14ac:dyDescent="0.3">
      <x:c r="E14" s="212"/>
    </x:row>
    <x:row r="16" spans="1:16" ht="14.6" x14ac:dyDescent="0.4">
      <x:c r="B16" s="208" t="s">
        <x:v>153</x:v>
      </x:c>
      <x:c r="C16" s="209"/>
    </x:row>
    <x:row r="17" spans="2:14" x14ac:dyDescent="0.3">
      <x:c r="C17" s="774" t="s">
        <x:v>99</x:v>
      </x:c>
      <x:c r="D17" s="774"/>
      <x:c r="E17" s="774" t="s">
        <x:v>100</x:v>
      </x:c>
      <x:c r="F17" s="774"/>
      <x:c r="G17" s="774" t="s">
        <x:v>101</x:v>
      </x:c>
      <x:c r="H17" s="774"/>
      <x:c r="I17" s="774" t="s">
        <x:v>102</x:v>
      </x:c>
      <x:c r="J17" s="774"/>
      <x:c r="K17" s="774" t="s">
        <x:v>103</x:v>
      </x:c>
      <x:c r="L17" s="774"/>
      <x:c r="M17" s="774" t="s">
        <x:v>2</x:v>
      </x:c>
      <x:c r="N17" s="774"/>
    </x:row>
    <x:row r="18" spans="2:14" x14ac:dyDescent="0.3">
      <x:c r="C18" s="210" t="s">
        <x:v>149</x:v>
      </x:c>
      <x:c r="D18" s="210" t="s">
        <x:v>150</x:v>
      </x:c>
      <x:c r="E18" s="210" t="s">
        <x:v>149</x:v>
      </x:c>
      <x:c r="F18" s="210" t="s">
        <x:v>150</x:v>
      </x:c>
      <x:c r="G18" s="210" t="s">
        <x:v>149</x:v>
      </x:c>
      <x:c r="H18" s="210" t="s">
        <x:v>150</x:v>
      </x:c>
      <x:c r="I18" s="210" t="s">
        <x:v>149</x:v>
      </x:c>
      <x:c r="J18" s="210" t="s">
        <x:v>150</x:v>
      </x:c>
      <x:c r="K18" s="210" t="s">
        <x:v>149</x:v>
      </x:c>
      <x:c r="L18" s="210" t="s">
        <x:v>150</x:v>
      </x:c>
      <x:c r="M18" s="210" t="s">
        <x:v>149</x:v>
      </x:c>
      <x:c r="N18" s="210" t="s">
        <x:v>150</x:v>
      </x:c>
    </x:row>
    <x:row r="19" spans="2:14" x14ac:dyDescent="0.3">
      <x:c r="B19" s="210" t="s">
        <x:v>151</x:v>
      </x:c>
      <x:c r="C19" s="245">
        <x:v>0</x:v>
      </x:c>
      <x:c r="D19" s="245">
        <x:v>0</x:v>
      </x:c>
      <x:c r="E19" s="245">
        <x:v>0</x:v>
      </x:c>
      <x:c r="F19" s="245">
        <x:v>0</x:v>
      </x:c>
      <x:c r="G19" s="245">
        <x:v>0</x:v>
      </x:c>
      <x:c r="H19" s="245">
        <x:v>0</x:v>
      </x:c>
      <x:c r="I19" s="245">
        <x:v>0</x:v>
      </x:c>
      <x:c r="J19" s="245">
        <x:v>0</x:v>
      </x:c>
      <x:c r="K19" s="244">
        <x:v>0</x:v>
      </x:c>
      <x:c r="L19" s="245">
        <x:v>0</x:v>
      </x:c>
      <x:c r="M19" s="245">
        <x:f>C19+E19+G19+I19+K19</x:f>
        <x:v>0</x:v>
      </x:c>
      <x:c r="N19" s="245">
        <x:f>D19+F19+H19+J19+L19</x:f>
        <x:v>0</x:v>
      </x:c>
    </x:row>
    <x:row r="20" spans="2:14" x14ac:dyDescent="0.3">
      <x:c r="B20" s="210" t="s">
        <x:v>152</x:v>
      </x:c>
      <x:c r="C20" s="245">
        <x:v>0</x:v>
      </x:c>
      <x:c r="D20" s="245">
        <x:v>0</x:v>
      </x:c>
      <x:c r="E20" s="245">
        <x:v>0</x:v>
      </x:c>
      <x:c r="F20" s="245">
        <x:v>0</x:v>
      </x:c>
      <x:c r="G20" s="245">
        <x:v>0</x:v>
      </x:c>
      <x:c r="H20" s="245">
        <x:v>0</x:v>
      </x:c>
      <x:c r="I20" s="245">
        <x:v>0</x:v>
      </x:c>
      <x:c r="J20" s="546">
        <x:v>0</x:v>
      </x:c>
      <x:c r="K20" s="244">
        <x:v>0</x:v>
      </x:c>
      <x:c r="L20" s="245">
        <x:v>0</x:v>
      </x:c>
      <x:c r="M20" s="245">
        <x:f>C20+E20+G20+I20+K20</x:f>
        <x:v>0</x:v>
      </x:c>
      <x:c r="N20" s="245">
        <x:f>D20+F20+H20+J20+L20</x:f>
        <x:v>0</x:v>
      </x:c>
    </x:row>
    <x:row r="21" spans="2:14" x14ac:dyDescent="0.3">
      <x:c r="B21" s="211" t="s">
        <x:v>2</x:v>
      </x:c>
      <x:c r="C21" s="249">
        <x:f>SUM(C19:C20)</x:f>
        <x:v>0</x:v>
      </x:c>
      <x:c r="D21" s="249">
        <x:f t="shared" ref="D21:L21" si="7">SUM(D19:D20)</x:f>
        <x:v>0</x:v>
      </x:c>
      <x:c r="E21" s="249">
        <x:f t="shared" si="7"/>
        <x:v>0</x:v>
      </x:c>
      <x:c r="F21" s="249">
        <x:f t="shared" si="7"/>
        <x:v>0</x:v>
      </x:c>
      <x:c r="G21" s="249">
        <x:f t="shared" si="7"/>
        <x:v>0</x:v>
      </x:c>
      <x:c r="H21" s="249">
        <x:f t="shared" si="7"/>
        <x:v>0</x:v>
      </x:c>
      <x:c r="I21" s="249">
        <x:f t="shared" si="7"/>
        <x:v>0</x:v>
      </x:c>
      <x:c r="J21" s="249">
        <x:f t="shared" si="7"/>
        <x:v>0</x:v>
      </x:c>
      <x:c r="K21" s="249">
        <x:f t="shared" si="7"/>
        <x:v>0</x:v>
      </x:c>
      <x:c r="L21" s="249">
        <x:f t="shared" si="7"/>
        <x:v>0</x:v>
      </x:c>
      <x:c r="M21" s="249">
        <x:f>C21+E21+G21+I21+K21</x:f>
        <x:v>0</x:v>
      </x:c>
      <x:c r="N21" s="249">
        <x:f t="shared" ref="N21" si="8">SUM(N19:N20)</x:f>
        <x:v>0</x:v>
      </x:c>
    </x:row>
    <x:row r="24" spans="2:14" ht="14.6" x14ac:dyDescent="0.4">
      <x:c r="B24" s="208" t="s">
        <x:v>154</x:v>
      </x:c>
      <x:c r="C24" s="209"/>
    </x:row>
    <x:row r="25" spans="2:14" x14ac:dyDescent="0.3">
      <x:c r="C25" s="774" t="s">
        <x:v>99</x:v>
      </x:c>
      <x:c r="D25" s="774"/>
      <x:c r="E25" s="774" t="s">
        <x:v>100</x:v>
      </x:c>
      <x:c r="F25" s="774"/>
      <x:c r="G25" s="774" t="s">
        <x:v>101</x:v>
      </x:c>
      <x:c r="H25" s="774"/>
      <x:c r="I25" s="774" t="s">
        <x:v>102</x:v>
      </x:c>
      <x:c r="J25" s="774"/>
      <x:c r="K25" s="774" t="s">
        <x:v>103</x:v>
      </x:c>
      <x:c r="L25" s="774"/>
      <x:c r="M25" s="774" t="s">
        <x:v>2</x:v>
      </x:c>
      <x:c r="N25" s="774"/>
    </x:row>
    <x:row r="26" spans="2:14" x14ac:dyDescent="0.3">
      <x:c r="C26" s="210" t="s">
        <x:v>149</x:v>
      </x:c>
      <x:c r="D26" s="210" t="s">
        <x:v>150</x:v>
      </x:c>
      <x:c r="E26" s="210" t="s">
        <x:v>149</x:v>
      </x:c>
      <x:c r="F26" s="210" t="s">
        <x:v>150</x:v>
      </x:c>
      <x:c r="G26" s="210" t="s">
        <x:v>149</x:v>
      </x:c>
      <x:c r="H26" s="210" t="s">
        <x:v>150</x:v>
      </x:c>
      <x:c r="I26" s="210" t="s">
        <x:v>149</x:v>
      </x:c>
      <x:c r="J26" s="210" t="s">
        <x:v>150</x:v>
      </x:c>
      <x:c r="K26" s="210" t="s">
        <x:v>149</x:v>
      </x:c>
      <x:c r="L26" s="210" t="s">
        <x:v>150</x:v>
      </x:c>
      <x:c r="M26" s="210" t="s">
        <x:v>149</x:v>
      </x:c>
      <x:c r="N26" s="210" t="s">
        <x:v>150</x:v>
      </x:c>
    </x:row>
    <x:row r="27" spans="2:14" x14ac:dyDescent="0.3">
      <x:c r="B27" s="210" t="s">
        <x:v>151</x:v>
      </x:c>
      <x:c r="C27" s="245">
        <x:v>0</x:v>
      </x:c>
      <x:c r="D27" s="245">
        <x:v>0</x:v>
      </x:c>
      <x:c r="E27" s="245">
        <x:v>0</x:v>
      </x:c>
      <x:c r="F27" s="245">
        <x:v>0</x:v>
      </x:c>
      <x:c r="G27" s="245">
        <x:v>0</x:v>
      </x:c>
      <x:c r="H27" s="245">
        <x:v>0</x:v>
      </x:c>
      <x:c r="I27" s="245">
        <x:v>0</x:v>
      </x:c>
      <x:c r="J27" s="245">
        <x:v>0</x:v>
      </x:c>
      <x:c r="K27" s="244">
        <x:v>0</x:v>
      </x:c>
      <x:c r="L27" s="245">
        <x:v>0</x:v>
      </x:c>
      <x:c r="M27" s="245">
        <x:f>C27+E27+G27+I27+K27</x:f>
        <x:v>0</x:v>
      </x:c>
      <x:c r="N27" s="245">
        <x:f>D27+F27+H27+J27+L27</x:f>
        <x:v>0</x:v>
      </x:c>
    </x:row>
    <x:row r="28" spans="2:14" x14ac:dyDescent="0.3">
      <x:c r="B28" s="210" t="s">
        <x:v>152</x:v>
      </x:c>
      <x:c r="C28" s="245">
        <x:v>0</x:v>
      </x:c>
      <x:c r="D28" s="245">
        <x:v>0</x:v>
      </x:c>
      <x:c r="E28" s="245">
        <x:v>0</x:v>
      </x:c>
      <x:c r="F28" s="245">
        <x:v>0</x:v>
      </x:c>
      <x:c r="G28" s="245">
        <x:v>0</x:v>
      </x:c>
      <x:c r="H28" s="245">
        <x:v>0</x:v>
      </x:c>
      <x:c r="I28" s="245">
        <x:v>0</x:v>
      </x:c>
      <x:c r="J28" s="245">
        <x:v>0</x:v>
      </x:c>
      <x:c r="K28" s="244">
        <x:v>0</x:v>
      </x:c>
      <x:c r="L28" s="245">
        <x:v>0</x:v>
      </x:c>
      <x:c r="M28" s="245">
        <x:f>C28+E28+G28+I28+K28</x:f>
        <x:v>0</x:v>
      </x:c>
      <x:c r="N28" s="245">
        <x:f>D28+F28+H28+J28+L28</x:f>
        <x:v>0</x:v>
      </x:c>
    </x:row>
    <x:row r="29" spans="2:14" x14ac:dyDescent="0.3">
      <x:c r="B29" s="211" t="s">
        <x:v>2</x:v>
      </x:c>
      <x:c r="C29" s="249">
        <x:f t="shared" ref="C29:N29" si="9">SUM(C27:C28)</x:f>
        <x:v>0</x:v>
      </x:c>
      <x:c r="D29" s="249">
        <x:f t="shared" si="9"/>
        <x:v>0</x:v>
      </x:c>
      <x:c r="E29" s="249">
        <x:f t="shared" si="9"/>
        <x:v>0</x:v>
      </x:c>
      <x:c r="F29" s="249">
        <x:f t="shared" si="9"/>
        <x:v>0</x:v>
      </x:c>
      <x:c r="G29" s="249">
        <x:f t="shared" si="9"/>
        <x:v>0</x:v>
      </x:c>
      <x:c r="H29" s="249">
        <x:f t="shared" si="9"/>
        <x:v>0</x:v>
      </x:c>
      <x:c r="I29" s="249">
        <x:f t="shared" si="9"/>
        <x:v>0</x:v>
      </x:c>
      <x:c r="J29" s="249">
        <x:f t="shared" si="9"/>
        <x:v>0</x:v>
      </x:c>
      <x:c r="K29" s="249">
        <x:f t="shared" si="9"/>
        <x:v>0</x:v>
      </x:c>
      <x:c r="L29" s="249">
        <x:f t="shared" si="9"/>
        <x:v>0</x:v>
      </x:c>
      <x:c r="M29" s="249">
        <x:f t="shared" si="9"/>
        <x:v>0</x:v>
      </x:c>
      <x:c r="N29" s="249">
        <x:f t="shared" si="9"/>
        <x:v>0</x:v>
      </x:c>
    </x:row>
    <x:row r="32" spans="2:14" x14ac:dyDescent="0.3">
      <x:c r="B32" s="209" t="s">
        <x:v>155</x:v>
      </x:c>
    </x:row>
    <x:row r="33" spans="2:14" x14ac:dyDescent="0.3">
      <x:c r="C33" s="774" t="s">
        <x:v>99</x:v>
      </x:c>
      <x:c r="D33" s="774"/>
      <x:c r="E33" s="774" t="s">
        <x:v>100</x:v>
      </x:c>
      <x:c r="F33" s="774"/>
      <x:c r="G33" s="774" t="s">
        <x:v>101</x:v>
      </x:c>
      <x:c r="H33" s="774"/>
      <x:c r="I33" s="774" t="s">
        <x:v>102</x:v>
      </x:c>
      <x:c r="J33" s="774"/>
      <x:c r="K33" s="774" t="s">
        <x:v>103</x:v>
      </x:c>
      <x:c r="L33" s="774"/>
      <x:c r="M33" s="774" t="s">
        <x:v>2</x:v>
      </x:c>
      <x:c r="N33" s="774"/>
    </x:row>
    <x:row r="34" spans="2:14" x14ac:dyDescent="0.3">
      <x:c r="C34" s="210" t="s">
        <x:v>149</x:v>
      </x:c>
      <x:c r="D34" s="210" t="s">
        <x:v>150</x:v>
      </x:c>
      <x:c r="E34" s="210" t="s">
        <x:v>149</x:v>
      </x:c>
      <x:c r="F34" s="210" t="s">
        <x:v>150</x:v>
      </x:c>
      <x:c r="G34" s="210" t="s">
        <x:v>149</x:v>
      </x:c>
      <x:c r="H34" s="210" t="s">
        <x:v>150</x:v>
      </x:c>
      <x:c r="I34" s="210" t="s">
        <x:v>149</x:v>
      </x:c>
      <x:c r="J34" s="210" t="s">
        <x:v>150</x:v>
      </x:c>
      <x:c r="K34" s="210" t="s">
        <x:v>149</x:v>
      </x:c>
      <x:c r="L34" s="210" t="s">
        <x:v>150</x:v>
      </x:c>
      <x:c r="M34" s="210" t="s">
        <x:v>149</x:v>
      </x:c>
      <x:c r="N34" s="210" t="s">
        <x:v>150</x:v>
      </x:c>
    </x:row>
    <x:row r="35" spans="2:14" x14ac:dyDescent="0.3">
      <x:c r="B35" s="210" t="s">
        <x:v>151</x:v>
      </x:c>
      <x:c r="C35" s="245">
        <x:v>0</x:v>
      </x:c>
      <x:c r="D35" s="245">
        <x:v>0</x:v>
      </x:c>
      <x:c r="E35" s="245">
        <x:v>0</x:v>
      </x:c>
      <x:c r="F35" s="245">
        <x:v>0</x:v>
      </x:c>
      <x:c r="G35" s="245">
        <x:v>0</x:v>
      </x:c>
      <x:c r="H35" s="245">
        <x:v>0</x:v>
      </x:c>
      <x:c r="I35" s="245">
        <x:v>0</x:v>
      </x:c>
      <x:c r="J35" s="245">
        <x:v>0</x:v>
      </x:c>
      <x:c r="K35" s="244">
        <x:v>0</x:v>
      </x:c>
      <x:c r="L35" s="245">
        <x:v>0</x:v>
      </x:c>
      <x:c r="M35" s="245">
        <x:f>C35+E35+G35+I35+K35</x:f>
        <x:v>0</x:v>
      </x:c>
      <x:c r="N35" s="245">
        <x:f>D35+F35+H35+J35+L35</x:f>
        <x:v>0</x:v>
      </x:c>
    </x:row>
    <x:row r="36" spans="2:14" x14ac:dyDescent="0.3">
      <x:c r="B36" s="210" t="s">
        <x:v>152</x:v>
      </x:c>
      <x:c r="C36" s="245">
        <x:v>0</x:v>
      </x:c>
      <x:c r="D36" s="245">
        <x:v>0</x:v>
      </x:c>
      <x:c r="E36" s="245">
        <x:v>0</x:v>
      </x:c>
      <x:c r="F36" s="245">
        <x:v>0</x:v>
      </x:c>
      <x:c r="G36" s="245">
        <x:v>0</x:v>
      </x:c>
      <x:c r="H36" s="245">
        <x:v>0</x:v>
      </x:c>
      <x:c r="I36" s="245">
        <x:v>0</x:v>
      </x:c>
      <x:c r="J36" s="245">
        <x:v>0</x:v>
      </x:c>
      <x:c r="K36" s="244">
        <x:v>0</x:v>
      </x:c>
      <x:c r="L36" s="245">
        <x:v>0</x:v>
      </x:c>
      <x:c r="M36" s="245">
        <x:f>C36+E36+G36+I36+K36</x:f>
        <x:v>0</x:v>
      </x:c>
      <x:c r="N36" s="245">
        <x:f>D36+F36+H36+J36+L36</x:f>
        <x:v>0</x:v>
      </x:c>
    </x:row>
    <x:row r="37" spans="2:14" x14ac:dyDescent="0.3">
      <x:c r="B37" s="211" t="s">
        <x:v>2</x:v>
      </x:c>
      <x:c r="C37" s="249">
        <x:f>SUM(C35:C36)</x:f>
        <x:v>0</x:v>
      </x:c>
      <x:c r="D37" s="249">
        <x:f t="shared" ref="D37:L37" si="10">SUM(D35:D36)</x:f>
        <x:v>0</x:v>
      </x:c>
      <x:c r="E37" s="249">
        <x:f t="shared" si="10"/>
        <x:v>0</x:v>
      </x:c>
      <x:c r="F37" s="249">
        <x:f t="shared" si="10"/>
        <x:v>0</x:v>
      </x:c>
      <x:c r="G37" s="249">
        <x:f t="shared" si="10"/>
        <x:v>0</x:v>
      </x:c>
      <x:c r="H37" s="249">
        <x:f t="shared" si="10"/>
        <x:v>0</x:v>
      </x:c>
      <x:c r="I37" s="249">
        <x:f t="shared" si="10"/>
        <x:v>0</x:v>
      </x:c>
      <x:c r="J37" s="249">
        <x:f t="shared" si="10"/>
        <x:v>0</x:v>
      </x:c>
      <x:c r="K37" s="249">
        <x:f t="shared" si="10"/>
        <x:v>0</x:v>
      </x:c>
      <x:c r="L37" s="249">
        <x:f t="shared" si="10"/>
        <x:v>0</x:v>
      </x:c>
      <x:c r="M37" s="249">
        <x:f>SUM(M35:M36)</x:f>
        <x:v>0</x:v>
      </x:c>
      <x:c r="N37" s="249">
        <x:f t="shared" ref="N37" si="11">SUM(N35:N36)</x:f>
        <x:v>0</x:v>
      </x:c>
    </x:row>
    <x:row r="39" spans="2:14" x14ac:dyDescent="0.3">
      <x:c r="L39" s="212"/>
    </x:row>
    <x:row r="40" spans="2:14" x14ac:dyDescent="0.3">
      <x:c r="B40" s="742" t="s">
        <x:v>326</x:v>
      </x:c>
    </x:row>
    <x:row r="41" spans="2:14" x14ac:dyDescent="0.3">
      <x:c r="C41" s="774" t="s">
        <x:v>99</x:v>
      </x:c>
      <x:c r="D41" s="774"/>
      <x:c r="E41" s="774" t="s">
        <x:v>100</x:v>
      </x:c>
      <x:c r="F41" s="774"/>
      <x:c r="G41" s="774" t="s">
        <x:v>101</x:v>
      </x:c>
      <x:c r="H41" s="774"/>
      <x:c r="I41" s="774" t="s">
        <x:v>102</x:v>
      </x:c>
      <x:c r="J41" s="774"/>
      <x:c r="K41" s="774" t="s">
        <x:v>103</x:v>
      </x:c>
      <x:c r="L41" s="774"/>
      <x:c r="M41" s="774" t="s">
        <x:v>2</x:v>
      </x:c>
      <x:c r="N41" s="774"/>
    </x:row>
    <x:row r="42" spans="2:14" x14ac:dyDescent="0.3">
      <x:c r="C42" s="210" t="s">
        <x:v>149</x:v>
      </x:c>
      <x:c r="D42" s="210" t="s">
        <x:v>150</x:v>
      </x:c>
      <x:c r="E42" s="210" t="s">
        <x:v>149</x:v>
      </x:c>
      <x:c r="F42" s="210" t="s">
        <x:v>150</x:v>
      </x:c>
      <x:c r="G42" s="210" t="s">
        <x:v>149</x:v>
      </x:c>
      <x:c r="H42" s="210" t="s">
        <x:v>150</x:v>
      </x:c>
      <x:c r="I42" s="210" t="s">
        <x:v>149</x:v>
      </x:c>
      <x:c r="J42" s="210" t="s">
        <x:v>150</x:v>
      </x:c>
      <x:c r="K42" s="210" t="s">
        <x:v>149</x:v>
      </x:c>
      <x:c r="L42" s="210" t="s">
        <x:v>150</x:v>
      </x:c>
      <x:c r="M42" s="210" t="s">
        <x:v>149</x:v>
      </x:c>
      <x:c r="N42" s="210" t="s">
        <x:v>150</x:v>
      </x:c>
    </x:row>
    <x:row r="43" spans="2:14" x14ac:dyDescent="0.3">
      <x:c r="B43" s="210" t="s">
        <x:v>151</x:v>
      </x:c>
      <x:c r="C43" s="245">
        <x:v>0</x:v>
      </x:c>
      <x:c r="D43" s="245">
        <x:v>0</x:v>
      </x:c>
      <x:c r="E43" s="245">
        <x:v>0</x:v>
      </x:c>
      <x:c r="F43" s="245">
        <x:v>0</x:v>
      </x:c>
      <x:c r="G43" s="245">
        <x:v>0</x:v>
      </x:c>
      <x:c r="H43" s="245">
        <x:v>0</x:v>
      </x:c>
      <x:c r="I43" s="245">
        <x:v>0</x:v>
      </x:c>
      <x:c r="J43" s="245">
        <x:v>0</x:v>
      </x:c>
      <x:c r="K43" s="244">
        <x:v>0</x:v>
      </x:c>
      <x:c r="L43" s="245">
        <x:v>0</x:v>
      </x:c>
      <x:c r="M43" s="245">
        <x:f>C43+E43+G43+I43+K43</x:f>
        <x:v>0</x:v>
      </x:c>
      <x:c r="N43" s="245">
        <x:f>D43+F43+H43+J43+L43</x:f>
        <x:v>0</x:v>
      </x:c>
    </x:row>
    <x:row r="44" spans="2:14" x14ac:dyDescent="0.3">
      <x:c r="B44" s="210" t="s">
        <x:v>152</x:v>
      </x:c>
      <x:c r="C44" s="245">
        <x:v>0</x:v>
      </x:c>
      <x:c r="D44" s="245">
        <x:v>0</x:v>
      </x:c>
      <x:c r="E44" s="245">
        <x:v>0</x:v>
      </x:c>
      <x:c r="F44" s="245">
        <x:v>0</x:v>
      </x:c>
      <x:c r="G44" s="245">
        <x:v>0</x:v>
      </x:c>
      <x:c r="H44" s="245">
        <x:v>0</x:v>
      </x:c>
      <x:c r="I44" s="245">
        <x:v>0</x:v>
      </x:c>
      <x:c r="J44" s="245">
        <x:v>0</x:v>
      </x:c>
      <x:c r="K44" s="244">
        <x:v>0</x:v>
      </x:c>
      <x:c r="L44" s="245">
        <x:v>0</x:v>
      </x:c>
      <x:c r="M44" s="245">
        <x:f>C44+E44+G44+I44+K44</x:f>
        <x:v>0</x:v>
      </x:c>
      <x:c r="N44" s="245">
        <x:f>D44+F44+H44+J44+L44</x:f>
        <x:v>0</x:v>
      </x:c>
    </x:row>
    <x:row r="45" spans="2:14" x14ac:dyDescent="0.3">
      <x:c r="B45" s="211" t="s">
        <x:v>2</x:v>
      </x:c>
      <x:c r="C45" s="249">
        <x:f>SUM(C43:C44)</x:f>
        <x:v>0</x:v>
      </x:c>
      <x:c r="D45" s="249">
        <x:f t="shared" ref="D45:J45" si="12">SUM(D43:D44)</x:f>
        <x:v>0</x:v>
      </x:c>
      <x:c r="E45" s="249">
        <x:f t="shared" si="12"/>
        <x:v>0</x:v>
      </x:c>
      <x:c r="F45" s="249">
        <x:f t="shared" si="12"/>
        <x:v>0</x:v>
      </x:c>
      <x:c r="G45" s="249">
        <x:f t="shared" si="12"/>
        <x:v>0</x:v>
      </x:c>
      <x:c r="H45" s="249">
        <x:f t="shared" si="12"/>
        <x:v>0</x:v>
      </x:c>
      <x:c r="I45" s="249">
        <x:f t="shared" si="12"/>
        <x:v>0</x:v>
      </x:c>
      <x:c r="J45" s="249">
        <x:f t="shared" si="12"/>
        <x:v>0</x:v>
      </x:c>
      <x:c r="K45" s="249">
        <x:f>SUM(K43:K44)</x:f>
        <x:v>0</x:v>
      </x:c>
      <x:c r="L45" s="249">
        <x:f>SUM(L43:L44)</x:f>
        <x:v>0</x:v>
      </x:c>
      <x:c r="M45" s="249">
        <x:f>SUM(M43:M44)</x:f>
        <x:v>0</x:v>
      </x:c>
      <x:c r="N45" s="249">
        <x:f t="shared" ref="N45" si="13">SUM(N43:N44)</x:f>
        <x:v>0</x:v>
      </x:c>
    </x:row>
  </x:sheetData>
  <x:mergeCells count="36">
    <x:mergeCell ref="M41:N41"/>
    <x:mergeCell ref="C41:D41"/>
    <x:mergeCell ref="E41:F41"/>
    <x:mergeCell ref="G41:H41"/>
    <x:mergeCell ref="I41:J41"/>
    <x:mergeCell ref="K41:L41"/>
    <x:mergeCell ref="M1:N1"/>
    <x:mergeCell ref="C1:D1"/>
    <x:mergeCell ref="E1:F1"/>
    <x:mergeCell ref="G1:H1"/>
    <x:mergeCell ref="I1:J1"/>
    <x:mergeCell ref="K1:L1"/>
    <x:mergeCell ref="M25:N25"/>
    <x:mergeCell ref="C17:D17"/>
    <x:mergeCell ref="E17:F17"/>
    <x:mergeCell ref="G17:H17"/>
    <x:mergeCell ref="I17:J17"/>
    <x:mergeCell ref="K17:L17"/>
    <x:mergeCell ref="M17:N17"/>
    <x:mergeCell ref="C25:D25"/>
    <x:mergeCell ref="E25:F25"/>
    <x:mergeCell ref="G25:H25"/>
    <x:mergeCell ref="I25:J25"/>
    <x:mergeCell ref="K25:L25"/>
    <x:mergeCell ref="M9:N9"/>
    <x:mergeCell ref="C9:D9"/>
    <x:mergeCell ref="E9:F9"/>
    <x:mergeCell ref="G9:H9"/>
    <x:mergeCell ref="I9:J9"/>
    <x:mergeCell ref="K9:L9"/>
    <x:mergeCell ref="M33:N33"/>
    <x:mergeCell ref="C33:D33"/>
    <x:mergeCell ref="E33:F33"/>
    <x:mergeCell ref="G33:H33"/>
    <x:mergeCell ref="I33:J33"/>
    <x:mergeCell ref="K33:L33"/>
  </x:mergeCells>
  <x:pageMargins left="0.7" right="0.7" top="0.75" bottom="0.75" header="0.3" footer="0.3"/>
  <x:ignoredErrors>
    <x:ignoredError sqref="L6" formula="1"/>
  </x:ignoredErrors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tabColor rgb="FFFFC000"/>
  </x:sheetPr>
  <x:dimension ref="B1:T27"/>
  <x:sheetViews>
    <x:sheetView workbookViewId="0">
      <x:selection activeCell="C24" sqref="C24"/>
    </x:sheetView>
  </x:sheetViews>
  <x:sheetFormatPr baseColWidth="10" defaultRowHeight="12.45" x14ac:dyDescent="0.3"/>
  <x:cols>
    <x:col min="1" max="1" width="2.3828125" customWidth="1"/>
    <x:col min="2" max="2" width="8" customWidth="1"/>
    <x:col min="3" max="3" width="15.84375" bestFit="1" customWidth="1"/>
    <x:col min="4" max="4" width="1.84375" style="238" customWidth="1"/>
    <x:col min="5" max="5" width="14.84375" customWidth="1"/>
    <x:col min="6" max="6" width="15.84375" bestFit="1" customWidth="1"/>
    <x:col min="7" max="7" width="1.84375" style="238" customWidth="1"/>
    <x:col min="8" max="8" width="9.15234375" customWidth="1"/>
    <x:col min="9" max="9" width="15.84375" bestFit="1" customWidth="1"/>
    <x:col min="10" max="10" width="1.84375" style="238" customWidth="1"/>
    <x:col min="11" max="11" width="14.15234375" customWidth="1"/>
    <x:col min="12" max="12" width="17.3828125" customWidth="1"/>
    <x:col min="13" max="13" width="1.84375" style="238" customWidth="1"/>
    <x:col min="14" max="14" width="14.15234375" customWidth="1"/>
    <x:col min="15" max="15" width="17.3828125" customWidth="1"/>
    <x:col min="16" max="16" width="1.84375" style="238" customWidth="1"/>
    <x:col min="17" max="17" width="20.15234375" customWidth="1"/>
    <x:col min="18" max="18" width="15.84375" bestFit="1" customWidth="1"/>
    <x:col min="19" max="19" width="3.53515625" customWidth="1"/>
    <x:col min="20" max="20" width="48.3828125" bestFit="1" customWidth="1"/>
  </x:cols>
  <x:sheetData>
    <x:row r="1" spans="2:20" ht="12.9" thickBot="1" x14ac:dyDescent="0.35">
      <x:c r="B1" s="142" t="s">
        <x:v>2</x:v>
      </x:c>
      <x:c r="E1" t="s">
        <x:v>165</x:v>
      </x:c>
      <x:c r="H1" t="s">
        <x:v>155</x:v>
      </x:c>
      <x:c r="K1" s="723" t="s">
        <x:v>326</x:v>
      </x:c>
      <x:c r="L1" s="723"/>
      <x:c r="N1" t="s">
        <x:v>119</x:v>
      </x:c>
      <x:c r="Q1" t="s">
        <x:v>166</x:v>
      </x:c>
    </x:row>
    <x:row r="2" spans="2:20" ht="35.15" thickBot="1" x14ac:dyDescent="0.35">
      <x:c r="B2" s="11" t="s">
        <x:v>3</x:v>
      </x:c>
      <x:c r="C2" s="12" t="s">
        <x:v>114</x:v>
      </x:c>
      <x:c r="E2" s="11" t="s">
        <x:v>3</x:v>
      </x:c>
      <x:c r="F2" s="12" t="s">
        <x:v>114</x:v>
      </x:c>
      <x:c r="H2" s="11" t="s">
        <x:v>3</x:v>
      </x:c>
      <x:c r="I2" s="12" t="s">
        <x:v>114</x:v>
      </x:c>
      <x:c r="K2" s="11" t="s">
        <x:v>3</x:v>
      </x:c>
      <x:c r="L2" s="12" t="s">
        <x:v>114</x:v>
      </x:c>
      <x:c r="N2" s="11" t="s">
        <x:v>3</x:v>
      </x:c>
      <x:c r="O2" s="12" t="s">
        <x:v>114</x:v>
      </x:c>
      <x:c r="Q2" s="11" t="s">
        <x:v>3</x:v>
      </x:c>
      <x:c r="R2" s="12" t="s">
        <x:v>114</x:v>
      </x:c>
      <x:c r="T2" t="s">
        <x:v>94</x:v>
      </x:c>
    </x:row>
    <x:row r="3" spans="2:20" x14ac:dyDescent="0.3">
      <x:c r="B3" s="14">
        <x:v>1</x:v>
      </x:c>
      <x:c r="C3" s="15">
        <x:f>'REPORTE RECAUDO x BANCO'!I14</x:f>
        <x:v>0</x:v>
      </x:c>
      <x:c r="E3" s="14">
        <x:v>1</x:v>
      </x:c>
      <x:c r="F3" s="15">
        <x:f>'REPORTE RECAUDO x BANCO'!F14</x:f>
        <x:v>0</x:v>
      </x:c>
      <x:c r="H3" s="14">
        <x:v>1</x:v>
      </x:c>
      <x:c r="I3" s="15">
        <x:f>'REPORTE RECAUDO x BANCO'!C14</x:f>
        <x:v>0</x:v>
      </x:c>
      <x:c r="K3" s="14">
        <x:v>1</x:v>
      </x:c>
      <x:c r="L3" s="15">
        <x:f>'REPORTE RECAUDO x BANCO'!G14</x:f>
        <x:v>0</x:v>
      </x:c>
      <x:c r="N3" s="14">
        <x:v>1</x:v>
      </x:c>
      <x:c r="O3" s="15">
        <x:f>'REPORTE RECAUDO x BANCO'!H14</x:f>
        <x:v>0</x:v>
      </x:c>
      <x:c r="Q3" s="14">
        <x:v>1</x:v>
      </x:c>
      <x:c r="R3" s="15">
        <x:f>'REPORTE RECAUDO x BANCO'!D14+'REPORTE RECAUDO x BANCO'!E14</x:f>
        <x:v>0</x:v>
      </x:c>
      <x:c r="T3" t="s">
        <x:v>95</x:v>
      </x:c>
    </x:row>
    <x:row r="4" spans="2:20" x14ac:dyDescent="0.3">
      <x:c r="B4" s="16">
        <x:v>2</x:v>
      </x:c>
      <x:c r="C4" s="15">
        <x:f>'REPORTE RECAUDO x BANCO'!I24</x:f>
        <x:v>0</x:v>
      </x:c>
      <x:c r="E4" s="16">
        <x:v>2</x:v>
      </x:c>
      <x:c r="F4" s="15">
        <x:f>'REPORTE RECAUDO x BANCO'!F24</x:f>
        <x:v>0</x:v>
      </x:c>
      <x:c r="H4" s="16">
        <x:v>2</x:v>
      </x:c>
      <x:c r="I4" s="15">
        <x:f>'REPORTE RECAUDO x BANCO'!C24</x:f>
        <x:v>0</x:v>
      </x:c>
      <x:c r="K4" s="16">
        <x:v>2</x:v>
      </x:c>
      <x:c r="L4" s="15">
        <x:f>'REPORTE RECAUDO x BANCO'!G24</x:f>
        <x:v>0</x:v>
      </x:c>
      <x:c r="N4" s="16">
        <x:v>2</x:v>
      </x:c>
      <x:c r="O4" s="15">
        <x:f>'REPORTE RECAUDO x BANCO'!H24</x:f>
        <x:v>0</x:v>
      </x:c>
      <x:c r="Q4" s="16">
        <x:v>2</x:v>
      </x:c>
      <x:c r="R4" s="15">
        <x:f>'REPORTE RECAUDO x BANCO'!D24+'REPORTE RECAUDO x BANCO'!E24</x:f>
        <x:v>0</x:v>
      </x:c>
    </x:row>
    <x:row r="5" spans="2:20" x14ac:dyDescent="0.3">
      <x:c r="B5" s="16">
        <x:v>3</x:v>
      </x:c>
      <x:c r="C5" s="15">
        <x:f>'REPORTE RECAUDO x BANCO'!I33</x:f>
        <x:v>0</x:v>
      </x:c>
      <x:c r="E5" s="16">
        <x:v>3</x:v>
      </x:c>
      <x:c r="F5" s="15">
        <x:f>'REPORTE RECAUDO x BANCO'!F33</x:f>
        <x:v>0</x:v>
      </x:c>
      <x:c r="H5" s="16">
        <x:v>3</x:v>
      </x:c>
      <x:c r="I5" s="15">
        <x:f>'REPORTE RECAUDO x BANCO'!C33</x:f>
        <x:v>0</x:v>
      </x:c>
      <x:c r="K5" s="16">
        <x:v>3</x:v>
      </x:c>
      <x:c r="L5" s="15">
        <x:f>'REPORTE RECAUDO x BANCO'!G33</x:f>
        <x:v>0</x:v>
      </x:c>
      <x:c r="N5" s="16">
        <x:v>3</x:v>
      </x:c>
      <x:c r="O5" s="15">
        <x:f>'REPORTE RECAUDO x BANCO'!H33</x:f>
        <x:v>0</x:v>
      </x:c>
      <x:c r="Q5" s="16">
        <x:v>3</x:v>
      </x:c>
      <x:c r="R5" s="15">
        <x:f>'REPORTE RECAUDO x BANCO'!D33+'REPORTE RECAUDO x BANCO'!E33</x:f>
        <x:v>0</x:v>
      </x:c>
    </x:row>
    <x:row r="6" spans="2:20" x14ac:dyDescent="0.3">
      <x:c r="B6" s="16">
        <x:v>4</x:v>
      </x:c>
      <x:c r="C6" s="15">
        <x:f>'REPORTE RECAUDO x BANCO'!I42</x:f>
        <x:v>0</x:v>
      </x:c>
      <x:c r="E6" s="16">
        <x:v>4</x:v>
      </x:c>
      <x:c r="F6" s="15">
        <x:f>'REPORTE RECAUDO x BANCO'!F42</x:f>
        <x:v>0</x:v>
      </x:c>
      <x:c r="H6" s="16">
        <x:v>4</x:v>
      </x:c>
      <x:c r="I6" s="15">
        <x:f>'REPORTE RECAUDO x BANCO'!C42</x:f>
        <x:v>0</x:v>
      </x:c>
      <x:c r="K6" s="16">
        <x:v>4</x:v>
      </x:c>
      <x:c r="L6" s="15">
        <x:f>'REPORTE RECAUDO x BANCO'!G42</x:f>
        <x:v>0</x:v>
      </x:c>
      <x:c r="N6" s="16">
        <x:v>4</x:v>
      </x:c>
      <x:c r="O6" s="15">
        <x:f>'REPORTE RECAUDO x BANCO'!H42</x:f>
        <x:v>0</x:v>
      </x:c>
      <x:c r="Q6" s="16">
        <x:v>4</x:v>
      </x:c>
      <x:c r="R6" s="15">
        <x:f>'REPORTE RECAUDO x BANCO'!D42+'REPORTE RECAUDO x BANCO'!E42</x:f>
        <x:v>0</x:v>
      </x:c>
    </x:row>
    <x:row r="7" spans="2:20" ht="12.9" thickBot="1" x14ac:dyDescent="0.35">
      <x:c r="B7" s="19">
        <x:v>5</x:v>
      </x:c>
      <x:c r="C7" s="15">
        <x:f>'REPORTE RECAUDO x BANCO'!I52</x:f>
        <x:v>0</x:v>
      </x:c>
      <x:c r="E7" s="19">
        <x:v>5</x:v>
      </x:c>
      <x:c r="F7" s="15">
        <x:f>'REPORTE RECAUDO x BANCO'!F52</x:f>
        <x:v>0</x:v>
      </x:c>
      <x:c r="H7" s="19">
        <x:v>5</x:v>
      </x:c>
      <x:c r="I7" s="15">
        <x:f>'REPORTE RECAUDO x BANCO'!C52</x:f>
        <x:v>0</x:v>
      </x:c>
      <x:c r="K7" s="19">
        <x:v>5</x:v>
      </x:c>
      <x:c r="L7" s="15">
        <x:f>'REPORTE RECAUDO x BANCO'!G52</x:f>
        <x:v>0</x:v>
      </x:c>
      <x:c r="N7" s="19">
        <x:v>5</x:v>
      </x:c>
      <x:c r="O7" s="15">
        <x:f>'REPORTE RECAUDO x BANCO'!H52</x:f>
        <x:v>0</x:v>
      </x:c>
      <x:c r="Q7" s="19">
        <x:v>5</x:v>
      </x:c>
      <x:c r="R7" s="15">
        <x:f>'REPORTE RECAUDO x BANCO'!D52+'REPORTE RECAUDO x BANCO'!E52</x:f>
        <x:v>0</x:v>
      </x:c>
    </x:row>
    <x:row r="8" spans="2:20" ht="12.9" thickBot="1" x14ac:dyDescent="0.35">
      <x:c r="B8" s="21"/>
      <x:c r="C8" s="47">
        <x:f>SUM(C3:C7)</x:f>
        <x:v>0</x:v>
      </x:c>
      <x:c r="E8" s="21"/>
      <x:c r="F8" s="47">
        <x:f>SUM(F3:F7)</x:f>
        <x:v>0</x:v>
      </x:c>
      <x:c r="H8" s="21"/>
      <x:c r="I8" s="47">
        <x:f>SUM(I3:I7)</x:f>
        <x:v>0</x:v>
      </x:c>
      <x:c r="K8" s="21"/>
      <x:c r="L8" s="47">
        <x:f>SUM(L3:L7)</x:f>
        <x:v>0</x:v>
      </x:c>
      <x:c r="N8" s="21"/>
      <x:c r="O8" s="47">
        <x:f>SUM(O3:O7)</x:f>
        <x:v>0</x:v>
      </x:c>
      <x:c r="Q8" s="21"/>
      <x:c r="R8" s="47">
        <x:f>SUM(R3:R7)</x:f>
        <x:v>0</x:v>
      </x:c>
    </x:row>
    <x:row r="9" spans="2:20" x14ac:dyDescent="0.3">
      <x:c r="C9" s="209" t="b">
        <x:f>C8='REPORTE RECAUDO x BANCO'!I3</x:f>
        <x:v>1</x:v>
      </x:c>
      <x:c r="F9" s="209" t="b">
        <x:f>F8='REPORTE RECAUDO x BANCO'!F3</x:f>
        <x:v>1</x:v>
      </x:c>
      <x:c r="I9" s="209" t="b">
        <x:f>I8='REPORTE RECAUDO x BANCO'!C3</x:f>
        <x:v>1</x:v>
      </x:c>
      <x:c r="L9" s="209" t="b">
        <x:f>L8='REPORTE RECAUDO x BANCO'!G3</x:f>
        <x:v>1</x:v>
      </x:c>
      <x:c r="O9" s="209" t="b">
        <x:f>O8='REPORTE RECAUDO x BANCO'!H3</x:f>
        <x:v>1</x:v>
      </x:c>
      <x:c r="R9" s="209" t="b">
        <x:f>R8='REPORTE RECAUDO x BANCO'!D3+'REPORTE RECAUDO x BANCO'!E3</x:f>
        <x:v>1</x:v>
      </x:c>
    </x:row>
    <x:row r="10" spans="2:20" ht="12.9" thickBot="1" x14ac:dyDescent="0.35"/>
    <x:row r="11" spans="2:20" ht="46.75" thickBot="1" x14ac:dyDescent="0.35">
      <x:c r="B11" s="11" t="s">
        <x:v>3</x:v>
      </x:c>
      <x:c r="C11" s="12" t="s">
        <x:v>145</x:v>
      </x:c>
      <x:c r="E11" s="11" t="s">
        <x:v>3</x:v>
      </x:c>
      <x:c r="F11" s="12" t="s">
        <x:v>145</x:v>
      </x:c>
      <x:c r="H11" s="11" t="s">
        <x:v>3</x:v>
      </x:c>
      <x:c r="I11" s="12" t="s">
        <x:v>145</x:v>
      </x:c>
      <x:c r="K11" s="11" t="s">
        <x:v>3</x:v>
      </x:c>
      <x:c r="L11" s="12" t="s">
        <x:v>145</x:v>
      </x:c>
      <x:c r="N11" s="11" t="s">
        <x:v>3</x:v>
      </x:c>
      <x:c r="O11" s="12" t="s">
        <x:v>145</x:v>
      </x:c>
      <x:c r="Q11" s="11" t="s">
        <x:v>3</x:v>
      </x:c>
      <x:c r="R11" s="12" t="s">
        <x:v>145</x:v>
      </x:c>
      <x:c r="T11" s="142" t="s">
        <x:v>146</x:v>
      </x:c>
    </x:row>
    <x:row r="12" spans="2:20" x14ac:dyDescent="0.3">
      <x:c r="B12" s="14">
        <x:v>1</x:v>
      </x:c>
      <x:c r="C12" s="15">
        <x:f>'ANT EXT-REV'!C4</x:f>
        <x:v>0</x:v>
      </x:c>
      <x:c r="E12" s="14">
        <x:v>1</x:v>
      </x:c>
      <x:c r="F12" s="15">
        <x:f>'ANT EXT-REV'!C20</x:f>
        <x:v>0</x:v>
      </x:c>
      <x:c r="H12" s="14">
        <x:v>1</x:v>
      </x:c>
      <x:c r="I12" s="15">
        <x:f>'ANT EXT-REV'!C36</x:f>
        <x:v>0</x:v>
      </x:c>
      <x:c r="K12" s="14">
        <x:v>1</x:v>
      </x:c>
      <x:c r="L12" s="15">
        <x:f>'ANT EXT-REV'!C44</x:f>
        <x:v>0</x:v>
      </x:c>
      <x:c r="N12" s="14">
        <x:v>1</x:v>
      </x:c>
      <x:c r="O12" s="15">
        <x:f>'ANT EXT-REV'!C12</x:f>
        <x:v>0</x:v>
      </x:c>
      <x:c r="Q12" s="14">
        <x:v>1</x:v>
      </x:c>
      <x:c r="R12" s="15">
        <x:f>'ANT EXT-REV'!C28</x:f>
        <x:v>0</x:v>
      </x:c>
      <x:c r="T12" s="142" t="s">
        <x:v>147</x:v>
      </x:c>
    </x:row>
    <x:row r="13" spans="2:20" x14ac:dyDescent="0.3">
      <x:c r="B13" s="16">
        <x:v>2</x:v>
      </x:c>
      <x:c r="C13" s="15">
        <x:f>'ANT EXT-REV'!E4</x:f>
        <x:v>0</x:v>
      </x:c>
      <x:c r="E13" s="16">
        <x:v>2</x:v>
      </x:c>
      <x:c r="F13" s="15">
        <x:f>'ANT EXT-REV'!E20</x:f>
        <x:v>0</x:v>
      </x:c>
      <x:c r="H13" s="16">
        <x:v>2</x:v>
      </x:c>
      <x:c r="I13" s="15">
        <x:f>'ANT EXT-REV'!E36</x:f>
        <x:v>0</x:v>
      </x:c>
      <x:c r="K13" s="16">
        <x:v>2</x:v>
      </x:c>
      <x:c r="L13" s="15">
        <x:f>'ANT EXT-REV'!E44</x:f>
        <x:v>0</x:v>
      </x:c>
      <x:c r="N13" s="16">
        <x:v>2</x:v>
      </x:c>
      <x:c r="O13" s="15">
        <x:f>'ANT EXT-REV'!E12</x:f>
        <x:v>0</x:v>
      </x:c>
      <x:c r="Q13" s="16">
        <x:v>2</x:v>
      </x:c>
      <x:c r="R13" s="15">
        <x:f>'ANT EXT-REV'!E28</x:f>
        <x:v>0</x:v>
      </x:c>
    </x:row>
    <x:row r="14" spans="2:20" x14ac:dyDescent="0.3">
      <x:c r="B14" s="16">
        <x:v>3</x:v>
      </x:c>
      <x:c r="C14" s="15">
        <x:f>'ANT EXT-REV'!G4</x:f>
        <x:v>0</x:v>
      </x:c>
      <x:c r="E14" s="16">
        <x:v>3</x:v>
      </x:c>
      <x:c r="F14" s="15">
        <x:f>'ANT EXT-REV'!G20</x:f>
        <x:v>0</x:v>
      </x:c>
      <x:c r="H14" s="16">
        <x:v>3</x:v>
      </x:c>
      <x:c r="I14" s="15">
        <x:f>'ANT EXT-REV'!G36</x:f>
        <x:v>0</x:v>
      </x:c>
      <x:c r="K14" s="16">
        <x:v>3</x:v>
      </x:c>
      <x:c r="L14" s="15">
        <x:f>'ANT EXT-REV'!G44</x:f>
        <x:v>0</x:v>
      </x:c>
      <x:c r="N14" s="16">
        <x:v>3</x:v>
      </x:c>
      <x:c r="O14" s="15">
        <x:f>'ANT EXT-REV'!G12</x:f>
        <x:v>0</x:v>
      </x:c>
      <x:c r="Q14" s="16">
        <x:v>3</x:v>
      </x:c>
      <x:c r="R14" s="15">
        <x:f>'ANT EXT-REV'!G28</x:f>
        <x:v>0</x:v>
      </x:c>
    </x:row>
    <x:row r="15" spans="2:20" x14ac:dyDescent="0.3">
      <x:c r="B15" s="16">
        <x:v>4</x:v>
      </x:c>
      <x:c r="C15" s="15">
        <x:f>'ANT EXT-REV'!I4</x:f>
        <x:v>0</x:v>
      </x:c>
      <x:c r="E15" s="16">
        <x:v>4</x:v>
      </x:c>
      <x:c r="F15" s="15">
        <x:f>'ANT EXT-REV'!I20</x:f>
        <x:v>0</x:v>
      </x:c>
      <x:c r="H15" s="16">
        <x:v>4</x:v>
      </x:c>
      <x:c r="I15" s="15">
        <x:f>'ANT EXT-REV'!I36</x:f>
        <x:v>0</x:v>
      </x:c>
      <x:c r="K15" s="16">
        <x:v>4</x:v>
      </x:c>
      <x:c r="L15" s="15">
        <x:f>'ANT EXT-REV'!I44</x:f>
        <x:v>0</x:v>
      </x:c>
      <x:c r="N15" s="16">
        <x:v>4</x:v>
      </x:c>
      <x:c r="O15" s="15">
        <x:f>'ANT EXT-REV'!I12</x:f>
        <x:v>0</x:v>
      </x:c>
      <x:c r="Q15" s="16">
        <x:v>4</x:v>
      </x:c>
      <x:c r="R15" s="15">
        <x:f>'ANT EXT-REV'!I28</x:f>
        <x:v>0</x:v>
      </x:c>
    </x:row>
    <x:row r="16" spans="2:20" ht="12.9" thickBot="1" x14ac:dyDescent="0.35">
      <x:c r="B16" s="19">
        <x:v>5</x:v>
      </x:c>
      <x:c r="C16" s="15">
        <x:f>'ANT EXT-REV'!K4</x:f>
        <x:v>0</x:v>
      </x:c>
      <x:c r="E16" s="19">
        <x:v>5</x:v>
      </x:c>
      <x:c r="F16" s="15">
        <x:f>'ANT EXT-REV'!K20</x:f>
        <x:v>0</x:v>
      </x:c>
      <x:c r="H16" s="19">
        <x:v>5</x:v>
      </x:c>
      <x:c r="I16" s="15">
        <x:f>'ANT EXT-REV'!K36</x:f>
        <x:v>0</x:v>
      </x:c>
      <x:c r="K16" s="19">
        <x:v>5</x:v>
      </x:c>
      <x:c r="L16" s="15">
        <x:f>'ANT EXT-REV'!K44</x:f>
        <x:v>0</x:v>
      </x:c>
      <x:c r="N16" s="19">
        <x:v>5</x:v>
      </x:c>
      <x:c r="O16" s="15">
        <x:f>'ANT EXT-REV'!K12</x:f>
        <x:v>0</x:v>
      </x:c>
      <x:c r="Q16" s="19">
        <x:v>5</x:v>
      </x:c>
      <x:c r="R16" s="15">
        <x:f>'ANT EXT-REV'!K28</x:f>
        <x:v>0</x:v>
      </x:c>
    </x:row>
    <x:row r="17" spans="2:20" ht="12.9" thickBot="1" x14ac:dyDescent="0.35">
      <x:c r="B17" s="21"/>
      <x:c r="C17" s="47">
        <x:f>SUM(C12:C16)</x:f>
        <x:v>0</x:v>
      </x:c>
      <x:c r="E17" s="21"/>
      <x:c r="F17" s="47">
        <x:f>SUM(F12:F16)</x:f>
        <x:v>0</x:v>
      </x:c>
      <x:c r="H17" s="21"/>
      <x:c r="I17" s="47">
        <x:f>SUM(I12:I16)</x:f>
        <x:v>0</x:v>
      </x:c>
      <x:c r="K17" s="21"/>
      <x:c r="L17" s="47">
        <x:f>SUM(L12:L16)</x:f>
        <x:v>0</x:v>
      </x:c>
      <x:c r="N17" s="21"/>
      <x:c r="O17" s="47">
        <x:f>SUM(O12:O16)</x:f>
        <x:v>0</x:v>
      </x:c>
      <x:c r="Q17" s="21"/>
      <x:c r="R17" s="47">
        <x:f>SUM(R12:R16)</x:f>
        <x:v>0</x:v>
      </x:c>
    </x:row>
    <x:row r="18" spans="2:20" x14ac:dyDescent="0.3">
      <x:c r="C18" s="209" t="b">
        <x:f>C17='ANT EXT-REV'!M4</x:f>
        <x:v>1</x:v>
      </x:c>
      <x:c r="F18" s="209" t="b">
        <x:f>F17='ANT EXT-REV'!M20</x:f>
        <x:v>1</x:v>
      </x:c>
      <x:c r="I18" s="209" t="b">
        <x:f>I17='ANT EXT-REV'!M36</x:f>
        <x:v>1</x:v>
      </x:c>
      <x:c r="L18" s="209" t="b">
        <x:f>L17='ANT EXT-REV'!M44</x:f>
        <x:v>1</x:v>
      </x:c>
      <x:c r="O18" s="209" t="b">
        <x:f>O17='ANT EXT-REV'!M12</x:f>
        <x:v>1</x:v>
      </x:c>
      <x:c r="R18" s="209" t="b">
        <x:f>R17='ANT EXT-REV'!M28</x:f>
        <x:v>1</x:v>
      </x:c>
    </x:row>
    <x:row r="19" spans="2:20" ht="12.9" thickBot="1" x14ac:dyDescent="0.35"/>
    <x:row r="20" spans="2:20" ht="35.15" thickBot="1" x14ac:dyDescent="0.35">
      <x:c r="B20" s="11" t="s">
        <x:v>3</x:v>
      </x:c>
      <x:c r="C20" s="12" t="s">
        <x:v>170</x:v>
      </x:c>
      <x:c r="E20" s="11" t="s">
        <x:v>3</x:v>
      </x:c>
      <x:c r="F20" s="12" t="s">
        <x:v>170</x:v>
      </x:c>
      <x:c r="H20" s="11" t="s">
        <x:v>3</x:v>
      </x:c>
      <x:c r="I20" s="12" t="s">
        <x:v>170</x:v>
      </x:c>
      <x:c r="K20" s="11" t="s">
        <x:v>3</x:v>
      </x:c>
      <x:c r="L20" s="12" t="s">
        <x:v>170</x:v>
      </x:c>
      <x:c r="N20" s="11" t="s">
        <x:v>3</x:v>
      </x:c>
      <x:c r="O20" s="12" t="s">
        <x:v>170</x:v>
      </x:c>
      <x:c r="Q20" s="11" t="s">
        <x:v>3</x:v>
      </x:c>
      <x:c r="R20" s="12" t="s">
        <x:v>170</x:v>
      </x:c>
      <x:c r="T20" s="142" t="s">
        <x:v>171</x:v>
      </x:c>
    </x:row>
    <x:row r="21" spans="2:20" x14ac:dyDescent="0.3">
      <x:c r="B21" s="14">
        <x:v>1</x:v>
      </x:c>
      <x:c r="C21" s="15">
        <x:f>'ANT EXT-REV'!D4</x:f>
        <x:v>0</x:v>
      </x:c>
      <x:c r="E21" s="14">
        <x:v>1</x:v>
      </x:c>
      <x:c r="F21" s="15">
        <x:f>'ANT EXT-REV'!D20</x:f>
        <x:v>0</x:v>
      </x:c>
      <x:c r="H21" s="14">
        <x:v>1</x:v>
      </x:c>
      <x:c r="I21" s="15">
        <x:f>'ANT EXT-REV'!D36</x:f>
        <x:v>0</x:v>
      </x:c>
      <x:c r="K21" s="14">
        <x:v>1</x:v>
      </x:c>
      <x:c r="L21" s="15">
        <x:f>'ANT EXT-REV'!D44</x:f>
        <x:v>0</x:v>
      </x:c>
      <x:c r="N21" s="14">
        <x:v>1</x:v>
      </x:c>
      <x:c r="O21" s="15">
        <x:f>'ANT EXT-REV'!D12</x:f>
        <x:v>0</x:v>
      </x:c>
      <x:c r="Q21" s="14">
        <x:v>1</x:v>
      </x:c>
      <x:c r="R21" s="15">
        <x:f>'ANT EXT-REV'!D28</x:f>
        <x:v>0</x:v>
      </x:c>
      <x:c r="T21" s="142" t="s">
        <x:v>147</x:v>
      </x:c>
    </x:row>
    <x:row r="22" spans="2:20" x14ac:dyDescent="0.3">
      <x:c r="B22" s="16">
        <x:v>2</x:v>
      </x:c>
      <x:c r="C22" s="15">
        <x:f>'ANT EXT-REV'!F4</x:f>
        <x:v>0</x:v>
      </x:c>
      <x:c r="E22" s="16">
        <x:v>2</x:v>
      </x:c>
      <x:c r="F22" s="15">
        <x:f>'ANT EXT-REV'!F20</x:f>
        <x:v>0</x:v>
      </x:c>
      <x:c r="H22" s="16">
        <x:v>2</x:v>
      </x:c>
      <x:c r="I22" s="15">
        <x:f>'ANT EXT-REV'!F36</x:f>
        <x:v>0</x:v>
      </x:c>
      <x:c r="K22" s="16">
        <x:v>2</x:v>
      </x:c>
      <x:c r="L22" s="15">
        <x:f>'ANT EXT-REV'!F44</x:f>
        <x:v>0</x:v>
      </x:c>
      <x:c r="N22" s="16">
        <x:v>2</x:v>
      </x:c>
      <x:c r="O22" s="15">
        <x:f>'ANT EXT-REV'!F12</x:f>
        <x:v>0</x:v>
      </x:c>
      <x:c r="Q22" s="16">
        <x:v>2</x:v>
      </x:c>
      <x:c r="R22" s="15">
        <x:f>'ANT EXT-REV'!F28</x:f>
        <x:v>0</x:v>
      </x:c>
    </x:row>
    <x:row r="23" spans="2:20" x14ac:dyDescent="0.3">
      <x:c r="B23" s="16">
        <x:v>3</x:v>
      </x:c>
      <x:c r="C23" s="15">
        <x:f>'ANT EXT-REV'!H4</x:f>
        <x:v>0</x:v>
      </x:c>
      <x:c r="E23" s="16">
        <x:v>3</x:v>
      </x:c>
      <x:c r="F23" s="15">
        <x:f>'ANT EXT-REV'!H20</x:f>
        <x:v>0</x:v>
      </x:c>
      <x:c r="H23" s="16">
        <x:v>3</x:v>
      </x:c>
      <x:c r="I23" s="15">
        <x:f>'ANT EXT-REV'!H36</x:f>
        <x:v>0</x:v>
      </x:c>
      <x:c r="K23" s="16">
        <x:v>3</x:v>
      </x:c>
      <x:c r="L23" s="15">
        <x:f>'ANT EXT-REV'!H44</x:f>
        <x:v>0</x:v>
      </x:c>
      <x:c r="N23" s="16">
        <x:v>3</x:v>
      </x:c>
      <x:c r="O23" s="15">
        <x:f>'ANT EXT-REV'!H12</x:f>
        <x:v>0</x:v>
      </x:c>
      <x:c r="Q23" s="16">
        <x:v>3</x:v>
      </x:c>
      <x:c r="R23" s="15">
        <x:f>'ANT EXT-REV'!H28</x:f>
        <x:v>0</x:v>
      </x:c>
    </x:row>
    <x:row r="24" spans="2:20" x14ac:dyDescent="0.3">
      <x:c r="B24" s="16">
        <x:v>4</x:v>
      </x:c>
      <x:c r="C24" s="15">
        <x:f>'ANT EXT-REV'!J4</x:f>
        <x:v>0</x:v>
      </x:c>
      <x:c r="E24" s="16">
        <x:v>4</x:v>
      </x:c>
      <x:c r="F24" s="15">
        <x:f>'ANT EXT-REV'!J20</x:f>
        <x:v>0</x:v>
      </x:c>
      <x:c r="H24" s="16">
        <x:v>4</x:v>
      </x:c>
      <x:c r="I24" s="15">
        <x:f>'ANT EXT-REV'!J36</x:f>
        <x:v>0</x:v>
      </x:c>
      <x:c r="K24" s="16">
        <x:v>4</x:v>
      </x:c>
      <x:c r="L24" s="15">
        <x:f>'ANT EXT-REV'!J44</x:f>
        <x:v>0</x:v>
      </x:c>
      <x:c r="N24" s="16">
        <x:v>4</x:v>
      </x:c>
      <x:c r="O24" s="15">
        <x:f>'ANT EXT-REV'!J12</x:f>
        <x:v>0</x:v>
      </x:c>
      <x:c r="Q24" s="16">
        <x:v>4</x:v>
      </x:c>
      <x:c r="R24" s="15">
        <x:f>'ANT EXT-REV'!J28</x:f>
        <x:v>0</x:v>
      </x:c>
    </x:row>
    <x:row r="25" spans="2:20" ht="12.9" thickBot="1" x14ac:dyDescent="0.35">
      <x:c r="B25" s="19">
        <x:v>5</x:v>
      </x:c>
      <x:c r="C25" s="15">
        <x:f>'ANT EXT-REV'!L4</x:f>
        <x:v>0</x:v>
      </x:c>
      <x:c r="E25" s="19">
        <x:v>5</x:v>
      </x:c>
      <x:c r="F25" s="15">
        <x:f>'ANT EXT-REV'!L20</x:f>
        <x:v>0</x:v>
      </x:c>
      <x:c r="H25" s="19">
        <x:v>5</x:v>
      </x:c>
      <x:c r="I25" s="15">
        <x:f>'ANT EXT-REV'!L36</x:f>
        <x:v>0</x:v>
      </x:c>
      <x:c r="K25" s="19">
        <x:v>5</x:v>
      </x:c>
      <x:c r="L25" s="15">
        <x:f>'ANT EXT-REV'!L44</x:f>
        <x:v>0</x:v>
      </x:c>
      <x:c r="N25" s="19">
        <x:v>5</x:v>
      </x:c>
      <x:c r="O25" s="15">
        <x:f>'ANT EXT-REV'!L12</x:f>
        <x:v>0</x:v>
      </x:c>
      <x:c r="Q25" s="19">
        <x:v>5</x:v>
      </x:c>
      <x:c r="R25" s="15">
        <x:f>'ANT EXT-REV'!L28</x:f>
        <x:v>0</x:v>
      </x:c>
    </x:row>
    <x:row r="26" spans="2:20" ht="12.9" thickBot="1" x14ac:dyDescent="0.35">
      <x:c r="B26" s="21"/>
      <x:c r="C26" s="47">
        <x:f t="shared" ref="C26" si="0">SUM(C21:C25)</x:f>
        <x:v>0</x:v>
      </x:c>
      <x:c r="E26" s="21"/>
      <x:c r="F26" s="47">
        <x:f t="shared" ref="F26" si="1">SUM(F21:F25)</x:f>
        <x:v>0</x:v>
      </x:c>
      <x:c r="H26" s="21"/>
      <x:c r="I26" s="47">
        <x:f t="shared" ref="I26" si="2">SUM(I21:I25)</x:f>
        <x:v>0</x:v>
      </x:c>
      <x:c r="K26" s="21"/>
      <x:c r="L26" s="47">
        <x:f t="shared" ref="L26:O26" si="3">SUM(L21:L25)</x:f>
        <x:v>0</x:v>
      </x:c>
      <x:c r="N26" s="21"/>
      <x:c r="O26" s="47">
        <x:f t="shared" si="3"/>
        <x:v>0</x:v>
      </x:c>
      <x:c r="Q26" s="21"/>
      <x:c r="R26" s="47">
        <x:f t="shared" ref="R26" si="4">SUM(R21:R25)</x:f>
        <x:v>0</x:v>
      </x:c>
    </x:row>
    <x:row r="27" spans="2:20" x14ac:dyDescent="0.3">
      <x:c r="C27" s="209" t="b">
        <x:f>C26='ANT EXT-REV'!N4</x:f>
        <x:v>1</x:v>
      </x:c>
      <x:c r="F27" s="209" t="b">
        <x:f>F26='ANT EXT-REV'!N20</x:f>
        <x:v>1</x:v>
      </x:c>
      <x:c r="I27" s="209" t="b">
        <x:f>I26='ANT EXT-REV'!N36</x:f>
        <x:v>1</x:v>
      </x:c>
      <x:c r="L27" s="209" t="b">
        <x:f>L26='ANT EXT-REV'!N44</x:f>
        <x:v>1</x:v>
      </x:c>
      <x:c r="O27" s="209" t="b">
        <x:f>O26='ANT EXT-REV'!N12</x:f>
        <x:v>1</x:v>
      </x:c>
      <x:c r="R27" s="209" t="b">
        <x:f>R26='ANT EXT-REV'!N28</x:f>
        <x:v>1</x:v>
      </x:c>
    </x:row>
  </x:sheetData>
  <x:pageMargins left="0.7" right="0.7" top="0.75" bottom="0.75" header="0.3" footer="0.3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tabColor rgb="FF7030A0"/>
  </x:sheetPr>
  <x:dimension ref="A1:Q35"/>
  <x:sheetViews>
    <x:sheetView zoomScaleNormal="100" workbookViewId="0">
      <x:selection activeCell="D3" sqref="D3:E7"/>
    </x:sheetView>
  </x:sheetViews>
  <x:sheetFormatPr baseColWidth="10" defaultRowHeight="12.45" x14ac:dyDescent="0.3"/>
  <x:cols>
    <x:col min="3" max="3" width="11.3828125" style="123"/>
    <x:col min="4" max="4" width="19.15234375" customWidth="1"/>
    <x:col min="5" max="5" width="18.15234375" customWidth="1"/>
    <x:col min="6" max="7" width="18" customWidth="1"/>
    <x:col min="8" max="8" width="27.84375" customWidth="1"/>
    <x:col min="9" max="9" width="33.53515625" customWidth="1"/>
    <x:col min="13" max="13" width="28.3828125" customWidth="1"/>
    <x:col min="17" max="17" width="12.84375" bestFit="1" customWidth="1"/>
  </x:cols>
  <x:sheetData>
    <x:row r="1" spans="1:17" ht="12.9" thickBot="1" x14ac:dyDescent="0.35">
      <x:c r="H1" s="503" t="s">
        <x:v>1</x:v>
      </x:c>
    </x:row>
    <x:row r="2" spans="1:17" ht="15" thickBot="1" x14ac:dyDescent="0.45">
      <x:c r="C2" s="127" t="s">
        <x:v>3</x:v>
      </x:c>
      <x:c r="D2" s="128" t="s">
        <x:v>110</x:v>
      </x:c>
      <x:c r="E2" s="128" t="s">
        <x:v>109</x:v>
      </x:c>
      <x:c r="F2" s="129" t="s">
        <x:v>111</x:v>
      </x:c>
      <x:c r="G2" s="498"/>
      <x:c r="H2" s="502" t="s">
        <x:v>197</x:v>
      </x:c>
      <x:c r="M2" s="729"/>
      <x:c r="Q2" s="596"/>
    </x:row>
    <x:row r="3" spans="1:17" x14ac:dyDescent="0.3">
      <x:c r="C3" s="126">
        <x:v>1</x:v>
      </x:c>
      <x:c r="D3" s="592" t="n">
        <x:v>-1328072948.1</x:v>
      </x:c>
      <x:c r="E3" s="592" t="n">
        <x:v>3482023776.26</x:v>
      </x:c>
      <x:c r="F3" s="593">
        <x:f>D3+E3</x:f>
        <x:v>0</x:v>
      </x:c>
      <x:c r="G3" s="499"/>
      <x:c r="H3" s="612">
        <x:f>DetRetri2026101!J9</x:f>
        <x:v>0</x:v>
      </x:c>
      <x:c r="I3" s="276">
        <x:f>F3-H3</x:f>
        <x:v>0</x:v>
      </x:c>
    </x:row>
    <x:row r="4" spans="1:17" x14ac:dyDescent="0.3">
      <x:c r="C4" s="124">
        <x:v>2</x:v>
      </x:c>
      <x:c r="D4" s="602" t="n">
        <x:v>-6051831964.45</x:v>
      </x:c>
      <x:c r="E4" s="602" t="n">
        <x:v>1834686437.54</x:v>
      </x:c>
      <x:c r="F4" s="593">
        <x:f>D4+E4</x:f>
        <x:v>0</x:v>
      </x:c>
      <x:c r="G4" s="499"/>
      <x:c r="H4" s="613">
        <x:f>DetRetri2026101!J10</x:f>
        <x:v>0</x:v>
      </x:c>
      <x:c r="I4" s="276">
        <x:f t="shared" ref="I4:I7" si="0">F4-H4</x:f>
        <x:v>0</x:v>
      </x:c>
    </x:row>
    <x:row r="5" spans="1:17" x14ac:dyDescent="0.3">
      <x:c r="C5" s="124">
        <x:v>3</x:v>
      </x:c>
      <x:c r="D5" s="602" t="n">
        <x:v>-3105003372.71</x:v>
      </x:c>
      <x:c r="E5" s="602" t="n">
        <x:v>1816197035.62</x:v>
      </x:c>
      <x:c r="F5" s="593">
        <x:f>D5+E5</x:f>
        <x:v>0</x:v>
      </x:c>
      <x:c r="G5" s="499"/>
      <x:c r="H5" s="613">
        <x:f>DetRetri2026101!J11</x:f>
        <x:v>0</x:v>
      </x:c>
      <x:c r="I5" s="276">
        <x:f t="shared" si="0"/>
        <x:v>0</x:v>
      </x:c>
    </x:row>
    <x:row r="6" spans="1:17" x14ac:dyDescent="0.3">
      <x:c r="C6" s="124">
        <x:v>4</x:v>
      </x:c>
      <x:c r="D6" s="602" t="n">
        <x:v>-369325603.58</x:v>
      </x:c>
      <x:c r="E6" s="602" t="n">
        <x:v>430857557.27</x:v>
      </x:c>
      <x:c r="F6" s="593">
        <x:f>D6+E6</x:f>
        <x:v>0</x:v>
      </x:c>
      <x:c r="G6" s="499"/>
      <x:c r="H6" s="613">
        <x:f>DetRetri2026101!J12</x:f>
        <x:v>0</x:v>
      </x:c>
      <x:c r="I6" s="276">
        <x:f t="shared" si="0"/>
        <x:v>0</x:v>
      </x:c>
    </x:row>
    <x:row r="7" spans="1:17" ht="12.9" thickBot="1" x14ac:dyDescent="0.35">
      <x:c r="C7" s="125">
        <x:v>5</x:v>
      </x:c>
      <x:c r="D7" s="603" t="n">
        <x:v>-2387606939.31</x:v>
      </x:c>
      <x:c r="E7" s="603" t="n">
        <x:v>1141133844.9</x:v>
      </x:c>
      <x:c r="F7" s="594">
        <x:f>D7+E7</x:f>
        <x:v>0</x:v>
      </x:c>
      <x:c r="G7" s="499"/>
      <x:c r="H7" s="614">
        <x:f>DetRetri2026101!J13</x:f>
        <x:v>0</x:v>
      </x:c>
      <x:c r="I7" s="276">
        <x:f t="shared" si="0"/>
        <x:v>0</x:v>
      </x:c>
    </x:row>
    <x:row r="8" spans="1:17" ht="12.9" thickBot="1" x14ac:dyDescent="0.35">
      <x:c r="D8" s="144"/>
      <x:c r="E8" s="144"/>
      <x:c r="F8" s="144"/>
      <x:c r="G8" s="500"/>
      <x:c r="H8" s="143"/>
      <x:c r="I8" s="276"/>
    </x:row>
    <x:row r="9" spans="1:17" ht="12.9" thickBot="1" x14ac:dyDescent="0.35">
      <x:c r="D9" s="144"/>
      <x:c r="E9" s="144"/>
      <x:c r="F9" s="263">
        <x:f>SUM(F3:F7)</x:f>
        <x:v>0</x:v>
      </x:c>
      <x:c r="G9" s="499"/>
      <x:c r="H9" s="615">
        <x:f>SUM(H3:H7)</x:f>
        <x:v>0</x:v>
      </x:c>
      <x:c r="I9" s="276">
        <x:f>F9-H9</x:f>
        <x:v>0</x:v>
      </x:c>
    </x:row>
    <x:row r="10" spans="1:17" ht="12.9" thickBot="1" x14ac:dyDescent="0.35">
      <x:c r="D10" s="144"/>
      <x:c r="E10" s="144"/>
      <x:c r="F10" s="144"/>
      <x:c r="G10" s="500"/>
      <x:c r="H10" s="265" t="b">
        <x:f>H9=DetRetri2026101!J14</x:f>
        <x:v>1</x:v>
      </x:c>
    </x:row>
    <x:row r="11" spans="1:17" ht="12.9" thickBot="1" x14ac:dyDescent="0.35">
      <x:c r="D11" s="264">
        <x:f>SUM(D3:D7)</x:f>
        <x:v>0</x:v>
      </x:c>
      <x:c r="E11" s="264">
        <x:f t="shared" ref="E11" si="1">SUM(E3:E7)</x:f>
        <x:v>0</x:v>
      </x:c>
      <x:c r="F11" s="264">
        <x:f>SUM(D3:E7)</x:f>
        <x:v>0</x:v>
      </x:c>
      <x:c r="G11" s="501"/>
      <x:c r="H11" s="144"/>
    </x:row>
    <x:row r="12" spans="1:17" x14ac:dyDescent="0.3">
      <x:c r="D12" s="144"/>
      <x:c r="E12" s="144"/>
      <x:c r="F12" s="265" t="b">
        <x:f>ROUND(F11,2)=ROUND(F9,2)</x:f>
        <x:v>1</x:v>
      </x:c>
      <x:c r="H12" s="144"/>
    </x:row>
    <x:row r="13" spans="1:17" x14ac:dyDescent="0.3">
      <x:c r="D13" s="144"/>
      <x:c r="E13" s="144"/>
      <x:c r="F13" s="595">
        <x:f>ROUND(F11,2)-ROUND(F9,2)</x:f>
        <x:v>0</x:v>
      </x:c>
      <x:c r="G13" s="500"/>
      <x:c r="H13" s="144"/>
    </x:row>
    <x:row r="14" spans="1:17" x14ac:dyDescent="0.3">
      <x:c r="H14" s="143"/>
      <x:c r="I14" s="137"/>
    </x:row>
    <x:row r="15" spans="1:17" x14ac:dyDescent="0.3">
      <x:c r="H15" s="143"/>
      <x:c r="I15" s="137"/>
    </x:row>
    <x:row r="16" spans="1:17" x14ac:dyDescent="0.3">
      <x:c r="A16" s="238"/>
      <x:c r="B16" s="238"/>
      <x:c r="C16" s="495"/>
      <x:c r="D16" s="238"/>
      <x:c r="E16" s="238"/>
      <x:c r="F16" s="238"/>
      <x:c r="G16" s="238"/>
      <x:c r="H16" s="496"/>
      <x:c r="I16" s="497"/>
      <x:c r="J16" s="238"/>
    </x:row>
    <x:row r="17" spans="4:9" ht="12.9" thickBot="1" x14ac:dyDescent="0.35">
      <x:c r="D17" s="266"/>
      <x:c r="E17" s="266"/>
      <x:c r="F17" s="266"/>
      <x:c r="G17" s="266"/>
      <x:c r="H17" s="143"/>
      <x:c r="I17" s="137"/>
    </x:row>
    <x:row r="18" spans="4:9" ht="15" thickBot="1" x14ac:dyDescent="0.45">
      <x:c r="D18" s="127" t="s">
        <x:v>3</x:v>
      </x:c>
      <x:c r="E18" s="504" t="s">
        <x:v>196</x:v>
      </x:c>
      <x:c r="F18" s="508" t="s">
        <x:v>200</x:v>
      </x:c>
      <x:c r="G18" s="129" t="s">
        <x:v>199</x:v>
      </x:c>
      <x:c r="H18" s="509" t="s">
        <x:v>198</x:v>
      </x:c>
      <x:c r="I18" s="137"/>
    </x:row>
    <x:row r="19" spans="4:9" x14ac:dyDescent="0.3">
      <x:c r="D19" s="510">
        <x:v>1</x:v>
      </x:c>
      <x:c r="E19" s="513">
        <x:f>'CONSOLIDADO_TOTAL RECAUDO'!J104</x:f>
        <x:v>0</x:v>
      </x:c>
      <x:c r="F19" s="514" t="b">
        <x:f>E19=F3</x:f>
        <x:v>1</x:v>
      </x:c>
      <x:c r="G19" s="514" t="b">
        <x:f>E19=H3</x:f>
        <x:v>1</x:v>
      </x:c>
      <x:c r="H19" s="515">
        <x:f>E19-H3</x:f>
        <x:v>0</x:v>
      </x:c>
      <x:c r="I19" s="137"/>
    </x:row>
    <x:row r="20" spans="4:9" x14ac:dyDescent="0.3">
      <x:c r="D20" s="511">
        <x:v>2</x:v>
      </x:c>
      <x:c r="E20" s="516">
        <x:f>'CONSOLIDADO_TOTAL RECAUDO'!J105</x:f>
        <x:v>0</x:v>
      </x:c>
      <x:c r="F20" s="505" t="b">
        <x:f t="shared" ref="F20:F23" si="2">E20=F4</x:f>
        <x:v>1</x:v>
      </x:c>
      <x:c r="G20" s="505" t="b">
        <x:f t="shared" ref="G20:G23" si="3">E20=H4</x:f>
        <x:v>1</x:v>
      </x:c>
      <x:c r="H20" s="261">
        <x:f t="shared" ref="H20:H23" si="4">E20-H4</x:f>
        <x:v>0</x:v>
      </x:c>
      <x:c r="I20" s="137"/>
    </x:row>
    <x:row r="21" spans="4:9" x14ac:dyDescent="0.3">
      <x:c r="D21" s="511">
        <x:v>3</x:v>
      </x:c>
      <x:c r="E21" s="516">
        <x:f>'CONSOLIDADO_TOTAL RECAUDO'!J106</x:f>
        <x:v>0</x:v>
      </x:c>
      <x:c r="F21" s="505" t="b">
        <x:f t="shared" si="2"/>
        <x:v>1</x:v>
      </x:c>
      <x:c r="G21" s="505" t="b">
        <x:f t="shared" si="3"/>
        <x:v>1</x:v>
      </x:c>
      <x:c r="H21" s="261">
        <x:f t="shared" si="4"/>
        <x:v>0</x:v>
      </x:c>
    </x:row>
    <x:row r="22" spans="4:9" x14ac:dyDescent="0.3">
      <x:c r="D22" s="511">
        <x:v>4</x:v>
      </x:c>
      <x:c r="E22" s="516">
        <x:f>'CONSOLIDADO_TOTAL RECAUDO'!J107</x:f>
        <x:v>0</x:v>
      </x:c>
      <x:c r="F22" s="505" t="b">
        <x:f t="shared" si="2"/>
        <x:v>1</x:v>
      </x:c>
      <x:c r="G22" s="505" t="b">
        <x:f t="shared" si="3"/>
        <x:v>1</x:v>
      </x:c>
      <x:c r="H22" s="261">
        <x:f t="shared" si="4"/>
        <x:v>0</x:v>
      </x:c>
    </x:row>
    <x:row r="23" spans="4:9" ht="12.9" thickBot="1" x14ac:dyDescent="0.35">
      <x:c r="D23" s="512">
        <x:v>5</x:v>
      </x:c>
      <x:c r="E23" s="517">
        <x:f>'CONSOLIDADO_TOTAL RECAUDO'!J108</x:f>
        <x:v>0</x:v>
      </x:c>
      <x:c r="F23" s="518" t="b">
        <x:f t="shared" si="2"/>
        <x:v>1</x:v>
      </x:c>
      <x:c r="G23" s="518" t="b">
        <x:f t="shared" si="3"/>
        <x:v>1</x:v>
      </x:c>
      <x:c r="H23" s="262">
        <x:f t="shared" si="4"/>
        <x:v>0</x:v>
      </x:c>
    </x:row>
    <x:row r="24" spans="4:9" ht="12.9" thickBot="1" x14ac:dyDescent="0.35">
      <x:c r="E24" s="264">
        <x:f>SUM(E19:E23)</x:f>
        <x:v>0</x:v>
      </x:c>
      <x:c r="F24" s="506" t="b">
        <x:f>E24=F9</x:f>
        <x:v>1</x:v>
      </x:c>
      <x:c r="G24" s="507" t="b">
        <x:f>E24=H9</x:f>
        <x:v>1</x:v>
      </x:c>
      <x:c r="H24" s="263">
        <x:f>E24-H9</x:f>
        <x:v>0</x:v>
      </x:c>
    </x:row>
    <x:row r="26" spans="4:9" x14ac:dyDescent="0.3">
      <x:c r="F26" s="137"/>
    </x:row>
    <x:row r="28" spans="4:9" x14ac:dyDescent="0.3">
      <x:c r="F28" s="266"/>
    </x:row>
    <x:row r="29" spans="4:9" x14ac:dyDescent="0.3">
      <x:c r="F29" s="266"/>
    </x:row>
    <x:row r="30" spans="4:9" x14ac:dyDescent="0.3">
      <x:c r="F30" s="266"/>
    </x:row>
    <x:row r="31" spans="4:9" x14ac:dyDescent="0.3">
      <x:c r="F31" s="266"/>
    </x:row>
    <x:row r="32" spans="4:9" x14ac:dyDescent="0.3">
      <x:c r="F32" s="266"/>
    </x:row>
    <x:row r="33" spans="6:7" x14ac:dyDescent="0.3">
      <x:c r="F33" s="266"/>
    </x:row>
    <x:row r="34" spans="6:7" x14ac:dyDescent="0.3">
      <x:c r="F34" s="266"/>
      <x:c r="G34" s="137"/>
    </x:row>
    <x:row r="35" spans="6:7" x14ac:dyDescent="0.3">
      <x:c r="F35" s="266"/>
    </x:row>
  </x:sheetData>
  <x:conditionalFormatting sqref="F19:H24">
    <x:cfRule type="cellIs" dxfId="83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landscape" r:id="rId1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dimension ref="A1:AP712"/>
  <x:sheetViews>
    <x:sheetView tabSelected="1" zoomScale="50" zoomScaleNormal="50" workbookViewId="0">
      <x:pane ySplit="5" topLeftCell="A689" activePane="bottomLeft" state="frozen"/>
      <x:selection activeCell="D22" sqref="D22"/>
      <x:selection pane="bottomLeft" activeCell="G702" sqref="G702"/>
    </x:sheetView>
  </x:sheetViews>
  <x:sheetFormatPr baseColWidth="10" defaultRowHeight="12.45" x14ac:dyDescent="0.3"/>
  <x:cols>
    <x:col min="1" max="1" width="13.84375" customWidth="1"/>
    <x:col min="2" max="2" width="16.84375" customWidth="1"/>
    <x:col min="3" max="3" width="15.84375" bestFit="1" customWidth="1"/>
    <x:col min="4" max="4" width="16.84375" bestFit="1" customWidth="1"/>
    <x:col min="5" max="5" width="17" bestFit="1" customWidth="1"/>
    <x:col min="6" max="6" width="17.3828125" bestFit="1" customWidth="1"/>
    <x:col min="7" max="7" width="16.84375" bestFit="1" customWidth="1"/>
    <x:col min="8" max="8" width="16.15234375" bestFit="1" customWidth="1"/>
    <x:col min="9" max="9" width="19.15234375" customWidth="1"/>
    <x:col min="10" max="10" width="17" customWidth="1"/>
    <x:col min="11" max="11" width="17.15234375" bestFit="1" customWidth="1"/>
    <x:col min="12" max="12" width="22.3828125" bestFit="1" customWidth="1"/>
    <x:col min="13" max="13" width="16.84375" bestFit="1" customWidth="1"/>
    <x:col min="14" max="14" width="20.3828125" bestFit="1" customWidth="1"/>
    <x:col min="15" max="15" width="20.3828125" customWidth="1"/>
    <x:col min="16" max="16" width="20.3828125" bestFit="1" customWidth="1"/>
    <x:col min="17" max="17" width="25.15234375" customWidth="1"/>
    <x:col min="18" max="18" width="17.15234375" customWidth="1"/>
    <x:col min="19" max="19" width="24" customWidth="1"/>
    <x:col min="20" max="22" width="23.84375" customWidth="1"/>
    <x:col min="23" max="24" width="20" bestFit="1" customWidth="1"/>
    <x:col min="25" max="25" width="18.84375" customWidth="1"/>
    <x:col min="26" max="26" width="14.15234375" bestFit="1" customWidth="1"/>
  </x:cols>
  <x:sheetData>
    <x:row r="1" spans="2:26" x14ac:dyDescent="0.3">
      <x:c r="F1" s="638"/>
    </x:row>
    <x:row r="3" spans="2:26" s="238" customFormat="1" x14ac:dyDescent="0.3"/>
    <x:row r="4" spans="2:26" ht="13.5" customHeight="1" x14ac:dyDescent="0.3">
      <x:c r="B4" s="97" t="s">
        <x:v>74</x:v>
      </x:c>
    </x:row>
    <x:row r="5" spans="2:26" ht="12" customHeight="1" x14ac:dyDescent="0.3">
      <x:c r="F5" s="89" t="s">
        <x:v>70</x:v>
      </x:c>
      <x:c r="G5" s="89" t="s">
        <x:v>64</x:v>
      </x:c>
      <x:c r="H5" s="89" t="s">
        <x:v>65</x:v>
      </x:c>
      <x:c r="I5" s="218" t="s">
        <x:v>164</x:v>
      </x:c>
      <x:c r="J5" s="89" t="s">
        <x:v>69</x:v>
      </x:c>
      <x:c r="K5" s="89" t="s">
        <x:v>68</x:v>
      </x:c>
      <x:c r="L5" s="89" t="s">
        <x:v>71</x:v>
      </x:c>
      <x:c r="M5" s="89" t="s">
        <x:v>66</x:v>
      </x:c>
      <x:c r="N5" s="89" t="s">
        <x:v>63</x:v>
      </x:c>
      <x:c r="O5" s="89" t="s">
        <x:v>61</x:v>
      </x:c>
      <x:c r="P5" s="89" t="s">
        <x:v>62</x:v>
      </x:c>
      <x:c r="Q5" s="89" t="s">
        <x:v>67</x:v>
      </x:c>
      <x:c r="R5" s="89" t="s">
        <x:v>77</x:v>
      </x:c>
      <x:c r="S5" s="89" t="s">
        <x:v>80</x:v>
      </x:c>
      <x:c r="T5" s="89" t="s">
        <x:v>135</x:v>
      </x:c>
      <x:c r="U5" s="89" t="s">
        <x:v>173</x:v>
      </x:c>
      <x:c r="V5" s="89" t="s">
        <x:v>222</x:v>
      </x:c>
      <x:c r="W5" s="89" t="s">
        <x:v>173</x:v>
      </x:c>
      <x:c r="X5" t="s">
        <x:v>173</x:v>
      </x:c>
      <x:c r="Y5" s="89" t="s">
        <x:v>135</x:v>
      </x:c>
      <x:c r="Z5" s="89" t="s">
        <x:v>167</x:v>
      </x:c>
    </x:row>
    <x:row r="6" spans="2:26" x14ac:dyDescent="0.3">
      <x:c r="E6" t="s">
        <x:v>72</x:v>
      </x:c>
      <x:c r="F6" s="90" t="n">
        <x:v>-2015.07</x:v>
      </x:c>
      <x:c r="G6" s="90" t="n">
        <x:v>-122.1</x:v>
      </x:c>
      <x:c r="H6" s="90" t="n">
        <x:v>-51.87</x:v>
      </x:c>
      <x:c r="I6" s="90" t="n">
        <x:v>-22.65</x:v>
      </x:c>
      <x:c r="J6" s="90" t="n">
        <x:v>-369.44</x:v>
      </x:c>
      <x:c r="K6" s="90" t="n">
        <x:v>-23.88</x:v>
      </x:c>
      <x:c r="L6" s="90" t="n">
        <x:v>0</x:v>
      </x:c>
      <x:c r="M6" s="90" t="n">
        <x:v>-209.4</x:v>
      </x:c>
      <x:c r="N6" s="90" t="n">
        <x:v>-175.25</x:v>
      </x:c>
      <x:c r="O6" s="90" t="n">
        <x:v>-699.55</x:v>
      </x:c>
      <x:c r="P6" s="90" t="n">
        <x:v>-301.98</x:v>
      </x:c>
      <x:c r="Q6" s="90" t="n">
        <x:v>-38.95</x:v>
      </x:c>
      <x:c r="R6" s="90" t="n">
        <x:v>0</x:v>
      </x:c>
      <x:c r="S6" s="90" t="n">
        <x:v>0</x:v>
      </x:c>
      <x:c r="T6" s="90" t="n">
        <x:v>0</x:v>
      </x:c>
      <x:c r="U6">
        <x:v>0</x:v>
      </x:c>
      <x:c r="V6">
        <x:v>0</x:v>
      </x:c>
      <x:c r="W6">
        <x:v>0</x:v>
      </x:c>
      <x:c r="X6">
        <x:v>0</x:v>
      </x:c>
      <x:c r="Y6">
        <x:v>0</x:v>
      </x:c>
      <x:c r="Z6" s="90" t="n">
        <x:v>0</x:v>
      </x:c>
    </x:row>
    <x:row r="7" spans="2:26" x14ac:dyDescent="0.3">
      <x:c r="D7" t="s">
        <x:v>156</x:v>
      </x:c>
      <x:c r="E7" t="s">
        <x:v>70</x:v>
      </x:c>
      <x:c r="F7" s="90" t="n">
        <x:v>-2015.07</x:v>
      </x:c>
      <x:c r="G7" s="90" t="n">
        <x:v>-122.1</x:v>
      </x:c>
      <x:c r="H7" s="90" t="n">
        <x:v>-51.87</x:v>
      </x:c>
      <x:c r="I7" s="90" t="n">
        <x:v>-22.65</x:v>
      </x:c>
      <x:c r="J7" s="90" t="n">
        <x:v>-369.44</x:v>
      </x:c>
      <x:c r="K7" s="90" t="n">
        <x:v>-23.88</x:v>
      </x:c>
      <x:c r="L7" s="90" t="n">
        <x:v>0</x:v>
      </x:c>
      <x:c r="M7" s="90" t="n">
        <x:v>-209.4</x:v>
      </x:c>
      <x:c r="N7" s="90" t="n">
        <x:v>-175.25</x:v>
      </x:c>
      <x:c r="O7" s="90" t="n">
        <x:v>-699.55</x:v>
      </x:c>
      <x:c r="P7" s="90" t="n">
        <x:v>-301.98</x:v>
      </x:c>
      <x:c r="Q7" s="90" t="n">
        <x:v>-38.95</x:v>
      </x:c>
      <x:c r="R7" s="90" t="n">
        <x:v>0</x:v>
      </x:c>
      <x:c r="S7" s="90" t="n">
        <x:v>0</x:v>
      </x:c>
      <x:c r="T7" s="90" t="n">
        <x:v>0</x:v>
      </x:c>
      <x:c r="U7">
        <x:v>0</x:v>
      </x:c>
      <x:c r="V7">
        <x:v>0</x:v>
      </x:c>
      <x:c r="W7">
        <x:v>0</x:v>
      </x:c>
      <x:c r="X7">
        <x:v>0</x:v>
      </x:c>
      <x:c r="Y7">
        <x:v>0</x:v>
      </x:c>
      <x:c r="Z7" s="90" t="n">
        <x:v>0</x:v>
      </x:c>
    </x:row>
    <x:row r="8" spans="2:26" s="286" customFormat="1" x14ac:dyDescent="0.3">
      <x:c r="C8" s="286" t="s">
        <x:v>155</x:v>
      </x:c>
      <x:c r="D8" s="286" t="s">
        <x:v>70</x:v>
      </x:c>
      <x:c r="F8" s="230" t="n">
        <x:v>-2015.07</x:v>
      </x:c>
      <x:c r="G8" s="230" t="n">
        <x:v>-122.1</x:v>
      </x:c>
      <x:c r="H8" s="230" t="n">
        <x:v>-51.87</x:v>
      </x:c>
      <x:c r="I8" s="230" t="n">
        <x:v>-22.65</x:v>
      </x:c>
      <x:c r="J8" s="230" t="n">
        <x:v>-369.44</x:v>
      </x:c>
      <x:c r="K8" s="230" t="n">
        <x:v>-23.88</x:v>
      </x:c>
      <x:c r="L8" s="230" t="n">
        <x:v>0</x:v>
      </x:c>
      <x:c r="M8" s="230" t="n">
        <x:v>-209.4</x:v>
      </x:c>
      <x:c r="N8" s="230" t="n">
        <x:v>-175.25</x:v>
      </x:c>
      <x:c r="O8" s="230" t="n">
        <x:v>-699.55</x:v>
      </x:c>
      <x:c r="P8" s="230" t="n">
        <x:v>-301.98</x:v>
      </x:c>
      <x:c r="Q8" s="230" t="n">
        <x:v>-38.95</x:v>
      </x:c>
      <x:c r="R8" s="230" t="n">
        <x:v>0</x:v>
      </x:c>
      <x:c r="S8" s="230" t="n">
        <x:v>0</x:v>
      </x:c>
      <x:c r="T8" s="230" t="n">
        <x:v>0</x:v>
      </x:c>
      <x:c r="U8" s="286">
        <x:v>0</x:v>
      </x:c>
      <x:c r="V8" s="286">
        <x:v>0</x:v>
      </x:c>
      <x:c r="W8" s="286">
        <x:v>0</x:v>
      </x:c>
      <x:c r="X8" s="286">
        <x:v>0</x:v>
      </x:c>
      <x:c r="Y8" s="286">
        <x:v>0</x:v>
      </x:c>
      <x:c r="Z8" s="230" t="n">
        <x:v>0</x:v>
      </x:c>
    </x:row>
    <x:row r="9" spans="2:26" ht="12.75" customHeight="1" x14ac:dyDescent="0.3">
      <x:c r="E9" s="89" t="s">
        <x:v>72</x:v>
      </x:c>
      <x:c r="F9" s="371">
        <x:v>0</x:v>
      </x:c>
      <x:c r="G9" s="90">
        <x:v>0</x:v>
      </x:c>
      <x:c r="H9" s="90">
        <x:v>0</x:v>
      </x:c>
      <x:c r="I9" s="90">
        <x:v>0</x:v>
      </x:c>
      <x:c r="J9" s="90">
        <x:v>0</x:v>
      </x:c>
      <x:c r="K9" s="90">
        <x:v>0</x:v>
      </x:c>
      <x:c r="L9" s="90">
        <x:v>0</x:v>
      </x:c>
      <x:c r="M9" s="90">
        <x:v>0</x:v>
      </x:c>
      <x:c r="N9" s="90">
        <x:v>0</x:v>
      </x:c>
      <x:c r="O9" s="90">
        <x:v>0</x:v>
      </x:c>
      <x:c r="P9" s="90">
        <x:v>0</x:v>
      </x:c>
      <x:c r="Q9" s="90">
        <x:v>0</x:v>
      </x:c>
      <x:c r="R9" s="90">
        <x:v>0</x:v>
      </x:c>
      <x:c r="S9" s="90">
        <x:v>0</x:v>
      </x:c>
      <x:c r="T9" s="90">
        <x:v>0</x:v>
      </x:c>
      <x:c r="U9" s="90">
        <x:v>0</x:v>
      </x:c>
      <x:c r="V9" s="90">
        <x:v>0</x:v>
      </x:c>
      <x:c r="W9" s="90">
        <x:v>0</x:v>
      </x:c>
      <x:c r="X9" s="90">
        <x:v>0</x:v>
      </x:c>
      <x:c r="Y9" s="90">
        <x:v>0</x:v>
      </x:c>
      <x:c r="Z9" s="90">
        <x:v>0</x:v>
      </x:c>
    </x:row>
    <x:row r="10" spans="2:26" ht="12.75" customHeight="1" x14ac:dyDescent="0.3">
      <x:c r="D10" t="s">
        <x:v>82</x:v>
      </x:c>
      <x:c r="E10" s="89" t="s">
        <x:v>70</x:v>
      </x:c>
      <x:c r="F10" s="371">
        <x:v>0</x:v>
      </x:c>
      <x:c r="G10" s="90">
        <x:v>0</x:v>
      </x:c>
      <x:c r="H10" s="90">
        <x:v>0</x:v>
      </x:c>
      <x:c r="I10" s="90">
        <x:v>0</x:v>
      </x:c>
      <x:c r="J10" s="90">
        <x:v>0</x:v>
      </x:c>
      <x:c r="K10" s="90">
        <x:v>0</x:v>
      </x:c>
      <x:c r="L10" s="90">
        <x:v>0</x:v>
      </x:c>
      <x:c r="M10" s="90">
        <x:v>0</x:v>
      </x:c>
      <x:c r="N10" s="90">
        <x:v>0</x:v>
      </x:c>
      <x:c r="O10" s="90">
        <x:v>0</x:v>
      </x:c>
      <x:c r="P10" s="90">
        <x:v>0</x:v>
      </x:c>
      <x:c r="Q10" s="90">
        <x:v>0</x:v>
      </x:c>
      <x:c r="R10" s="90">
        <x:v>0</x:v>
      </x:c>
      <x:c r="S10" s="90">
        <x:v>0</x:v>
      </x:c>
      <x:c r="T10" s="90">
        <x:v>0</x:v>
      </x:c>
      <x:c r="U10" s="90">
        <x:v>0</x:v>
      </x:c>
      <x:c r="V10" s="90">
        <x:v>0</x:v>
      </x:c>
      <x:c r="W10" s="90">
        <x:v>0</x:v>
      </x:c>
      <x:c r="X10" s="90">
        <x:v>0</x:v>
      </x:c>
      <x:c r="Y10" s="90">
        <x:v>0</x:v>
      </x:c>
      <x:c r="Z10" s="90">
        <x:v>0</x:v>
      </x:c>
    </x:row>
    <x:row r="11" spans="2:26" ht="12.75" customHeight="1" x14ac:dyDescent="0.3">
      <x:c r="E11" s="89" t="s">
        <x:v>72</x:v>
      </x:c>
      <x:c r="F11" s="371">
        <x:v>0</x:v>
      </x:c>
      <x:c r="G11" s="90">
        <x:v>0</x:v>
      </x:c>
      <x:c r="H11" s="90">
        <x:v>0</x:v>
      </x:c>
      <x:c r="I11" s="90">
        <x:v>0</x:v>
      </x:c>
      <x:c r="J11" s="90">
        <x:v>0</x:v>
      </x:c>
      <x:c r="K11" s="90">
        <x:v>0</x:v>
      </x:c>
      <x:c r="L11" s="90">
        <x:v>0</x:v>
      </x:c>
      <x:c r="M11" s="90">
        <x:v>0</x:v>
      </x:c>
      <x:c r="N11" s="90">
        <x:v>0</x:v>
      </x:c>
      <x:c r="O11" s="90">
        <x:v>0</x:v>
      </x:c>
      <x:c r="P11" s="90">
        <x:v>0</x:v>
      </x:c>
      <x:c r="Q11" s="90">
        <x:v>0</x:v>
      </x:c>
      <x:c r="R11" s="90">
        <x:v>0</x:v>
      </x:c>
      <x:c r="S11" s="90">
        <x:v>0</x:v>
      </x:c>
      <x:c r="T11" s="90">
        <x:v>0</x:v>
      </x:c>
      <x:c r="U11" s="90">
        <x:v>0</x:v>
      </x:c>
      <x:c r="V11" s="90">
        <x:v>0</x:v>
      </x:c>
      <x:c r="W11" s="90">
        <x:v>0</x:v>
      </x:c>
      <x:c r="X11" s="90">
        <x:v>0</x:v>
      </x:c>
      <x:c r="Y11" s="90">
        <x:v>0</x:v>
      </x:c>
      <x:c r="Z11" s="90">
        <x:v>0</x:v>
      </x:c>
    </x:row>
    <x:row r="12" spans="2:26" ht="12.75" customHeight="1" x14ac:dyDescent="0.3">
      <x:c r="D12" t="s">
        <x:v>86</x:v>
      </x:c>
      <x:c r="E12" s="89" t="s">
        <x:v>70</x:v>
      </x:c>
      <x:c r="F12" s="371">
        <x:v>0</x:v>
      </x:c>
      <x:c r="G12" s="90">
        <x:v>0</x:v>
      </x:c>
      <x:c r="H12" s="90">
        <x:v>0</x:v>
      </x:c>
      <x:c r="I12" s="90">
        <x:v>0</x:v>
      </x:c>
      <x:c r="J12" s="90">
        <x:v>0</x:v>
      </x:c>
      <x:c r="K12" s="90">
        <x:v>0</x:v>
      </x:c>
      <x:c r="L12" s="90">
        <x:v>0</x:v>
      </x:c>
      <x:c r="M12" s="90">
        <x:v>0</x:v>
      </x:c>
      <x:c r="N12" s="90">
        <x:v>0</x:v>
      </x:c>
      <x:c r="O12" s="90">
        <x:v>0</x:v>
      </x:c>
      <x:c r="P12" s="90">
        <x:v>0</x:v>
      </x:c>
      <x:c r="Q12" s="90">
        <x:v>0</x:v>
      </x:c>
      <x:c r="R12" s="90">
        <x:v>0</x:v>
      </x:c>
      <x:c r="S12" s="90">
        <x:v>0</x:v>
      </x:c>
      <x:c r="T12" s="90">
        <x:v>0</x:v>
      </x:c>
      <x:c r="U12" s="90">
        <x:v>0</x:v>
      </x:c>
      <x:c r="V12" s="90">
        <x:v>0</x:v>
      </x:c>
      <x:c r="W12" s="90">
        <x:v>0</x:v>
      </x:c>
      <x:c r="X12" s="90">
        <x:v>0</x:v>
      </x:c>
      <x:c r="Y12" s="90">
        <x:v>0</x:v>
      </x:c>
      <x:c r="Z12" s="90">
        <x:v>0</x:v>
      </x:c>
    </x:row>
    <x:row r="13" spans="2:26" ht="12.75" customHeight="1" x14ac:dyDescent="0.3">
      <x:c r="E13" s="89" t="s">
        <x:v>72</x:v>
      </x:c>
      <x:c r="F13" s="371">
        <x:v>0</x:v>
      </x:c>
      <x:c r="G13" s="90">
        <x:v>0</x:v>
      </x:c>
      <x:c r="H13" s="90">
        <x:v>0</x:v>
      </x:c>
      <x:c r="I13" s="90">
        <x:v>0</x:v>
      </x:c>
      <x:c r="J13" s="90">
        <x:v>0</x:v>
      </x:c>
      <x:c r="K13" s="90">
        <x:v>0</x:v>
      </x:c>
      <x:c r="L13" s="90">
        <x:v>0</x:v>
      </x:c>
      <x:c r="M13" s="90">
        <x:v>0</x:v>
      </x:c>
      <x:c r="N13" s="90">
        <x:v>0</x:v>
      </x:c>
      <x:c r="O13" s="90">
        <x:v>0</x:v>
      </x:c>
      <x:c r="P13" s="90">
        <x:v>0</x:v>
      </x:c>
      <x:c r="Q13" s="90">
        <x:v>0</x:v>
      </x:c>
      <x:c r="R13" s="90">
        <x:v>0</x:v>
      </x:c>
      <x:c r="S13" s="90">
        <x:v>0</x:v>
      </x:c>
      <x:c r="T13" s="90">
        <x:v>0</x:v>
      </x:c>
      <x:c r="U13" s="90">
        <x:v>0</x:v>
      </x:c>
      <x:c r="V13" s="90">
        <x:v>0</x:v>
      </x:c>
      <x:c r="W13" s="90">
        <x:v>0</x:v>
      </x:c>
      <x:c r="X13" s="90">
        <x:v>0</x:v>
      </x:c>
      <x:c r="Y13" s="90">
        <x:v>0</x:v>
      </x:c>
      <x:c r="Z13" s="90">
        <x:v>0</x:v>
      </x:c>
    </x:row>
    <x:row r="14" spans="2:26" ht="12.75" customHeight="1" x14ac:dyDescent="0.3">
      <x:c r="D14" t="s">
        <x:v>87</x:v>
      </x:c>
      <x:c r="E14" s="89" t="s">
        <x:v>70</x:v>
      </x:c>
      <x:c r="F14" s="371">
        <x:v>0</x:v>
      </x:c>
      <x:c r="G14" s="90">
        <x:v>0</x:v>
      </x:c>
      <x:c r="H14" s="90">
        <x:v>0</x:v>
      </x:c>
      <x:c r="I14" s="90">
        <x:v>0</x:v>
      </x:c>
      <x:c r="J14" s="90">
        <x:v>0</x:v>
      </x:c>
      <x:c r="K14" s="90">
        <x:v>0</x:v>
      </x:c>
      <x:c r="L14" s="90">
        <x:v>0</x:v>
      </x:c>
      <x:c r="M14" s="90">
        <x:v>0</x:v>
      </x:c>
      <x:c r="N14" s="90">
        <x:v>0</x:v>
      </x:c>
      <x:c r="O14" s="90">
        <x:v>0</x:v>
      </x:c>
      <x:c r="P14" s="90">
        <x:v>0</x:v>
      </x:c>
      <x:c r="Q14" s="90">
        <x:v>0</x:v>
      </x:c>
      <x:c r="R14" s="90">
        <x:v>0</x:v>
      </x:c>
      <x:c r="S14" s="90">
        <x:v>0</x:v>
      </x:c>
      <x:c r="T14" s="90">
        <x:v>0</x:v>
      </x:c>
      <x:c r="U14" s="90">
        <x:v>0</x:v>
      </x:c>
      <x:c r="V14" s="90">
        <x:v>0</x:v>
      </x:c>
      <x:c r="W14" s="90">
        <x:v>0</x:v>
      </x:c>
      <x:c r="X14" s="90">
        <x:v>0</x:v>
      </x:c>
      <x:c r="Y14" s="90">
        <x:v>0</x:v>
      </x:c>
      <x:c r="Z14" s="90">
        <x:v>0</x:v>
      </x:c>
    </x:row>
    <x:row r="15" spans="2:26" s="94" customFormat="1" ht="12.75" customHeight="1" x14ac:dyDescent="0.3">
      <x:c r="C15" s="101" t="s">
        <x:v>119</x:v>
      </x:c>
      <x:c r="D15" s="101" t="s">
        <x:v>70</x:v>
      </x:c>
      <x:c r="F15" s="93">
        <x:v>0</x:v>
      </x:c>
      <x:c r="G15" s="93">
        <x:v>0</x:v>
      </x:c>
      <x:c r="H15" s="93">
        <x:v>0</x:v>
      </x:c>
      <x:c r="I15" s="93">
        <x:v>0</x:v>
      </x:c>
      <x:c r="J15" s="93">
        <x:v>0</x:v>
      </x:c>
      <x:c r="K15" s="93">
        <x:v>0</x:v>
      </x:c>
      <x:c r="L15" s="93">
        <x:v>0</x:v>
      </x:c>
      <x:c r="M15" s="93">
        <x:v>0</x:v>
      </x:c>
      <x:c r="N15" s="93">
        <x:v>0</x:v>
      </x:c>
      <x:c r="O15" s="93">
        <x:v>0</x:v>
      </x:c>
      <x:c r="P15" s="93">
        <x:v>0</x:v>
      </x:c>
      <x:c r="Q15" s="93">
        <x:v>0</x:v>
      </x:c>
      <x:c r="R15" s="93">
        <x:v>0</x:v>
      </x:c>
      <x:c r="S15" s="93">
        <x:v>0</x:v>
      </x:c>
      <x:c r="T15" s="93">
        <x:v>0</x:v>
      </x:c>
      <x:c r="U15" s="93">
        <x:v>0</x:v>
      </x:c>
      <x:c r="V15" s="93">
        <x:v>0</x:v>
      </x:c>
      <x:c r="W15" s="93">
        <x:v>0</x:v>
      </x:c>
      <x:c r="X15" s="93">
        <x:v>0</x:v>
      </x:c>
      <x:c r="Y15" s="93">
        <x:v>0</x:v>
      </x:c>
      <x:c r="Z15" s="93">
        <x:v>0</x:v>
      </x:c>
    </x:row>
    <x:row r="16" spans="2:26" ht="12.75" customHeight="1" x14ac:dyDescent="0.3">
      <x:c r="B16" t="s">
        <x:v>112</x:v>
      </x:c>
      <x:c r="C16" t="s">
        <x:v>70</x:v>
      </x:c>
      <x:c r="E16" s="89"/>
      <x:c r="F16" s="371" t="n">
        <x:v>-2015.07</x:v>
      </x:c>
      <x:c r="G16" s="90" t="n">
        <x:v>-122.1</x:v>
      </x:c>
      <x:c r="H16" s="90" t="n">
        <x:v>-51.87</x:v>
      </x:c>
      <x:c r="I16" s="90" t="n">
        <x:v>-22.65</x:v>
      </x:c>
      <x:c r="J16" s="90" t="n">
        <x:v>-369.44</x:v>
      </x:c>
      <x:c r="K16" s="90" t="n">
        <x:v>-23.88</x:v>
      </x:c>
      <x:c r="L16" s="90" t="n">
        <x:v>0</x:v>
      </x:c>
      <x:c r="M16" s="90" t="n">
        <x:v>-209.4</x:v>
      </x:c>
      <x:c r="N16" s="90" t="n">
        <x:v>-175.25</x:v>
      </x:c>
      <x:c r="O16" s="90" t="n">
        <x:v>-699.55</x:v>
      </x:c>
      <x:c r="P16" s="90" t="n">
        <x:v>-301.98</x:v>
      </x:c>
      <x:c r="Q16" s="90" t="n">
        <x:v>-38.95</x:v>
      </x:c>
      <x:c r="R16" s="90" t="n">
        <x:v>0</x:v>
      </x:c>
      <x:c r="S16" s="90" t="n">
        <x:v>0</x:v>
      </x:c>
      <x:c r="T16" s="90" t="n">
        <x:v>0</x:v>
      </x:c>
      <x:c r="U16" s="90">
        <x:v>0</x:v>
      </x:c>
      <x:c r="V16" s="90">
        <x:v>0</x:v>
      </x:c>
      <x:c r="W16" s="90">
        <x:v>0</x:v>
      </x:c>
      <x:c r="X16" s="90">
        <x:v>0</x:v>
      </x:c>
      <x:c r="Y16" s="90">
        <x:v>0</x:v>
      </x:c>
      <x:c r="Z16" s="90" t="n">
        <x:v>0</x:v>
      </x:c>
    </x:row>
    <x:row r="17" spans="1:26" s="458" customFormat="1" ht="12.75" customHeight="1" x14ac:dyDescent="0.3">
      <x:c r="A17" s="458" t="s">
        <x:v>186</x:v>
      </x:c>
      <x:c r="B17" s="458" t="s">
        <x:v>70</x:v>
      </x:c>
      <x:c r="F17" s="458" t="n">
        <x:v>-2015.07</x:v>
      </x:c>
      <x:c r="G17" s="458" t="n">
        <x:v>-122.1</x:v>
      </x:c>
      <x:c r="H17" s="458" t="n">
        <x:v>-51.87</x:v>
      </x:c>
      <x:c r="I17" s="458" t="n">
        <x:v>-22.65</x:v>
      </x:c>
      <x:c r="J17" s="458" t="n">
        <x:v>-369.44</x:v>
      </x:c>
      <x:c r="K17" s="458" t="n">
        <x:v>-23.88</x:v>
      </x:c>
      <x:c r="L17" s="458" t="n">
        <x:v>0</x:v>
      </x:c>
      <x:c r="M17" s="458" t="n">
        <x:v>-209.4</x:v>
      </x:c>
      <x:c r="N17" s="458" t="n">
        <x:v>-175.25</x:v>
      </x:c>
      <x:c r="O17" s="458" t="n">
        <x:v>-699.55</x:v>
      </x:c>
      <x:c r="P17" s="458" t="n">
        <x:v>-301.98</x:v>
      </x:c>
      <x:c r="Q17" s="458" t="n">
        <x:v>-38.95</x:v>
      </x:c>
      <x:c r="R17" s="458" t="n">
        <x:v>0</x:v>
      </x:c>
      <x:c r="S17" s="458" t="n">
        <x:v>0</x:v>
      </x:c>
      <x:c r="T17" s="458" t="n">
        <x:v>0</x:v>
      </x:c>
      <x:c r="U17" s="458">
        <x:v>0</x:v>
      </x:c>
      <x:c r="V17" s="458">
        <x:v>0</x:v>
      </x:c>
      <x:c r="W17" s="458">
        <x:v>0</x:v>
      </x:c>
      <x:c r="X17" s="458">
        <x:v>0</x:v>
      </x:c>
      <x:c r="Y17" s="458">
        <x:v>0</x:v>
      </x:c>
      <x:c r="Z17" s="458" t="n">
        <x:v>0</x:v>
      </x:c>
    </x:row>
    <x:row r="18" spans="1:26" x14ac:dyDescent="0.3">
      <x:c r="E18" t="s">
        <x:v>72</x:v>
      </x:c>
      <x:c r="F18" s="90" t="n">
        <x:v>543996.54</x:v>
      </x:c>
      <x:c r="G18" s="90" t="n">
        <x:v>23503.13</x:v>
      </x:c>
      <x:c r="H18" s="90" t="n">
        <x:v>13266.51</x:v>
      </x:c>
      <x:c r="I18" s="90" t="n">
        <x:v>6965.01</x:v>
      </x:c>
      <x:c r="J18" s="90" t="n">
        <x:v>119922.22</x:v>
      </x:c>
      <x:c r="K18" s="90" t="n">
        <x:v>5285.43</x:v>
      </x:c>
      <x:c r="L18" s="90" t="n">
        <x:v>0</x:v>
      </x:c>
      <x:c r="M18" s="90" t="n">
        <x:v>46363.01</x:v>
      </x:c>
      <x:c r="N18" s="90" t="n">
        <x:v>44625.42</x:v>
      </x:c>
      <x:c r="O18" s="90" t="n">
        <x:v>211250.82</x:v>
      </x:c>
      <x:c r="P18" s="90" t="n">
        <x:v>64191.45</x:v>
      </x:c>
      <x:c r="Q18" s="90" t="n">
        <x:v>8623.46</x:v>
      </x:c>
      <x:c r="R18" s="90" t="n">
        <x:v>0.08</x:v>
      </x:c>
      <x:c r="S18" s="90" t="n">
        <x:v>0</x:v>
      </x:c>
      <x:c r="T18" s="90" t="n">
        <x:v>0</x:v>
      </x:c>
      <x:c r="U18">
        <x:v>0</x:v>
      </x:c>
      <x:c r="V18">
        <x:v>0</x:v>
      </x:c>
      <x:c r="W18">
        <x:v>0</x:v>
      </x:c>
      <x:c r="X18">
        <x:v>0</x:v>
      </x:c>
      <x:c r="Y18">
        <x:v>0</x:v>
      </x:c>
      <x:c r="Z18" s="90" t="n">
        <x:v>0</x:v>
      </x:c>
    </x:row>
    <x:row r="19" spans="1:26" x14ac:dyDescent="0.3">
      <x:c r="E19" t="s">
        <x:v>81</x:v>
      </x:c>
      <x:c r="F19" s="90" t="n">
        <x:v>2063.1</x:v>
      </x:c>
      <x:c r="G19" s="90" t="n">
        <x:v>86.78</x:v>
      </x:c>
      <x:c r="H19" s="90" t="n">
        <x:v>48.91</x:v>
      </x:c>
      <x:c r="I19" s="90" t="n">
        <x:v>25.71</x:v>
      </x:c>
      <x:c r="J19" s="90" t="n">
        <x:v>441.75</x:v>
      </x:c>
      <x:c r="K19" s="90" t="n">
        <x:v>20.42</x:v>
      </x:c>
      <x:c r="L19" s="90" t="n">
        <x:v>0</x:v>
      </x:c>
      <x:c r="M19" s="90" t="n">
        <x:v>179.53</x:v>
      </x:c>
      <x:c r="N19" s="90" t="n">
        <x:v>172.72</x:v>
      </x:c>
      <x:c r="O19" s="90" t="n">
        <x:v>816.93</x:v>
      </x:c>
      <x:c r="P19" s="90" t="n">
        <x:v>236.94</x:v>
      </x:c>
      <x:c r="Q19" s="90" t="n">
        <x:v>33.41</x:v>
      </x:c>
      <x:c r="R19" s="90" t="n">
        <x:v>0</x:v>
      </x:c>
      <x:c r="S19" s="90" t="n">
        <x:v>0</x:v>
      </x:c>
      <x:c r="T19" s="90" t="n">
        <x:v>0</x:v>
      </x:c>
      <x:c r="U19">
        <x:v>0</x:v>
      </x:c>
      <x:c r="V19">
        <x:v>0</x:v>
      </x:c>
      <x:c r="W19">
        <x:v>0</x:v>
      </x:c>
      <x:c r="X19">
        <x:v>0</x:v>
      </x:c>
      <x:c r="Y19">
        <x:v>0</x:v>
      </x:c>
      <x:c r="Z19" s="90" t="n">
        <x:v>0</x:v>
      </x:c>
    </x:row>
    <x:row r="20" spans="1:26" x14ac:dyDescent="0.3">
      <x:c r="D20" t="s">
        <x:v>156</x:v>
      </x:c>
      <x:c r="E20" t="s">
        <x:v>70</x:v>
      </x:c>
      <x:c r="F20" s="90" t="n">
        <x:v>546059.64</x:v>
      </x:c>
      <x:c r="G20" s="90" t="n">
        <x:v>23589.91</x:v>
      </x:c>
      <x:c r="H20" s="90" t="n">
        <x:v>13315.42</x:v>
      </x:c>
      <x:c r="I20" s="90" t="n">
        <x:v>6990.72</x:v>
      </x:c>
      <x:c r="J20" s="90" t="n">
        <x:v>120363.97</x:v>
      </x:c>
      <x:c r="K20" s="90" t="n">
        <x:v>5305.85</x:v>
      </x:c>
      <x:c r="L20" s="90" t="n">
        <x:v>0</x:v>
      </x:c>
      <x:c r="M20" s="90" t="n">
        <x:v>46542.54</x:v>
      </x:c>
      <x:c r="N20" s="90" t="n">
        <x:v>44798.14</x:v>
      </x:c>
      <x:c r="O20" s="90" t="n">
        <x:v>212067.75</x:v>
      </x:c>
      <x:c r="P20" s="90" t="n">
        <x:v>64428.39</x:v>
      </x:c>
      <x:c r="Q20" s="90" t="n">
        <x:v>8656.87</x:v>
      </x:c>
      <x:c r="R20" s="90" t="n">
        <x:v>0.08</x:v>
      </x:c>
      <x:c r="S20" s="90" t="n">
        <x:v>0</x:v>
      </x:c>
      <x:c r="T20" s="90" t="n">
        <x:v>0</x:v>
      </x:c>
      <x:c r="U20">
        <x:v>0</x:v>
      </x:c>
      <x:c r="V20">
        <x:v>0</x:v>
      </x:c>
      <x:c r="W20">
        <x:v>0</x:v>
      </x:c>
      <x:c r="X20">
        <x:v>0</x:v>
      </x:c>
      <x:c r="Y20">
        <x:v>0</x:v>
      </x:c>
      <x:c r="Z20" s="90" t="n">
        <x:v>0</x:v>
      </x:c>
    </x:row>
    <x:row r="21" spans="1:26" s="286" customFormat="1" x14ac:dyDescent="0.3">
      <x:c r="C21" s="286" t="s">
        <x:v>155</x:v>
      </x:c>
      <x:c r="D21" s="286" t="s">
        <x:v>70</x:v>
      </x:c>
      <x:c r="F21" s="230" t="n">
        <x:v>546059.64</x:v>
      </x:c>
      <x:c r="G21" s="230" t="n">
        <x:v>23589.91</x:v>
      </x:c>
      <x:c r="H21" s="230" t="n">
        <x:v>13315.42</x:v>
      </x:c>
      <x:c r="I21" s="230" t="n">
        <x:v>6990.72</x:v>
      </x:c>
      <x:c r="J21" s="230" t="n">
        <x:v>120363.97</x:v>
      </x:c>
      <x:c r="K21" s="230" t="n">
        <x:v>5305.85</x:v>
      </x:c>
      <x:c r="L21" s="230" t="n">
        <x:v>0</x:v>
      </x:c>
      <x:c r="M21" s="230" t="n">
        <x:v>46542.54</x:v>
      </x:c>
      <x:c r="N21" s="230" t="n">
        <x:v>44798.14</x:v>
      </x:c>
      <x:c r="O21" s="230" t="n">
        <x:v>212067.75</x:v>
      </x:c>
      <x:c r="P21" s="230" t="n">
        <x:v>64428.39</x:v>
      </x:c>
      <x:c r="Q21" s="230" t="n">
        <x:v>8656.87</x:v>
      </x:c>
      <x:c r="R21" s="230" t="n">
        <x:v>0.08</x:v>
      </x:c>
      <x:c r="S21" s="230" t="n">
        <x:v>0</x:v>
      </x:c>
      <x:c r="T21" s="230" t="n">
        <x:v>0</x:v>
      </x:c>
      <x:c r="U21" s="286">
        <x:v>0</x:v>
      </x:c>
      <x:c r="V21" s="286">
        <x:v>0</x:v>
      </x:c>
      <x:c r="W21" s="286">
        <x:v>0</x:v>
      </x:c>
      <x:c r="X21" s="286">
        <x:v>0</x:v>
      </x:c>
      <x:c r="Y21" s="286">
        <x:v>0</x:v>
      </x:c>
      <x:c r="Z21" s="230" t="n">
        <x:v>0</x:v>
      </x:c>
    </x:row>
    <x:row r="22" spans="1:26" x14ac:dyDescent="0.3">
      <x:c r="E22" t="s">
        <x:v>72</x:v>
      </x:c>
      <x:c r="F22" s="90">
        <x:v>0</x:v>
      </x:c>
      <x:c r="G22" s="90">
        <x:v>0</x:v>
      </x:c>
      <x:c r="H22" s="90">
        <x:v>0</x:v>
      </x:c>
      <x:c r="I22" s="90">
        <x:v>0</x:v>
      </x:c>
      <x:c r="J22" s="90">
        <x:v>0</x:v>
      </x:c>
      <x:c r="K22" s="90">
        <x:v>0</x:v>
      </x:c>
      <x:c r="L22" s="90">
        <x:v>0</x:v>
      </x:c>
      <x:c r="M22" s="90">
        <x:v>0</x:v>
      </x:c>
      <x:c r="N22" s="90">
        <x:v>0</x:v>
      </x:c>
      <x:c r="O22" s="90">
        <x:v>0</x:v>
      </x:c>
      <x:c r="P22" s="90">
        <x:v>0</x:v>
      </x:c>
      <x:c r="Q22" s="90">
        <x:v>370.08</x:v>
      </x:c>
      <x:c r="R22" s="90">
        <x:v>-1.95</x:v>
      </x:c>
      <x:c r="S22" s="90">
        <x:v>0</x:v>
      </x:c>
      <x:c r="T22" s="90">
        <x:v>0</x:v>
      </x:c>
      <x:c r="U22">
        <x:v>0</x:v>
      </x:c>
      <x:c r="V22">
        <x:v>0</x:v>
      </x:c>
      <x:c r="W22">
        <x:v>0</x:v>
      </x:c>
      <x:c r="X22">
        <x:v>0</x:v>
      </x:c>
      <x:c r="Y22">
        <x:v>0</x:v>
      </x:c>
      <x:c r="Z22" s="90">
        <x:v>0</x:v>
      </x:c>
    </x:row>
    <x:row r="23" spans="1:26" x14ac:dyDescent="0.3">
      <x:c r="E23" t="s">
        <x:v>81</x:v>
      </x:c>
      <x:c r="F23" s="90">
        <x:v>0</x:v>
      </x:c>
      <x:c r="G23" s="90">
        <x:v>0</x:v>
      </x:c>
      <x:c r="H23" s="90">
        <x:v>0</x:v>
      </x:c>
      <x:c r="I23" s="90">
        <x:v>0</x:v>
      </x:c>
      <x:c r="J23" s="90">
        <x:v>0</x:v>
      </x:c>
      <x:c r="K23" s="90">
        <x:v>0</x:v>
      </x:c>
      <x:c r="L23" s="90">
        <x:v>0</x:v>
      </x:c>
      <x:c r="M23" s="90">
        <x:v>0</x:v>
      </x:c>
      <x:c r="N23" s="90">
        <x:v>0</x:v>
      </x:c>
      <x:c r="O23" s="90">
        <x:v>0</x:v>
      </x:c>
      <x:c r="P23" s="90">
        <x:v>0</x:v>
      </x:c>
      <x:c r="Q23" s="90">
        <x:v>7.0000000000000007E-2</x:v>
      </x:c>
      <x:c r="R23" s="90">
        <x:v>0</x:v>
      </x:c>
      <x:c r="S23" s="90">
        <x:v>0</x:v>
      </x:c>
      <x:c r="T23" s="90">
        <x:v>0</x:v>
      </x:c>
      <x:c r="U23">
        <x:v>0</x:v>
      </x:c>
      <x:c r="V23">
        <x:v>0</x:v>
      </x:c>
      <x:c r="W23">
        <x:v>0</x:v>
      </x:c>
      <x:c r="X23">
        <x:v>0</x:v>
      </x:c>
      <x:c r="Y23">
        <x:v>0</x:v>
      </x:c>
      <x:c r="Z23" s="90">
        <x:v>0</x:v>
      </x:c>
    </x:row>
    <x:row r="24" spans="1:26" x14ac:dyDescent="0.3">
      <x:c r="D24" t="s">
        <x:v>82</x:v>
      </x:c>
      <x:c r="E24" t="s">
        <x:v>70</x:v>
      </x:c>
      <x:c r="F24" s="90">
        <x:v>0</x:v>
      </x:c>
      <x:c r="G24" s="90">
        <x:v>0</x:v>
      </x:c>
      <x:c r="H24" s="90">
        <x:v>0</x:v>
      </x:c>
      <x:c r="I24" s="90">
        <x:v>0</x:v>
      </x:c>
      <x:c r="J24" s="90">
        <x:v>0</x:v>
      </x:c>
      <x:c r="K24" s="90">
        <x:v>0</x:v>
      </x:c>
      <x:c r="L24" s="90">
        <x:v>0</x:v>
      </x:c>
      <x:c r="M24" s="90">
        <x:v>0</x:v>
      </x:c>
      <x:c r="N24" s="90">
        <x:v>0</x:v>
      </x:c>
      <x:c r="O24" s="90">
        <x:v>0</x:v>
      </x:c>
      <x:c r="P24" s="90">
        <x:v>0</x:v>
      </x:c>
      <x:c r="Q24" s="90">
        <x:v>370.15</x:v>
      </x:c>
      <x:c r="R24" s="90">
        <x:v>-1.95</x:v>
      </x:c>
      <x:c r="S24" s="90">
        <x:v>0</x:v>
      </x:c>
      <x:c r="T24" s="90">
        <x:v>0</x:v>
      </x:c>
      <x:c r="U24">
        <x:v>0</x:v>
      </x:c>
      <x:c r="V24">
        <x:v>0</x:v>
      </x:c>
      <x:c r="W24">
        <x:v>0</x:v>
      </x:c>
      <x:c r="X24">
        <x:v>0</x:v>
      </x:c>
      <x:c r="Y24">
        <x:v>0</x:v>
      </x:c>
      <x:c r="Z24" s="90">
        <x:v>0</x:v>
      </x:c>
    </x:row>
    <x:row r="25" spans="1:26" x14ac:dyDescent="0.3">
      <x:c r="E25" t="s">
        <x:v>72</x:v>
      </x:c>
      <x:c r="F25" s="90">
        <x:v>0</x:v>
      </x:c>
      <x:c r="G25" s="90">
        <x:v>0</x:v>
      </x:c>
      <x:c r="H25" s="90">
        <x:v>0</x:v>
      </x:c>
      <x:c r="I25" s="90">
        <x:v>0</x:v>
      </x:c>
      <x:c r="J25" s="90">
        <x:v>0</x:v>
      </x:c>
      <x:c r="K25" s="90">
        <x:v>0</x:v>
      </x:c>
      <x:c r="L25" s="90">
        <x:v>0</x:v>
      </x:c>
      <x:c r="M25" s="90">
        <x:v>0</x:v>
      </x:c>
      <x:c r="N25" s="90">
        <x:v>0</x:v>
      </x:c>
      <x:c r="O25" s="90">
        <x:v>0</x:v>
      </x:c>
      <x:c r="P25" s="90">
        <x:v>0</x:v>
      </x:c>
      <x:c r="Q25" s="90">
        <x:v>370.08</x:v>
      </x:c>
      <x:c r="R25" s="90">
        <x:v>-1.95</x:v>
      </x:c>
      <x:c r="S25" s="90">
        <x:v>0</x:v>
      </x:c>
      <x:c r="T25" s="90">
        <x:v>0</x:v>
      </x:c>
      <x:c r="U25">
        <x:v>0</x:v>
      </x:c>
      <x:c r="V25">
        <x:v>0</x:v>
      </x:c>
      <x:c r="W25">
        <x:v>0</x:v>
      </x:c>
      <x:c r="X25">
        <x:v>0</x:v>
      </x:c>
      <x:c r="Y25">
        <x:v>0</x:v>
      </x:c>
      <x:c r="Z25" s="90">
        <x:v>0</x:v>
      </x:c>
    </x:row>
    <x:row r="26" spans="1:26" x14ac:dyDescent="0.3">
      <x:c r="E26" t="s">
        <x:v>81</x:v>
      </x:c>
      <x:c r="F26" s="90">
        <x:v>0</x:v>
      </x:c>
      <x:c r="G26" s="90">
        <x:v>0</x:v>
      </x:c>
      <x:c r="H26" s="90">
        <x:v>0</x:v>
      </x:c>
      <x:c r="I26" s="90">
        <x:v>0</x:v>
      </x:c>
      <x:c r="J26" s="90">
        <x:v>0</x:v>
      </x:c>
      <x:c r="K26" s="90">
        <x:v>0</x:v>
      </x:c>
      <x:c r="L26" s="90">
        <x:v>0</x:v>
      </x:c>
      <x:c r="M26" s="90">
        <x:v>0</x:v>
      </x:c>
      <x:c r="N26" s="90">
        <x:v>0</x:v>
      </x:c>
      <x:c r="O26" s="90">
        <x:v>0</x:v>
      </x:c>
      <x:c r="P26" s="90">
        <x:v>0</x:v>
      </x:c>
      <x:c r="Q26" s="90">
        <x:v>7.0000000000000007E-2</x:v>
      </x:c>
      <x:c r="R26" s="90">
        <x:v>0</x:v>
      </x:c>
      <x:c r="S26" s="90">
        <x:v>0</x:v>
      </x:c>
      <x:c r="T26" s="90">
        <x:v>0</x:v>
      </x:c>
      <x:c r="U26">
        <x:v>0</x:v>
      </x:c>
      <x:c r="V26">
        <x:v>0</x:v>
      </x:c>
      <x:c r="W26">
        <x:v>0</x:v>
      </x:c>
      <x:c r="X26">
        <x:v>0</x:v>
      </x:c>
      <x:c r="Y26">
        <x:v>0</x:v>
      </x:c>
      <x:c r="Z26" s="90">
        <x:v>0</x:v>
      </x:c>
    </x:row>
    <x:row r="27" spans="1:26" x14ac:dyDescent="0.3">
      <x:c r="D27" t="s">
        <x:v>86</x:v>
      </x:c>
      <x:c r="E27" t="s">
        <x:v>70</x:v>
      </x:c>
      <x:c r="F27" s="90">
        <x:v>0</x:v>
      </x:c>
      <x:c r="G27" s="90">
        <x:v>0</x:v>
      </x:c>
      <x:c r="H27" s="90">
        <x:v>0</x:v>
      </x:c>
      <x:c r="I27" s="90">
        <x:v>0</x:v>
      </x:c>
      <x:c r="J27" s="90">
        <x:v>0</x:v>
      </x:c>
      <x:c r="K27" s="90">
        <x:v>0</x:v>
      </x:c>
      <x:c r="L27" s="90">
        <x:v>0</x:v>
      </x:c>
      <x:c r="M27" s="90">
        <x:v>0</x:v>
      </x:c>
      <x:c r="N27" s="90">
        <x:v>0</x:v>
      </x:c>
      <x:c r="O27" s="90">
        <x:v>0</x:v>
      </x:c>
      <x:c r="P27" s="90">
        <x:v>0</x:v>
      </x:c>
      <x:c r="Q27" s="90">
        <x:v>370.15</x:v>
      </x:c>
      <x:c r="R27" s="90">
        <x:v>-1.95</x:v>
      </x:c>
      <x:c r="S27" s="90">
        <x:v>0</x:v>
      </x:c>
      <x:c r="T27" s="90">
        <x:v>0</x:v>
      </x:c>
      <x:c r="U27">
        <x:v>0</x:v>
      </x:c>
      <x:c r="V27">
        <x:v>0</x:v>
      </x:c>
      <x:c r="W27">
        <x:v>0</x:v>
      </x:c>
      <x:c r="X27">
        <x:v>0</x:v>
      </x:c>
      <x:c r="Y27">
        <x:v>0</x:v>
      </x:c>
      <x:c r="Z27" s="90">
        <x:v>0</x:v>
      </x:c>
    </x:row>
    <x:row r="28" spans="1:26" ht="12.75" customHeight="1" x14ac:dyDescent="0.3">
      <x:c r="E28" s="89" t="s">
        <x:v>72</x:v>
      </x:c>
      <x:c r="F28" s="371" t="n">
        <x:v>89870.51</x:v>
      </x:c>
      <x:c r="G28" s="90" t="n">
        <x:v>5626.37</x:v>
      </x:c>
      <x:c r="H28" s="90" t="n">
        <x:v>3138.96</x:v>
      </x:c>
      <x:c r="I28" s="90" t="n">
        <x:v>1667.33</x:v>
      </x:c>
      <x:c r="J28" s="90" t="n">
        <x:v>21034.12</x:v>
      </x:c>
      <x:c r="K28" s="90" t="n">
        <x:v>519.02</x:v>
      </x:c>
      <x:c r="L28" s="90" t="n">
        <x:v>0</x:v>
      </x:c>
      <x:c r="M28" s="90" t="n">
        <x:v>4552.92</x:v>
      </x:c>
      <x:c r="N28" s="90" t="n">
        <x:v>6472.07</x:v>
      </x:c>
      <x:c r="O28" s="90" t="n">
        <x:v>30640.84</x:v>
      </x:c>
      <x:c r="P28" s="90" t="n">
        <x:v>15366.98</x:v>
      </x:c>
      <x:c r="Q28" s="90" t="n">
        <x:v>846.86</x:v>
      </x:c>
      <x:c r="R28" s="90" t="n">
        <x:v>5.04</x:v>
      </x:c>
      <x:c r="S28" s="90" t="n">
        <x:v>0</x:v>
      </x:c>
      <x:c r="T28" s="90" t="n">
        <x:v>0</x:v>
      </x:c>
      <x:c r="U28" s="90">
        <x:v>0</x:v>
      </x:c>
      <x:c r="V28" s="90">
        <x:v>0</x:v>
      </x:c>
      <x:c r="W28" s="90">
        <x:v>0</x:v>
      </x:c>
      <x:c r="X28" s="90">
        <x:v>0</x:v>
      </x:c>
      <x:c r="Y28" s="90">
        <x:v>0</x:v>
      </x:c>
      <x:c r="Z28" s="90" t="n">
        <x:v>0</x:v>
      </x:c>
    </x:row>
    <x:row r="29" spans="1:26" x14ac:dyDescent="0.3">
      <x:c r="E29" t="s">
        <x:v>81</x:v>
      </x:c>
      <x:c r="F29" s="90" t="n">
        <x:v>116.92</x:v>
      </x:c>
      <x:c r="G29" s="90" t="n">
        <x:v>7.31</x:v>
      </x:c>
      <x:c r="H29" s="90" t="n">
        <x:v>4.09</x:v>
      </x:c>
      <x:c r="I29" s="90" t="n">
        <x:v>2.17</x:v>
      </x:c>
      <x:c r="J29" s="90" t="n">
        <x:v>27.38</x:v>
      </x:c>
      <x:c r="K29" s="90" t="n">
        <x:v>0.67</x:v>
      </x:c>
      <x:c r="L29" s="90" t="n">
        <x:v>0</x:v>
      </x:c>
      <x:c r="M29" s="90" t="n">
        <x:v>5.91</x:v>
      </x:c>
      <x:c r="N29" s="90" t="n">
        <x:v>8.47</x:v>
      </x:c>
      <x:c r="O29" s="90" t="n">
        <x:v>39.84</x:v>
      </x:c>
      <x:c r="P29" s="90" t="n">
        <x:v>19.98</x:v>
      </x:c>
      <x:c r="Q29" s="90" t="n">
        <x:v>1.1</x:v>
      </x:c>
      <x:c r="R29" s="90" t="n">
        <x:v>0</x:v>
      </x:c>
      <x:c r="S29" s="90" t="n">
        <x:v>0</x:v>
      </x:c>
      <x:c r="T29" s="90" t="n">
        <x:v>0</x:v>
      </x:c>
      <x:c r="U29">
        <x:v>0</x:v>
      </x:c>
      <x:c r="V29">
        <x:v>0</x:v>
      </x:c>
      <x:c r="W29">
        <x:v>0</x:v>
      </x:c>
      <x:c r="X29">
        <x:v>0</x:v>
      </x:c>
      <x:c r="Y29">
        <x:v>0</x:v>
      </x:c>
      <x:c r="Z29" s="90" t="n">
        <x:v>0</x:v>
      </x:c>
    </x:row>
    <x:row r="30" spans="1:26" ht="12.75" customHeight="1" x14ac:dyDescent="0.3">
      <x:c r="D30" t="s">
        <x:v>87</x:v>
      </x:c>
      <x:c r="E30" s="89" t="s">
        <x:v>70</x:v>
      </x:c>
      <x:c r="F30" s="371" t="n">
        <x:v>89987.43</x:v>
      </x:c>
      <x:c r="G30" s="90" t="n">
        <x:v>5633.68</x:v>
      </x:c>
      <x:c r="H30" s="90" t="n">
        <x:v>3143.05</x:v>
      </x:c>
      <x:c r="I30" s="90" t="n">
        <x:v>1669.5</x:v>
      </x:c>
      <x:c r="J30" s="90" t="n">
        <x:v>21061.5</x:v>
      </x:c>
      <x:c r="K30" s="90" t="n">
        <x:v>519.69</x:v>
      </x:c>
      <x:c r="L30" s="90" t="n">
        <x:v>0</x:v>
      </x:c>
      <x:c r="M30" s="90" t="n">
        <x:v>4558.83</x:v>
      </x:c>
      <x:c r="N30" s="90" t="n">
        <x:v>6480.54</x:v>
      </x:c>
      <x:c r="O30" s="90" t="n">
        <x:v>30680.68</x:v>
      </x:c>
      <x:c r="P30" s="90" t="n">
        <x:v>15386.96</x:v>
      </x:c>
      <x:c r="Q30" s="90" t="n">
        <x:v>847.96</x:v>
      </x:c>
      <x:c r="R30" s="90" t="n">
        <x:v>5.04</x:v>
      </x:c>
      <x:c r="S30" s="90" t="n">
        <x:v>0</x:v>
      </x:c>
      <x:c r="T30" s="90" t="n">
        <x:v>0</x:v>
      </x:c>
      <x:c r="U30" s="90">
        <x:v>0</x:v>
      </x:c>
      <x:c r="V30" s="90">
        <x:v>0</x:v>
      </x:c>
      <x:c r="W30" s="90">
        <x:v>0</x:v>
      </x:c>
      <x:c r="X30" s="90">
        <x:v>0</x:v>
      </x:c>
      <x:c r="Y30" s="90">
        <x:v>0</x:v>
      </x:c>
      <x:c r="Z30" s="90" t="n">
        <x:v>0</x:v>
      </x:c>
    </x:row>
    <x:row r="31" spans="1:26" s="94" customFormat="1" ht="12.75" customHeight="1" x14ac:dyDescent="0.3">
      <x:c r="C31" s="101" t="s">
        <x:v>119</x:v>
      </x:c>
      <x:c r="D31" s="101" t="s">
        <x:v>70</x:v>
      </x:c>
      <x:c r="F31" s="93" t="n">
        <x:v>89987.43</x:v>
      </x:c>
      <x:c r="G31" s="93" t="n">
        <x:v>5633.68</x:v>
      </x:c>
      <x:c r="H31" s="93" t="n">
        <x:v>3143.05</x:v>
      </x:c>
      <x:c r="I31" s="93" t="n">
        <x:v>1669.5</x:v>
      </x:c>
      <x:c r="J31" s="93" t="n">
        <x:v>21061.5</x:v>
      </x:c>
      <x:c r="K31" s="93" t="n">
        <x:v>519.69</x:v>
      </x:c>
      <x:c r="L31" s="93" t="n">
        <x:v>0</x:v>
      </x:c>
      <x:c r="M31" s="93" t="n">
        <x:v>4558.83</x:v>
      </x:c>
      <x:c r="N31" s="93" t="n">
        <x:v>6480.54</x:v>
      </x:c>
      <x:c r="O31" s="93" t="n">
        <x:v>30680.68</x:v>
      </x:c>
      <x:c r="P31" s="93" t="n">
        <x:v>15386.96</x:v>
      </x:c>
      <x:c r="Q31" s="93" t="n">
        <x:v>847.96</x:v>
      </x:c>
      <x:c r="R31" s="93" t="n">
        <x:v>5.04</x:v>
      </x:c>
      <x:c r="S31" s="93" t="n">
        <x:v>0</x:v>
      </x:c>
      <x:c r="T31" s="93" t="n">
        <x:v>0</x:v>
      </x:c>
      <x:c r="U31" s="93">
        <x:v>0</x:v>
      </x:c>
      <x:c r="V31" s="93">
        <x:v>0</x:v>
      </x:c>
      <x:c r="W31" s="93">
        <x:v>0</x:v>
      </x:c>
      <x:c r="X31" s="93">
        <x:v>0</x:v>
      </x:c>
      <x:c r="Y31" s="93">
        <x:v>0</x:v>
      </x:c>
      <x:c r="Z31" s="93" t="n">
        <x:v>0</x:v>
      </x:c>
    </x:row>
    <x:row r="32" spans="1:26" s="378" customFormat="1" ht="12.75" customHeight="1" x14ac:dyDescent="0.3">
      <x:c r="B32" s="378" t="s">
        <x:v>122</x:v>
      </x:c>
      <x:c r="C32" s="378" t="s">
        <x:v>70</x:v>
      </x:c>
      <x:c r="E32" s="376"/>
      <x:c r="F32" s="710" t="n">
        <x:v>636047.07</x:v>
      </x:c>
      <x:c r="G32" s="377" t="n">
        <x:v>29223.59</x:v>
      </x:c>
      <x:c r="H32" s="377" t="n">
        <x:v>16458.47</x:v>
      </x:c>
      <x:c r="I32" s="377" t="n">
        <x:v>8660.22</x:v>
      </x:c>
      <x:c r="J32" s="377" t="n">
        <x:v>141425.47</x:v>
      </x:c>
      <x:c r="K32" s="377" t="n">
        <x:v>5825.54</x:v>
      </x:c>
      <x:c r="L32" s="377" t="n">
        <x:v>0</x:v>
      </x:c>
      <x:c r="M32" s="377" t="n">
        <x:v>51101.37</x:v>
      </x:c>
      <x:c r="N32" s="377" t="n">
        <x:v>51278.68</x:v>
      </x:c>
      <x:c r="O32" s="377" t="n">
        <x:v>242748.43</x:v>
      </x:c>
      <x:c r="P32" s="377" t="n">
        <x:v>79815.35</x:v>
      </x:c>
      <x:c r="Q32" s="377" t="n">
        <x:v>9504.83</x:v>
      </x:c>
      <x:c r="R32" s="377" t="n">
        <x:v>5.12</x:v>
      </x:c>
      <x:c r="S32" s="377" t="n">
        <x:v>0</x:v>
      </x:c>
      <x:c r="T32" s="377" t="n">
        <x:v>0</x:v>
      </x:c>
      <x:c r="U32" s="377">
        <x:v>0</x:v>
      </x:c>
      <x:c r="V32" s="377">
        <x:v>0</x:v>
      </x:c>
      <x:c r="W32" s="377">
        <x:v>0</x:v>
      </x:c>
      <x:c r="X32" s="377">
        <x:v>0</x:v>
      </x:c>
      <x:c r="Y32" s="377">
        <x:v>0</x:v>
      </x:c>
      <x:c r="Z32" s="377" t="n">
        <x:v>0</x:v>
      </x:c>
    </x:row>
    <x:row r="33" spans="1:26" ht="12.75" customHeight="1" x14ac:dyDescent="0.3">
      <x:c r="E33" s="89" t="s">
        <x:v>72</x:v>
      </x:c>
      <x:c r="F33" s="371" t="n">
        <x:v>17732826240.02</x:v>
      </x:c>
      <x:c r="G33" s="90" t="n">
        <x:v>808116076.44</x:v>
      </x:c>
      <x:c r="H33" s="90" t="n">
        <x:v>450181450.91</x:v>
      </x:c>
      <x:c r="I33" s="90" t="n">
        <x:v>239639703.56</x:v>
      </x:c>
      <x:c r="J33" s="90" t="n">
        <x:v>4717289422.5</x:v>
      </x:c>
      <x:c r="K33" s="90" t="n">
        <x:v>157316530.83</x:v>
      </x:c>
      <x:c r="L33" s="90" t="n">
        <x:v>9937432.24</x:v>
      </x:c>
      <x:c r="M33" s="90" t="n">
        <x:v>1381411069.8</x:v>
      </x:c>
      <x:c r="N33" s="90" t="n">
        <x:v>1302863540.59</x:v>
      </x:c>
      <x:c r="O33" s="90" t="n">
        <x:v>6210343115.91</x:v>
      </x:c>
      <x:c r="P33" s="90" t="n">
        <x:v>2198936535.17</x:v>
      </x:c>
      <x:c r="Q33" s="90" t="n">
        <x:v>256815605.87</x:v>
      </x:c>
      <x:c r="R33" s="90" t="n">
        <x:v>-24243.8</x:v>
      </x:c>
      <x:c r="S33" s="90" t="n">
        <x:v>0</x:v>
      </x:c>
      <x:c r="T33" s="90" t="n">
        <x:v>0</x:v>
      </x:c>
      <x:c r="U33" s="90">
        <x:v>0</x:v>
      </x:c>
      <x:c r="V33" s="90">
        <x:v>0</x:v>
      </x:c>
      <x:c r="W33" s="90">
        <x:v>0</x:v>
      </x:c>
      <x:c r="X33" s="90">
        <x:v>0</x:v>
      </x:c>
      <x:c r="Y33" s="90">
        <x:v>0</x:v>
      </x:c>
      <x:c r="Z33" s="90" t="n">
        <x:v>0</x:v>
      </x:c>
    </x:row>
    <x:row r="34" spans="1:26" ht="12.75" customHeight="1" x14ac:dyDescent="0.3">
      <x:c r="E34" s="89" t="s">
        <x:v>81</x:v>
      </x:c>
      <x:c r="F34" s="90" t="n">
        <x:v>2121030.59</x:v>
      </x:c>
      <x:c r="G34" s="90" t="n">
        <x:v>114429.04</x:v>
      </x:c>
      <x:c r="H34" s="90" t="n">
        <x:v>59031.07</x:v>
      </x:c>
      <x:c r="I34" s="90" t="n">
        <x:v>30884.79</x:v>
      </x:c>
      <x:c r="J34" s="90" t="n">
        <x:v>467332.66</x:v>
      </x:c>
      <x:c r="K34" s="90" t="n">
        <x:v>20333.36</x:v>
      </x:c>
      <x:c r="L34" s="90" t="n">
        <x:v>491.86</x:v>
      </x:c>
      <x:c r="M34" s="90" t="n">
        <x:v>178752.52</x:v>
      </x:c>
      <x:c r="N34" s="90" t="n">
        <x:v>163509.31</x:v>
      </x:c>
      <x:c r="O34" s="90" t="n">
        <x:v>744605.58</x:v>
      </x:c>
      <x:c r="P34" s="90" t="n">
        <x:v>308414.05</x:v>
      </x:c>
      <x:c r="Q34" s="90" t="n">
        <x:v>33078.85</x:v>
      </x:c>
      <x:c r="R34" s="90" t="n">
        <x:v>18.46</x:v>
      </x:c>
      <x:c r="S34" s="90" t="n">
        <x:v>19.47</x:v>
      </x:c>
      <x:c r="T34" s="90" t="n">
        <x:v>236.47</x:v>
      </x:c>
      <x:c r="U34" s="90">
        <x:v>0</x:v>
      </x:c>
      <x:c r="V34" s="90">
        <x:v>0</x:v>
      </x:c>
      <x:c r="W34" s="90">
        <x:v>0</x:v>
      </x:c>
      <x:c r="X34" s="90">
        <x:v>0</x:v>
      </x:c>
      <x:c r="Y34" s="90">
        <x:v>0</x:v>
      </x:c>
      <x:c r="Z34" s="90" t="n">
        <x:v>-106.9</x:v>
      </x:c>
    </x:row>
    <x:row r="35" spans="1:26" ht="12.75" customHeight="1" x14ac:dyDescent="0.3">
      <x:c r="D35" t="s">
        <x:v>156</x:v>
      </x:c>
      <x:c r="E35" s="89" t="s">
        <x:v>70</x:v>
      </x:c>
      <x:c r="F35" s="89" t="n">
        <x:v>17734947270.61</x:v>
      </x:c>
      <x:c r="G35" s="90" t="n">
        <x:v>808230505.48</x:v>
      </x:c>
      <x:c r="H35" s="90" t="n">
        <x:v>450240481.98</x:v>
      </x:c>
      <x:c r="I35" s="90" t="n">
        <x:v>239670588.35</x:v>
      </x:c>
      <x:c r="J35" s="90" t="n">
        <x:v>4717756755.16</x:v>
      </x:c>
      <x:c r="K35" s="90" t="n">
        <x:v>157336864.19</x:v>
      </x:c>
      <x:c r="L35" s="90" t="n">
        <x:v>9937924.1</x:v>
      </x:c>
      <x:c r="M35" s="90" t="n">
        <x:v>1381589822.32</x:v>
      </x:c>
      <x:c r="N35" s="90" t="n">
        <x:v>1303027049.9</x:v>
      </x:c>
      <x:c r="O35" s="90" t="n">
        <x:v>6211087721.49</x:v>
      </x:c>
      <x:c r="P35" s="90" t="n">
        <x:v>2199244949.22</x:v>
      </x:c>
      <x:c r="Q35" s="90" t="n">
        <x:v>256848684.72</x:v>
      </x:c>
      <x:c r="R35" s="90" t="n">
        <x:v>-24225.34</x:v>
      </x:c>
      <x:c r="S35" s="90" t="n">
        <x:v>19.47</x:v>
      </x:c>
      <x:c r="T35" s="90" t="n">
        <x:v>236.47</x:v>
      </x:c>
      <x:c r="U35" s="90">
        <x:v>0</x:v>
      </x:c>
      <x:c r="V35" s="90">
        <x:v>0</x:v>
      </x:c>
      <x:c r="W35" s="90">
        <x:v>0</x:v>
      </x:c>
      <x:c r="X35" s="90">
        <x:v>0</x:v>
      </x:c>
      <x:c r="Y35" s="90">
        <x:v>0</x:v>
      </x:c>
      <x:c r="Z35" s="90" t="n">
        <x:v>-106.9</x:v>
      </x:c>
    </x:row>
    <x:row r="36" spans="1:26" s="286" customFormat="1" ht="12.75" customHeight="1" x14ac:dyDescent="0.3">
      <x:c r="C36" s="286" t="s">
        <x:v>155</x:v>
      </x:c>
      <x:c r="D36" s="286" t="s">
        <x:v>70</x:v>
      </x:c>
      <x:c r="E36" s="229"/>
      <x:c r="F36" s="229" t="n">
        <x:v>17734947270.61</x:v>
      </x:c>
      <x:c r="G36" s="230" t="n">
        <x:v>808230505.48</x:v>
      </x:c>
      <x:c r="H36" s="230" t="n">
        <x:v>450240481.98</x:v>
      </x:c>
      <x:c r="I36" s="230" t="n">
        <x:v>239670588.35</x:v>
      </x:c>
      <x:c r="J36" s="230" t="n">
        <x:v>4717756755.16</x:v>
      </x:c>
      <x:c r="K36" s="230" t="n">
        <x:v>157336864.19</x:v>
      </x:c>
      <x:c r="L36" s="230" t="n">
        <x:v>9937924.1</x:v>
      </x:c>
      <x:c r="M36" s="230" t="n">
        <x:v>1381589822.32</x:v>
      </x:c>
      <x:c r="N36" s="230" t="n">
        <x:v>1303027049.9</x:v>
      </x:c>
      <x:c r="O36" s="230" t="n">
        <x:v>6211087721.49</x:v>
      </x:c>
      <x:c r="P36" s="230" t="n">
        <x:v>2199244949.22</x:v>
      </x:c>
      <x:c r="Q36" s="230" t="n">
        <x:v>256848684.72</x:v>
      </x:c>
      <x:c r="R36" s="230" t="n">
        <x:v>-24225.34</x:v>
      </x:c>
      <x:c r="S36" s="230" t="n">
        <x:v>19.47</x:v>
      </x:c>
      <x:c r="T36" s="230" t="n">
        <x:v>236.47</x:v>
      </x:c>
      <x:c r="U36" s="230">
        <x:v>0</x:v>
      </x:c>
      <x:c r="V36" s="230">
        <x:v>0</x:v>
      </x:c>
      <x:c r="W36" s="230">
        <x:v>0</x:v>
      </x:c>
      <x:c r="X36" s="230">
        <x:v>0</x:v>
      </x:c>
      <x:c r="Y36" s="230">
        <x:v>0</x:v>
      </x:c>
      <x:c r="Z36" s="230" t="n">
        <x:v>-106.9</x:v>
      </x:c>
    </x:row>
    <x:row r="37" spans="1:26" ht="12.75" customHeight="1" x14ac:dyDescent="0.3">
      <x:c r="E37" s="89" t="s">
        <x:v>72</x:v>
      </x:c>
      <x:c r="F37" s="89" t="n">
        <x:v>27812533.99</x:v>
      </x:c>
      <x:c r="G37" s="90" t="n">
        <x:v>3127682.62</x:v>
      </x:c>
      <x:c r="H37" s="90" t="n">
        <x:v>1787750.62</x:v>
      </x:c>
      <x:c r="I37" s="90" t="n">
        <x:v>994482.9</x:v>
      </x:c>
      <x:c r="J37" s="90" t="n">
        <x:v>3900132.39</x:v>
      </x:c>
      <x:c r="K37" s="90" t="n">
        <x:v>128394.64</x:v>
      </x:c>
      <x:c r="L37" s="90" t="n">
        <x:v>65261.43</x:v>
      </x:c>
      <x:c r="M37" s="90" t="n">
        <x:v>1108739.27</x:v>
      </x:c>
      <x:c r="N37" s="90" t="n">
        <x:v>1377785.37</x:v>
      </x:c>
      <x:c r="O37" s="90" t="n">
        <x:v>6585392.25</x:v>
      </x:c>
      <x:c r="P37" s="90" t="n">
        <x:v>8526230.06</x:v>
      </x:c>
      <x:c r="Q37" s="90" t="n">
        <x:v>210777.87</x:v>
      </x:c>
      <x:c r="R37" s="90" t="n">
        <x:v>-95.43</x:v>
      </x:c>
      <x:c r="S37" s="90" t="n">
        <x:v>0</x:v>
      </x:c>
      <x:c r="T37" s="90" t="n">
        <x:v>0</x:v>
      </x:c>
      <x:c r="U37" s="90">
        <x:v>0</x:v>
      </x:c>
      <x:c r="V37" s="90">
        <x:v>0</x:v>
      </x:c>
      <x:c r="W37" s="90">
        <x:v>0</x:v>
      </x:c>
      <x:c r="X37" s="90">
        <x:v>0</x:v>
      </x:c>
      <x:c r="Y37" s="90">
        <x:v>0</x:v>
      </x:c>
      <x:c r="Z37" s="90" t="n">
        <x:v>0</x:v>
      </x:c>
    </x:row>
    <x:row r="38" spans="1:26" ht="12.75" customHeight="1" x14ac:dyDescent="0.3">
      <x:c r="E38" s="89" t="s">
        <x:v>81</x:v>
      </x:c>
      <x:c r="F38" s="90" t="n">
        <x:v>52627</x:v>
      </x:c>
      <x:c r="G38" s="90" t="n">
        <x:v>3905.72</x:v>
      </x:c>
      <x:c r="H38" s="90" t="n">
        <x:v>2108.89</x:v>
      </x:c>
      <x:c r="I38" s="90" t="n">
        <x:v>1129.02</x:v>
      </x:c>
      <x:c r="J38" s="90" t="n">
        <x:v>9194.6</x:v>
      </x:c>
      <x:c r="K38" s="90" t="n">
        <x:v>397.89</x:v>
      </x:c>
      <x:c r="L38" s="90" t="n">
        <x:v>0</x:v>
      </x:c>
      <x:c r="M38" s="90" t="n">
        <x:v>3497.21</x:v>
      </x:c>
      <x:c r="N38" s="90" t="n">
        <x:v>3710.89</x:v>
      </x:c>
      <x:c r="O38" s="90" t="n">
        <x:v>17365.58</x:v>
      </x:c>
      <x:c r="P38" s="90" t="n">
        <x:v>10667.02</x:v>
      </x:c>
      <x:c r="Q38" s="90" t="n">
        <x:v>649.71</x:v>
      </x:c>
      <x:c r="R38" s="90" t="n">
        <x:v>0.42</x:v>
      </x:c>
      <x:c r="S38" s="90" t="n">
        <x:v>-0.01</x:v>
      </x:c>
      <x:c r="T38" s="90" t="n">
        <x:v>0.06</x:v>
      </x:c>
      <x:c r="U38" s="90">
        <x:v>0</x:v>
      </x:c>
      <x:c r="V38" s="90">
        <x:v>0</x:v>
      </x:c>
      <x:c r="W38" s="90">
        <x:v>0</x:v>
      </x:c>
      <x:c r="X38" s="90">
        <x:v>0</x:v>
      </x:c>
      <x:c r="Y38" s="90">
        <x:v>0</x:v>
      </x:c>
      <x:c r="Z38" s="90" t="n">
        <x:v>0</x:v>
      </x:c>
    </x:row>
    <x:row r="39" spans="1:26" ht="12.75" customHeight="1" x14ac:dyDescent="0.3">
      <x:c r="D39" s="89" t="s">
        <x:v>82</x:v>
      </x:c>
      <x:c r="E39" s="89" t="s">
        <x:v>70</x:v>
      </x:c>
      <x:c r="F39" s="90" t="n">
        <x:v>27865160.99</x:v>
      </x:c>
      <x:c r="G39" s="90" t="n">
        <x:v>3131588.34</x:v>
      </x:c>
      <x:c r="H39" s="90" t="n">
        <x:v>1789859.51</x:v>
      </x:c>
      <x:c r="I39" s="90" t="n">
        <x:v>995611.92</x:v>
      </x:c>
      <x:c r="J39" s="90" t="n">
        <x:v>3909326.99</x:v>
      </x:c>
      <x:c r="K39" s="90" t="n">
        <x:v>128792.53</x:v>
      </x:c>
      <x:c r="L39" s="90" t="n">
        <x:v>65261.43</x:v>
      </x:c>
      <x:c r="M39" s="90" t="n">
        <x:v>1112236.48</x:v>
      </x:c>
      <x:c r="N39" s="90" t="n">
        <x:v>1381496.26</x:v>
      </x:c>
      <x:c r="O39" s="90" t="n">
        <x:v>6602757.83</x:v>
      </x:c>
      <x:c r="P39" s="90" t="n">
        <x:v>8536897.08</x:v>
      </x:c>
      <x:c r="Q39" s="90" t="n">
        <x:v>211427.58</x:v>
      </x:c>
      <x:c r="R39" s="90" t="n">
        <x:v>-95.01</x:v>
      </x:c>
      <x:c r="S39" s="90" t="n">
        <x:v>-0.01</x:v>
      </x:c>
      <x:c r="T39" s="90" t="n">
        <x:v>0.06</x:v>
      </x:c>
      <x:c r="U39" s="90">
        <x:v>0</x:v>
      </x:c>
      <x:c r="V39" s="90">
        <x:v>0</x:v>
      </x:c>
      <x:c r="W39" s="90">
        <x:v>0</x:v>
      </x:c>
      <x:c r="X39" s="90">
        <x:v>0</x:v>
      </x:c>
      <x:c r="Y39" s="90">
        <x:v>0</x:v>
      </x:c>
      <x:c r="Z39" s="90" t="n">
        <x:v>0</x:v>
      </x:c>
    </x:row>
    <x:row r="40" spans="1:26" ht="12.75" customHeight="1" x14ac:dyDescent="0.3">
      <x:c r="E40" s="89" t="s">
        <x:v>72</x:v>
      </x:c>
      <x:c r="F40" s="90" t="n">
        <x:v>38733807.13</x:v>
      </x:c>
      <x:c r="G40" s="90" t="n">
        <x:v>3039800.25</x:v>
      </x:c>
      <x:c r="H40" s="90" t="n">
        <x:v>1655044.15</x:v>
      </x:c>
      <x:c r="I40" s="90" t="n">
        <x:v>884056.68</x:v>
      </x:c>
      <x:c r="J40" s="90" t="n">
        <x:v>6291646.53</x:v>
      </x:c>
      <x:c r="K40" s="90" t="n">
        <x:v>298351.07</x:v>
      </x:c>
      <x:c r="L40" s="90" t="n">
        <x:v>43507.62</x:v>
      </x:c>
      <x:c r="M40" s="90" t="n">
        <x:v>2623588.83</x:v>
      </x:c>
      <x:c r="N40" s="90" t="n">
        <x:v>2661210.63</x:v>
      </x:c>
      <x:c r="O40" s="90" t="n">
        <x:v>12473941.44</x:v>
      </x:c>
      <x:c r="P40" s="90" t="n">
        <x:v>8276273.98</x:v>
      </x:c>
      <x:c r="Q40" s="90" t="n">
        <x:v>486783.55</x:v>
      </x:c>
      <x:c r="R40" s="90" t="n">
        <x:v>-397.6</x:v>
      </x:c>
      <x:c r="S40" s="90" t="n">
        <x:v>0</x:v>
      </x:c>
      <x:c r="T40" s="90" t="n">
        <x:v>0</x:v>
      </x:c>
      <x:c r="U40" s="90">
        <x:v>0</x:v>
      </x:c>
      <x:c r="V40" s="90">
        <x:v>0</x:v>
      </x:c>
      <x:c r="W40" s="90">
        <x:v>0</x:v>
      </x:c>
      <x:c r="X40" s="90">
        <x:v>0</x:v>
      </x:c>
      <x:c r="Y40" s="90">
        <x:v>0</x:v>
      </x:c>
      <x:c r="Z40" s="90" t="n">
        <x:v>0</x:v>
      </x:c>
    </x:row>
    <x:row r="41" spans="1:26" ht="12.75" customHeight="1" x14ac:dyDescent="0.3">
      <x:c r="E41" s="89" t="s">
        <x:v>81</x:v>
      </x:c>
      <x:c r="F41" s="90" t="n">
        <x:v>103423.02</x:v>
      </x:c>
      <x:c r="G41" s="90" t="n">
        <x:v>5231.83</x:v>
      </x:c>
      <x:c r="H41" s="90" t="n">
        <x:v>2620.78</x:v>
      </x:c>
      <x:c r="I41" s="90" t="n">
        <x:v>1432.53</x:v>
      </x:c>
      <x:c r="J41" s="90" t="n">
        <x:v>22089.08</x:v>
      </x:c>
      <x:c r="K41" s="90" t="n">
        <x:v>1012.15</x:v>
      </x:c>
      <x:c r="L41" s="90" t="n">
        <x:v>0</x:v>
      </x:c>
      <x:c r="M41" s="90" t="n">
        <x:v>8840.42</x:v>
      </x:c>
      <x:c r="N41" s="90" t="n">
        <x:v>8284.39</x:v>
      </x:c>
      <x:c r="O41" s="90" t="n">
        <x:v>37991.28</x:v>
      </x:c>
      <x:c r="P41" s="90" t="n">
        <x:v>14270.12</x:v>
      </x:c>
      <x:c r="Q41" s="90" t="n">
        <x:v>1651.75</x:v>
      </x:c>
      <x:c r="R41" s="90" t="n">
        <x:v>-1.34</x:v>
      </x:c>
      <x:c r="S41" s="90" t="n">
        <x:v>0</x:v>
      </x:c>
      <x:c r="T41" s="90" t="n">
        <x:v>0.03</x:v>
      </x:c>
      <x:c r="U41" s="90">
        <x:v>0</x:v>
      </x:c>
      <x:c r="V41" s="90">
        <x:v>0</x:v>
      </x:c>
      <x:c r="W41" s="90">
        <x:v>0</x:v>
      </x:c>
      <x:c r="X41" s="90">
        <x:v>0</x:v>
      </x:c>
      <x:c r="Y41" s="90">
        <x:v>0</x:v>
      </x:c>
      <x:c r="Z41" s="90" t="n">
        <x:v>0</x:v>
      </x:c>
    </x:row>
    <x:row r="42" spans="1:26" ht="12.75" customHeight="1" x14ac:dyDescent="0.3">
      <x:c r="D42" s="89" t="s">
        <x:v>86</x:v>
      </x:c>
      <x:c r="E42" s="89" t="s">
        <x:v>70</x:v>
      </x:c>
      <x:c r="F42" s="90" t="n">
        <x:v>38837230.15</x:v>
      </x:c>
      <x:c r="G42" s="90" t="n">
        <x:v>3045032.08</x:v>
      </x:c>
      <x:c r="H42" s="90" t="n">
        <x:v>1657664.93</x:v>
      </x:c>
      <x:c r="I42" s="90" t="n">
        <x:v>885489.21</x:v>
      </x:c>
      <x:c r="J42" s="90" t="n">
        <x:v>6313735.61</x:v>
      </x:c>
      <x:c r="K42" s="90" t="n">
        <x:v>299363.22</x:v>
      </x:c>
      <x:c r="L42" s="90" t="n">
        <x:v>43507.62</x:v>
      </x:c>
      <x:c r="M42" s="90" t="n">
        <x:v>2632429.25</x:v>
      </x:c>
      <x:c r="N42" s="90" t="n">
        <x:v>2669495.02</x:v>
      </x:c>
      <x:c r="O42" s="90" t="n">
        <x:v>12511932.72</x:v>
      </x:c>
      <x:c r="P42" s="90" t="n">
        <x:v>8290544.1</x:v>
      </x:c>
      <x:c r="Q42" s="90" t="n">
        <x:v>488435.3</x:v>
      </x:c>
      <x:c r="R42" s="90" t="n">
        <x:v>-398.94</x:v>
      </x:c>
      <x:c r="S42" s="90" t="n">
        <x:v>0</x:v>
      </x:c>
      <x:c r="T42" s="90" t="n">
        <x:v>0.03</x:v>
      </x:c>
      <x:c r="U42" s="90">
        <x:v>0</x:v>
      </x:c>
      <x:c r="V42" s="90">
        <x:v>0</x:v>
      </x:c>
      <x:c r="W42" s="90">
        <x:v>0</x:v>
      </x:c>
      <x:c r="X42" s="90">
        <x:v>0</x:v>
      </x:c>
      <x:c r="Y42" s="90">
        <x:v>0</x:v>
      </x:c>
      <x:c r="Z42" s="90" t="n">
        <x:v>0</x:v>
      </x:c>
    </x:row>
    <x:row r="43" spans="1:26" ht="12.75" customHeight="1" x14ac:dyDescent="0.3">
      <x:c r="C43" s="89"/>
      <x:c r="D43" s="89"/>
      <x:c r="E43" t="s">
        <x:v>72</x:v>
      </x:c>
      <x:c r="F43" s="90" t="n">
        <x:v>222891664.54</x:v>
      </x:c>
      <x:c r="G43" s="90" t="n">
        <x:v>27345006.72</x:v>
      </x:c>
      <x:c r="H43" s="90" t="n">
        <x:v>15201201.24</x:v>
      </x:c>
      <x:c r="I43" s="90" t="n">
        <x:v>8089797.89</x:v>
      </x:c>
      <x:c r="J43" s="90" t="n">
        <x:v>28735245.64</x:v>
      </x:c>
      <x:c r="K43" s="90" t="n">
        <x:v>729515.15</x:v>
      </x:c>
      <x:c r="L43" s="90" t="n">
        <x:v>9878361.24</x:v>
      </x:c>
      <x:c r="M43" s="90" t="n">
        <x:v>6370953.34</x:v>
      </x:c>
      <x:c r="N43" s="90" t="n">
        <x:v>8839869.58</x:v>
      </x:c>
      <x:c r="O43" s="90" t="n">
        <x:v>41844064.08</x:v>
      </x:c>
      <x:c r="P43" s="90" t="n">
        <x:v>74669973.01</x:v>
      </x:c>
      <x:c r="Q43" s="90" t="n">
        <x:v>1190722.62</x:v>
      </x:c>
      <x:c r="R43" s="90" t="n">
        <x:v>-3045.97</x:v>
      </x:c>
      <x:c r="S43" s="90" t="n">
        <x:v>0</x:v>
      </x:c>
      <x:c r="T43" s="90" t="n">
        <x:v>0</x:v>
      </x:c>
      <x:c r="U43" s="90">
        <x:v>0</x:v>
      </x:c>
      <x:c r="V43" s="90">
        <x:v>0</x:v>
      </x:c>
      <x:c r="W43" s="90">
        <x:v>0</x:v>
      </x:c>
      <x:c r="X43" s="90">
        <x:v>0</x:v>
      </x:c>
      <x:c r="Y43" s="90">
        <x:v>0</x:v>
      </x:c>
      <x:c r="Z43" s="90" t="n">
        <x:v>0</x:v>
      </x:c>
    </x:row>
    <x:row r="44" spans="1:26" ht="12.75" customHeight="1" x14ac:dyDescent="0.3">
      <x:c r="B44" s="89"/>
      <x:c r="C44" s="89"/>
      <x:c r="E44" t="s">
        <x:v>81</x:v>
      </x:c>
      <x:c r="F44" s="90" t="n">
        <x:v>650065.1</x:v>
      </x:c>
      <x:c r="G44" s="90" t="n">
        <x:v>54025.13</x:v>
      </x:c>
      <x:c r="H44" s="90" t="n">
        <x:v>28815.72</x:v>
      </x:c>
      <x:c r="I44" s="90" t="n">
        <x:v>15452.4</x:v>
      </x:c>
      <x:c r="J44" s="90" t="n">
        <x:v>131416.37</x:v>
      </x:c>
      <x:c r="K44" s="90" t="n">
        <x:v>3462.06</x:v>
      </x:c>
      <x:c r="L44" s="90" t="n">
        <x:v>6638.64</x:v>
      </x:c>
      <x:c r="M44" s="90" t="n">
        <x:v>30369.24</x:v>
      </x:c>
      <x:c r="N44" s="90" t="n">
        <x:v>40871.66</x:v>
      </x:c>
      <x:c r="O44" s="90" t="n">
        <x:v>186410.2</x:v>
      </x:c>
      <x:c r="P44" s="90" t="n">
        <x:v>147007.48</x:v>
      </x:c>
      <x:c r="Q44" s="90" t="n">
        <x:v>5632.59</x:v>
      </x:c>
      <x:c r="R44" s="90" t="n">
        <x:v>-36.4</x:v>
      </x:c>
      <x:c r="S44" s="90" t="n">
        <x:v>0.01</x:v>
      </x:c>
      <x:c r="T44" s="90" t="n">
        <x:v>0</x:v>
      </x:c>
      <x:c r="U44" s="90">
        <x:v>0</x:v>
      </x:c>
      <x:c r="V44" s="90">
        <x:v>0</x:v>
      </x:c>
      <x:c r="W44" s="90">
        <x:v>0</x:v>
      </x:c>
      <x:c r="X44" s="90">
        <x:v>0</x:v>
      </x:c>
      <x:c r="Y44" s="90">
        <x:v>0</x:v>
      </x:c>
      <x:c r="Z44" s="90" t="n">
        <x:v>0</x:v>
      </x:c>
    </x:row>
    <x:row r="45" spans="1:26" ht="12.75" customHeight="1" x14ac:dyDescent="0.3">
      <x:c r="C45" s="89"/>
      <x:c r="D45" s="89" t="s">
        <x:v>87</x:v>
      </x:c>
      <x:c r="E45" t="s">
        <x:v>70</x:v>
      </x:c>
      <x:c r="F45" s="90" t="n">
        <x:v>223541729.64</x:v>
      </x:c>
      <x:c r="G45" s="90" t="n">
        <x:v>27399031.85</x:v>
      </x:c>
      <x:c r="H45" s="90" t="n">
        <x:v>15230016.96</x:v>
      </x:c>
      <x:c r="I45" s="90" t="n">
        <x:v>8105250.29</x:v>
      </x:c>
      <x:c r="J45" s="90" t="n">
        <x:v>28866662.01</x:v>
      </x:c>
      <x:c r="K45" s="90" t="n">
        <x:v>732977.21</x:v>
      </x:c>
      <x:c r="L45" s="90" t="n">
        <x:v>9884999.88</x:v>
      </x:c>
      <x:c r="M45" s="90" t="n">
        <x:v>6401322.58</x:v>
      </x:c>
      <x:c r="N45" s="90" t="n">
        <x:v>8880741.24</x:v>
      </x:c>
      <x:c r="O45" s="90" t="n">
        <x:v>42030474.28</x:v>
      </x:c>
      <x:c r="P45" s="90" t="n">
        <x:v>74816980.49</x:v>
      </x:c>
      <x:c r="Q45" s="90" t="n">
        <x:v>1196355.21</x:v>
      </x:c>
      <x:c r="R45" s="90" t="n">
        <x:v>-3082.37</x:v>
      </x:c>
      <x:c r="S45" s="90" t="n">
        <x:v>0.01</x:v>
      </x:c>
      <x:c r="T45" s="90" t="n">
        <x:v>0</x:v>
      </x:c>
      <x:c r="U45" s="90">
        <x:v>0</x:v>
      </x:c>
      <x:c r="V45" s="90">
        <x:v>0</x:v>
      </x:c>
      <x:c r="W45" s="90">
        <x:v>0</x:v>
      </x:c>
      <x:c r="X45" s="90">
        <x:v>0</x:v>
      </x:c>
      <x:c r="Y45" s="90">
        <x:v>0</x:v>
      </x:c>
      <x:c r="Z45" s="90" t="n">
        <x:v>0</x:v>
      </x:c>
    </x:row>
    <x:row r="46" spans="1:26" s="94" customFormat="1" ht="12.75" customHeight="1" x14ac:dyDescent="0.3">
      <x:c r="C46" s="101" t="s">
        <x:v>119</x:v>
      </x:c>
      <x:c r="D46" s="101" t="s">
        <x:v>70</x:v>
      </x:c>
      <x:c r="F46" s="93" t="n">
        <x:v>290244120.78</x:v>
      </x:c>
      <x:c r="G46" s="93" t="n">
        <x:v>33575652.27</x:v>
      </x:c>
      <x:c r="H46" s="93" t="n">
        <x:v>18677541.4</x:v>
      </x:c>
      <x:c r="I46" s="93" t="n">
        <x:v>9986351.42</x:v>
      </x:c>
      <x:c r="J46" s="93" t="n">
        <x:v>39089724.61</x:v>
      </x:c>
      <x:c r="K46" s="93" t="n">
        <x:v>1161132.96</x:v>
      </x:c>
      <x:c r="L46" s="93" t="n">
        <x:v>9993768.93</x:v>
      </x:c>
      <x:c r="M46" s="93" t="n">
        <x:v>10145988.31</x:v>
      </x:c>
      <x:c r="N46" s="93" t="n">
        <x:v>12931732.52</x:v>
      </x:c>
      <x:c r="O46" s="93" t="n">
        <x:v>61145164.83</x:v>
      </x:c>
      <x:c r="P46" s="93" t="n">
        <x:v>91644421.67</x:v>
      </x:c>
      <x:c r="Q46" s="93" t="n">
        <x:v>1896218.09</x:v>
      </x:c>
      <x:c r="R46" s="93" t="n">
        <x:v>-3576.32</x:v>
      </x:c>
      <x:c r="S46" s="93" t="n">
        <x:v>0</x:v>
      </x:c>
      <x:c r="T46" s="93" t="n">
        <x:v>0.09</x:v>
      </x:c>
      <x:c r="U46" s="93">
        <x:v>0</x:v>
      </x:c>
      <x:c r="V46" s="93">
        <x:v>0</x:v>
      </x:c>
      <x:c r="W46" s="93">
        <x:v>0</x:v>
      </x:c>
      <x:c r="X46" s="93">
        <x:v>0</x:v>
      </x:c>
      <x:c r="Y46" s="93">
        <x:v>0</x:v>
      </x:c>
      <x:c r="Z46" s="93" t="n">
        <x:v>0</x:v>
      </x:c>
    </x:row>
    <x:row r="47" spans="1:26" s="226" customFormat="1" ht="12.75" customHeight="1" x14ac:dyDescent="0.3">
      <x:c r="B47" s="98" t="s">
        <x:v>112</x:v>
      </x:c>
      <x:c r="C47" s="98" t="s">
        <x:v>70</x:v>
      </x:c>
      <x:c r="F47" s="100" t="n">
        <x:v>18025191391.39</x:v>
      </x:c>
      <x:c r="G47" s="100" t="n">
        <x:v>841806157.75</x:v>
      </x:c>
      <x:c r="H47" s="100" t="n">
        <x:v>468918023.38</x:v>
      </x:c>
      <x:c r="I47" s="100" t="n">
        <x:v>249656939.77</x:v>
      </x:c>
      <x:c r="J47" s="100" t="n">
        <x:v>4756846479.77</x:v>
      </x:c>
      <x:c r="K47" s="100" t="n">
        <x:v>158497997.15</x:v>
      </x:c>
      <x:c r="L47" s="100" t="n">
        <x:v>19931693.03</x:v>
      </x:c>
      <x:c r="M47" s="100" t="n">
        <x:v>1391735810.63</x:v>
      </x:c>
      <x:c r="N47" s="100" t="n">
        <x:v>1315958782.42</x:v>
      </x:c>
      <x:c r="O47" s="100" t="n">
        <x:v>6272232886.32</x:v>
      </x:c>
      <x:c r="P47" s="100" t="n">
        <x:v>2290889370.89</x:v>
      </x:c>
      <x:c r="Q47" s="100" t="n">
        <x:v>258744902.81</x:v>
      </x:c>
      <x:c r="R47" s="100" t="n">
        <x:v>-27801.66</x:v>
      </x:c>
      <x:c r="S47" s="100" t="n">
        <x:v>19.47</x:v>
      </x:c>
      <x:c r="T47" s="100" t="n">
        <x:v>236.56</x:v>
      </x:c>
      <x:c r="U47" s="100">
        <x:v>0</x:v>
      </x:c>
      <x:c r="V47" s="100">
        <x:v>0</x:v>
      </x:c>
      <x:c r="W47" s="100">
        <x:v>0</x:v>
      </x:c>
      <x:c r="X47" s="100">
        <x:v>0</x:v>
      </x:c>
      <x:c r="Y47" s="100">
        <x:v>0</x:v>
      </x:c>
      <x:c r="Z47" s="100" t="n">
        <x:v>-106.9</x:v>
      </x:c>
    </x:row>
    <x:row r="48" spans="1:26" ht="12.65" customHeight="1" x14ac:dyDescent="0.3">
      <x:c r="A48" t="s">
        <x:v>78</x:v>
      </x:c>
      <x:c r="B48" t="s">
        <x:v>70</x:v>
      </x:c>
      <x:c r="E48" s="89"/>
      <x:c r="F48" s="89" t="n">
        <x:v>18025827438.46</x:v>
      </x:c>
      <x:c r="G48" s="90" t="n">
        <x:v>841835381.34</x:v>
      </x:c>
      <x:c r="H48" s="90" t="n">
        <x:v>468934481.85</x:v>
      </x:c>
      <x:c r="I48" s="90" t="n">
        <x:v>249665599.99</x:v>
      </x:c>
      <x:c r="J48" s="90" t="n">
        <x:v>4756987905.24</x:v>
      </x:c>
      <x:c r="K48" s="90" t="n">
        <x:v>158503822.69</x:v>
      </x:c>
      <x:c r="L48" s="90" t="n">
        <x:v>19931693.03</x:v>
      </x:c>
      <x:c r="M48" s="90" t="n">
        <x:v>1391786912</x:v>
      </x:c>
      <x:c r="N48" s="90" t="n">
        <x:v>1316010061.1</x:v>
      </x:c>
      <x:c r="O48" s="90" t="n">
        <x:v>6272475634.75</x:v>
      </x:c>
      <x:c r="P48" s="90" t="n">
        <x:v>2290969186.24</x:v>
      </x:c>
      <x:c r="Q48" s="90" t="n">
        <x:v>258754407.64</x:v>
      </x:c>
      <x:c r="R48" s="90" t="n">
        <x:v>-27796.54</x:v>
      </x:c>
      <x:c r="S48" s="90" t="n">
        <x:v>19.47</x:v>
      </x:c>
      <x:c r="T48" s="90" t="n">
        <x:v>236.56</x:v>
      </x:c>
      <x:c r="U48" s="90">
        <x:v>0</x:v>
      </x:c>
      <x:c r="V48" s="90">
        <x:v>0</x:v>
      </x:c>
      <x:c r="W48" s="90">
        <x:v>0</x:v>
      </x:c>
      <x:c r="X48" s="90">
        <x:v>0</x:v>
      </x:c>
      <x:c r="Y48" s="90">
        <x:v>0</x:v>
      </x:c>
      <x:c r="Z48" s="90" t="n">
        <x:v>-106.9</x:v>
      </x:c>
    </x:row>
    <x:row r="49" spans="2:26" x14ac:dyDescent="0.3">
      <x:c r="E49" t="s">
        <x:v>73</x:v>
      </x:c>
      <x:c r="F49" s="90" t="n">
        <x:v>-32099.64</x:v>
      </x:c>
      <x:c r="G49" s="90" t="n">
        <x:v>-1182.8</x:v>
      </x:c>
      <x:c r="H49" s="90" t="n">
        <x:v>-661.02</x:v>
      </x:c>
      <x:c r="I49" s="90" t="n">
        <x:v>-350.52</x:v>
      </x:c>
      <x:c r="J49" s="90" t="n">
        <x:v>-6245.62</x:v>
      </x:c>
      <x:c r="K49" s="90" t="n">
        <x:v>-344.7</x:v>
      </x:c>
      <x:c r="L49" s="90" t="n">
        <x:v>0</x:v>
      </x:c>
      <x:c r="M49" s="90" t="n">
        <x:v>-3023.82</x:v>
      </x:c>
      <x:c r="N49" s="90" t="n">
        <x:v>-2892.68</x:v>
      </x:c>
      <x:c r="O49" s="90" t="n">
        <x:v>-13605.48</x:v>
      </x:c>
      <x:c r="P49" s="90" t="n">
        <x:v>-3230.56</x:v>
      </x:c>
      <x:c r="Q49" s="90" t="n">
        <x:v>-562.44</x:v>
      </x:c>
      <x:c r="R49" s="90" t="n">
        <x:v>0</x:v>
      </x:c>
      <x:c r="S49" s="90" t="n">
        <x:v>0</x:v>
      </x:c>
      <x:c r="T49" s="90" t="n">
        <x:v>0</x:v>
      </x:c>
      <x:c r="U49">
        <x:v>0</x:v>
      </x:c>
      <x:c r="V49">
        <x:v>0</x:v>
      </x:c>
      <x:c r="W49">
        <x:v>0</x:v>
      </x:c>
      <x:c r="X49">
        <x:v>0</x:v>
      </x:c>
      <x:c r="Y49">
        <x:v>0</x:v>
      </x:c>
      <x:c r="Z49" s="90" t="n">
        <x:v>0</x:v>
      </x:c>
    </x:row>
    <x:row r="50" spans="2:26" x14ac:dyDescent="0.3">
      <x:c r="D50" t="s">
        <x:v>156</x:v>
      </x:c>
      <x:c r="E50" t="s">
        <x:v>70</x:v>
      </x:c>
      <x:c r="F50" s="90" t="n">
        <x:v>-32099.64</x:v>
      </x:c>
      <x:c r="G50" s="90" t="n">
        <x:v>-1182.8</x:v>
      </x:c>
      <x:c r="H50" s="90" t="n">
        <x:v>-661.02</x:v>
      </x:c>
      <x:c r="I50" s="90" t="n">
        <x:v>-350.52</x:v>
      </x:c>
      <x:c r="J50" s="90" t="n">
        <x:v>-6245.62</x:v>
      </x:c>
      <x:c r="K50" s="90" t="n">
        <x:v>-344.7</x:v>
      </x:c>
      <x:c r="L50" s="90" t="n">
        <x:v>0</x:v>
      </x:c>
      <x:c r="M50" s="90" t="n">
        <x:v>-3023.82</x:v>
      </x:c>
      <x:c r="N50" s="90" t="n">
        <x:v>-2892.68</x:v>
      </x:c>
      <x:c r="O50" s="90" t="n">
        <x:v>-13605.48</x:v>
      </x:c>
      <x:c r="P50" s="90" t="n">
        <x:v>-3230.56</x:v>
      </x:c>
      <x:c r="Q50" s="90" t="n">
        <x:v>-562.44</x:v>
      </x:c>
      <x:c r="R50" s="90" t="n">
        <x:v>0</x:v>
      </x:c>
      <x:c r="S50" s="90" t="n">
        <x:v>0</x:v>
      </x:c>
      <x:c r="T50" s="90" t="n">
        <x:v>0</x:v>
      </x:c>
      <x:c r="U50">
        <x:v>0</x:v>
      </x:c>
      <x:c r="V50">
        <x:v>0</x:v>
      </x:c>
      <x:c r="W50">
        <x:v>0</x:v>
      </x:c>
      <x:c r="X50">
        <x:v>0</x:v>
      </x:c>
      <x:c r="Y50">
        <x:v>0</x:v>
      </x:c>
      <x:c r="Z50" s="90" t="n">
        <x:v>0</x:v>
      </x:c>
    </x:row>
    <x:row r="51" spans="2:26" s="286" customFormat="1" ht="12.75" customHeight="1" x14ac:dyDescent="0.3">
      <x:c r="C51" s="286" t="s">
        <x:v>155</x:v>
      </x:c>
      <x:c r="D51" s="286" t="s">
        <x:v>70</x:v>
      </x:c>
      <x:c r="E51" s="229"/>
      <x:c r="F51" s="229" t="n">
        <x:v>-32099.64</x:v>
      </x:c>
      <x:c r="G51" s="230" t="n">
        <x:v>-1182.8</x:v>
      </x:c>
      <x:c r="H51" s="230" t="n">
        <x:v>-661.02</x:v>
      </x:c>
      <x:c r="I51" s="230" t="n">
        <x:v>-350.52</x:v>
      </x:c>
      <x:c r="J51" s="230" t="n">
        <x:v>-6245.62</x:v>
      </x:c>
      <x:c r="K51" s="230" t="n">
        <x:v>-344.7</x:v>
      </x:c>
      <x:c r="L51" s="230" t="n">
        <x:v>0</x:v>
      </x:c>
      <x:c r="M51" s="230" t="n">
        <x:v>-3023.82</x:v>
      </x:c>
      <x:c r="N51" s="230" t="n">
        <x:v>-2892.68</x:v>
      </x:c>
      <x:c r="O51" s="230" t="n">
        <x:v>-13605.48</x:v>
      </x:c>
      <x:c r="P51" s="230" t="n">
        <x:v>-3230.56</x:v>
      </x:c>
      <x:c r="Q51" s="230" t="n">
        <x:v>-562.44</x:v>
      </x:c>
      <x:c r="R51" s="230" t="n">
        <x:v>0</x:v>
      </x:c>
      <x:c r="S51" s="230" t="n">
        <x:v>0</x:v>
      </x:c>
      <x:c r="T51" s="230" t="n">
        <x:v>0</x:v>
      </x:c>
      <x:c r="U51" s="230">
        <x:v>0</x:v>
      </x:c>
      <x:c r="V51" s="230">
        <x:v>0</x:v>
      </x:c>
      <x:c r="W51" s="230">
        <x:v>0</x:v>
      </x:c>
      <x:c r="X51" s="230">
        <x:v>0</x:v>
      </x:c>
      <x:c r="Y51" s="230">
        <x:v>0</x:v>
      </x:c>
      <x:c r="Z51" s="230" t="n">
        <x:v>0</x:v>
      </x:c>
    </x:row>
    <x:row r="52" spans="2:26" x14ac:dyDescent="0.3">
      <x:c r="E52" t="s">
        <x:v>73</x:v>
      </x:c>
      <x:c r="F52" s="90">
        <x:v>0</x:v>
      </x:c>
      <x:c r="G52" s="90">
        <x:v>0</x:v>
      </x:c>
      <x:c r="H52" s="90">
        <x:v>0</x:v>
      </x:c>
      <x:c r="I52" s="90">
        <x:v>0</x:v>
      </x:c>
      <x:c r="J52" s="90">
        <x:v>0</x:v>
      </x:c>
      <x:c r="K52" s="90">
        <x:v>0</x:v>
      </x:c>
      <x:c r="L52" s="90">
        <x:v>0</x:v>
      </x:c>
      <x:c r="M52" s="90">
        <x:v>0</x:v>
      </x:c>
      <x:c r="N52" s="90">
        <x:v>0</x:v>
      </x:c>
      <x:c r="O52" s="90">
        <x:v>0</x:v>
      </x:c>
      <x:c r="P52" s="90">
        <x:v>0</x:v>
      </x:c>
      <x:c r="Q52" s="90">
        <x:v>0</x:v>
      </x:c>
      <x:c r="R52" s="90">
        <x:v>0</x:v>
      </x:c>
      <x:c r="S52" s="90">
        <x:v>0</x:v>
      </x:c>
      <x:c r="T52" s="90">
        <x:v>0</x:v>
      </x:c>
      <x:c r="U52">
        <x:v>0</x:v>
      </x:c>
      <x:c r="V52">
        <x:v>0</x:v>
      </x:c>
      <x:c r="W52">
        <x:v>0</x:v>
      </x:c>
      <x:c r="X52">
        <x:v>0</x:v>
      </x:c>
      <x:c r="Y52">
        <x:v>0</x:v>
      </x:c>
      <x:c r="Z52" s="90">
        <x:v>0</x:v>
      </x:c>
    </x:row>
    <x:row r="53" spans="2:26" x14ac:dyDescent="0.3">
      <x:c r="D53" t="s">
        <x:v>82</x:v>
      </x:c>
      <x:c r="E53" t="s">
        <x:v>70</x:v>
      </x:c>
      <x:c r="F53" s="90">
        <x:v>0</x:v>
      </x:c>
      <x:c r="G53" s="90">
        <x:v>0</x:v>
      </x:c>
      <x:c r="H53" s="90">
        <x:v>0</x:v>
      </x:c>
      <x:c r="I53" s="90">
        <x:v>0</x:v>
      </x:c>
      <x:c r="J53" s="90">
        <x:v>0</x:v>
      </x:c>
      <x:c r="K53" s="90">
        <x:v>0</x:v>
      </x:c>
      <x:c r="L53" s="90">
        <x:v>0</x:v>
      </x:c>
      <x:c r="M53" s="90">
        <x:v>0</x:v>
      </x:c>
      <x:c r="N53" s="90">
        <x:v>0</x:v>
      </x:c>
      <x:c r="O53" s="90">
        <x:v>0</x:v>
      </x:c>
      <x:c r="P53" s="90">
        <x:v>0</x:v>
      </x:c>
      <x:c r="Q53" s="90">
        <x:v>0</x:v>
      </x:c>
      <x:c r="R53" s="90">
        <x:v>0</x:v>
      </x:c>
      <x:c r="S53" s="90">
        <x:v>0</x:v>
      </x:c>
      <x:c r="T53" s="90">
        <x:v>0</x:v>
      </x:c>
      <x:c r="U53">
        <x:v>0</x:v>
      </x:c>
      <x:c r="V53">
        <x:v>0</x:v>
      </x:c>
      <x:c r="W53">
        <x:v>0</x:v>
      </x:c>
      <x:c r="X53">
        <x:v>0</x:v>
      </x:c>
      <x:c r="Y53">
        <x:v>0</x:v>
      </x:c>
      <x:c r="Z53" s="90">
        <x:v>0</x:v>
      </x:c>
    </x:row>
    <x:row r="54" spans="2:26" x14ac:dyDescent="0.3">
      <x:c r="E54" t="s">
        <x:v>73</x:v>
      </x:c>
      <x:c r="F54" s="90">
        <x:v>0</x:v>
      </x:c>
      <x:c r="G54" s="90">
        <x:v>0</x:v>
      </x:c>
      <x:c r="H54" s="90">
        <x:v>0</x:v>
      </x:c>
      <x:c r="I54" s="90">
        <x:v>0</x:v>
      </x:c>
      <x:c r="J54" s="90">
        <x:v>0</x:v>
      </x:c>
      <x:c r="K54" s="90">
        <x:v>0</x:v>
      </x:c>
      <x:c r="L54" s="90">
        <x:v>0</x:v>
      </x:c>
      <x:c r="M54" s="90">
        <x:v>0</x:v>
      </x:c>
      <x:c r="N54" s="90">
        <x:v>0</x:v>
      </x:c>
      <x:c r="O54" s="90">
        <x:v>0</x:v>
      </x:c>
      <x:c r="P54" s="90">
        <x:v>0</x:v>
      </x:c>
      <x:c r="Q54" s="90">
        <x:v>0</x:v>
      </x:c>
      <x:c r="R54" s="90">
        <x:v>0</x:v>
      </x:c>
      <x:c r="S54" s="90">
        <x:v>0</x:v>
      </x:c>
      <x:c r="T54" s="90">
        <x:v>0</x:v>
      </x:c>
      <x:c r="U54">
        <x:v>0</x:v>
      </x:c>
      <x:c r="V54">
        <x:v>0</x:v>
      </x:c>
      <x:c r="W54">
        <x:v>0</x:v>
      </x:c>
      <x:c r="X54">
        <x:v>0</x:v>
      </x:c>
      <x:c r="Y54">
        <x:v>0</x:v>
      </x:c>
      <x:c r="Z54" s="90">
        <x:v>0</x:v>
      </x:c>
    </x:row>
    <x:row r="55" spans="2:26" x14ac:dyDescent="0.3">
      <x:c r="D55" t="s">
        <x:v>86</x:v>
      </x:c>
      <x:c r="E55" t="s">
        <x:v>70</x:v>
      </x:c>
      <x:c r="F55" s="90">
        <x:v>0</x:v>
      </x:c>
      <x:c r="G55" s="90">
        <x:v>0</x:v>
      </x:c>
      <x:c r="H55" s="90">
        <x:v>0</x:v>
      </x:c>
      <x:c r="I55" s="90">
        <x:v>0</x:v>
      </x:c>
      <x:c r="J55" s="90">
        <x:v>0</x:v>
      </x:c>
      <x:c r="K55" s="90">
        <x:v>0</x:v>
      </x:c>
      <x:c r="L55" s="90">
        <x:v>0</x:v>
      </x:c>
      <x:c r="M55" s="90">
        <x:v>0</x:v>
      </x:c>
      <x:c r="N55" s="90">
        <x:v>0</x:v>
      </x:c>
      <x:c r="O55" s="90">
        <x:v>0</x:v>
      </x:c>
      <x:c r="P55" s="90">
        <x:v>0</x:v>
      </x:c>
      <x:c r="Q55" s="90">
        <x:v>0</x:v>
      </x:c>
      <x:c r="R55" s="90">
        <x:v>0</x:v>
      </x:c>
      <x:c r="S55" s="90">
        <x:v>0</x:v>
      </x:c>
      <x:c r="T55" s="90">
        <x:v>0</x:v>
      </x:c>
      <x:c r="U55">
        <x:v>0</x:v>
      </x:c>
      <x:c r="V55">
        <x:v>0</x:v>
      </x:c>
      <x:c r="W55">
        <x:v>0</x:v>
      </x:c>
      <x:c r="X55">
        <x:v>0</x:v>
      </x:c>
      <x:c r="Y55">
        <x:v>0</x:v>
      </x:c>
      <x:c r="Z55" s="90">
        <x:v>0</x:v>
      </x:c>
    </x:row>
    <x:row r="56" spans="2:26" x14ac:dyDescent="0.3">
      <x:c r="E56" t="s">
        <x:v>73</x:v>
      </x:c>
      <x:c r="F56" s="90" t="n">
        <x:v>44922.57</x:v>
      </x:c>
      <x:c r="G56" s="90" t="n">
        <x:v>2812.56</x:v>
      </x:c>
      <x:c r="H56" s="90" t="n">
        <x:v>1569.13</x:v>
      </x:c>
      <x:c r="I56" s="90" t="n">
        <x:v>833.5</x:v>
      </x:c>
      <x:c r="J56" s="90" t="n">
        <x:v>10514.48</x:v>
      </x:c>
      <x:c r="K56" s="90" t="n">
        <x:v>259.46</x:v>
      </x:c>
      <x:c r="L56" s="90" t="n">
        <x:v>0</x:v>
      </x:c>
      <x:c r="M56" s="90" t="n">
        <x:v>2275.96</x:v>
      </x:c>
      <x:c r="N56" s="90" t="n">
        <x:v>3235.33</x:v>
      </x:c>
      <x:c r="O56" s="90" t="n">
        <x:v>15317.02</x:v>
      </x:c>
      <x:c r="P56" s="90" t="n">
        <x:v>7681.79</x:v>
      </x:c>
      <x:c r="Q56" s="90" t="n">
        <x:v>423.34</x:v>
      </x:c>
      <x:c r="R56" s="90" t="n">
        <x:v>0</x:v>
      </x:c>
      <x:c r="S56" s="90" t="n">
        <x:v>0</x:v>
      </x:c>
      <x:c r="T56" s="90" t="n">
        <x:v>0</x:v>
      </x:c>
      <x:c r="U56">
        <x:v>0</x:v>
      </x:c>
      <x:c r="V56">
        <x:v>0</x:v>
      </x:c>
      <x:c r="W56">
        <x:v>0</x:v>
      </x:c>
      <x:c r="X56">
        <x:v>0</x:v>
      </x:c>
      <x:c r="Y56">
        <x:v>0</x:v>
      </x:c>
      <x:c r="Z56" s="90" t="n">
        <x:v>0</x:v>
      </x:c>
    </x:row>
    <x:row r="57" spans="2:26" x14ac:dyDescent="0.3">
      <x:c r="D57" t="s">
        <x:v>87</x:v>
      </x:c>
      <x:c r="E57" t="s">
        <x:v>70</x:v>
      </x:c>
      <x:c r="F57" s="90" t="n">
        <x:v>44922.57</x:v>
      </x:c>
      <x:c r="G57" s="90" t="n">
        <x:v>2812.56</x:v>
      </x:c>
      <x:c r="H57" s="90" t="n">
        <x:v>1569.13</x:v>
      </x:c>
      <x:c r="I57" s="90" t="n">
        <x:v>833.5</x:v>
      </x:c>
      <x:c r="J57" s="90" t="n">
        <x:v>10514.48</x:v>
      </x:c>
      <x:c r="K57" s="90" t="n">
        <x:v>259.46</x:v>
      </x:c>
      <x:c r="L57" s="90" t="n">
        <x:v>0</x:v>
      </x:c>
      <x:c r="M57" s="90" t="n">
        <x:v>2275.96</x:v>
      </x:c>
      <x:c r="N57" s="90" t="n">
        <x:v>3235.33</x:v>
      </x:c>
      <x:c r="O57" s="90" t="n">
        <x:v>15317.02</x:v>
      </x:c>
      <x:c r="P57" s="90" t="n">
        <x:v>7681.79</x:v>
      </x:c>
      <x:c r="Q57" s="90" t="n">
        <x:v>423.34</x:v>
      </x:c>
      <x:c r="R57" s="90" t="n">
        <x:v>0</x:v>
      </x:c>
      <x:c r="S57" s="90" t="n">
        <x:v>0</x:v>
      </x:c>
      <x:c r="T57" s="90" t="n">
        <x:v>0</x:v>
      </x:c>
      <x:c r="U57">
        <x:v>0</x:v>
      </x:c>
      <x:c r="V57">
        <x:v>0</x:v>
      </x:c>
      <x:c r="W57">
        <x:v>0</x:v>
      </x:c>
      <x:c r="X57">
        <x:v>0</x:v>
      </x:c>
      <x:c r="Y57">
        <x:v>0</x:v>
      </x:c>
      <x:c r="Z57" s="90" t="n">
        <x:v>0</x:v>
      </x:c>
    </x:row>
    <x:row r="58" spans="2:26" s="94" customFormat="1" ht="12.75" customHeight="1" x14ac:dyDescent="0.3">
      <x:c r="C58" s="101" t="s">
        <x:v>119</x:v>
      </x:c>
      <x:c r="D58" s="101" t="s">
        <x:v>70</x:v>
      </x:c>
      <x:c r="F58" s="93" t="n">
        <x:v>44922.57</x:v>
      </x:c>
      <x:c r="G58" s="93" t="n">
        <x:v>2812.56</x:v>
      </x:c>
      <x:c r="H58" s="93" t="n">
        <x:v>1569.13</x:v>
      </x:c>
      <x:c r="I58" s="93" t="n">
        <x:v>833.5</x:v>
      </x:c>
      <x:c r="J58" s="93" t="n">
        <x:v>10514.48</x:v>
      </x:c>
      <x:c r="K58" s="93" t="n">
        <x:v>259.46</x:v>
      </x:c>
      <x:c r="L58" s="93" t="n">
        <x:v>0</x:v>
      </x:c>
      <x:c r="M58" s="93" t="n">
        <x:v>2275.96</x:v>
      </x:c>
      <x:c r="N58" s="93" t="n">
        <x:v>3235.33</x:v>
      </x:c>
      <x:c r="O58" s="93" t="n">
        <x:v>15317.02</x:v>
      </x:c>
      <x:c r="P58" s="93" t="n">
        <x:v>7681.79</x:v>
      </x:c>
      <x:c r="Q58" s="93" t="n">
        <x:v>423.34</x:v>
      </x:c>
      <x:c r="R58" s="93" t="n">
        <x:v>0</x:v>
      </x:c>
      <x:c r="S58" s="93" t="n">
        <x:v>0</x:v>
      </x:c>
      <x:c r="T58" s="93" t="n">
        <x:v>0</x:v>
      </x:c>
      <x:c r="U58" s="93">
        <x:v>0</x:v>
      </x:c>
      <x:c r="V58" s="93">
        <x:v>0</x:v>
      </x:c>
      <x:c r="W58" s="93">
        <x:v>0</x:v>
      </x:c>
      <x:c r="X58" s="93">
        <x:v>0</x:v>
      </x:c>
      <x:c r="Y58" s="93">
        <x:v>0</x:v>
      </x:c>
      <x:c r="Z58" s="93" t="n">
        <x:v>0</x:v>
      </x:c>
    </x:row>
    <x:row r="59" spans="2:26" s="378" customFormat="1" ht="12.75" customHeight="1" x14ac:dyDescent="0.3">
      <x:c r="B59" s="378" t="s">
        <x:v>122</x:v>
      </x:c>
      <x:c r="C59" s="378" t="s">
        <x:v>70</x:v>
      </x:c>
      <x:c r="E59" s="376"/>
      <x:c r="F59" s="710" t="n">
        <x:v>12822.93</x:v>
      </x:c>
      <x:c r="G59" s="377" t="n">
        <x:v>1629.76</x:v>
      </x:c>
      <x:c r="H59" s="377" t="n">
        <x:v>908.11</x:v>
      </x:c>
      <x:c r="I59" s="377" t="n">
        <x:v>482.98</x:v>
      </x:c>
      <x:c r="J59" s="377" t="n">
        <x:v>4268.86</x:v>
      </x:c>
      <x:c r="K59" s="377" t="n">
        <x:v>-85.24</x:v>
      </x:c>
      <x:c r="L59" s="377" t="n">
        <x:v>0</x:v>
      </x:c>
      <x:c r="M59" s="377" t="n">
        <x:v>-747.86</x:v>
      </x:c>
      <x:c r="N59" s="377" t="n">
        <x:v>342.65</x:v>
      </x:c>
      <x:c r="O59" s="377" t="n">
        <x:v>1711.54</x:v>
      </x:c>
      <x:c r="P59" s="377" t="n">
        <x:v>4451.23</x:v>
      </x:c>
      <x:c r="Q59" s="377" t="n">
        <x:v>-139.1</x:v>
      </x:c>
      <x:c r="R59" s="377" t="n">
        <x:v>0</x:v>
      </x:c>
      <x:c r="S59" s="377" t="n">
        <x:v>0</x:v>
      </x:c>
      <x:c r="T59" s="377" t="n">
        <x:v>0</x:v>
      </x:c>
      <x:c r="U59" s="377">
        <x:v>0</x:v>
      </x:c>
      <x:c r="V59" s="377">
        <x:v>0</x:v>
      </x:c>
      <x:c r="W59" s="377">
        <x:v>0</x:v>
      </x:c>
      <x:c r="X59" s="377">
        <x:v>0</x:v>
      </x:c>
      <x:c r="Y59" s="377">
        <x:v>0</x:v>
      </x:c>
      <x:c r="Z59" s="377" t="n">
        <x:v>0</x:v>
      </x:c>
    </x:row>
    <x:row r="60" spans="2:26" ht="12.75" customHeight="1" x14ac:dyDescent="0.3">
      <x:c r="E60" s="89" t="s">
        <x:v>73</x:v>
      </x:c>
      <x:c r="F60" s="384" t="n">
        <x:v>-3253607640.54</x:v>
      </x:c>
      <x:c r="G60" s="90" t="n">
        <x:v>-91345711.13</x:v>
      </x:c>
      <x:c r="H60" s="90" t="n">
        <x:v>-50905404.25</x:v>
      </x:c>
      <x:c r="I60" s="90" t="n">
        <x:v>-27078428.51</x:v>
      </x:c>
      <x:c r="J60" s="90" t="n">
        <x:v>-964341301.81</x:v>
      </x:c>
      <x:c r="K60" s="90" t="n">
        <x:v>-31681532.86</x:v>
      </x:c>
      <x:c r="L60" s="90" t="n">
        <x:v>0</x:v>
      </x:c>
      <x:c r="M60" s="90" t="n">
        <x:v>-278071694.95</x:v>
      </x:c>
      <x:c r="N60" s="90" t="n">
        <x:v>-261997794.74</x:v>
      </x:c>
      <x:c r="O60" s="90" t="n">
        <x:v>-1250263678.55</x:v>
      </x:c>
      <x:c r="P60" s="90" t="n">
        <x:v>-246232158.99</x:v>
      </x:c>
      <x:c r="Q60" s="90" t="n">
        <x:v>-51689934.75</x:v>
      </x:c>
      <x:c r="R60" s="90" t="n">
        <x:v>0</x:v>
      </x:c>
      <x:c r="S60" s="90" t="n">
        <x:v>0</x:v>
      </x:c>
      <x:c r="T60" s="90" t="n">
        <x:v>0</x:v>
      </x:c>
      <x:c r="U60" s="90">
        <x:v>0</x:v>
      </x:c>
      <x:c r="V60" s="90">
        <x:v>0</x:v>
      </x:c>
      <x:c r="W60" s="90">
        <x:v>0</x:v>
      </x:c>
      <x:c r="X60" s="90">
        <x:v>0</x:v>
      </x:c>
      <x:c r="Y60" s="90">
        <x:v>0</x:v>
      </x:c>
      <x:c r="Z60" s="90" t="n">
        <x:v>0</x:v>
      </x:c>
    </x:row>
    <x:row r="61" spans="2:26" ht="12.75" customHeight="1" x14ac:dyDescent="0.3">
      <x:c r="D61" t="s">
        <x:v>156</x:v>
      </x:c>
      <x:c r="E61" s="89" t="s">
        <x:v>70</x:v>
      </x:c>
      <x:c r="F61" s="384" t="n">
        <x:v>-3253607640.54</x:v>
      </x:c>
      <x:c r="G61" s="90" t="n">
        <x:v>-91345711.13</x:v>
      </x:c>
      <x:c r="H61" s="90" t="n">
        <x:v>-50905404.25</x:v>
      </x:c>
      <x:c r="I61" s="90" t="n">
        <x:v>-27078428.51</x:v>
      </x:c>
      <x:c r="J61" s="90" t="n">
        <x:v>-964341301.81</x:v>
      </x:c>
      <x:c r="K61" s="90" t="n">
        <x:v>-31681532.86</x:v>
      </x:c>
      <x:c r="L61" s="90" t="n">
        <x:v>0</x:v>
      </x:c>
      <x:c r="M61" s="90" t="n">
        <x:v>-278071694.95</x:v>
      </x:c>
      <x:c r="N61" s="90" t="n">
        <x:v>-261997794.74</x:v>
      </x:c>
      <x:c r="O61" s="90" t="n">
        <x:v>-1250263678.55</x:v>
      </x:c>
      <x:c r="P61" s="90" t="n">
        <x:v>-246232158.99</x:v>
      </x:c>
      <x:c r="Q61" s="90" t="n">
        <x:v>-51689934.75</x:v>
      </x:c>
      <x:c r="R61" s="90" t="n">
        <x:v>0</x:v>
      </x:c>
      <x:c r="S61" s="90" t="n">
        <x:v>0</x:v>
      </x:c>
      <x:c r="T61" s="90" t="n">
        <x:v>0</x:v>
      </x:c>
      <x:c r="U61" s="90">
        <x:v>0</x:v>
      </x:c>
      <x:c r="V61" s="90">
        <x:v>0</x:v>
      </x:c>
      <x:c r="W61" s="90">
        <x:v>0</x:v>
      </x:c>
      <x:c r="X61" s="90">
        <x:v>0</x:v>
      </x:c>
      <x:c r="Y61" s="90">
        <x:v>0</x:v>
      </x:c>
      <x:c r="Z61" s="90" t="n">
        <x:v>0</x:v>
      </x:c>
    </x:row>
    <x:row r="62" spans="2:26" s="286" customFormat="1" ht="12.75" customHeight="1" x14ac:dyDescent="0.3">
      <x:c r="C62" s="286" t="s">
        <x:v>155</x:v>
      </x:c>
      <x:c r="D62" s="286" t="s">
        <x:v>70</x:v>
      </x:c>
      <x:c r="E62" s="229"/>
      <x:c r="F62" s="229" t="n">
        <x:v>-3253607640.54</x:v>
      </x:c>
      <x:c r="G62" s="230" t="n">
        <x:v>-91345711.13</x:v>
      </x:c>
      <x:c r="H62" s="230" t="n">
        <x:v>-50905404.25</x:v>
      </x:c>
      <x:c r="I62" s="230" t="n">
        <x:v>-27078428.51</x:v>
      </x:c>
      <x:c r="J62" s="230" t="n">
        <x:v>-964341301.81</x:v>
      </x:c>
      <x:c r="K62" s="230" t="n">
        <x:v>-31681532.86</x:v>
      </x:c>
      <x:c r="L62" s="230" t="n">
        <x:v>0</x:v>
      </x:c>
      <x:c r="M62" s="230" t="n">
        <x:v>-278071694.95</x:v>
      </x:c>
      <x:c r="N62" s="230" t="n">
        <x:v>-261997794.74</x:v>
      </x:c>
      <x:c r="O62" s="230" t="n">
        <x:v>-1250263678.55</x:v>
      </x:c>
      <x:c r="P62" s="230" t="n">
        <x:v>-246232158.99</x:v>
      </x:c>
      <x:c r="Q62" s="230" t="n">
        <x:v>-51689934.75</x:v>
      </x:c>
      <x:c r="R62" s="230" t="n">
        <x:v>0</x:v>
      </x:c>
      <x:c r="S62" s="230" t="n">
        <x:v>0</x:v>
      </x:c>
      <x:c r="T62" s="230" t="n">
        <x:v>0</x:v>
      </x:c>
      <x:c r="U62" s="230">
        <x:v>0</x:v>
      </x:c>
      <x:c r="V62" s="230">
        <x:v>0</x:v>
      </x:c>
      <x:c r="W62" s="230">
        <x:v>0</x:v>
      </x:c>
      <x:c r="X62" s="230">
        <x:v>0</x:v>
      </x:c>
      <x:c r="Y62" s="230">
        <x:v>0</x:v>
      </x:c>
      <x:c r="Z62" s="230" t="n">
        <x:v>0</x:v>
      </x:c>
    </x:row>
    <x:row r="63" spans="2:26" ht="12.75" customHeight="1" x14ac:dyDescent="0.3">
      <x:c r="D63" s="89"/>
      <x:c r="E63" s="89" t="s">
        <x:v>73</x:v>
      </x:c>
      <x:c r="F63" s="90" t="n">
        <x:v>13423599.01</x:v>
      </x:c>
      <x:c r="G63" s="90" t="n">
        <x:v>2490552.75</x:v>
      </x:c>
      <x:c r="H63" s="90" t="n">
        <x:v>1387405.41</x:v>
      </x:c>
      <x:c r="I63" s="90" t="n">
        <x:v>737634.79</x:v>
      </x:c>
      <x:c r="J63" s="90" t="n">
        <x:v>631013.34</x:v>
      </x:c>
      <x:c r="K63" s="90" t="n">
        <x:v>16984.56</x:v>
      </x:c>
      <x:c r="L63" s="90" t="n">
        <x:v>0</x:v>
      </x:c>
      <x:c r="M63" s="90" t="n">
        <x:v>150899.5</x:v>
      </x:c>
      <x:c r="N63" s="90" t="n">
        <x:v>207661.14</x:v>
      </x:c>
      <x:c r="O63" s="90" t="n">
        <x:v>966790.95</x:v>
      </x:c>
      <x:c r="P63" s="90" t="n">
        <x:v>6806944.56</x:v>
      </x:c>
      <x:c r="Q63" s="90" t="n">
        <x:v>27712.01</x:v>
      </x:c>
      <x:c r="R63" s="90" t="n">
        <x:v>0</x:v>
      </x:c>
      <x:c r="S63" s="90" t="n">
        <x:v>0</x:v>
      </x:c>
      <x:c r="T63" s="90" t="n">
        <x:v>0</x:v>
      </x:c>
      <x:c r="U63" s="90">
        <x:v>0</x:v>
      </x:c>
      <x:c r="V63" s="90">
        <x:v>0</x:v>
      </x:c>
      <x:c r="W63" s="90">
        <x:v>0</x:v>
      </x:c>
      <x:c r="X63" s="90">
        <x:v>0</x:v>
      </x:c>
      <x:c r="Y63" s="90">
        <x:v>0</x:v>
      </x:c>
      <x:c r="Z63" s="90" t="n">
        <x:v>0</x:v>
      </x:c>
    </x:row>
    <x:row r="64" spans="2:26" ht="12.75" customHeight="1" x14ac:dyDescent="0.3">
      <x:c r="D64" t="s">
        <x:v>82</x:v>
      </x:c>
      <x:c r="E64" s="89" t="s">
        <x:v>70</x:v>
      </x:c>
      <x:c r="F64" s="90" t="n">
        <x:v>13423599.01</x:v>
      </x:c>
      <x:c r="G64" s="90" t="n">
        <x:v>2490552.75</x:v>
      </x:c>
      <x:c r="H64" s="90" t="n">
        <x:v>1387405.41</x:v>
      </x:c>
      <x:c r="I64" s="90" t="n">
        <x:v>737634.79</x:v>
      </x:c>
      <x:c r="J64" s="90" t="n">
        <x:v>631013.34</x:v>
      </x:c>
      <x:c r="K64" s="90" t="n">
        <x:v>16984.56</x:v>
      </x:c>
      <x:c r="L64" s="90" t="n">
        <x:v>0</x:v>
      </x:c>
      <x:c r="M64" s="90" t="n">
        <x:v>150899.5</x:v>
      </x:c>
      <x:c r="N64" s="90" t="n">
        <x:v>207661.14</x:v>
      </x:c>
      <x:c r="O64" s="90" t="n">
        <x:v>966790.95</x:v>
      </x:c>
      <x:c r="P64" s="90" t="n">
        <x:v>6806944.56</x:v>
      </x:c>
      <x:c r="Q64" s="90" t="n">
        <x:v>27712.01</x:v>
      </x:c>
      <x:c r="R64" s="90" t="n">
        <x:v>0</x:v>
      </x:c>
      <x:c r="S64" s="90" t="n">
        <x:v>0</x:v>
      </x:c>
      <x:c r="T64" s="90" t="n">
        <x:v>0</x:v>
      </x:c>
      <x:c r="U64" s="90">
        <x:v>0</x:v>
      </x:c>
      <x:c r="V64" s="90">
        <x:v>0</x:v>
      </x:c>
      <x:c r="W64" s="90">
        <x:v>0</x:v>
      </x:c>
      <x:c r="X64" s="90">
        <x:v>0</x:v>
      </x:c>
      <x:c r="Y64" s="90">
        <x:v>0</x:v>
      </x:c>
      <x:c r="Z64" s="90" t="n">
        <x:v>0</x:v>
      </x:c>
    </x:row>
    <x:row r="65" spans="1:42" ht="12.75" customHeight="1" x14ac:dyDescent="0.3">
      <x:c r="D65" s="89"/>
      <x:c r="E65" s="89" t="s">
        <x:v>73</x:v>
      </x:c>
      <x:c r="F65" s="90" t="n">
        <x:v>-325150.37</x:v>
      </x:c>
      <x:c r="G65" s="90" t="n">
        <x:v>488590.2</x:v>
      </x:c>
      <x:c r="H65" s="90" t="n">
        <x:v>270618.04</x:v>
      </x:c>
      <x:c r="I65" s="90" t="n">
        <x:v>137804.15</x:v>
      </x:c>
      <x:c r="J65" s="90" t="n">
        <x:v>-905950.9</x:v>
      </x:c>
      <x:c r="K65" s="90" t="n">
        <x:v>-31107.48</x:v>
      </x:c>
      <x:c r="L65" s="90" t="n">
        <x:v>0</x:v>
      </x:c>
      <x:c r="M65" s="90" t="n">
        <x:v>-273355.91</x:v>
      </x:c>
      <x:c r="N65" s="90" t="n">
        <x:v>-212055.38</x:v>
      </x:c>
      <x:c r="O65" s="90" t="n">
        <x:v>-1075613.98</x:v>
      </x:c>
      <x:c r="P65" s="90" t="n">
        <x:v>1326676.22</x:v>
      </x:c>
      <x:c r="Q65" s="90" t="n">
        <x:v>-50755.33</x:v>
      </x:c>
      <x:c r="R65" s="90" t="n">
        <x:v>0</x:v>
      </x:c>
      <x:c r="S65" s="90" t="n">
        <x:v>0</x:v>
      </x:c>
      <x:c r="T65" s="90" t="n">
        <x:v>0</x:v>
      </x:c>
      <x:c r="U65" s="90">
        <x:v>0</x:v>
      </x:c>
      <x:c r="V65" s="90">
        <x:v>0</x:v>
      </x:c>
      <x:c r="W65" s="90">
        <x:v>0</x:v>
      </x:c>
      <x:c r="X65" s="90">
        <x:v>0</x:v>
      </x:c>
      <x:c r="Y65" s="90">
        <x:v>0</x:v>
      </x:c>
      <x:c r="Z65" s="90" t="n">
        <x:v>0</x:v>
      </x:c>
    </x:row>
    <x:row r="66" spans="1:42" ht="12.75" customHeight="1" x14ac:dyDescent="0.3">
      <x:c r="D66" t="s">
        <x:v>86</x:v>
      </x:c>
      <x:c r="E66" s="89" t="s">
        <x:v>70</x:v>
      </x:c>
      <x:c r="F66" s="90" t="n">
        <x:v>-325150.37</x:v>
      </x:c>
      <x:c r="G66" s="90" t="n">
        <x:v>488590.2</x:v>
      </x:c>
      <x:c r="H66" s="90" t="n">
        <x:v>270618.04</x:v>
      </x:c>
      <x:c r="I66" s="90" t="n">
        <x:v>137804.15</x:v>
      </x:c>
      <x:c r="J66" s="90" t="n">
        <x:v>-905950.9</x:v>
      </x:c>
      <x:c r="K66" s="90" t="n">
        <x:v>-31107.48</x:v>
      </x:c>
      <x:c r="L66" s="90" t="n">
        <x:v>0</x:v>
      </x:c>
      <x:c r="M66" s="90" t="n">
        <x:v>-273355.91</x:v>
      </x:c>
      <x:c r="N66" s="90" t="n">
        <x:v>-212055.38</x:v>
      </x:c>
      <x:c r="O66" s="90" t="n">
        <x:v>-1075613.98</x:v>
      </x:c>
      <x:c r="P66" s="90" t="n">
        <x:v>1326676.22</x:v>
      </x:c>
      <x:c r="Q66" s="90" t="n">
        <x:v>-50755.33</x:v>
      </x:c>
      <x:c r="R66" s="90" t="n">
        <x:v>0</x:v>
      </x:c>
      <x:c r="S66" s="90" t="n">
        <x:v>0</x:v>
      </x:c>
      <x:c r="T66" s="90" t="n">
        <x:v>0</x:v>
      </x:c>
      <x:c r="U66" s="90">
        <x:v>0</x:v>
      </x:c>
      <x:c r="V66" s="90">
        <x:v>0</x:v>
      </x:c>
      <x:c r="W66" s="90">
        <x:v>0</x:v>
      </x:c>
      <x:c r="X66" s="90">
        <x:v>0</x:v>
      </x:c>
      <x:c r="Y66" s="90">
        <x:v>0</x:v>
      </x:c>
      <x:c r="Z66" s="90" t="n">
        <x:v>0</x:v>
      </x:c>
    </x:row>
    <x:row r="67" spans="1:42" ht="12.75" customHeight="1" x14ac:dyDescent="0.3">
      <x:c r="D67" s="89"/>
      <x:c r="E67" s="89" t="s">
        <x:v>73</x:v>
      </x:c>
      <x:c r="F67" s="90" t="n">
        <x:v>50273483.36</x:v>
      </x:c>
      <x:c r="G67" s="90" t="n">
        <x:v>8795896.62</x:v>
      </x:c>
      <x:c r="H67" s="90" t="n">
        <x:v>4922970.59</x:v>
      </x:c>
      <x:c r="I67" s="90" t="n">
        <x:v>2633606.22</x:v>
      </x:c>
      <x:c r="J67" s="90" t="n">
        <x:v>2971274.25</x:v>
      </x:c>
      <x:c r="K67" s="90" t="n">
        <x:v>89779.5</x:v>
      </x:c>
      <x:c r="L67" s="90" t="n">
        <x:v>0</x:v>
      </x:c>
      <x:c r="M67" s="90" t="n">
        <x:v>777804.41</x:v>
      </x:c>
      <x:c r="N67" s="90" t="n">
        <x:v>1027778.27</x:v>
      </x:c>
      <x:c r="O67" s="90" t="n">
        <x:v>4888775.65</x:v>
      </x:c>
      <x:c r="P67" s="90" t="n">
        <x:v>24019519.45</x:v>
      </x:c>
      <x:c r="Q67" s="90" t="n">
        <x:v>146078.4</x:v>
      </x:c>
      <x:c r="R67" s="90" t="n">
        <x:v>0</x:v>
      </x:c>
      <x:c r="S67" s="90" t="n">
        <x:v>0</x:v>
      </x:c>
      <x:c r="T67" s="90" t="n">
        <x:v>0</x:v>
      </x:c>
      <x:c r="U67" s="90">
        <x:v>0</x:v>
      </x:c>
      <x:c r="V67" s="90">
        <x:v>0</x:v>
      </x:c>
      <x:c r="W67" s="90">
        <x:v>0</x:v>
      </x:c>
      <x:c r="X67" s="90">
        <x:v>0</x:v>
      </x:c>
      <x:c r="Y67" s="90">
        <x:v>0</x:v>
      </x:c>
      <x:c r="Z67" s="90" t="n">
        <x:v>0</x:v>
      </x:c>
    </x:row>
    <x:row r="68" spans="1:42" ht="12.75" customHeight="1" x14ac:dyDescent="0.3">
      <x:c r="C68" s="89"/>
      <x:c r="D68" s="89" t="s">
        <x:v>87</x:v>
      </x:c>
      <x:c r="E68" t="s">
        <x:v>70</x:v>
      </x:c>
      <x:c r="F68" s="90" t="n">
        <x:v>50273483.36</x:v>
      </x:c>
      <x:c r="G68" s="90" t="n">
        <x:v>8795896.62</x:v>
      </x:c>
      <x:c r="H68" s="90" t="n">
        <x:v>4922970.59</x:v>
      </x:c>
      <x:c r="I68" s="90" t="n">
        <x:v>2633606.22</x:v>
      </x:c>
      <x:c r="J68" s="90" t="n">
        <x:v>2971274.25</x:v>
      </x:c>
      <x:c r="K68" s="90" t="n">
        <x:v>89779.5</x:v>
      </x:c>
      <x:c r="L68" s="90" t="n">
        <x:v>0</x:v>
      </x:c>
      <x:c r="M68" s="90" t="n">
        <x:v>777804.41</x:v>
      </x:c>
      <x:c r="N68" s="90" t="n">
        <x:v>1027778.27</x:v>
      </x:c>
      <x:c r="O68" s="90" t="n">
        <x:v>4888775.65</x:v>
      </x:c>
      <x:c r="P68" s="90" t="n">
        <x:v>24019519.45</x:v>
      </x:c>
      <x:c r="Q68" s="90" t="n">
        <x:v>146078.4</x:v>
      </x:c>
      <x:c r="R68" s="90" t="n">
        <x:v>0</x:v>
      </x:c>
      <x:c r="S68" s="90" t="n">
        <x:v>0</x:v>
      </x:c>
      <x:c r="T68" s="90" t="n">
        <x:v>0</x:v>
      </x:c>
      <x:c r="U68" s="90">
        <x:v>0</x:v>
      </x:c>
      <x:c r="V68" s="90">
        <x:v>0</x:v>
      </x:c>
      <x:c r="W68" s="90">
        <x:v>0</x:v>
      </x:c>
      <x:c r="X68" s="90">
        <x:v>0</x:v>
      </x:c>
      <x:c r="Y68" s="90">
        <x:v>0</x:v>
      </x:c>
      <x:c r="Z68" s="90" t="n">
        <x:v>0</x:v>
      </x:c>
    </x:row>
    <x:row r="69" spans="1:42" s="94" customFormat="1" ht="12.75" customHeight="1" x14ac:dyDescent="0.3">
      <x:c r="C69" s="101" t="s">
        <x:v>119</x:v>
      </x:c>
      <x:c r="D69" s="101" t="s">
        <x:v>70</x:v>
      </x:c>
      <x:c r="F69" s="93" t="n">
        <x:v>63371932</x:v>
      </x:c>
      <x:c r="G69" s="93" t="n">
        <x:v>11775039.57</x:v>
      </x:c>
      <x:c r="H69" s="93" t="n">
        <x:v>6580994.04</x:v>
      </x:c>
      <x:c r="I69" s="93" t="n">
        <x:v>3509045.16</x:v>
      </x:c>
      <x:c r="J69" s="93" t="n">
        <x:v>2696336.69</x:v>
      </x:c>
      <x:c r="K69" s="93" t="n">
        <x:v>75656.58</x:v>
      </x:c>
      <x:c r="L69" s="93" t="n">
        <x:v>0</x:v>
      </x:c>
      <x:c r="M69" s="93" t="n">
        <x:v>655348</x:v>
      </x:c>
      <x:c r="N69" s="93" t="n">
        <x:v>1023384.03</x:v>
      </x:c>
      <x:c r="O69" s="93" t="n">
        <x:v>4779952.62</x:v>
      </x:c>
      <x:c r="P69" s="93" t="n">
        <x:v>32153140.23</x:v>
      </x:c>
      <x:c r="Q69" s="93" t="n">
        <x:v>123035.08</x:v>
      </x:c>
      <x:c r="R69" s="93" t="n">
        <x:v>0</x:v>
      </x:c>
      <x:c r="S69" s="93" t="n">
        <x:v>0</x:v>
      </x:c>
      <x:c r="T69" s="93" t="n">
        <x:v>0</x:v>
      </x:c>
      <x:c r="U69" s="93">
        <x:v>0</x:v>
      </x:c>
      <x:c r="V69" s="93">
        <x:v>0</x:v>
      </x:c>
      <x:c r="W69" s="93">
        <x:v>0</x:v>
      </x:c>
      <x:c r="X69" s="93">
        <x:v>0</x:v>
      </x:c>
      <x:c r="Y69" s="93">
        <x:v>0</x:v>
      </x:c>
      <x:c r="Z69" s="93" t="n">
        <x:v>0</x:v>
      </x:c>
    </x:row>
    <x:row r="70" spans="1:42" s="226" customFormat="1" ht="12.75" customHeight="1" x14ac:dyDescent="0.3">
      <x:c r="B70" s="98" t="s">
        <x:v>112</x:v>
      </x:c>
      <x:c r="C70" s="98" t="s">
        <x:v>70</x:v>
      </x:c>
      <x:c r="F70" s="100" t="n">
        <x:v>-3190235708.54</x:v>
      </x:c>
      <x:c r="G70" s="100" t="n">
        <x:v>-79570671.56</x:v>
      </x:c>
      <x:c r="H70" s="100" t="n">
        <x:v>-44324410.21</x:v>
      </x:c>
      <x:c r="I70" s="100" t="n">
        <x:v>-23569383.35</x:v>
      </x:c>
      <x:c r="J70" s="100" t="n">
        <x:v>-961644965.12</x:v>
      </x:c>
      <x:c r="K70" s="100" t="n">
        <x:v>-31605876.28</x:v>
      </x:c>
      <x:c r="L70" s="100" t="n">
        <x:v>0</x:v>
      </x:c>
      <x:c r="M70" s="100" t="n">
        <x:v>-277416346.95</x:v>
      </x:c>
      <x:c r="N70" s="100" t="n">
        <x:v>-260974410.71</x:v>
      </x:c>
      <x:c r="O70" s="100" t="n">
        <x:v>-1245483725.93</x:v>
      </x:c>
      <x:c r="P70" s="100" t="n">
        <x:v>-214079018.76</x:v>
      </x:c>
      <x:c r="Q70" s="100" t="n">
        <x:v>-51566899.67</x:v>
      </x:c>
      <x:c r="R70" s="100" t="n">
        <x:v>0</x:v>
      </x:c>
      <x:c r="S70" s="100" t="n">
        <x:v>0</x:v>
      </x:c>
      <x:c r="T70" s="100" t="n">
        <x:v>0</x:v>
      </x:c>
      <x:c r="U70" s="100">
        <x:v>0</x:v>
      </x:c>
      <x:c r="V70" s="100">
        <x:v>0</x:v>
      </x:c>
      <x:c r="W70" s="100">
        <x:v>0</x:v>
      </x:c>
      <x:c r="X70" s="100">
        <x:v>0</x:v>
      </x:c>
      <x:c r="Y70" s="100">
        <x:v>0</x:v>
      </x:c>
      <x:c r="Z70" s="100" t="n">
        <x:v>0</x:v>
      </x:c>
    </x:row>
    <x:row r="71" spans="1:42" ht="12.75" customHeight="1" x14ac:dyDescent="0.3">
      <x:c r="A71" s="89" t="s">
        <x:v>79</x:v>
      </x:c>
      <x:c r="B71" t="s">
        <x:v>70</x:v>
      </x:c>
      <x:c r="F71" s="90" t="n">
        <x:v>-3190222885.61</x:v>
      </x:c>
      <x:c r="G71" s="90" t="n">
        <x:v>-79569041.8</x:v>
      </x:c>
      <x:c r="H71" s="90" t="n">
        <x:v>-44323502.1</x:v>
      </x:c>
      <x:c r="I71" s="90" t="n">
        <x:v>-23568900.37</x:v>
      </x:c>
      <x:c r="J71" s="90" t="n">
        <x:v>-961640696.26</x:v>
      </x:c>
      <x:c r="K71" s="90" t="n">
        <x:v>-31605961.52</x:v>
      </x:c>
      <x:c r="L71" s="90" t="n">
        <x:v>0</x:v>
      </x:c>
      <x:c r="M71" s="90" t="n">
        <x:v>-277417094.81</x:v>
      </x:c>
      <x:c r="N71" s="90" t="n">
        <x:v>-260974068.06</x:v>
      </x:c>
      <x:c r="O71" s="90" t="n">
        <x:v>-1245482014.39</x:v>
      </x:c>
      <x:c r="P71" s="90" t="n">
        <x:v>-214074567.53</x:v>
      </x:c>
      <x:c r="Q71" s="90" t="n">
        <x:v>-51567038.77</x:v>
      </x:c>
      <x:c r="R71" s="90" t="n">
        <x:v>0</x:v>
      </x:c>
      <x:c r="S71" s="90" t="n">
        <x:v>0</x:v>
      </x:c>
      <x:c r="T71" s="90" t="n">
        <x:v>0</x:v>
      </x:c>
      <x:c r="U71" s="90">
        <x:v>0</x:v>
      </x:c>
      <x:c r="V71" s="90">
        <x:v>0</x:v>
      </x:c>
      <x:c r="W71" s="90">
        <x:v>0</x:v>
      </x:c>
      <x:c r="X71" s="90">
        <x:v>0</x:v>
      </x:c>
      <x:c r="Y71" s="90">
        <x:v>0</x:v>
      </x:c>
      <x:c r="Z71" s="90" t="n">
        <x:v>0</x:v>
      </x:c>
    </x:row>
    <x:row r="72" spans="1:42" ht="12.75" customHeight="1" x14ac:dyDescent="0.3">
      <x:c r="A72" s="89" t="s">
        <x:v>70</x:v>
      </x:c>
      <x:c r="F72" s="90" t="n">
        <x:v>14835602537.78</x:v>
      </x:c>
      <x:c r="G72" s="90" t="n">
        <x:v>762266217.44</x:v>
      </x:c>
      <x:c r="H72" s="90" t="n">
        <x:v>424610927.88</x:v>
      </x:c>
      <x:c r="I72" s="90" t="n">
        <x:v>226096676.97</x:v>
      </x:c>
      <x:c r="J72" s="90" t="n">
        <x:v>3795346839.54</x:v>
      </x:c>
      <x:c r="K72" s="90" t="n">
        <x:v>126897837.29</x:v>
      </x:c>
      <x:c r="L72" s="90" t="n">
        <x:v>19931693.03</x:v>
      </x:c>
      <x:c r="M72" s="90" t="n">
        <x:v>1114369607.79</x:v>
      </x:c>
      <x:c r="N72" s="90" t="n">
        <x:v>1055035817.79</x:v>
      </x:c>
      <x:c r="O72" s="90" t="n">
        <x:v>5026992920.81</x:v>
      </x:c>
      <x:c r="P72" s="90" t="n">
        <x:v>2076894316.73</x:v>
      </x:c>
      <x:c r="Q72" s="90" t="n">
        <x:v>207187329.92</x:v>
      </x:c>
      <x:c r="R72" s="90" t="n">
        <x:v>-27796.54</x:v>
      </x:c>
      <x:c r="S72" s="90" t="n">
        <x:v>19.47</x:v>
      </x:c>
      <x:c r="T72" t="n">
        <x:v>236.56</x:v>
      </x:c>
      <x:c r="U72">
        <x:v>0</x:v>
      </x:c>
      <x:c r="V72">
        <x:v>0</x:v>
      </x:c>
      <x:c r="W72">
        <x:v>0</x:v>
      </x:c>
      <x:c r="X72" s="90">
        <x:v>0</x:v>
      </x:c>
      <x:c r="Y72" s="90">
        <x:v>0</x:v>
      </x:c>
      <x:c r="Z72" t="n">
        <x:v>-106.9</x:v>
      </x:c>
    </x:row>
    <x:row r="73" spans="1:42" ht="12.75" customHeight="1" x14ac:dyDescent="0.3">
      <x:c r="A73" s="89"/>
      <x:c r="D73" s="143"/>
      <x:c r="E73" s="137"/>
      <x:c r="F73" s="90"/>
      <x:c r="G73" s="90"/>
      <x:c r="H73" s="90"/>
      <x:c r="I73" s="90"/>
      <x:c r="J73" s="90"/>
      <x:c r="K73" s="90"/>
      <x:c r="L73" s="90"/>
      <x:c r="M73" s="90"/>
      <x:c r="N73" s="90"/>
      <x:c r="O73" s="90"/>
      <x:c r="P73" s="90"/>
      <x:c r="Q73" s="90"/>
      <x:c r="R73" s="90"/>
      <x:c r="S73" s="90"/>
      <x:c r="X73" s="90"/>
      <x:c r="Y73" s="90"/>
    </x:row>
    <x:row r="74" spans="1:42" ht="12.75" customHeight="1" x14ac:dyDescent="0.3">
      <x:c r="A74" s="89"/>
      <x:c r="F74" s="90"/>
      <x:c r="G74" s="90"/>
      <x:c r="H74" s="90"/>
      <x:c r="I74" s="90"/>
      <x:c r="J74" s="90"/>
      <x:c r="K74" s="90"/>
      <x:c r="L74" s="90"/>
      <x:c r="M74" s="90"/>
      <x:c r="N74" s="90"/>
      <x:c r="O74" s="90"/>
      <x:c r="P74" s="90"/>
      <x:c r="Q74" s="90"/>
      <x:c r="R74" s="90"/>
      <x:c r="S74" s="90"/>
    </x:row>
    <x:row r="75" spans="1:42" ht="12.75" customHeight="1" x14ac:dyDescent="0.3">
      <x:c r="C75" s="777" t="s">
        <x:v>2</x:v>
      </x:c>
      <x:c r="D75" s="775" t="s">
        <x:v>132</x:v>
      </x:c>
      <x:c r="E75" s="98" t="s">
        <x:v>70</x:v>
      </x:c>
      <x:c r="F75" s="100">
        <x:f>F47+F70+F16-L16-L47</x:f>
        <x:v>0</x:v>
      </x:c>
      <x:c r="G75" s="100">
        <x:f>G47+G16</x:f>
        <x:v>0</x:v>
      </x:c>
      <x:c r="H75" s="100">
        <x:f t="shared" ref="H75:AP75" si="0">H47+H16</x:f>
        <x:v>0</x:v>
      </x:c>
      <x:c r="I75" s="100">
        <x:f t="shared" si="0"/>
        <x:v>0</x:v>
      </x:c>
      <x:c r="J75" s="100">
        <x:f t="shared" si="0"/>
        <x:v>0</x:v>
      </x:c>
      <x:c r="K75" s="100">
        <x:f t="shared" si="0"/>
        <x:v>0</x:v>
      </x:c>
      <x:c r="L75" s="100">
        <x:f t="shared" si="0"/>
        <x:v>0</x:v>
      </x:c>
      <x:c r="M75" s="100">
        <x:f t="shared" si="0"/>
        <x:v>0</x:v>
      </x:c>
      <x:c r="N75" s="100">
        <x:f t="shared" si="0"/>
        <x:v>0</x:v>
      </x:c>
      <x:c r="O75" s="100">
        <x:f t="shared" si="0"/>
        <x:v>0</x:v>
      </x:c>
      <x:c r="P75" s="100">
        <x:f t="shared" si="0"/>
        <x:v>0</x:v>
      </x:c>
      <x:c r="Q75" s="100">
        <x:f t="shared" si="0"/>
        <x:v>0</x:v>
      </x:c>
      <x:c r="R75" s="100">
        <x:f t="shared" si="0"/>
        <x:v>0</x:v>
      </x:c>
      <x:c r="S75" s="100">
        <x:f t="shared" si="0"/>
        <x:v>0</x:v>
      </x:c>
      <x:c r="T75" s="100">
        <x:f t="shared" si="0"/>
        <x:v>0</x:v>
      </x:c>
      <x:c r="U75" s="100">
        <x:f t="shared" si="0"/>
        <x:v>0</x:v>
      </x:c>
      <x:c r="V75" s="100">
        <x:f t="shared" si="0"/>
        <x:v>0</x:v>
      </x:c>
      <x:c r="W75" s="100">
        <x:f t="shared" si="0"/>
        <x:v>0</x:v>
      </x:c>
      <x:c r="X75" s="100">
        <x:f t="shared" si="0"/>
        <x:v>0</x:v>
      </x:c>
      <x:c r="Y75" s="100">
        <x:f t="shared" si="0"/>
        <x:v>0</x:v>
      </x:c>
      <x:c r="Z75" s="100">
        <x:f t="shared" si="0"/>
        <x:v>0</x:v>
      </x:c>
      <x:c r="AA75" s="100">
        <x:f t="shared" si="0"/>
        <x:v>0</x:v>
      </x:c>
      <x:c r="AB75" s="100">
        <x:f t="shared" si="0"/>
        <x:v>0</x:v>
      </x:c>
      <x:c r="AC75" s="100">
        <x:f t="shared" si="0"/>
        <x:v>0</x:v>
      </x:c>
      <x:c r="AD75" s="100">
        <x:f t="shared" si="0"/>
        <x:v>0</x:v>
      </x:c>
      <x:c r="AE75" s="100">
        <x:f t="shared" si="0"/>
        <x:v>0</x:v>
      </x:c>
      <x:c r="AF75" s="100">
        <x:f t="shared" si="0"/>
        <x:v>0</x:v>
      </x:c>
      <x:c r="AG75" s="100">
        <x:f t="shared" si="0"/>
        <x:v>0</x:v>
      </x:c>
      <x:c r="AH75" s="100">
        <x:f t="shared" si="0"/>
        <x:v>0</x:v>
      </x:c>
      <x:c r="AI75" s="100">
        <x:f t="shared" si="0"/>
        <x:v>0</x:v>
      </x:c>
      <x:c r="AJ75" s="100">
        <x:f t="shared" si="0"/>
        <x:v>0</x:v>
      </x:c>
      <x:c r="AK75" s="100">
        <x:f t="shared" si="0"/>
        <x:v>0</x:v>
      </x:c>
      <x:c r="AL75" s="100">
        <x:f t="shared" si="0"/>
        <x:v>0</x:v>
      </x:c>
      <x:c r="AM75" s="100">
        <x:f t="shared" si="0"/>
        <x:v>0</x:v>
      </x:c>
      <x:c r="AN75" s="100">
        <x:f t="shared" si="0"/>
        <x:v>0</x:v>
      </x:c>
      <x:c r="AO75" s="100">
        <x:f t="shared" si="0"/>
        <x:v>0</x:v>
      </x:c>
      <x:c r="AP75" s="100">
        <x:f t="shared" si="0"/>
        <x:v>0</x:v>
      </x:c>
    </x:row>
    <x:row r="76" spans="1:42" ht="12.75" customHeight="1" x14ac:dyDescent="0.3">
      <x:c r="C76" s="777"/>
      <x:c r="D76" s="775"/>
      <x:c r="E76" s="98" t="s">
        <x:v>73</x:v>
      </x:c>
      <x:c r="F76" s="100">
        <x:f>F70</x:f>
        <x:v>0</x:v>
      </x:c>
      <x:c r="G76" s="90"/>
      <x:c r="H76" s="90"/>
      <x:c r="I76" s="90"/>
      <x:c r="J76" s="90"/>
      <x:c r="K76" s="90"/>
      <x:c r="L76" s="90"/>
      <x:c r="M76" s="90"/>
      <x:c r="N76" s="90"/>
      <x:c r="O76" s="90"/>
      <x:c r="P76" s="90"/>
      <x:c r="Q76" s="90"/>
      <x:c r="R76" s="90"/>
      <x:c r="S76" s="90"/>
    </x:row>
    <x:row r="77" spans="1:42" ht="12.75" customHeight="1" x14ac:dyDescent="0.3">
      <x:c r="C77" s="777"/>
      <x:c r="D77" s="775" t="s">
        <x:v>133</x:v>
      </x:c>
      <x:c r="E77" s="233" t="s">
        <x:v>70</x:v>
      </x:c>
      <x:c r="F77" s="234">
        <x:f>F59+F32-L32</x:f>
        <x:v>0</x:v>
      </x:c>
      <x:c r="G77" s="234">
        <x:f>G32</x:f>
        <x:v>0</x:v>
      </x:c>
      <x:c r="H77" s="234">
        <x:f t="shared" ref="H77:AP77" si="1">H32</x:f>
        <x:v>0</x:v>
      </x:c>
      <x:c r="I77" s="234">
        <x:f t="shared" si="1"/>
        <x:v>0</x:v>
      </x:c>
      <x:c r="J77" s="234">
        <x:f t="shared" si="1"/>
        <x:v>0</x:v>
      </x:c>
      <x:c r="K77" s="234">
        <x:f t="shared" si="1"/>
        <x:v>0</x:v>
      </x:c>
      <x:c r="L77" s="234">
        <x:f t="shared" si="1"/>
        <x:v>0</x:v>
      </x:c>
      <x:c r="M77" s="234">
        <x:f t="shared" si="1"/>
        <x:v>0</x:v>
      </x:c>
      <x:c r="N77" s="234">
        <x:f t="shared" si="1"/>
        <x:v>0</x:v>
      </x:c>
      <x:c r="O77" s="234">
        <x:f t="shared" si="1"/>
        <x:v>0</x:v>
      </x:c>
      <x:c r="P77" s="234">
        <x:f t="shared" si="1"/>
        <x:v>0</x:v>
      </x:c>
      <x:c r="Q77" s="234">
        <x:f t="shared" si="1"/>
        <x:v>0</x:v>
      </x:c>
      <x:c r="R77" s="234">
        <x:f t="shared" si="1"/>
        <x:v>0</x:v>
      </x:c>
      <x:c r="S77" s="234">
        <x:f t="shared" si="1"/>
        <x:v>0</x:v>
      </x:c>
      <x:c r="T77" s="234">
        <x:f t="shared" si="1"/>
        <x:v>0</x:v>
      </x:c>
      <x:c r="U77" s="234">
        <x:f t="shared" si="1"/>
        <x:v>0</x:v>
      </x:c>
      <x:c r="V77" s="234">
        <x:f t="shared" si="1"/>
        <x:v>0</x:v>
      </x:c>
      <x:c r="W77" s="234">
        <x:f t="shared" si="1"/>
        <x:v>0</x:v>
      </x:c>
      <x:c r="X77" s="234">
        <x:f t="shared" si="1"/>
        <x:v>0</x:v>
      </x:c>
      <x:c r="Y77" s="234">
        <x:f t="shared" si="1"/>
        <x:v>0</x:v>
      </x:c>
      <x:c r="Z77" s="234">
        <x:f t="shared" si="1"/>
        <x:v>0</x:v>
      </x:c>
      <x:c r="AA77" s="234">
        <x:f t="shared" si="1"/>
        <x:v>0</x:v>
      </x:c>
      <x:c r="AB77" s="234">
        <x:f t="shared" si="1"/>
        <x:v>0</x:v>
      </x:c>
      <x:c r="AC77" s="234">
        <x:f t="shared" si="1"/>
        <x:v>0</x:v>
      </x:c>
      <x:c r="AD77" s="234">
        <x:f t="shared" si="1"/>
        <x:v>0</x:v>
      </x:c>
      <x:c r="AE77" s="234">
        <x:f t="shared" si="1"/>
        <x:v>0</x:v>
      </x:c>
      <x:c r="AF77" s="234">
        <x:f t="shared" si="1"/>
        <x:v>0</x:v>
      </x:c>
      <x:c r="AG77" s="234">
        <x:f t="shared" si="1"/>
        <x:v>0</x:v>
      </x:c>
      <x:c r="AH77" s="234">
        <x:f t="shared" si="1"/>
        <x:v>0</x:v>
      </x:c>
      <x:c r="AI77" s="234">
        <x:f t="shared" si="1"/>
        <x:v>0</x:v>
      </x:c>
      <x:c r="AJ77" s="234">
        <x:f t="shared" si="1"/>
        <x:v>0</x:v>
      </x:c>
      <x:c r="AK77" s="234">
        <x:f t="shared" si="1"/>
        <x:v>0</x:v>
      </x:c>
      <x:c r="AL77" s="234">
        <x:f t="shared" si="1"/>
        <x:v>0</x:v>
      </x:c>
      <x:c r="AM77" s="234">
        <x:f t="shared" si="1"/>
        <x:v>0</x:v>
      </x:c>
      <x:c r="AN77" s="234">
        <x:f t="shared" si="1"/>
        <x:v>0</x:v>
      </x:c>
      <x:c r="AO77" s="234">
        <x:f t="shared" si="1"/>
        <x:v>0</x:v>
      </x:c>
      <x:c r="AP77" s="234">
        <x:f t="shared" si="1"/>
        <x:v>0</x:v>
      </x:c>
    </x:row>
    <x:row r="78" spans="1:42" ht="12.75" customHeight="1" x14ac:dyDescent="0.3">
      <x:c r="C78" s="777"/>
      <x:c r="D78" s="775"/>
      <x:c r="E78" s="233" t="s">
        <x:v>73</x:v>
      </x:c>
      <x:c r="F78" s="234">
        <x:f>F59</x:f>
        <x:v>0</x:v>
      </x:c>
      <x:c r="G78" s="90"/>
      <x:c r="H78" s="90"/>
      <x:c r="I78" s="90"/>
      <x:c r="J78" s="90"/>
      <x:c r="K78" s="90"/>
      <x:c r="L78" s="90"/>
      <x:c r="M78" s="90"/>
      <x:c r="N78" s="90"/>
      <x:c r="O78" s="90"/>
      <x:c r="P78" s="90"/>
      <x:c r="Q78" s="90"/>
      <x:c r="R78" s="90"/>
    </x:row>
    <x:row r="79" spans="1:42" ht="12.75" customHeight="1" x14ac:dyDescent="0.3">
      <x:c r="A79" s="89"/>
      <x:c r="C79" s="97"/>
      <x:c r="F79" s="90"/>
      <x:c r="G79" s="90"/>
      <x:c r="H79" s="90"/>
      <x:c r="I79" s="90"/>
      <x:c r="J79" s="90"/>
      <x:c r="K79" s="90"/>
      <x:c r="L79" s="90"/>
      <x:c r="M79" s="90"/>
      <x:c r="N79" s="90"/>
      <x:c r="O79" s="90"/>
      <x:c r="P79" s="90"/>
      <x:c r="Q79" s="90"/>
      <x:c r="R79" s="90"/>
      <x:c r="S79" s="90"/>
    </x:row>
    <x:row r="80" spans="1:42" ht="12.75" customHeight="1" x14ac:dyDescent="0.3">
      <x:c r="C80" s="777" t="s">
        <x:v>160</x:v>
      </x:c>
      <x:c r="D80" s="775" t="s">
        <x:v>132</x:v>
      </x:c>
      <x:c r="E80" s="223" t="s">
        <x:v>70</x:v>
      </x:c>
      <x:c r="F80" s="225">
        <x:v>0</x:v>
      </x:c>
      <x:c r="G80" s="225">
        <x:v>0</x:v>
      </x:c>
      <x:c r="H80" s="225">
        <x:v>0</x:v>
      </x:c>
      <x:c r="I80" s="225">
        <x:v>0</x:v>
      </x:c>
      <x:c r="J80" s="225">
        <x:v>0</x:v>
      </x:c>
      <x:c r="K80" s="225">
        <x:v>0</x:v>
      </x:c>
      <x:c r="L80" s="225">
        <x:v>0</x:v>
      </x:c>
      <x:c r="M80" s="225">
        <x:v>0</x:v>
      </x:c>
      <x:c r="N80" s="225">
        <x:v>0</x:v>
      </x:c>
      <x:c r="O80" s="225">
        <x:v>0</x:v>
      </x:c>
      <x:c r="P80" s="225">
        <x:v>0</x:v>
      </x:c>
      <x:c r="Q80" s="225">
        <x:v>0</x:v>
      </x:c>
      <x:c r="R80" s="225">
        <x:v>0</x:v>
      </x:c>
      <x:c r="S80" s="225">
        <x:v>0</x:v>
      </x:c>
      <x:c r="T80" s="225">
        <x:v>0</x:v>
      </x:c>
      <x:c r="U80" s="225">
        <x:v>0</x:v>
      </x:c>
      <x:c r="V80" s="225">
        <x:v>0</x:v>
      </x:c>
      <x:c r="W80" s="225">
        <x:v>0</x:v>
      </x:c>
      <x:c r="X80" s="225">
        <x:v>0</x:v>
      </x:c>
      <x:c r="Y80" s="225">
        <x:v>0</x:v>
      </x:c>
      <x:c r="Z80" s="225">
        <x:v>0</x:v>
      </x:c>
      <x:c r="AA80" s="225">
        <x:v>0</x:v>
      </x:c>
      <x:c r="AB80" s="225">
        <x:v>0</x:v>
      </x:c>
      <x:c r="AC80" s="225">
        <x:v>0</x:v>
      </x:c>
      <x:c r="AD80" s="225">
        <x:v>0</x:v>
      </x:c>
      <x:c r="AE80" s="225">
        <x:v>0</x:v>
      </x:c>
      <x:c r="AF80" s="225">
        <x:v>0</x:v>
      </x:c>
      <x:c r="AG80" s="225">
        <x:v>0</x:v>
      </x:c>
      <x:c r="AH80" s="225">
        <x:v>0</x:v>
      </x:c>
      <x:c r="AI80" s="225">
        <x:v>0</x:v>
      </x:c>
      <x:c r="AJ80" s="225">
        <x:v>0</x:v>
      </x:c>
      <x:c r="AK80" s="225">
        <x:v>0</x:v>
      </x:c>
      <x:c r="AL80" s="225">
        <x:v>0</x:v>
      </x:c>
      <x:c r="AM80" s="225">
        <x:v>0</x:v>
      </x:c>
      <x:c r="AN80" s="225">
        <x:v>0</x:v>
      </x:c>
      <x:c r="AO80" s="225">
        <x:v>0</x:v>
      </x:c>
      <x:c r="AP80" s="225">
        <x:v>0</x:v>
      </x:c>
    </x:row>
    <x:row r="81" spans="1:42" ht="12.75" customHeight="1" x14ac:dyDescent="0.3">
      <x:c r="C81" s="777"/>
      <x:c r="D81" s="775"/>
      <x:c r="E81" s="223" t="s">
        <x:v>73</x:v>
      </x:c>
      <x:c r="F81" s="225">
        <x:v>0</x:v>
      </x:c>
      <x:c r="G81" s="90"/>
      <x:c r="H81" s="90"/>
      <x:c r="I81" s="90"/>
      <x:c r="J81" s="90"/>
      <x:c r="K81" s="90"/>
      <x:c r="L81" s="90"/>
      <x:c r="M81" s="90"/>
      <x:c r="N81" s="90"/>
      <x:c r="O81" s="90"/>
      <x:c r="P81" s="90"/>
      <x:c r="Q81" s="90"/>
      <x:c r="R81" s="90"/>
      <x:c r="S81" s="90"/>
    </x:row>
    <x:row r="82" spans="1:42" ht="12.75" customHeight="1" x14ac:dyDescent="0.3">
      <x:c r="C82" s="777"/>
      <x:c r="D82" s="775" t="s">
        <x:v>133</x:v>
      </x:c>
      <x:c r="E82" s="227" t="s">
        <x:v>70</x:v>
      </x:c>
      <x:c r="F82" s="228">
        <x:v>0</x:v>
      </x:c>
      <x:c r="G82" s="228">
        <x:v>0</x:v>
      </x:c>
      <x:c r="H82" s="228">
        <x:v>0</x:v>
      </x:c>
      <x:c r="I82" s="228">
        <x:v>0</x:v>
      </x:c>
      <x:c r="J82" s="228">
        <x:v>0</x:v>
      </x:c>
      <x:c r="K82" s="228">
        <x:v>0</x:v>
      </x:c>
      <x:c r="L82" s="228">
        <x:v>0</x:v>
      </x:c>
      <x:c r="M82" s="228">
        <x:v>0</x:v>
      </x:c>
      <x:c r="N82" s="228">
        <x:v>0</x:v>
      </x:c>
      <x:c r="O82" s="228">
        <x:v>0</x:v>
      </x:c>
      <x:c r="P82" s="228">
        <x:v>0</x:v>
      </x:c>
      <x:c r="Q82" s="228">
        <x:v>0</x:v>
      </x:c>
      <x:c r="R82" s="228">
        <x:v>0</x:v>
      </x:c>
      <x:c r="S82" s="228">
        <x:v>0</x:v>
      </x:c>
      <x:c r="T82" s="228">
        <x:v>0</x:v>
      </x:c>
      <x:c r="U82" s="228">
        <x:v>0</x:v>
      </x:c>
      <x:c r="V82" s="228">
        <x:v>0</x:v>
      </x:c>
      <x:c r="W82" s="228">
        <x:v>0</x:v>
      </x:c>
      <x:c r="X82" s="228">
        <x:v>0</x:v>
      </x:c>
      <x:c r="Y82" s="228">
        <x:v>0</x:v>
      </x:c>
      <x:c r="Z82" s="228">
        <x:v>0</x:v>
      </x:c>
      <x:c r="AA82" s="228">
        <x:v>0</x:v>
      </x:c>
      <x:c r="AB82" s="228">
        <x:v>0</x:v>
      </x:c>
      <x:c r="AC82" s="228">
        <x:v>0</x:v>
      </x:c>
      <x:c r="AD82" s="228">
        <x:v>0</x:v>
      </x:c>
      <x:c r="AE82" s="228">
        <x:v>0</x:v>
      </x:c>
      <x:c r="AF82" s="228">
        <x:v>0</x:v>
      </x:c>
      <x:c r="AG82" s="228">
        <x:v>0</x:v>
      </x:c>
      <x:c r="AH82" s="228">
        <x:v>0</x:v>
      </x:c>
      <x:c r="AI82" s="228">
        <x:v>0</x:v>
      </x:c>
      <x:c r="AJ82" s="228">
        <x:v>0</x:v>
      </x:c>
      <x:c r="AK82" s="228">
        <x:v>0</x:v>
      </x:c>
      <x:c r="AL82" s="228">
        <x:v>0</x:v>
      </x:c>
      <x:c r="AM82" s="228">
        <x:v>0</x:v>
      </x:c>
      <x:c r="AN82" s="228">
        <x:v>0</x:v>
      </x:c>
      <x:c r="AO82" s="228">
        <x:v>0</x:v>
      </x:c>
      <x:c r="AP82" s="228">
        <x:v>0</x:v>
      </x:c>
    </x:row>
    <x:row r="83" spans="1:42" ht="12.75" customHeight="1" x14ac:dyDescent="0.3">
      <x:c r="C83" s="777"/>
      <x:c r="D83" s="775"/>
      <x:c r="E83" s="227" t="s">
        <x:v>73</x:v>
      </x:c>
      <x:c r="F83" s="228">
        <x:v>0</x:v>
      </x:c>
      <x:c r="G83" s="90"/>
      <x:c r="H83" s="90"/>
      <x:c r="I83" s="90"/>
      <x:c r="J83" s="90"/>
      <x:c r="K83" s="90"/>
      <x:c r="L83" s="90"/>
      <x:c r="M83" s="90"/>
      <x:c r="N83" s="90"/>
      <x:c r="O83" s="90"/>
      <x:c r="P83" s="90"/>
      <x:c r="Q83" s="90"/>
      <x:c r="R83" s="90"/>
    </x:row>
    <x:row r="84" spans="1:42" ht="12.75" customHeight="1" x14ac:dyDescent="0.3">
      <x:c r="A84" s="89"/>
      <x:c r="C84" s="97"/>
      <x:c r="F84" s="90"/>
      <x:c r="G84" s="90"/>
      <x:c r="H84" s="90"/>
      <x:c r="I84" s="90"/>
      <x:c r="J84" s="90"/>
      <x:c r="K84" s="90"/>
      <x:c r="L84" s="90"/>
      <x:c r="M84" s="90"/>
      <x:c r="N84" s="90"/>
      <x:c r="O84" s="90"/>
      <x:c r="P84" s="90"/>
      <x:c r="Q84" s="90"/>
      <x:c r="R84" s="90"/>
      <x:c r="S84" s="90"/>
    </x:row>
    <x:row r="85" spans="1:42" ht="12.75" customHeight="1" x14ac:dyDescent="0.3">
      <x:c r="C85" s="777" t="s">
        <x:v>155</x:v>
      </x:c>
      <x:c r="D85" s="775" t="s">
        <x:v>132</x:v>
      </x:c>
      <x:c r="E85" s="221" t="s">
        <x:v>70</x:v>
      </x:c>
      <x:c r="F85" s="222">
        <x:f>F62+F36+F8-L8-L36</x:f>
        <x:v>0</x:v>
      </x:c>
      <x:c r="G85" s="222">
        <x:f>G36+G8</x:f>
        <x:v>0</x:v>
      </x:c>
      <x:c r="H85" s="222">
        <x:f t="shared" ref="H85:AP85" si="2">H36+H8</x:f>
        <x:v>0</x:v>
      </x:c>
      <x:c r="I85" s="222">
        <x:f t="shared" si="2"/>
        <x:v>0</x:v>
      </x:c>
      <x:c r="J85" s="222">
        <x:f t="shared" si="2"/>
        <x:v>0</x:v>
      </x:c>
      <x:c r="K85" s="222">
        <x:f t="shared" si="2"/>
        <x:v>0</x:v>
      </x:c>
      <x:c r="L85" s="222">
        <x:f t="shared" si="2"/>
        <x:v>0</x:v>
      </x:c>
      <x:c r="M85" s="222">
        <x:f t="shared" si="2"/>
        <x:v>0</x:v>
      </x:c>
      <x:c r="N85" s="222">
        <x:f t="shared" si="2"/>
        <x:v>0</x:v>
      </x:c>
      <x:c r="O85" s="222">
        <x:f t="shared" si="2"/>
        <x:v>0</x:v>
      </x:c>
      <x:c r="P85" s="222">
        <x:f t="shared" si="2"/>
        <x:v>0</x:v>
      </x:c>
      <x:c r="Q85" s="222">
        <x:f t="shared" si="2"/>
        <x:v>0</x:v>
      </x:c>
      <x:c r="R85" s="222">
        <x:f t="shared" si="2"/>
        <x:v>0</x:v>
      </x:c>
      <x:c r="S85" s="222">
        <x:f t="shared" si="2"/>
        <x:v>0</x:v>
      </x:c>
      <x:c r="T85" s="222">
        <x:f t="shared" si="2"/>
        <x:v>0</x:v>
      </x:c>
      <x:c r="U85" s="222">
        <x:f t="shared" si="2"/>
        <x:v>0</x:v>
      </x:c>
      <x:c r="V85" s="222">
        <x:f t="shared" si="2"/>
        <x:v>0</x:v>
      </x:c>
      <x:c r="W85" s="222">
        <x:f t="shared" si="2"/>
        <x:v>0</x:v>
      </x:c>
      <x:c r="X85" s="222">
        <x:f t="shared" si="2"/>
        <x:v>0</x:v>
      </x:c>
      <x:c r="Y85" s="222">
        <x:f t="shared" si="2"/>
        <x:v>0</x:v>
      </x:c>
      <x:c r="Z85" s="222">
        <x:f t="shared" si="2"/>
        <x:v>0</x:v>
      </x:c>
      <x:c r="AA85" s="222">
        <x:f t="shared" si="2"/>
        <x:v>0</x:v>
      </x:c>
      <x:c r="AB85" s="222">
        <x:f t="shared" si="2"/>
        <x:v>0</x:v>
      </x:c>
      <x:c r="AC85" s="222">
        <x:f t="shared" si="2"/>
        <x:v>0</x:v>
      </x:c>
      <x:c r="AD85" s="222">
        <x:f t="shared" si="2"/>
        <x:v>0</x:v>
      </x:c>
      <x:c r="AE85" s="222">
        <x:f t="shared" si="2"/>
        <x:v>0</x:v>
      </x:c>
      <x:c r="AF85" s="222">
        <x:f t="shared" si="2"/>
        <x:v>0</x:v>
      </x:c>
      <x:c r="AG85" s="222">
        <x:f t="shared" si="2"/>
        <x:v>0</x:v>
      </x:c>
      <x:c r="AH85" s="222">
        <x:f t="shared" si="2"/>
        <x:v>0</x:v>
      </x:c>
      <x:c r="AI85" s="222">
        <x:f t="shared" si="2"/>
        <x:v>0</x:v>
      </x:c>
      <x:c r="AJ85" s="222">
        <x:f t="shared" si="2"/>
        <x:v>0</x:v>
      </x:c>
      <x:c r="AK85" s="222">
        <x:f t="shared" si="2"/>
        <x:v>0</x:v>
      </x:c>
      <x:c r="AL85" s="222">
        <x:f t="shared" si="2"/>
        <x:v>0</x:v>
      </x:c>
      <x:c r="AM85" s="222">
        <x:f t="shared" si="2"/>
        <x:v>0</x:v>
      </x:c>
      <x:c r="AN85" s="222">
        <x:f t="shared" si="2"/>
        <x:v>0</x:v>
      </x:c>
      <x:c r="AO85" s="222">
        <x:f t="shared" si="2"/>
        <x:v>0</x:v>
      </x:c>
      <x:c r="AP85" s="222">
        <x:f t="shared" si="2"/>
        <x:v>0</x:v>
      </x:c>
    </x:row>
    <x:row r="86" spans="1:42" ht="12.75" customHeight="1" x14ac:dyDescent="0.3">
      <x:c r="C86" s="777"/>
      <x:c r="D86" s="775"/>
      <x:c r="E86" s="221" t="s">
        <x:v>73</x:v>
      </x:c>
      <x:c r="F86" s="222">
        <x:f>F62</x:f>
        <x:v>0</x:v>
      </x:c>
      <x:c r="G86" s="90"/>
      <x:c r="H86" s="90"/>
      <x:c r="I86" s="90"/>
      <x:c r="J86" s="90"/>
      <x:c r="K86" s="90"/>
      <x:c r="L86" s="90"/>
      <x:c r="M86" s="90"/>
      <x:c r="N86" s="90"/>
      <x:c r="O86" s="90"/>
      <x:c r="P86" s="90"/>
      <x:c r="Q86" s="90"/>
      <x:c r="R86" s="90"/>
      <x:c r="S86" s="90"/>
    </x:row>
    <x:row r="87" spans="1:42" ht="12.75" customHeight="1" x14ac:dyDescent="0.3">
      <x:c r="B87" s="150"/>
      <x:c r="C87" s="777"/>
      <x:c r="D87" s="775" t="s">
        <x:v>133</x:v>
      </x:c>
      <x:c r="E87" s="229" t="s">
        <x:v>70</x:v>
      </x:c>
      <x:c r="F87" s="230">
        <x:f>F51+F21-L21</x:f>
        <x:v>0</x:v>
      </x:c>
      <x:c r="G87" s="230">
        <x:f>G21</x:f>
        <x:v>0</x:v>
      </x:c>
      <x:c r="H87" s="230">
        <x:f t="shared" ref="H87:AP87" si="3">H21</x:f>
        <x:v>0</x:v>
      </x:c>
      <x:c r="I87" s="230">
        <x:f t="shared" si="3"/>
        <x:v>0</x:v>
      </x:c>
      <x:c r="J87" s="230">
        <x:f t="shared" si="3"/>
        <x:v>0</x:v>
      </x:c>
      <x:c r="K87" s="230">
        <x:f t="shared" si="3"/>
        <x:v>0</x:v>
      </x:c>
      <x:c r="L87" s="230">
        <x:f t="shared" si="3"/>
        <x:v>0</x:v>
      </x:c>
      <x:c r="M87" s="230">
        <x:f t="shared" si="3"/>
        <x:v>0</x:v>
      </x:c>
      <x:c r="N87" s="230">
        <x:f t="shared" si="3"/>
        <x:v>0</x:v>
      </x:c>
      <x:c r="O87" s="230">
        <x:f t="shared" si="3"/>
        <x:v>0</x:v>
      </x:c>
      <x:c r="P87" s="230">
        <x:f t="shared" si="3"/>
        <x:v>0</x:v>
      </x:c>
      <x:c r="Q87" s="230">
        <x:f t="shared" si="3"/>
        <x:v>0</x:v>
      </x:c>
      <x:c r="R87" s="230">
        <x:f t="shared" si="3"/>
        <x:v>0</x:v>
      </x:c>
      <x:c r="S87" s="230">
        <x:f t="shared" si="3"/>
        <x:v>0</x:v>
      </x:c>
      <x:c r="T87" s="230">
        <x:f t="shared" si="3"/>
        <x:v>0</x:v>
      </x:c>
      <x:c r="U87" s="230">
        <x:f t="shared" si="3"/>
        <x:v>0</x:v>
      </x:c>
      <x:c r="V87" s="230">
        <x:f t="shared" si="3"/>
        <x:v>0</x:v>
      </x:c>
      <x:c r="W87" s="230">
        <x:f t="shared" si="3"/>
        <x:v>0</x:v>
      </x:c>
      <x:c r="X87" s="230">
        <x:f t="shared" si="3"/>
        <x:v>0</x:v>
      </x:c>
      <x:c r="Y87" s="230">
        <x:f t="shared" si="3"/>
        <x:v>0</x:v>
      </x:c>
      <x:c r="Z87" s="230">
        <x:f t="shared" si="3"/>
        <x:v>0</x:v>
      </x:c>
      <x:c r="AA87" s="230">
        <x:f t="shared" si="3"/>
        <x:v>0</x:v>
      </x:c>
      <x:c r="AB87" s="230">
        <x:f t="shared" si="3"/>
        <x:v>0</x:v>
      </x:c>
      <x:c r="AC87" s="230">
        <x:f t="shared" si="3"/>
        <x:v>0</x:v>
      </x:c>
      <x:c r="AD87" s="230">
        <x:f t="shared" si="3"/>
        <x:v>0</x:v>
      </x:c>
      <x:c r="AE87" s="230">
        <x:f t="shared" si="3"/>
        <x:v>0</x:v>
      </x:c>
      <x:c r="AF87" s="230">
        <x:f t="shared" si="3"/>
        <x:v>0</x:v>
      </x:c>
      <x:c r="AG87" s="230">
        <x:f t="shared" si="3"/>
        <x:v>0</x:v>
      </x:c>
      <x:c r="AH87" s="230">
        <x:f t="shared" si="3"/>
        <x:v>0</x:v>
      </x:c>
      <x:c r="AI87" s="230">
        <x:f t="shared" si="3"/>
        <x:v>0</x:v>
      </x:c>
      <x:c r="AJ87" s="230">
        <x:f t="shared" si="3"/>
        <x:v>0</x:v>
      </x:c>
      <x:c r="AK87" s="230">
        <x:f t="shared" si="3"/>
        <x:v>0</x:v>
      </x:c>
      <x:c r="AL87" s="230">
        <x:f t="shared" si="3"/>
        <x:v>0</x:v>
      </x:c>
      <x:c r="AM87" s="230">
        <x:f t="shared" si="3"/>
        <x:v>0</x:v>
      </x:c>
      <x:c r="AN87" s="230">
        <x:f t="shared" si="3"/>
        <x:v>0</x:v>
      </x:c>
      <x:c r="AO87" s="230">
        <x:f t="shared" si="3"/>
        <x:v>0</x:v>
      </x:c>
      <x:c r="AP87" s="230">
        <x:f t="shared" si="3"/>
        <x:v>0</x:v>
      </x:c>
    </x:row>
    <x:row r="88" spans="1:42" ht="12.75" customHeight="1" x14ac:dyDescent="0.3">
      <x:c r="B88" s="150"/>
      <x:c r="C88" s="777"/>
      <x:c r="D88" s="775"/>
      <x:c r="E88" s="229" t="s">
        <x:v>73</x:v>
      </x:c>
      <x:c r="F88" s="230">
        <x:f>F51</x:f>
        <x:v>0</x:v>
      </x:c>
      <x:c r="G88" s="90"/>
      <x:c r="H88" s="90"/>
      <x:c r="I88" s="90"/>
      <x:c r="J88" s="90"/>
      <x:c r="K88" s="90"/>
      <x:c r="L88" s="90"/>
      <x:c r="M88" s="90"/>
      <x:c r="N88" s="90"/>
      <x:c r="O88" s="90"/>
      <x:c r="P88" s="90"/>
      <x:c r="Q88" s="90"/>
      <x:c r="R88" s="90"/>
    </x:row>
    <x:row r="89" spans="1:42" ht="12.75" customHeight="1" x14ac:dyDescent="0.3">
      <x:c r="A89" s="89"/>
      <x:c r="C89" s="97"/>
      <x:c r="F89" s="90"/>
      <x:c r="G89" s="90"/>
      <x:c r="H89" s="90"/>
      <x:c r="I89" s="90"/>
      <x:c r="J89" s="90"/>
      <x:c r="K89" s="90"/>
      <x:c r="L89" s="90"/>
      <x:c r="M89" s="90"/>
      <x:c r="N89" s="90"/>
      <x:c r="O89" s="90"/>
      <x:c r="P89" s="90"/>
      <x:c r="Q89" s="90"/>
      <x:c r="R89" s="90"/>
      <x:c r="S89" s="90"/>
    </x:row>
    <x:row r="90" spans="1:42" ht="12.75" customHeight="1" x14ac:dyDescent="0.3">
      <x:c r="C90" s="778" t="s">
        <x:v>326</x:v>
      </x:c>
      <x:c r="D90" s="775" t="s">
        <x:v>132</x:v>
      </x:c>
      <x:c r="E90" s="373" t="s">
        <x:v>70</x:v>
      </x:c>
      <x:c r="F90" s="374">
        <x:v>0</x:v>
      </x:c>
      <x:c r="G90" s="374">
        <x:v>0</x:v>
      </x:c>
      <x:c r="H90" s="374">
        <x:v>0</x:v>
      </x:c>
      <x:c r="I90" s="374">
        <x:v>0</x:v>
      </x:c>
      <x:c r="J90" s="374">
        <x:v>0</x:v>
      </x:c>
      <x:c r="K90" s="374">
        <x:v>0</x:v>
      </x:c>
      <x:c r="L90" s="374">
        <x:v>0</x:v>
      </x:c>
      <x:c r="M90" s="374">
        <x:v>0</x:v>
      </x:c>
      <x:c r="N90" s="374">
        <x:v>0</x:v>
      </x:c>
      <x:c r="O90" s="374">
        <x:v>0</x:v>
      </x:c>
      <x:c r="P90" s="374">
        <x:v>0</x:v>
      </x:c>
      <x:c r="Q90" s="374">
        <x:v>0</x:v>
      </x:c>
      <x:c r="R90" s="374">
        <x:v>0</x:v>
      </x:c>
      <x:c r="S90" s="374">
        <x:v>0</x:v>
      </x:c>
      <x:c r="T90" s="374">
        <x:v>0</x:v>
      </x:c>
      <x:c r="U90" s="374">
        <x:v>0</x:v>
      </x:c>
      <x:c r="V90" s="374">
        <x:v>0</x:v>
      </x:c>
      <x:c r="W90" s="374">
        <x:v>0</x:v>
      </x:c>
      <x:c r="X90" s="374">
        <x:v>0</x:v>
      </x:c>
      <x:c r="Y90" s="374">
        <x:v>0</x:v>
      </x:c>
      <x:c r="Z90" s="374">
        <x:v>0</x:v>
      </x:c>
      <x:c r="AA90" s="374">
        <x:v>0</x:v>
      </x:c>
      <x:c r="AB90" s="374">
        <x:v>0</x:v>
      </x:c>
      <x:c r="AC90" s="374">
        <x:v>0</x:v>
      </x:c>
      <x:c r="AD90" s="374">
        <x:v>0</x:v>
      </x:c>
      <x:c r="AE90" s="374">
        <x:v>0</x:v>
      </x:c>
      <x:c r="AF90" s="374">
        <x:v>0</x:v>
      </x:c>
      <x:c r="AG90" s="374">
        <x:v>0</x:v>
      </x:c>
      <x:c r="AH90" s="374">
        <x:v>0</x:v>
      </x:c>
      <x:c r="AI90" s="374">
        <x:v>0</x:v>
      </x:c>
      <x:c r="AJ90" s="374">
        <x:v>0</x:v>
      </x:c>
      <x:c r="AK90" s="374">
        <x:v>0</x:v>
      </x:c>
      <x:c r="AL90" s="374">
        <x:v>0</x:v>
      </x:c>
      <x:c r="AM90" s="374">
        <x:v>0</x:v>
      </x:c>
      <x:c r="AN90" s="374">
        <x:v>0</x:v>
      </x:c>
      <x:c r="AO90" s="374">
        <x:v>0</x:v>
      </x:c>
    </x:row>
    <x:row r="91" spans="1:42" ht="12.75" customHeight="1" x14ac:dyDescent="0.3">
      <x:c r="C91" s="778"/>
      <x:c r="D91" s="775"/>
      <x:c r="E91" s="373" t="s">
        <x:v>73</x:v>
      </x:c>
      <x:c r="F91" s="374">
        <x:v>0</x:v>
      </x:c>
      <x:c r="G91" s="90"/>
      <x:c r="H91" s="90"/>
      <x:c r="I91" s="90"/>
      <x:c r="J91" s="90"/>
      <x:c r="K91" s="90"/>
      <x:c r="L91" s="90"/>
      <x:c r="M91" s="90"/>
      <x:c r="N91" s="90"/>
      <x:c r="O91" s="90"/>
      <x:c r="P91" s="90"/>
      <x:c r="Q91" s="90"/>
      <x:c r="R91" s="90"/>
      <x:c r="S91" s="90"/>
    </x:row>
    <x:row r="92" spans="1:42" ht="12.75" customHeight="1" x14ac:dyDescent="0.3">
      <x:c r="C92" s="778"/>
      <x:c r="D92" s="775" t="s">
        <x:v>133</x:v>
      </x:c>
      <x:c r="E92" s="242" t="s">
        <x:v>70</x:v>
      </x:c>
      <x:c r="F92" s="243">
        <x:v>0</x:v>
      </x:c>
      <x:c r="G92" s="243">
        <x:v>0</x:v>
      </x:c>
      <x:c r="H92" s="243">
        <x:v>0</x:v>
      </x:c>
      <x:c r="I92" s="243">
        <x:v>0</x:v>
      </x:c>
      <x:c r="J92" s="243">
        <x:v>0</x:v>
      </x:c>
      <x:c r="K92" s="243">
        <x:v>0</x:v>
      </x:c>
      <x:c r="L92" s="243">
        <x:v>0</x:v>
      </x:c>
      <x:c r="M92" s="243">
        <x:v>0</x:v>
      </x:c>
      <x:c r="N92" s="243">
        <x:v>0</x:v>
      </x:c>
      <x:c r="O92" s="243">
        <x:v>0</x:v>
      </x:c>
      <x:c r="P92" s="243">
        <x:v>0</x:v>
      </x:c>
      <x:c r="Q92" s="243">
        <x:v>0</x:v>
      </x:c>
      <x:c r="R92" s="243">
        <x:v>0</x:v>
      </x:c>
      <x:c r="S92" s="243">
        <x:v>0</x:v>
      </x:c>
      <x:c r="T92" s="243">
        <x:v>0</x:v>
      </x:c>
      <x:c r="U92" s="243">
        <x:v>0</x:v>
      </x:c>
      <x:c r="V92" s="243">
        <x:v>0</x:v>
      </x:c>
      <x:c r="W92" s="243">
        <x:v>0</x:v>
      </x:c>
      <x:c r="X92" s="243">
        <x:v>0</x:v>
      </x:c>
      <x:c r="Y92" s="243">
        <x:v>0</x:v>
      </x:c>
      <x:c r="Z92" s="243">
        <x:v>0</x:v>
      </x:c>
      <x:c r="AA92" s="243">
        <x:v>0</x:v>
      </x:c>
      <x:c r="AB92" s="243">
        <x:v>0</x:v>
      </x:c>
      <x:c r="AC92" s="243">
        <x:v>0</x:v>
      </x:c>
      <x:c r="AD92" s="243">
        <x:v>0</x:v>
      </x:c>
      <x:c r="AE92" s="243">
        <x:v>0</x:v>
      </x:c>
      <x:c r="AF92" s="243">
        <x:v>0</x:v>
      </x:c>
      <x:c r="AG92" s="243">
        <x:v>0</x:v>
      </x:c>
      <x:c r="AH92" s="243">
        <x:v>0</x:v>
      </x:c>
      <x:c r="AI92" s="243">
        <x:v>0</x:v>
      </x:c>
      <x:c r="AJ92" s="243">
        <x:v>0</x:v>
      </x:c>
      <x:c r="AK92" s="243">
        <x:v>0</x:v>
      </x:c>
      <x:c r="AL92" s="243">
        <x:v>0</x:v>
      </x:c>
      <x:c r="AM92" s="243">
        <x:v>0</x:v>
      </x:c>
      <x:c r="AN92" s="243">
        <x:v>0</x:v>
      </x:c>
      <x:c r="AO92" s="243">
        <x:v>0</x:v>
      </x:c>
    </x:row>
    <x:row r="93" spans="1:42" ht="12.75" customHeight="1" x14ac:dyDescent="0.3">
      <x:c r="C93" s="778"/>
      <x:c r="D93" s="775"/>
      <x:c r="E93" s="242" t="s">
        <x:v>73</x:v>
      </x:c>
      <x:c r="F93" s="243">
        <x:v>0</x:v>
      </x:c>
      <x:c r="G93" s="90"/>
      <x:c r="H93" s="90"/>
      <x:c r="I93" s="90"/>
      <x:c r="J93" s="90"/>
      <x:c r="K93" s="90"/>
      <x:c r="L93" s="90"/>
      <x:c r="M93" s="90"/>
      <x:c r="N93" s="90"/>
      <x:c r="O93" s="90"/>
      <x:c r="P93" s="90"/>
      <x:c r="Q93" s="90"/>
      <x:c r="R93" s="90"/>
    </x:row>
    <x:row r="94" spans="1:42" ht="12.75" customHeight="1" x14ac:dyDescent="0.3">
      <x:c r="A94" s="89"/>
      <x:c r="C94" s="97"/>
      <x:c r="F94" s="90"/>
      <x:c r="G94" s="90"/>
      <x:c r="H94" s="90"/>
      <x:c r="I94" s="90"/>
      <x:c r="J94" s="90"/>
      <x:c r="K94" s="90"/>
      <x:c r="L94" s="90"/>
      <x:c r="M94" s="90"/>
      <x:c r="N94" s="90"/>
      <x:c r="O94" s="90"/>
      <x:c r="P94" s="90"/>
      <x:c r="Q94" s="90"/>
      <x:c r="R94" s="90"/>
      <x:c r="S94" s="90"/>
    </x:row>
    <x:row r="95" spans="1:42" ht="12.75" customHeight="1" x14ac:dyDescent="0.3">
      <x:c r="C95" s="777" t="s">
        <x:v>119</x:v>
      </x:c>
      <x:c r="D95" s="775" t="s">
        <x:v>132</x:v>
      </x:c>
      <x:c r="E95" s="101" t="s">
        <x:v>70</x:v>
      </x:c>
      <x:c r="F95" s="93">
        <x:f>F69+F46+F15-L15-L46</x:f>
        <x:v>0</x:v>
      </x:c>
      <x:c r="G95" s="93">
        <x:f t="shared" ref="G95:AP95" si="4">G46+G15</x:f>
        <x:v>0</x:v>
      </x:c>
      <x:c r="H95" s="93">
        <x:f t="shared" si="4"/>
        <x:v>0</x:v>
      </x:c>
      <x:c r="I95" s="93">
        <x:f t="shared" si="4"/>
        <x:v>0</x:v>
      </x:c>
      <x:c r="J95" s="93">
        <x:f t="shared" si="4"/>
        <x:v>0</x:v>
      </x:c>
      <x:c r="K95" s="93">
        <x:f t="shared" si="4"/>
        <x:v>0</x:v>
      </x:c>
      <x:c r="L95" s="93">
        <x:f t="shared" si="4"/>
        <x:v>0</x:v>
      </x:c>
      <x:c r="M95" s="93">
        <x:f t="shared" si="4"/>
        <x:v>0</x:v>
      </x:c>
      <x:c r="N95" s="93">
        <x:f t="shared" si="4"/>
        <x:v>0</x:v>
      </x:c>
      <x:c r="O95" s="93">
        <x:f t="shared" si="4"/>
        <x:v>0</x:v>
      </x:c>
      <x:c r="P95" s="93">
        <x:f t="shared" si="4"/>
        <x:v>0</x:v>
      </x:c>
      <x:c r="Q95" s="93">
        <x:f t="shared" si="4"/>
        <x:v>0</x:v>
      </x:c>
      <x:c r="R95" s="93">
        <x:f t="shared" si="4"/>
        <x:v>0</x:v>
      </x:c>
      <x:c r="S95" s="93">
        <x:f t="shared" si="4"/>
        <x:v>0</x:v>
      </x:c>
      <x:c r="T95" s="93">
        <x:f t="shared" si="4"/>
        <x:v>0</x:v>
      </x:c>
      <x:c r="U95" s="93">
        <x:f t="shared" si="4"/>
        <x:v>0</x:v>
      </x:c>
      <x:c r="V95" s="93">
        <x:f t="shared" si="4"/>
        <x:v>0</x:v>
      </x:c>
      <x:c r="W95" s="93">
        <x:f t="shared" si="4"/>
        <x:v>0</x:v>
      </x:c>
      <x:c r="X95" s="93">
        <x:f t="shared" si="4"/>
        <x:v>0</x:v>
      </x:c>
      <x:c r="Y95" s="93">
        <x:f t="shared" si="4"/>
        <x:v>0</x:v>
      </x:c>
      <x:c r="Z95" s="93">
        <x:f t="shared" si="4"/>
        <x:v>0</x:v>
      </x:c>
      <x:c r="AA95" s="93">
        <x:f t="shared" si="4"/>
        <x:v>0</x:v>
      </x:c>
      <x:c r="AB95" s="93">
        <x:f t="shared" si="4"/>
        <x:v>0</x:v>
      </x:c>
      <x:c r="AC95" s="93">
        <x:f t="shared" si="4"/>
        <x:v>0</x:v>
      </x:c>
      <x:c r="AD95" s="93">
        <x:f t="shared" si="4"/>
        <x:v>0</x:v>
      </x:c>
      <x:c r="AE95" s="93">
        <x:f t="shared" si="4"/>
        <x:v>0</x:v>
      </x:c>
      <x:c r="AF95" s="93">
        <x:f t="shared" si="4"/>
        <x:v>0</x:v>
      </x:c>
      <x:c r="AG95" s="93">
        <x:f t="shared" si="4"/>
        <x:v>0</x:v>
      </x:c>
      <x:c r="AH95" s="93">
        <x:f t="shared" si="4"/>
        <x:v>0</x:v>
      </x:c>
      <x:c r="AI95" s="93">
        <x:f t="shared" si="4"/>
        <x:v>0</x:v>
      </x:c>
      <x:c r="AJ95" s="93">
        <x:f t="shared" si="4"/>
        <x:v>0</x:v>
      </x:c>
      <x:c r="AK95" s="93">
        <x:f t="shared" si="4"/>
        <x:v>0</x:v>
      </x:c>
      <x:c r="AL95" s="93">
        <x:f t="shared" si="4"/>
        <x:v>0</x:v>
      </x:c>
      <x:c r="AM95" s="93">
        <x:f t="shared" si="4"/>
        <x:v>0</x:v>
      </x:c>
      <x:c r="AN95" s="93">
        <x:f t="shared" si="4"/>
        <x:v>0</x:v>
      </x:c>
      <x:c r="AO95" s="93">
        <x:f t="shared" si="4"/>
        <x:v>0</x:v>
      </x:c>
      <x:c r="AP95" s="93">
        <x:f t="shared" si="4"/>
        <x:v>0</x:v>
      </x:c>
    </x:row>
    <x:row r="96" spans="1:42" ht="12.75" customHeight="1" x14ac:dyDescent="0.3">
      <x:c r="C96" s="777"/>
      <x:c r="D96" s="775"/>
      <x:c r="E96" s="101" t="s">
        <x:v>73</x:v>
      </x:c>
      <x:c r="F96" s="93">
        <x:f>F69</x:f>
        <x:v>0</x:v>
      </x:c>
      <x:c r="G96" s="90"/>
      <x:c r="H96" s="90"/>
      <x:c r="I96" s="90"/>
      <x:c r="J96" s="90"/>
      <x:c r="K96" s="90"/>
      <x:c r="L96" s="90"/>
      <x:c r="M96" s="90"/>
      <x:c r="N96" s="90"/>
      <x:c r="O96" s="90"/>
      <x:c r="P96" s="90"/>
      <x:c r="Q96" s="90"/>
      <x:c r="R96" s="90"/>
      <x:c r="S96" s="90"/>
    </x:row>
    <x:row r="97" spans="1:42" ht="12.75" customHeight="1" x14ac:dyDescent="0.3">
      <x:c r="C97" s="777"/>
      <x:c r="D97" s="775" t="s">
        <x:v>133</x:v>
      </x:c>
      <x:c r="E97" s="235" t="s">
        <x:v>70</x:v>
      </x:c>
      <x:c r="F97" s="236">
        <x:f>F58+F31-L31</x:f>
        <x:v>0</x:v>
      </x:c>
      <x:c r="G97" s="236">
        <x:f>G31</x:f>
        <x:v>0</x:v>
      </x:c>
      <x:c r="H97" s="236">
        <x:f t="shared" ref="H97:AP97" si="5">H31</x:f>
        <x:v>0</x:v>
      </x:c>
      <x:c r="I97" s="236">
        <x:f t="shared" si="5"/>
        <x:v>0</x:v>
      </x:c>
      <x:c r="J97" s="236">
        <x:f t="shared" si="5"/>
        <x:v>0</x:v>
      </x:c>
      <x:c r="K97" s="236">
        <x:f t="shared" si="5"/>
        <x:v>0</x:v>
      </x:c>
      <x:c r="L97" s="236">
        <x:f t="shared" si="5"/>
        <x:v>0</x:v>
      </x:c>
      <x:c r="M97" s="236">
        <x:f t="shared" si="5"/>
        <x:v>0</x:v>
      </x:c>
      <x:c r="N97" s="236">
        <x:f t="shared" si="5"/>
        <x:v>0</x:v>
      </x:c>
      <x:c r="O97" s="236">
        <x:f t="shared" si="5"/>
        <x:v>0</x:v>
      </x:c>
      <x:c r="P97" s="236">
        <x:f t="shared" si="5"/>
        <x:v>0</x:v>
      </x:c>
      <x:c r="Q97" s="236">
        <x:f t="shared" si="5"/>
        <x:v>0</x:v>
      </x:c>
      <x:c r="R97" s="236">
        <x:f t="shared" si="5"/>
        <x:v>0</x:v>
      </x:c>
      <x:c r="S97" s="236">
        <x:f t="shared" si="5"/>
        <x:v>0</x:v>
      </x:c>
      <x:c r="T97" s="236">
        <x:f t="shared" si="5"/>
        <x:v>0</x:v>
      </x:c>
      <x:c r="U97" s="236">
        <x:f t="shared" si="5"/>
        <x:v>0</x:v>
      </x:c>
      <x:c r="V97" s="236">
        <x:f t="shared" si="5"/>
        <x:v>0</x:v>
      </x:c>
      <x:c r="W97" s="236">
        <x:f t="shared" si="5"/>
        <x:v>0</x:v>
      </x:c>
      <x:c r="X97" s="236">
        <x:f t="shared" si="5"/>
        <x:v>0</x:v>
      </x:c>
      <x:c r="Y97" s="236">
        <x:f t="shared" si="5"/>
        <x:v>0</x:v>
      </x:c>
      <x:c r="Z97" s="236">
        <x:f t="shared" si="5"/>
        <x:v>0</x:v>
      </x:c>
      <x:c r="AA97" s="236">
        <x:f t="shared" si="5"/>
        <x:v>0</x:v>
      </x:c>
      <x:c r="AB97" s="236">
        <x:f t="shared" si="5"/>
        <x:v>0</x:v>
      </x:c>
      <x:c r="AC97" s="236">
        <x:f t="shared" si="5"/>
        <x:v>0</x:v>
      </x:c>
      <x:c r="AD97" s="236">
        <x:f t="shared" si="5"/>
        <x:v>0</x:v>
      </x:c>
      <x:c r="AE97" s="236">
        <x:f t="shared" si="5"/>
        <x:v>0</x:v>
      </x:c>
      <x:c r="AF97" s="236">
        <x:f t="shared" si="5"/>
        <x:v>0</x:v>
      </x:c>
      <x:c r="AG97" s="236">
        <x:f t="shared" si="5"/>
        <x:v>0</x:v>
      </x:c>
      <x:c r="AH97" s="236">
        <x:f t="shared" si="5"/>
        <x:v>0</x:v>
      </x:c>
      <x:c r="AI97" s="236">
        <x:f t="shared" si="5"/>
        <x:v>0</x:v>
      </x:c>
      <x:c r="AJ97" s="236">
        <x:f t="shared" si="5"/>
        <x:v>0</x:v>
      </x:c>
      <x:c r="AK97" s="236">
        <x:f t="shared" si="5"/>
        <x:v>0</x:v>
      </x:c>
      <x:c r="AL97" s="236">
        <x:f t="shared" si="5"/>
        <x:v>0</x:v>
      </x:c>
      <x:c r="AM97" s="236">
        <x:f t="shared" si="5"/>
        <x:v>0</x:v>
      </x:c>
      <x:c r="AN97" s="236">
        <x:f t="shared" si="5"/>
        <x:v>0</x:v>
      </x:c>
      <x:c r="AO97" s="236">
        <x:f t="shared" si="5"/>
        <x:v>0</x:v>
      </x:c>
      <x:c r="AP97" s="236">
        <x:f t="shared" si="5"/>
        <x:v>0</x:v>
      </x:c>
    </x:row>
    <x:row r="98" spans="1:42" ht="12.75" customHeight="1" x14ac:dyDescent="0.3">
      <x:c r="C98" s="777"/>
      <x:c r="D98" s="775"/>
      <x:c r="E98" s="235" t="s">
        <x:v>73</x:v>
      </x:c>
      <x:c r="F98" s="236">
        <x:f>F58</x:f>
        <x:v>0</x:v>
      </x:c>
      <x:c r="G98" s="90"/>
      <x:c r="H98" s="90"/>
      <x:c r="I98" s="90"/>
      <x:c r="J98" s="90"/>
      <x:c r="K98" s="90"/>
      <x:c r="L98" s="90"/>
      <x:c r="M98" s="90"/>
      <x:c r="N98" s="90"/>
      <x:c r="O98" s="90"/>
      <x:c r="P98" s="90"/>
      <x:c r="Q98" s="90"/>
      <x:c r="R98" s="90"/>
    </x:row>
    <x:row r="99" spans="1:42" ht="12.75" customHeight="1" x14ac:dyDescent="0.3">
      <x:c r="A99" s="89"/>
      <x:c r="C99" s="97"/>
      <x:c r="F99" s="90"/>
      <x:c r="G99" s="90"/>
      <x:c r="H99" s="90"/>
      <x:c r="I99" s="90"/>
      <x:c r="J99" s="90"/>
      <x:c r="K99" s="90"/>
      <x:c r="L99" s="90"/>
      <x:c r="M99" s="90"/>
      <x:c r="N99" s="90"/>
      <x:c r="O99" s="90"/>
      <x:c r="P99" s="90"/>
      <x:c r="Q99" s="90"/>
      <x:c r="R99" s="90"/>
      <x:c r="S99" s="90"/>
    </x:row>
    <x:row r="100" spans="1:42" ht="12.75" customHeight="1" x14ac:dyDescent="0.3">
      <x:c r="C100" s="776" t="s">
        <x:v>161</x:v>
      </x:c>
      <x:c r="D100" s="775" t="s">
        <x:v>132</x:v>
      </x:c>
      <x:c r="E100" s="231" t="s">
        <x:v>70</x:v>
      </x:c>
      <x:c r="F100" s="232">
        <x:v>0</x:v>
      </x:c>
      <x:c r="G100" s="232">
        <x:v>0</x:v>
      </x:c>
      <x:c r="H100" s="232">
        <x:v>0</x:v>
      </x:c>
      <x:c r="I100" s="232">
        <x:v>0</x:v>
      </x:c>
      <x:c r="J100" s="232">
        <x:v>0</x:v>
      </x:c>
      <x:c r="K100" s="232">
        <x:v>0</x:v>
      </x:c>
      <x:c r="L100" s="232">
        <x:v>0</x:v>
      </x:c>
      <x:c r="M100" s="232">
        <x:v>0</x:v>
      </x:c>
      <x:c r="N100" s="232">
        <x:v>0</x:v>
      </x:c>
      <x:c r="O100" s="232">
        <x:v>0</x:v>
      </x:c>
      <x:c r="P100" s="232">
        <x:v>0</x:v>
      </x:c>
      <x:c r="Q100" s="232">
        <x:v>0</x:v>
      </x:c>
      <x:c r="R100" s="232">
        <x:v>0</x:v>
      </x:c>
      <x:c r="S100" s="232">
        <x:v>0</x:v>
      </x:c>
      <x:c r="T100" s="232">
        <x:v>0</x:v>
      </x:c>
      <x:c r="U100" s="232">
        <x:v>0</x:v>
      </x:c>
      <x:c r="V100" s="232">
        <x:v>0</x:v>
      </x:c>
      <x:c r="W100" s="232">
        <x:v>0</x:v>
      </x:c>
      <x:c r="X100" s="232">
        <x:v>0</x:v>
      </x:c>
      <x:c r="Y100" s="232">
        <x:v>0</x:v>
      </x:c>
      <x:c r="Z100" s="232">
        <x:v>0</x:v>
      </x:c>
      <x:c r="AA100" s="232">
        <x:v>0</x:v>
      </x:c>
      <x:c r="AB100" s="232">
        <x:v>0</x:v>
      </x:c>
      <x:c r="AC100" s="232">
        <x:v>0</x:v>
      </x:c>
      <x:c r="AD100" s="232">
        <x:v>0</x:v>
      </x:c>
      <x:c r="AE100" s="232">
        <x:v>0</x:v>
      </x:c>
      <x:c r="AF100" s="232">
        <x:v>0</x:v>
      </x:c>
      <x:c r="AG100" s="232">
        <x:v>0</x:v>
      </x:c>
      <x:c r="AH100" s="232">
        <x:v>0</x:v>
      </x:c>
      <x:c r="AI100" s="232">
        <x:v>0</x:v>
      </x:c>
      <x:c r="AJ100" s="232">
        <x:v>0</x:v>
      </x:c>
      <x:c r="AK100" s="232">
        <x:v>0</x:v>
      </x:c>
      <x:c r="AL100" s="232">
        <x:v>0</x:v>
      </x:c>
      <x:c r="AM100" s="232">
        <x:v>0</x:v>
      </x:c>
      <x:c r="AN100" s="232">
        <x:v>0</x:v>
      </x:c>
      <x:c r="AO100" s="232">
        <x:v>0</x:v>
      </x:c>
      <x:c r="AP100" s="232">
        <x:v>0</x:v>
      </x:c>
    </x:row>
    <x:row r="101" spans="1:42" ht="12.75" customHeight="1" x14ac:dyDescent="0.3">
      <x:c r="C101" s="776"/>
      <x:c r="D101" s="775"/>
      <x:c r="E101" s="231" t="s">
        <x:v>73</x:v>
      </x:c>
      <x:c r="F101" s="232">
        <x:v>0</x:v>
      </x:c>
      <x:c r="G101" s="90"/>
      <x:c r="H101" s="90"/>
      <x:c r="I101" s="90"/>
      <x:c r="J101" s="90"/>
      <x:c r="K101" s="90"/>
      <x:c r="L101" s="90"/>
      <x:c r="M101" s="90"/>
      <x:c r="N101" s="90"/>
      <x:c r="O101" s="90"/>
      <x:c r="P101" s="90"/>
      <x:c r="Q101" s="90"/>
      <x:c r="R101" s="90"/>
      <x:c r="S101" s="90"/>
    </x:row>
    <x:row r="102" spans="1:42" ht="12.75" customHeight="1" x14ac:dyDescent="0.3">
      <x:c r="C102" s="776"/>
      <x:c r="D102" s="775" t="s">
        <x:v>133</x:v>
      </x:c>
      <x:c r="E102" s="148" t="s">
        <x:v>70</x:v>
      </x:c>
      <x:c r="F102" s="149">
        <x:v>0</x:v>
      </x:c>
      <x:c r="G102" s="149">
        <x:v>0</x:v>
      </x:c>
      <x:c r="H102" s="149">
        <x:v>0</x:v>
      </x:c>
      <x:c r="I102" s="149">
        <x:v>0</x:v>
      </x:c>
      <x:c r="J102" s="149">
        <x:v>0</x:v>
      </x:c>
      <x:c r="K102" s="149">
        <x:v>0</x:v>
      </x:c>
      <x:c r="L102" s="149">
        <x:v>0</x:v>
      </x:c>
      <x:c r="M102" s="149">
        <x:v>0</x:v>
      </x:c>
      <x:c r="N102" s="149">
        <x:v>0</x:v>
      </x:c>
      <x:c r="O102" s="149">
        <x:v>0</x:v>
      </x:c>
      <x:c r="P102" s="149">
        <x:v>0</x:v>
      </x:c>
      <x:c r="Q102" s="149">
        <x:v>0</x:v>
      </x:c>
      <x:c r="R102" s="149">
        <x:v>0</x:v>
      </x:c>
      <x:c r="S102" s="149">
        <x:v>0</x:v>
      </x:c>
      <x:c r="T102" s="149">
        <x:v>0</x:v>
      </x:c>
      <x:c r="U102" s="149">
        <x:v>0</x:v>
      </x:c>
      <x:c r="V102" s="149">
        <x:v>0</x:v>
      </x:c>
      <x:c r="W102" s="149">
        <x:v>0</x:v>
      </x:c>
      <x:c r="X102" s="149">
        <x:v>0</x:v>
      </x:c>
      <x:c r="Y102" s="149">
        <x:v>0</x:v>
      </x:c>
      <x:c r="Z102" s="149">
        <x:v>0</x:v>
      </x:c>
      <x:c r="AA102" s="149">
        <x:v>0</x:v>
      </x:c>
      <x:c r="AB102" s="149">
        <x:v>0</x:v>
      </x:c>
      <x:c r="AC102" s="149">
        <x:v>0</x:v>
      </x:c>
      <x:c r="AD102" s="149">
        <x:v>0</x:v>
      </x:c>
      <x:c r="AE102" s="149">
        <x:v>0</x:v>
      </x:c>
      <x:c r="AF102" s="149">
        <x:v>0</x:v>
      </x:c>
      <x:c r="AG102" s="149">
        <x:v>0</x:v>
      </x:c>
      <x:c r="AH102" s="149">
        <x:v>0</x:v>
      </x:c>
      <x:c r="AI102" s="149">
        <x:v>0</x:v>
      </x:c>
      <x:c r="AJ102" s="149">
        <x:v>0</x:v>
      </x:c>
      <x:c r="AK102" s="149">
        <x:v>0</x:v>
      </x:c>
      <x:c r="AL102" s="149">
        <x:v>0</x:v>
      </x:c>
      <x:c r="AM102" s="149">
        <x:v>0</x:v>
      </x:c>
      <x:c r="AN102" s="149">
        <x:v>0</x:v>
      </x:c>
      <x:c r="AO102" s="149">
        <x:v>0</x:v>
      </x:c>
      <x:c r="AP102" s="149">
        <x:v>0</x:v>
      </x:c>
    </x:row>
    <x:row r="103" spans="1:42" ht="12.75" customHeight="1" x14ac:dyDescent="0.3">
      <x:c r="C103" s="776"/>
      <x:c r="D103" s="775"/>
      <x:c r="E103" s="148" t="s">
        <x:v>73</x:v>
      </x:c>
      <x:c r="F103" s="149">
        <x:v>0</x:v>
      </x:c>
      <x:c r="G103" s="90"/>
      <x:c r="H103" s="90"/>
      <x:c r="I103" s="90"/>
      <x:c r="J103" s="90"/>
      <x:c r="K103" s="90"/>
      <x:c r="L103" s="90"/>
      <x:c r="M103" s="90"/>
      <x:c r="N103" s="90"/>
      <x:c r="O103" s="90"/>
      <x:c r="P103" s="90"/>
      <x:c r="Q103" s="90"/>
      <x:c r="R103" s="90"/>
    </x:row>
    <x:row r="104" spans="1:42" ht="12.75" customHeight="1" x14ac:dyDescent="0.3">
      <x:c r="C104" s="388"/>
      <x:c r="D104" s="220"/>
      <x:c r="E104" s="89"/>
      <x:c r="F104" s="90"/>
      <x:c r="G104" s="90"/>
      <x:c r="H104" s="90"/>
      <x:c r="I104" s="90"/>
      <x:c r="J104" s="90"/>
      <x:c r="K104" s="90"/>
      <x:c r="L104" s="90"/>
      <x:c r="M104" s="90"/>
      <x:c r="N104" s="90"/>
      <x:c r="O104" s="90"/>
      <x:c r="P104" s="90"/>
      <x:c r="Q104" s="90"/>
      <x:c r="R104" s="90"/>
    </x:row>
    <x:row r="105" spans="1:42" ht="12.75" customHeight="1" x14ac:dyDescent="0.3">
      <x:c r="D105" s="458" t="s">
        <x:v>186</x:v>
      </x:c>
      <x:c r="E105" s="459" t="s">
        <x:v>70</x:v>
      </x:c>
      <x:c r="F105" s="460">
        <x:f t="shared" ref="F105:AP105" si="6">F17</x:f>
        <x:v>0</x:v>
      </x:c>
      <x:c r="G105" s="460">
        <x:f t="shared" si="6"/>
        <x:v>0</x:v>
      </x:c>
      <x:c r="H105" s="460">
        <x:f t="shared" si="6"/>
        <x:v>0</x:v>
      </x:c>
      <x:c r="I105" s="460">
        <x:f t="shared" si="6"/>
        <x:v>0</x:v>
      </x:c>
      <x:c r="J105" s="460">
        <x:f t="shared" si="6"/>
        <x:v>0</x:v>
      </x:c>
      <x:c r="K105" s="460">
        <x:f t="shared" si="6"/>
        <x:v>0</x:v>
      </x:c>
      <x:c r="L105" s="460">
        <x:f t="shared" si="6"/>
        <x:v>0</x:v>
      </x:c>
      <x:c r="M105" s="460">
        <x:f t="shared" si="6"/>
        <x:v>0</x:v>
      </x:c>
      <x:c r="N105" s="460">
        <x:f t="shared" si="6"/>
        <x:v>0</x:v>
      </x:c>
      <x:c r="O105" s="460">
        <x:f t="shared" si="6"/>
        <x:v>0</x:v>
      </x:c>
      <x:c r="P105" s="460">
        <x:f t="shared" si="6"/>
        <x:v>0</x:v>
      </x:c>
      <x:c r="Q105" s="460">
        <x:f t="shared" si="6"/>
        <x:v>0</x:v>
      </x:c>
      <x:c r="R105" s="460">
        <x:f t="shared" si="6"/>
        <x:v>0</x:v>
      </x:c>
      <x:c r="S105" s="460">
        <x:f t="shared" si="6"/>
        <x:v>0</x:v>
      </x:c>
      <x:c r="T105" s="460">
        <x:f t="shared" si="6"/>
        <x:v>0</x:v>
      </x:c>
      <x:c r="U105" s="460">
        <x:f t="shared" si="6"/>
        <x:v>0</x:v>
      </x:c>
      <x:c r="V105" s="460">
        <x:f t="shared" si="6"/>
        <x:v>0</x:v>
      </x:c>
      <x:c r="W105" s="460">
        <x:f t="shared" si="6"/>
        <x:v>0</x:v>
      </x:c>
      <x:c r="X105" s="460">
        <x:f t="shared" si="6"/>
        <x:v>0</x:v>
      </x:c>
      <x:c r="Y105" s="460">
        <x:f t="shared" si="6"/>
        <x:v>0</x:v>
      </x:c>
      <x:c r="Z105" s="460">
        <x:f t="shared" si="6"/>
        <x:v>0</x:v>
      </x:c>
      <x:c r="AA105" s="460">
        <x:f t="shared" si="6"/>
        <x:v>0</x:v>
      </x:c>
      <x:c r="AB105" s="460">
        <x:f t="shared" si="6"/>
        <x:v>0</x:v>
      </x:c>
      <x:c r="AC105" s="460">
        <x:f t="shared" si="6"/>
        <x:v>0</x:v>
      </x:c>
      <x:c r="AD105" s="460">
        <x:f t="shared" si="6"/>
        <x:v>0</x:v>
      </x:c>
      <x:c r="AE105" s="460">
        <x:f t="shared" si="6"/>
        <x:v>0</x:v>
      </x:c>
      <x:c r="AF105" s="460">
        <x:f t="shared" si="6"/>
        <x:v>0</x:v>
      </x:c>
      <x:c r="AG105" s="460">
        <x:f t="shared" si="6"/>
        <x:v>0</x:v>
      </x:c>
      <x:c r="AH105" s="460">
        <x:f t="shared" si="6"/>
        <x:v>0</x:v>
      </x:c>
      <x:c r="AI105" s="460">
        <x:f t="shared" si="6"/>
        <x:v>0</x:v>
      </x:c>
      <x:c r="AJ105" s="460">
        <x:f t="shared" si="6"/>
        <x:v>0</x:v>
      </x:c>
      <x:c r="AK105" s="460">
        <x:f t="shared" si="6"/>
        <x:v>0</x:v>
      </x:c>
      <x:c r="AL105" s="460">
        <x:f t="shared" si="6"/>
        <x:v>0</x:v>
      </x:c>
      <x:c r="AM105" s="460">
        <x:f t="shared" si="6"/>
        <x:v>0</x:v>
      </x:c>
      <x:c r="AN105" s="460">
        <x:f t="shared" si="6"/>
        <x:v>0</x:v>
      </x:c>
      <x:c r="AO105" s="460">
        <x:f t="shared" si="6"/>
        <x:v>0</x:v>
      </x:c>
      <x:c r="AP105" s="460">
        <x:f t="shared" si="6"/>
        <x:v>0</x:v>
      </x:c>
    </x:row>
    <x:row r="106" spans="1:42" ht="12.75" customHeight="1" x14ac:dyDescent="0.3">
      <x:c r="C106" s="388"/>
      <x:c r="D106" s="220"/>
      <x:c r="E106" s="89"/>
      <x:c r="F106" s="90"/>
      <x:c r="G106" s="90"/>
      <x:c r="H106" s="90"/>
      <x:c r="I106" s="90"/>
      <x:c r="J106" s="90"/>
      <x:c r="K106" s="90"/>
      <x:c r="L106" s="90"/>
      <x:c r="M106" s="90"/>
      <x:c r="N106" s="90"/>
      <x:c r="O106" s="90"/>
      <x:c r="P106" s="90"/>
      <x:c r="Q106" s="90"/>
      <x:c r="R106" s="90"/>
    </x:row>
    <x:row r="107" spans="1:42" s="238" customFormat="1" ht="12.75" customHeight="1" x14ac:dyDescent="0.3">
      <x:c r="B107" s="239"/>
      <x:c r="C107" s="239"/>
      <x:c r="E107" s="240"/>
      <x:c r="F107" s="240"/>
      <x:c r="G107" s="240"/>
      <x:c r="H107" s="240"/>
      <x:c r="I107" s="240"/>
      <x:c r="J107" s="240"/>
      <x:c r="K107" s="240"/>
      <x:c r="L107" s="240"/>
      <x:c r="M107" s="240"/>
      <x:c r="N107" s="240"/>
      <x:c r="O107" s="240"/>
      <x:c r="P107" s="240"/>
      <x:c r="Q107" s="240"/>
      <x:c r="R107" s="240"/>
    </x:row>
    <x:row r="108" spans="1:42" ht="12" customHeight="1" x14ac:dyDescent="0.3">
      <x:c r="A108" s="89"/>
      <x:c r="B108" s="97" t="s">
        <x:v>75</x:v>
      </x:c>
      <x:c r="E108" s="90"/>
      <x:c r="F108" s="90"/>
      <x:c r="G108" s="90"/>
      <x:c r="H108" s="90"/>
      <x:c r="I108" s="90"/>
      <x:c r="J108" s="90"/>
      <x:c r="K108" s="90"/>
      <x:c r="L108" s="90"/>
      <x:c r="M108" s="90"/>
      <x:c r="N108" s="90"/>
      <x:c r="O108" s="90"/>
      <x:c r="P108" s="90"/>
      <x:c r="Q108" s="90"/>
      <x:c r="R108" s="90"/>
    </x:row>
    <x:row r="109" spans="1:42" ht="12.65" customHeight="1" x14ac:dyDescent="0.3">
      <x:c r="F109" s="89" t="s">
        <x:v>70</x:v>
      </x:c>
      <x:c r="G109" s="89" t="s">
        <x:v>64</x:v>
      </x:c>
      <x:c r="H109" s="89" t="s">
        <x:v>65</x:v>
      </x:c>
      <x:c r="I109" s="218" t="s">
        <x:v>164</x:v>
      </x:c>
      <x:c r="J109" s="89" t="s">
        <x:v>69</x:v>
      </x:c>
      <x:c r="K109" s="89" t="s">
        <x:v>68</x:v>
      </x:c>
      <x:c r="L109" s="89" t="s">
        <x:v>71</x:v>
      </x:c>
      <x:c r="M109" s="89" t="s">
        <x:v>66</x:v>
      </x:c>
      <x:c r="N109" s="89" t="s">
        <x:v>63</x:v>
      </x:c>
      <x:c r="O109" s="89" t="s">
        <x:v>61</x:v>
      </x:c>
      <x:c r="P109" s="89" t="s">
        <x:v>62</x:v>
      </x:c>
      <x:c r="Q109" s="89" t="s">
        <x:v>67</x:v>
      </x:c>
      <x:c r="R109" s="89" t="s">
        <x:v>77</x:v>
      </x:c>
      <x:c r="S109" s="89" t="s">
        <x:v>80</x:v>
      </x:c>
      <x:c r="T109" s="89" t="s">
        <x:v>135</x:v>
      </x:c>
      <x:c r="U109" s="89" t="s">
        <x:v>173</x:v>
      </x:c>
      <x:c r="V109" s="89" t="s">
        <x:v>222</x:v>
      </x:c>
      <x:c r="W109" s="89" t="s">
        <x:v>173</x:v>
      </x:c>
      <x:c r="X109" t="s">
        <x:v>173</x:v>
      </x:c>
      <x:c r="Y109" s="89" t="s">
        <x:v>135</x:v>
      </x:c>
      <x:c r="Z109" s="89" t="s">
        <x:v>167</x:v>
      </x:c>
    </x:row>
    <x:row r="110" spans="1:42" ht="12.75" customHeight="1" x14ac:dyDescent="0.3">
      <x:c r="E110" t="s">
        <x:v>72</x:v>
      </x:c>
      <x:c r="F110" s="384" t="n">
        <x:v>-221284.53</x:v>
      </x:c>
      <x:c r="G110" s="89" t="n">
        <x:v>-19000.06</x:v>
      </x:c>
      <x:c r="H110" s="89" t="n">
        <x:v>-8071.66</x:v>
      </x:c>
      <x:c r="I110" s="664" t="n">
        <x:v>-3524.84</x:v>
      </x:c>
      <x:c r="J110" s="89" t="n">
        <x:v>-43884.29</x:v>
      </x:c>
      <x:c r="K110" s="89" t="n">
        <x:v>-1875.37</x:v>
      </x:c>
      <x:c r="L110" s="89" t="n">
        <x:v>0</x:v>
      </x:c>
      <x:c r="M110" s="89" t="n">
        <x:v>-16450.29</x:v>
      </x:c>
      <x:c r="N110" s="89" t="n">
        <x:v>-20625.78</x:v>
      </x:c>
      <x:c r="O110" s="89" t="n">
        <x:v>-69263.49</x:v>
      </x:c>
      <x:c r="P110" s="89" t="n">
        <x:v>-35528.63</x:v>
      </x:c>
      <x:c r="Q110" s="89" t="n">
        <x:v>-3060.12</x:v>
      </x:c>
      <x:c r="R110" s="89" t="n">
        <x:v>0</x:v>
      </x:c>
      <x:c r="S110" s="89" t="n">
        <x:v>0</x:v>
      </x:c>
      <x:c r="T110" s="89" t="n">
        <x:v>0</x:v>
      </x:c>
      <x:c r="U110" s="89">
        <x:v>0</x:v>
      </x:c>
      <x:c r="V110" s="89">
        <x:v>0</x:v>
      </x:c>
      <x:c r="W110" s="89">
        <x:v>0</x:v>
      </x:c>
      <x:c r="X110">
        <x:v>0</x:v>
      </x:c>
      <x:c r="Y110" s="89">
        <x:v>0</x:v>
      </x:c>
      <x:c r="Z110" s="89" t="n">
        <x:v>0</x:v>
      </x:c>
    </x:row>
    <x:row r="111" spans="1:42" ht="12.75" customHeight="1" x14ac:dyDescent="0.3">
      <x:c r="D111" t="s">
        <x:v>156</x:v>
      </x:c>
      <x:c r="E111" t="s">
        <x:v>70</x:v>
      </x:c>
      <x:c r="F111" s="384" t="n">
        <x:v>-221284.53</x:v>
      </x:c>
      <x:c r="G111" s="89" t="n">
        <x:v>-19000.06</x:v>
      </x:c>
      <x:c r="H111" s="89" t="n">
        <x:v>-8071.66</x:v>
      </x:c>
      <x:c r="I111" s="664" t="n">
        <x:v>-3524.84</x:v>
      </x:c>
      <x:c r="J111" s="89" t="n">
        <x:v>-43884.29</x:v>
      </x:c>
      <x:c r="K111" s="89" t="n">
        <x:v>-1875.37</x:v>
      </x:c>
      <x:c r="L111" s="89" t="n">
        <x:v>0</x:v>
      </x:c>
      <x:c r="M111" s="89" t="n">
        <x:v>-16450.29</x:v>
      </x:c>
      <x:c r="N111" s="89" t="n">
        <x:v>-20625.78</x:v>
      </x:c>
      <x:c r="O111" s="89" t="n">
        <x:v>-69263.49</x:v>
      </x:c>
      <x:c r="P111" s="89" t="n">
        <x:v>-35528.63</x:v>
      </x:c>
      <x:c r="Q111" s="89" t="n">
        <x:v>-3060.12</x:v>
      </x:c>
      <x:c r="R111" s="89" t="n">
        <x:v>0</x:v>
      </x:c>
      <x:c r="S111" s="89" t="n">
        <x:v>0</x:v>
      </x:c>
      <x:c r="T111" s="89" t="n">
        <x:v>0</x:v>
      </x:c>
      <x:c r="U111" s="89">
        <x:v>0</x:v>
      </x:c>
      <x:c r="V111" s="89">
        <x:v>0</x:v>
      </x:c>
      <x:c r="W111" s="89">
        <x:v>0</x:v>
      </x:c>
      <x:c r="X111">
        <x:v>0</x:v>
      </x:c>
      <x:c r="Y111" s="89">
        <x:v>0</x:v>
      </x:c>
      <x:c r="Z111" s="89" t="n">
        <x:v>0</x:v>
      </x:c>
    </x:row>
    <x:row r="112" spans="1:42" s="656" customFormat="1" ht="12.75" customHeight="1" x14ac:dyDescent="0.3">
      <x:c r="C112" s="656" t="s">
        <x:v>155</x:v>
      </x:c>
      <x:c r="D112" s="656" t="s">
        <x:v>70</x:v>
      </x:c>
      <x:c r="F112" s="736" t="n">
        <x:v>-221284.53</x:v>
      </x:c>
      <x:c r="G112" s="657" t="n">
        <x:v>-19000.06</x:v>
      </x:c>
      <x:c r="H112" s="657" t="n">
        <x:v>-8071.66</x:v>
      </x:c>
      <x:c r="I112" s="737" t="n">
        <x:v>-3524.84</x:v>
      </x:c>
      <x:c r="J112" s="657" t="n">
        <x:v>-43884.29</x:v>
      </x:c>
      <x:c r="K112" s="657" t="n">
        <x:v>-1875.37</x:v>
      </x:c>
      <x:c r="L112" s="657" t="n">
        <x:v>0</x:v>
      </x:c>
      <x:c r="M112" s="657" t="n">
        <x:v>-16450.29</x:v>
      </x:c>
      <x:c r="N112" s="657" t="n">
        <x:v>-20625.78</x:v>
      </x:c>
      <x:c r="O112" s="657" t="n">
        <x:v>-69263.49</x:v>
      </x:c>
      <x:c r="P112" s="657" t="n">
        <x:v>-35528.63</x:v>
      </x:c>
      <x:c r="Q112" s="657" t="n">
        <x:v>-3060.12</x:v>
      </x:c>
      <x:c r="R112" s="657" t="n">
        <x:v>0</x:v>
      </x:c>
      <x:c r="S112" s="657" t="n">
        <x:v>0</x:v>
      </x:c>
      <x:c r="T112" s="657" t="n">
        <x:v>0</x:v>
      </x:c>
      <x:c r="U112" s="657">
        <x:v>0</x:v>
      </x:c>
      <x:c r="V112" s="657">
        <x:v>0</x:v>
      </x:c>
      <x:c r="W112" s="657">
        <x:v>0</x:v>
      </x:c>
      <x:c r="X112" s="656">
        <x:v>0</x:v>
      </x:c>
      <x:c r="Y112" s="657">
        <x:v>0</x:v>
      </x:c>
      <x:c r="Z112" s="657" t="n">
        <x:v>0</x:v>
      </x:c>
    </x:row>
    <x:row r="113" spans="1:26" ht="12.75" customHeight="1" x14ac:dyDescent="0.3">
      <x:c r="E113" s="89" t="s">
        <x:v>72</x:v>
      </x:c>
      <x:c r="F113" s="90">
        <x:v>0</x:v>
      </x:c>
      <x:c r="G113" s="90">
        <x:v>0</x:v>
      </x:c>
      <x:c r="H113" s="90">
        <x:v>0</x:v>
      </x:c>
      <x:c r="I113" s="90">
        <x:v>0</x:v>
      </x:c>
      <x:c r="J113" s="90">
        <x:v>0</x:v>
      </x:c>
      <x:c r="K113" s="90">
        <x:v>0</x:v>
      </x:c>
      <x:c r="L113" s="90">
        <x:v>0</x:v>
      </x:c>
      <x:c r="M113" s="90">
        <x:v>0</x:v>
      </x:c>
      <x:c r="N113" s="90">
        <x:v>0</x:v>
      </x:c>
      <x:c r="O113" s="90">
        <x:v>0</x:v>
      </x:c>
      <x:c r="P113" s="90">
        <x:v>0</x:v>
      </x:c>
      <x:c r="Q113" s="90">
        <x:v>0</x:v>
      </x:c>
      <x:c r="R113" s="90">
        <x:v>0</x:v>
      </x:c>
      <x:c r="S113" s="90">
        <x:v>0</x:v>
      </x:c>
      <x:c r="T113" s="90">
        <x:v>0</x:v>
      </x:c>
      <x:c r="U113" s="90">
        <x:v>0</x:v>
      </x:c>
      <x:c r="V113" s="90">
        <x:v>0</x:v>
      </x:c>
      <x:c r="W113" s="90">
        <x:v>0</x:v>
      </x:c>
      <x:c r="X113">
        <x:v>0</x:v>
      </x:c>
      <x:c r="Y113">
        <x:v>0</x:v>
      </x:c>
      <x:c r="Z113">
        <x:v>0</x:v>
      </x:c>
    </x:row>
    <x:row r="114" spans="1:26" ht="12.75" customHeight="1" x14ac:dyDescent="0.3">
      <x:c r="D114" t="s">
        <x:v>82</x:v>
      </x:c>
      <x:c r="E114" s="89" t="s">
        <x:v>70</x:v>
      </x:c>
      <x:c r="F114" s="371">
        <x:v>0</x:v>
      </x:c>
      <x:c r="G114" s="90">
        <x:v>0</x:v>
      </x:c>
      <x:c r="H114" s="90">
        <x:v>0</x:v>
      </x:c>
      <x:c r="I114" s="90">
        <x:v>0</x:v>
      </x:c>
      <x:c r="J114" s="90">
        <x:v>0</x:v>
      </x:c>
      <x:c r="K114" s="90">
        <x:v>0</x:v>
      </x:c>
      <x:c r="L114" s="90">
        <x:v>0</x:v>
      </x:c>
      <x:c r="M114" s="90">
        <x:v>0</x:v>
      </x:c>
      <x:c r="N114" s="90">
        <x:v>0</x:v>
      </x:c>
      <x:c r="O114" s="90">
        <x:v>0</x:v>
      </x:c>
      <x:c r="P114" s="90">
        <x:v>0</x:v>
      </x:c>
      <x:c r="Q114" s="90">
        <x:v>0</x:v>
      </x:c>
      <x:c r="R114" s="90">
        <x:v>0</x:v>
      </x:c>
      <x:c r="S114" s="90">
        <x:v>0</x:v>
      </x:c>
      <x:c r="T114" s="90">
        <x:v>0</x:v>
      </x:c>
      <x:c r="U114" s="90">
        <x:v>0</x:v>
      </x:c>
      <x:c r="V114" s="90">
        <x:v>0</x:v>
      </x:c>
      <x:c r="W114" s="90">
        <x:v>0</x:v>
      </x:c>
      <x:c r="X114">
        <x:v>0</x:v>
      </x:c>
      <x:c r="Y114">
        <x:v>0</x:v>
      </x:c>
      <x:c r="Z114">
        <x:v>0</x:v>
      </x:c>
    </x:row>
    <x:row r="115" spans="1:26" ht="12.75" customHeight="1" x14ac:dyDescent="0.3">
      <x:c r="E115" s="89" t="s">
        <x:v>72</x:v>
      </x:c>
      <x:c r="F115" s="371" t="n">
        <x:v>-22430.12</x:v>
      </x:c>
      <x:c r="G115" s="90" t="n">
        <x:v>-1950.96</x:v>
      </x:c>
      <x:c r="H115" s="90" t="n">
        <x:v>-828.84</x:v>
      </x:c>
      <x:c r="I115" s="90" t="n">
        <x:v>-361.97</x:v>
      </x:c>
      <x:c r="J115" s="90" t="n">
        <x:v>-4553.51</x:v>
      </x:c>
      <x:c r="K115" s="90" t="n">
        <x:v>-187.61</x:v>
      </x:c>
      <x:c r="L115" s="90" t="n">
        <x:v>0</x:v>
      </x:c>
      <x:c r="M115" s="90" t="n">
        <x:v>-1645.8</x:v>
      </x:c>
      <x:c r="N115" s="90" t="n">
        <x:v>-2063.04</x:v>
      </x:c>
      <x:c r="O115" s="90" t="n">
        <x:v>-6929.61</x:v>
      </x:c>
      <x:c r="P115" s="90" t="n">
        <x:v>-3602.61</x:v>
      </x:c>
      <x:c r="Q115" s="90" t="n">
        <x:v>-306.17</x:v>
      </x:c>
      <x:c r="R115" s="90" t="n">
        <x:v>0</x:v>
      </x:c>
      <x:c r="S115" s="90" t="n">
        <x:v>0</x:v>
      </x:c>
      <x:c r="T115" s="90" t="n">
        <x:v>0</x:v>
      </x:c>
      <x:c r="U115" s="90">
        <x:v>0</x:v>
      </x:c>
      <x:c r="V115" s="90">
        <x:v>0</x:v>
      </x:c>
      <x:c r="W115" s="90">
        <x:v>0</x:v>
      </x:c>
      <x:c r="X115">
        <x:v>0</x:v>
      </x:c>
      <x:c r="Y115">
        <x:v>0</x:v>
      </x:c>
      <x:c r="Z115" t="n">
        <x:v>0</x:v>
      </x:c>
    </x:row>
    <x:row r="116" spans="1:26" ht="12.75" customHeight="1" x14ac:dyDescent="0.3">
      <x:c r="D116" t="s">
        <x:v>86</x:v>
      </x:c>
      <x:c r="E116" s="89" t="s">
        <x:v>70</x:v>
      </x:c>
      <x:c r="F116" s="371" t="n">
        <x:v>-22430.12</x:v>
      </x:c>
      <x:c r="G116" s="90" t="n">
        <x:v>-1950.96</x:v>
      </x:c>
      <x:c r="H116" s="90" t="n">
        <x:v>-828.84</x:v>
      </x:c>
      <x:c r="I116" s="90" t="n">
        <x:v>-361.97</x:v>
      </x:c>
      <x:c r="J116" s="90" t="n">
        <x:v>-4553.51</x:v>
      </x:c>
      <x:c r="K116" s="90" t="n">
        <x:v>-187.61</x:v>
      </x:c>
      <x:c r="L116" s="90" t="n">
        <x:v>0</x:v>
      </x:c>
      <x:c r="M116" s="90" t="n">
        <x:v>-1645.8</x:v>
      </x:c>
      <x:c r="N116" s="90" t="n">
        <x:v>-2063.04</x:v>
      </x:c>
      <x:c r="O116" s="90" t="n">
        <x:v>-6929.61</x:v>
      </x:c>
      <x:c r="P116" s="90" t="n">
        <x:v>-3602.61</x:v>
      </x:c>
      <x:c r="Q116" s="90" t="n">
        <x:v>-306.17</x:v>
      </x:c>
      <x:c r="R116" s="90" t="n">
        <x:v>0</x:v>
      </x:c>
      <x:c r="S116" s="90" t="n">
        <x:v>0</x:v>
      </x:c>
      <x:c r="T116" s="90" t="n">
        <x:v>0</x:v>
      </x:c>
      <x:c r="U116" s="90">
        <x:v>0</x:v>
      </x:c>
      <x:c r="V116" s="90">
        <x:v>0</x:v>
      </x:c>
      <x:c r="W116" s="90">
        <x:v>0</x:v>
      </x:c>
      <x:c r="X116">
        <x:v>0</x:v>
      </x:c>
      <x:c r="Y116">
        <x:v>0</x:v>
      </x:c>
      <x:c r="Z116" t="n">
        <x:v>0</x:v>
      </x:c>
    </x:row>
    <x:row r="117" spans="1:26" ht="12.75" customHeight="1" x14ac:dyDescent="0.3">
      <x:c r="E117" s="89" t="s">
        <x:v>72</x:v>
      </x:c>
      <x:c r="F117" s="371">
        <x:v>0</x:v>
      </x:c>
      <x:c r="G117" s="90">
        <x:v>0</x:v>
      </x:c>
      <x:c r="H117" s="90">
        <x:v>0</x:v>
      </x:c>
      <x:c r="I117" s="90">
        <x:v>0</x:v>
      </x:c>
      <x:c r="J117" s="90">
        <x:v>0</x:v>
      </x:c>
      <x:c r="K117" s="90">
        <x:v>0</x:v>
      </x:c>
      <x:c r="L117" s="90">
        <x:v>0</x:v>
      </x:c>
      <x:c r="M117" s="90">
        <x:v>0</x:v>
      </x:c>
      <x:c r="N117" s="90">
        <x:v>0</x:v>
      </x:c>
      <x:c r="O117" s="90">
        <x:v>0</x:v>
      </x:c>
      <x:c r="P117" s="90">
        <x:v>0</x:v>
      </x:c>
      <x:c r="Q117" s="90">
        <x:v>0</x:v>
      </x:c>
      <x:c r="R117" s="90">
        <x:v>0</x:v>
      </x:c>
      <x:c r="S117" s="90">
        <x:v>0</x:v>
      </x:c>
      <x:c r="T117" s="90">
        <x:v>0</x:v>
      </x:c>
      <x:c r="U117" s="90">
        <x:v>0</x:v>
      </x:c>
      <x:c r="V117" s="90">
        <x:v>0</x:v>
      </x:c>
      <x:c r="W117" s="90">
        <x:v>0</x:v>
      </x:c>
      <x:c r="X117" s="90">
        <x:v>0</x:v>
      </x:c>
      <x:c r="Y117" s="90">
        <x:v>0</x:v>
      </x:c>
      <x:c r="Z117" s="90">
        <x:v>0</x:v>
      </x:c>
    </x:row>
    <x:row r="118" spans="1:26" ht="12.75" customHeight="1" x14ac:dyDescent="0.3">
      <x:c r="D118" t="s">
        <x:v>87</x:v>
      </x:c>
      <x:c r="E118" s="89" t="s">
        <x:v>70</x:v>
      </x:c>
      <x:c r="F118" s="371">
        <x:v>0</x:v>
      </x:c>
      <x:c r="G118" s="90">
        <x:v>0</x:v>
      </x:c>
      <x:c r="H118" s="90">
        <x:v>0</x:v>
      </x:c>
      <x:c r="I118" s="90">
        <x:v>0</x:v>
      </x:c>
      <x:c r="J118" s="90">
        <x:v>0</x:v>
      </x:c>
      <x:c r="K118" s="90">
        <x:v>0</x:v>
      </x:c>
      <x:c r="L118" s="90">
        <x:v>0</x:v>
      </x:c>
      <x:c r="M118" s="90">
        <x:v>0</x:v>
      </x:c>
      <x:c r="N118" s="90">
        <x:v>0</x:v>
      </x:c>
      <x:c r="O118" s="90">
        <x:v>0</x:v>
      </x:c>
      <x:c r="P118" s="90">
        <x:v>0</x:v>
      </x:c>
      <x:c r="Q118" s="90">
        <x:v>0</x:v>
      </x:c>
      <x:c r="R118" s="90">
        <x:v>0</x:v>
      </x:c>
      <x:c r="S118" s="90">
        <x:v>0</x:v>
      </x:c>
      <x:c r="T118" s="90">
        <x:v>0</x:v>
      </x:c>
      <x:c r="U118" s="90">
        <x:v>0</x:v>
      </x:c>
      <x:c r="V118" s="90">
        <x:v>0</x:v>
      </x:c>
      <x:c r="W118" s="90">
        <x:v>0</x:v>
      </x:c>
      <x:c r="X118" s="90">
        <x:v>0</x:v>
      </x:c>
      <x:c r="Y118" s="90">
        <x:v>0</x:v>
      </x:c>
      <x:c r="Z118" s="90">
        <x:v>0</x:v>
      </x:c>
    </x:row>
    <x:row r="119" spans="1:26" s="94" customFormat="1" ht="12.75" customHeight="1" x14ac:dyDescent="0.3">
      <x:c r="C119" s="94" t="s">
        <x:v>119</x:v>
      </x:c>
      <x:c r="D119" s="94" t="s">
        <x:v>70</x:v>
      </x:c>
      <x:c r="E119" s="101"/>
      <x:c r="F119" s="93" t="n">
        <x:v>-22430.12</x:v>
      </x:c>
      <x:c r="G119" s="93" t="n">
        <x:v>-1950.96</x:v>
      </x:c>
      <x:c r="H119" s="93" t="n">
        <x:v>-828.84</x:v>
      </x:c>
      <x:c r="I119" s="93" t="n">
        <x:v>-361.97</x:v>
      </x:c>
      <x:c r="J119" s="93" t="n">
        <x:v>-4553.51</x:v>
      </x:c>
      <x:c r="K119" s="93" t="n">
        <x:v>-187.61</x:v>
      </x:c>
      <x:c r="L119" s="93" t="n">
        <x:v>0</x:v>
      </x:c>
      <x:c r="M119" s="93" t="n">
        <x:v>-1645.8</x:v>
      </x:c>
      <x:c r="N119" s="93" t="n">
        <x:v>-2063.04</x:v>
      </x:c>
      <x:c r="O119" s="93" t="n">
        <x:v>-6929.61</x:v>
      </x:c>
      <x:c r="P119" s="93" t="n">
        <x:v>-3602.61</x:v>
      </x:c>
      <x:c r="Q119" s="93" t="n">
        <x:v>-306.17</x:v>
      </x:c>
      <x:c r="R119" s="93" t="n">
        <x:v>0</x:v>
      </x:c>
      <x:c r="S119" s="93" t="n">
        <x:v>0</x:v>
      </x:c>
      <x:c r="T119" s="93" t="n">
        <x:v>0</x:v>
      </x:c>
      <x:c r="U119" s="93">
        <x:v>0</x:v>
      </x:c>
      <x:c r="V119" s="93">
        <x:v>0</x:v>
      </x:c>
      <x:c r="W119" s="93">
        <x:v>0</x:v>
      </x:c>
      <x:c r="X119" s="94">
        <x:v>0</x:v>
      </x:c>
      <x:c r="Y119" s="94">
        <x:v>0</x:v>
      </x:c>
      <x:c r="Z119" s="94" t="n">
        <x:v>0</x:v>
      </x:c>
    </x:row>
    <x:row r="120" spans="1:26" ht="12.75" customHeight="1" x14ac:dyDescent="0.3">
      <x:c r="B120" s="89" t="s">
        <x:v>112</x:v>
      </x:c>
      <x:c r="C120" s="89" t="s">
        <x:v>70</x:v>
      </x:c>
      <x:c r="F120" s="90" t="n">
        <x:v>-243714.65</x:v>
      </x:c>
      <x:c r="G120" s="90" t="n">
        <x:v>-20951.02</x:v>
      </x:c>
      <x:c r="H120" s="90" t="n">
        <x:v>-8900.5</x:v>
      </x:c>
      <x:c r="I120" s="90" t="n">
        <x:v>-3886.81</x:v>
      </x:c>
      <x:c r="J120" s="90" t="n">
        <x:v>-48437.8</x:v>
      </x:c>
      <x:c r="K120" s="90" t="n">
        <x:v>-2062.98</x:v>
      </x:c>
      <x:c r="L120" s="90" t="n">
        <x:v>0</x:v>
      </x:c>
      <x:c r="M120" s="90" t="n">
        <x:v>-18096.09</x:v>
      </x:c>
      <x:c r="N120" s="90" t="n">
        <x:v>-22688.82</x:v>
      </x:c>
      <x:c r="O120" s="90" t="n">
        <x:v>-76193.1</x:v>
      </x:c>
      <x:c r="P120" s="90" t="n">
        <x:v>-39131.24</x:v>
      </x:c>
      <x:c r="Q120" s="90" t="n">
        <x:v>-3366.29</x:v>
      </x:c>
      <x:c r="R120" s="90" t="n">
        <x:v>0</x:v>
      </x:c>
      <x:c r="S120" s="90" t="n">
        <x:v>0</x:v>
      </x:c>
      <x:c r="T120" t="n">
        <x:v>0</x:v>
      </x:c>
      <x:c r="U120">
        <x:v>0</x:v>
      </x:c>
      <x:c r="V120">
        <x:v>0</x:v>
      </x:c>
      <x:c r="W120">
        <x:v>0</x:v>
      </x:c>
      <x:c r="X120">
        <x:v>0</x:v>
      </x:c>
      <x:c r="Y120" s="90">
        <x:v>0</x:v>
      </x:c>
      <x:c r="Z120" t="n">
        <x:v>0</x:v>
      </x:c>
    </x:row>
    <x:row r="121" spans="1:26" s="458" customFormat="1" x14ac:dyDescent="0.3">
      <x:c r="A121" s="458" t="s">
        <x:v>186</x:v>
      </x:c>
      <x:c r="B121" s="459" t="s">
        <x:v>70</x:v>
      </x:c>
      <x:c r="C121" s="459"/>
      <x:c r="F121" s="460" t="n">
        <x:v>-243714.65</x:v>
      </x:c>
      <x:c r="G121" s="460" t="n">
        <x:v>-20951.02</x:v>
      </x:c>
      <x:c r="H121" s="460" t="n">
        <x:v>-8900.5</x:v>
      </x:c>
      <x:c r="I121" s="460" t="n">
        <x:v>-3886.81</x:v>
      </x:c>
      <x:c r="J121" s="460" t="n">
        <x:v>-48437.8</x:v>
      </x:c>
      <x:c r="K121" s="460" t="n">
        <x:v>-2062.98</x:v>
      </x:c>
      <x:c r="L121" s="460" t="n">
        <x:v>0</x:v>
      </x:c>
      <x:c r="M121" s="460" t="n">
        <x:v>-18096.09</x:v>
      </x:c>
      <x:c r="N121" s="460" t="n">
        <x:v>-22688.82</x:v>
      </x:c>
      <x:c r="O121" s="460" t="n">
        <x:v>-76193.1</x:v>
      </x:c>
      <x:c r="P121" s="460" t="n">
        <x:v>-39131.24</x:v>
      </x:c>
      <x:c r="Q121" s="460" t="n">
        <x:v>-3366.29</x:v>
      </x:c>
      <x:c r="R121" s="460" t="n">
        <x:v>0</x:v>
      </x:c>
      <x:c r="S121" s="460" t="n">
        <x:v>0</x:v>
      </x:c>
      <x:c r="T121" s="460" t="n">
        <x:v>0</x:v>
      </x:c>
      <x:c r="U121" s="460">
        <x:v>0</x:v>
      </x:c>
      <x:c r="V121" s="460">
        <x:v>0</x:v>
      </x:c>
      <x:c r="W121" s="460">
        <x:v>0</x:v>
      </x:c>
      <x:c r="X121" s="460">
        <x:v>0</x:v>
      </x:c>
      <x:c r="Y121" s="460">
        <x:v>0</x:v>
      </x:c>
      <x:c r="Z121" s="460" t="n">
        <x:v>0</x:v>
      </x:c>
    </x:row>
    <x:row r="122" spans="1:26" ht="12.75" customHeight="1" x14ac:dyDescent="0.3">
      <x:c r="E122" s="89" t="s">
        <x:v>72</x:v>
      </x:c>
      <x:c r="F122" s="371" t="n">
        <x:v>10824948.14</x:v>
      </x:c>
      <x:c r="G122" s="90" t="n">
        <x:v>599182.03</x:v>
      </x:c>
      <x:c r="H122" s="90" t="n">
        <x:v>337540.82</x:v>
      </x:c>
      <x:c r="I122" s="90" t="n">
        <x:v>180499.34</x:v>
      </x:c>
      <x:c r="J122" s="90" t="n">
        <x:v>2716624.41</x:v>
      </x:c>
      <x:c r="K122" s="90" t="n">
        <x:v>72704.94</x:v>
      </x:c>
      <x:c r="L122" s="90" t="n">
        <x:v>0</x:v>
      </x:c>
      <x:c r="M122" s="90" t="n">
        <x:v>637761.97</x:v>
      </x:c>
      <x:c r="N122" s="90" t="n">
        <x:v>850902.17</x:v>
      </x:c>
      <x:c r="O122" s="90" t="n">
        <x:v>4118632.15</x:v>
      </x:c>
      <x:c r="P122" s="90" t="n">
        <x:v>1191361.2</x:v>
      </x:c>
      <x:c r="Q122" s="90" t="n">
        <x:v>119849.06</x:v>
      </x:c>
      <x:c r="R122" s="90" t="n">
        <x:v>-109.95</x:v>
      </x:c>
      <x:c r="S122" s="90" t="n">
        <x:v>0</x:v>
      </x:c>
      <x:c r="T122" s="90" t="n">
        <x:v>0</x:v>
      </x:c>
      <x:c r="U122" s="90">
        <x:v>0</x:v>
      </x:c>
      <x:c r="V122" s="90">
        <x:v>0</x:v>
      </x:c>
      <x:c r="W122" s="90">
        <x:v>0</x:v>
      </x:c>
      <x:c r="X122">
        <x:v>0</x:v>
      </x:c>
      <x:c r="Y122">
        <x:v>0</x:v>
      </x:c>
      <x:c r="Z122" t="n">
        <x:v>0</x:v>
      </x:c>
    </x:row>
    <x:row r="123" spans="1:26" ht="12.75" customHeight="1" x14ac:dyDescent="0.3">
      <x:c r="E123" s="89" t="s">
        <x:v>81</x:v>
      </x:c>
      <x:c r="F123" s="371" t="n">
        <x:v>262991.94</x:v>
      </x:c>
      <x:c r="G123" s="90" t="n">
        <x:v>20187.32</x:v>
      </x:c>
      <x:c r="H123" s="90" t="n">
        <x:v>11399.94</x:v>
      </x:c>
      <x:c r="I123" s="90" t="n">
        <x:v>6057.06</x:v>
      </x:c>
      <x:c r="J123" s="90" t="n">
        <x:v>60641.69</x:v>
      </x:c>
      <x:c r="K123" s="90" t="n">
        <x:v>1509.5</x:v>
      </x:c>
      <x:c r="L123" s="90" t="n">
        <x:v>0</x:v>
      </x:c>
      <x:c r="M123" s="90" t="n">
        <x:v>13242.77</x:v>
      </x:c>
      <x:c r="N123" s="90" t="n">
        <x:v>18648.2</x:v>
      </x:c>
      <x:c r="O123" s="90" t="n">
        <x:v>88493.41</x:v>
      </x:c>
      <x:c r="P123" s="90" t="n">
        <x:v>40335.12</x:v>
      </x:c>
      <x:c r="Q123" s="90" t="n">
        <x:v>2478.59</x:v>
      </x:c>
      <x:c r="R123" s="90" t="n">
        <x:v>-1.7</x:v>
      </x:c>
      <x:c r="S123" s="90" t="n">
        <x:v>0.04</x:v>
      </x:c>
      <x:c r="T123" s="90" t="n">
        <x:v>0</x:v>
      </x:c>
      <x:c r="U123" s="90">
        <x:v>0</x:v>
      </x:c>
      <x:c r="V123" s="90">
        <x:v>0</x:v>
      </x:c>
      <x:c r="W123" s="90">
        <x:v>0</x:v>
      </x:c>
      <x:c r="X123">
        <x:v>0</x:v>
      </x:c>
      <x:c r="Y123">
        <x:v>0</x:v>
      </x:c>
      <x:c r="Z123" t="n">
        <x:v>0</x:v>
      </x:c>
    </x:row>
    <x:row r="124" spans="1:26" ht="12.75" customHeight="1" x14ac:dyDescent="0.3">
      <x:c r="D124" t="s">
        <x:v>156</x:v>
      </x:c>
      <x:c r="E124" t="s">
        <x:v>70</x:v>
      </x:c>
      <x:c r="F124" s="384" t="n">
        <x:v>11087940.08</x:v>
      </x:c>
      <x:c r="G124" s="89" t="n">
        <x:v>619369.35</x:v>
      </x:c>
      <x:c r="H124" s="89" t="n">
        <x:v>348940.76</x:v>
      </x:c>
      <x:c r="I124" s="664" t="n">
        <x:v>186556.4</x:v>
      </x:c>
      <x:c r="J124" s="89" t="n">
        <x:v>2777266.1</x:v>
      </x:c>
      <x:c r="K124" s="89" t="n">
        <x:v>74214.44</x:v>
      </x:c>
      <x:c r="L124" s="89" t="n">
        <x:v>0</x:v>
      </x:c>
      <x:c r="M124" s="89" t="n">
        <x:v>651004.74</x:v>
      </x:c>
      <x:c r="N124" s="89" t="n">
        <x:v>869550.37</x:v>
      </x:c>
      <x:c r="O124" s="89" t="n">
        <x:v>4207125.56</x:v>
      </x:c>
      <x:c r="P124" s="89" t="n">
        <x:v>1231696.32</x:v>
      </x:c>
      <x:c r="Q124" s="89" t="n">
        <x:v>122327.65</x:v>
      </x:c>
      <x:c r="R124" s="89" t="n">
        <x:v>-111.65</x:v>
      </x:c>
      <x:c r="S124" s="89" t="n">
        <x:v>0.04</x:v>
      </x:c>
      <x:c r="T124" s="89" t="n">
        <x:v>0</x:v>
      </x:c>
      <x:c r="U124" s="89">
        <x:v>0</x:v>
      </x:c>
      <x:c r="V124" s="89">
        <x:v>0</x:v>
      </x:c>
      <x:c r="W124" s="89">
        <x:v>0</x:v>
      </x:c>
      <x:c r="X124">
        <x:v>0</x:v>
      </x:c>
      <x:c r="Y124" s="89">
        <x:v>0</x:v>
      </x:c>
      <x:c r="Z124" s="89" t="n">
        <x:v>0</x:v>
      </x:c>
    </x:row>
    <x:row r="125" spans="1:26" s="656" customFormat="1" ht="12.75" customHeight="1" x14ac:dyDescent="0.3">
      <x:c r="C125" s="656" t="s">
        <x:v>155</x:v>
      </x:c>
      <x:c r="D125" s="656" t="s">
        <x:v>70</x:v>
      </x:c>
      <x:c r="F125" s="736" t="n">
        <x:v>11087940.08</x:v>
      </x:c>
      <x:c r="G125" s="657" t="n">
        <x:v>619369.35</x:v>
      </x:c>
      <x:c r="H125" s="657" t="n">
        <x:v>348940.76</x:v>
      </x:c>
      <x:c r="I125" s="737" t="n">
        <x:v>186556.4</x:v>
      </x:c>
      <x:c r="J125" s="657" t="n">
        <x:v>2777266.1</x:v>
      </x:c>
      <x:c r="K125" s="657" t="n">
        <x:v>74214.44</x:v>
      </x:c>
      <x:c r="L125" s="657" t="n">
        <x:v>0</x:v>
      </x:c>
      <x:c r="M125" s="657" t="n">
        <x:v>651004.74</x:v>
      </x:c>
      <x:c r="N125" s="657" t="n">
        <x:v>869550.37</x:v>
      </x:c>
      <x:c r="O125" s="657" t="n">
        <x:v>4207125.56</x:v>
      </x:c>
      <x:c r="P125" s="657" t="n">
        <x:v>1231696.32</x:v>
      </x:c>
      <x:c r="Q125" s="657" t="n">
        <x:v>122327.65</x:v>
      </x:c>
      <x:c r="R125" s="657" t="n">
        <x:v>-111.65</x:v>
      </x:c>
      <x:c r="S125" s="657" t="n">
        <x:v>0.04</x:v>
      </x:c>
      <x:c r="T125" s="657" t="n">
        <x:v>0</x:v>
      </x:c>
      <x:c r="U125" s="657">
        <x:v>0</x:v>
      </x:c>
      <x:c r="V125" s="657">
        <x:v>0</x:v>
      </x:c>
      <x:c r="W125" s="657">
        <x:v>0</x:v>
      </x:c>
      <x:c r="X125" s="656">
        <x:v>0</x:v>
      </x:c>
      <x:c r="Y125" s="657">
        <x:v>0</x:v>
      </x:c>
      <x:c r="Z125" s="657" t="n">
        <x:v>0</x:v>
      </x:c>
    </x:row>
    <x:row r="126" spans="1:26" ht="12.75" customHeight="1" x14ac:dyDescent="0.3">
      <x:c r="D126" s="89"/>
      <x:c r="E126" s="89" t="s">
        <x:v>72</x:v>
      </x:c>
      <x:c r="F126" s="371">
        <x:v>0</x:v>
      </x:c>
      <x:c r="G126" s="90">
        <x:v>0</x:v>
      </x:c>
      <x:c r="H126" s="90">
        <x:v>0</x:v>
      </x:c>
      <x:c r="I126" s="90">
        <x:v>0</x:v>
      </x:c>
      <x:c r="J126" s="90">
        <x:v>0</x:v>
      </x:c>
      <x:c r="K126" s="90">
        <x:v>0</x:v>
      </x:c>
      <x:c r="L126" s="90">
        <x:v>0</x:v>
      </x:c>
      <x:c r="M126" s="90">
        <x:v>0</x:v>
      </x:c>
      <x:c r="N126" s="90">
        <x:v>0</x:v>
      </x:c>
      <x:c r="O126" s="90">
        <x:v>0</x:v>
      </x:c>
      <x:c r="P126" s="90">
        <x:v>0</x:v>
      </x:c>
      <x:c r="Q126" s="90">
        <x:v>0</x:v>
      </x:c>
      <x:c r="R126" s="90">
        <x:v>0</x:v>
      </x:c>
      <x:c r="S126" s="90">
        <x:v>0</x:v>
      </x:c>
      <x:c r="T126" s="90">
        <x:v>0</x:v>
      </x:c>
      <x:c r="U126" s="90">
        <x:v>0</x:v>
      </x:c>
      <x:c r="V126" s="90">
        <x:v>0</x:v>
      </x:c>
      <x:c r="W126" s="90">
        <x:v>0</x:v>
      </x:c>
      <x:c r="X126">
        <x:v>0</x:v>
      </x:c>
      <x:c r="Y126">
        <x:v>0</x:v>
      </x:c>
      <x:c r="Z126">
        <x:v>0</x:v>
      </x:c>
    </x:row>
    <x:row r="127" spans="1:26" ht="12.75" customHeight="1" x14ac:dyDescent="0.3">
      <x:c r="D127" s="89"/>
      <x:c r="E127" s="89" t="s">
        <x:v>81</x:v>
      </x:c>
      <x:c r="F127" s="371">
        <x:v>0</x:v>
      </x:c>
      <x:c r="G127" s="90">
        <x:v>0</x:v>
      </x:c>
      <x:c r="H127" s="90">
        <x:v>0</x:v>
      </x:c>
      <x:c r="I127" s="90">
        <x:v>0</x:v>
      </x:c>
      <x:c r="J127" s="90">
        <x:v>0</x:v>
      </x:c>
      <x:c r="K127" s="90">
        <x:v>0</x:v>
      </x:c>
      <x:c r="L127" s="90">
        <x:v>0</x:v>
      </x:c>
      <x:c r="M127" s="90">
        <x:v>0</x:v>
      </x:c>
      <x:c r="N127" s="90">
        <x:v>0</x:v>
      </x:c>
      <x:c r="O127" s="90">
        <x:v>0</x:v>
      </x:c>
      <x:c r="P127" s="90">
        <x:v>0</x:v>
      </x:c>
      <x:c r="Q127" s="90">
        <x:v>0</x:v>
      </x:c>
      <x:c r="R127" s="90">
        <x:v>0</x:v>
      </x:c>
      <x:c r="S127" s="90">
        <x:v>0</x:v>
      </x:c>
      <x:c r="T127" s="90">
        <x:v>0</x:v>
      </x:c>
      <x:c r="U127" s="90">
        <x:v>0</x:v>
      </x:c>
      <x:c r="V127" s="90">
        <x:v>0</x:v>
      </x:c>
      <x:c r="W127" s="90">
        <x:v>0</x:v>
      </x:c>
      <x:c r="X127">
        <x:v>0</x:v>
      </x:c>
      <x:c r="Y127">
        <x:v>0</x:v>
      </x:c>
      <x:c r="Z127">
        <x:v>0</x:v>
      </x:c>
    </x:row>
    <x:row r="128" spans="1:26" ht="12.75" customHeight="1" x14ac:dyDescent="0.3">
      <x:c r="D128" s="89" t="s">
        <x:v>115</x:v>
      </x:c>
      <x:c r="E128" s="89" t="s">
        <x:v>70</x:v>
      </x:c>
      <x:c r="F128" s="371">
        <x:v>0</x:v>
      </x:c>
      <x:c r="G128" s="90">
        <x:v>0</x:v>
      </x:c>
      <x:c r="H128" s="90">
        <x:v>0</x:v>
      </x:c>
      <x:c r="I128" s="90">
        <x:v>0</x:v>
      </x:c>
      <x:c r="J128" s="90">
        <x:v>0</x:v>
      </x:c>
      <x:c r="K128" s="90">
        <x:v>0</x:v>
      </x:c>
      <x:c r="L128" s="90">
        <x:v>0</x:v>
      </x:c>
      <x:c r="M128" s="90">
        <x:v>0</x:v>
      </x:c>
      <x:c r="N128" s="90">
        <x:v>0</x:v>
      </x:c>
      <x:c r="O128" s="90">
        <x:v>0</x:v>
      </x:c>
      <x:c r="P128" s="90">
        <x:v>0</x:v>
      </x:c>
      <x:c r="Q128" s="90">
        <x:v>0</x:v>
      </x:c>
      <x:c r="R128" s="90">
        <x:v>0</x:v>
      </x:c>
      <x:c r="S128" s="90">
        <x:v>0</x:v>
      </x:c>
      <x:c r="T128" s="90">
        <x:v>0</x:v>
      </x:c>
      <x:c r="U128" s="90">
        <x:v>0</x:v>
      </x:c>
      <x:c r="V128" s="90">
        <x:v>0</x:v>
      </x:c>
      <x:c r="W128" s="90">
        <x:v>0</x:v>
      </x:c>
      <x:c r="X128">
        <x:v>0</x:v>
      </x:c>
      <x:c r="Y128">
        <x:v>0</x:v>
      </x:c>
      <x:c r="Z128">
        <x:v>0</x:v>
      </x:c>
    </x:row>
    <x:row r="129" spans="3:26" ht="12.75" customHeight="1" x14ac:dyDescent="0.3">
      <x:c r="D129" s="89"/>
      <x:c r="E129" s="89" t="s">
        <x:v>72</x:v>
      </x:c>
      <x:c r="F129" s="371">
        <x:v>0</x:v>
      </x:c>
      <x:c r="G129" s="90">
        <x:v>0</x:v>
      </x:c>
      <x:c r="H129" s="90">
        <x:v>0</x:v>
      </x:c>
      <x:c r="I129" s="90">
        <x:v>0</x:v>
      </x:c>
      <x:c r="J129" s="90">
        <x:v>0</x:v>
      </x:c>
      <x:c r="K129" s="90">
        <x:v>0</x:v>
      </x:c>
      <x:c r="L129" s="90">
        <x:v>0</x:v>
      </x:c>
      <x:c r="M129" s="90">
        <x:v>0</x:v>
      </x:c>
      <x:c r="N129" s="90">
        <x:v>0</x:v>
      </x:c>
      <x:c r="O129" s="90">
        <x:v>0</x:v>
      </x:c>
      <x:c r="P129" s="90">
        <x:v>0</x:v>
      </x:c>
      <x:c r="Q129" s="90">
        <x:v>0</x:v>
      </x:c>
      <x:c r="R129" s="90">
        <x:v>0</x:v>
      </x:c>
      <x:c r="S129" s="90">
        <x:v>0</x:v>
      </x:c>
      <x:c r="T129" s="90">
        <x:v>0</x:v>
      </x:c>
      <x:c r="U129" s="90">
        <x:v>0</x:v>
      </x:c>
      <x:c r="V129" s="90">
        <x:v>0</x:v>
      </x:c>
      <x:c r="W129" s="90">
        <x:v>0</x:v>
      </x:c>
      <x:c r="X129">
        <x:v>0</x:v>
      </x:c>
      <x:c r="Y129">
        <x:v>0</x:v>
      </x:c>
      <x:c r="Z129">
        <x:v>0</x:v>
      </x:c>
    </x:row>
    <x:row r="130" spans="3:26" ht="12.75" customHeight="1" x14ac:dyDescent="0.3">
      <x:c r="D130" s="89"/>
      <x:c r="E130" s="89" t="s">
        <x:v>81</x:v>
      </x:c>
      <x:c r="F130" s="90">
        <x:v>0</x:v>
      </x:c>
      <x:c r="G130" s="90">
        <x:v>0</x:v>
      </x:c>
      <x:c r="H130" s="90">
        <x:v>0</x:v>
      </x:c>
      <x:c r="I130" s="90">
        <x:v>0</x:v>
      </x:c>
      <x:c r="J130" s="90">
        <x:v>0</x:v>
      </x:c>
      <x:c r="K130" s="90">
        <x:v>0</x:v>
      </x:c>
      <x:c r="L130" s="90">
        <x:v>0</x:v>
      </x:c>
      <x:c r="M130" s="90">
        <x:v>0</x:v>
      </x:c>
      <x:c r="N130" s="90">
        <x:v>0</x:v>
      </x:c>
      <x:c r="O130" s="90">
        <x:v>0</x:v>
      </x:c>
      <x:c r="P130" s="90">
        <x:v>0</x:v>
      </x:c>
      <x:c r="Q130" s="90">
        <x:v>0</x:v>
      </x:c>
      <x:c r="R130" s="90">
        <x:v>0</x:v>
      </x:c>
      <x:c r="S130" s="90">
        <x:v>0</x:v>
      </x:c>
      <x:c r="T130" s="90">
        <x:v>0</x:v>
      </x:c>
      <x:c r="U130" s="90">
        <x:v>0</x:v>
      </x:c>
      <x:c r="V130" s="90">
        <x:v>0</x:v>
      </x:c>
      <x:c r="W130" s="90">
        <x:v>0</x:v>
      </x:c>
      <x:c r="X130">
        <x:v>0</x:v>
      </x:c>
      <x:c r="Y130">
        <x:v>0</x:v>
      </x:c>
      <x:c r="Z130">
        <x:v>0</x:v>
      </x:c>
    </x:row>
    <x:row r="131" spans="3:26" ht="12.75" customHeight="1" x14ac:dyDescent="0.3">
      <x:c r="D131" t="s">
        <x:v>116</x:v>
      </x:c>
      <x:c r="E131" s="89" t="s">
        <x:v>70</x:v>
      </x:c>
      <x:c r="F131" s="90">
        <x:v>0</x:v>
      </x:c>
      <x:c r="G131" s="90">
        <x:v>0</x:v>
      </x:c>
      <x:c r="H131" s="90">
        <x:v>0</x:v>
      </x:c>
      <x:c r="I131" s="90">
        <x:v>0</x:v>
      </x:c>
      <x:c r="J131" s="90">
        <x:v>0</x:v>
      </x:c>
      <x:c r="K131" s="90">
        <x:v>0</x:v>
      </x:c>
      <x:c r="L131" s="90">
        <x:v>0</x:v>
      </x:c>
      <x:c r="M131" s="90">
        <x:v>0</x:v>
      </x:c>
      <x:c r="N131" s="90">
        <x:v>0</x:v>
      </x:c>
      <x:c r="O131" s="90">
        <x:v>0</x:v>
      </x:c>
      <x:c r="P131" s="90">
        <x:v>0</x:v>
      </x:c>
      <x:c r="Q131" s="90">
        <x:v>0</x:v>
      </x:c>
      <x:c r="R131" s="90">
        <x:v>0</x:v>
      </x:c>
      <x:c r="S131" s="90">
        <x:v>0</x:v>
      </x:c>
      <x:c r="T131" s="90">
        <x:v>0</x:v>
      </x:c>
      <x:c r="U131" s="90">
        <x:v>0</x:v>
      </x:c>
      <x:c r="V131" s="90">
        <x:v>0</x:v>
      </x:c>
      <x:c r="W131" s="90">
        <x:v>0</x:v>
      </x:c>
      <x:c r="X131">
        <x:v>0</x:v>
      </x:c>
      <x:c r="Y131">
        <x:v>0</x:v>
      </x:c>
      <x:c r="Z131">
        <x:v>0</x:v>
      </x:c>
    </x:row>
    <x:row r="132" spans="3:26" ht="12.75" customHeight="1" x14ac:dyDescent="0.3">
      <x:c r="D132" s="89"/>
      <x:c r="E132" s="89" t="s">
        <x:v>72</x:v>
      </x:c>
      <x:c r="F132" s="90">
        <x:v>0</x:v>
      </x:c>
      <x:c r="G132" s="90">
        <x:v>0</x:v>
      </x:c>
      <x:c r="H132" s="90">
        <x:v>0</x:v>
      </x:c>
      <x:c r="I132" s="90">
        <x:v>0</x:v>
      </x:c>
      <x:c r="J132" s="90">
        <x:v>0</x:v>
      </x:c>
      <x:c r="K132" s="90">
        <x:v>0</x:v>
      </x:c>
      <x:c r="L132" s="90">
        <x:v>0</x:v>
      </x:c>
      <x:c r="M132" s="90">
        <x:v>0</x:v>
      </x:c>
      <x:c r="N132" s="90">
        <x:v>0</x:v>
      </x:c>
      <x:c r="O132" s="90">
        <x:v>0</x:v>
      </x:c>
      <x:c r="P132" s="90">
        <x:v>0</x:v>
      </x:c>
      <x:c r="Q132" s="90">
        <x:v>0</x:v>
      </x:c>
      <x:c r="R132" s="90">
        <x:v>0</x:v>
      </x:c>
      <x:c r="S132" s="90">
        <x:v>0</x:v>
      </x:c>
      <x:c r="T132" s="90">
        <x:v>0</x:v>
      </x:c>
      <x:c r="U132" s="90">
        <x:v>0</x:v>
      </x:c>
      <x:c r="V132" s="90">
        <x:v>0</x:v>
      </x:c>
      <x:c r="W132" s="90">
        <x:v>0</x:v>
      </x:c>
      <x:c r="X132">
        <x:v>0</x:v>
      </x:c>
      <x:c r="Y132">
        <x:v>0</x:v>
      </x:c>
      <x:c r="Z132">
        <x:v>0</x:v>
      </x:c>
    </x:row>
    <x:row r="133" spans="3:26" ht="12.75" customHeight="1" x14ac:dyDescent="0.3">
      <x:c r="E133" s="89" t="s">
        <x:v>81</x:v>
      </x:c>
      <x:c r="F133" s="90">
        <x:v>0</x:v>
      </x:c>
      <x:c r="G133" s="90">
        <x:v>0</x:v>
      </x:c>
      <x:c r="H133" s="90">
        <x:v>0</x:v>
      </x:c>
      <x:c r="I133" s="90">
        <x:v>0</x:v>
      </x:c>
      <x:c r="J133" s="90">
        <x:v>0</x:v>
      </x:c>
      <x:c r="K133" s="90">
        <x:v>0</x:v>
      </x:c>
      <x:c r="L133" s="90">
        <x:v>0</x:v>
      </x:c>
      <x:c r="M133" s="90">
        <x:v>0</x:v>
      </x:c>
      <x:c r="N133" s="90">
        <x:v>0</x:v>
      </x:c>
      <x:c r="O133" s="90">
        <x:v>0</x:v>
      </x:c>
      <x:c r="P133" s="90">
        <x:v>0</x:v>
      </x:c>
      <x:c r="Q133" s="90">
        <x:v>0</x:v>
      </x:c>
      <x:c r="R133" s="90">
        <x:v>0</x:v>
      </x:c>
      <x:c r="S133" s="90">
        <x:v>0</x:v>
      </x:c>
      <x:c r="T133" s="90">
        <x:v>0</x:v>
      </x:c>
      <x:c r="U133" s="90">
        <x:v>0</x:v>
      </x:c>
      <x:c r="V133" s="90">
        <x:v>0</x:v>
      </x:c>
      <x:c r="W133" s="90">
        <x:v>0</x:v>
      </x:c>
      <x:c r="X133">
        <x:v>0</x:v>
      </x:c>
      <x:c r="Y133">
        <x:v>0</x:v>
      </x:c>
      <x:c r="Z133">
        <x:v>0</x:v>
      </x:c>
    </x:row>
    <x:row r="134" spans="3:26" ht="12.75" customHeight="1" x14ac:dyDescent="0.3">
      <x:c r="D134" t="s">
        <x:v>118</x:v>
      </x:c>
      <x:c r="E134" s="89" t="s">
        <x:v>70</x:v>
      </x:c>
      <x:c r="F134" s="90">
        <x:v>0</x:v>
      </x:c>
      <x:c r="G134" s="90">
        <x:v>0</x:v>
      </x:c>
      <x:c r="H134" s="90">
        <x:v>0</x:v>
      </x:c>
      <x:c r="I134" s="90">
        <x:v>0</x:v>
      </x:c>
      <x:c r="J134" s="90">
        <x:v>0</x:v>
      </x:c>
      <x:c r="K134" s="90">
        <x:v>0</x:v>
      </x:c>
      <x:c r="L134" s="90">
        <x:v>0</x:v>
      </x:c>
      <x:c r="M134" s="90">
        <x:v>0</x:v>
      </x:c>
      <x:c r="N134" s="90">
        <x:v>0</x:v>
      </x:c>
      <x:c r="O134" s="90">
        <x:v>0</x:v>
      </x:c>
      <x:c r="P134" s="90">
        <x:v>0</x:v>
      </x:c>
      <x:c r="Q134" s="90">
        <x:v>0</x:v>
      </x:c>
      <x:c r="R134" s="90">
        <x:v>0</x:v>
      </x:c>
      <x:c r="S134" s="90">
        <x:v>0</x:v>
      </x:c>
      <x:c r="T134" s="90">
        <x:v>0</x:v>
      </x:c>
      <x:c r="U134" s="90">
        <x:v>0</x:v>
      </x:c>
      <x:c r="V134" s="90">
        <x:v>0</x:v>
      </x:c>
      <x:c r="W134" s="90">
        <x:v>0</x:v>
      </x:c>
      <x:c r="X134">
        <x:v>0</x:v>
      </x:c>
      <x:c r="Y134">
        <x:v>0</x:v>
      </x:c>
      <x:c r="Z134">
        <x:v>0</x:v>
      </x:c>
    </x:row>
    <x:row r="135" spans="3:26" s="224" customFormat="1" ht="12.75" customHeight="1" x14ac:dyDescent="0.3">
      <x:c r="C135" s="223" t="s">
        <x:v>120</x:v>
      </x:c>
      <x:c r="D135" s="223" t="s">
        <x:v>70</x:v>
      </x:c>
      <x:c r="F135" s="225">
        <x:v>0</x:v>
      </x:c>
      <x:c r="G135" s="225">
        <x:v>0</x:v>
      </x:c>
      <x:c r="H135" s="225">
        <x:v>0</x:v>
      </x:c>
      <x:c r="I135" s="225">
        <x:v>0</x:v>
      </x:c>
      <x:c r="J135" s="225">
        <x:v>0</x:v>
      </x:c>
      <x:c r="K135" s="225">
        <x:v>0</x:v>
      </x:c>
      <x:c r="L135" s="225">
        <x:v>0</x:v>
      </x:c>
      <x:c r="M135" s="225">
        <x:v>0</x:v>
      </x:c>
      <x:c r="N135" s="225">
        <x:v>0</x:v>
      </x:c>
      <x:c r="O135" s="225">
        <x:v>0</x:v>
      </x:c>
      <x:c r="P135" s="225">
        <x:v>0</x:v>
      </x:c>
      <x:c r="Q135" s="225">
        <x:v>0</x:v>
      </x:c>
      <x:c r="R135" s="225">
        <x:v>0</x:v>
      </x:c>
      <x:c r="S135" s="225">
        <x:v>0</x:v>
      </x:c>
      <x:c r="T135" s="224">
        <x:v>0</x:v>
      </x:c>
      <x:c r="U135" s="224">
        <x:v>0</x:v>
      </x:c>
      <x:c r="V135" s="224">
        <x:v>0</x:v>
      </x:c>
      <x:c r="W135" s="224">
        <x:v>0</x:v>
      </x:c>
      <x:c r="X135" s="224">
        <x:v>0</x:v>
      </x:c>
      <x:c r="Y135" s="225">
        <x:v>0</x:v>
      </x:c>
      <x:c r="Z135" s="224">
        <x:v>0</x:v>
      </x:c>
    </x:row>
    <x:row r="136" spans="3:26" ht="12.75" customHeight="1" x14ac:dyDescent="0.3">
      <x:c r="E136" s="89" t="s">
        <x:v>72</x:v>
      </x:c>
      <x:c r="F136" s="371" t="n">
        <x:v>21770</x:v>
      </x:c>
      <x:c r="G136" s="90" t="n">
        <x:v>1004.16</x:v>
      </x:c>
      <x:c r="H136" s="90" t="n">
        <x:v>566.95</x:v>
      </x:c>
      <x:c r="I136" s="90" t="n">
        <x:v>297.5</x:v>
      </x:c>
      <x:c r="J136" s="90" t="n">
        <x:v>6117.42</x:v>
      </x:c>
      <x:c r="K136" s="90" t="n">
        <x:v>195.92</x:v>
      </x:c>
      <x:c r="L136" s="90" t="n">
        <x:v>0</x:v>
      </x:c>
      <x:c r="M136" s="90" t="n">
        <x:v>1718.59</x:v>
      </x:c>
      <x:c r="N136" s="90" t="n">
        <x:v>1666.39</x:v>
      </x:c>
      <x:c r="O136" s="90" t="n">
        <x:v>7890.73</x:v>
      </x:c>
      <x:c r="P136" s="90" t="n">
        <x:v>1993.69</x:v>
      </x:c>
      <x:c r="Q136" s="90" t="n">
        <x:v>319.65</x:v>
      </x:c>
      <x:c r="R136" s="90" t="n">
        <x:v>-1</x:v>
      </x:c>
      <x:c r="S136" s="90" t="n">
        <x:v>0</x:v>
      </x:c>
      <x:c r="T136" s="90" t="n">
        <x:v>0</x:v>
      </x:c>
      <x:c r="U136" s="90">
        <x:v>0</x:v>
      </x:c>
      <x:c r="V136" s="90">
        <x:v>0</x:v>
      </x:c>
      <x:c r="W136" s="90">
        <x:v>0</x:v>
      </x:c>
      <x:c r="X136">
        <x:v>0</x:v>
      </x:c>
      <x:c r="Y136">
        <x:v>0</x:v>
      </x:c>
      <x:c r="Z136" t="n">
        <x:v>0</x:v>
      </x:c>
    </x:row>
    <x:row r="137" spans="3:26" ht="12.75" customHeight="1" x14ac:dyDescent="0.3">
      <x:c r="E137" s="89" t="s">
        <x:v>81</x:v>
      </x:c>
      <x:c r="F137" s="371">
        <x:v>0</x:v>
      </x:c>
      <x:c r="G137" s="90">
        <x:v>0</x:v>
      </x:c>
      <x:c r="H137" s="90">
        <x:v>0</x:v>
      </x:c>
      <x:c r="I137" s="90">
        <x:v>0</x:v>
      </x:c>
      <x:c r="J137" s="90">
        <x:v>0</x:v>
      </x:c>
      <x:c r="K137" s="90">
        <x:v>0</x:v>
      </x:c>
      <x:c r="L137" s="90">
        <x:v>0</x:v>
      </x:c>
      <x:c r="M137" s="90">
        <x:v>0</x:v>
      </x:c>
      <x:c r="N137" s="90">
        <x:v>0</x:v>
      </x:c>
      <x:c r="O137" s="90">
        <x:v>0</x:v>
      </x:c>
      <x:c r="P137" s="90">
        <x:v>0</x:v>
      </x:c>
      <x:c r="Q137" s="90">
        <x:v>0</x:v>
      </x:c>
      <x:c r="R137" s="90">
        <x:v>0</x:v>
      </x:c>
      <x:c r="S137" s="90">
        <x:v>0</x:v>
      </x:c>
      <x:c r="T137" s="90">
        <x:v>0</x:v>
      </x:c>
      <x:c r="U137" s="90">
        <x:v>0</x:v>
      </x:c>
      <x:c r="V137" s="90">
        <x:v>0</x:v>
      </x:c>
      <x:c r="W137" s="90">
        <x:v>0</x:v>
      </x:c>
      <x:c r="X137">
        <x:v>0</x:v>
      </x:c>
      <x:c r="Y137">
        <x:v>0</x:v>
      </x:c>
      <x:c r="Z137">
        <x:v>0</x:v>
      </x:c>
    </x:row>
    <x:row r="138" spans="3:26" ht="12.75" customHeight="1" x14ac:dyDescent="0.3">
      <x:c r="D138" t="s">
        <x:v>82</x:v>
      </x:c>
      <x:c r="E138" s="89" t="s">
        <x:v>70</x:v>
      </x:c>
      <x:c r="F138" s="371" t="n">
        <x:v>21770</x:v>
      </x:c>
      <x:c r="G138" s="90" t="n">
        <x:v>1004.16</x:v>
      </x:c>
      <x:c r="H138" s="90" t="n">
        <x:v>566.95</x:v>
      </x:c>
      <x:c r="I138" s="90" t="n">
        <x:v>297.5</x:v>
      </x:c>
      <x:c r="J138" s="90" t="n">
        <x:v>6117.42</x:v>
      </x:c>
      <x:c r="K138" s="90" t="n">
        <x:v>195.92</x:v>
      </x:c>
      <x:c r="L138" s="90" t="n">
        <x:v>0</x:v>
      </x:c>
      <x:c r="M138" s="90" t="n">
        <x:v>1718.59</x:v>
      </x:c>
      <x:c r="N138" s="90" t="n">
        <x:v>1666.39</x:v>
      </x:c>
      <x:c r="O138" s="90" t="n">
        <x:v>7890.73</x:v>
      </x:c>
      <x:c r="P138" s="90" t="n">
        <x:v>1993.69</x:v>
      </x:c>
      <x:c r="Q138" s="90" t="n">
        <x:v>319.65</x:v>
      </x:c>
      <x:c r="R138" s="90" t="n">
        <x:v>-1</x:v>
      </x:c>
      <x:c r="S138" s="90" t="n">
        <x:v>0</x:v>
      </x:c>
      <x:c r="T138" s="90" t="n">
        <x:v>0</x:v>
      </x:c>
      <x:c r="U138" s="90">
        <x:v>0</x:v>
      </x:c>
      <x:c r="V138" s="90">
        <x:v>0</x:v>
      </x:c>
      <x:c r="W138" s="90">
        <x:v>0</x:v>
      </x:c>
      <x:c r="X138">
        <x:v>0</x:v>
      </x:c>
      <x:c r="Y138">
        <x:v>0</x:v>
      </x:c>
      <x:c r="Z138" t="n">
        <x:v>0</x:v>
      </x:c>
    </x:row>
    <x:row r="139" spans="3:26" ht="12.75" customHeight="1" x14ac:dyDescent="0.3">
      <x:c r="E139" s="89" t="s">
        <x:v>72</x:v>
      </x:c>
      <x:c r="F139" s="371" t="n">
        <x:v>642782.27</x:v>
      </x:c>
      <x:c r="G139" s="90" t="n">
        <x:v>31379.48</x:v>
      </x:c>
      <x:c r="H139" s="90" t="n">
        <x:v>17705.74</x:v>
      </x:c>
      <x:c r="I139" s="90" t="n">
        <x:v>9385.95</x:v>
      </x:c>
      <x:c r="J139" s="90" t="n">
        <x:v>152267.08</x:v>
      </x:c>
      <x:c r="K139" s="90" t="n">
        <x:v>4852.15</x:v>
      </x:c>
      <x:c r="L139" s="90" t="n">
        <x:v>0</x:v>
      </x:c>
      <x:c r="M139" s="90" t="n">
        <x:v>42562.72</x:v>
      </x:c>
      <x:c r="N139" s="90" t="n">
        <x:v>54528.92</x:v>
      </x:c>
      <x:c r="O139" s="90" t="n">
        <x:v>260815.06</x:v>
      </x:c>
      <x:c r="P139" s="90" t="n">
        <x:v>61357.46</x:v>
      </x:c>
      <x:c r="Q139" s="90" t="n">
        <x:v>7916.7</x:v>
      </x:c>
      <x:c r="R139" s="90" t="n">
        <x:v>11.01</x:v>
      </x:c>
      <x:c r="S139" s="90" t="n">
        <x:v>0</x:v>
      </x:c>
      <x:c r="T139" s="90" t="n">
        <x:v>0</x:v>
      </x:c>
      <x:c r="U139" s="90">
        <x:v>0</x:v>
      </x:c>
      <x:c r="V139" s="90">
        <x:v>0</x:v>
      </x:c>
      <x:c r="W139" s="90">
        <x:v>0</x:v>
      </x:c>
      <x:c r="X139">
        <x:v>0</x:v>
      </x:c>
      <x:c r="Y139">
        <x:v>0</x:v>
      </x:c>
      <x:c r="Z139" t="n">
        <x:v>0</x:v>
      </x:c>
    </x:row>
    <x:row r="140" spans="3:26" ht="12.75" customHeight="1" x14ac:dyDescent="0.3">
      <x:c r="E140" s="89" t="s">
        <x:v>81</x:v>
      </x:c>
      <x:c r="F140" s="371" t="n">
        <x:v>1590.27</x:v>
      </x:c>
      <x:c r="G140" s="90" t="n">
        <x:v>84.26</x:v>
      </x:c>
      <x:c r="H140" s="90" t="n">
        <x:v>47.65</x:v>
      </x:c>
      <x:c r="I140" s="90" t="n">
        <x:v>25.29</x:v>
      </x:c>
      <x:c r="J140" s="90" t="n">
        <x:v>415.91</x:v>
      </x:c>
      <x:c r="K140" s="90" t="n">
        <x:v>10.2</x:v>
      </x:c>
      <x:c r="L140" s="90" t="n">
        <x:v>0</x:v>
      </x:c>
      <x:c r="M140" s="90" t="n">
        <x:v>89.36</x:v>
      </x:c>
      <x:c r="N140" s="90" t="n">
        <x:v>128.29</x:v>
      </x:c>
      <x:c r="O140" s="90" t="n">
        <x:v>603.23</x:v>
      </x:c>
      <x:c r="P140" s="90" t="n">
        <x:v>169.46</x:v>
      </x:c>
      <x:c r="Q140" s="90" t="n">
        <x:v>16.61</x:v>
      </x:c>
      <x:c r="R140" s="90" t="n">
        <x:v>0.01</x:v>
      </x:c>
      <x:c r="S140" s="90" t="n">
        <x:v>0</x:v>
      </x:c>
      <x:c r="T140" s="90" t="n">
        <x:v>0</x:v>
      </x:c>
      <x:c r="U140" s="90">
        <x:v>0</x:v>
      </x:c>
      <x:c r="V140" s="90">
        <x:v>0</x:v>
      </x:c>
      <x:c r="W140" s="90">
        <x:v>0</x:v>
      </x:c>
      <x:c r="X140">
        <x:v>0</x:v>
      </x:c>
      <x:c r="Y140">
        <x:v>0</x:v>
      </x:c>
      <x:c r="Z140" t="n">
        <x:v>0</x:v>
      </x:c>
    </x:row>
    <x:row r="141" spans="3:26" ht="12.75" customHeight="1" x14ac:dyDescent="0.3">
      <x:c r="D141" t="s">
        <x:v>86</x:v>
      </x:c>
      <x:c r="E141" s="89" t="s">
        <x:v>70</x:v>
      </x:c>
      <x:c r="F141" s="371" t="n">
        <x:v>644372.54</x:v>
      </x:c>
      <x:c r="G141" s="90" t="n">
        <x:v>31463.74</x:v>
      </x:c>
      <x:c r="H141" s="90" t="n">
        <x:v>17753.39</x:v>
      </x:c>
      <x:c r="I141" s="90" t="n">
        <x:v>9411.24</x:v>
      </x:c>
      <x:c r="J141" s="90" t="n">
        <x:v>152682.99</x:v>
      </x:c>
      <x:c r="K141" s="90" t="n">
        <x:v>4862.35</x:v>
      </x:c>
      <x:c r="L141" s="90" t="n">
        <x:v>0</x:v>
      </x:c>
      <x:c r="M141" s="90" t="n">
        <x:v>42652.08</x:v>
      </x:c>
      <x:c r="N141" s="90" t="n">
        <x:v>54657.21</x:v>
      </x:c>
      <x:c r="O141" s="90" t="n">
        <x:v>261418.29</x:v>
      </x:c>
      <x:c r="P141" s="90" t="n">
        <x:v>61526.92</x:v>
      </x:c>
      <x:c r="Q141" s="90" t="n">
        <x:v>7933.31</x:v>
      </x:c>
      <x:c r="R141" s="90" t="n">
        <x:v>11.02</x:v>
      </x:c>
      <x:c r="S141" s="90" t="n">
        <x:v>0</x:v>
      </x:c>
      <x:c r="T141" s="90" t="n">
        <x:v>0</x:v>
      </x:c>
      <x:c r="U141" s="90">
        <x:v>0</x:v>
      </x:c>
      <x:c r="V141" s="90">
        <x:v>0</x:v>
      </x:c>
      <x:c r="W141" s="90">
        <x:v>0</x:v>
      </x:c>
      <x:c r="X141">
        <x:v>0</x:v>
      </x:c>
      <x:c r="Y141">
        <x:v>0</x:v>
      </x:c>
      <x:c r="Z141" t="n">
        <x:v>0</x:v>
      </x:c>
    </x:row>
    <x:row r="142" spans="3:26" ht="12.75" customHeight="1" x14ac:dyDescent="0.3">
      <x:c r="E142" s="89" t="s">
        <x:v>72</x:v>
      </x:c>
      <x:c r="F142" s="371">
        <x:v>0</x:v>
      </x:c>
      <x:c r="G142" s="90">
        <x:v>0</x:v>
      </x:c>
      <x:c r="H142" s="90">
        <x:v>0</x:v>
      </x:c>
      <x:c r="I142" s="90">
        <x:v>0</x:v>
      </x:c>
      <x:c r="J142" s="90">
        <x:v>0</x:v>
      </x:c>
      <x:c r="K142" s="90">
        <x:v>0</x:v>
      </x:c>
      <x:c r="L142" s="90">
        <x:v>0</x:v>
      </x:c>
      <x:c r="M142" s="90">
        <x:v>0</x:v>
      </x:c>
      <x:c r="N142" s="90">
        <x:v>0</x:v>
      </x:c>
      <x:c r="O142" s="90">
        <x:v>0</x:v>
      </x:c>
      <x:c r="P142" s="90">
        <x:v>0</x:v>
      </x:c>
      <x:c r="Q142" s="90">
        <x:v>0</x:v>
      </x:c>
      <x:c r="R142" s="90">
        <x:v>0</x:v>
      </x:c>
      <x:c r="S142" s="90">
        <x:v>0</x:v>
      </x:c>
      <x:c r="T142" s="90">
        <x:v>0</x:v>
      </x:c>
      <x:c r="U142" s="90">
        <x:v>0</x:v>
      </x:c>
      <x:c r="V142" s="90">
        <x:v>0</x:v>
      </x:c>
      <x:c r="W142" s="90">
        <x:v>0</x:v>
      </x:c>
      <x:c r="X142" s="90">
        <x:v>0</x:v>
      </x:c>
      <x:c r="Y142" s="90">
        <x:v>0</x:v>
      </x:c>
      <x:c r="Z142" s="90">
        <x:v>0</x:v>
      </x:c>
    </x:row>
    <x:row r="143" spans="3:26" x14ac:dyDescent="0.3">
      <x:c r="E143" t="s">
        <x:v>81</x:v>
      </x:c>
      <x:c r="F143" s="90">
        <x:v>0</x:v>
      </x:c>
      <x:c r="G143" s="90">
        <x:v>0</x:v>
      </x:c>
      <x:c r="H143" s="90">
        <x:v>0</x:v>
      </x:c>
      <x:c r="I143" s="90">
        <x:v>0</x:v>
      </x:c>
      <x:c r="J143" s="90">
        <x:v>0</x:v>
      </x:c>
      <x:c r="K143" s="90">
        <x:v>0</x:v>
      </x:c>
      <x:c r="L143" s="90">
        <x:v>0</x:v>
      </x:c>
      <x:c r="M143" s="90">
        <x:v>0</x:v>
      </x:c>
      <x:c r="N143" s="90">
        <x:v>0</x:v>
      </x:c>
      <x:c r="O143" s="90">
        <x:v>0</x:v>
      </x:c>
      <x:c r="P143" s="90">
        <x:v>0</x:v>
      </x:c>
      <x:c r="Q143" s="90">
        <x:v>0</x:v>
      </x:c>
      <x:c r="R143" s="90">
        <x:v>0</x:v>
      </x:c>
      <x:c r="S143" s="90">
        <x:v>0</x:v>
      </x:c>
      <x:c r="T143" s="90">
        <x:v>0</x:v>
      </x:c>
      <x:c r="U143">
        <x:v>0</x:v>
      </x:c>
      <x:c r="V143">
        <x:v>0</x:v>
      </x:c>
      <x:c r="W143">
        <x:v>0</x:v>
      </x:c>
      <x:c r="X143">
        <x:v>0</x:v>
      </x:c>
      <x:c r="Y143">
        <x:v>0</x:v>
      </x:c>
      <x:c r="Z143" s="90">
        <x:v>0</x:v>
      </x:c>
    </x:row>
    <x:row r="144" spans="3:26" ht="12.75" customHeight="1" x14ac:dyDescent="0.3">
      <x:c r="D144" t="s">
        <x:v>87</x:v>
      </x:c>
      <x:c r="E144" s="89" t="s">
        <x:v>70</x:v>
      </x:c>
      <x:c r="F144" s="371">
        <x:v>0</x:v>
      </x:c>
      <x:c r="G144" s="90">
        <x:v>0</x:v>
      </x:c>
      <x:c r="H144" s="90">
        <x:v>0</x:v>
      </x:c>
      <x:c r="I144" s="90">
        <x:v>0</x:v>
      </x:c>
      <x:c r="J144" s="90">
        <x:v>0</x:v>
      </x:c>
      <x:c r="K144" s="90">
        <x:v>0</x:v>
      </x:c>
      <x:c r="L144" s="90">
        <x:v>0</x:v>
      </x:c>
      <x:c r="M144" s="90">
        <x:v>0</x:v>
      </x:c>
      <x:c r="N144" s="90">
        <x:v>0</x:v>
      </x:c>
      <x:c r="O144" s="90">
        <x:v>0</x:v>
      </x:c>
      <x:c r="P144" s="90">
        <x:v>0</x:v>
      </x:c>
      <x:c r="Q144" s="90">
        <x:v>0</x:v>
      </x:c>
      <x:c r="R144" s="90">
        <x:v>0</x:v>
      </x:c>
      <x:c r="S144" s="90">
        <x:v>0</x:v>
      </x:c>
      <x:c r="T144" s="90">
        <x:v>0</x:v>
      </x:c>
      <x:c r="U144" s="90">
        <x:v>0</x:v>
      </x:c>
      <x:c r="V144" s="90">
        <x:v>0</x:v>
      </x:c>
      <x:c r="W144" s="90">
        <x:v>0</x:v>
      </x:c>
      <x:c r="X144" s="90">
        <x:v>0</x:v>
      </x:c>
      <x:c r="Y144" s="90">
        <x:v>0</x:v>
      </x:c>
      <x:c r="Z144" s="90">
        <x:v>0</x:v>
      </x:c>
    </x:row>
    <x:row r="145" spans="2:26" s="94" customFormat="1" ht="12.75" customHeight="1" x14ac:dyDescent="0.3">
      <x:c r="C145" s="94" t="s">
        <x:v>119</x:v>
      </x:c>
      <x:c r="D145" s="94" t="s">
        <x:v>70</x:v>
      </x:c>
      <x:c r="E145" s="101"/>
      <x:c r="F145" s="93" t="n">
        <x:v>666142.54</x:v>
      </x:c>
      <x:c r="G145" s="93" t="n">
        <x:v>32467.9</x:v>
      </x:c>
      <x:c r="H145" s="93" t="n">
        <x:v>18320.34</x:v>
      </x:c>
      <x:c r="I145" s="93" t="n">
        <x:v>9708.74</x:v>
      </x:c>
      <x:c r="J145" s="93" t="n">
        <x:v>158800.41</x:v>
      </x:c>
      <x:c r="K145" s="93" t="n">
        <x:v>5058.27</x:v>
      </x:c>
      <x:c r="L145" s="93" t="n">
        <x:v>0</x:v>
      </x:c>
      <x:c r="M145" s="93" t="n">
        <x:v>44370.67</x:v>
      </x:c>
      <x:c r="N145" s="93" t="n">
        <x:v>56323.6</x:v>
      </x:c>
      <x:c r="O145" s="93" t="n">
        <x:v>269309.02</x:v>
      </x:c>
      <x:c r="P145" s="93" t="n">
        <x:v>63520.61</x:v>
      </x:c>
      <x:c r="Q145" s="93" t="n">
        <x:v>8252.96</x:v>
      </x:c>
      <x:c r="R145" s="93" t="n">
        <x:v>10.02</x:v>
      </x:c>
      <x:c r="S145" s="93" t="n">
        <x:v>0</x:v>
      </x:c>
      <x:c r="T145" s="93" t="n">
        <x:v>0</x:v>
      </x:c>
      <x:c r="U145" s="93">
        <x:v>0</x:v>
      </x:c>
      <x:c r="V145" s="93">
        <x:v>0</x:v>
      </x:c>
      <x:c r="W145" s="93">
        <x:v>0</x:v>
      </x:c>
      <x:c r="X145" s="94">
        <x:v>0</x:v>
      </x:c>
      <x:c r="Y145" s="94">
        <x:v>0</x:v>
      </x:c>
      <x:c r="Z145" s="94" t="n">
        <x:v>0</x:v>
      </x:c>
    </x:row>
    <x:row r="146" spans="2:26" s="378" customFormat="1" ht="12.75" customHeight="1" x14ac:dyDescent="0.3">
      <x:c r="B146" s="378" t="s">
        <x:v>122</x:v>
      </x:c>
      <x:c r="C146" s="378" t="s">
        <x:v>70</x:v>
      </x:c>
      <x:c r="E146" s="376"/>
      <x:c r="F146" s="710" t="n">
        <x:v>11754082.62</x:v>
      </x:c>
      <x:c r="G146" s="377" t="n">
        <x:v>651837.25</x:v>
      </x:c>
      <x:c r="H146" s="377" t="n">
        <x:v>367261.1</x:v>
      </x:c>
      <x:c r="I146" s="377" t="n">
        <x:v>196265.14</x:v>
      </x:c>
      <x:c r="J146" s="377" t="n">
        <x:v>2936066.51</x:v>
      </x:c>
      <x:c r="K146" s="377" t="n">
        <x:v>79272.71</x:v>
      </x:c>
      <x:c r="L146" s="377" t="n">
        <x:v>0</x:v>
      </x:c>
      <x:c r="M146" s="377" t="n">
        <x:v>695375.41</x:v>
      </x:c>
      <x:c r="N146" s="377" t="n">
        <x:v>925873.97</x:v>
      </x:c>
      <x:c r="O146" s="377" t="n">
        <x:v>4476434.58</x:v>
      </x:c>
      <x:c r="P146" s="377" t="n">
        <x:v>1295216.93</x:v>
      </x:c>
      <x:c r="Q146" s="377" t="n">
        <x:v>130580.61</x:v>
      </x:c>
      <x:c r="R146" s="377" t="n">
        <x:v>-101.63</x:v>
      </x:c>
      <x:c r="S146" s="377" t="n">
        <x:v>0.04</x:v>
      </x:c>
      <x:c r="T146" s="377" t="n">
        <x:v>0</x:v>
      </x:c>
      <x:c r="U146" s="377">
        <x:v>0</x:v>
      </x:c>
      <x:c r="V146" s="377">
        <x:v>0</x:v>
      </x:c>
      <x:c r="W146" s="377">
        <x:v>0</x:v>
      </x:c>
      <x:c r="X146" s="378">
        <x:v>0</x:v>
      </x:c>
      <x:c r="Y146" s="378">
        <x:v>0</x:v>
      </x:c>
      <x:c r="Z146" s="378" t="n">
        <x:v>0</x:v>
      </x:c>
    </x:row>
    <x:row r="147" spans="2:26" ht="12.75" customHeight="1" x14ac:dyDescent="0.3">
      <x:c r="E147" s="89" t="s">
        <x:v>72</x:v>
      </x:c>
      <x:c r="F147" s="371" t="n">
        <x:v>13661750351.16</x:v>
      </x:c>
      <x:c r="G147" s="90" t="n">
        <x:v>755832638.63</x:v>
      </x:c>
      <x:c r="H147" s="90" t="n">
        <x:v>419095291.18</x:v>
      </x:c>
      <x:c r="I147" s="90" t="n">
        <x:v>222514274.02</x:v>
      </x:c>
      <x:c r="J147" s="90" t="n">
        <x:v>3449879902.66</x:v>
      </x:c>
      <x:c r="K147" s="90" t="n">
        <x:v>123342297.85</x:v>
      </x:c>
      <x:c r="L147" s="90" t="n">
        <x:v>6720393.95</x:v>
      </x:c>
      <x:c r="M147" s="90" t="n">
        <x:v>1081480634.25</x:v>
      </x:c>
      <x:c r="N147" s="90" t="n">
        <x:v>1028957638.32</x:v>
      </x:c>
      <x:c r="O147" s="90" t="n">
        <x:v>4892762286.45</x:v>
      </x:c>
      <x:c r="P147" s="90" t="n">
        <x:v>1479803087.01</x:v>
      </x:c>
      <x:c r="Q147" s="90" t="n">
        <x:v>201381222.79</x:v>
      </x:c>
      <x:c r="R147" s="90" t="n">
        <x:v>-19315.95</x:v>
      </x:c>
      <x:c r="S147" s="90" t="n">
        <x:v>0</x:v>
      </x:c>
      <x:c r="T147" s="90" t="n">
        <x:v>0</x:v>
      </x:c>
      <x:c r="U147" s="90">
        <x:v>0</x:v>
      </x:c>
      <x:c r="V147" s="90">
        <x:v>0</x:v>
      </x:c>
      <x:c r="W147" s="90">
        <x:v>0</x:v>
      </x:c>
      <x:c r="X147">
        <x:v>0</x:v>
      </x:c>
      <x:c r="Y147">
        <x:v>0</x:v>
      </x:c>
      <x:c r="Z147" t="n">
        <x:v>0</x:v>
      </x:c>
    </x:row>
    <x:row r="148" spans="2:26" ht="12.75" customHeight="1" x14ac:dyDescent="0.3">
      <x:c r="E148" s="89" t="s">
        <x:v>81</x:v>
      </x:c>
      <x:c r="F148" s="90" t="n">
        <x:v>43503310.09</x:v>
      </x:c>
      <x:c r="G148" s="90" t="n">
        <x:v>5204775.18</x:v>
      </x:c>
      <x:c r="H148" s="90" t="n">
        <x:v>2452189.26</x:v>
      </x:c>
      <x:c r="I148" s="90" t="n">
        <x:v>1088195.39</x:v>
      </x:c>
      <x:c r="J148" s="90" t="n">
        <x:v>7935008.86</x:v>
      </x:c>
      <x:c r="K148" s="90" t="n">
        <x:v>278098.06</x:v>
      </x:c>
      <x:c r="L148" s="90" t="n">
        <x:v>1669.26</x:v>
      </x:c>
      <x:c r="M148" s="90" t="n">
        <x:v>2439581.44</x:v>
      </x:c>
      <x:c r="N148" s="90" t="n">
        <x:v>2815332.62</x:v>
      </x:c>
      <x:c r="O148" s="90" t="n">
        <x:v>10614690.38</x:v>
      </x:c>
      <x:c r="P148" s="90" t="n">
        <x:v>10213915.62</x:v>
      </x:c>
      <x:c r="Q148" s="90" t="n">
        <x:v>453845.12</x:v>
      </x:c>
      <x:c r="R148" s="90" t="n">
        <x:v>6057.83</x:v>
      </x:c>
      <x:c r="S148" s="90" t="n">
        <x:v>-48.93</x:v>
      </x:c>
      <x:c r="T148" s="90" t="n">
        <x:v>0.4</x:v>
      </x:c>
      <x:c r="U148" s="90">
        <x:v>0</x:v>
      </x:c>
      <x:c r="V148" s="90">
        <x:v>0</x:v>
      </x:c>
      <x:c r="W148" s="90">
        <x:v>0</x:v>
      </x:c>
      <x:c r="X148">
        <x:v>0</x:v>
      </x:c>
      <x:c r="Y148">
        <x:v>0</x:v>
      </x:c>
      <x:c r="Z148" t="n">
        <x:v>-0.4</x:v>
      </x:c>
    </x:row>
    <x:row r="149" spans="2:26" ht="12.75" customHeight="1" x14ac:dyDescent="0.3">
      <x:c r="D149" t="s">
        <x:v>156</x:v>
      </x:c>
      <x:c r="E149" s="89" t="s">
        <x:v>70</x:v>
      </x:c>
      <x:c r="F149" s="90" t="n">
        <x:v>13705253661.25</x:v>
      </x:c>
      <x:c r="G149" s="90" t="n">
        <x:v>761037413.81</x:v>
      </x:c>
      <x:c r="H149" s="90" t="n">
        <x:v>421547480.44</x:v>
      </x:c>
      <x:c r="I149" s="90" t="n">
        <x:v>223602469.41</x:v>
      </x:c>
      <x:c r="J149" s="90" t="n">
        <x:v>3457814911.52</x:v>
      </x:c>
      <x:c r="K149" s="90" t="n">
        <x:v>123620395.91</x:v>
      </x:c>
      <x:c r="L149" s="90" t="n">
        <x:v>6722063.21</x:v>
      </x:c>
      <x:c r="M149" s="90" t="n">
        <x:v>1083920215.69</x:v>
      </x:c>
      <x:c r="N149" s="90" t="n">
        <x:v>1031772970.94</x:v>
      </x:c>
      <x:c r="O149" s="90" t="n">
        <x:v>4903376976.83</x:v>
      </x:c>
      <x:c r="P149" s="90" t="n">
        <x:v>1490017002.63</x:v>
      </x:c>
      <x:c r="Q149" s="90" t="n">
        <x:v>201835067.91</x:v>
      </x:c>
      <x:c r="R149" s="90" t="n">
        <x:v>-13258.12</x:v>
      </x:c>
      <x:c r="S149" s="90" t="n">
        <x:v>-48.93</x:v>
      </x:c>
      <x:c r="T149" s="90" t="n">
        <x:v>0.4</x:v>
      </x:c>
      <x:c r="U149" s="90">
        <x:v>0</x:v>
      </x:c>
      <x:c r="V149" s="90">
        <x:v>0</x:v>
      </x:c>
      <x:c r="W149" s="90">
        <x:v>0</x:v>
      </x:c>
      <x:c r="X149">
        <x:v>0</x:v>
      </x:c>
      <x:c r="Y149">
        <x:v>0</x:v>
      </x:c>
      <x:c r="Z149" t="n">
        <x:v>-0.4</x:v>
      </x:c>
    </x:row>
    <x:row r="150" spans="2:26" s="656" customFormat="1" ht="12.75" customHeight="1" x14ac:dyDescent="0.3">
      <x:c r="C150" s="656" t="s">
        <x:v>155</x:v>
      </x:c>
      <x:c r="D150" s="657" t="s">
        <x:v>70</x:v>
      </x:c>
      <x:c r="E150" s="657"/>
      <x:c r="F150" s="658" t="n">
        <x:v>13705253661.25</x:v>
      </x:c>
      <x:c r="G150" s="658" t="n">
        <x:v>761037413.81</x:v>
      </x:c>
      <x:c r="H150" s="658" t="n">
        <x:v>421547480.44</x:v>
      </x:c>
      <x:c r="I150" s="658" t="n">
        <x:v>223602469.41</x:v>
      </x:c>
      <x:c r="J150" s="658" t="n">
        <x:v>3457814911.52</x:v>
      </x:c>
      <x:c r="K150" s="658" t="n">
        <x:v>123620395.91</x:v>
      </x:c>
      <x:c r="L150" s="658" t="n">
        <x:v>6722063.21</x:v>
      </x:c>
      <x:c r="M150" s="658" t="n">
        <x:v>1083920215.69</x:v>
      </x:c>
      <x:c r="N150" s="658" t="n">
        <x:v>1031772970.94</x:v>
      </x:c>
      <x:c r="O150" s="658" t="n">
        <x:v>4903376976.83</x:v>
      </x:c>
      <x:c r="P150" s="658" t="n">
        <x:v>1490017002.63</x:v>
      </x:c>
      <x:c r="Q150" s="658" t="n">
        <x:v>201835067.91</x:v>
      </x:c>
      <x:c r="R150" s="658" t="n">
        <x:v>-13258.12</x:v>
      </x:c>
      <x:c r="S150" s="658" t="n">
        <x:v>-48.93</x:v>
      </x:c>
      <x:c r="T150" s="658" t="n">
        <x:v>0.4</x:v>
      </x:c>
      <x:c r="U150" s="658">
        <x:v>0</x:v>
      </x:c>
      <x:c r="V150" s="658">
        <x:v>0</x:v>
      </x:c>
      <x:c r="W150" s="658">
        <x:v>0</x:v>
      </x:c>
      <x:c r="X150" s="656">
        <x:v>0</x:v>
      </x:c>
      <x:c r="Y150" s="656">
        <x:v>0</x:v>
      </x:c>
      <x:c r="Z150" s="656" t="n">
        <x:v>-0.4</x:v>
      </x:c>
    </x:row>
    <x:row r="151" spans="2:26" ht="12.75" customHeight="1" x14ac:dyDescent="0.3">
      <x:c r="D151" s="89"/>
      <x:c r="E151" s="89" t="s">
        <x:v>72</x:v>
      </x:c>
      <x:c r="F151" s="371">
        <x:v>0</x:v>
      </x:c>
      <x:c r="G151" s="90">
        <x:v>0</x:v>
      </x:c>
      <x:c r="H151" s="90">
        <x:v>0</x:v>
      </x:c>
      <x:c r="I151" s="90">
        <x:v>0</x:v>
      </x:c>
      <x:c r="J151" s="90">
        <x:v>0</x:v>
      </x:c>
      <x:c r="K151" s="90">
        <x:v>0</x:v>
      </x:c>
      <x:c r="L151" s="90">
        <x:v>0</x:v>
      </x:c>
      <x:c r="M151" s="90">
        <x:v>0</x:v>
      </x:c>
      <x:c r="N151" s="90">
        <x:v>0</x:v>
      </x:c>
      <x:c r="O151" s="90">
        <x:v>0</x:v>
      </x:c>
      <x:c r="P151" s="90">
        <x:v>0</x:v>
      </x:c>
      <x:c r="Q151" s="90">
        <x:v>0</x:v>
      </x:c>
      <x:c r="R151" s="90">
        <x:v>0</x:v>
      </x:c>
      <x:c r="S151" s="90">
        <x:v>0</x:v>
      </x:c>
      <x:c r="T151" s="90">
        <x:v>0</x:v>
      </x:c>
      <x:c r="U151" s="90">
        <x:v>0</x:v>
      </x:c>
      <x:c r="V151" s="90">
        <x:v>0</x:v>
      </x:c>
      <x:c r="W151" s="90">
        <x:v>0</x:v>
      </x:c>
      <x:c r="X151">
        <x:v>0</x:v>
      </x:c>
      <x:c r="Y151">
        <x:v>0</x:v>
      </x:c>
      <x:c r="Z151">
        <x:v>0</x:v>
      </x:c>
    </x:row>
    <x:row r="152" spans="2:26" ht="12.75" customHeight="1" x14ac:dyDescent="0.3">
      <x:c r="D152" s="89"/>
      <x:c r="E152" s="89" t="s">
        <x:v>81</x:v>
      </x:c>
      <x:c r="F152" s="371">
        <x:v>0</x:v>
      </x:c>
      <x:c r="G152" s="90">
        <x:v>0</x:v>
      </x:c>
      <x:c r="H152" s="90">
        <x:v>0</x:v>
      </x:c>
      <x:c r="I152" s="90">
        <x:v>0</x:v>
      </x:c>
      <x:c r="J152" s="90">
        <x:v>0</x:v>
      </x:c>
      <x:c r="K152" s="90">
        <x:v>0</x:v>
      </x:c>
      <x:c r="L152" s="90">
        <x:v>0</x:v>
      </x:c>
      <x:c r="M152" s="90">
        <x:v>0</x:v>
      </x:c>
      <x:c r="N152" s="90">
        <x:v>0</x:v>
      </x:c>
      <x:c r="O152" s="90">
        <x:v>0</x:v>
      </x:c>
      <x:c r="P152" s="90">
        <x:v>0</x:v>
      </x:c>
      <x:c r="Q152" s="90">
        <x:v>0</x:v>
      </x:c>
      <x:c r="R152" s="90">
        <x:v>0</x:v>
      </x:c>
      <x:c r="S152" s="90">
        <x:v>0</x:v>
      </x:c>
      <x:c r="T152" s="90">
        <x:v>0</x:v>
      </x:c>
      <x:c r="U152" s="90">
        <x:v>0</x:v>
      </x:c>
      <x:c r="V152" s="90">
        <x:v>0</x:v>
      </x:c>
      <x:c r="W152" s="90">
        <x:v>0</x:v>
      </x:c>
      <x:c r="X152">
        <x:v>0</x:v>
      </x:c>
      <x:c r="Y152">
        <x:v>0</x:v>
      </x:c>
      <x:c r="Z152">
        <x:v>0</x:v>
      </x:c>
    </x:row>
    <x:row r="153" spans="2:26" ht="12.75" customHeight="1" x14ac:dyDescent="0.3">
      <x:c r="D153" s="89" t="s">
        <x:v>115</x:v>
      </x:c>
      <x:c r="E153" s="89" t="s">
        <x:v>70</x:v>
      </x:c>
      <x:c r="F153" s="371">
        <x:v>0</x:v>
      </x:c>
      <x:c r="G153" s="90">
        <x:v>0</x:v>
      </x:c>
      <x:c r="H153" s="90">
        <x:v>0</x:v>
      </x:c>
      <x:c r="I153" s="90">
        <x:v>0</x:v>
      </x:c>
      <x:c r="J153" s="90">
        <x:v>0</x:v>
      </x:c>
      <x:c r="K153" s="90">
        <x:v>0</x:v>
      </x:c>
      <x:c r="L153" s="90">
        <x:v>0</x:v>
      </x:c>
      <x:c r="M153" s="90">
        <x:v>0</x:v>
      </x:c>
      <x:c r="N153" s="90">
        <x:v>0</x:v>
      </x:c>
      <x:c r="O153" s="90">
        <x:v>0</x:v>
      </x:c>
      <x:c r="P153" s="90">
        <x:v>0</x:v>
      </x:c>
      <x:c r="Q153" s="90">
        <x:v>0</x:v>
      </x:c>
      <x:c r="R153" s="90">
        <x:v>0</x:v>
      </x:c>
      <x:c r="S153" s="90">
        <x:v>0</x:v>
      </x:c>
      <x:c r="T153" s="90">
        <x:v>0</x:v>
      </x:c>
      <x:c r="U153" s="90">
        <x:v>0</x:v>
      </x:c>
      <x:c r="V153" s="90">
        <x:v>0</x:v>
      </x:c>
      <x:c r="W153" s="90">
        <x:v>0</x:v>
      </x:c>
      <x:c r="X153">
        <x:v>0</x:v>
      </x:c>
      <x:c r="Y153">
        <x:v>0</x:v>
      </x:c>
      <x:c r="Z153">
        <x:v>0</x:v>
      </x:c>
    </x:row>
    <x:row r="154" spans="2:26" ht="12.75" customHeight="1" x14ac:dyDescent="0.3">
      <x:c r="D154" s="89"/>
      <x:c r="E154" s="89" t="s">
        <x:v>72</x:v>
      </x:c>
      <x:c r="F154" s="371">
        <x:v>0</x:v>
      </x:c>
      <x:c r="G154" s="90">
        <x:v>0</x:v>
      </x:c>
      <x:c r="H154" s="90">
        <x:v>0</x:v>
      </x:c>
      <x:c r="I154" s="90">
        <x:v>0</x:v>
      </x:c>
      <x:c r="J154" s="90">
        <x:v>0</x:v>
      </x:c>
      <x:c r="K154" s="90">
        <x:v>0</x:v>
      </x:c>
      <x:c r="L154" s="90">
        <x:v>0</x:v>
      </x:c>
      <x:c r="M154" s="90">
        <x:v>0</x:v>
      </x:c>
      <x:c r="N154" s="90">
        <x:v>0</x:v>
      </x:c>
      <x:c r="O154" s="90">
        <x:v>0</x:v>
      </x:c>
      <x:c r="P154" s="90">
        <x:v>0</x:v>
      </x:c>
      <x:c r="Q154" s="90">
        <x:v>0</x:v>
      </x:c>
      <x:c r="R154" s="90">
        <x:v>0</x:v>
      </x:c>
      <x:c r="S154" s="90">
        <x:v>0</x:v>
      </x:c>
      <x:c r="T154" s="90">
        <x:v>0</x:v>
      </x:c>
      <x:c r="U154" s="90">
        <x:v>0</x:v>
      </x:c>
      <x:c r="V154" s="90">
        <x:v>0</x:v>
      </x:c>
      <x:c r="W154" s="90">
        <x:v>0</x:v>
      </x:c>
      <x:c r="X154">
        <x:v>0</x:v>
      </x:c>
      <x:c r="Y154">
        <x:v>0</x:v>
      </x:c>
      <x:c r="Z154">
        <x:v>0</x:v>
      </x:c>
    </x:row>
    <x:row r="155" spans="2:26" ht="12.75" customHeight="1" x14ac:dyDescent="0.3">
      <x:c r="D155" s="89"/>
      <x:c r="E155" s="89" t="s">
        <x:v>81</x:v>
      </x:c>
      <x:c r="F155" s="90">
        <x:v>0</x:v>
      </x:c>
      <x:c r="G155" s="90">
        <x:v>0</x:v>
      </x:c>
      <x:c r="H155" s="90">
        <x:v>0</x:v>
      </x:c>
      <x:c r="I155" s="90">
        <x:v>0</x:v>
      </x:c>
      <x:c r="J155" s="90">
        <x:v>0</x:v>
      </x:c>
      <x:c r="K155" s="90">
        <x:v>0</x:v>
      </x:c>
      <x:c r="L155" s="90">
        <x:v>0</x:v>
      </x:c>
      <x:c r="M155" s="90">
        <x:v>0</x:v>
      </x:c>
      <x:c r="N155" s="90">
        <x:v>0</x:v>
      </x:c>
      <x:c r="O155" s="90">
        <x:v>0</x:v>
      </x:c>
      <x:c r="P155" s="90">
        <x:v>0</x:v>
      </x:c>
      <x:c r="Q155" s="90">
        <x:v>0</x:v>
      </x:c>
      <x:c r="R155" s="90">
        <x:v>0</x:v>
      </x:c>
      <x:c r="S155" s="90">
        <x:v>0</x:v>
      </x:c>
      <x:c r="T155" s="90">
        <x:v>0</x:v>
      </x:c>
      <x:c r="U155" s="90">
        <x:v>0</x:v>
      </x:c>
      <x:c r="V155" s="90">
        <x:v>0</x:v>
      </x:c>
      <x:c r="W155" s="90">
        <x:v>0</x:v>
      </x:c>
      <x:c r="X155">
        <x:v>0</x:v>
      </x:c>
      <x:c r="Y155">
        <x:v>0</x:v>
      </x:c>
      <x:c r="Z155">
        <x:v>0</x:v>
      </x:c>
    </x:row>
    <x:row r="156" spans="2:26" ht="12.75" customHeight="1" x14ac:dyDescent="0.3">
      <x:c r="D156" t="s">
        <x:v>116</x:v>
      </x:c>
      <x:c r="E156" s="89" t="s">
        <x:v>70</x:v>
      </x:c>
      <x:c r="F156" s="90">
        <x:v>0</x:v>
      </x:c>
      <x:c r="G156" s="90">
        <x:v>0</x:v>
      </x:c>
      <x:c r="H156" s="90">
        <x:v>0</x:v>
      </x:c>
      <x:c r="I156" s="90">
        <x:v>0</x:v>
      </x:c>
      <x:c r="J156" s="90">
        <x:v>0</x:v>
      </x:c>
      <x:c r="K156" s="90">
        <x:v>0</x:v>
      </x:c>
      <x:c r="L156" s="90">
        <x:v>0</x:v>
      </x:c>
      <x:c r="M156" s="90">
        <x:v>0</x:v>
      </x:c>
      <x:c r="N156" s="90">
        <x:v>0</x:v>
      </x:c>
      <x:c r="O156" s="90">
        <x:v>0</x:v>
      </x:c>
      <x:c r="P156" s="90">
        <x:v>0</x:v>
      </x:c>
      <x:c r="Q156" s="90">
        <x:v>0</x:v>
      </x:c>
      <x:c r="R156" s="90">
        <x:v>0</x:v>
      </x:c>
      <x:c r="S156" s="90">
        <x:v>0</x:v>
      </x:c>
      <x:c r="T156" s="90">
        <x:v>0</x:v>
      </x:c>
      <x:c r="U156" s="90">
        <x:v>0</x:v>
      </x:c>
      <x:c r="V156" s="90">
        <x:v>0</x:v>
      </x:c>
      <x:c r="W156" s="90">
        <x:v>0</x:v>
      </x:c>
      <x:c r="X156">
        <x:v>0</x:v>
      </x:c>
      <x:c r="Y156">
        <x:v>0</x:v>
      </x:c>
      <x:c r="Z156">
        <x:v>0</x:v>
      </x:c>
    </x:row>
    <x:row r="157" spans="2:26" ht="12.75" customHeight="1" x14ac:dyDescent="0.3">
      <x:c r="D157" s="89"/>
      <x:c r="E157" s="89" t="s">
        <x:v>72</x:v>
      </x:c>
      <x:c r="F157" s="90">
        <x:v>0</x:v>
      </x:c>
      <x:c r="G157" s="90">
        <x:v>0</x:v>
      </x:c>
      <x:c r="H157" s="90">
        <x:v>0</x:v>
      </x:c>
      <x:c r="I157" s="90">
        <x:v>0</x:v>
      </x:c>
      <x:c r="J157" s="90">
        <x:v>0</x:v>
      </x:c>
      <x:c r="K157" s="90">
        <x:v>0</x:v>
      </x:c>
      <x:c r="L157" s="90">
        <x:v>0</x:v>
      </x:c>
      <x:c r="M157" s="90">
        <x:v>0</x:v>
      </x:c>
      <x:c r="N157" s="90">
        <x:v>0</x:v>
      </x:c>
      <x:c r="O157" s="90">
        <x:v>0</x:v>
      </x:c>
      <x:c r="P157" s="90">
        <x:v>0</x:v>
      </x:c>
      <x:c r="Q157" s="90">
        <x:v>0</x:v>
      </x:c>
      <x:c r="R157" s="90">
        <x:v>0</x:v>
      </x:c>
      <x:c r="S157" s="90">
        <x:v>0</x:v>
      </x:c>
      <x:c r="T157" s="90">
        <x:v>0</x:v>
      </x:c>
      <x:c r="U157" s="90">
        <x:v>0</x:v>
      </x:c>
      <x:c r="V157" s="90">
        <x:v>0</x:v>
      </x:c>
      <x:c r="W157" s="90">
        <x:v>0</x:v>
      </x:c>
      <x:c r="X157">
        <x:v>0</x:v>
      </x:c>
      <x:c r="Y157">
        <x:v>0</x:v>
      </x:c>
      <x:c r="Z157">
        <x:v>0</x:v>
      </x:c>
    </x:row>
    <x:row r="158" spans="2:26" ht="12.75" customHeight="1" x14ac:dyDescent="0.3">
      <x:c r="E158" s="89" t="s">
        <x:v>81</x:v>
      </x:c>
      <x:c r="F158" s="90">
        <x:v>0</x:v>
      </x:c>
      <x:c r="G158" s="90">
        <x:v>0</x:v>
      </x:c>
      <x:c r="H158" s="90">
        <x:v>0</x:v>
      </x:c>
      <x:c r="I158" s="90">
        <x:v>0</x:v>
      </x:c>
      <x:c r="J158" s="90">
        <x:v>0</x:v>
      </x:c>
      <x:c r="K158" s="90">
        <x:v>0</x:v>
      </x:c>
      <x:c r="L158" s="90">
        <x:v>0</x:v>
      </x:c>
      <x:c r="M158" s="90">
        <x:v>0</x:v>
      </x:c>
      <x:c r="N158" s="90">
        <x:v>0</x:v>
      </x:c>
      <x:c r="O158" s="90">
        <x:v>0</x:v>
      </x:c>
      <x:c r="P158" s="90">
        <x:v>0</x:v>
      </x:c>
      <x:c r="Q158" s="90">
        <x:v>0</x:v>
      </x:c>
      <x:c r="R158" s="90">
        <x:v>0</x:v>
      </x:c>
      <x:c r="S158" s="90">
        <x:v>0</x:v>
      </x:c>
      <x:c r="T158" s="90">
        <x:v>0</x:v>
      </x:c>
      <x:c r="U158" s="90">
        <x:v>0</x:v>
      </x:c>
      <x:c r="V158" s="90">
        <x:v>0</x:v>
      </x:c>
      <x:c r="W158" s="90">
        <x:v>0</x:v>
      </x:c>
      <x:c r="X158">
        <x:v>0</x:v>
      </x:c>
      <x:c r="Y158">
        <x:v>0</x:v>
      </x:c>
      <x:c r="Z158">
        <x:v>0</x:v>
      </x:c>
    </x:row>
    <x:row r="159" spans="2:26" ht="12.75" customHeight="1" x14ac:dyDescent="0.3">
      <x:c r="D159" t="s">
        <x:v>118</x:v>
      </x:c>
      <x:c r="E159" s="89" t="s">
        <x:v>70</x:v>
      </x:c>
      <x:c r="F159" s="90">
        <x:v>0</x:v>
      </x:c>
      <x:c r="G159" s="90">
        <x:v>0</x:v>
      </x:c>
      <x:c r="H159" s="90">
        <x:v>0</x:v>
      </x:c>
      <x:c r="I159" s="90">
        <x:v>0</x:v>
      </x:c>
      <x:c r="J159" s="90">
        <x:v>0</x:v>
      </x:c>
      <x:c r="K159" s="90">
        <x:v>0</x:v>
      </x:c>
      <x:c r="L159" s="90">
        <x:v>0</x:v>
      </x:c>
      <x:c r="M159" s="90">
        <x:v>0</x:v>
      </x:c>
      <x:c r="N159" s="90">
        <x:v>0</x:v>
      </x:c>
      <x:c r="O159" s="90">
        <x:v>0</x:v>
      </x:c>
      <x:c r="P159" s="90">
        <x:v>0</x:v>
      </x:c>
      <x:c r="Q159" s="90">
        <x:v>0</x:v>
      </x:c>
      <x:c r="R159" s="90">
        <x:v>0</x:v>
      </x:c>
      <x:c r="S159" s="90">
        <x:v>0</x:v>
      </x:c>
      <x:c r="T159" s="90">
        <x:v>0</x:v>
      </x:c>
      <x:c r="U159" s="90">
        <x:v>0</x:v>
      </x:c>
      <x:c r="V159" s="90">
        <x:v>0</x:v>
      </x:c>
      <x:c r="W159" s="90">
        <x:v>0</x:v>
      </x:c>
      <x:c r="X159">
        <x:v>0</x:v>
      </x:c>
      <x:c r="Y159">
        <x:v>0</x:v>
      </x:c>
      <x:c r="Z159">
        <x:v>0</x:v>
      </x:c>
    </x:row>
    <x:row r="160" spans="2:26" s="224" customFormat="1" ht="12.75" customHeight="1" x14ac:dyDescent="0.3">
      <x:c r="C160" s="223" t="s">
        <x:v>120</x:v>
      </x:c>
      <x:c r="D160" s="223" t="s">
        <x:v>70</x:v>
      </x:c>
      <x:c r="F160" s="225">
        <x:v>0</x:v>
      </x:c>
      <x:c r="G160" s="225">
        <x:v>0</x:v>
      </x:c>
      <x:c r="H160" s="225">
        <x:v>0</x:v>
      </x:c>
      <x:c r="I160" s="225">
        <x:v>0</x:v>
      </x:c>
      <x:c r="J160" s="225">
        <x:v>0</x:v>
      </x:c>
      <x:c r="K160" s="225">
        <x:v>0</x:v>
      </x:c>
      <x:c r="L160" s="225">
        <x:v>0</x:v>
      </x:c>
      <x:c r="M160" s="225">
        <x:v>0</x:v>
      </x:c>
      <x:c r="N160" s="225">
        <x:v>0</x:v>
      </x:c>
      <x:c r="O160" s="225">
        <x:v>0</x:v>
      </x:c>
      <x:c r="P160" s="225">
        <x:v>0</x:v>
      </x:c>
      <x:c r="Q160" s="225">
        <x:v>0</x:v>
      </x:c>
      <x:c r="R160" s="225">
        <x:v>0</x:v>
      </x:c>
      <x:c r="S160" s="225">
        <x:v>0</x:v>
      </x:c>
      <x:c r="T160" s="225">
        <x:v>0</x:v>
      </x:c>
      <x:c r="U160" s="225">
        <x:v>0</x:v>
      </x:c>
      <x:c r="V160" s="225">
        <x:v>0</x:v>
      </x:c>
      <x:c r="W160" s="225">
        <x:v>0</x:v>
      </x:c>
      <x:c r="X160" s="224">
        <x:v>0</x:v>
      </x:c>
      <x:c r="Y160" s="224">
        <x:v>0</x:v>
      </x:c>
      <x:c r="Z160" s="224">
        <x:v>0</x:v>
      </x:c>
    </x:row>
    <x:row r="161" spans="1:26" ht="12.75" customHeight="1" x14ac:dyDescent="0.3">
      <x:c r="C161" s="89"/>
      <x:c r="D161" s="89"/>
      <x:c r="E161" t="s">
        <x:v>72</x:v>
      </x:c>
      <x:c r="F161" s="90" t="n">
        <x:v>181427435.33</x:v>
      </x:c>
      <x:c r="G161" s="90" t="n">
        <x:v>10584510.26</x:v>
      </x:c>
      <x:c r="H161" s="90" t="n">
        <x:v>5916459.91</x:v>
      </x:c>
      <x:c r="I161" s="90" t="n">
        <x:v>3152733.94</x:v>
      </x:c>
      <x:c r="J161" s="90" t="n">
        <x:v>46302519.36</x:v>
      </x:c>
      <x:c r="K161" s="90" t="n">
        <x:v>1141535.98</x:v>
      </x:c>
      <x:c r="L161" s="90" t="n">
        <x:v>0</x:v>
      </x:c>
      <x:c r="M161" s="90" t="n">
        <x:v>10044923.3</x:v>
      </x:c>
      <x:c r="N161" s="90" t="n">
        <x:v>14090686.25</x:v>
      </x:c>
      <x:c r="O161" s="90" t="n">
        <x:v>67406988.81</x:v>
      </x:c>
      <x:c r="P161" s="90" t="n">
        <x:v>20914641.48</x:v>
      </x:c>
      <x:c r="Q161" s="90" t="n">
        <x:v>1872781.11</x:v>
      </x:c>
      <x:c r="R161" s="90" t="n">
        <x:v>-345.07</x:v>
      </x:c>
      <x:c r="S161" s="90" t="n">
        <x:v>0</x:v>
      </x:c>
      <x:c r="T161" s="90" t="n">
        <x:v>0</x:v>
      </x:c>
      <x:c r="U161" s="90">
        <x:v>0</x:v>
      </x:c>
      <x:c r="V161" s="90">
        <x:v>0</x:v>
      </x:c>
      <x:c r="W161" s="90">
        <x:v>0</x:v>
      </x:c>
      <x:c r="X161">
        <x:v>0</x:v>
      </x:c>
      <x:c r="Y161">
        <x:v>0</x:v>
      </x:c>
      <x:c r="Z161" t="n">
        <x:v>0</x:v>
      </x:c>
    </x:row>
    <x:row r="162" spans="1:26" ht="12.75" customHeight="1" x14ac:dyDescent="0.3">
      <x:c r="C162" s="89"/>
      <x:c r="D162" s="89"/>
      <x:c r="E162" t="s">
        <x:v>81</x:v>
      </x:c>
      <x:c r="F162" s="90" t="n">
        <x:v>1706030.45</x:v>
      </x:c>
      <x:c r="G162" s="90" t="n">
        <x:v>137098.36</x:v>
      </x:c>
      <x:c r="H162" s="90" t="n">
        <x:v>75640.07</x:v>
      </x:c>
      <x:c r="I162" s="90" t="n">
        <x:v>40699.37</x:v>
      </x:c>
      <x:c r="J162" s="90" t="n">
        <x:v>376089.2</x:v>
      </x:c>
      <x:c r="K162" s="90" t="n">
        <x:v>9777.29</x:v>
      </x:c>
      <x:c r="L162" s="90" t="n">
        <x:v>0</x:v>
      </x:c>
      <x:c r="M162" s="90" t="n">
        <x:v>85995.13</x:v>
      </x:c>
      <x:c r="N162" s="90" t="n">
        <x:v>119953.19</x:v>
      </x:c>
      <x:c r="O162" s="90" t="n">
        <x:v>571427.47</x:v>
      </x:c>
      <x:c r="P162" s="90" t="n">
        <x:v>273296.95</x:v>
      </x:c>
      <x:c r="Q162" s="90" t="n">
        <x:v>16055.78</x:v>
      </x:c>
      <x:c r="R162" s="90" t="n">
        <x:v>-2.36</x:v>
      </x:c>
      <x:c r="S162" s="90" t="n">
        <x:v>0</x:v>
      </x:c>
      <x:c r="T162" s="90" t="n">
        <x:v>0</x:v>
      </x:c>
      <x:c r="U162" s="90">
        <x:v>0</x:v>
      </x:c>
      <x:c r="V162" s="90">
        <x:v>0</x:v>
      </x:c>
      <x:c r="W162" s="90">
        <x:v>0</x:v>
      </x:c>
      <x:c r="X162">
        <x:v>0</x:v>
      </x:c>
      <x:c r="Y162">
        <x:v>0</x:v>
      </x:c>
      <x:c r="Z162" t="n">
        <x:v>0</x:v>
      </x:c>
    </x:row>
    <x:row r="163" spans="1:26" ht="12.75" customHeight="1" x14ac:dyDescent="0.3">
      <x:c r="D163" t="s">
        <x:v>82</x:v>
      </x:c>
      <x:c r="E163" s="89" t="s">
        <x:v>70</x:v>
      </x:c>
      <x:c r="F163" s="90" t="n">
        <x:v>183133465.78</x:v>
      </x:c>
      <x:c r="G163" s="90" t="n">
        <x:v>10721608.62</x:v>
      </x:c>
      <x:c r="H163" s="90" t="n">
        <x:v>5992099.98</x:v>
      </x:c>
      <x:c r="I163" s="90" t="n">
        <x:v>3193433.31</x:v>
      </x:c>
      <x:c r="J163" s="90" t="n">
        <x:v>46678608.56</x:v>
      </x:c>
      <x:c r="K163" s="90" t="n">
        <x:v>1151313.27</x:v>
      </x:c>
      <x:c r="L163" s="90" t="n">
        <x:v>0</x:v>
      </x:c>
      <x:c r="M163" s="90" t="n">
        <x:v>10130918.43</x:v>
      </x:c>
      <x:c r="N163" s="90" t="n">
        <x:v>14210639.44</x:v>
      </x:c>
      <x:c r="O163" s="90" t="n">
        <x:v>67978416.28</x:v>
      </x:c>
      <x:c r="P163" s="90" t="n">
        <x:v>21187938.43</x:v>
      </x:c>
      <x:c r="Q163" s="90" t="n">
        <x:v>1888836.89</x:v>
      </x:c>
      <x:c r="R163" s="90" t="n">
        <x:v>-347.43</x:v>
      </x:c>
      <x:c r="S163" s="90" t="n">
        <x:v>0</x:v>
      </x:c>
      <x:c r="T163" s="90" t="n">
        <x:v>0</x:v>
      </x:c>
      <x:c r="U163" s="90">
        <x:v>0</x:v>
      </x:c>
      <x:c r="V163" s="90">
        <x:v>0</x:v>
      </x:c>
      <x:c r="W163" s="90">
        <x:v>0</x:v>
      </x:c>
      <x:c r="X163">
        <x:v>0</x:v>
      </x:c>
      <x:c r="Y163">
        <x:v>0</x:v>
      </x:c>
      <x:c r="Z163" t="n">
        <x:v>0</x:v>
      </x:c>
    </x:row>
    <x:row r="164" spans="1:26" ht="12.75" customHeight="1" x14ac:dyDescent="0.3">
      <x:c r="E164" s="89" t="s">
        <x:v>72</x:v>
      </x:c>
      <x:c r="F164" s="90" t="n">
        <x:v>142761958.62</x:v>
      </x:c>
      <x:c r="G164" s="90" t="n">
        <x:v>12211948.94</x:v>
      </x:c>
      <x:c r="H164" s="90" t="n">
        <x:v>6104267.84</x:v>
      </x:c>
      <x:c r="I164" s="90" t="n">
        <x:v>3105854.09</x:v>
      </x:c>
      <x:c r="J164" s="90" t="n">
        <x:v>29450189.6</x:v>
      </x:c>
      <x:c r="K164" s="90" t="n">
        <x:v>882623.55</x:v>
      </x:c>
      <x:c r="L164" s="90" t="n">
        <x:v>153000</x:v>
      </x:c>
      <x:c r="M164" s="90" t="n">
        <x:v>8402166.12</x:v>
      </x:c>
      <x:c r="N164" s="90" t="n">
        <x:v>10201837.97</x:v>
      </x:c>
      <x:c r="O164" s="90" t="n">
        <x:v>46509870.38</x:v>
      </x:c>
      <x:c r="P164" s="90" t="n">
        <x:v>24294699.3</x:v>
      </x:c>
      <x:c r="Q164" s="90" t="n">
        <x:v>1445692.59</x:v>
      </x:c>
      <x:c r="R164" s="90" t="n">
        <x:v>-191.76</x:v>
      </x:c>
      <x:c r="S164" s="90" t="n">
        <x:v>0</x:v>
      </x:c>
      <x:c r="T164" s="90" t="n">
        <x:v>0</x:v>
      </x:c>
      <x:c r="U164" s="90">
        <x:v>0</x:v>
      </x:c>
      <x:c r="V164" s="90">
        <x:v>0</x:v>
      </x:c>
      <x:c r="W164" s="90">
        <x:v>0</x:v>
      </x:c>
      <x:c r="X164">
        <x:v>0</x:v>
      </x:c>
      <x:c r="Y164">
        <x:v>0</x:v>
      </x:c>
      <x:c r="Z164" t="n">
        <x:v>0</x:v>
      </x:c>
    </x:row>
    <x:row r="165" spans="1:26" ht="12.75" customHeight="1" x14ac:dyDescent="0.3">
      <x:c r="D165" s="89"/>
      <x:c r="E165" s="89" t="s">
        <x:v>81</x:v>
      </x:c>
      <x:c r="F165" s="90" t="n">
        <x:v>10391426.36</x:v>
      </x:c>
      <x:c r="G165" s="90" t="n">
        <x:v>1454368.35</x:v>
      </x:c>
      <x:c r="H165" s="90" t="n">
        <x:v>688820.37</x:v>
      </x:c>
      <x:c r="I165" s="90" t="n">
        <x:v>324516.98</x:v>
      </x:c>
      <x:c r="J165" s="90" t="n">
        <x:v>1671330.74</x:v>
      </x:c>
      <x:c r="K165" s="90" t="n">
        <x:v>52566.14</x:v>
      </x:c>
      <x:c r="L165" s="90" t="n">
        <x:v>3749.78</x:v>
      </x:c>
      <x:c r="M165" s="90" t="n">
        <x:v>453600.98</x:v>
      </x:c>
      <x:c r="N165" s="90" t="n">
        <x:v>558588.54</x:v>
      </x:c>
      <x:c r="O165" s="90" t="n">
        <x:v>2214574.42</x:v>
      </x:c>
      <x:c r="P165" s="90" t="n">
        <x:v>2883484.82</x:v>
      </x:c>
      <x:c r="Q165" s="90" t="n">
        <x:v>85817.21</x:v>
      </x:c>
      <x:c r="R165" s="90" t="n">
        <x:v>7.31</x:v>
      </x:c>
      <x:c r="S165" s="90" t="n">
        <x:v>0.93</x:v>
      </x:c>
      <x:c r="T165" s="90" t="n">
        <x:v>0</x:v>
      </x:c>
      <x:c r="U165" s="90">
        <x:v>0</x:v>
      </x:c>
      <x:c r="V165" s="90">
        <x:v>0</x:v>
      </x:c>
      <x:c r="W165" s="90">
        <x:v>0</x:v>
      </x:c>
      <x:c r="X165">
        <x:v>0</x:v>
      </x:c>
      <x:c r="Y165">
        <x:v>0</x:v>
      </x:c>
      <x:c r="Z165" t="n">
        <x:v>-0.21</x:v>
      </x:c>
    </x:row>
    <x:row r="166" spans="1:26" ht="12.75" customHeight="1" x14ac:dyDescent="0.3">
      <x:c r="D166" t="s">
        <x:v>86</x:v>
      </x:c>
      <x:c r="E166" s="89" t="s">
        <x:v>70</x:v>
      </x:c>
      <x:c r="F166" s="90" t="n">
        <x:v>153153384.98</x:v>
      </x:c>
      <x:c r="G166" s="90" t="n">
        <x:v>13666317.29</x:v>
      </x:c>
      <x:c r="H166" s="90" t="n">
        <x:v>6793088.21</x:v>
      </x:c>
      <x:c r="I166" s="90" t="n">
        <x:v>3430371.07</x:v>
      </x:c>
      <x:c r="J166" s="90" t="n">
        <x:v>31121520.34</x:v>
      </x:c>
      <x:c r="K166" s="90" t="n">
        <x:v>935189.69</x:v>
      </x:c>
      <x:c r="L166" s="90" t="n">
        <x:v>156749.78</x:v>
      </x:c>
      <x:c r="M166" s="90" t="n">
        <x:v>8855767.1</x:v>
      </x:c>
      <x:c r="N166" s="90" t="n">
        <x:v>10760426.51</x:v>
      </x:c>
      <x:c r="O166" s="90" t="n">
        <x:v>48724444.8</x:v>
      </x:c>
      <x:c r="P166" s="90" t="n">
        <x:v>27178184.12</x:v>
      </x:c>
      <x:c r="Q166" s="90" t="n">
        <x:v>1531509.8</x:v>
      </x:c>
      <x:c r="R166" s="90" t="n">
        <x:v>-184.45</x:v>
      </x:c>
      <x:c r="S166" s="90" t="n">
        <x:v>0.93</x:v>
      </x:c>
      <x:c r="T166" s="90" t="n">
        <x:v>0</x:v>
      </x:c>
      <x:c r="U166" s="90">
        <x:v>0</x:v>
      </x:c>
      <x:c r="V166" s="90">
        <x:v>0</x:v>
      </x:c>
      <x:c r="W166" s="90">
        <x:v>0</x:v>
      </x:c>
      <x:c r="X166">
        <x:v>0</x:v>
      </x:c>
      <x:c r="Y166">
        <x:v>0</x:v>
      </x:c>
      <x:c r="Z166" t="n">
        <x:v>-0.21</x:v>
      </x:c>
    </x:row>
    <x:row r="167" spans="1:26" ht="12.75" customHeight="1" x14ac:dyDescent="0.3">
      <x:c r="E167" s="89" t="s">
        <x:v>72</x:v>
      </x:c>
      <x:c r="F167" s="90" t="n">
        <x:v>431976797.82</x:v>
      </x:c>
      <x:c r="G167" s="90" t="n">
        <x:v>82660193.61</x:v>
      </x:c>
      <x:c r="H167" s="90" t="n">
        <x:v>46275318.25</x:v>
      </x:c>
      <x:c r="I167" s="90" t="n">
        <x:v>24557510.26</x:v>
      </x:c>
      <x:c r="J167" s="90" t="n">
        <x:v>36957419.27</x:v>
      </x:c>
      <x:c r="K167" s="90" t="n">
        <x:v>895809.73</x:v>
      </x:c>
      <x:c r="L167" s="90" t="n">
        <x:v>2914000</x:v>
      </x:c>
      <x:c r="M167" s="90" t="n">
        <x:v>7873505.91</x:v>
      </x:c>
      <x:c r="N167" s="90" t="n">
        <x:v>11116337.92</x:v>
      </x:c>
      <x:c r="O167" s="90" t="n">
        <x:v>53167553.16</x:v>
      </x:c>
      <x:c r="P167" s="90" t="n">
        <x:v>164093920.88</x:v>
      </x:c>
      <x:c r="Q167" s="90" t="n">
        <x:v>1465643.88</x:v>
      </x:c>
      <x:c r="R167" s="90" t="n">
        <x:v>-415.05</x:v>
      </x:c>
      <x:c r="S167" s="90" t="n">
        <x:v>0</x:v>
      </x:c>
      <x:c r="T167" s="90" t="n">
        <x:v>0</x:v>
      </x:c>
      <x:c r="U167" s="90">
        <x:v>0</x:v>
      </x:c>
      <x:c r="V167" s="90">
        <x:v>0</x:v>
      </x:c>
      <x:c r="W167" s="90">
        <x:v>0</x:v>
      </x:c>
      <x:c r="X167">
        <x:v>0</x:v>
      </x:c>
      <x:c r="Y167">
        <x:v>0</x:v>
      </x:c>
      <x:c r="Z167" t="n">
        <x:v>0</x:v>
      </x:c>
    </x:row>
    <x:row r="168" spans="1:26" ht="12.75" customHeight="1" x14ac:dyDescent="0.3">
      <x:c r="D168" s="89"/>
      <x:c r="E168" s="89" t="s">
        <x:v>81</x:v>
      </x:c>
      <x:c r="F168" s="90" t="n">
        <x:v>23157610.32</x:v>
      </x:c>
      <x:c r="G168" s="90" t="n">
        <x:v>5189724.52</x:v>
      </x:c>
      <x:c r="H168" s="90" t="n">
        <x:v>2863845.82</x:v>
      </x:c>
      <x:c r="I168" s="90" t="n">
        <x:v>1529755.86</x:v>
      </x:c>
      <x:c r="J168" s="90" t="n">
        <x:v>1096539.75</x:v>
      </x:c>
      <x:c r="K168" s="90" t="n">
        <x:v>27121.51</x:v>
      </x:c>
      <x:c r="L168" s="90" t="n">
        <x:v>41522.82</x:v>
      </x:c>
      <x:c r="M168" s="90" t="n">
        <x:v>236988.67</x:v>
      </x:c>
      <x:c r="N168" s="90" t="n">
        <x:v>318251.21</x:v>
      </x:c>
      <x:c r="O168" s="90" t="n">
        <x:v>1500767.57</x:v>
      </x:c>
      <x:c r="P168" s="90" t="n">
        <x:v>10365083.59</x:v>
      </x:c>
      <x:c r="Q168" s="90" t="n">
        <x:v>44268.21</x:v>
      </x:c>
      <x:c r="R168" s="90" t="n">
        <x:v>0.39</x:v>
      </x:c>
      <x:c r="S168" s="90" t="n">
        <x:v>-56259.6</x:v>
      </x:c>
      <x:c r="T168" s="90" t="n">
        <x:v>0</x:v>
      </x:c>
      <x:c r="U168" s="90">
        <x:v>0</x:v>
      </x:c>
      <x:c r="V168" s="90">
        <x:v>0</x:v>
      </x:c>
      <x:c r="W168" s="90">
        <x:v>0</x:v>
      </x:c>
      <x:c r="X168">
        <x:v>0</x:v>
      </x:c>
      <x:c r="Y168">
        <x:v>0</x:v>
      </x:c>
      <x:c r="Z168" t="n">
        <x:v>0</x:v>
      </x:c>
    </x:row>
    <x:row r="169" spans="1:26" ht="12.75" customHeight="1" x14ac:dyDescent="0.3">
      <x:c r="D169" t="s">
        <x:v>87</x:v>
      </x:c>
      <x:c r="E169" s="89" t="s">
        <x:v>70</x:v>
      </x:c>
      <x:c r="F169" s="90" t="n">
        <x:v>455134408.14</x:v>
      </x:c>
      <x:c r="G169" s="90" t="n">
        <x:v>87849918.13</x:v>
      </x:c>
      <x:c r="H169" s="90" t="n">
        <x:v>49139164.07</x:v>
      </x:c>
      <x:c r="I169" s="90" t="n">
        <x:v>26087266.12</x:v>
      </x:c>
      <x:c r="J169" s="90" t="n">
        <x:v>38053959.02</x:v>
      </x:c>
      <x:c r="K169" s="90" t="n">
        <x:v>922931.24</x:v>
      </x:c>
      <x:c r="L169" s="90" t="n">
        <x:v>2955522.82</x:v>
      </x:c>
      <x:c r="M169" s="90" t="n">
        <x:v>8110494.58</x:v>
      </x:c>
      <x:c r="N169" s="90" t="n">
        <x:v>11434589.13</x:v>
      </x:c>
      <x:c r="O169" s="90" t="n">
        <x:v>54668320.73</x:v>
      </x:c>
      <x:c r="P169" s="90" t="n">
        <x:v>174459004.47</x:v>
      </x:c>
      <x:c r="Q169" s="90" t="n">
        <x:v>1509912.09</x:v>
      </x:c>
      <x:c r="R169" s="90" t="n">
        <x:v>-414.66</x:v>
      </x:c>
      <x:c r="S169" s="90" t="n">
        <x:v>-56259.6</x:v>
      </x:c>
      <x:c r="T169" s="90" t="n">
        <x:v>0</x:v>
      </x:c>
      <x:c r="U169" s="90">
        <x:v>0</x:v>
      </x:c>
      <x:c r="V169" s="90">
        <x:v>0</x:v>
      </x:c>
      <x:c r="W169" s="90">
        <x:v>0</x:v>
      </x:c>
      <x:c r="X169">
        <x:v>0</x:v>
      </x:c>
      <x:c r="Y169">
        <x:v>0</x:v>
      </x:c>
      <x:c r="Z169" t="n">
        <x:v>0</x:v>
      </x:c>
    </x:row>
    <x:row r="170" spans="1:26" s="94" customFormat="1" ht="12.75" customHeight="1" x14ac:dyDescent="0.3">
      <x:c r="C170" s="94" t="s">
        <x:v>119</x:v>
      </x:c>
      <x:c r="D170" s="94" t="s">
        <x:v>70</x:v>
      </x:c>
      <x:c r="E170" s="101"/>
      <x:c r="F170" s="93" t="n">
        <x:v>791421258.9</x:v>
      </x:c>
      <x:c r="G170" s="93" t="n">
        <x:v>112237844.04</x:v>
      </x:c>
      <x:c r="H170" s="93" t="n">
        <x:v>61924352.26</x:v>
      </x:c>
      <x:c r="I170" s="93" t="n">
        <x:v>32711070.5</x:v>
      </x:c>
      <x:c r="J170" s="93" t="n">
        <x:v>115854087.92</x:v>
      </x:c>
      <x:c r="K170" s="93" t="n">
        <x:v>3009434.2</x:v>
      </x:c>
      <x:c r="L170" s="93" t="n">
        <x:v>3112272.6</x:v>
      </x:c>
      <x:c r="M170" s="93" t="n">
        <x:v>27097180.11</x:v>
      </x:c>
      <x:c r="N170" s="93" t="n">
        <x:v>36405655.08</x:v>
      </x:c>
      <x:c r="O170" s="93" t="n">
        <x:v>171371181.81</x:v>
      </x:c>
      <x:c r="P170" s="93" t="n">
        <x:v>222825127.02</x:v>
      </x:c>
      <x:c r="Q170" s="93" t="n">
        <x:v>4930258.78</x:v>
      </x:c>
      <x:c r="R170" s="93" t="n">
        <x:v>-946.54</x:v>
      </x:c>
      <x:c r="S170" s="93" t="n">
        <x:v>-56258.67</x:v>
      </x:c>
      <x:c r="T170" s="93" t="n">
        <x:v>0</x:v>
      </x:c>
      <x:c r="U170" s="93">
        <x:v>0</x:v>
      </x:c>
      <x:c r="V170" s="93">
        <x:v>0</x:v>
      </x:c>
      <x:c r="W170" s="93">
        <x:v>0</x:v>
      </x:c>
      <x:c r="X170" s="94">
        <x:v>0</x:v>
      </x:c>
      <x:c r="Y170" s="94">
        <x:v>0</x:v>
      </x:c>
      <x:c r="Z170" s="94" t="n">
        <x:v>-0.21</x:v>
      </x:c>
    </x:row>
    <x:row r="171" spans="1:26" s="226" customFormat="1" ht="12.75" customHeight="1" x14ac:dyDescent="0.3">
      <x:c r="B171" s="98" t="s">
        <x:v>112</x:v>
      </x:c>
      <x:c r="C171" s="98" t="s">
        <x:v>70</x:v>
      </x:c>
      <x:c r="F171" s="100" t="n">
        <x:v>14496674920.15</x:v>
      </x:c>
      <x:c r="G171" s="100" t="n">
        <x:v>873275257.85</x:v>
      </x:c>
      <x:c r="H171" s="100" t="n">
        <x:v>483471832.7</x:v>
      </x:c>
      <x:c r="I171" s="100" t="n">
        <x:v>256313539.91</x:v>
      </x:c>
      <x:c r="J171" s="100" t="n">
        <x:v>3573668999.44</x:v>
      </x:c>
      <x:c r="K171" s="100" t="n">
        <x:v>126629830.11</x:v>
      </x:c>
      <x:c r="L171" s="100" t="n">
        <x:v>9834335.81</x:v>
      </x:c>
      <x:c r="M171" s="100" t="n">
        <x:v>1111017395.8</x:v>
      </x:c>
      <x:c r="N171" s="100" t="n">
        <x:v>1068178626.02</x:v>
      </x:c>
      <x:c r="O171" s="100" t="n">
        <x:v>5074748158.64</x:v>
      </x:c>
      <x:c r="P171" s="100" t="n">
        <x:v>1712842129.65</x:v>
      </x:c>
      <x:c r="Q171" s="100" t="n">
        <x:v>206765326.69</x:v>
      </x:c>
      <x:c r="R171" s="100" t="n">
        <x:v>-14204.66</x:v>
      </x:c>
      <x:c r="S171" s="100" t="n">
        <x:v>-56307.6</x:v>
      </x:c>
      <x:c r="T171" s="100" t="n">
        <x:v>0.4</x:v>
      </x:c>
      <x:c r="U171" s="100">
        <x:v>0</x:v>
      </x:c>
      <x:c r="V171" s="100">
        <x:v>0</x:v>
      </x:c>
      <x:c r="W171" s="100">
        <x:v>0</x:v>
      </x:c>
      <x:c r="X171" s="226">
        <x:v>0</x:v>
      </x:c>
      <x:c r="Y171" s="226">
        <x:v>0</x:v>
      </x:c>
      <x:c r="Z171" s="226" t="n">
        <x:v>-0.61</x:v>
      </x:c>
    </x:row>
    <x:row r="172" spans="1:26" ht="12.75" customHeight="1" x14ac:dyDescent="0.3">
      <x:c r="A172" t="s">
        <x:v>78</x:v>
      </x:c>
      <x:c r="B172" s="89" t="s">
        <x:v>70</x:v>
      </x:c>
      <x:c r="C172" s="89"/>
      <x:c r="F172" s="90" t="n">
        <x:v>14508429002.77</x:v>
      </x:c>
      <x:c r="G172" s="90" t="n">
        <x:v>873927095.1</x:v>
      </x:c>
      <x:c r="H172" s="90" t="n">
        <x:v>483839093.8</x:v>
      </x:c>
      <x:c r="I172" s="90" t="n">
        <x:v>256509805.05</x:v>
      </x:c>
      <x:c r="J172" s="90" t="n">
        <x:v>3576605065.95</x:v>
      </x:c>
      <x:c r="K172" s="90" t="n">
        <x:v>126709102.82</x:v>
      </x:c>
      <x:c r="L172" s="90" t="n">
        <x:v>9834335.81</x:v>
      </x:c>
      <x:c r="M172" s="90" t="n">
        <x:v>1111712771.21</x:v>
      </x:c>
      <x:c r="N172" s="90" t="n">
        <x:v>1069104499.99</x:v>
      </x:c>
      <x:c r="O172" s="90" t="n">
        <x:v>5079224593.22</x:v>
      </x:c>
      <x:c r="P172" s="90" t="n">
        <x:v>1714137346.58</x:v>
      </x:c>
      <x:c r="Q172" s="90" t="n">
        <x:v>206895907.3</x:v>
      </x:c>
      <x:c r="R172" s="90" t="n">
        <x:v>-14306.29</x:v>
      </x:c>
      <x:c r="S172" s="90" t="n">
        <x:v>-56307.56</x:v>
      </x:c>
      <x:c r="T172" s="90" t="n">
        <x:v>0.4</x:v>
      </x:c>
      <x:c r="U172" s="90">
        <x:v>0</x:v>
      </x:c>
      <x:c r="V172" s="90">
        <x:v>0</x:v>
      </x:c>
      <x:c r="W172" s="90">
        <x:v>0</x:v>
      </x:c>
      <x:c r="X172">
        <x:v>0</x:v>
      </x:c>
      <x:c r="Y172">
        <x:v>0</x:v>
      </x:c>
      <x:c r="Z172" t="n">
        <x:v>-0.61</x:v>
      </x:c>
    </x:row>
    <x:row r="173" spans="1:26" ht="12.75" customHeight="1" x14ac:dyDescent="0.3">
      <x:c r="B173" s="89"/>
      <x:c r="C173" s="89"/>
      <x:c r="E173" t="s">
        <x:v>73</x:v>
      </x:c>
      <x:c r="F173" s="90" t="n">
        <x:v>-1847120.08</x:v>
      </x:c>
      <x:c r="G173" s="90" t="n">
        <x:v>-41622.42</x:v>
      </x:c>
      <x:c r="H173" s="90" t="n">
        <x:v>-23430.87</x:v>
      </x:c>
      <x:c r="I173" s="90" t="n">
        <x:v>-12462.7</x:v>
      </x:c>
      <x:c r="J173" s="90" t="n">
        <x:v>-536355.47</x:v>
      </x:c>
      <x:c r="K173" s="90" t="n">
        <x:v>-14426.8</x:v>
      </x:c>
      <x:c r="L173" s="90" t="n">
        <x:v>0</x:v>
      </x:c>
      <x:c r="M173" s="90" t="n">
        <x:v>-126553.75</x:v>
      </x:c>
      <x:c r="N173" s="90" t="n">
        <x:v>-170997.82</x:v>
      </x:c>
      <x:c r="O173" s="90" t="n">
        <x:v>-815702.14</x:v>
      </x:c>
      <x:c r="P173" s="90" t="n">
        <x:v>-82029.15</x:v>
      </x:c>
      <x:c r="Q173" s="90" t="n">
        <x:v>-23538.96</x:v>
      </x:c>
      <x:c r="R173" s="90" t="n">
        <x:v>0</x:v>
      </x:c>
      <x:c r="S173" s="90" t="n">
        <x:v>0</x:v>
      </x:c>
      <x:c r="T173" s="90" t="n">
        <x:v>0</x:v>
      </x:c>
      <x:c r="U173" s="90">
        <x:v>0</x:v>
      </x:c>
      <x:c r="V173" s="90">
        <x:v>0</x:v>
      </x:c>
      <x:c r="W173" s="90">
        <x:v>0</x:v>
      </x:c>
      <x:c r="X173">
        <x:v>0</x:v>
      </x:c>
      <x:c r="Y173">
        <x:v>0</x:v>
      </x:c>
      <x:c r="Z173" t="n">
        <x:v>0</x:v>
      </x:c>
    </x:row>
    <x:row r="174" spans="1:26" ht="12.75" customHeight="1" x14ac:dyDescent="0.3">
      <x:c r="B174" s="89"/>
      <x:c r="C174" s="89"/>
      <x:c r="D174" t="s">
        <x:v>156</x:v>
      </x:c>
      <x:c r="E174" t="s">
        <x:v>70</x:v>
      </x:c>
      <x:c r="F174" s="90" t="n">
        <x:v>-1847120.08</x:v>
      </x:c>
      <x:c r="G174" s="90" t="n">
        <x:v>-41622.42</x:v>
      </x:c>
      <x:c r="H174" s="90" t="n">
        <x:v>-23430.87</x:v>
      </x:c>
      <x:c r="I174" s="90" t="n">
        <x:v>-12462.7</x:v>
      </x:c>
      <x:c r="J174" s="90" t="n">
        <x:v>-536355.47</x:v>
      </x:c>
      <x:c r="K174" s="90" t="n">
        <x:v>-14426.8</x:v>
      </x:c>
      <x:c r="L174" s="90" t="n">
        <x:v>0</x:v>
      </x:c>
      <x:c r="M174" s="90" t="n">
        <x:v>-126553.75</x:v>
      </x:c>
      <x:c r="N174" s="90" t="n">
        <x:v>-170997.82</x:v>
      </x:c>
      <x:c r="O174" s="90" t="n">
        <x:v>-815702.14</x:v>
      </x:c>
      <x:c r="P174" s="90" t="n">
        <x:v>-82029.15</x:v>
      </x:c>
      <x:c r="Q174" s="90" t="n">
        <x:v>-23538.96</x:v>
      </x:c>
      <x:c r="R174" s="90" t="n">
        <x:v>0</x:v>
      </x:c>
      <x:c r="S174" s="90" t="n">
        <x:v>0</x:v>
      </x:c>
      <x:c r="T174" s="90" t="n">
        <x:v>0</x:v>
      </x:c>
      <x:c r="U174" s="90">
        <x:v>0</x:v>
      </x:c>
      <x:c r="V174" s="90">
        <x:v>0</x:v>
      </x:c>
      <x:c r="W174" s="90">
        <x:v>0</x:v>
      </x:c>
      <x:c r="X174">
        <x:v>0</x:v>
      </x:c>
      <x:c r="Y174">
        <x:v>0</x:v>
      </x:c>
      <x:c r="Z174" t="n">
        <x:v>0</x:v>
      </x:c>
    </x:row>
    <x:row r="175" spans="1:26" s="656" customFormat="1" ht="12.75" customHeight="1" x14ac:dyDescent="0.3">
      <x:c r="C175" s="656" t="s">
        <x:v>155</x:v>
      </x:c>
      <x:c r="D175" s="657" t="s">
        <x:v>70</x:v>
      </x:c>
      <x:c r="E175" s="657"/>
      <x:c r="F175" s="658" t="n">
        <x:v>-1847120.08</x:v>
      </x:c>
      <x:c r="G175" s="658" t="n">
        <x:v>-41622.42</x:v>
      </x:c>
      <x:c r="H175" s="658" t="n">
        <x:v>-23430.87</x:v>
      </x:c>
      <x:c r="I175" s="658" t="n">
        <x:v>-12462.7</x:v>
      </x:c>
      <x:c r="J175" s="658" t="n">
        <x:v>-536355.47</x:v>
      </x:c>
      <x:c r="K175" s="658" t="n">
        <x:v>-14426.8</x:v>
      </x:c>
      <x:c r="L175" s="658" t="n">
        <x:v>0</x:v>
      </x:c>
      <x:c r="M175" s="658" t="n">
        <x:v>-126553.75</x:v>
      </x:c>
      <x:c r="N175" s="658" t="n">
        <x:v>-170997.82</x:v>
      </x:c>
      <x:c r="O175" s="658" t="n">
        <x:v>-815702.14</x:v>
      </x:c>
      <x:c r="P175" s="658" t="n">
        <x:v>-82029.15</x:v>
      </x:c>
      <x:c r="Q175" s="658" t="n">
        <x:v>-23538.96</x:v>
      </x:c>
      <x:c r="R175" s="658" t="n">
        <x:v>0</x:v>
      </x:c>
      <x:c r="S175" s="658" t="n">
        <x:v>0</x:v>
      </x:c>
      <x:c r="T175" s="658" t="n">
        <x:v>0</x:v>
      </x:c>
      <x:c r="U175" s="658">
        <x:v>0</x:v>
      </x:c>
      <x:c r="V175" s="658">
        <x:v>0</x:v>
      </x:c>
      <x:c r="W175" s="658">
        <x:v>0</x:v>
      </x:c>
      <x:c r="X175" s="656">
        <x:v>0</x:v>
      </x:c>
      <x:c r="Y175" s="656">
        <x:v>0</x:v>
      </x:c>
      <x:c r="Z175" s="656" t="n">
        <x:v>0</x:v>
      </x:c>
    </x:row>
    <x:row r="176" spans="1:26" ht="12.75" customHeight="1" x14ac:dyDescent="0.3">
      <x:c r="E176" s="89" t="s">
        <x:v>73</x:v>
      </x:c>
      <x:c r="F176" s="90">
        <x:v>0</x:v>
      </x:c>
      <x:c r="G176" s="90">
        <x:v>0</x:v>
      </x:c>
      <x:c r="H176" s="90">
        <x:v>0</x:v>
      </x:c>
      <x:c r="I176" s="90">
        <x:v>0</x:v>
      </x:c>
      <x:c r="J176" s="90">
        <x:v>0</x:v>
      </x:c>
      <x:c r="K176" s="90">
        <x:v>0</x:v>
      </x:c>
      <x:c r="L176" s="90">
        <x:v>0</x:v>
      </x:c>
      <x:c r="M176" s="90">
        <x:v>0</x:v>
      </x:c>
      <x:c r="N176" s="90">
        <x:v>0</x:v>
      </x:c>
      <x:c r="O176" s="90">
        <x:v>0</x:v>
      </x:c>
      <x:c r="P176" s="90">
        <x:v>0</x:v>
      </x:c>
      <x:c r="Q176" s="90">
        <x:v>0</x:v>
      </x:c>
      <x:c r="R176" s="90">
        <x:v>0</x:v>
      </x:c>
      <x:c r="S176" s="90">
        <x:v>0</x:v>
      </x:c>
      <x:c r="T176">
        <x:v>0</x:v>
      </x:c>
      <x:c r="U176">
        <x:v>0</x:v>
      </x:c>
      <x:c r="V176">
        <x:v>0</x:v>
      </x:c>
      <x:c r="W176">
        <x:v>0</x:v>
      </x:c>
      <x:c r="X176">
        <x:v>0</x:v>
      </x:c>
      <x:c r="Y176" s="90">
        <x:v>0</x:v>
      </x:c>
      <x:c r="Z176">
        <x:v>0</x:v>
      </x:c>
    </x:row>
    <x:row r="177" spans="2:26" ht="12.75" customHeight="1" x14ac:dyDescent="0.3">
      <x:c r="D177" t="s">
        <x:v>115</x:v>
      </x:c>
      <x:c r="E177" s="89" t="s">
        <x:v>70</x:v>
      </x:c>
      <x:c r="F177" s="371">
        <x:v>0</x:v>
      </x:c>
      <x:c r="G177" s="90">
        <x:v>0</x:v>
      </x:c>
      <x:c r="H177" s="90">
        <x:v>0</x:v>
      </x:c>
      <x:c r="I177" s="90">
        <x:v>0</x:v>
      </x:c>
      <x:c r="J177" s="90">
        <x:v>0</x:v>
      </x:c>
      <x:c r="K177" s="90">
        <x:v>0</x:v>
      </x:c>
      <x:c r="L177" s="90">
        <x:v>0</x:v>
      </x:c>
      <x:c r="M177" s="90">
        <x:v>0</x:v>
      </x:c>
      <x:c r="N177" s="90">
        <x:v>0</x:v>
      </x:c>
      <x:c r="O177" s="90">
        <x:v>0</x:v>
      </x:c>
      <x:c r="P177" s="90">
        <x:v>0</x:v>
      </x:c>
      <x:c r="Q177" s="90">
        <x:v>0</x:v>
      </x:c>
      <x:c r="R177" s="90">
        <x:v>0</x:v>
      </x:c>
      <x:c r="S177" s="90">
        <x:v>0</x:v>
      </x:c>
      <x:c r="T177">
        <x:v>0</x:v>
      </x:c>
      <x:c r="U177">
        <x:v>0</x:v>
      </x:c>
      <x:c r="V177">
        <x:v>0</x:v>
      </x:c>
      <x:c r="W177">
        <x:v>0</x:v>
      </x:c>
      <x:c r="X177">
        <x:v>0</x:v>
      </x:c>
      <x:c r="Y177" s="90">
        <x:v>0</x:v>
      </x:c>
      <x:c r="Z177">
        <x:v>0</x:v>
      </x:c>
    </x:row>
    <x:row r="178" spans="2:26" ht="12.75" customHeight="1" x14ac:dyDescent="0.3">
      <x:c r="E178" s="89" t="s">
        <x:v>73</x:v>
      </x:c>
      <x:c r="F178" s="371">
        <x:v>0</x:v>
      </x:c>
      <x:c r="G178" s="90">
        <x:v>0</x:v>
      </x:c>
      <x:c r="H178" s="90">
        <x:v>0</x:v>
      </x:c>
      <x:c r="I178" s="90">
        <x:v>0</x:v>
      </x:c>
      <x:c r="J178" s="90">
        <x:v>0</x:v>
      </x:c>
      <x:c r="K178" s="90">
        <x:v>0</x:v>
      </x:c>
      <x:c r="L178" s="90">
        <x:v>0</x:v>
      </x:c>
      <x:c r="M178" s="90">
        <x:v>0</x:v>
      </x:c>
      <x:c r="N178" s="90">
        <x:v>0</x:v>
      </x:c>
      <x:c r="O178" s="90">
        <x:v>0</x:v>
      </x:c>
      <x:c r="P178" s="90">
        <x:v>0</x:v>
      </x:c>
      <x:c r="Q178" s="90">
        <x:v>0</x:v>
      </x:c>
      <x:c r="R178" s="90">
        <x:v>0</x:v>
      </x:c>
      <x:c r="S178" s="90">
        <x:v>0</x:v>
      </x:c>
      <x:c r="T178">
        <x:v>0</x:v>
      </x:c>
      <x:c r="U178">
        <x:v>0</x:v>
      </x:c>
      <x:c r="V178">
        <x:v>0</x:v>
      </x:c>
      <x:c r="W178">
        <x:v>0</x:v>
      </x:c>
      <x:c r="X178">
        <x:v>0</x:v>
      </x:c>
      <x:c r="Y178" s="90">
        <x:v>0</x:v>
      </x:c>
      <x:c r="Z178">
        <x:v>0</x:v>
      </x:c>
    </x:row>
    <x:row r="179" spans="2:26" ht="12.75" customHeight="1" x14ac:dyDescent="0.3">
      <x:c r="D179" s="772">
        <x:v>2</x:v>
      </x:c>
      <x:c r="E179" s="89" t="s">
        <x:v>70</x:v>
      </x:c>
      <x:c r="F179" s="371">
        <x:v>0</x:v>
      </x:c>
      <x:c r="G179" s="90">
        <x:v>0</x:v>
      </x:c>
      <x:c r="H179" s="90">
        <x:v>0</x:v>
      </x:c>
      <x:c r="I179" s="90">
        <x:v>0</x:v>
      </x:c>
      <x:c r="J179" s="90">
        <x:v>0</x:v>
      </x:c>
      <x:c r="K179" s="90">
        <x:v>0</x:v>
      </x:c>
      <x:c r="L179" s="90">
        <x:v>0</x:v>
      </x:c>
      <x:c r="M179" s="90">
        <x:v>0</x:v>
      </x:c>
      <x:c r="N179" s="90">
        <x:v>0</x:v>
      </x:c>
      <x:c r="O179" s="90">
        <x:v>0</x:v>
      </x:c>
      <x:c r="P179" s="90">
        <x:v>0</x:v>
      </x:c>
      <x:c r="Q179" s="90">
        <x:v>0</x:v>
      </x:c>
      <x:c r="R179" s="90">
        <x:v>0</x:v>
      </x:c>
      <x:c r="S179" s="90">
        <x:v>0</x:v>
      </x:c>
      <x:c r="T179">
        <x:v>0</x:v>
      </x:c>
      <x:c r="U179">
        <x:v>0</x:v>
      </x:c>
      <x:c r="V179">
        <x:v>0</x:v>
      </x:c>
      <x:c r="W179">
        <x:v>0</x:v>
      </x:c>
      <x:c r="X179">
        <x:v>0</x:v>
      </x:c>
      <x:c r="Y179" s="90">
        <x:v>0</x:v>
      </x:c>
      <x:c r="Z179">
        <x:v>0</x:v>
      </x:c>
    </x:row>
    <x:row r="180" spans="2:26" ht="12.75" customHeight="1" x14ac:dyDescent="0.3">
      <x:c r="E180" s="89" t="s">
        <x:v>73</x:v>
      </x:c>
      <x:c r="F180" s="371">
        <x:v>0</x:v>
      </x:c>
      <x:c r="G180" s="90">
        <x:v>0</x:v>
      </x:c>
      <x:c r="H180" s="90">
        <x:v>0</x:v>
      </x:c>
      <x:c r="I180" s="90">
        <x:v>0</x:v>
      </x:c>
      <x:c r="J180" s="90">
        <x:v>0</x:v>
      </x:c>
      <x:c r="K180" s="90">
        <x:v>0</x:v>
      </x:c>
      <x:c r="L180" s="90">
        <x:v>0</x:v>
      </x:c>
      <x:c r="M180" s="90">
        <x:v>0</x:v>
      </x:c>
      <x:c r="N180" s="90">
        <x:v>0</x:v>
      </x:c>
      <x:c r="O180" s="90">
        <x:v>0</x:v>
      </x:c>
      <x:c r="P180" s="90">
        <x:v>0</x:v>
      </x:c>
      <x:c r="Q180" s="90">
        <x:v>0</x:v>
      </x:c>
      <x:c r="R180" s="90">
        <x:v>0</x:v>
      </x:c>
      <x:c r="S180" s="90">
        <x:v>0</x:v>
      </x:c>
      <x:c r="T180">
        <x:v>0</x:v>
      </x:c>
      <x:c r="U180">
        <x:v>0</x:v>
      </x:c>
      <x:c r="V180">
        <x:v>0</x:v>
      </x:c>
      <x:c r="W180">
        <x:v>0</x:v>
      </x:c>
      <x:c r="X180">
        <x:v>0</x:v>
      </x:c>
      <x:c r="Y180" s="90">
        <x:v>0</x:v>
      </x:c>
      <x:c r="Z180">
        <x:v>0</x:v>
      </x:c>
    </x:row>
    <x:row r="181" spans="2:26" ht="12.75" customHeight="1" x14ac:dyDescent="0.3">
      <x:c r="D181" t="s">
        <x:v>118</x:v>
      </x:c>
      <x:c r="E181" s="89" t="s">
        <x:v>70</x:v>
      </x:c>
      <x:c r="F181" s="371">
        <x:v>0</x:v>
      </x:c>
      <x:c r="G181" s="90">
        <x:v>0</x:v>
      </x:c>
      <x:c r="H181" s="90">
        <x:v>0</x:v>
      </x:c>
      <x:c r="I181" s="90">
        <x:v>0</x:v>
      </x:c>
      <x:c r="J181" s="90">
        <x:v>0</x:v>
      </x:c>
      <x:c r="K181" s="90">
        <x:v>0</x:v>
      </x:c>
      <x:c r="L181" s="90">
        <x:v>0</x:v>
      </x:c>
      <x:c r="M181" s="90">
        <x:v>0</x:v>
      </x:c>
      <x:c r="N181" s="90">
        <x:v>0</x:v>
      </x:c>
      <x:c r="O181" s="90">
        <x:v>0</x:v>
      </x:c>
      <x:c r="P181" s="90">
        <x:v>0</x:v>
      </x:c>
      <x:c r="Q181" s="90">
        <x:v>0</x:v>
      </x:c>
      <x:c r="R181" s="90">
        <x:v>0</x:v>
      </x:c>
      <x:c r="S181" s="90">
        <x:v>0</x:v>
      </x:c>
      <x:c r="T181">
        <x:v>0</x:v>
      </x:c>
      <x:c r="U181">
        <x:v>0</x:v>
      </x:c>
      <x:c r="V181">
        <x:v>0</x:v>
      </x:c>
      <x:c r="W181">
        <x:v>0</x:v>
      </x:c>
      <x:c r="X181">
        <x:v>0</x:v>
      </x:c>
      <x:c r="Y181" s="90">
        <x:v>0</x:v>
      </x:c>
      <x:c r="Z181">
        <x:v>0</x:v>
      </x:c>
    </x:row>
    <x:row r="182" spans="2:26" s="224" customFormat="1" ht="12.75" customHeight="1" x14ac:dyDescent="0.3">
      <x:c r="C182" s="223" t="s">
        <x:v>120</x:v>
      </x:c>
      <x:c r="D182" s="223" t="s">
        <x:v>70</x:v>
      </x:c>
      <x:c r="F182" s="225">
        <x:v>0</x:v>
      </x:c>
      <x:c r="G182" s="225">
        <x:v>0</x:v>
      </x:c>
      <x:c r="H182" s="225">
        <x:v>0</x:v>
      </x:c>
      <x:c r="I182" s="225">
        <x:v>0</x:v>
      </x:c>
      <x:c r="J182" s="225">
        <x:v>0</x:v>
      </x:c>
      <x:c r="K182" s="225">
        <x:v>0</x:v>
      </x:c>
      <x:c r="L182" s="225">
        <x:v>0</x:v>
      </x:c>
      <x:c r="M182" s="225">
        <x:v>0</x:v>
      </x:c>
      <x:c r="N182" s="225">
        <x:v>0</x:v>
      </x:c>
      <x:c r="O182" s="225">
        <x:v>0</x:v>
      </x:c>
      <x:c r="P182" s="225">
        <x:v>0</x:v>
      </x:c>
      <x:c r="Q182" s="225">
        <x:v>0</x:v>
      </x:c>
      <x:c r="R182" s="225">
        <x:v>0</x:v>
      </x:c>
      <x:c r="S182" s="225">
        <x:v>0</x:v>
      </x:c>
      <x:c r="T182" s="224">
        <x:v>0</x:v>
      </x:c>
      <x:c r="U182" s="224">
        <x:v>0</x:v>
      </x:c>
      <x:c r="V182" s="224">
        <x:v>0</x:v>
      </x:c>
      <x:c r="W182" s="224">
        <x:v>0</x:v>
      </x:c>
      <x:c r="X182" s="224">
        <x:v>0</x:v>
      </x:c>
      <x:c r="Y182" s="225">
        <x:v>0</x:v>
      </x:c>
      <x:c r="Z182" s="224">
        <x:v>0</x:v>
      </x:c>
    </x:row>
    <x:row r="183" spans="2:26" ht="12.75" customHeight="1" x14ac:dyDescent="0.3">
      <x:c r="D183" s="89"/>
      <x:c r="E183" s="89" t="s">
        <x:v>73</x:v>
      </x:c>
      <x:c r="F183" s="371">
        <x:v>0</x:v>
      </x:c>
      <x:c r="G183" s="90">
        <x:v>0</x:v>
      </x:c>
      <x:c r="H183" s="90">
        <x:v>0</x:v>
      </x:c>
      <x:c r="I183" s="90">
        <x:v>0</x:v>
      </x:c>
      <x:c r="J183" s="90">
        <x:v>0</x:v>
      </x:c>
      <x:c r="K183" s="90">
        <x:v>0</x:v>
      </x:c>
      <x:c r="L183" s="90">
        <x:v>0</x:v>
      </x:c>
      <x:c r="M183" s="90">
        <x:v>0</x:v>
      </x:c>
      <x:c r="N183" s="90">
        <x:v>0</x:v>
      </x:c>
      <x:c r="O183" s="90">
        <x:v>0</x:v>
      </x:c>
      <x:c r="P183" s="90">
        <x:v>0</x:v>
      </x:c>
      <x:c r="Q183" s="90">
        <x:v>0</x:v>
      </x:c>
      <x:c r="R183" s="90">
        <x:v>0</x:v>
      </x:c>
      <x:c r="S183" s="90">
        <x:v>0</x:v>
      </x:c>
      <x:c r="T183" s="90">
        <x:v>0</x:v>
      </x:c>
      <x:c r="U183" s="90">
        <x:v>0</x:v>
      </x:c>
      <x:c r="V183" s="90">
        <x:v>0</x:v>
      </x:c>
      <x:c r="W183" s="90">
        <x:v>0</x:v>
      </x:c>
      <x:c r="X183">
        <x:v>0</x:v>
      </x:c>
      <x:c r="Y183">
        <x:v>0</x:v>
      </x:c>
      <x:c r="Z183">
        <x:v>0</x:v>
      </x:c>
    </x:row>
    <x:row r="184" spans="2:26" ht="12.75" customHeight="1" x14ac:dyDescent="0.3">
      <x:c r="D184" s="89" t="s">
        <x:v>82</x:v>
      </x:c>
      <x:c r="E184" s="89" t="s">
        <x:v>70</x:v>
      </x:c>
      <x:c r="F184" s="371">
        <x:v>0</x:v>
      </x:c>
      <x:c r="G184" s="90">
        <x:v>0</x:v>
      </x:c>
      <x:c r="H184" s="90">
        <x:v>0</x:v>
      </x:c>
      <x:c r="I184" s="90">
        <x:v>0</x:v>
      </x:c>
      <x:c r="J184" s="90">
        <x:v>0</x:v>
      </x:c>
      <x:c r="K184" s="90">
        <x:v>0</x:v>
      </x:c>
      <x:c r="L184" s="90">
        <x:v>0</x:v>
      </x:c>
      <x:c r="M184" s="90">
        <x:v>0</x:v>
      </x:c>
      <x:c r="N184" s="90">
        <x:v>0</x:v>
      </x:c>
      <x:c r="O184" s="90">
        <x:v>0</x:v>
      </x:c>
      <x:c r="P184" s="90">
        <x:v>0</x:v>
      </x:c>
      <x:c r="Q184" s="90">
        <x:v>0</x:v>
      </x:c>
      <x:c r="R184" s="90">
        <x:v>0</x:v>
      </x:c>
      <x:c r="S184" s="90">
        <x:v>0</x:v>
      </x:c>
      <x:c r="T184" s="90">
        <x:v>0</x:v>
      </x:c>
      <x:c r="U184" s="90">
        <x:v>0</x:v>
      </x:c>
      <x:c r="V184" s="90">
        <x:v>0</x:v>
      </x:c>
      <x:c r="W184" s="90">
        <x:v>0</x:v>
      </x:c>
      <x:c r="X184">
        <x:v>0</x:v>
      </x:c>
      <x:c r="Y184">
        <x:v>0</x:v>
      </x:c>
      <x:c r="Z184">
        <x:v>0</x:v>
      </x:c>
    </x:row>
    <x:row r="185" spans="2:26" ht="12.75" customHeight="1" x14ac:dyDescent="0.3">
      <x:c r="D185" s="89"/>
      <x:c r="E185" s="89" t="s">
        <x:v>73</x:v>
      </x:c>
      <x:c r="F185" s="371" t="n">
        <x:v>-201988.54</x:v>
      </x:c>
      <x:c r="G185" s="90" t="n">
        <x:v>-8468.4</x:v>
      </x:c>
      <x:c r="H185" s="90" t="n">
        <x:v>-4779.72</x:v>
      </x:c>
      <x:c r="I185" s="90" t="n">
        <x:v>-2537.71</x:v>
      </x:c>
      <x:c r="J185" s="90" t="n">
        <x:v>-48035.81</x:v>
      </x:c>
      <x:c r="K185" s="90" t="n">
        <x:v>-1399.98</x:v>
      </x:c>
      <x:c r="L185" s="90" t="n">
        <x:v>0</x:v>
      </x:c>
      <x:c r="M185" s="90" t="n">
        <x:v>-12280.41</x:v>
      </x:c>
      <x:c r="N185" s="90" t="n">
        <x:v>-18374.76</x:v>
      </x:c>
      <x:c r="O185" s="90" t="n">
        <x:v>-88315.61</x:v>
      </x:c>
      <x:c r="P185" s="90" t="n">
        <x:v>-15511.98</x:v>
      </x:c>
      <x:c r="Q185" s="90" t="n">
        <x:v>-2284.16</x:v>
      </x:c>
      <x:c r="R185" s="90" t="n">
        <x:v>0</x:v>
      </x:c>
      <x:c r="S185" s="90" t="n">
        <x:v>0</x:v>
      </x:c>
      <x:c r="T185" s="90" t="n">
        <x:v>0</x:v>
      </x:c>
      <x:c r="U185" s="90">
        <x:v>0</x:v>
      </x:c>
      <x:c r="V185" s="90">
        <x:v>0</x:v>
      </x:c>
      <x:c r="W185" s="90">
        <x:v>0</x:v>
      </x:c>
      <x:c r="X185">
        <x:v>0</x:v>
      </x:c>
      <x:c r="Y185">
        <x:v>0</x:v>
      </x:c>
      <x:c r="Z185" t="n">
        <x:v>0</x:v>
      </x:c>
    </x:row>
    <x:row r="186" spans="2:26" ht="12.75" customHeight="1" x14ac:dyDescent="0.3">
      <x:c r="D186" s="89" t="s">
        <x:v>86</x:v>
      </x:c>
      <x:c r="E186" s="89" t="s">
        <x:v>70</x:v>
      </x:c>
      <x:c r="F186" s="371" t="n">
        <x:v>-201988.54</x:v>
      </x:c>
      <x:c r="G186" s="90" t="n">
        <x:v>-8468.4</x:v>
      </x:c>
      <x:c r="H186" s="90" t="n">
        <x:v>-4779.72</x:v>
      </x:c>
      <x:c r="I186" s="90" t="n">
        <x:v>-2537.71</x:v>
      </x:c>
      <x:c r="J186" s="90" t="n">
        <x:v>-48035.81</x:v>
      </x:c>
      <x:c r="K186" s="90" t="n">
        <x:v>-1399.98</x:v>
      </x:c>
      <x:c r="L186" s="90" t="n">
        <x:v>0</x:v>
      </x:c>
      <x:c r="M186" s="90" t="n">
        <x:v>-12280.41</x:v>
      </x:c>
      <x:c r="N186" s="90" t="n">
        <x:v>-18374.76</x:v>
      </x:c>
      <x:c r="O186" s="90" t="n">
        <x:v>-88315.61</x:v>
      </x:c>
      <x:c r="P186" s="90" t="n">
        <x:v>-15511.98</x:v>
      </x:c>
      <x:c r="Q186" s="90" t="n">
        <x:v>-2284.16</x:v>
      </x:c>
      <x:c r="R186" s="90" t="n">
        <x:v>0</x:v>
      </x:c>
      <x:c r="S186" s="90" t="n">
        <x:v>0</x:v>
      </x:c>
      <x:c r="T186" s="90" t="n">
        <x:v>0</x:v>
      </x:c>
      <x:c r="U186" s="90">
        <x:v>0</x:v>
      </x:c>
      <x:c r="V186" s="90">
        <x:v>0</x:v>
      </x:c>
      <x:c r="W186" s="90">
        <x:v>0</x:v>
      </x:c>
      <x:c r="X186">
        <x:v>0</x:v>
      </x:c>
      <x:c r="Y186">
        <x:v>0</x:v>
      </x:c>
      <x:c r="Z186" t="n">
        <x:v>0</x:v>
      </x:c>
    </x:row>
    <x:row r="187" spans="2:26" x14ac:dyDescent="0.3">
      <x:c r="E187" t="s">
        <x:v>73</x:v>
      </x:c>
      <x:c r="F187" s="90">
        <x:v>0</x:v>
      </x:c>
      <x:c r="G187" s="90">
        <x:v>0</x:v>
      </x:c>
      <x:c r="H187" s="90">
        <x:v>0</x:v>
      </x:c>
      <x:c r="I187" s="90">
        <x:v>0</x:v>
      </x:c>
      <x:c r="J187" s="90">
        <x:v>0</x:v>
      </x:c>
      <x:c r="K187" s="90">
        <x:v>0</x:v>
      </x:c>
      <x:c r="L187" s="90">
        <x:v>0</x:v>
      </x:c>
      <x:c r="M187" s="90">
        <x:v>0</x:v>
      </x:c>
      <x:c r="N187" s="90">
        <x:v>0</x:v>
      </x:c>
      <x:c r="O187" s="90">
        <x:v>0</x:v>
      </x:c>
      <x:c r="P187" s="90">
        <x:v>0</x:v>
      </x:c>
      <x:c r="Q187" s="90">
        <x:v>0</x:v>
      </x:c>
      <x:c r="R187" s="90">
        <x:v>0</x:v>
      </x:c>
      <x:c r="S187" s="90">
        <x:v>0</x:v>
      </x:c>
      <x:c r="T187" s="90">
        <x:v>0</x:v>
      </x:c>
      <x:c r="U187">
        <x:v>0</x:v>
      </x:c>
      <x:c r="V187">
        <x:v>0</x:v>
      </x:c>
      <x:c r="W187">
        <x:v>0</x:v>
      </x:c>
      <x:c r="X187">
        <x:v>0</x:v>
      </x:c>
      <x:c r="Y187">
        <x:v>0</x:v>
      </x:c>
      <x:c r="Z187" s="90">
        <x:v>0</x:v>
      </x:c>
    </x:row>
    <x:row r="188" spans="2:26" x14ac:dyDescent="0.3">
      <x:c r="D188" t="s">
        <x:v>87</x:v>
      </x:c>
      <x:c r="E188" t="s">
        <x:v>70</x:v>
      </x:c>
      <x:c r="F188" s="90">
        <x:v>0</x:v>
      </x:c>
      <x:c r="G188" s="90">
        <x:v>0</x:v>
      </x:c>
      <x:c r="H188" s="90">
        <x:v>0</x:v>
      </x:c>
      <x:c r="I188" s="90">
        <x:v>0</x:v>
      </x:c>
      <x:c r="J188" s="90">
        <x:v>0</x:v>
      </x:c>
      <x:c r="K188" s="90">
        <x:v>0</x:v>
      </x:c>
      <x:c r="L188" s="90">
        <x:v>0</x:v>
      </x:c>
      <x:c r="M188" s="90">
        <x:v>0</x:v>
      </x:c>
      <x:c r="N188" s="90">
        <x:v>0</x:v>
      </x:c>
      <x:c r="O188" s="90">
        <x:v>0</x:v>
      </x:c>
      <x:c r="P188" s="90">
        <x:v>0</x:v>
      </x:c>
      <x:c r="Q188" s="90">
        <x:v>0</x:v>
      </x:c>
      <x:c r="R188" s="90">
        <x:v>0</x:v>
      </x:c>
      <x:c r="S188" s="90">
        <x:v>0</x:v>
      </x:c>
      <x:c r="T188" s="90">
        <x:v>0</x:v>
      </x:c>
      <x:c r="U188">
        <x:v>0</x:v>
      </x:c>
      <x:c r="V188">
        <x:v>0</x:v>
      </x:c>
      <x:c r="W188">
        <x:v>0</x:v>
      </x:c>
      <x:c r="X188">
        <x:v>0</x:v>
      </x:c>
      <x:c r="Y188">
        <x:v>0</x:v>
      </x:c>
      <x:c r="Z188" s="90">
        <x:v>0</x:v>
      </x:c>
    </x:row>
    <x:row r="189" spans="2:26" s="94" customFormat="1" ht="12.75" customHeight="1" x14ac:dyDescent="0.3">
      <x:c r="C189" s="94" t="s">
        <x:v>119</x:v>
      </x:c>
      <x:c r="D189" s="94" t="s">
        <x:v>70</x:v>
      </x:c>
      <x:c r="E189" s="101"/>
      <x:c r="F189" s="93" t="n">
        <x:v>-201988.54</x:v>
      </x:c>
      <x:c r="G189" s="93" t="n">
        <x:v>-8468.4</x:v>
      </x:c>
      <x:c r="H189" s="93" t="n">
        <x:v>-4779.72</x:v>
      </x:c>
      <x:c r="I189" s="93" t="n">
        <x:v>-2537.71</x:v>
      </x:c>
      <x:c r="J189" s="93" t="n">
        <x:v>-48035.81</x:v>
      </x:c>
      <x:c r="K189" s="93" t="n">
        <x:v>-1399.98</x:v>
      </x:c>
      <x:c r="L189" s="93" t="n">
        <x:v>0</x:v>
      </x:c>
      <x:c r="M189" s="93" t="n">
        <x:v>-12280.41</x:v>
      </x:c>
      <x:c r="N189" s="93" t="n">
        <x:v>-18374.76</x:v>
      </x:c>
      <x:c r="O189" s="93" t="n">
        <x:v>-88315.61</x:v>
      </x:c>
      <x:c r="P189" s="93" t="n">
        <x:v>-15511.98</x:v>
      </x:c>
      <x:c r="Q189" s="93" t="n">
        <x:v>-2284.16</x:v>
      </x:c>
      <x:c r="R189" s="93" t="n">
        <x:v>0</x:v>
      </x:c>
      <x:c r="S189" s="93" t="n">
        <x:v>0</x:v>
      </x:c>
      <x:c r="T189" s="93" t="n">
        <x:v>0</x:v>
      </x:c>
      <x:c r="U189" s="93">
        <x:v>0</x:v>
      </x:c>
      <x:c r="V189" s="93">
        <x:v>0</x:v>
      </x:c>
      <x:c r="W189" s="93">
        <x:v>0</x:v>
      </x:c>
      <x:c r="X189" s="94">
        <x:v>0</x:v>
      </x:c>
      <x:c r="Y189" s="94">
        <x:v>0</x:v>
      </x:c>
      <x:c r="Z189" s="94" t="n">
        <x:v>0</x:v>
      </x:c>
    </x:row>
    <x:row r="190" spans="2:26" s="378" customFormat="1" ht="12.75" customHeight="1" x14ac:dyDescent="0.3">
      <x:c r="B190" s="378" t="s">
        <x:v>122</x:v>
      </x:c>
      <x:c r="C190" s="378" t="s">
        <x:v>70</x:v>
      </x:c>
      <x:c r="E190" s="376"/>
      <x:c r="F190" s="710" t="n">
        <x:v>-2049108.62</x:v>
      </x:c>
      <x:c r="G190" s="377" t="n">
        <x:v>-50090.82</x:v>
      </x:c>
      <x:c r="H190" s="377" t="n">
        <x:v>-28210.59</x:v>
      </x:c>
      <x:c r="I190" s="377" t="n">
        <x:v>-15000.41</x:v>
      </x:c>
      <x:c r="J190" s="377" t="n">
        <x:v>-584391.28</x:v>
      </x:c>
      <x:c r="K190" s="377" t="n">
        <x:v>-15826.78</x:v>
      </x:c>
      <x:c r="L190" s="377" t="n">
        <x:v>0</x:v>
      </x:c>
      <x:c r="M190" s="377" t="n">
        <x:v>-138834.16</x:v>
      </x:c>
      <x:c r="N190" s="377" t="n">
        <x:v>-189372.58</x:v>
      </x:c>
      <x:c r="O190" s="377" t="n">
        <x:v>-904017.75</x:v>
      </x:c>
      <x:c r="P190" s="377" t="n">
        <x:v>-97541.13</x:v>
      </x:c>
      <x:c r="Q190" s="377" t="n">
        <x:v>-25823.12</x:v>
      </x:c>
      <x:c r="R190" s="377" t="n">
        <x:v>0</x:v>
      </x:c>
      <x:c r="S190" s="377" t="n">
        <x:v>0</x:v>
      </x:c>
      <x:c r="T190" s="377" t="n">
        <x:v>0</x:v>
      </x:c>
      <x:c r="U190" s="377">
        <x:v>0</x:v>
      </x:c>
      <x:c r="V190" s="377">
        <x:v>0</x:v>
      </x:c>
      <x:c r="W190" s="377">
        <x:v>0</x:v>
      </x:c>
      <x:c r="X190" s="378">
        <x:v>0</x:v>
      </x:c>
      <x:c r="Y190" s="378">
        <x:v>0</x:v>
      </x:c>
      <x:c r="Z190" s="378" t="n">
        <x:v>0</x:v>
      </x:c>
    </x:row>
    <x:row r="191" spans="2:26" ht="12.75" customHeight="1" x14ac:dyDescent="0.3">
      <x:c r="E191" s="89" t="s">
        <x:v>73</x:v>
      </x:c>
      <x:c r="F191" s="90" t="n">
        <x:v>-3418096950.85</x:v>
      </x:c>
      <x:c r="G191" s="90" t="n">
        <x:v>-80551589.05</x:v>
      </x:c>
      <x:c r="H191" s="90" t="n">
        <x:v>-44758246.61</x:v>
      </x:c>
      <x:c r="I191" s="90" t="n">
        <x:v>-23754776.07</x:v>
      </x:c>
      <x:c r="J191" s="90" t="n">
        <x:v>-998699664.64</x:v>
      </x:c>
      <x:c r="K191" s="90" t="n">
        <x:v>-35677156.36</x:v>
      </x:c>
      <x:c r="L191" s="90" t="n">
        <x:v>0</x:v>
      </x:c>
      <x:c r="M191" s="90" t="n">
        <x:v>-312988590.07</x:v>
      </x:c>
      <x:c r="N191" s="90" t="n">
        <x:v>-297678949.49</x:v>
      </x:c>
      <x:c r="O191" s="90" t="n">
        <x:v>-1416154010.96</x:v>
      </x:c>
      <x:c r="P191" s="90" t="n">
        <x:v>-149621658.44</x:v>
      </x:c>
      <x:c r="Q191" s="90" t="n">
        <x:v>-58212309.16</x:v>
      </x:c>
      <x:c r="R191" s="90" t="n">
        <x:v>0</x:v>
      </x:c>
      <x:c r="S191" s="90" t="n">
        <x:v>0</x:v>
      </x:c>
      <x:c r="T191" s="90" t="n">
        <x:v>0</x:v>
      </x:c>
      <x:c r="U191" s="90">
        <x:v>0</x:v>
      </x:c>
      <x:c r="V191" s="90">
        <x:v>0</x:v>
      </x:c>
      <x:c r="W191" s="90">
        <x:v>0</x:v>
      </x:c>
      <x:c r="X191">
        <x:v>0</x:v>
      </x:c>
      <x:c r="Y191">
        <x:v>0</x:v>
      </x:c>
      <x:c r="Z191" t="n">
        <x:v>0</x:v>
      </x:c>
    </x:row>
    <x:row r="192" spans="2:26" ht="12.75" customHeight="1" x14ac:dyDescent="0.3">
      <x:c r="D192" s="89" t="s">
        <x:v>156</x:v>
      </x:c>
      <x:c r="E192" s="89" t="s">
        <x:v>70</x:v>
      </x:c>
      <x:c r="F192" s="90" t="n">
        <x:v>-3418096950.85</x:v>
      </x:c>
      <x:c r="G192" s="90" t="n">
        <x:v>-80551589.05</x:v>
      </x:c>
      <x:c r="H192" s="90" t="n">
        <x:v>-44758246.61</x:v>
      </x:c>
      <x:c r="I192" s="90" t="n">
        <x:v>-23754776.07</x:v>
      </x:c>
      <x:c r="J192" s="90" t="n">
        <x:v>-998699664.64</x:v>
      </x:c>
      <x:c r="K192" s="90" t="n">
        <x:v>-35677156.36</x:v>
      </x:c>
      <x:c r="L192" s="90" t="n">
        <x:v>0</x:v>
      </x:c>
      <x:c r="M192" s="90" t="n">
        <x:v>-312988590.07</x:v>
      </x:c>
      <x:c r="N192" s="90" t="n">
        <x:v>-297678949.49</x:v>
      </x:c>
      <x:c r="O192" s="90" t="n">
        <x:v>-1416154010.96</x:v>
      </x:c>
      <x:c r="P192" s="90" t="n">
        <x:v>-149621658.44</x:v>
      </x:c>
      <x:c r="Q192" s="90" t="n">
        <x:v>-58212309.16</x:v>
      </x:c>
      <x:c r="R192" s="90" t="n">
        <x:v>0</x:v>
      </x:c>
      <x:c r="S192" s="90" t="n">
        <x:v>0</x:v>
      </x:c>
      <x:c r="T192" s="90" t="n">
        <x:v>0</x:v>
      </x:c>
      <x:c r="U192" s="90">
        <x:v>0</x:v>
      </x:c>
      <x:c r="V192" s="90">
        <x:v>0</x:v>
      </x:c>
      <x:c r="W192" s="90">
        <x:v>0</x:v>
      </x:c>
      <x:c r="X192">
        <x:v>0</x:v>
      </x:c>
      <x:c r="Y192">
        <x:v>0</x:v>
      </x:c>
      <x:c r="Z192" t="n">
        <x:v>0</x:v>
      </x:c>
    </x:row>
    <x:row r="193" spans="2:26" s="656" customFormat="1" ht="12.75" customHeight="1" x14ac:dyDescent="0.3">
      <x:c r="C193" s="656" t="s">
        <x:v>155</x:v>
      </x:c>
      <x:c r="D193" s="657" t="s">
        <x:v>70</x:v>
      </x:c>
      <x:c r="E193" s="657"/>
      <x:c r="F193" s="738" t="n">
        <x:v>-3418096950.85</x:v>
      </x:c>
      <x:c r="G193" s="658" t="n">
        <x:v>-80551589.05</x:v>
      </x:c>
      <x:c r="H193" s="658" t="n">
        <x:v>-44758246.61</x:v>
      </x:c>
      <x:c r="I193" s="658" t="n">
        <x:v>-23754776.07</x:v>
      </x:c>
      <x:c r="J193" s="658" t="n">
        <x:v>-998699664.64</x:v>
      </x:c>
      <x:c r="K193" s="658" t="n">
        <x:v>-35677156.36</x:v>
      </x:c>
      <x:c r="L193" s="658" t="n">
        <x:v>0</x:v>
      </x:c>
      <x:c r="M193" s="658" t="n">
        <x:v>-312988590.07</x:v>
      </x:c>
      <x:c r="N193" s="658" t="n">
        <x:v>-297678949.49</x:v>
      </x:c>
      <x:c r="O193" s="658" t="n">
        <x:v>-1416154010.96</x:v>
      </x:c>
      <x:c r="P193" s="658" t="n">
        <x:v>-149621658.44</x:v>
      </x:c>
      <x:c r="Q193" s="658" t="n">
        <x:v>-58212309.16</x:v>
      </x:c>
      <x:c r="R193" s="658" t="n">
        <x:v>0</x:v>
      </x:c>
      <x:c r="S193" s="658" t="n">
        <x:v>0</x:v>
      </x:c>
      <x:c r="T193" s="658" t="n">
        <x:v>0</x:v>
      </x:c>
      <x:c r="U193" s="658">
        <x:v>0</x:v>
      </x:c>
      <x:c r="V193" s="658">
        <x:v>0</x:v>
      </x:c>
      <x:c r="W193" s="658">
        <x:v>0</x:v>
      </x:c>
      <x:c r="X193" s="656">
        <x:v>0</x:v>
      </x:c>
      <x:c r="Y193" s="656">
        <x:v>0</x:v>
      </x:c>
      <x:c r="Z193" s="656" t="n">
        <x:v>0</x:v>
      </x:c>
    </x:row>
    <x:row r="194" spans="2:26" ht="12.75" customHeight="1" x14ac:dyDescent="0.3">
      <x:c r="D194" s="89"/>
      <x:c r="E194" s="89" t="s">
        <x:v>73</x:v>
      </x:c>
      <x:c r="F194" s="371">
        <x:v>0</x:v>
      </x:c>
      <x:c r="G194" s="90">
        <x:v>0</x:v>
      </x:c>
      <x:c r="H194" s="90">
        <x:v>0</x:v>
      </x:c>
      <x:c r="I194" s="90">
        <x:v>0</x:v>
      </x:c>
      <x:c r="J194" s="90">
        <x:v>0</x:v>
      </x:c>
      <x:c r="K194" s="90">
        <x:v>0</x:v>
      </x:c>
      <x:c r="L194" s="90">
        <x:v>0</x:v>
      </x:c>
      <x:c r="M194" s="90">
        <x:v>0</x:v>
      </x:c>
      <x:c r="N194" s="90">
        <x:v>0</x:v>
      </x:c>
      <x:c r="O194" s="90">
        <x:v>0</x:v>
      </x:c>
      <x:c r="P194" s="90">
        <x:v>0</x:v>
      </x:c>
      <x:c r="Q194" s="90">
        <x:v>0</x:v>
      </x:c>
      <x:c r="R194" s="90">
        <x:v>0</x:v>
      </x:c>
      <x:c r="S194" s="90">
        <x:v>0</x:v>
      </x:c>
      <x:c r="T194" s="90">
        <x:v>0</x:v>
      </x:c>
      <x:c r="U194" s="90">
        <x:v>0</x:v>
      </x:c>
      <x:c r="V194" s="90">
        <x:v>0</x:v>
      </x:c>
      <x:c r="W194" s="90">
        <x:v>0</x:v>
      </x:c>
      <x:c r="X194">
        <x:v>0</x:v>
      </x:c>
      <x:c r="Y194">
        <x:v>0</x:v>
      </x:c>
      <x:c r="Z194">
        <x:v>0</x:v>
      </x:c>
    </x:row>
    <x:row r="195" spans="2:26" ht="12.75" customHeight="1" x14ac:dyDescent="0.3">
      <x:c r="D195" s="89" t="s">
        <x:v>115</x:v>
      </x:c>
      <x:c r="E195" s="89" t="s">
        <x:v>70</x:v>
      </x:c>
      <x:c r="F195" s="371">
        <x:v>0</x:v>
      </x:c>
      <x:c r="G195" s="90">
        <x:v>0</x:v>
      </x:c>
      <x:c r="H195" s="90">
        <x:v>0</x:v>
      </x:c>
      <x:c r="I195" s="90">
        <x:v>0</x:v>
      </x:c>
      <x:c r="J195" s="90">
        <x:v>0</x:v>
      </x:c>
      <x:c r="K195" s="90">
        <x:v>0</x:v>
      </x:c>
      <x:c r="L195" s="90">
        <x:v>0</x:v>
      </x:c>
      <x:c r="M195" s="90">
        <x:v>0</x:v>
      </x:c>
      <x:c r="N195" s="90">
        <x:v>0</x:v>
      </x:c>
      <x:c r="O195" s="90">
        <x:v>0</x:v>
      </x:c>
      <x:c r="P195" s="90">
        <x:v>0</x:v>
      </x:c>
      <x:c r="Q195" s="90">
        <x:v>0</x:v>
      </x:c>
      <x:c r="R195" s="90">
        <x:v>0</x:v>
      </x:c>
      <x:c r="S195" s="90">
        <x:v>0</x:v>
      </x:c>
      <x:c r="T195" s="90">
        <x:v>0</x:v>
      </x:c>
      <x:c r="U195" s="90">
        <x:v>0</x:v>
      </x:c>
      <x:c r="V195" s="90">
        <x:v>0</x:v>
      </x:c>
      <x:c r="W195" s="90">
        <x:v>0</x:v>
      </x:c>
      <x:c r="X195">
        <x:v>0</x:v>
      </x:c>
      <x:c r="Y195">
        <x:v>0</x:v>
      </x:c>
      <x:c r="Z195">
        <x:v>0</x:v>
      </x:c>
    </x:row>
    <x:row r="196" spans="2:26" ht="12.75" customHeight="1" x14ac:dyDescent="0.3">
      <x:c r="D196" s="89"/>
      <x:c r="E196" s="89" t="s">
        <x:v>73</x:v>
      </x:c>
      <x:c r="F196" s="371">
        <x:v>0</x:v>
      </x:c>
      <x:c r="G196" s="90">
        <x:v>0</x:v>
      </x:c>
      <x:c r="H196" s="90">
        <x:v>0</x:v>
      </x:c>
      <x:c r="I196" s="90">
        <x:v>0</x:v>
      </x:c>
      <x:c r="J196" s="90">
        <x:v>0</x:v>
      </x:c>
      <x:c r="K196" s="90">
        <x:v>0</x:v>
      </x:c>
      <x:c r="L196" s="90">
        <x:v>0</x:v>
      </x:c>
      <x:c r="M196" s="90">
        <x:v>0</x:v>
      </x:c>
      <x:c r="N196" s="90">
        <x:v>0</x:v>
      </x:c>
      <x:c r="O196" s="90">
        <x:v>0</x:v>
      </x:c>
      <x:c r="P196" s="90">
        <x:v>0</x:v>
      </x:c>
      <x:c r="Q196" s="90">
        <x:v>0</x:v>
      </x:c>
      <x:c r="R196" s="90">
        <x:v>0</x:v>
      </x:c>
      <x:c r="S196" s="90">
        <x:v>0</x:v>
      </x:c>
      <x:c r="T196" s="90">
        <x:v>0</x:v>
      </x:c>
      <x:c r="U196" s="90">
        <x:v>0</x:v>
      </x:c>
      <x:c r="V196" s="90">
        <x:v>0</x:v>
      </x:c>
      <x:c r="W196" s="90">
        <x:v>0</x:v>
      </x:c>
      <x:c r="X196">
        <x:v>0</x:v>
      </x:c>
      <x:c r="Y196">
        <x:v>0</x:v>
      </x:c>
      <x:c r="Z196">
        <x:v>0</x:v>
      </x:c>
    </x:row>
    <x:row r="197" spans="2:26" ht="12.75" customHeight="1" x14ac:dyDescent="0.3">
      <x:c r="D197" s="89" t="s">
        <x:v>116</x:v>
      </x:c>
      <x:c r="E197" s="89" t="s">
        <x:v>70</x:v>
      </x:c>
      <x:c r="F197" s="371">
        <x:v>0</x:v>
      </x:c>
      <x:c r="G197" s="90">
        <x:v>0</x:v>
      </x:c>
      <x:c r="H197" s="90">
        <x:v>0</x:v>
      </x:c>
      <x:c r="I197" s="90">
        <x:v>0</x:v>
      </x:c>
      <x:c r="J197" s="90">
        <x:v>0</x:v>
      </x:c>
      <x:c r="K197" s="90">
        <x:v>0</x:v>
      </x:c>
      <x:c r="L197" s="90">
        <x:v>0</x:v>
      </x:c>
      <x:c r="M197" s="90">
        <x:v>0</x:v>
      </x:c>
      <x:c r="N197" s="90">
        <x:v>0</x:v>
      </x:c>
      <x:c r="O197" s="90">
        <x:v>0</x:v>
      </x:c>
      <x:c r="P197" s="90">
        <x:v>0</x:v>
      </x:c>
      <x:c r="Q197" s="90">
        <x:v>0</x:v>
      </x:c>
      <x:c r="R197" s="90">
        <x:v>0</x:v>
      </x:c>
      <x:c r="S197" s="90">
        <x:v>0</x:v>
      </x:c>
      <x:c r="T197" s="90">
        <x:v>0</x:v>
      </x:c>
      <x:c r="U197" s="90">
        <x:v>0</x:v>
      </x:c>
      <x:c r="V197" s="90">
        <x:v>0</x:v>
      </x:c>
      <x:c r="W197" s="90">
        <x:v>0</x:v>
      </x:c>
      <x:c r="X197">
        <x:v>0</x:v>
      </x:c>
      <x:c r="Y197">
        <x:v>0</x:v>
      </x:c>
      <x:c r="Z197">
        <x:v>0</x:v>
      </x:c>
    </x:row>
    <x:row r="198" spans="2:26" ht="12.75" customHeight="1" x14ac:dyDescent="0.3">
      <x:c r="E198" s="89" t="s">
        <x:v>73</x:v>
      </x:c>
      <x:c r="F198" s="90">
        <x:v>0</x:v>
      </x:c>
      <x:c r="G198" s="90">
        <x:v>0</x:v>
      </x:c>
      <x:c r="H198" s="90">
        <x:v>0</x:v>
      </x:c>
      <x:c r="I198" s="90">
        <x:v>0</x:v>
      </x:c>
      <x:c r="J198" s="90">
        <x:v>0</x:v>
      </x:c>
      <x:c r="K198" s="90">
        <x:v>0</x:v>
      </x:c>
      <x:c r="L198" s="90">
        <x:v>0</x:v>
      </x:c>
      <x:c r="M198" s="90">
        <x:v>0</x:v>
      </x:c>
      <x:c r="N198" s="90">
        <x:v>0</x:v>
      </x:c>
      <x:c r="O198" s="90">
        <x:v>0</x:v>
      </x:c>
      <x:c r="P198" s="90">
        <x:v>0</x:v>
      </x:c>
      <x:c r="Q198" s="90">
        <x:v>0</x:v>
      </x:c>
      <x:c r="R198" s="90">
        <x:v>0</x:v>
      </x:c>
      <x:c r="S198" s="90">
        <x:v>0</x:v>
      </x:c>
      <x:c r="T198" s="90">
        <x:v>0</x:v>
      </x:c>
      <x:c r="U198" s="90">
        <x:v>0</x:v>
      </x:c>
      <x:c r="V198" s="90">
        <x:v>0</x:v>
      </x:c>
      <x:c r="W198" s="90">
        <x:v>0</x:v>
      </x:c>
      <x:c r="X198">
        <x:v>0</x:v>
      </x:c>
      <x:c r="Y198">
        <x:v>0</x:v>
      </x:c>
      <x:c r="Z198">
        <x:v>0</x:v>
      </x:c>
    </x:row>
    <x:row r="199" spans="2:26" ht="12.75" customHeight="1" x14ac:dyDescent="0.3">
      <x:c r="D199" s="89" t="s">
        <x:v>118</x:v>
      </x:c>
      <x:c r="E199" s="89" t="s">
        <x:v>70</x:v>
      </x:c>
      <x:c r="F199" s="90">
        <x:v>0</x:v>
      </x:c>
      <x:c r="G199" s="90">
        <x:v>0</x:v>
      </x:c>
      <x:c r="H199" s="90">
        <x:v>0</x:v>
      </x:c>
      <x:c r="I199" s="90">
        <x:v>0</x:v>
      </x:c>
      <x:c r="J199" s="90">
        <x:v>0</x:v>
      </x:c>
      <x:c r="K199" s="90">
        <x:v>0</x:v>
      </x:c>
      <x:c r="L199" s="90">
        <x:v>0</x:v>
      </x:c>
      <x:c r="M199" s="90">
        <x:v>0</x:v>
      </x:c>
      <x:c r="N199" s="90">
        <x:v>0</x:v>
      </x:c>
      <x:c r="O199" s="90">
        <x:v>0</x:v>
      </x:c>
      <x:c r="P199" s="90">
        <x:v>0</x:v>
      </x:c>
      <x:c r="Q199" s="90">
        <x:v>0</x:v>
      </x:c>
      <x:c r="R199" s="90">
        <x:v>0</x:v>
      </x:c>
      <x:c r="S199" s="90">
        <x:v>0</x:v>
      </x:c>
      <x:c r="T199" s="90">
        <x:v>0</x:v>
      </x:c>
      <x:c r="U199" s="90">
        <x:v>0</x:v>
      </x:c>
      <x:c r="V199" s="90">
        <x:v>0</x:v>
      </x:c>
      <x:c r="W199" s="90">
        <x:v>0</x:v>
      </x:c>
      <x:c r="X199">
        <x:v>0</x:v>
      </x:c>
      <x:c r="Y199">
        <x:v>0</x:v>
      </x:c>
      <x:c r="Z199">
        <x:v>0</x:v>
      </x:c>
    </x:row>
    <x:row r="200" spans="2:26" s="224" customFormat="1" ht="12.75" customHeight="1" x14ac:dyDescent="0.3">
      <x:c r="C200" s="223" t="s">
        <x:v>120</x:v>
      </x:c>
      <x:c r="D200" s="223" t="s">
        <x:v>70</x:v>
      </x:c>
      <x:c r="F200" s="225">
        <x:v>0</x:v>
      </x:c>
      <x:c r="G200" s="225">
        <x:v>0</x:v>
      </x:c>
      <x:c r="H200" s="225">
        <x:v>0</x:v>
      </x:c>
      <x:c r="I200" s="225">
        <x:v>0</x:v>
      </x:c>
      <x:c r="J200" s="225">
        <x:v>0</x:v>
      </x:c>
      <x:c r="K200" s="225">
        <x:v>0</x:v>
      </x:c>
      <x:c r="L200" s="225">
        <x:v>0</x:v>
      </x:c>
      <x:c r="M200" s="225">
        <x:v>0</x:v>
      </x:c>
      <x:c r="N200" s="225">
        <x:v>0</x:v>
      </x:c>
      <x:c r="O200" s="225">
        <x:v>0</x:v>
      </x:c>
      <x:c r="P200" s="225">
        <x:v>0</x:v>
      </x:c>
      <x:c r="Q200" s="225">
        <x:v>0</x:v>
      </x:c>
      <x:c r="R200" s="225">
        <x:v>0</x:v>
      </x:c>
      <x:c r="S200" s="225">
        <x:v>0</x:v>
      </x:c>
      <x:c r="T200" s="225">
        <x:v>0</x:v>
      </x:c>
      <x:c r="U200" s="225">
        <x:v>0</x:v>
      </x:c>
      <x:c r="V200" s="225">
        <x:v>0</x:v>
      </x:c>
      <x:c r="W200" s="225">
        <x:v>0</x:v>
      </x:c>
      <x:c r="X200" s="224">
        <x:v>0</x:v>
      </x:c>
      <x:c r="Y200" s="224">
        <x:v>0</x:v>
      </x:c>
      <x:c r="Z200" s="224">
        <x:v>0</x:v>
      </x:c>
    </x:row>
    <x:row r="201" spans="2:26" ht="12.75" customHeight="1" x14ac:dyDescent="0.3">
      <x:c r="E201" s="89" t="s">
        <x:v>73</x:v>
      </x:c>
      <x:c r="F201" s="90" t="n">
        <x:v>-31088475.78</x:v>
      </x:c>
      <x:c r="G201" s="90" t="n">
        <x:v>-571585.5</x:v>
      </x:c>
      <x:c r="H201" s="90" t="n">
        <x:v>-323201.35</x:v>
      </x:c>
      <x:c r="I201" s="90" t="n">
        <x:v>-169745.15</x:v>
      </x:c>
      <x:c r="J201" s="90" t="n">
        <x:v>-9735003.88</x:v>
      </x:c>
      <x:c r="K201" s="90" t="n">
        <x:v>-231454.24</x:v>
      </x:c>
      <x:c r="L201" s="90" t="n">
        <x:v>0</x:v>
      </x:c>
      <x:c r="M201" s="90" t="n">
        <x:v>-2030358.96</x:v>
      </x:c>
      <x:c r="N201" s="90" t="n">
        <x:v>-2877942.98</x:v>
      </x:c>
      <x:c r="O201" s="90" t="n">
        <x:v>-13713070.22</x:v>
      </x:c>
      <x:c r="P201" s="90" t="n">
        <x:v>-1058460.35</x:v>
      </x:c>
      <x:c r="Q201" s="90" t="n">
        <x:v>-377653.15</x:v>
      </x:c>
      <x:c r="R201" s="90" t="n">
        <x:v>0</x:v>
      </x:c>
      <x:c r="S201" s="90" t="n">
        <x:v>0</x:v>
      </x:c>
      <x:c r="T201" s="90" t="n">
        <x:v>0</x:v>
      </x:c>
      <x:c r="U201" s="90">
        <x:v>0</x:v>
      </x:c>
      <x:c r="V201" s="90">
        <x:v>0</x:v>
      </x:c>
      <x:c r="W201" s="90">
        <x:v>0</x:v>
      </x:c>
      <x:c r="X201">
        <x:v>0</x:v>
      </x:c>
      <x:c r="Y201">
        <x:v>0</x:v>
      </x:c>
      <x:c r="Z201" t="n">
        <x:v>0</x:v>
      </x:c>
    </x:row>
    <x:row r="202" spans="2:26" ht="12.75" customHeight="1" x14ac:dyDescent="0.3">
      <x:c r="D202" s="89" t="s">
        <x:v>82</x:v>
      </x:c>
      <x:c r="E202" s="89" t="s">
        <x:v>70</x:v>
      </x:c>
      <x:c r="F202" s="90" t="n">
        <x:v>-31088475.78</x:v>
      </x:c>
      <x:c r="G202" s="90" t="n">
        <x:v>-571585.5</x:v>
      </x:c>
      <x:c r="H202" s="90" t="n">
        <x:v>-323201.35</x:v>
      </x:c>
      <x:c r="I202" s="90" t="n">
        <x:v>-169745.15</x:v>
      </x:c>
      <x:c r="J202" s="90" t="n">
        <x:v>-9735003.88</x:v>
      </x:c>
      <x:c r="K202" s="90" t="n">
        <x:v>-231454.24</x:v>
      </x:c>
      <x:c r="L202" s="90" t="n">
        <x:v>0</x:v>
      </x:c>
      <x:c r="M202" s="90" t="n">
        <x:v>-2030358.96</x:v>
      </x:c>
      <x:c r="N202" s="90" t="n">
        <x:v>-2877942.98</x:v>
      </x:c>
      <x:c r="O202" s="90" t="n">
        <x:v>-13713070.22</x:v>
      </x:c>
      <x:c r="P202" s="90" t="n">
        <x:v>-1058460.35</x:v>
      </x:c>
      <x:c r="Q202" s="90" t="n">
        <x:v>-377653.15</x:v>
      </x:c>
      <x:c r="R202" s="90" t="n">
        <x:v>0</x:v>
      </x:c>
      <x:c r="S202" s="90" t="n">
        <x:v>0</x:v>
      </x:c>
      <x:c r="T202" s="90" t="n">
        <x:v>0</x:v>
      </x:c>
      <x:c r="U202" s="90">
        <x:v>0</x:v>
      </x:c>
      <x:c r="V202" s="90">
        <x:v>0</x:v>
      </x:c>
      <x:c r="W202" s="90">
        <x:v>0</x:v>
      </x:c>
      <x:c r="X202">
        <x:v>0</x:v>
      </x:c>
      <x:c r="Y202">
        <x:v>0</x:v>
      </x:c>
      <x:c r="Z202" t="n">
        <x:v>0</x:v>
      </x:c>
    </x:row>
    <x:row r="203" spans="2:26" ht="12.75" customHeight="1" x14ac:dyDescent="0.3">
      <x:c r="E203" s="89" t="s">
        <x:v>73</x:v>
      </x:c>
      <x:c r="F203" s="90" t="n">
        <x:v>-14182098.83</x:v>
      </x:c>
      <x:c r="G203" s="90" t="n">
        <x:v>1047560.36</x:v>
      </x:c>
      <x:c r="H203" s="90" t="n">
        <x:v>426887.4</x:v>
      </x:c>
      <x:c r="I203" s="90" t="n">
        <x:v>174177.04</x:v>
      </x:c>
      <x:c r="J203" s="90" t="n">
        <x:v>-6027627.33</x:v>
      </x:c>
      <x:c r="K203" s="90" t="n">
        <x:v>-184901.07</x:v>
      </x:c>
      <x:c r="L203" s="90" t="n">
        <x:v>0</x:v>
      </x:c>
      <x:c r="M203" s="90" t="n">
        <x:v>-1611487.73</x:v>
      </x:c>
      <x:c r="N203" s="90" t="n">
        <x:v>-1961629.86</x:v>
      </x:c>
      <x:c r="O203" s="90" t="n">
        <x:v>-8029657.61</x:v>
      </x:c>
      <x:c r="P203" s="90" t="n">
        <x:v>2286263.23</x:v>
      </x:c>
      <x:c r="Q203" s="90" t="n">
        <x:v>-301683.26</x:v>
      </x:c>
      <x:c r="R203" s="90" t="n">
        <x:v>0</x:v>
      </x:c>
      <x:c r="S203" s="90" t="n">
        <x:v>0</x:v>
      </x:c>
      <x:c r="T203" s="90" t="n">
        <x:v>0</x:v>
      </x:c>
      <x:c r="U203" s="90">
        <x:v>0</x:v>
      </x:c>
      <x:c r="V203" s="90">
        <x:v>0</x:v>
      </x:c>
      <x:c r="W203" s="90">
        <x:v>0</x:v>
      </x:c>
      <x:c r="X203">
        <x:v>0</x:v>
      </x:c>
      <x:c r="Y203">
        <x:v>0</x:v>
      </x:c>
      <x:c r="Z203" t="n">
        <x:v>0</x:v>
      </x:c>
    </x:row>
    <x:row r="204" spans="2:26" ht="12.75" customHeight="1" x14ac:dyDescent="0.3">
      <x:c r="D204" s="89" t="s">
        <x:v>86</x:v>
      </x:c>
      <x:c r="E204" s="89" t="s">
        <x:v>70</x:v>
      </x:c>
      <x:c r="F204" s="90" t="n">
        <x:v>-14182098.83</x:v>
      </x:c>
      <x:c r="G204" s="90" t="n">
        <x:v>1047560.36</x:v>
      </x:c>
      <x:c r="H204" s="90" t="n">
        <x:v>426887.4</x:v>
      </x:c>
      <x:c r="I204" s="90" t="n">
        <x:v>174177.04</x:v>
      </x:c>
      <x:c r="J204" s="90" t="n">
        <x:v>-6027627.33</x:v>
      </x:c>
      <x:c r="K204" s="90" t="n">
        <x:v>-184901.07</x:v>
      </x:c>
      <x:c r="L204" s="90" t="n">
        <x:v>0</x:v>
      </x:c>
      <x:c r="M204" s="90" t="n">
        <x:v>-1611487.73</x:v>
      </x:c>
      <x:c r="N204" s="90" t="n">
        <x:v>-1961629.86</x:v>
      </x:c>
      <x:c r="O204" s="90" t="n">
        <x:v>-8029657.61</x:v>
      </x:c>
      <x:c r="P204" s="90" t="n">
        <x:v>2286263.23</x:v>
      </x:c>
      <x:c r="Q204" s="90" t="n">
        <x:v>-301683.26</x:v>
      </x:c>
      <x:c r="R204" s="90" t="n">
        <x:v>0</x:v>
      </x:c>
      <x:c r="S204" s="90" t="n">
        <x:v>0</x:v>
      </x:c>
      <x:c r="T204" s="90" t="n">
        <x:v>0</x:v>
      </x:c>
      <x:c r="U204" s="90">
        <x:v>0</x:v>
      </x:c>
      <x:c r="V204" s="90">
        <x:v>0</x:v>
      </x:c>
      <x:c r="W204" s="90">
        <x:v>0</x:v>
      </x:c>
      <x:c r="X204">
        <x:v>0</x:v>
      </x:c>
      <x:c r="Y204">
        <x:v>0</x:v>
      </x:c>
      <x:c r="Z204" t="n">
        <x:v>0</x:v>
      </x:c>
    </x:row>
    <x:row r="205" spans="2:26" ht="12.75" customHeight="1" x14ac:dyDescent="0.3">
      <x:c r="E205" s="89" t="s">
        <x:v>73</x:v>
      </x:c>
      <x:c r="F205" s="90" t="n">
        <x:v>195871960.86</x:v>
      </x:c>
      <x:c r="G205" s="90" t="n">
        <x:v>49845911.24</x:v>
      </x:c>
      <x:c r="H205" s="90" t="n">
        <x:v>28086644.11</x:v>
      </x:c>
      <x:c r="I205" s="90" t="n">
        <x:v>14936846.68</x:v>
      </x:c>
      <x:c r="J205" s="90" t="n">
        <x:v>1502048.34</x:v>
      </x:c>
      <x:c r="K205" s="90" t="n">
        <x:v>29601.67</x:v>
      </x:c>
      <x:c r="L205" s="90" t="n">
        <x:v>0</x:v>
      </x:c>
      <x:c r="M205" s="90" t="n">
        <x:v>250884.17</x:v>
      </x:c>
      <x:c r="N205" s="90" t="n">
        <x:v>327364.29</x:v>
      </x:c>
      <x:c r="O205" s="90" t="n">
        <x:v>1552212.7</x:v>
      </x:c>
      <x:c r="P205" s="90" t="n">
        <x:v>99292242.28</x:v>
      </x:c>
      <x:c r="Q205" s="90" t="n">
        <x:v>48205.38</x:v>
      </x:c>
      <x:c r="R205" s="90" t="n">
        <x:v>0</x:v>
      </x:c>
      <x:c r="S205" s="90" t="n">
        <x:v>0</x:v>
      </x:c>
      <x:c r="T205" s="90" t="n">
        <x:v>0</x:v>
      </x:c>
      <x:c r="U205" s="90">
        <x:v>0</x:v>
      </x:c>
      <x:c r="V205" s="90">
        <x:v>0</x:v>
      </x:c>
      <x:c r="W205" s="90">
        <x:v>0</x:v>
      </x:c>
      <x:c r="X205">
        <x:v>0</x:v>
      </x:c>
      <x:c r="Y205">
        <x:v>0</x:v>
      </x:c>
      <x:c r="Z205" t="n">
        <x:v>0</x:v>
      </x:c>
    </x:row>
    <x:row r="206" spans="2:26" ht="12.75" customHeight="1" x14ac:dyDescent="0.3">
      <x:c r="D206" s="89" t="s">
        <x:v>87</x:v>
      </x:c>
      <x:c r="E206" s="89" t="s">
        <x:v>70</x:v>
      </x:c>
      <x:c r="F206" s="90" t="n">
        <x:v>195871960.86</x:v>
      </x:c>
      <x:c r="G206" s="90" t="n">
        <x:v>49845911.24</x:v>
      </x:c>
      <x:c r="H206" s="90" t="n">
        <x:v>28086644.11</x:v>
      </x:c>
      <x:c r="I206" s="90" t="n">
        <x:v>14936846.68</x:v>
      </x:c>
      <x:c r="J206" s="90" t="n">
        <x:v>1502048.34</x:v>
      </x:c>
      <x:c r="K206" s="90" t="n">
        <x:v>29601.67</x:v>
      </x:c>
      <x:c r="L206" s="90" t="n">
        <x:v>0</x:v>
      </x:c>
      <x:c r="M206" s="90" t="n">
        <x:v>250884.17</x:v>
      </x:c>
      <x:c r="N206" s="90" t="n">
        <x:v>327364.29</x:v>
      </x:c>
      <x:c r="O206" s="90" t="n">
        <x:v>1552212.7</x:v>
      </x:c>
      <x:c r="P206" s="90" t="n">
        <x:v>99292242.28</x:v>
      </x:c>
      <x:c r="Q206" s="90" t="n">
        <x:v>48205.38</x:v>
      </x:c>
      <x:c r="R206" s="90" t="n">
        <x:v>0</x:v>
      </x:c>
      <x:c r="S206" s="90" t="n">
        <x:v>0</x:v>
      </x:c>
      <x:c r="T206" s="90" t="n">
        <x:v>0</x:v>
      </x:c>
      <x:c r="U206" s="90">
        <x:v>0</x:v>
      </x:c>
      <x:c r="V206" s="90">
        <x:v>0</x:v>
      </x:c>
      <x:c r="W206" s="90">
        <x:v>0</x:v>
      </x:c>
      <x:c r="X206">
        <x:v>0</x:v>
      </x:c>
      <x:c r="Y206">
        <x:v>0</x:v>
      </x:c>
      <x:c r="Z206" t="n">
        <x:v>0</x:v>
      </x:c>
    </x:row>
    <x:row r="207" spans="2:26" s="94" customFormat="1" ht="12.75" customHeight="1" x14ac:dyDescent="0.3">
      <x:c r="C207" s="101" t="s">
        <x:v>119</x:v>
      </x:c>
      <x:c r="D207" s="101" t="s">
        <x:v>70</x:v>
      </x:c>
      <x:c r="F207" s="93" t="n">
        <x:v>150601386.25</x:v>
      </x:c>
      <x:c r="G207" s="93" t="n">
        <x:v>50321886.1</x:v>
      </x:c>
      <x:c r="H207" s="93" t="n">
        <x:v>28190330.16</x:v>
      </x:c>
      <x:c r="I207" s="93" t="n">
        <x:v>14941278.57</x:v>
      </x:c>
      <x:c r="J207" s="93" t="n">
        <x:v>-14260582.87</x:v>
      </x:c>
      <x:c r="K207" s="93" t="n">
        <x:v>-386753.64</x:v>
      </x:c>
      <x:c r="L207" s="93" t="n">
        <x:v>0</x:v>
      </x:c>
      <x:c r="M207" s="93" t="n">
        <x:v>-3390962.52</x:v>
      </x:c>
      <x:c r="N207" s="93" t="n">
        <x:v>-4512208.55</x:v>
      </x:c>
      <x:c r="O207" s="93" t="n">
        <x:v>-20190515.13</x:v>
      </x:c>
      <x:c r="P207" s="93" t="n">
        <x:v>100520045.16</x:v>
      </x:c>
      <x:c r="Q207" s="93" t="n">
        <x:v>-631131.03</x:v>
      </x:c>
      <x:c r="R207" s="93" t="n">
        <x:v>0</x:v>
      </x:c>
      <x:c r="S207" s="93" t="n">
        <x:v>0</x:v>
      </x:c>
      <x:c r="T207" s="93" t="n">
        <x:v>0</x:v>
      </x:c>
      <x:c r="U207" s="93">
        <x:v>0</x:v>
      </x:c>
      <x:c r="V207" s="93">
        <x:v>0</x:v>
      </x:c>
      <x:c r="W207" s="93">
        <x:v>0</x:v>
      </x:c>
      <x:c r="X207" s="94">
        <x:v>0</x:v>
      </x:c>
      <x:c r="Y207" s="94">
        <x:v>0</x:v>
      </x:c>
      <x:c r="Z207" s="94" t="n">
        <x:v>0</x:v>
      </x:c>
    </x:row>
    <x:row r="208" spans="2:26" s="226" customFormat="1" ht="12.75" customHeight="1" x14ac:dyDescent="0.3">
      <x:c r="B208" s="98" t="s">
        <x:v>112</x:v>
      </x:c>
      <x:c r="C208" s="98" t="s">
        <x:v>70</x:v>
      </x:c>
      <x:c r="F208" s="100" t="n">
        <x:v>-3267495564.6</x:v>
      </x:c>
      <x:c r="G208" s="100" t="n">
        <x:v>-30229702.95</x:v>
      </x:c>
      <x:c r="H208" s="100" t="n">
        <x:v>-16567916.45</x:v>
      </x:c>
      <x:c r="I208" s="100" t="n">
        <x:v>-8813497.5</x:v>
      </x:c>
      <x:c r="J208" s="100" t="n">
        <x:v>-1012960247.51</x:v>
      </x:c>
      <x:c r="K208" s="100" t="n">
        <x:v>-36063910</x:v>
      </x:c>
      <x:c r="L208" s="100" t="n">
        <x:v>0</x:v>
      </x:c>
      <x:c r="M208" s="100" t="n">
        <x:v>-316379552.59</x:v>
      </x:c>
      <x:c r="N208" s="100" t="n">
        <x:v>-302191158.04</x:v>
      </x:c>
      <x:c r="O208" s="100" t="n">
        <x:v>-1436344526.09</x:v>
      </x:c>
      <x:c r="P208" s="100" t="n">
        <x:v>-49101613.28</x:v>
      </x:c>
      <x:c r="Q208" s="100" t="n">
        <x:v>-58843440.19</x:v>
      </x:c>
      <x:c r="R208" s="100" t="n">
        <x:v>0</x:v>
      </x:c>
      <x:c r="S208" s="100" t="n">
        <x:v>0</x:v>
      </x:c>
      <x:c r="T208" s="100" t="n">
        <x:v>0</x:v>
      </x:c>
      <x:c r="U208" s="100">
        <x:v>0</x:v>
      </x:c>
      <x:c r="V208" s="100">
        <x:v>0</x:v>
      </x:c>
      <x:c r="W208" s="100">
        <x:v>0</x:v>
      </x:c>
      <x:c r="X208" s="226">
        <x:v>0</x:v>
      </x:c>
      <x:c r="Y208" s="226">
        <x:v>0</x:v>
      </x:c>
      <x:c r="Z208" s="226" t="n">
        <x:v>0</x:v>
      </x:c>
    </x:row>
    <x:row r="209" spans="1:26" ht="12.75" customHeight="1" x14ac:dyDescent="0.3">
      <x:c r="A209" s="89" t="s">
        <x:v>79</x:v>
      </x:c>
      <x:c r="B209" s="89" t="s">
        <x:v>70</x:v>
      </x:c>
      <x:c r="F209" s="90" t="n">
        <x:v>-3269544673.22</x:v>
      </x:c>
      <x:c r="G209" s="90" t="n">
        <x:v>-30279793.77</x:v>
      </x:c>
      <x:c r="H209" s="90" t="n">
        <x:v>-16596127.04</x:v>
      </x:c>
      <x:c r="I209" s="90" t="n">
        <x:v>-8828497.91</x:v>
      </x:c>
      <x:c r="J209" s="90" t="n">
        <x:v>-1013544638.79</x:v>
      </x:c>
      <x:c r="K209" s="90" t="n">
        <x:v>-36079736.78</x:v>
      </x:c>
      <x:c r="L209" s="90" t="n">
        <x:v>0</x:v>
      </x:c>
      <x:c r="M209" s="90" t="n">
        <x:v>-316518386.75</x:v>
      </x:c>
      <x:c r="N209" s="90" t="n">
        <x:v>-302380530.62</x:v>
      </x:c>
      <x:c r="O209" s="90" t="n">
        <x:v>-1437248543.84</x:v>
      </x:c>
      <x:c r="P209" s="90" t="n">
        <x:v>-49199154.41</x:v>
      </x:c>
      <x:c r="Q209" s="90" t="n">
        <x:v>-58869263.31</x:v>
      </x:c>
      <x:c r="R209" s="90" t="n">
        <x:v>0</x:v>
      </x:c>
      <x:c r="S209" s="90" t="n">
        <x:v>0</x:v>
      </x:c>
      <x:c r="T209" s="90" t="n">
        <x:v>0</x:v>
      </x:c>
      <x:c r="U209" s="90">
        <x:v>0</x:v>
      </x:c>
      <x:c r="V209" s="90">
        <x:v>0</x:v>
      </x:c>
      <x:c r="W209" s="90">
        <x:v>0</x:v>
      </x:c>
      <x:c r="X209">
        <x:v>0</x:v>
      </x:c>
      <x:c r="Y209">
        <x:v>0</x:v>
      </x:c>
      <x:c r="Z209" t="n">
        <x:v>0</x:v>
      </x:c>
    </x:row>
    <x:row r="210" spans="1:26" ht="12.75" customHeight="1" x14ac:dyDescent="0.3">
      <x:c r="A210" s="89" t="s">
        <x:v>70</x:v>
      </x:c>
      <x:c r="F210" s="90" t="n">
        <x:v>11238640614.9</x:v>
      </x:c>
      <x:c r="G210" s="90" t="n">
        <x:v>843626350.31</x:v>
      </x:c>
      <x:c r="H210" s="90" t="n">
        <x:v>467234066.26</x:v>
      </x:c>
      <x:c r="I210" s="90" t="n">
        <x:v>247677420.33</x:v>
      </x:c>
      <x:c r="J210" s="90" t="n">
        <x:v>2563011989.36</x:v>
      </x:c>
      <x:c r="K210" s="90" t="n">
        <x:v>90627303.06</x:v>
      </x:c>
      <x:c r="L210" s="90" t="n">
        <x:v>9834335.81</x:v>
      </x:c>
      <x:c r="M210" s="90" t="n">
        <x:v>795176288.37</x:v>
      </x:c>
      <x:c r="N210" s="90" t="n">
        <x:v>766701280.55</x:v>
      </x:c>
      <x:c r="O210" s="90" t="n">
        <x:v>3641899856.28</x:v>
      </x:c>
      <x:c r="P210" s="90" t="n">
        <x:v>1664899060.93</x:v>
      </x:c>
      <x:c r="Q210" s="90" t="n">
        <x:v>148023277.7</x:v>
      </x:c>
      <x:c r="R210" s="90" t="n">
        <x:v>-14306.29</x:v>
      </x:c>
      <x:c r="S210" s="90" t="n">
        <x:v>-56307.56</x:v>
      </x:c>
      <x:c r="T210" s="90" t="n">
        <x:v>0.4</x:v>
      </x:c>
      <x:c r="U210" s="90">
        <x:v>0</x:v>
      </x:c>
      <x:c r="V210" s="90">
        <x:v>0</x:v>
      </x:c>
      <x:c r="W210" s="90">
        <x:v>0</x:v>
      </x:c>
      <x:c r="X210">
        <x:v>0</x:v>
      </x:c>
      <x:c r="Y210">
        <x:v>0</x:v>
      </x:c>
      <x:c r="Z210" t="n">
        <x:v>-0.61</x:v>
      </x:c>
    </x:row>
    <x:row r="211" spans="1:26" ht="12.75" customHeight="1" x14ac:dyDescent="0.3">
      <x:c r="A211" s="89"/>
      <x:c r="D211" s="89"/>
      <x:c r="E211" s="89"/>
      <x:c r="F211" s="90"/>
      <x:c r="G211" s="90"/>
      <x:c r="H211" s="90"/>
      <x:c r="I211" s="90"/>
      <x:c r="J211" s="90"/>
      <x:c r="K211" s="90"/>
      <x:c r="L211" s="90"/>
      <x:c r="M211" s="90"/>
      <x:c r="N211" s="90"/>
      <x:c r="O211" s="90"/>
      <x:c r="P211" s="90"/>
      <x:c r="Q211" s="90"/>
      <x:c r="R211" s="90"/>
      <x:c r="S211" s="90"/>
    </x:row>
    <x:row r="212" spans="1:26" ht="12.75" customHeight="1" x14ac:dyDescent="0.3">
      <x:c r="A212" s="89"/>
      <x:c r="C212" s="89"/>
      <x:c r="D212" s="89"/>
      <x:c r="F212" s="90"/>
      <x:c r="G212" s="90"/>
      <x:c r="H212" s="90"/>
      <x:c r="I212" s="90"/>
      <x:c r="J212" s="90"/>
      <x:c r="K212" s="90"/>
      <x:c r="L212" s="90"/>
      <x:c r="M212" s="90"/>
      <x:c r="N212" s="90"/>
      <x:c r="O212" s="90"/>
      <x:c r="P212" s="90"/>
      <x:c r="Q212" s="90"/>
      <x:c r="R212" s="90"/>
      <x:c r="S212" s="90"/>
    </x:row>
    <x:row r="213" spans="1:26" ht="12.75" hidden="1" customHeight="1" x14ac:dyDescent="0.3">
      <x:c r="A213" s="89"/>
      <x:c r="E213" s="89"/>
      <x:c r="F213" s="90"/>
      <x:c r="G213" s="90"/>
      <x:c r="H213" s="90"/>
      <x:c r="I213" s="90"/>
      <x:c r="J213" s="90"/>
      <x:c r="K213" s="90"/>
      <x:c r="L213" s="90"/>
      <x:c r="M213" s="90"/>
      <x:c r="N213" s="90"/>
      <x:c r="O213" s="90"/>
      <x:c r="P213" s="90"/>
      <x:c r="Q213" s="90"/>
      <x:c r="R213" s="90"/>
      <x:c r="S213" s="90"/>
    </x:row>
    <x:row r="214" spans="1:26" ht="12.75" hidden="1" customHeight="1" x14ac:dyDescent="0.3">
      <x:c r="A214" s="89"/>
      <x:c r="D214" s="89"/>
      <x:c r="E214" s="89"/>
      <x:c r="F214" s="90"/>
      <x:c r="G214" s="90"/>
      <x:c r="H214" s="90"/>
      <x:c r="I214" s="90"/>
      <x:c r="J214" s="90"/>
      <x:c r="K214" s="90"/>
      <x:c r="L214" s="90"/>
      <x:c r="M214" s="90"/>
      <x:c r="N214" s="90"/>
      <x:c r="O214" s="90"/>
      <x:c r="P214" s="90"/>
      <x:c r="Q214" s="90"/>
      <x:c r="R214" s="90"/>
      <x:c r="S214" s="90"/>
    </x:row>
    <x:row r="215" spans="1:26" ht="12.75" hidden="1" customHeight="1" x14ac:dyDescent="0.3">
      <x:c r="A215" s="89"/>
      <x:c r="E215" s="89"/>
      <x:c r="F215" s="90"/>
      <x:c r="G215" s="90"/>
      <x:c r="H215" s="90"/>
      <x:c r="I215" s="90"/>
      <x:c r="J215" s="90"/>
      <x:c r="K215" s="90"/>
      <x:c r="L215" s="90"/>
      <x:c r="M215" s="90"/>
      <x:c r="N215" s="90"/>
      <x:c r="O215" s="90"/>
      <x:c r="P215" s="90"/>
      <x:c r="Q215" s="90"/>
      <x:c r="R215" s="90"/>
      <x:c r="S215" s="90"/>
    </x:row>
    <x:row r="216" spans="1:26" ht="12.75" hidden="1" customHeight="1" x14ac:dyDescent="0.3">
      <x:c r="A216" s="89"/>
      <x:c r="D216" s="89"/>
      <x:c r="E216" s="89"/>
      <x:c r="F216" s="90"/>
      <x:c r="G216" s="90"/>
      <x:c r="H216" s="90"/>
      <x:c r="I216" s="90"/>
      <x:c r="J216" s="90"/>
      <x:c r="K216" s="90"/>
      <x:c r="L216" s="90"/>
      <x:c r="M216" s="90"/>
      <x:c r="N216" s="90"/>
      <x:c r="O216" s="90"/>
      <x:c r="P216" s="90"/>
      <x:c r="Q216" s="90"/>
      <x:c r="R216" s="90"/>
      <x:c r="S216" s="90"/>
    </x:row>
    <x:row r="217" spans="1:26" ht="12.75" hidden="1" customHeight="1" x14ac:dyDescent="0.3">
      <x:c r="A217" s="89"/>
      <x:c r="E217" s="89"/>
      <x:c r="F217" s="90"/>
      <x:c r="G217" s="90"/>
      <x:c r="H217" s="90"/>
      <x:c r="I217" s="90"/>
      <x:c r="J217" s="90"/>
      <x:c r="K217" s="90"/>
      <x:c r="L217" s="90"/>
      <x:c r="M217" s="90"/>
      <x:c r="N217" s="90"/>
      <x:c r="O217" s="90"/>
      <x:c r="P217" s="90"/>
      <x:c r="Q217" s="90"/>
      <x:c r="R217" s="90"/>
      <x:c r="S217" s="90"/>
    </x:row>
    <x:row r="218" spans="1:26" ht="12.75" hidden="1" customHeight="1" x14ac:dyDescent="0.3">
      <x:c r="A218" s="89"/>
      <x:c r="D218" s="89"/>
      <x:c r="E218" s="89"/>
      <x:c r="F218" s="90"/>
      <x:c r="G218" s="90"/>
      <x:c r="H218" s="90"/>
      <x:c r="I218" s="90"/>
      <x:c r="J218" s="90"/>
      <x:c r="K218" s="90"/>
      <x:c r="L218" s="90"/>
      <x:c r="M218" s="90"/>
      <x:c r="N218" s="90"/>
      <x:c r="O218" s="90"/>
      <x:c r="P218" s="90"/>
      <x:c r="Q218" s="90"/>
      <x:c r="R218" s="90"/>
      <x:c r="S218" s="90"/>
    </x:row>
    <x:row r="219" spans="1:26" ht="12.75" hidden="1" customHeight="1" x14ac:dyDescent="0.3">
      <x:c r="A219" s="89"/>
      <x:c r="C219" s="89"/>
      <x:c r="D219" s="89"/>
      <x:c r="F219" s="90"/>
      <x:c r="G219" s="90"/>
      <x:c r="H219" s="90"/>
      <x:c r="I219" s="90"/>
      <x:c r="J219" s="90"/>
      <x:c r="K219" s="90"/>
      <x:c r="L219" s="90"/>
      <x:c r="M219" s="90"/>
      <x:c r="N219" s="90"/>
      <x:c r="O219" s="90"/>
      <x:c r="P219" s="90"/>
      <x:c r="Q219" s="90"/>
      <x:c r="R219" s="90"/>
      <x:c r="S219" s="90"/>
    </x:row>
    <x:row r="220" spans="1:26" ht="12.75" hidden="1" customHeight="1" x14ac:dyDescent="0.3">
      <x:c r="A220" s="89"/>
      <x:c r="B220" s="89"/>
      <x:c r="C220" s="89"/>
      <x:c r="F220" s="90"/>
      <x:c r="G220" s="90"/>
      <x:c r="H220" s="90"/>
      <x:c r="I220" s="90"/>
      <x:c r="J220" s="90"/>
      <x:c r="K220" s="90"/>
      <x:c r="L220" s="90"/>
      <x:c r="M220" s="90"/>
      <x:c r="N220" s="90"/>
      <x:c r="O220" s="90"/>
      <x:c r="P220" s="90"/>
      <x:c r="Q220" s="90"/>
      <x:c r="R220" s="90"/>
      <x:c r="S220" s="90"/>
    </x:row>
    <x:row r="221" spans="1:26" ht="12.75" hidden="1" customHeight="1" x14ac:dyDescent="0.3">
      <x:c r="A221" s="89"/>
      <x:c r="B221" s="89"/>
      <x:c r="F221" s="90"/>
      <x:c r="G221" s="90"/>
      <x:c r="H221" s="90"/>
      <x:c r="I221" s="90"/>
      <x:c r="J221" s="90"/>
      <x:c r="K221" s="90"/>
      <x:c r="L221" s="90"/>
      <x:c r="M221" s="90"/>
      <x:c r="N221" s="90"/>
      <x:c r="O221" s="90"/>
      <x:c r="P221" s="90"/>
      <x:c r="Q221" s="90"/>
      <x:c r="R221" s="90"/>
      <x:c r="S221" s="90"/>
    </x:row>
    <x:row r="222" spans="1:26" ht="12.75" hidden="1" customHeight="1" x14ac:dyDescent="0.3">
      <x:c r="A222" s="89"/>
      <x:c r="F222" s="90"/>
      <x:c r="G222" s="90"/>
      <x:c r="H222" s="90"/>
      <x:c r="I222" s="90"/>
      <x:c r="J222" s="90"/>
      <x:c r="K222" s="90"/>
      <x:c r="L222" s="90"/>
      <x:c r="M222" s="90"/>
      <x:c r="N222" s="90"/>
      <x:c r="O222" s="90"/>
      <x:c r="P222" s="90"/>
      <x:c r="Q222" s="90"/>
      <x:c r="R222" s="90"/>
      <x:c r="S222" s="90"/>
    </x:row>
    <x:row r="223" spans="1:26" ht="12.75" hidden="1" customHeight="1" x14ac:dyDescent="0.3">
      <x:c r="A223" s="89"/>
      <x:c r="B223" s="89"/>
      <x:c r="F223" s="90"/>
      <x:c r="G223" s="90"/>
      <x:c r="H223" s="90"/>
      <x:c r="I223" s="90"/>
      <x:c r="J223" s="90"/>
      <x:c r="K223" s="90"/>
      <x:c r="L223" s="90"/>
      <x:c r="M223" s="90"/>
      <x:c r="N223" s="90"/>
      <x:c r="O223" s="90"/>
      <x:c r="P223" s="90"/>
      <x:c r="Q223" s="90"/>
      <x:c r="R223" s="90"/>
      <x:c r="S223" s="90"/>
    </x:row>
    <x:row r="224" spans="1:26" ht="12.75" hidden="1" customHeight="1" x14ac:dyDescent="0.3">
      <x:c r="A224" s="89"/>
      <x:c r="F224" s="90"/>
      <x:c r="G224" s="90"/>
      <x:c r="H224" s="90"/>
      <x:c r="I224" s="90"/>
      <x:c r="J224" s="90"/>
      <x:c r="K224" s="90"/>
      <x:c r="L224" s="90"/>
      <x:c r="M224" s="90"/>
      <x:c r="N224" s="90"/>
      <x:c r="O224" s="90"/>
      <x:c r="P224" s="90"/>
      <x:c r="Q224" s="90"/>
      <x:c r="R224" s="90"/>
      <x:c r="S224" s="90"/>
    </x:row>
    <x:row r="225" spans="1:19" ht="12.75" hidden="1" customHeight="1" x14ac:dyDescent="0.3">
      <x:c r="A225" s="89"/>
      <x:c r="F225" s="90"/>
      <x:c r="G225" s="90"/>
      <x:c r="H225" s="90"/>
      <x:c r="I225" s="90"/>
      <x:c r="J225" s="90"/>
      <x:c r="K225" s="90"/>
      <x:c r="L225" s="90"/>
      <x:c r="M225" s="90"/>
      <x:c r="N225" s="90"/>
      <x:c r="O225" s="90"/>
      <x:c r="P225" s="90"/>
      <x:c r="Q225" s="90"/>
      <x:c r="R225" s="90"/>
      <x:c r="S225" s="90"/>
    </x:row>
    <x:row r="226" spans="1:19" ht="12.75" hidden="1" customHeight="1" x14ac:dyDescent="0.3">
      <x:c r="A226" s="89"/>
      <x:c r="F226" s="90"/>
      <x:c r="G226" s="90"/>
      <x:c r="H226" s="90"/>
      <x:c r="I226" s="90"/>
      <x:c r="J226" s="90"/>
      <x:c r="K226" s="90"/>
      <x:c r="L226" s="90"/>
      <x:c r="M226" s="90"/>
      <x:c r="N226" s="90"/>
      <x:c r="O226" s="90"/>
      <x:c r="P226" s="90"/>
      <x:c r="Q226" s="90"/>
      <x:c r="R226" s="90"/>
      <x:c r="S226" s="90"/>
    </x:row>
    <x:row r="227" spans="1:19" ht="12.75" hidden="1" customHeight="1" x14ac:dyDescent="0.3">
      <x:c r="A227" s="89"/>
      <x:c r="F227" s="90"/>
      <x:c r="G227" s="90"/>
      <x:c r="H227" s="90"/>
      <x:c r="I227" s="90"/>
      <x:c r="J227" s="90"/>
      <x:c r="K227" s="90"/>
      <x:c r="L227" s="90"/>
      <x:c r="M227" s="90"/>
      <x:c r="N227" s="90"/>
      <x:c r="O227" s="90"/>
      <x:c r="P227" s="90"/>
      <x:c r="Q227" s="90"/>
      <x:c r="R227" s="90"/>
      <x:c r="S227" s="90"/>
    </x:row>
    <x:row r="228" spans="1:19" ht="12.75" hidden="1" customHeight="1" x14ac:dyDescent="0.3">
      <x:c r="A228" s="89"/>
      <x:c r="F228" s="90"/>
      <x:c r="G228" s="90"/>
      <x:c r="H228" s="90"/>
      <x:c r="I228" s="90"/>
      <x:c r="J228" s="90"/>
      <x:c r="K228" s="90"/>
      <x:c r="L228" s="90"/>
      <x:c r="M228" s="90"/>
      <x:c r="N228" s="90"/>
      <x:c r="O228" s="90"/>
      <x:c r="P228" s="90"/>
      <x:c r="Q228" s="90"/>
      <x:c r="R228" s="90"/>
      <x:c r="S228" s="90"/>
    </x:row>
    <x:row r="229" spans="1:19" ht="12.75" hidden="1" customHeight="1" x14ac:dyDescent="0.3">
      <x:c r="A229" s="89"/>
      <x:c r="F229" s="90"/>
      <x:c r="G229" s="90"/>
      <x:c r="H229" s="90"/>
      <x:c r="I229" s="90"/>
      <x:c r="J229" s="90"/>
      <x:c r="K229" s="90"/>
      <x:c r="L229" s="90"/>
      <x:c r="M229" s="90"/>
      <x:c r="N229" s="90"/>
      <x:c r="O229" s="90"/>
      <x:c r="P229" s="90"/>
      <x:c r="Q229" s="90"/>
      <x:c r="R229" s="90"/>
      <x:c r="S229" s="90"/>
    </x:row>
    <x:row r="230" spans="1:19" ht="12.75" hidden="1" customHeight="1" x14ac:dyDescent="0.3">
      <x:c r="A230" s="89"/>
      <x:c r="F230" s="90"/>
      <x:c r="G230" s="90"/>
      <x:c r="H230" s="90"/>
      <x:c r="I230" s="90"/>
      <x:c r="J230" s="90"/>
      <x:c r="K230" s="90"/>
      <x:c r="L230" s="90"/>
      <x:c r="M230" s="90"/>
      <x:c r="N230" s="90"/>
      <x:c r="O230" s="90"/>
      <x:c r="P230" s="90"/>
      <x:c r="Q230" s="90"/>
      <x:c r="R230" s="90"/>
      <x:c r="S230" s="90"/>
    </x:row>
    <x:row r="231" spans="1:19" ht="12.75" hidden="1" customHeight="1" x14ac:dyDescent="0.3">
      <x:c r="A231" s="89"/>
      <x:c r="F231" s="90"/>
      <x:c r="G231" s="90"/>
      <x:c r="H231" s="90"/>
      <x:c r="I231" s="90"/>
      <x:c r="J231" s="90"/>
      <x:c r="K231" s="90"/>
      <x:c r="L231" s="90"/>
      <x:c r="M231" s="90"/>
      <x:c r="N231" s="90"/>
      <x:c r="O231" s="90"/>
      <x:c r="P231" s="90"/>
      <x:c r="Q231" s="90"/>
      <x:c r="R231" s="90"/>
      <x:c r="S231" s="90"/>
    </x:row>
    <x:row r="232" spans="1:19" ht="12.75" hidden="1" customHeight="1" x14ac:dyDescent="0.3">
      <x:c r="A232" s="89"/>
      <x:c r="F232" s="90"/>
      <x:c r="G232" s="90"/>
      <x:c r="H232" s="90"/>
      <x:c r="I232" s="90"/>
      <x:c r="J232" s="90"/>
      <x:c r="K232" s="90"/>
      <x:c r="L232" s="90"/>
      <x:c r="M232" s="90"/>
      <x:c r="N232" s="90"/>
      <x:c r="O232" s="90"/>
      <x:c r="P232" s="90"/>
      <x:c r="Q232" s="90"/>
      <x:c r="R232" s="90"/>
      <x:c r="S232" s="90"/>
    </x:row>
    <x:row r="233" spans="1:19" ht="12.75" hidden="1" customHeight="1" x14ac:dyDescent="0.3">
      <x:c r="A233" s="89"/>
      <x:c r="F233" s="90"/>
      <x:c r="G233" s="90"/>
      <x:c r="H233" s="90"/>
      <x:c r="I233" s="90"/>
      <x:c r="J233" s="90"/>
      <x:c r="K233" s="90"/>
      <x:c r="L233" s="90"/>
      <x:c r="M233" s="90"/>
      <x:c r="N233" s="90"/>
      <x:c r="O233" s="90"/>
      <x:c r="P233" s="90"/>
      <x:c r="Q233" s="90"/>
      <x:c r="R233" s="90"/>
      <x:c r="S233" s="90"/>
    </x:row>
    <x:row r="234" spans="1:19" ht="12.75" hidden="1" customHeight="1" x14ac:dyDescent="0.3">
      <x:c r="A234" s="89"/>
      <x:c r="F234" s="90"/>
      <x:c r="G234" s="90"/>
      <x:c r="H234" s="90"/>
      <x:c r="I234" s="90"/>
      <x:c r="J234" s="90"/>
      <x:c r="K234" s="90"/>
      <x:c r="L234" s="90"/>
      <x:c r="M234" s="90"/>
      <x:c r="N234" s="90"/>
      <x:c r="O234" s="90"/>
      <x:c r="P234" s="90"/>
      <x:c r="Q234" s="90"/>
      <x:c r="R234" s="90"/>
      <x:c r="S234" s="90"/>
    </x:row>
    <x:row r="235" spans="1:19" ht="12.75" hidden="1" customHeight="1" x14ac:dyDescent="0.3">
      <x:c r="A235" s="89"/>
      <x:c r="F235" s="90"/>
      <x:c r="G235" s="90"/>
      <x:c r="H235" s="90"/>
      <x:c r="I235" s="90"/>
      <x:c r="J235" s="90"/>
      <x:c r="K235" s="90"/>
      <x:c r="L235" s="90"/>
      <x:c r="M235" s="90"/>
      <x:c r="N235" s="90"/>
      <x:c r="O235" s="90"/>
      <x:c r="P235" s="90"/>
      <x:c r="Q235" s="90"/>
      <x:c r="R235" s="90"/>
      <x:c r="S235" s="90"/>
    </x:row>
    <x:row r="236" spans="1:19" ht="12.75" hidden="1" customHeight="1" x14ac:dyDescent="0.3">
      <x:c r="A236" s="89"/>
      <x:c r="F236" s="90"/>
      <x:c r="G236" s="90"/>
      <x:c r="H236" s="90"/>
      <x:c r="I236" s="90"/>
      <x:c r="J236" s="90"/>
      <x:c r="K236" s="90"/>
      <x:c r="L236" s="90"/>
      <x:c r="M236" s="90"/>
      <x:c r="N236" s="90"/>
      <x:c r="O236" s="90"/>
      <x:c r="P236" s="90"/>
      <x:c r="Q236" s="90"/>
      <x:c r="R236" s="90"/>
      <x:c r="S236" s="90"/>
    </x:row>
    <x:row r="237" spans="1:19" ht="12.75" hidden="1" customHeight="1" x14ac:dyDescent="0.3">
      <x:c r="A237" s="89"/>
      <x:c r="F237" s="90"/>
      <x:c r="G237" s="90"/>
      <x:c r="H237" s="90"/>
      <x:c r="I237" s="90"/>
      <x:c r="J237" s="90"/>
      <x:c r="K237" s="90"/>
      <x:c r="L237" s="90"/>
      <x:c r="M237" s="90"/>
      <x:c r="N237" s="90"/>
      <x:c r="O237" s="90"/>
      <x:c r="P237" s="90"/>
      <x:c r="Q237" s="90"/>
      <x:c r="R237" s="90"/>
      <x:c r="S237" s="90"/>
    </x:row>
    <x:row r="238" spans="1:19" ht="12.75" hidden="1" customHeight="1" x14ac:dyDescent="0.3">
      <x:c r="A238" s="89"/>
      <x:c r="F238" s="90"/>
      <x:c r="G238" s="90"/>
      <x:c r="H238" s="90"/>
      <x:c r="I238" s="90"/>
      <x:c r="J238" s="90"/>
      <x:c r="K238" s="90"/>
      <x:c r="L238" s="90"/>
      <x:c r="M238" s="90"/>
      <x:c r="N238" s="90"/>
      <x:c r="O238" s="90"/>
      <x:c r="P238" s="90"/>
      <x:c r="Q238" s="90"/>
      <x:c r="R238" s="90"/>
      <x:c r="S238" s="90"/>
    </x:row>
    <x:row r="239" spans="1:19" ht="12.75" hidden="1" customHeight="1" x14ac:dyDescent="0.3">
      <x:c r="A239" s="89"/>
      <x:c r="F239" s="90"/>
      <x:c r="G239" s="90"/>
      <x:c r="H239" s="90"/>
      <x:c r="I239" s="90"/>
      <x:c r="J239" s="90"/>
      <x:c r="K239" s="90"/>
      <x:c r="L239" s="90"/>
      <x:c r="M239" s="90"/>
      <x:c r="N239" s="90"/>
      <x:c r="O239" s="90"/>
      <x:c r="P239" s="90"/>
      <x:c r="Q239" s="90"/>
      <x:c r="R239" s="90"/>
      <x:c r="S239" s="90"/>
    </x:row>
    <x:row r="240" spans="1:19" ht="12.75" hidden="1" customHeight="1" x14ac:dyDescent="0.3">
      <x:c r="A240" s="89"/>
      <x:c r="F240" s="90"/>
      <x:c r="G240" s="90"/>
      <x:c r="H240" s="90"/>
      <x:c r="I240" s="90"/>
      <x:c r="J240" s="90"/>
      <x:c r="K240" s="90"/>
      <x:c r="L240" s="90"/>
      <x:c r="M240" s="90"/>
      <x:c r="N240" s="90"/>
      <x:c r="O240" s="90"/>
      <x:c r="P240" s="90"/>
      <x:c r="Q240" s="90"/>
      <x:c r="R240" s="90"/>
      <x:c r="S240" s="90"/>
    </x:row>
    <x:row r="241" spans="1:42" ht="12.75" hidden="1" customHeight="1" x14ac:dyDescent="0.3">
      <x:c r="A241" s="89"/>
      <x:c r="F241" s="90"/>
      <x:c r="G241" s="90"/>
      <x:c r="H241" s="90"/>
      <x:c r="I241" s="90"/>
      <x:c r="J241" s="90"/>
      <x:c r="K241" s="90"/>
      <x:c r="L241" s="90"/>
      <x:c r="M241" s="90"/>
      <x:c r="N241" s="90"/>
      <x:c r="O241" s="90"/>
      <x:c r="P241" s="90"/>
      <x:c r="Q241" s="90"/>
      <x:c r="R241" s="90"/>
      <x:c r="S241" s="90"/>
    </x:row>
    <x:row r="242" spans="1:42" ht="12.75" hidden="1" customHeight="1" x14ac:dyDescent="0.3">
      <x:c r="A242" s="89"/>
      <x:c r="F242" s="90"/>
      <x:c r="G242" s="90"/>
      <x:c r="H242" s="90"/>
      <x:c r="I242" s="90"/>
      <x:c r="J242" s="90"/>
      <x:c r="K242" s="90"/>
      <x:c r="L242" s="90"/>
      <x:c r="M242" s="90"/>
      <x:c r="N242" s="90"/>
      <x:c r="O242" s="90"/>
      <x:c r="P242" s="90"/>
      <x:c r="Q242" s="90"/>
      <x:c r="R242" s="90"/>
      <x:c r="S242" s="90"/>
    </x:row>
    <x:row r="243" spans="1:42" ht="12.75" hidden="1" customHeight="1" x14ac:dyDescent="0.3">
      <x:c r="A243" s="89"/>
      <x:c r="F243" s="90"/>
      <x:c r="G243" s="90"/>
      <x:c r="H243" s="90"/>
      <x:c r="I243" s="90"/>
      <x:c r="J243" s="90"/>
      <x:c r="K243" s="90"/>
      <x:c r="L243" s="90"/>
      <x:c r="M243" s="90"/>
      <x:c r="N243" s="90"/>
      <x:c r="O243" s="90"/>
      <x:c r="P243" s="90"/>
      <x:c r="Q243" s="90"/>
      <x:c r="R243" s="90"/>
      <x:c r="S243" s="90"/>
    </x:row>
    <x:row r="244" spans="1:42" ht="12.75" hidden="1" customHeight="1" x14ac:dyDescent="0.3">
      <x:c r="A244" s="89"/>
      <x:c r="F244" s="90"/>
      <x:c r="G244" s="90"/>
      <x:c r="H244" s="90"/>
      <x:c r="I244" s="90"/>
      <x:c r="J244" s="90"/>
      <x:c r="K244" s="90"/>
      <x:c r="L244" s="90"/>
      <x:c r="M244" s="90"/>
      <x:c r="N244" s="90"/>
      <x:c r="O244" s="90"/>
      <x:c r="P244" s="90"/>
      <x:c r="Q244" s="90"/>
      <x:c r="R244" s="90"/>
      <x:c r="S244" s="90"/>
    </x:row>
    <x:row r="245" spans="1:42" ht="12.75" hidden="1" customHeight="1" x14ac:dyDescent="0.3">
      <x:c r="A245" s="89"/>
      <x:c r="F245" s="90"/>
      <x:c r="G245" s="90"/>
      <x:c r="H245" s="90"/>
      <x:c r="I245" s="90"/>
      <x:c r="J245" s="90"/>
      <x:c r="K245" s="90"/>
      <x:c r="L245" s="90"/>
      <x:c r="M245" s="90"/>
      <x:c r="N245" s="90"/>
      <x:c r="O245" s="90"/>
      <x:c r="P245" s="90"/>
      <x:c r="Q245" s="90"/>
      <x:c r="R245" s="90"/>
      <x:c r="S245" s="90"/>
    </x:row>
    <x:row r="246" spans="1:42" ht="12.75" hidden="1" customHeight="1" x14ac:dyDescent="0.3">
      <x:c r="A246" s="89"/>
      <x:c r="F246" s="90"/>
      <x:c r="G246" s="90"/>
      <x:c r="H246" s="90"/>
      <x:c r="I246" s="90"/>
      <x:c r="J246" s="90"/>
      <x:c r="K246" s="90"/>
      <x:c r="L246" s="90"/>
      <x:c r="M246" s="90"/>
      <x:c r="N246" s="90"/>
      <x:c r="O246" s="90"/>
      <x:c r="P246" s="90"/>
      <x:c r="Q246" s="90"/>
      <x:c r="R246" s="90"/>
      <x:c r="S246" s="90"/>
    </x:row>
    <x:row r="247" spans="1:42" ht="12.75" hidden="1" customHeight="1" x14ac:dyDescent="0.3">
      <x:c r="A247" s="89"/>
      <x:c r="F247" s="90"/>
      <x:c r="G247" s="90"/>
      <x:c r="H247" s="90"/>
      <x:c r="I247" s="90"/>
      <x:c r="J247" s="90"/>
      <x:c r="K247" s="90"/>
      <x:c r="L247" s="90"/>
      <x:c r="M247" s="90"/>
      <x:c r="N247" s="90"/>
      <x:c r="O247" s="90"/>
      <x:c r="P247" s="90"/>
      <x:c r="Q247" s="90"/>
      <x:c r="R247" s="90"/>
      <x:c r="S247" s="90"/>
    </x:row>
    <x:row r="248" spans="1:42" ht="12.75" hidden="1" customHeight="1" x14ac:dyDescent="0.3">
      <x:c r="A248" s="89"/>
      <x:c r="F248" s="90"/>
      <x:c r="G248" s="90"/>
      <x:c r="H248" s="90"/>
      <x:c r="I248" s="90"/>
      <x:c r="J248" s="90"/>
      <x:c r="K248" s="90"/>
      <x:c r="L248" s="90"/>
      <x:c r="M248" s="90"/>
      <x:c r="N248" s="90"/>
      <x:c r="O248" s="90"/>
      <x:c r="P248" s="90"/>
      <x:c r="Q248" s="90"/>
      <x:c r="R248" s="90"/>
      <x:c r="S248" s="90"/>
    </x:row>
    <x:row r="249" spans="1:42" ht="12.75" hidden="1" customHeight="1" x14ac:dyDescent="0.3">
      <x:c r="A249" s="89"/>
      <x:c r="F249" s="90"/>
      <x:c r="G249" s="90"/>
      <x:c r="H249" s="90"/>
      <x:c r="I249" s="90"/>
      <x:c r="J249" s="90"/>
      <x:c r="K249" s="90"/>
      <x:c r="L249" s="90"/>
      <x:c r="M249" s="90"/>
      <x:c r="N249" s="90"/>
      <x:c r="O249" s="90"/>
      <x:c r="P249" s="90"/>
      <x:c r="Q249" s="90"/>
      <x:c r="R249" s="90"/>
      <x:c r="S249" s="90"/>
    </x:row>
    <x:row r="250" spans="1:42" ht="12.75" hidden="1" customHeight="1" x14ac:dyDescent="0.3">
      <x:c r="A250" s="89"/>
      <x:c r="F250" s="90"/>
      <x:c r="G250" s="90"/>
      <x:c r="H250" s="90"/>
      <x:c r="I250" s="90"/>
      <x:c r="J250" s="90"/>
      <x:c r="K250" s="90"/>
      <x:c r="L250" s="90"/>
      <x:c r="M250" s="90"/>
      <x:c r="N250" s="90"/>
      <x:c r="O250" s="90"/>
      <x:c r="P250" s="90"/>
      <x:c r="Q250" s="90"/>
      <x:c r="R250" s="90"/>
      <x:c r="S250" s="90"/>
    </x:row>
    <x:row r="251" spans="1:42" ht="12.75" hidden="1" customHeight="1" x14ac:dyDescent="0.3">
      <x:c r="A251" s="89"/>
      <x:c r="F251" s="90"/>
      <x:c r="G251" s="90"/>
      <x:c r="H251" s="90"/>
      <x:c r="I251" s="90"/>
      <x:c r="J251" s="90"/>
      <x:c r="K251" s="90"/>
      <x:c r="L251" s="90"/>
      <x:c r="M251" s="90"/>
      <x:c r="N251" s="90"/>
      <x:c r="O251" s="90"/>
      <x:c r="P251" s="90"/>
      <x:c r="Q251" s="90"/>
      <x:c r="R251" s="90"/>
      <x:c r="S251" s="90"/>
    </x:row>
    <x:row r="252" spans="1:42" ht="12.75" customHeight="1" x14ac:dyDescent="0.3">
      <x:c r="A252" s="89"/>
      <x:c r="F252" s="90"/>
      <x:c r="G252" s="90"/>
      <x:c r="H252" s="90"/>
      <x:c r="I252" s="90"/>
      <x:c r="J252" s="90"/>
      <x:c r="K252" s="90"/>
      <x:c r="L252" s="90"/>
      <x:c r="M252" s="90"/>
      <x:c r="N252" s="90"/>
      <x:c r="O252" s="90"/>
      <x:c r="P252" s="90"/>
      <x:c r="Q252" s="90"/>
      <x:c r="R252" s="90"/>
      <x:c r="S252" s="90"/>
    </x:row>
    <x:row r="253" spans="1:42" ht="12.75" customHeight="1" x14ac:dyDescent="0.3">
      <x:c r="A253" s="89"/>
      <x:c r="F253" s="90"/>
      <x:c r="G253" s="90"/>
      <x:c r="H253" s="90"/>
      <x:c r="I253" s="90"/>
      <x:c r="J253" s="90"/>
      <x:c r="K253" s="90"/>
      <x:c r="L253" s="90"/>
      <x:c r="M253" s="90"/>
      <x:c r="N253" s="90"/>
      <x:c r="O253" s="90"/>
      <x:c r="P253" s="90"/>
      <x:c r="Q253" s="90"/>
      <x:c r="R253" s="90"/>
      <x:c r="S253" s="90"/>
    </x:row>
    <x:row r="254" spans="1:42" ht="12.75" customHeight="1" x14ac:dyDescent="0.3">
      <x:c r="C254" s="777" t="s">
        <x:v>2</x:v>
      </x:c>
      <x:c r="D254" s="775" t="s">
        <x:v>132</x:v>
      </x:c>
      <x:c r="E254" s="98" t="s">
        <x:v>70</x:v>
      </x:c>
      <x:c r="F254" s="100">
        <x:f>F171+F208-L171+F120-L120</x:f>
        <x:v>0</x:v>
      </x:c>
      <x:c r="G254" s="100">
        <x:f t="shared" ref="G254:AP254" si="7">G171+G120</x:f>
        <x:v>0</x:v>
      </x:c>
      <x:c r="H254" s="100">
        <x:f t="shared" si="7"/>
        <x:v>0</x:v>
      </x:c>
      <x:c r="I254" s="100">
        <x:f t="shared" si="7"/>
        <x:v>0</x:v>
      </x:c>
      <x:c r="J254" s="100">
        <x:f t="shared" si="7"/>
        <x:v>0</x:v>
      </x:c>
      <x:c r="K254" s="100">
        <x:f t="shared" si="7"/>
        <x:v>0</x:v>
      </x:c>
      <x:c r="L254" s="100">
        <x:f t="shared" si="7"/>
        <x:v>0</x:v>
      </x:c>
      <x:c r="M254" s="100">
        <x:f t="shared" si="7"/>
        <x:v>0</x:v>
      </x:c>
      <x:c r="N254" s="100">
        <x:f t="shared" si="7"/>
        <x:v>0</x:v>
      </x:c>
      <x:c r="O254" s="100">
        <x:f t="shared" si="7"/>
        <x:v>0</x:v>
      </x:c>
      <x:c r="P254" s="100">
        <x:f t="shared" si="7"/>
        <x:v>0</x:v>
      </x:c>
      <x:c r="Q254" s="100">
        <x:f t="shared" si="7"/>
        <x:v>0</x:v>
      </x:c>
      <x:c r="R254" s="100">
        <x:f t="shared" si="7"/>
        <x:v>0</x:v>
      </x:c>
      <x:c r="S254" s="100">
        <x:f t="shared" si="7"/>
        <x:v>0</x:v>
      </x:c>
      <x:c r="T254" s="100">
        <x:f t="shared" si="7"/>
        <x:v>0</x:v>
      </x:c>
      <x:c r="U254" s="100">
        <x:f t="shared" si="7"/>
        <x:v>0</x:v>
      </x:c>
      <x:c r="V254" s="100">
        <x:f t="shared" si="7"/>
        <x:v>0</x:v>
      </x:c>
      <x:c r="W254" s="100">
        <x:f t="shared" si="7"/>
        <x:v>0</x:v>
      </x:c>
      <x:c r="X254" s="100">
        <x:f t="shared" si="7"/>
        <x:v>0</x:v>
      </x:c>
      <x:c r="Y254" s="100">
        <x:f t="shared" si="7"/>
        <x:v>0</x:v>
      </x:c>
      <x:c r="Z254" s="100">
        <x:f t="shared" si="7"/>
        <x:v>0</x:v>
      </x:c>
      <x:c r="AA254" s="100">
        <x:f t="shared" si="7"/>
        <x:v>0</x:v>
      </x:c>
      <x:c r="AB254" s="100">
        <x:f t="shared" si="7"/>
        <x:v>0</x:v>
      </x:c>
      <x:c r="AC254" s="100">
        <x:f t="shared" si="7"/>
        <x:v>0</x:v>
      </x:c>
      <x:c r="AD254" s="100">
        <x:f t="shared" si="7"/>
        <x:v>0</x:v>
      </x:c>
      <x:c r="AE254" s="100">
        <x:f t="shared" si="7"/>
        <x:v>0</x:v>
      </x:c>
      <x:c r="AF254" s="100">
        <x:f t="shared" si="7"/>
        <x:v>0</x:v>
      </x:c>
      <x:c r="AG254" s="100">
        <x:f t="shared" si="7"/>
        <x:v>0</x:v>
      </x:c>
      <x:c r="AH254" s="100">
        <x:f t="shared" si="7"/>
        <x:v>0</x:v>
      </x:c>
      <x:c r="AI254" s="100">
        <x:f t="shared" si="7"/>
        <x:v>0</x:v>
      </x:c>
      <x:c r="AJ254" s="100">
        <x:f t="shared" si="7"/>
        <x:v>0</x:v>
      </x:c>
      <x:c r="AK254" s="100">
        <x:f t="shared" si="7"/>
        <x:v>0</x:v>
      </x:c>
      <x:c r="AL254" s="100">
        <x:f t="shared" si="7"/>
        <x:v>0</x:v>
      </x:c>
      <x:c r="AM254" s="100">
        <x:f t="shared" si="7"/>
        <x:v>0</x:v>
      </x:c>
      <x:c r="AN254" s="100">
        <x:f t="shared" si="7"/>
        <x:v>0</x:v>
      </x:c>
      <x:c r="AO254" s="100">
        <x:f t="shared" si="7"/>
        <x:v>0</x:v>
      </x:c>
      <x:c r="AP254" s="100">
        <x:f t="shared" si="7"/>
        <x:v>0</x:v>
      </x:c>
    </x:row>
    <x:row r="255" spans="1:42" ht="12.75" customHeight="1" x14ac:dyDescent="0.3">
      <x:c r="C255" s="777"/>
      <x:c r="D255" s="775"/>
      <x:c r="E255" s="98" t="s">
        <x:v>73</x:v>
      </x:c>
      <x:c r="F255" s="100">
        <x:f>F208</x:f>
        <x:v>0</x:v>
      </x:c>
      <x:c r="G255" s="90"/>
      <x:c r="H255" s="90"/>
      <x:c r="I255" s="90"/>
      <x:c r="J255" s="90"/>
      <x:c r="K255" s="90"/>
      <x:c r="L255" s="90"/>
      <x:c r="M255" s="90"/>
      <x:c r="N255" s="90"/>
      <x:c r="O255" s="90"/>
      <x:c r="P255" s="90"/>
      <x:c r="Q255" s="90"/>
      <x:c r="R255" s="90"/>
      <x:c r="S255" s="90"/>
    </x:row>
    <x:row r="256" spans="1:42" ht="12.75" customHeight="1" x14ac:dyDescent="0.3">
      <x:c r="C256" s="777"/>
      <x:c r="D256" s="775" t="s">
        <x:v>133</x:v>
      </x:c>
      <x:c r="E256" s="233" t="s">
        <x:v>70</x:v>
      </x:c>
      <x:c r="F256" s="234">
        <x:f>F190+F146-L146</x:f>
        <x:v>0</x:v>
      </x:c>
      <x:c r="G256" s="234">
        <x:f t="shared" ref="G256:AP256" si="8">G146</x:f>
        <x:v>0</x:v>
      </x:c>
      <x:c r="H256" s="234">
        <x:f t="shared" si="8"/>
        <x:v>0</x:v>
      </x:c>
      <x:c r="I256" s="234">
        <x:f t="shared" si="8"/>
        <x:v>0</x:v>
      </x:c>
      <x:c r="J256" s="234">
        <x:f t="shared" si="8"/>
        <x:v>0</x:v>
      </x:c>
      <x:c r="K256" s="234">
        <x:f t="shared" si="8"/>
        <x:v>0</x:v>
      </x:c>
      <x:c r="L256" s="234">
        <x:f t="shared" si="8"/>
        <x:v>0</x:v>
      </x:c>
      <x:c r="M256" s="234">
        <x:f t="shared" si="8"/>
        <x:v>0</x:v>
      </x:c>
      <x:c r="N256" s="234">
        <x:f t="shared" si="8"/>
        <x:v>0</x:v>
      </x:c>
      <x:c r="O256" s="234">
        <x:f t="shared" si="8"/>
        <x:v>0</x:v>
      </x:c>
      <x:c r="P256" s="234">
        <x:f t="shared" si="8"/>
        <x:v>0</x:v>
      </x:c>
      <x:c r="Q256" s="234">
        <x:f t="shared" si="8"/>
        <x:v>0</x:v>
      </x:c>
      <x:c r="R256" s="234">
        <x:f t="shared" si="8"/>
        <x:v>0</x:v>
      </x:c>
      <x:c r="S256" s="234">
        <x:f t="shared" si="8"/>
        <x:v>0</x:v>
      </x:c>
      <x:c r="T256" s="234">
        <x:f t="shared" si="8"/>
        <x:v>0</x:v>
      </x:c>
      <x:c r="U256" s="234">
        <x:f t="shared" si="8"/>
        <x:v>0</x:v>
      </x:c>
      <x:c r="V256" s="234">
        <x:f t="shared" si="8"/>
        <x:v>0</x:v>
      </x:c>
      <x:c r="W256" s="234">
        <x:f t="shared" si="8"/>
        <x:v>0</x:v>
      </x:c>
      <x:c r="X256" s="234">
        <x:f t="shared" si="8"/>
        <x:v>0</x:v>
      </x:c>
      <x:c r="Y256" s="234">
        <x:f t="shared" si="8"/>
        <x:v>0</x:v>
      </x:c>
      <x:c r="Z256" s="234">
        <x:f t="shared" si="8"/>
        <x:v>0</x:v>
      </x:c>
      <x:c r="AA256" s="234">
        <x:f t="shared" si="8"/>
        <x:v>0</x:v>
      </x:c>
      <x:c r="AB256" s="234">
        <x:f t="shared" si="8"/>
        <x:v>0</x:v>
      </x:c>
      <x:c r="AC256" s="234">
        <x:f t="shared" si="8"/>
        <x:v>0</x:v>
      </x:c>
      <x:c r="AD256" s="234">
        <x:f t="shared" si="8"/>
        <x:v>0</x:v>
      </x:c>
      <x:c r="AE256" s="234">
        <x:f t="shared" si="8"/>
        <x:v>0</x:v>
      </x:c>
      <x:c r="AF256" s="234">
        <x:f t="shared" si="8"/>
        <x:v>0</x:v>
      </x:c>
      <x:c r="AG256" s="234">
        <x:f t="shared" si="8"/>
        <x:v>0</x:v>
      </x:c>
      <x:c r="AH256" s="234">
        <x:f t="shared" si="8"/>
        <x:v>0</x:v>
      </x:c>
      <x:c r="AI256" s="234">
        <x:f t="shared" si="8"/>
        <x:v>0</x:v>
      </x:c>
      <x:c r="AJ256" s="234">
        <x:f t="shared" si="8"/>
        <x:v>0</x:v>
      </x:c>
      <x:c r="AK256" s="234">
        <x:f t="shared" si="8"/>
        <x:v>0</x:v>
      </x:c>
      <x:c r="AL256" s="234">
        <x:f t="shared" si="8"/>
        <x:v>0</x:v>
      </x:c>
      <x:c r="AM256" s="234">
        <x:f t="shared" si="8"/>
        <x:v>0</x:v>
      </x:c>
      <x:c r="AN256" s="234">
        <x:f t="shared" si="8"/>
        <x:v>0</x:v>
      </x:c>
      <x:c r="AO256" s="234">
        <x:f t="shared" si="8"/>
        <x:v>0</x:v>
      </x:c>
      <x:c r="AP256" s="234">
        <x:f t="shared" si="8"/>
        <x:v>0</x:v>
      </x:c>
    </x:row>
    <x:row r="257" spans="1:42" ht="12.75" customHeight="1" x14ac:dyDescent="0.3">
      <x:c r="C257" s="777"/>
      <x:c r="D257" s="775"/>
      <x:c r="E257" s="233" t="s">
        <x:v>73</x:v>
      </x:c>
      <x:c r="F257" s="234">
        <x:f>F190</x:f>
        <x:v>0</x:v>
      </x:c>
      <x:c r="G257" s="90"/>
      <x:c r="H257" s="90"/>
      <x:c r="I257" s="90"/>
      <x:c r="J257" s="90"/>
      <x:c r="K257" s="90"/>
      <x:c r="L257" s="90"/>
      <x:c r="M257" s="90"/>
      <x:c r="N257" s="90"/>
      <x:c r="O257" s="90"/>
      <x:c r="P257" s="90"/>
      <x:c r="Q257" s="90"/>
      <x:c r="R257" s="90"/>
    </x:row>
    <x:row r="258" spans="1:42" ht="12.75" customHeight="1" x14ac:dyDescent="0.3">
      <x:c r="A258" s="89"/>
      <x:c r="C258" s="97"/>
      <x:c r="F258" s="90"/>
      <x:c r="G258" s="90"/>
      <x:c r="H258" s="90"/>
      <x:c r="I258" s="90"/>
      <x:c r="J258" s="90"/>
      <x:c r="K258" s="90"/>
      <x:c r="L258" s="90"/>
      <x:c r="M258" s="90"/>
      <x:c r="N258" s="90"/>
      <x:c r="O258" s="90"/>
      <x:c r="P258" s="90"/>
      <x:c r="Q258" s="90"/>
      <x:c r="R258" s="90"/>
      <x:c r="S258" s="90"/>
    </x:row>
    <x:row r="259" spans="1:42" ht="12.75" customHeight="1" x14ac:dyDescent="0.3">
      <x:c r="C259" s="777" t="s">
        <x:v>160</x:v>
      </x:c>
      <x:c r="D259" s="775" t="s">
        <x:v>132</x:v>
      </x:c>
      <x:c r="E259" s="223" t="s">
        <x:v>70</x:v>
      </x:c>
      <x:c r="F259" s="225">
        <x:f>F200+F160-L160</x:f>
        <x:v>0</x:v>
      </x:c>
      <x:c r="G259" s="225">
        <x:f t="shared" ref="G259:AP259" si="9">G160</x:f>
        <x:v>0</x:v>
      </x:c>
      <x:c r="H259" s="225">
        <x:f t="shared" si="9"/>
        <x:v>0</x:v>
      </x:c>
      <x:c r="I259" s="225">
        <x:f t="shared" si="9"/>
        <x:v>0</x:v>
      </x:c>
      <x:c r="J259" s="225">
        <x:f t="shared" si="9"/>
        <x:v>0</x:v>
      </x:c>
      <x:c r="K259" s="225">
        <x:f t="shared" si="9"/>
        <x:v>0</x:v>
      </x:c>
      <x:c r="L259" s="225">
        <x:f t="shared" si="9"/>
        <x:v>0</x:v>
      </x:c>
      <x:c r="M259" s="225">
        <x:f t="shared" si="9"/>
        <x:v>0</x:v>
      </x:c>
      <x:c r="N259" s="225">
        <x:f t="shared" si="9"/>
        <x:v>0</x:v>
      </x:c>
      <x:c r="O259" s="225">
        <x:f t="shared" si="9"/>
        <x:v>0</x:v>
      </x:c>
      <x:c r="P259" s="225">
        <x:f t="shared" si="9"/>
        <x:v>0</x:v>
      </x:c>
      <x:c r="Q259" s="225">
        <x:f t="shared" si="9"/>
        <x:v>0</x:v>
      </x:c>
      <x:c r="R259" s="225">
        <x:f t="shared" si="9"/>
        <x:v>0</x:v>
      </x:c>
      <x:c r="S259" s="225">
        <x:f t="shared" si="9"/>
        <x:v>0</x:v>
      </x:c>
      <x:c r="T259" s="225">
        <x:f t="shared" si="9"/>
        <x:v>0</x:v>
      </x:c>
      <x:c r="U259" s="225">
        <x:f t="shared" si="9"/>
        <x:v>0</x:v>
      </x:c>
      <x:c r="V259" s="225">
        <x:f t="shared" si="9"/>
        <x:v>0</x:v>
      </x:c>
      <x:c r="W259" s="225">
        <x:f t="shared" si="9"/>
        <x:v>0</x:v>
      </x:c>
      <x:c r="X259" s="225">
        <x:f t="shared" si="9"/>
        <x:v>0</x:v>
      </x:c>
      <x:c r="Y259" s="225">
        <x:f t="shared" si="9"/>
        <x:v>0</x:v>
      </x:c>
      <x:c r="Z259" s="225">
        <x:f t="shared" si="9"/>
        <x:v>0</x:v>
      </x:c>
      <x:c r="AA259" s="225">
        <x:f t="shared" si="9"/>
        <x:v>0</x:v>
      </x:c>
      <x:c r="AB259" s="225">
        <x:f t="shared" si="9"/>
        <x:v>0</x:v>
      </x:c>
      <x:c r="AC259" s="225">
        <x:f t="shared" si="9"/>
        <x:v>0</x:v>
      </x:c>
      <x:c r="AD259" s="225">
        <x:f t="shared" si="9"/>
        <x:v>0</x:v>
      </x:c>
      <x:c r="AE259" s="225">
        <x:f t="shared" si="9"/>
        <x:v>0</x:v>
      </x:c>
      <x:c r="AF259" s="225">
        <x:f t="shared" si="9"/>
        <x:v>0</x:v>
      </x:c>
      <x:c r="AG259" s="225">
        <x:f t="shared" si="9"/>
        <x:v>0</x:v>
      </x:c>
      <x:c r="AH259" s="225">
        <x:f t="shared" si="9"/>
        <x:v>0</x:v>
      </x:c>
      <x:c r="AI259" s="225">
        <x:f t="shared" si="9"/>
        <x:v>0</x:v>
      </x:c>
      <x:c r="AJ259" s="225">
        <x:f t="shared" si="9"/>
        <x:v>0</x:v>
      </x:c>
      <x:c r="AK259" s="225">
        <x:f t="shared" si="9"/>
        <x:v>0</x:v>
      </x:c>
      <x:c r="AL259" s="225">
        <x:f t="shared" si="9"/>
        <x:v>0</x:v>
      </x:c>
      <x:c r="AM259" s="225">
        <x:f t="shared" si="9"/>
        <x:v>0</x:v>
      </x:c>
      <x:c r="AN259" s="225">
        <x:f t="shared" si="9"/>
        <x:v>0</x:v>
      </x:c>
      <x:c r="AO259" s="225">
        <x:f t="shared" si="9"/>
        <x:v>0</x:v>
      </x:c>
      <x:c r="AP259" s="225">
        <x:f t="shared" si="9"/>
        <x:v>0</x:v>
      </x:c>
    </x:row>
    <x:row r="260" spans="1:42" ht="12.75" customHeight="1" x14ac:dyDescent="0.3">
      <x:c r="C260" s="777"/>
      <x:c r="D260" s="775"/>
      <x:c r="E260" s="223" t="s">
        <x:v>73</x:v>
      </x:c>
      <x:c r="F260" s="225">
        <x:f>F200</x:f>
        <x:v>0</x:v>
      </x:c>
      <x:c r="G260" s="90"/>
      <x:c r="H260" s="90"/>
      <x:c r="I260" s="90"/>
      <x:c r="J260" s="90"/>
      <x:c r="K260" s="90"/>
      <x:c r="L260" s="90"/>
      <x:c r="M260" s="90"/>
      <x:c r="N260" s="90"/>
      <x:c r="O260" s="90"/>
      <x:c r="P260" s="90"/>
      <x:c r="Q260" s="90"/>
      <x:c r="R260" s="90"/>
      <x:c r="S260" s="90"/>
    </x:row>
    <x:row r="261" spans="1:42" ht="12.75" customHeight="1" x14ac:dyDescent="0.3">
      <x:c r="C261" s="777"/>
      <x:c r="D261" s="775" t="s">
        <x:v>133</x:v>
      </x:c>
      <x:c r="E261" s="227" t="s">
        <x:v>70</x:v>
      </x:c>
      <x:c r="F261" s="228">
        <x:f>F182+F135-L135</x:f>
        <x:v>0</x:v>
      </x:c>
      <x:c r="G261" s="228">
        <x:f>G135</x:f>
        <x:v>0</x:v>
      </x:c>
      <x:c r="H261" s="228">
        <x:f t="shared" ref="H261:AP261" si="10">H135</x:f>
        <x:v>0</x:v>
      </x:c>
      <x:c r="I261" s="228">
        <x:f t="shared" si="10"/>
        <x:v>0</x:v>
      </x:c>
      <x:c r="J261" s="228">
        <x:f t="shared" si="10"/>
        <x:v>0</x:v>
      </x:c>
      <x:c r="K261" s="228">
        <x:f t="shared" si="10"/>
        <x:v>0</x:v>
      </x:c>
      <x:c r="L261" s="228">
        <x:f t="shared" si="10"/>
        <x:v>0</x:v>
      </x:c>
      <x:c r="M261" s="228">
        <x:f t="shared" si="10"/>
        <x:v>0</x:v>
      </x:c>
      <x:c r="N261" s="228">
        <x:f t="shared" si="10"/>
        <x:v>0</x:v>
      </x:c>
      <x:c r="O261" s="228">
        <x:f t="shared" si="10"/>
        <x:v>0</x:v>
      </x:c>
      <x:c r="P261" s="228">
        <x:f t="shared" si="10"/>
        <x:v>0</x:v>
      </x:c>
      <x:c r="Q261" s="228">
        <x:f t="shared" si="10"/>
        <x:v>0</x:v>
      </x:c>
      <x:c r="R261" s="228">
        <x:f t="shared" si="10"/>
        <x:v>0</x:v>
      </x:c>
      <x:c r="S261" s="228">
        <x:f t="shared" si="10"/>
        <x:v>0</x:v>
      </x:c>
      <x:c r="T261" s="228">
        <x:f t="shared" si="10"/>
        <x:v>0</x:v>
      </x:c>
      <x:c r="U261" s="228">
        <x:f t="shared" si="10"/>
        <x:v>0</x:v>
      </x:c>
      <x:c r="V261" s="228">
        <x:f t="shared" si="10"/>
        <x:v>0</x:v>
      </x:c>
      <x:c r="W261" s="228">
        <x:f t="shared" si="10"/>
        <x:v>0</x:v>
      </x:c>
      <x:c r="X261" s="228">
        <x:f t="shared" si="10"/>
        <x:v>0</x:v>
      </x:c>
      <x:c r="Y261" s="228">
        <x:f t="shared" si="10"/>
        <x:v>0</x:v>
      </x:c>
      <x:c r="Z261" s="228">
        <x:f t="shared" si="10"/>
        <x:v>0</x:v>
      </x:c>
      <x:c r="AA261" s="228">
        <x:f t="shared" si="10"/>
        <x:v>0</x:v>
      </x:c>
      <x:c r="AB261" s="228">
        <x:f t="shared" si="10"/>
        <x:v>0</x:v>
      </x:c>
      <x:c r="AC261" s="228">
        <x:f t="shared" si="10"/>
        <x:v>0</x:v>
      </x:c>
      <x:c r="AD261" s="228">
        <x:f t="shared" si="10"/>
        <x:v>0</x:v>
      </x:c>
      <x:c r="AE261" s="228">
        <x:f t="shared" si="10"/>
        <x:v>0</x:v>
      </x:c>
      <x:c r="AF261" s="228">
        <x:f t="shared" si="10"/>
        <x:v>0</x:v>
      </x:c>
      <x:c r="AG261" s="228">
        <x:f t="shared" si="10"/>
        <x:v>0</x:v>
      </x:c>
      <x:c r="AH261" s="228">
        <x:f t="shared" si="10"/>
        <x:v>0</x:v>
      </x:c>
      <x:c r="AI261" s="228">
        <x:f t="shared" si="10"/>
        <x:v>0</x:v>
      </x:c>
      <x:c r="AJ261" s="228">
        <x:f t="shared" si="10"/>
        <x:v>0</x:v>
      </x:c>
      <x:c r="AK261" s="228">
        <x:f t="shared" si="10"/>
        <x:v>0</x:v>
      </x:c>
      <x:c r="AL261" s="228">
        <x:f t="shared" si="10"/>
        <x:v>0</x:v>
      </x:c>
      <x:c r="AM261" s="228">
        <x:f t="shared" si="10"/>
        <x:v>0</x:v>
      </x:c>
      <x:c r="AN261" s="228">
        <x:f t="shared" si="10"/>
        <x:v>0</x:v>
      </x:c>
      <x:c r="AO261" s="228">
        <x:f t="shared" si="10"/>
        <x:v>0</x:v>
      </x:c>
      <x:c r="AP261" s="228">
        <x:f t="shared" si="10"/>
        <x:v>0</x:v>
      </x:c>
    </x:row>
    <x:row r="262" spans="1:42" ht="12.75" customHeight="1" x14ac:dyDescent="0.3">
      <x:c r="C262" s="777"/>
      <x:c r="D262" s="775"/>
      <x:c r="E262" s="227" t="s">
        <x:v>73</x:v>
      </x:c>
      <x:c r="F262" s="228">
        <x:f>F182</x:f>
        <x:v>0</x:v>
      </x:c>
      <x:c r="G262" s="90"/>
      <x:c r="H262" s="90"/>
      <x:c r="I262" s="90"/>
      <x:c r="J262" s="90"/>
      <x:c r="K262" s="90"/>
      <x:c r="L262" s="90"/>
      <x:c r="M262" s="90"/>
      <x:c r="N262" s="90"/>
      <x:c r="O262" s="90"/>
      <x:c r="P262" s="90"/>
      <x:c r="Q262" s="90"/>
      <x:c r="R262" s="90"/>
    </x:row>
    <x:row r="263" spans="1:42" ht="12.75" customHeight="1" x14ac:dyDescent="0.3">
      <x:c r="A263" s="89"/>
      <x:c r="C263" s="97"/>
      <x:c r="F263" s="90"/>
      <x:c r="G263" s="90"/>
      <x:c r="H263" s="90"/>
      <x:c r="I263" s="90"/>
      <x:c r="J263" s="90"/>
      <x:c r="K263" s="90"/>
      <x:c r="L263" s="90"/>
      <x:c r="M263" s="90"/>
      <x:c r="N263" s="90"/>
      <x:c r="O263" s="90"/>
      <x:c r="P263" s="90"/>
      <x:c r="Q263" s="90"/>
      <x:c r="R263" s="90"/>
      <x:c r="S263" s="90"/>
    </x:row>
    <x:row r="264" spans="1:42" ht="12.75" customHeight="1" x14ac:dyDescent="0.3">
      <x:c r="C264" s="777" t="s">
        <x:v>155</x:v>
      </x:c>
      <x:c r="D264" s="775" t="s">
        <x:v>132</x:v>
      </x:c>
      <x:c r="E264" s="221" t="s">
        <x:v>70</x:v>
      </x:c>
      <x:c r="F264" s="222">
        <x:f>F193+F150+F112--L112-L150</x:f>
        <x:v>0</x:v>
      </x:c>
      <x:c r="G264" s="222">
        <x:f t="shared" ref="G264:AA264" si="11">G150+G112</x:f>
        <x:v>0</x:v>
      </x:c>
      <x:c r="H264" s="222">
        <x:f t="shared" si="11"/>
        <x:v>0</x:v>
      </x:c>
      <x:c r="I264" s="222">
        <x:f t="shared" si="11"/>
        <x:v>0</x:v>
      </x:c>
      <x:c r="J264" s="222">
        <x:f t="shared" si="11"/>
        <x:v>0</x:v>
      </x:c>
      <x:c r="K264" s="222">
        <x:f t="shared" si="11"/>
        <x:v>0</x:v>
      </x:c>
      <x:c r="L264" s="222">
        <x:f t="shared" si="11"/>
        <x:v>0</x:v>
      </x:c>
      <x:c r="M264" s="222">
        <x:f t="shared" si="11"/>
        <x:v>0</x:v>
      </x:c>
      <x:c r="N264" s="222">
        <x:f t="shared" si="11"/>
        <x:v>0</x:v>
      </x:c>
      <x:c r="O264" s="222">
        <x:f t="shared" si="11"/>
        <x:v>0</x:v>
      </x:c>
      <x:c r="P264" s="222">
        <x:f t="shared" si="11"/>
        <x:v>0</x:v>
      </x:c>
      <x:c r="Q264" s="222">
        <x:f t="shared" si="11"/>
        <x:v>0</x:v>
      </x:c>
      <x:c r="R264" s="222">
        <x:f t="shared" si="11"/>
        <x:v>0</x:v>
      </x:c>
      <x:c r="S264" s="222">
        <x:f t="shared" si="11"/>
        <x:v>0</x:v>
      </x:c>
      <x:c r="T264" s="222">
        <x:f t="shared" si="11"/>
        <x:v>0</x:v>
      </x:c>
      <x:c r="U264" s="222">
        <x:f t="shared" si="11"/>
        <x:v>0</x:v>
      </x:c>
      <x:c r="V264" s="222">
        <x:f t="shared" si="11"/>
        <x:v>0</x:v>
      </x:c>
      <x:c r="W264" s="222">
        <x:f t="shared" si="11"/>
        <x:v>0</x:v>
      </x:c>
      <x:c r="X264" s="222">
        <x:f t="shared" si="11"/>
        <x:v>0</x:v>
      </x:c>
      <x:c r="Y264" s="222">
        <x:f t="shared" si="11"/>
        <x:v>0</x:v>
      </x:c>
      <x:c r="Z264" s="222">
        <x:f t="shared" si="11"/>
        <x:v>0</x:v>
      </x:c>
      <x:c r="AA264" s="222">
        <x:f t="shared" si="11"/>
        <x:v>0</x:v>
      </x:c>
    </x:row>
    <x:row r="265" spans="1:42" ht="12.75" customHeight="1" x14ac:dyDescent="0.3">
      <x:c r="C265" s="777"/>
      <x:c r="D265" s="775"/>
      <x:c r="E265" s="221" t="s">
        <x:v>73</x:v>
      </x:c>
      <x:c r="F265" s="222">
        <x:f>F193</x:f>
        <x:v>0</x:v>
      </x:c>
      <x:c r="G265" s="90"/>
      <x:c r="H265" s="90"/>
      <x:c r="I265" s="90"/>
      <x:c r="J265" s="90"/>
      <x:c r="K265" s="90"/>
      <x:c r="L265" s="90"/>
      <x:c r="M265" s="90"/>
      <x:c r="N265" s="90"/>
      <x:c r="O265" s="90"/>
      <x:c r="P265" s="90"/>
      <x:c r="Q265" s="90"/>
      <x:c r="R265" s="90"/>
      <x:c r="S265" s="90"/>
    </x:row>
    <x:row r="266" spans="1:42" ht="12.75" customHeight="1" x14ac:dyDescent="0.3">
      <x:c r="C266" s="777"/>
      <x:c r="D266" s="775" t="s">
        <x:v>133</x:v>
      </x:c>
      <x:c r="E266" s="229" t="s">
        <x:v>70</x:v>
      </x:c>
      <x:c r="F266" s="230">
        <x:f>F175+F125-L125</x:f>
        <x:v>0</x:v>
      </x:c>
      <x:c r="G266" s="230">
        <x:f t="shared" ref="G266:AA266" si="12">G125</x:f>
        <x:v>0</x:v>
      </x:c>
      <x:c r="H266" s="230">
        <x:f t="shared" si="12"/>
        <x:v>0</x:v>
      </x:c>
      <x:c r="I266" s="230">
        <x:f t="shared" si="12"/>
        <x:v>0</x:v>
      </x:c>
      <x:c r="J266" s="230">
        <x:f t="shared" si="12"/>
        <x:v>0</x:v>
      </x:c>
      <x:c r="K266" s="230">
        <x:f t="shared" si="12"/>
        <x:v>0</x:v>
      </x:c>
      <x:c r="L266" s="230">
        <x:f t="shared" si="12"/>
        <x:v>0</x:v>
      </x:c>
      <x:c r="M266" s="230">
        <x:f t="shared" si="12"/>
        <x:v>0</x:v>
      </x:c>
      <x:c r="N266" s="230">
        <x:f t="shared" si="12"/>
        <x:v>0</x:v>
      </x:c>
      <x:c r="O266" s="230">
        <x:f t="shared" si="12"/>
        <x:v>0</x:v>
      </x:c>
      <x:c r="P266" s="230">
        <x:f t="shared" si="12"/>
        <x:v>0</x:v>
      </x:c>
      <x:c r="Q266" s="230">
        <x:f t="shared" si="12"/>
        <x:v>0</x:v>
      </x:c>
      <x:c r="R266" s="230">
        <x:f t="shared" si="12"/>
        <x:v>0</x:v>
      </x:c>
      <x:c r="S266" s="230">
        <x:f t="shared" si="12"/>
        <x:v>0</x:v>
      </x:c>
      <x:c r="T266" s="230">
        <x:f t="shared" si="12"/>
        <x:v>0</x:v>
      </x:c>
      <x:c r="U266" s="230">
        <x:f t="shared" si="12"/>
        <x:v>0</x:v>
      </x:c>
      <x:c r="V266" s="230">
        <x:f t="shared" si="12"/>
        <x:v>0</x:v>
      </x:c>
      <x:c r="W266" s="230">
        <x:f t="shared" si="12"/>
        <x:v>0</x:v>
      </x:c>
      <x:c r="X266" s="230">
        <x:f t="shared" si="12"/>
        <x:v>0</x:v>
      </x:c>
      <x:c r="Y266" s="230">
        <x:f t="shared" si="12"/>
        <x:v>0</x:v>
      </x:c>
      <x:c r="Z266" s="230">
        <x:f t="shared" si="12"/>
        <x:v>0</x:v>
      </x:c>
      <x:c r="AA266" s="230">
        <x:f t="shared" si="12"/>
        <x:v>0</x:v>
      </x:c>
    </x:row>
    <x:row r="267" spans="1:42" ht="12.75" customHeight="1" x14ac:dyDescent="0.3">
      <x:c r="C267" s="777"/>
      <x:c r="D267" s="775"/>
      <x:c r="E267" s="229" t="s">
        <x:v>73</x:v>
      </x:c>
      <x:c r="F267" s="230">
        <x:f>F175</x:f>
        <x:v>0</x:v>
      </x:c>
      <x:c r="G267" s="90"/>
      <x:c r="H267" s="90"/>
      <x:c r="I267" s="90"/>
      <x:c r="J267" s="90"/>
      <x:c r="K267" s="90"/>
      <x:c r="L267" s="90"/>
      <x:c r="M267" s="90"/>
      <x:c r="N267" s="90"/>
      <x:c r="O267" s="90"/>
      <x:c r="P267" s="90"/>
      <x:c r="Q267" s="90"/>
      <x:c r="R267" s="90"/>
    </x:row>
    <x:row r="268" spans="1:42" ht="12.75" customHeight="1" x14ac:dyDescent="0.3">
      <x:c r="A268" s="89"/>
      <x:c r="C268" s="97"/>
      <x:c r="F268" s="90"/>
      <x:c r="G268" s="90"/>
      <x:c r="H268" s="90"/>
      <x:c r="I268" s="90"/>
      <x:c r="J268" s="90"/>
      <x:c r="K268" s="90"/>
      <x:c r="L268" s="90"/>
      <x:c r="M268" s="90"/>
      <x:c r="N268" s="90"/>
      <x:c r="O268" s="90"/>
      <x:c r="P268" s="90"/>
      <x:c r="Q268" s="90"/>
      <x:c r="R268" s="90"/>
      <x:c r="S268" s="90"/>
    </x:row>
    <x:row r="269" spans="1:42" ht="12.75" customHeight="1" x14ac:dyDescent="0.3">
      <x:c r="C269" s="778" t="s">
        <x:v>326</x:v>
      </x:c>
      <x:c r="D269" s="775" t="s">
        <x:v>132</x:v>
      </x:c>
      <x:c r="E269" s="373" t="s">
        <x:v>70</x:v>
      </x:c>
      <x:c r="F269" s="374">
        <x:v>0</x:v>
      </x:c>
      <x:c r="G269" s="374">
        <x:v>0</x:v>
      </x:c>
      <x:c r="H269" s="374">
        <x:v>0</x:v>
      </x:c>
      <x:c r="I269" s="374">
        <x:v>0</x:v>
      </x:c>
      <x:c r="J269" s="374">
        <x:v>0</x:v>
      </x:c>
      <x:c r="K269" s="374">
        <x:v>0</x:v>
      </x:c>
      <x:c r="L269" s="374">
        <x:v>0</x:v>
      </x:c>
      <x:c r="M269" s="374">
        <x:v>0</x:v>
      </x:c>
      <x:c r="N269" s="374">
        <x:v>0</x:v>
      </x:c>
      <x:c r="O269" s="374">
        <x:v>0</x:v>
      </x:c>
      <x:c r="P269" s="374">
        <x:v>0</x:v>
      </x:c>
      <x:c r="Q269" s="374">
        <x:v>0</x:v>
      </x:c>
      <x:c r="R269" s="374">
        <x:v>0</x:v>
      </x:c>
      <x:c r="S269" s="374">
        <x:v>0</x:v>
      </x:c>
      <x:c r="T269" s="374">
        <x:v>0</x:v>
      </x:c>
      <x:c r="U269" s="374">
        <x:v>0</x:v>
      </x:c>
      <x:c r="V269" s="374">
        <x:v>0</x:v>
      </x:c>
      <x:c r="W269" s="374">
        <x:v>0</x:v>
      </x:c>
      <x:c r="X269" s="374">
        <x:v>0</x:v>
      </x:c>
      <x:c r="Y269" s="374">
        <x:v>0</x:v>
      </x:c>
      <x:c r="Z269" s="374">
        <x:v>0</x:v>
      </x:c>
      <x:c r="AA269" s="374">
        <x:v>0</x:v>
      </x:c>
      <x:c r="AB269" s="374">
        <x:v>0</x:v>
      </x:c>
      <x:c r="AC269" s="374">
        <x:v>0</x:v>
      </x:c>
      <x:c r="AD269" s="374">
        <x:v>0</x:v>
      </x:c>
      <x:c r="AE269" s="374">
        <x:v>0</x:v>
      </x:c>
      <x:c r="AF269" s="374">
        <x:v>0</x:v>
      </x:c>
      <x:c r="AG269" s="374">
        <x:v>0</x:v>
      </x:c>
      <x:c r="AH269" s="374">
        <x:v>0</x:v>
      </x:c>
      <x:c r="AI269" s="374">
        <x:v>0</x:v>
      </x:c>
      <x:c r="AJ269" s="374">
        <x:v>0</x:v>
      </x:c>
      <x:c r="AK269" s="374">
        <x:v>0</x:v>
      </x:c>
      <x:c r="AL269" s="374">
        <x:v>0</x:v>
      </x:c>
      <x:c r="AM269" s="374">
        <x:v>0</x:v>
      </x:c>
      <x:c r="AN269" s="374">
        <x:v>0</x:v>
      </x:c>
      <x:c r="AO269" s="374">
        <x:v>0</x:v>
      </x:c>
    </x:row>
    <x:row r="270" spans="1:42" ht="12.75" customHeight="1" x14ac:dyDescent="0.3">
      <x:c r="C270" s="778"/>
      <x:c r="D270" s="775"/>
      <x:c r="E270" s="373" t="s">
        <x:v>73</x:v>
      </x:c>
      <x:c r="F270" s="374">
        <x:v>0</x:v>
      </x:c>
      <x:c r="G270" s="90"/>
      <x:c r="H270" s="90"/>
      <x:c r="I270" s="90"/>
      <x:c r="J270" s="90"/>
      <x:c r="K270" s="90"/>
      <x:c r="L270" s="90"/>
      <x:c r="M270" s="90"/>
      <x:c r="N270" s="90"/>
      <x:c r="O270" s="90"/>
      <x:c r="P270" s="90"/>
      <x:c r="Q270" s="90"/>
      <x:c r="R270" s="90"/>
      <x:c r="S270" s="90"/>
    </x:row>
    <x:row r="271" spans="1:42" ht="12.75" customHeight="1" x14ac:dyDescent="0.3">
      <x:c r="C271" s="778"/>
      <x:c r="D271" s="775" t="s">
        <x:v>133</x:v>
      </x:c>
      <x:c r="E271" s="242" t="s">
        <x:v>70</x:v>
      </x:c>
      <x:c r="F271" s="243">
        <x:v>0</x:v>
      </x:c>
      <x:c r="G271" s="243">
        <x:v>0</x:v>
      </x:c>
      <x:c r="H271" s="243">
        <x:v>0</x:v>
      </x:c>
      <x:c r="I271" s="243">
        <x:v>0</x:v>
      </x:c>
      <x:c r="J271" s="243">
        <x:v>0</x:v>
      </x:c>
      <x:c r="K271" s="243">
        <x:v>0</x:v>
      </x:c>
      <x:c r="L271" s="243">
        <x:v>0</x:v>
      </x:c>
      <x:c r="M271" s="243">
        <x:v>0</x:v>
      </x:c>
      <x:c r="N271" s="243">
        <x:v>0</x:v>
      </x:c>
      <x:c r="O271" s="243">
        <x:v>0</x:v>
      </x:c>
      <x:c r="P271" s="243">
        <x:v>0</x:v>
      </x:c>
      <x:c r="Q271" s="243">
        <x:v>0</x:v>
      </x:c>
      <x:c r="R271" s="243">
        <x:v>0</x:v>
      </x:c>
      <x:c r="S271" s="243">
        <x:v>0</x:v>
      </x:c>
      <x:c r="T271" s="243">
        <x:v>0</x:v>
      </x:c>
      <x:c r="U271" s="243">
        <x:v>0</x:v>
      </x:c>
      <x:c r="V271" s="243">
        <x:v>0</x:v>
      </x:c>
      <x:c r="W271" s="243">
        <x:v>0</x:v>
      </x:c>
      <x:c r="X271" s="243">
        <x:v>0</x:v>
      </x:c>
      <x:c r="Y271" s="243">
        <x:v>0</x:v>
      </x:c>
      <x:c r="Z271" s="243">
        <x:v>0</x:v>
      </x:c>
      <x:c r="AA271" s="243">
        <x:v>0</x:v>
      </x:c>
      <x:c r="AB271" s="243">
        <x:v>0</x:v>
      </x:c>
      <x:c r="AC271" s="243">
        <x:v>0</x:v>
      </x:c>
      <x:c r="AD271" s="243">
        <x:v>0</x:v>
      </x:c>
      <x:c r="AE271" s="243">
        <x:v>0</x:v>
      </x:c>
      <x:c r="AF271" s="243">
        <x:v>0</x:v>
      </x:c>
      <x:c r="AG271" s="243">
        <x:v>0</x:v>
      </x:c>
      <x:c r="AH271" s="243">
        <x:v>0</x:v>
      </x:c>
      <x:c r="AI271" s="243">
        <x:v>0</x:v>
      </x:c>
      <x:c r="AJ271" s="243">
        <x:v>0</x:v>
      </x:c>
      <x:c r="AK271" s="243">
        <x:v>0</x:v>
      </x:c>
      <x:c r="AL271" s="243">
        <x:v>0</x:v>
      </x:c>
      <x:c r="AM271" s="243">
        <x:v>0</x:v>
      </x:c>
      <x:c r="AN271" s="243">
        <x:v>0</x:v>
      </x:c>
      <x:c r="AO271" s="243">
        <x:v>0</x:v>
      </x:c>
    </x:row>
    <x:row r="272" spans="1:42" ht="12.75" customHeight="1" x14ac:dyDescent="0.3">
      <x:c r="C272" s="778"/>
      <x:c r="D272" s="775"/>
      <x:c r="E272" s="242" t="s">
        <x:v>73</x:v>
      </x:c>
      <x:c r="F272" s="243">
        <x:v>0</x:v>
      </x:c>
      <x:c r="G272" s="90"/>
      <x:c r="H272" s="90"/>
      <x:c r="I272" s="90"/>
      <x:c r="J272" s="90"/>
      <x:c r="K272" s="90"/>
      <x:c r="L272" s="90"/>
      <x:c r="M272" s="90"/>
      <x:c r="N272" s="90"/>
      <x:c r="O272" s="90"/>
      <x:c r="P272" s="90"/>
      <x:c r="Q272" s="90"/>
      <x:c r="R272" s="90"/>
    </x:row>
    <x:row r="273" spans="1:42" ht="12.75" customHeight="1" x14ac:dyDescent="0.3">
      <x:c r="A273" s="89"/>
      <x:c r="C273" s="97"/>
      <x:c r="F273" s="90"/>
      <x:c r="G273" s="90"/>
      <x:c r="H273" s="90"/>
      <x:c r="I273" s="90"/>
      <x:c r="J273" s="90"/>
      <x:c r="K273" s="90"/>
      <x:c r="L273" s="90"/>
      <x:c r="M273" s="90"/>
      <x:c r="N273" s="90"/>
      <x:c r="O273" s="90"/>
      <x:c r="P273" s="90"/>
      <x:c r="Q273" s="90"/>
      <x:c r="R273" s="90"/>
      <x:c r="S273" s="90"/>
    </x:row>
    <x:row r="274" spans="1:42" ht="12.75" customHeight="1" x14ac:dyDescent="0.3">
      <x:c r="C274" s="777" t="s">
        <x:v>119</x:v>
      </x:c>
      <x:c r="D274" s="775" t="s">
        <x:v>132</x:v>
      </x:c>
      <x:c r="E274" s="101" t="s">
        <x:v>70</x:v>
      </x:c>
      <x:c r="F274" s="93">
        <x:f>F207+F170+F119-L119-L170</x:f>
        <x:v>0</x:v>
      </x:c>
      <x:c r="G274" s="93">
        <x:f t="shared" ref="G274:AP274" si="13">G170+G119</x:f>
        <x:v>0</x:v>
      </x:c>
      <x:c r="H274" s="93">
        <x:f t="shared" si="13"/>
        <x:v>0</x:v>
      </x:c>
      <x:c r="I274" s="93">
        <x:f t="shared" si="13"/>
        <x:v>0</x:v>
      </x:c>
      <x:c r="J274" s="93">
        <x:f t="shared" si="13"/>
        <x:v>0</x:v>
      </x:c>
      <x:c r="K274" s="93">
        <x:f t="shared" si="13"/>
        <x:v>0</x:v>
      </x:c>
      <x:c r="L274" s="93">
        <x:f t="shared" si="13"/>
        <x:v>0</x:v>
      </x:c>
      <x:c r="M274" s="93">
        <x:f t="shared" si="13"/>
        <x:v>0</x:v>
      </x:c>
      <x:c r="N274" s="93">
        <x:f t="shared" si="13"/>
        <x:v>0</x:v>
      </x:c>
      <x:c r="O274" s="93">
        <x:f t="shared" si="13"/>
        <x:v>0</x:v>
      </x:c>
      <x:c r="P274" s="93">
        <x:f t="shared" si="13"/>
        <x:v>0</x:v>
      </x:c>
      <x:c r="Q274" s="93">
        <x:f t="shared" si="13"/>
        <x:v>0</x:v>
      </x:c>
      <x:c r="R274" s="93">
        <x:f t="shared" si="13"/>
        <x:v>0</x:v>
      </x:c>
      <x:c r="S274" s="93">
        <x:f t="shared" si="13"/>
        <x:v>0</x:v>
      </x:c>
      <x:c r="T274" s="93">
        <x:f t="shared" si="13"/>
        <x:v>0</x:v>
      </x:c>
      <x:c r="U274" s="93">
        <x:f t="shared" si="13"/>
        <x:v>0</x:v>
      </x:c>
      <x:c r="V274" s="93">
        <x:f t="shared" si="13"/>
        <x:v>0</x:v>
      </x:c>
      <x:c r="W274" s="93">
        <x:f t="shared" si="13"/>
        <x:v>0</x:v>
      </x:c>
      <x:c r="X274" s="93">
        <x:f t="shared" si="13"/>
        <x:v>0</x:v>
      </x:c>
      <x:c r="Y274" s="93">
        <x:f t="shared" si="13"/>
        <x:v>0</x:v>
      </x:c>
      <x:c r="Z274" s="93">
        <x:f t="shared" si="13"/>
        <x:v>0</x:v>
      </x:c>
      <x:c r="AA274" s="93">
        <x:f t="shared" si="13"/>
        <x:v>0</x:v>
      </x:c>
      <x:c r="AB274" s="93">
        <x:f t="shared" si="13"/>
        <x:v>0</x:v>
      </x:c>
      <x:c r="AC274" s="93">
        <x:f t="shared" si="13"/>
        <x:v>0</x:v>
      </x:c>
      <x:c r="AD274" s="93">
        <x:f t="shared" si="13"/>
        <x:v>0</x:v>
      </x:c>
      <x:c r="AE274" s="93">
        <x:f t="shared" si="13"/>
        <x:v>0</x:v>
      </x:c>
      <x:c r="AF274" s="93">
        <x:f t="shared" si="13"/>
        <x:v>0</x:v>
      </x:c>
      <x:c r="AG274" s="93">
        <x:f t="shared" si="13"/>
        <x:v>0</x:v>
      </x:c>
      <x:c r="AH274" s="93">
        <x:f t="shared" si="13"/>
        <x:v>0</x:v>
      </x:c>
      <x:c r="AI274" s="93">
        <x:f t="shared" si="13"/>
        <x:v>0</x:v>
      </x:c>
      <x:c r="AJ274" s="93">
        <x:f t="shared" si="13"/>
        <x:v>0</x:v>
      </x:c>
      <x:c r="AK274" s="93">
        <x:f t="shared" si="13"/>
        <x:v>0</x:v>
      </x:c>
      <x:c r="AL274" s="93">
        <x:f t="shared" si="13"/>
        <x:v>0</x:v>
      </x:c>
      <x:c r="AM274" s="93">
        <x:f t="shared" si="13"/>
        <x:v>0</x:v>
      </x:c>
      <x:c r="AN274" s="93">
        <x:f t="shared" si="13"/>
        <x:v>0</x:v>
      </x:c>
      <x:c r="AO274" s="93">
        <x:f t="shared" si="13"/>
        <x:v>0</x:v>
      </x:c>
      <x:c r="AP274" s="93">
        <x:f t="shared" si="13"/>
        <x:v>0</x:v>
      </x:c>
    </x:row>
    <x:row r="275" spans="1:42" ht="12.75" customHeight="1" x14ac:dyDescent="0.3">
      <x:c r="C275" s="777"/>
      <x:c r="D275" s="775"/>
      <x:c r="E275" s="101" t="s">
        <x:v>73</x:v>
      </x:c>
      <x:c r="F275" s="93">
        <x:f>F207</x:f>
        <x:v>0</x:v>
      </x:c>
      <x:c r="G275" s="90"/>
      <x:c r="H275" s="90"/>
      <x:c r="I275" s="90"/>
      <x:c r="J275" s="90"/>
      <x:c r="K275" s="90"/>
      <x:c r="L275" s="90"/>
      <x:c r="M275" s="90"/>
      <x:c r="N275" s="90"/>
      <x:c r="O275" s="90"/>
      <x:c r="P275" s="90"/>
      <x:c r="Q275" s="90"/>
      <x:c r="R275" s="90"/>
      <x:c r="S275" s="90"/>
    </x:row>
    <x:row r="276" spans="1:42" ht="12.75" customHeight="1" x14ac:dyDescent="0.3">
      <x:c r="C276" s="777"/>
      <x:c r="D276" s="775" t="s">
        <x:v>133</x:v>
      </x:c>
      <x:c r="E276" s="235" t="s">
        <x:v>70</x:v>
      </x:c>
      <x:c r="F276" s="236">
        <x:f>F189+F145-L145</x:f>
        <x:v>0</x:v>
      </x:c>
      <x:c r="G276" s="236">
        <x:f t="shared" ref="G276:AP276" si="14">G145</x:f>
        <x:v>0</x:v>
      </x:c>
      <x:c r="H276" s="236">
        <x:f t="shared" si="14"/>
        <x:v>0</x:v>
      </x:c>
      <x:c r="I276" s="236">
        <x:f t="shared" si="14"/>
        <x:v>0</x:v>
      </x:c>
      <x:c r="J276" s="236">
        <x:f t="shared" si="14"/>
        <x:v>0</x:v>
      </x:c>
      <x:c r="K276" s="236">
        <x:f t="shared" si="14"/>
        <x:v>0</x:v>
      </x:c>
      <x:c r="L276" s="236">
        <x:f t="shared" si="14"/>
        <x:v>0</x:v>
      </x:c>
      <x:c r="M276" s="236">
        <x:f t="shared" si="14"/>
        <x:v>0</x:v>
      </x:c>
      <x:c r="N276" s="236">
        <x:f t="shared" si="14"/>
        <x:v>0</x:v>
      </x:c>
      <x:c r="O276" s="236">
        <x:f t="shared" si="14"/>
        <x:v>0</x:v>
      </x:c>
      <x:c r="P276" s="236">
        <x:f t="shared" si="14"/>
        <x:v>0</x:v>
      </x:c>
      <x:c r="Q276" s="236">
        <x:f t="shared" si="14"/>
        <x:v>0</x:v>
      </x:c>
      <x:c r="R276" s="236">
        <x:f t="shared" si="14"/>
        <x:v>0</x:v>
      </x:c>
      <x:c r="S276" s="236">
        <x:f t="shared" si="14"/>
        <x:v>0</x:v>
      </x:c>
      <x:c r="T276" s="236">
        <x:f t="shared" si="14"/>
        <x:v>0</x:v>
      </x:c>
      <x:c r="U276" s="236">
        <x:f t="shared" si="14"/>
        <x:v>0</x:v>
      </x:c>
      <x:c r="V276" s="236">
        <x:f t="shared" si="14"/>
        <x:v>0</x:v>
      </x:c>
      <x:c r="W276" s="236">
        <x:f t="shared" si="14"/>
        <x:v>0</x:v>
      </x:c>
      <x:c r="X276" s="236">
        <x:f t="shared" si="14"/>
        <x:v>0</x:v>
      </x:c>
      <x:c r="Y276" s="236">
        <x:f t="shared" si="14"/>
        <x:v>0</x:v>
      </x:c>
      <x:c r="Z276" s="236">
        <x:f t="shared" si="14"/>
        <x:v>0</x:v>
      </x:c>
      <x:c r="AA276" s="236">
        <x:f t="shared" si="14"/>
        <x:v>0</x:v>
      </x:c>
      <x:c r="AB276" s="236">
        <x:f t="shared" si="14"/>
        <x:v>0</x:v>
      </x:c>
      <x:c r="AC276" s="236">
        <x:f t="shared" si="14"/>
        <x:v>0</x:v>
      </x:c>
      <x:c r="AD276" s="236">
        <x:f t="shared" si="14"/>
        <x:v>0</x:v>
      </x:c>
      <x:c r="AE276" s="236">
        <x:f t="shared" si="14"/>
        <x:v>0</x:v>
      </x:c>
      <x:c r="AF276" s="236">
        <x:f t="shared" si="14"/>
        <x:v>0</x:v>
      </x:c>
      <x:c r="AG276" s="236">
        <x:f t="shared" si="14"/>
        <x:v>0</x:v>
      </x:c>
      <x:c r="AH276" s="236">
        <x:f t="shared" si="14"/>
        <x:v>0</x:v>
      </x:c>
      <x:c r="AI276" s="236">
        <x:f t="shared" si="14"/>
        <x:v>0</x:v>
      </x:c>
      <x:c r="AJ276" s="236">
        <x:f t="shared" si="14"/>
        <x:v>0</x:v>
      </x:c>
      <x:c r="AK276" s="236">
        <x:f t="shared" si="14"/>
        <x:v>0</x:v>
      </x:c>
      <x:c r="AL276" s="236">
        <x:f t="shared" si="14"/>
        <x:v>0</x:v>
      </x:c>
      <x:c r="AM276" s="236">
        <x:f t="shared" si="14"/>
        <x:v>0</x:v>
      </x:c>
      <x:c r="AN276" s="236">
        <x:f t="shared" si="14"/>
        <x:v>0</x:v>
      </x:c>
      <x:c r="AO276" s="236">
        <x:f t="shared" si="14"/>
        <x:v>0</x:v>
      </x:c>
      <x:c r="AP276" s="236">
        <x:f t="shared" si="14"/>
        <x:v>0</x:v>
      </x:c>
    </x:row>
    <x:row r="277" spans="1:42" ht="12.75" customHeight="1" x14ac:dyDescent="0.3">
      <x:c r="C277" s="777"/>
      <x:c r="D277" s="775"/>
      <x:c r="E277" s="235" t="s">
        <x:v>73</x:v>
      </x:c>
      <x:c r="F277" s="236">
        <x:f>F189</x:f>
        <x:v>0</x:v>
      </x:c>
      <x:c r="G277" s="90"/>
      <x:c r="H277" s="90"/>
      <x:c r="I277" s="90"/>
      <x:c r="J277" s="90"/>
      <x:c r="K277" s="90"/>
      <x:c r="L277" s="90"/>
      <x:c r="M277" s="90"/>
      <x:c r="N277" s="90"/>
      <x:c r="O277" s="90"/>
      <x:c r="P277" s="90"/>
      <x:c r="Q277" s="90"/>
      <x:c r="R277" s="90"/>
    </x:row>
    <x:row r="278" spans="1:42" ht="12.75" customHeight="1" x14ac:dyDescent="0.3">
      <x:c r="A278" s="89"/>
      <x:c r="C278" s="97"/>
      <x:c r="F278" s="90"/>
      <x:c r="G278" s="90"/>
      <x:c r="H278" s="90"/>
      <x:c r="I278" s="90"/>
      <x:c r="J278" s="90"/>
      <x:c r="K278" s="90"/>
      <x:c r="L278" s="90"/>
      <x:c r="M278" s="90"/>
      <x:c r="N278" s="90"/>
      <x:c r="O278" s="90"/>
      <x:c r="P278" s="90"/>
      <x:c r="Q278" s="90"/>
      <x:c r="R278" s="90"/>
      <x:c r="S278" s="90"/>
    </x:row>
    <x:row r="279" spans="1:42" ht="12.75" customHeight="1" x14ac:dyDescent="0.3">
      <x:c r="C279" s="776" t="s">
        <x:v>161</x:v>
      </x:c>
      <x:c r="D279" s="775" t="s">
        <x:v>132</x:v>
      </x:c>
      <x:c r="E279" s="231" t="s">
        <x:v>70</x:v>
      </x:c>
      <x:c r="F279" s="232">
        <x:v>0</x:v>
      </x:c>
      <x:c r="G279" s="232">
        <x:v>0</x:v>
      </x:c>
      <x:c r="H279" s="232">
        <x:v>0</x:v>
      </x:c>
      <x:c r="I279" s="232">
        <x:v>0</x:v>
      </x:c>
      <x:c r="J279" s="232">
        <x:v>0</x:v>
      </x:c>
      <x:c r="K279" s="232">
        <x:v>0</x:v>
      </x:c>
      <x:c r="L279" s="232">
        <x:v>0</x:v>
      </x:c>
      <x:c r="M279" s="232">
        <x:v>0</x:v>
      </x:c>
      <x:c r="N279" s="232">
        <x:v>0</x:v>
      </x:c>
      <x:c r="O279" s="232">
        <x:v>0</x:v>
      </x:c>
      <x:c r="P279" s="232">
        <x:v>0</x:v>
      </x:c>
      <x:c r="Q279" s="232">
        <x:v>0</x:v>
      </x:c>
      <x:c r="R279" s="232">
        <x:v>0</x:v>
      </x:c>
      <x:c r="S279" s="232">
        <x:v>0</x:v>
      </x:c>
      <x:c r="T279" s="232">
        <x:v>0</x:v>
      </x:c>
      <x:c r="U279" s="232">
        <x:v>0</x:v>
      </x:c>
      <x:c r="V279" s="232">
        <x:v>0</x:v>
      </x:c>
      <x:c r="W279" s="232">
        <x:v>0</x:v>
      </x:c>
      <x:c r="X279" s="232">
        <x:v>0</x:v>
      </x:c>
      <x:c r="Y279" s="232"/>
      <x:c r="Z279" s="232">
        <x:v>0</x:v>
      </x:c>
      <x:c r="AA279" s="232">
        <x:v>0</x:v>
      </x:c>
      <x:c r="AB279" s="232">
        <x:v>0</x:v>
      </x:c>
      <x:c r="AC279" s="232">
        <x:v>0</x:v>
      </x:c>
      <x:c r="AD279" s="232">
        <x:v>0</x:v>
      </x:c>
      <x:c r="AE279" s="232">
        <x:v>0</x:v>
      </x:c>
      <x:c r="AF279" s="232">
        <x:v>0</x:v>
      </x:c>
      <x:c r="AG279" s="232">
        <x:v>0</x:v>
      </x:c>
      <x:c r="AH279" s="232">
        <x:v>0</x:v>
      </x:c>
      <x:c r="AI279" s="232">
        <x:v>0</x:v>
      </x:c>
      <x:c r="AJ279" s="232">
        <x:v>0</x:v>
      </x:c>
      <x:c r="AK279" s="232">
        <x:v>0</x:v>
      </x:c>
      <x:c r="AL279" s="232">
        <x:v>0</x:v>
      </x:c>
      <x:c r="AM279" s="232">
        <x:v>0</x:v>
      </x:c>
      <x:c r="AN279" s="232">
        <x:v>0</x:v>
      </x:c>
      <x:c r="AO279" s="232">
        <x:v>0</x:v>
      </x:c>
      <x:c r="AP279" s="232">
        <x:v>0</x:v>
      </x:c>
    </x:row>
    <x:row r="280" spans="1:42" ht="12.75" customHeight="1" x14ac:dyDescent="0.3">
      <x:c r="C280" s="776"/>
      <x:c r="D280" s="775"/>
      <x:c r="E280" s="231" t="s">
        <x:v>73</x:v>
      </x:c>
      <x:c r="F280" s="232">
        <x:v>0</x:v>
      </x:c>
      <x:c r="G280" s="90"/>
      <x:c r="H280" s="90"/>
      <x:c r="I280" s="90"/>
      <x:c r="J280" s="90"/>
      <x:c r="K280" s="90"/>
      <x:c r="L280" s="90"/>
      <x:c r="M280" s="90"/>
      <x:c r="N280" s="90"/>
      <x:c r="O280" s="90"/>
      <x:c r="P280" s="90"/>
      <x:c r="Q280" s="90"/>
      <x:c r="R280" s="90"/>
      <x:c r="S280" s="90"/>
    </x:row>
    <x:row r="281" spans="1:42" ht="12.75" customHeight="1" x14ac:dyDescent="0.3">
      <x:c r="C281" s="776"/>
      <x:c r="E281" s="148" t="s">
        <x:v>70</x:v>
      </x:c>
      <x:c r="F281" s="149">
        <x:v>0</x:v>
      </x:c>
      <x:c r="G281" s="149">
        <x:v>0</x:v>
      </x:c>
      <x:c r="H281" s="149">
        <x:v>0</x:v>
      </x:c>
      <x:c r="I281" s="149">
        <x:v>0</x:v>
      </x:c>
      <x:c r="J281" s="149">
        <x:v>0</x:v>
      </x:c>
      <x:c r="K281" s="149">
        <x:v>0</x:v>
      </x:c>
      <x:c r="L281" s="149">
        <x:v>0</x:v>
      </x:c>
      <x:c r="M281" s="149">
        <x:v>0</x:v>
      </x:c>
      <x:c r="N281" s="149">
        <x:v>0</x:v>
      </x:c>
      <x:c r="O281" s="149">
        <x:v>0</x:v>
      </x:c>
      <x:c r="P281" s="149">
        <x:v>0</x:v>
      </x:c>
      <x:c r="Q281" s="149">
        <x:v>0</x:v>
      </x:c>
      <x:c r="R281" s="149">
        <x:v>0</x:v>
      </x:c>
      <x:c r="S281" s="149">
        <x:v>0</x:v>
      </x:c>
      <x:c r="T281" s="149">
        <x:v>0</x:v>
      </x:c>
      <x:c r="U281" s="149">
        <x:v>0</x:v>
      </x:c>
      <x:c r="V281" s="149">
        <x:v>0</x:v>
      </x:c>
      <x:c r="W281" s="149">
        <x:v>0</x:v>
      </x:c>
      <x:c r="X281" s="149">
        <x:v>0</x:v>
      </x:c>
      <x:c r="Y281" s="149">
        <x:v>0</x:v>
      </x:c>
      <x:c r="Z281" s="149">
        <x:v>0</x:v>
      </x:c>
      <x:c r="AA281" s="149">
        <x:v>0</x:v>
      </x:c>
    </x:row>
    <x:row r="282" spans="1:42" ht="12.75" customHeight="1" x14ac:dyDescent="0.3">
      <x:c r="C282" s="776"/>
      <x:c r="D282" s="220" t="s">
        <x:v>132</x:v>
      </x:c>
      <x:c r="E282" s="148" t="s">
        <x:v>73</x:v>
      </x:c>
      <x:c r="F282" s="149">
        <x:v>0</x:v>
      </x:c>
      <x:c r="G282" s="90"/>
      <x:c r="H282" s="90"/>
      <x:c r="I282" s="90"/>
      <x:c r="J282" s="90"/>
      <x:c r="K282" s="90"/>
      <x:c r="L282" s="90"/>
      <x:c r="M282" s="90"/>
      <x:c r="N282" s="90"/>
      <x:c r="O282" s="90"/>
      <x:c r="P282" s="90"/>
      <x:c r="Q282" s="90"/>
      <x:c r="R282" s="90"/>
    </x:row>
    <x:row r="283" spans="1:42" ht="12.75" customHeight="1" x14ac:dyDescent="0.3">
      <x:c r="C283" s="388"/>
      <x:c r="D283" s="220"/>
      <x:c r="E283" s="89"/>
      <x:c r="F283" s="90"/>
      <x:c r="G283" s="90"/>
      <x:c r="H283" s="90"/>
      <x:c r="I283" s="90"/>
      <x:c r="J283" s="90"/>
      <x:c r="K283" s="90"/>
      <x:c r="L283" s="90"/>
      <x:c r="M283" s="90"/>
      <x:c r="N283" s="90"/>
      <x:c r="O283" s="90"/>
      <x:c r="P283" s="90"/>
      <x:c r="Q283" s="90"/>
      <x:c r="R283" s="90"/>
    </x:row>
    <x:row r="284" spans="1:42" ht="12.75" customHeight="1" x14ac:dyDescent="0.3">
      <x:c r="D284" s="458" t="s">
        <x:v>186</x:v>
      </x:c>
      <x:c r="E284" s="459" t="s">
        <x:v>70</x:v>
      </x:c>
      <x:c r="F284" s="460">
        <x:f t="shared" ref="F284:AA284" si="15">F120</x:f>
        <x:v>0</x:v>
      </x:c>
      <x:c r="G284" s="460">
        <x:f t="shared" si="15"/>
        <x:v>0</x:v>
      </x:c>
      <x:c r="H284" s="460">
        <x:f t="shared" si="15"/>
        <x:v>0</x:v>
      </x:c>
      <x:c r="I284" s="460">
        <x:f t="shared" si="15"/>
        <x:v>0</x:v>
      </x:c>
      <x:c r="J284" s="460">
        <x:f t="shared" si="15"/>
        <x:v>0</x:v>
      </x:c>
      <x:c r="K284" s="460">
        <x:f t="shared" si="15"/>
        <x:v>0</x:v>
      </x:c>
      <x:c r="L284" s="460">
        <x:f t="shared" si="15"/>
        <x:v>0</x:v>
      </x:c>
      <x:c r="M284" s="460">
        <x:f t="shared" si="15"/>
        <x:v>0</x:v>
      </x:c>
      <x:c r="N284" s="460">
        <x:f t="shared" si="15"/>
        <x:v>0</x:v>
      </x:c>
      <x:c r="O284" s="460">
        <x:f t="shared" si="15"/>
        <x:v>0</x:v>
      </x:c>
      <x:c r="P284" s="460">
        <x:f t="shared" si="15"/>
        <x:v>0</x:v>
      </x:c>
      <x:c r="Q284" s="460">
        <x:f t="shared" si="15"/>
        <x:v>0</x:v>
      </x:c>
      <x:c r="R284" s="460">
        <x:f t="shared" si="15"/>
        <x:v>0</x:v>
      </x:c>
      <x:c r="S284" s="460">
        <x:f t="shared" si="15"/>
        <x:v>0</x:v>
      </x:c>
      <x:c r="T284" s="460">
        <x:f t="shared" si="15"/>
        <x:v>0</x:v>
      </x:c>
      <x:c r="U284" s="460">
        <x:f t="shared" si="15"/>
        <x:v>0</x:v>
      </x:c>
      <x:c r="V284" s="460">
        <x:f t="shared" si="15"/>
        <x:v>0</x:v>
      </x:c>
      <x:c r="W284" s="460">
        <x:f t="shared" si="15"/>
        <x:v>0</x:v>
      </x:c>
      <x:c r="X284" s="460">
        <x:f t="shared" si="15"/>
        <x:v>0</x:v>
      </x:c>
      <x:c r="Y284" s="460">
        <x:f t="shared" si="15"/>
        <x:v>0</x:v>
      </x:c>
      <x:c r="Z284" s="460">
        <x:f t="shared" si="15"/>
        <x:v>0</x:v>
      </x:c>
      <x:c r="AA284" s="460">
        <x:f t="shared" si="15"/>
        <x:v>0</x:v>
      </x:c>
    </x:row>
    <x:row r="285" spans="1:42" ht="12.75" customHeight="1" x14ac:dyDescent="0.3">
      <x:c r="C285" s="388"/>
      <x:c r="D285" s="220"/>
      <x:c r="E285" s="89"/>
      <x:c r="F285" s="90"/>
      <x:c r="G285" s="90"/>
      <x:c r="H285" s="90"/>
      <x:c r="I285" s="90"/>
      <x:c r="J285" s="90"/>
      <x:c r="K285" s="90"/>
      <x:c r="L285" s="90"/>
      <x:c r="M285" s="90"/>
      <x:c r="N285" s="90"/>
      <x:c r="O285" s="90"/>
      <x:c r="P285" s="90"/>
      <x:c r="Q285" s="90"/>
      <x:c r="R285" s="90"/>
    </x:row>
    <x:row r="286" spans="1:42" s="238" customFormat="1" ht="12.75" customHeight="1" x14ac:dyDescent="0.3">
      <x:c r="D286" s="239"/>
      <x:c r="E286" s="240"/>
      <x:c r="F286" s="240"/>
      <x:c r="G286" s="240"/>
      <x:c r="H286" s="240"/>
      <x:c r="I286" s="240"/>
      <x:c r="J286" s="240"/>
      <x:c r="K286" s="240"/>
      <x:c r="L286" s="240"/>
      <x:c r="M286" s="240"/>
      <x:c r="N286" s="240"/>
      <x:c r="O286" s="240"/>
      <x:c r="P286" s="240"/>
      <x:c r="Q286" s="240"/>
    </x:row>
    <x:row r="287" spans="1:42" ht="12.75" customHeight="1" x14ac:dyDescent="0.3">
      <x:c r="A287" s="89"/>
      <x:c r="B287" s="97" t="s">
        <x:v>76</x:v>
      </x:c>
      <x:c r="E287" s="90"/>
      <x:c r="F287" s="90"/>
      <x:c r="G287" s="90"/>
      <x:c r="H287" s="90"/>
      <x:c r="I287" s="90"/>
      <x:c r="J287" s="90"/>
      <x:c r="K287" s="90"/>
      <x:c r="L287" s="90"/>
      <x:c r="M287" s="90"/>
      <x:c r="N287" s="90"/>
      <x:c r="O287" s="90"/>
      <x:c r="P287" s="90"/>
      <x:c r="Q287" s="90"/>
    </x:row>
    <x:row r="288" spans="1:42" ht="12.65" customHeight="1" x14ac:dyDescent="0.3">
      <x:c r="F288" s="89" t="s">
        <x:v>70</x:v>
      </x:c>
      <x:c r="G288" s="89" t="s">
        <x:v>64</x:v>
      </x:c>
      <x:c r="H288" s="89" t="s">
        <x:v>65</x:v>
      </x:c>
      <x:c r="I288" s="218" t="s">
        <x:v>164</x:v>
      </x:c>
      <x:c r="J288" s="89" t="s">
        <x:v>69</x:v>
      </x:c>
      <x:c r="K288" s="89" t="s">
        <x:v>68</x:v>
      </x:c>
      <x:c r="L288" s="89" t="s">
        <x:v>71</x:v>
      </x:c>
      <x:c r="M288" s="89" t="s">
        <x:v>66</x:v>
      </x:c>
      <x:c r="N288" s="89" t="s">
        <x:v>63</x:v>
      </x:c>
      <x:c r="O288" s="89" t="s">
        <x:v>61</x:v>
      </x:c>
      <x:c r="P288" s="89" t="s">
        <x:v>62</x:v>
      </x:c>
      <x:c r="Q288" s="89" t="s">
        <x:v>67</x:v>
      </x:c>
      <x:c r="R288" s="89" t="s">
        <x:v>77</x:v>
      </x:c>
      <x:c r="S288" s="89" t="s">
        <x:v>80</x:v>
      </x:c>
      <x:c r="T288" s="89" t="s">
        <x:v>135</x:v>
      </x:c>
      <x:c r="U288" s="89" t="s">
        <x:v>173</x:v>
      </x:c>
      <x:c r="V288" s="89" t="s">
        <x:v>222</x:v>
      </x:c>
      <x:c r="W288" s="89" t="s">
        <x:v>173</x:v>
      </x:c>
      <x:c r="X288" t="s">
        <x:v>173</x:v>
      </x:c>
      <x:c r="Y288" s="89" t="s">
        <x:v>135</x:v>
      </x:c>
      <x:c r="Z288" t="s">
        <x:v>167</x:v>
      </x:c>
    </x:row>
    <x:row r="289" spans="1:26" ht="12.75" customHeight="1" x14ac:dyDescent="0.3">
      <x:c r="E289" s="89" t="s">
        <x:v>72</x:v>
      </x:c>
      <x:c r="F289" s="371" t="n">
        <x:v>-558.05</x:v>
      </x:c>
      <x:c r="G289" s="90" t="n">
        <x:v>-36.43</x:v>
      </x:c>
      <x:c r="H289" s="90" t="n">
        <x:v>-15.48</x:v>
      </x:c>
      <x:c r="I289" s="90" t="n">
        <x:v>-6.76</x:v>
      </x:c>
      <x:c r="J289" s="90" t="n">
        <x:v>-123.14</x:v>
      </x:c>
      <x:c r="K289" s="90" t="n">
        <x:v>-4.99</x:v>
      </x:c>
      <x:c r="L289" s="90" t="n">
        <x:v>0</x:v>
      </x:c>
      <x:c r="M289" s="90" t="n">
        <x:v>-43.78</x:v>
      </x:c>
      <x:c r="N289" s="90" t="n">
        <x:v>-55.99</x:v>
      </x:c>
      <x:c r="O289" s="90" t="n">
        <x:v>-184.32</x:v>
      </x:c>
      <x:c r="P289" s="90" t="n">
        <x:v>-79.02</x:v>
      </x:c>
      <x:c r="Q289" s="90" t="n">
        <x:v>-8.14</x:v>
      </x:c>
      <x:c r="R289" s="90" t="n">
        <x:v>0</x:v>
      </x:c>
      <x:c r="S289" s="90" t="n">
        <x:v>0</x:v>
      </x:c>
      <x:c r="T289" t="n">
        <x:v>0</x:v>
      </x:c>
      <x:c r="U289">
        <x:v>0</x:v>
      </x:c>
      <x:c r="V289">
        <x:v>0</x:v>
      </x:c>
      <x:c r="W289">
        <x:v>0</x:v>
      </x:c>
      <x:c r="X289">
        <x:v>0</x:v>
      </x:c>
      <x:c r="Y289">
        <x:v>0</x:v>
      </x:c>
      <x:c r="Z289">
        <x:v>0</x:v>
      </x:c>
    </x:row>
    <x:row r="290" spans="1:26" ht="12.75" customHeight="1" x14ac:dyDescent="0.3">
      <x:c r="D290" t="s">
        <x:v>156</x:v>
      </x:c>
      <x:c r="E290" s="89" t="s">
        <x:v>70</x:v>
      </x:c>
      <x:c r="F290" s="371" t="n">
        <x:v>-558.05</x:v>
      </x:c>
      <x:c r="G290" s="90" t="n">
        <x:v>-36.43</x:v>
      </x:c>
      <x:c r="H290" s="90" t="n">
        <x:v>-15.48</x:v>
      </x:c>
      <x:c r="I290" s="90" t="n">
        <x:v>-6.76</x:v>
      </x:c>
      <x:c r="J290" s="90" t="n">
        <x:v>-123.14</x:v>
      </x:c>
      <x:c r="K290" s="90" t="n">
        <x:v>-4.99</x:v>
      </x:c>
      <x:c r="L290" s="90" t="n">
        <x:v>0</x:v>
      </x:c>
      <x:c r="M290" s="90" t="n">
        <x:v>-43.78</x:v>
      </x:c>
      <x:c r="N290" s="90" t="n">
        <x:v>-55.99</x:v>
      </x:c>
      <x:c r="O290" s="90" t="n">
        <x:v>-184.32</x:v>
      </x:c>
      <x:c r="P290" s="90" t="n">
        <x:v>-79.02</x:v>
      </x:c>
      <x:c r="Q290" s="90" t="n">
        <x:v>-8.14</x:v>
      </x:c>
      <x:c r="R290" s="90" t="n">
        <x:v>0</x:v>
      </x:c>
      <x:c r="S290" s="90" t="n">
        <x:v>0</x:v>
      </x:c>
      <x:c r="T290" t="n">
        <x:v>0</x:v>
      </x:c>
      <x:c r="U290">
        <x:v>0</x:v>
      </x:c>
      <x:c r="V290">
        <x:v>0</x:v>
      </x:c>
      <x:c r="W290">
        <x:v>0</x:v>
      </x:c>
      <x:c r="X290">
        <x:v>0</x:v>
      </x:c>
      <x:c r="Y290">
        <x:v>0</x:v>
      </x:c>
      <x:c r="Z290">
        <x:v>0</x:v>
      </x:c>
    </x:row>
    <x:row r="291" spans="1:26" s="286" customFormat="1" ht="12.75" customHeight="1" x14ac:dyDescent="0.3">
      <x:c r="C291" s="286" t="s">
        <x:v>155</x:v>
      </x:c>
      <x:c r="D291" s="286" t="s">
        <x:v>70</x:v>
      </x:c>
      <x:c r="E291" s="229"/>
      <x:c r="F291" s="229" t="n">
        <x:v>-558.05</x:v>
      </x:c>
      <x:c r="G291" s="230" t="n">
        <x:v>-36.43</x:v>
      </x:c>
      <x:c r="H291" s="230" t="n">
        <x:v>-15.48</x:v>
      </x:c>
      <x:c r="I291" s="230" t="n">
        <x:v>-6.76</x:v>
      </x:c>
      <x:c r="J291" s="230" t="n">
        <x:v>-123.14</x:v>
      </x:c>
      <x:c r="K291" s="230" t="n">
        <x:v>-4.99</x:v>
      </x:c>
      <x:c r="L291" s="230" t="n">
        <x:v>0</x:v>
      </x:c>
      <x:c r="M291" s="230" t="n">
        <x:v>-43.78</x:v>
      </x:c>
      <x:c r="N291" s="230" t="n">
        <x:v>-55.99</x:v>
      </x:c>
      <x:c r="O291" s="230" t="n">
        <x:v>-184.32</x:v>
      </x:c>
      <x:c r="P291" s="230" t="n">
        <x:v>-79.02</x:v>
      </x:c>
      <x:c r="Q291" s="230" t="n">
        <x:v>-8.14</x:v>
      </x:c>
      <x:c r="R291" s="230" t="n">
        <x:v>0</x:v>
      </x:c>
      <x:c r="S291" s="230" t="n">
        <x:v>0</x:v>
      </x:c>
      <x:c r="T291" s="230" t="n">
        <x:v>0</x:v>
      </x:c>
      <x:c r="U291" s="230">
        <x:v>0</x:v>
      </x:c>
      <x:c r="V291" s="230">
        <x:v>0</x:v>
      </x:c>
      <x:c r="W291" s="230">
        <x:v>0</x:v>
      </x:c>
      <x:c r="X291" s="230">
        <x:v>0</x:v>
      </x:c>
      <x:c r="Y291" s="230">
        <x:v>0</x:v>
      </x:c>
      <x:c r="Z291" s="230">
        <x:v>0</x:v>
      </x:c>
    </x:row>
    <x:row r="292" spans="1:26" ht="12.75" customHeight="1" x14ac:dyDescent="0.3">
      <x:c r="E292" s="89" t="s">
        <x:v>72</x:v>
      </x:c>
      <x:c r="F292" s="90">
        <x:v>0</x:v>
      </x:c>
      <x:c r="G292" s="90">
        <x:v>0</x:v>
      </x:c>
      <x:c r="H292" s="90">
        <x:v>0</x:v>
      </x:c>
      <x:c r="I292" s="90">
        <x:v>0</x:v>
      </x:c>
      <x:c r="J292" s="90">
        <x:v>0</x:v>
      </x:c>
      <x:c r="K292" s="90">
        <x:v>0</x:v>
      </x:c>
      <x:c r="L292" s="90">
        <x:v>0</x:v>
      </x:c>
      <x:c r="M292" s="90">
        <x:v>0</x:v>
      </x:c>
      <x:c r="N292" s="90">
        <x:v>0</x:v>
      </x:c>
      <x:c r="O292" s="90">
        <x:v>0</x:v>
      </x:c>
      <x:c r="P292" s="90">
        <x:v>0</x:v>
      </x:c>
      <x:c r="Q292" s="90">
        <x:v>0</x:v>
      </x:c>
      <x:c r="R292" s="90">
        <x:v>0</x:v>
      </x:c>
      <x:c r="S292" s="90">
        <x:v>0</x:v>
      </x:c>
      <x:c r="T292" s="90">
        <x:v>0</x:v>
      </x:c>
      <x:c r="U292" s="90">
        <x:v>0</x:v>
      </x:c>
      <x:c r="V292" s="90">
        <x:v>0</x:v>
      </x:c>
      <x:c r="W292" s="90">
        <x:v>0</x:v>
      </x:c>
      <x:c r="X292">
        <x:v>0</x:v>
      </x:c>
      <x:c r="Y292">
        <x:v>0</x:v>
      </x:c>
      <x:c r="Z292">
        <x:v>0</x:v>
      </x:c>
    </x:row>
    <x:row r="293" spans="1:26" ht="12.75" customHeight="1" x14ac:dyDescent="0.3">
      <x:c r="D293" t="s">
        <x:v>82</x:v>
      </x:c>
      <x:c r="E293" s="89" t="s">
        <x:v>70</x:v>
      </x:c>
      <x:c r="F293" s="371">
        <x:v>0</x:v>
      </x:c>
      <x:c r="G293" s="90">
        <x:v>0</x:v>
      </x:c>
      <x:c r="H293" s="90">
        <x:v>0</x:v>
      </x:c>
      <x:c r="I293" s="90">
        <x:v>0</x:v>
      </x:c>
      <x:c r="J293" s="90">
        <x:v>0</x:v>
      </x:c>
      <x:c r="K293" s="90">
        <x:v>0</x:v>
      </x:c>
      <x:c r="L293" s="90">
        <x:v>0</x:v>
      </x:c>
      <x:c r="M293" s="90">
        <x:v>0</x:v>
      </x:c>
      <x:c r="N293" s="90">
        <x:v>0</x:v>
      </x:c>
      <x:c r="O293" s="90">
        <x:v>0</x:v>
      </x:c>
      <x:c r="P293" s="90">
        <x:v>0</x:v>
      </x:c>
      <x:c r="Q293" s="90">
        <x:v>0</x:v>
      </x:c>
      <x:c r="R293" s="90">
        <x:v>0</x:v>
      </x:c>
      <x:c r="S293" s="90">
        <x:v>0</x:v>
      </x:c>
      <x:c r="T293" s="90">
        <x:v>0</x:v>
      </x:c>
      <x:c r="U293" s="90">
        <x:v>0</x:v>
      </x:c>
      <x:c r="V293" s="90">
        <x:v>0</x:v>
      </x:c>
      <x:c r="W293" s="90">
        <x:v>0</x:v>
      </x:c>
      <x:c r="X293">
        <x:v>0</x:v>
      </x:c>
      <x:c r="Y293">
        <x:v>0</x:v>
      </x:c>
      <x:c r="Z293">
        <x:v>0</x:v>
      </x:c>
    </x:row>
    <x:row r="294" spans="1:26" ht="12.75" customHeight="1" x14ac:dyDescent="0.3">
      <x:c r="E294" s="89" t="s">
        <x:v>72</x:v>
      </x:c>
      <x:c r="F294" s="371">
        <x:v>0</x:v>
      </x:c>
      <x:c r="G294" s="90">
        <x:v>0</x:v>
      </x:c>
      <x:c r="H294" s="90">
        <x:v>0</x:v>
      </x:c>
      <x:c r="I294" s="90">
        <x:v>0</x:v>
      </x:c>
      <x:c r="J294" s="90">
        <x:v>0</x:v>
      </x:c>
      <x:c r="K294" s="90">
        <x:v>0</x:v>
      </x:c>
      <x:c r="L294" s="90">
        <x:v>0</x:v>
      </x:c>
      <x:c r="M294" s="90">
        <x:v>0</x:v>
      </x:c>
      <x:c r="N294" s="90">
        <x:v>0</x:v>
      </x:c>
      <x:c r="O294" s="90">
        <x:v>0</x:v>
      </x:c>
      <x:c r="P294" s="90">
        <x:v>0</x:v>
      </x:c>
      <x:c r="Q294" s="90">
        <x:v>0</x:v>
      </x:c>
      <x:c r="R294" s="90">
        <x:v>0</x:v>
      </x:c>
      <x:c r="S294" s="90">
        <x:v>0</x:v>
      </x:c>
      <x:c r="T294" s="90">
        <x:v>0</x:v>
      </x:c>
      <x:c r="U294" s="90">
        <x:v>0</x:v>
      </x:c>
      <x:c r="V294" s="90">
        <x:v>0</x:v>
      </x:c>
      <x:c r="W294" s="90">
        <x:v>0</x:v>
      </x:c>
      <x:c r="X294">
        <x:v>0</x:v>
      </x:c>
      <x:c r="Y294">
        <x:v>0</x:v>
      </x:c>
      <x:c r="Z294">
        <x:v>0</x:v>
      </x:c>
    </x:row>
    <x:row r="295" spans="1:26" ht="12.75" customHeight="1" x14ac:dyDescent="0.3">
      <x:c r="D295" t="s">
        <x:v>86</x:v>
      </x:c>
      <x:c r="E295" s="89" t="s">
        <x:v>70</x:v>
      </x:c>
      <x:c r="F295" s="371">
        <x:v>0</x:v>
      </x:c>
      <x:c r="G295" s="90">
        <x:v>0</x:v>
      </x:c>
      <x:c r="H295" s="90">
        <x:v>0</x:v>
      </x:c>
      <x:c r="I295" s="90">
        <x:v>0</x:v>
      </x:c>
      <x:c r="J295" s="90">
        <x:v>0</x:v>
      </x:c>
      <x:c r="K295" s="90">
        <x:v>0</x:v>
      </x:c>
      <x:c r="L295" s="90">
        <x:v>0</x:v>
      </x:c>
      <x:c r="M295" s="90">
        <x:v>0</x:v>
      </x:c>
      <x:c r="N295" s="90">
        <x:v>0</x:v>
      </x:c>
      <x:c r="O295" s="90">
        <x:v>0</x:v>
      </x:c>
      <x:c r="P295" s="90">
        <x:v>0</x:v>
      </x:c>
      <x:c r="Q295" s="90">
        <x:v>0</x:v>
      </x:c>
      <x:c r="R295" s="90">
        <x:v>0</x:v>
      </x:c>
      <x:c r="S295" s="90">
        <x:v>0</x:v>
      </x:c>
      <x:c r="T295" s="90">
        <x:v>0</x:v>
      </x:c>
      <x:c r="U295" s="90">
        <x:v>0</x:v>
      </x:c>
      <x:c r="V295" s="90">
        <x:v>0</x:v>
      </x:c>
      <x:c r="W295" s="90">
        <x:v>0</x:v>
      </x:c>
      <x:c r="X295">
        <x:v>0</x:v>
      </x:c>
      <x:c r="Y295">
        <x:v>0</x:v>
      </x:c>
      <x:c r="Z295">
        <x:v>0</x:v>
      </x:c>
    </x:row>
    <x:row r="296" spans="1:26" ht="12.75" customHeight="1" x14ac:dyDescent="0.3">
      <x:c r="E296" s="89" t="s">
        <x:v>72</x:v>
      </x:c>
      <x:c r="F296" s="371">
        <x:v>0</x:v>
      </x:c>
      <x:c r="G296" s="90">
        <x:v>0</x:v>
      </x:c>
      <x:c r="H296" s="90">
        <x:v>0</x:v>
      </x:c>
      <x:c r="I296" s="90">
        <x:v>0</x:v>
      </x:c>
      <x:c r="J296" s="90">
        <x:v>0</x:v>
      </x:c>
      <x:c r="K296" s="90">
        <x:v>0</x:v>
      </x:c>
      <x:c r="L296" s="90">
        <x:v>0</x:v>
      </x:c>
      <x:c r="M296" s="90">
        <x:v>0</x:v>
      </x:c>
      <x:c r="N296" s="90">
        <x:v>0</x:v>
      </x:c>
      <x:c r="O296" s="90">
        <x:v>0</x:v>
      </x:c>
      <x:c r="P296" s="90">
        <x:v>0</x:v>
      </x:c>
      <x:c r="Q296" s="90">
        <x:v>0</x:v>
      </x:c>
      <x:c r="R296" s="90">
        <x:v>0</x:v>
      </x:c>
      <x:c r="S296" s="90">
        <x:v>0</x:v>
      </x:c>
      <x:c r="T296" s="90">
        <x:v>0</x:v>
      </x:c>
      <x:c r="U296" s="90">
        <x:v>0</x:v>
      </x:c>
      <x:c r="V296" s="90">
        <x:v>0</x:v>
      </x:c>
      <x:c r="W296" s="90">
        <x:v>0</x:v>
      </x:c>
      <x:c r="X296" s="90">
        <x:v>0</x:v>
      </x:c>
      <x:c r="Y296" s="90">
        <x:v>0</x:v>
      </x:c>
      <x:c r="Z296" s="90">
        <x:v>0</x:v>
      </x:c>
    </x:row>
    <x:row r="297" spans="1:26" ht="12.75" customHeight="1" x14ac:dyDescent="0.3">
      <x:c r="D297" t="s">
        <x:v>87</x:v>
      </x:c>
      <x:c r="E297" s="89" t="s">
        <x:v>70</x:v>
      </x:c>
      <x:c r="F297" s="371">
        <x:v>0</x:v>
      </x:c>
      <x:c r="G297" s="90">
        <x:v>0</x:v>
      </x:c>
      <x:c r="H297" s="90">
        <x:v>0</x:v>
      </x:c>
      <x:c r="I297" s="90">
        <x:v>0</x:v>
      </x:c>
      <x:c r="J297" s="90">
        <x:v>0</x:v>
      </x:c>
      <x:c r="K297" s="90">
        <x:v>0</x:v>
      </x:c>
      <x:c r="L297" s="90">
        <x:v>0</x:v>
      </x:c>
      <x:c r="M297" s="90">
        <x:v>0</x:v>
      </x:c>
      <x:c r="N297" s="90">
        <x:v>0</x:v>
      </x:c>
      <x:c r="O297" s="90">
        <x:v>0</x:v>
      </x:c>
      <x:c r="P297" s="90">
        <x:v>0</x:v>
      </x:c>
      <x:c r="Q297" s="90">
        <x:v>0</x:v>
      </x:c>
      <x:c r="R297" s="90">
        <x:v>0</x:v>
      </x:c>
      <x:c r="S297" s="90">
        <x:v>0</x:v>
      </x:c>
      <x:c r="T297" s="90">
        <x:v>0</x:v>
      </x:c>
      <x:c r="U297" s="90">
        <x:v>0</x:v>
      </x:c>
      <x:c r="V297" s="90">
        <x:v>0</x:v>
      </x:c>
      <x:c r="W297" s="90">
        <x:v>0</x:v>
      </x:c>
      <x:c r="X297" s="90">
        <x:v>0</x:v>
      </x:c>
      <x:c r="Y297" s="90">
        <x:v>0</x:v>
      </x:c>
      <x:c r="Z297" s="90">
        <x:v>0</x:v>
      </x:c>
    </x:row>
    <x:row r="298" spans="1:26" s="94" customFormat="1" ht="12.75" customHeight="1" x14ac:dyDescent="0.3">
      <x:c r="C298" s="101" t="s">
        <x:v>119</x:v>
      </x:c>
      <x:c r="D298" s="101" t="s">
        <x:v>70</x:v>
      </x:c>
      <x:c r="F298" s="93">
        <x:v>0</x:v>
      </x:c>
      <x:c r="G298" s="93">
        <x:v>0</x:v>
      </x:c>
      <x:c r="H298" s="93">
        <x:v>0</x:v>
      </x:c>
      <x:c r="I298" s="93">
        <x:v>0</x:v>
      </x:c>
      <x:c r="J298" s="93">
        <x:v>0</x:v>
      </x:c>
      <x:c r="K298" s="93">
        <x:v>0</x:v>
      </x:c>
      <x:c r="L298" s="93">
        <x:v>0</x:v>
      </x:c>
      <x:c r="M298" s="93">
        <x:v>0</x:v>
      </x:c>
      <x:c r="N298" s="93">
        <x:v>0</x:v>
      </x:c>
      <x:c r="O298" s="93">
        <x:v>0</x:v>
      </x:c>
      <x:c r="P298" s="93">
        <x:v>0</x:v>
      </x:c>
      <x:c r="Q298" s="93">
        <x:v>0</x:v>
      </x:c>
      <x:c r="R298" s="93">
        <x:v>0</x:v>
      </x:c>
      <x:c r="S298" s="93">
        <x:v>0</x:v>
      </x:c>
      <x:c r="T298" s="94">
        <x:v>0</x:v>
      </x:c>
      <x:c r="U298" s="94">
        <x:v>0</x:v>
      </x:c>
      <x:c r="V298" s="94">
        <x:v>0</x:v>
      </x:c>
      <x:c r="W298" s="94">
        <x:v>0</x:v>
      </x:c>
      <x:c r="X298" s="94">
        <x:v>0</x:v>
      </x:c>
      <x:c r="Y298" s="94">
        <x:v>0</x:v>
      </x:c>
      <x:c r="Z298" s="94">
        <x:v>0</x:v>
      </x:c>
    </x:row>
    <x:row r="299" spans="1:26" ht="12.75" customHeight="1" x14ac:dyDescent="0.3">
      <x:c r="B299" t="s">
        <x:v>112</x:v>
      </x:c>
      <x:c r="C299" t="s">
        <x:v>70</x:v>
      </x:c>
      <x:c r="E299" s="89"/>
      <x:c r="F299" s="371" t="n">
        <x:v>-558.05</x:v>
      </x:c>
      <x:c r="G299" s="90" t="n">
        <x:v>-36.43</x:v>
      </x:c>
      <x:c r="H299" s="90" t="n">
        <x:v>-15.48</x:v>
      </x:c>
      <x:c r="I299" s="90" t="n">
        <x:v>-6.76</x:v>
      </x:c>
      <x:c r="J299" s="90" t="n">
        <x:v>-123.14</x:v>
      </x:c>
      <x:c r="K299" s="90" t="n">
        <x:v>-4.99</x:v>
      </x:c>
      <x:c r="L299" s="90" t="n">
        <x:v>0</x:v>
      </x:c>
      <x:c r="M299" s="90" t="n">
        <x:v>-43.78</x:v>
      </x:c>
      <x:c r="N299" s="90" t="n">
        <x:v>-55.99</x:v>
      </x:c>
      <x:c r="O299" s="90" t="n">
        <x:v>-184.32</x:v>
      </x:c>
      <x:c r="P299" s="90" t="n">
        <x:v>-79.02</x:v>
      </x:c>
      <x:c r="Q299" s="90" t="n">
        <x:v>-8.14</x:v>
      </x:c>
      <x:c r="R299" s="90" t="n">
        <x:v>0</x:v>
      </x:c>
      <x:c r="S299" s="90" t="n">
        <x:v>0</x:v>
      </x:c>
      <x:c r="T299" t="n">
        <x:v>0</x:v>
      </x:c>
      <x:c r="U299">
        <x:v>0</x:v>
      </x:c>
      <x:c r="V299">
        <x:v>0</x:v>
      </x:c>
      <x:c r="W299">
        <x:v>0</x:v>
      </x:c>
      <x:c r="X299">
        <x:v>0</x:v>
      </x:c>
      <x:c r="Y299">
        <x:v>0</x:v>
      </x:c>
      <x:c r="Z299">
        <x:v>0</x:v>
      </x:c>
    </x:row>
    <x:row r="300" spans="1:26" s="458" customFormat="1" ht="12.75" customHeight="1" x14ac:dyDescent="0.3">
      <x:c r="A300" s="458" t="s">
        <x:v>186</x:v>
      </x:c>
      <x:c r="B300" s="458" t="s">
        <x:v>70</x:v>
      </x:c>
      <x:c r="F300" s="458" t="n">
        <x:v>-558.05</x:v>
      </x:c>
      <x:c r="G300" s="458" t="n">
        <x:v>-36.43</x:v>
      </x:c>
      <x:c r="H300" s="458" t="n">
        <x:v>-15.48</x:v>
      </x:c>
      <x:c r="I300" s="458" t="n">
        <x:v>-6.76</x:v>
      </x:c>
      <x:c r="J300" s="458" t="n">
        <x:v>-123.14</x:v>
      </x:c>
      <x:c r="K300" s="458" t="n">
        <x:v>-4.99</x:v>
      </x:c>
      <x:c r="L300" s="458" t="n">
        <x:v>0</x:v>
      </x:c>
      <x:c r="M300" s="458" t="n">
        <x:v>-43.78</x:v>
      </x:c>
      <x:c r="N300" s="458" t="n">
        <x:v>-55.99</x:v>
      </x:c>
      <x:c r="O300" s="458" t="n">
        <x:v>-184.32</x:v>
      </x:c>
      <x:c r="P300" s="458" t="n">
        <x:v>-79.02</x:v>
      </x:c>
      <x:c r="Q300" s="458" t="n">
        <x:v>-8.14</x:v>
      </x:c>
      <x:c r="R300" s="458" t="n">
        <x:v>0</x:v>
      </x:c>
      <x:c r="S300" s="458" t="n">
        <x:v>0</x:v>
      </x:c>
      <x:c r="T300" s="458" t="n">
        <x:v>0</x:v>
      </x:c>
      <x:c r="U300" s="458">
        <x:v>0</x:v>
      </x:c>
      <x:c r="V300" s="458">
        <x:v>0</x:v>
      </x:c>
      <x:c r="W300" s="458">
        <x:v>0</x:v>
      </x:c>
      <x:c r="X300" s="458">
        <x:v>0</x:v>
      </x:c>
      <x:c r="Y300" s="458">
        <x:v>0</x:v>
      </x:c>
      <x:c r="Z300" s="458">
        <x:v>0</x:v>
      </x:c>
    </x:row>
    <x:row r="301" spans="1:26" x14ac:dyDescent="0.3">
      <x:c r="E301" t="s">
        <x:v>72</x:v>
      </x:c>
      <x:c r="F301" s="90">
        <x:v>0</x:v>
      </x:c>
      <x:c r="G301" s="90">
        <x:v>0</x:v>
      </x:c>
      <x:c r="H301" s="90">
        <x:v>0</x:v>
      </x:c>
      <x:c r="I301" s="90">
        <x:v>0</x:v>
      </x:c>
      <x:c r="J301" s="90">
        <x:v>0</x:v>
      </x:c>
      <x:c r="K301" s="90">
        <x:v>0</x:v>
      </x:c>
      <x:c r="L301" s="90">
        <x:v>0</x:v>
      </x:c>
      <x:c r="M301" s="90">
        <x:v>0</x:v>
      </x:c>
      <x:c r="N301" s="90">
        <x:v>0</x:v>
      </x:c>
      <x:c r="O301" s="90">
        <x:v>0</x:v>
      </x:c>
      <x:c r="P301" s="90">
        <x:v>0</x:v>
      </x:c>
      <x:c r="Q301" s="90">
        <x:v>0</x:v>
      </x:c>
      <x:c r="R301" s="90">
        <x:v>0</x:v>
      </x:c>
      <x:c r="S301" s="90">
        <x:v>0</x:v>
      </x:c>
      <x:c r="T301" s="90">
        <x:v>0</x:v>
      </x:c>
      <x:c r="U301">
        <x:v>0</x:v>
      </x:c>
      <x:c r="V301">
        <x:v>0</x:v>
      </x:c>
      <x:c r="W301">
        <x:v>0</x:v>
      </x:c>
      <x:c r="X301">
        <x:v>0</x:v>
      </x:c>
      <x:c r="Y301">
        <x:v>0</x:v>
      </x:c>
      <x:c r="Z301" s="90">
        <x:v>0</x:v>
      </x:c>
    </x:row>
    <x:row r="302" spans="1:26" x14ac:dyDescent="0.3">
      <x:c r="E302" t="s">
        <x:v>81</x:v>
      </x:c>
      <x:c r="F302" s="90">
        <x:v>0</x:v>
      </x:c>
      <x:c r="G302" s="90">
        <x:v>0</x:v>
      </x:c>
      <x:c r="H302" s="90">
        <x:v>0</x:v>
      </x:c>
      <x:c r="I302" s="90">
        <x:v>0</x:v>
      </x:c>
      <x:c r="J302" s="90">
        <x:v>0</x:v>
      </x:c>
      <x:c r="K302" s="90">
        <x:v>0</x:v>
      </x:c>
      <x:c r="L302" s="90">
        <x:v>0</x:v>
      </x:c>
      <x:c r="M302" s="90">
        <x:v>0</x:v>
      </x:c>
      <x:c r="N302" s="90">
        <x:v>0</x:v>
      </x:c>
      <x:c r="O302" s="90">
        <x:v>0</x:v>
      </x:c>
      <x:c r="P302" s="90">
        <x:v>0</x:v>
      </x:c>
      <x:c r="Q302" s="90">
        <x:v>0</x:v>
      </x:c>
      <x:c r="R302" s="90">
        <x:v>0</x:v>
      </x:c>
      <x:c r="S302" s="90">
        <x:v>0</x:v>
      </x:c>
      <x:c r="T302" s="90">
        <x:v>0</x:v>
      </x:c>
      <x:c r="U302">
        <x:v>0</x:v>
      </x:c>
      <x:c r="V302">
        <x:v>0</x:v>
      </x:c>
      <x:c r="W302">
        <x:v>0</x:v>
      </x:c>
      <x:c r="X302">
        <x:v>0</x:v>
      </x:c>
      <x:c r="Y302">
        <x:v>0</x:v>
      </x:c>
      <x:c r="Z302" s="90">
        <x:v>0</x:v>
      </x:c>
    </x:row>
    <x:row r="303" spans="1:26" x14ac:dyDescent="0.3">
      <x:c r="D303" t="s">
        <x:v>156</x:v>
      </x:c>
      <x:c r="E303" t="s">
        <x:v>70</x:v>
      </x:c>
      <x:c r="F303" s="90">
        <x:v>0</x:v>
      </x:c>
      <x:c r="G303" s="90">
        <x:v>0</x:v>
      </x:c>
      <x:c r="H303" s="90">
        <x:v>0</x:v>
      </x:c>
      <x:c r="I303" s="90">
        <x:v>0</x:v>
      </x:c>
      <x:c r="J303" s="90">
        <x:v>0</x:v>
      </x:c>
      <x:c r="K303" s="90">
        <x:v>0</x:v>
      </x:c>
      <x:c r="L303" s="90">
        <x:v>0</x:v>
      </x:c>
      <x:c r="M303" s="90">
        <x:v>0</x:v>
      </x:c>
      <x:c r="N303" s="90">
        <x:v>0</x:v>
      </x:c>
      <x:c r="O303" s="90">
        <x:v>0</x:v>
      </x:c>
      <x:c r="P303" s="90">
        <x:v>0</x:v>
      </x:c>
      <x:c r="Q303" s="90">
        <x:v>0</x:v>
      </x:c>
      <x:c r="R303" s="90">
        <x:v>0</x:v>
      </x:c>
      <x:c r="S303" s="90">
        <x:v>0</x:v>
      </x:c>
      <x:c r="T303" s="90">
        <x:v>0</x:v>
      </x:c>
      <x:c r="U303">
        <x:v>0</x:v>
      </x:c>
      <x:c r="V303">
        <x:v>0</x:v>
      </x:c>
      <x:c r="W303">
        <x:v>0</x:v>
      </x:c>
      <x:c r="X303">
        <x:v>0</x:v>
      </x:c>
      <x:c r="Y303">
        <x:v>0</x:v>
      </x:c>
      <x:c r="Z303" s="90">
        <x:v>0</x:v>
      </x:c>
    </x:row>
    <x:row r="304" spans="1:26" s="286" customFormat="1" x14ac:dyDescent="0.3">
      <x:c r="C304" s="286" t="s">
        <x:v>155</x:v>
      </x:c>
      <x:c r="D304" s="286" t="s">
        <x:v>70</x:v>
      </x:c>
      <x:c r="F304" s="230">
        <x:v>0</x:v>
      </x:c>
      <x:c r="G304" s="230">
        <x:v>0</x:v>
      </x:c>
      <x:c r="H304" s="230">
        <x:v>0</x:v>
      </x:c>
      <x:c r="I304" s="230">
        <x:v>0</x:v>
      </x:c>
      <x:c r="J304" s="230">
        <x:v>0</x:v>
      </x:c>
      <x:c r="K304" s="230">
        <x:v>0</x:v>
      </x:c>
      <x:c r="L304" s="230">
        <x:v>0</x:v>
      </x:c>
      <x:c r="M304" s="230">
        <x:v>0</x:v>
      </x:c>
      <x:c r="N304" s="230">
        <x:v>0</x:v>
      </x:c>
      <x:c r="O304" s="230">
        <x:v>0</x:v>
      </x:c>
      <x:c r="P304" s="230">
        <x:v>0</x:v>
      </x:c>
      <x:c r="Q304" s="230">
        <x:v>0</x:v>
      </x:c>
      <x:c r="R304" s="230">
        <x:v>0</x:v>
      </x:c>
      <x:c r="S304" s="230">
        <x:v>0</x:v>
      </x:c>
      <x:c r="T304" s="230">
        <x:v>0</x:v>
      </x:c>
      <x:c r="U304" s="286">
        <x:v>0</x:v>
      </x:c>
      <x:c r="V304" s="286">
        <x:v>0</x:v>
      </x:c>
      <x:c r="W304" s="286">
        <x:v>0</x:v>
      </x:c>
      <x:c r="X304" s="286">
        <x:v>0</x:v>
      </x:c>
      <x:c r="Y304" s="286">
        <x:v>0</x:v>
      </x:c>
      <x:c r="Z304" s="230">
        <x:v>0</x:v>
      </x:c>
    </x:row>
    <x:row r="305" spans="2:26" x14ac:dyDescent="0.3">
      <x:c r="E305" t="s">
        <x:v>72</x:v>
      </x:c>
      <x:c r="F305" s="90">
        <x:v>0</x:v>
      </x:c>
      <x:c r="G305" s="90">
        <x:v>0</x:v>
      </x:c>
      <x:c r="H305" s="90">
        <x:v>0</x:v>
      </x:c>
      <x:c r="I305" s="90">
        <x:v>0</x:v>
      </x:c>
      <x:c r="J305" s="90">
        <x:v>0</x:v>
      </x:c>
      <x:c r="K305" s="90">
        <x:v>0</x:v>
      </x:c>
      <x:c r="L305" s="90">
        <x:v>0</x:v>
      </x:c>
      <x:c r="M305" s="90">
        <x:v>0</x:v>
      </x:c>
      <x:c r="N305" s="90">
        <x:v>0</x:v>
      </x:c>
      <x:c r="O305" s="90">
        <x:v>0</x:v>
      </x:c>
      <x:c r="P305" s="90">
        <x:v>0</x:v>
      </x:c>
      <x:c r="Q305" s="90">
        <x:v>370.08</x:v>
      </x:c>
      <x:c r="R305" s="90">
        <x:v>-1.95</x:v>
      </x:c>
      <x:c r="S305" s="90">
        <x:v>0</x:v>
      </x:c>
      <x:c r="T305" s="90">
        <x:v>0</x:v>
      </x:c>
      <x:c r="U305">
        <x:v>0</x:v>
      </x:c>
      <x:c r="V305">
        <x:v>0</x:v>
      </x:c>
      <x:c r="W305">
        <x:v>0</x:v>
      </x:c>
      <x:c r="X305">
        <x:v>0</x:v>
      </x:c>
      <x:c r="Y305">
        <x:v>0</x:v>
      </x:c>
      <x:c r="Z305" s="90">
        <x:v>0</x:v>
      </x:c>
    </x:row>
    <x:row r="306" spans="2:26" x14ac:dyDescent="0.3">
      <x:c r="E306" t="s">
        <x:v>81</x:v>
      </x:c>
      <x:c r="F306" s="90">
        <x:v>0</x:v>
      </x:c>
      <x:c r="G306" s="90">
        <x:v>0</x:v>
      </x:c>
      <x:c r="H306" s="90">
        <x:v>0</x:v>
      </x:c>
      <x:c r="I306" s="90">
        <x:v>0</x:v>
      </x:c>
      <x:c r="J306" s="90">
        <x:v>0</x:v>
      </x:c>
      <x:c r="K306" s="90">
        <x:v>0</x:v>
      </x:c>
      <x:c r="L306" s="90">
        <x:v>0</x:v>
      </x:c>
      <x:c r="M306" s="90">
        <x:v>0</x:v>
      </x:c>
      <x:c r="N306" s="90">
        <x:v>0</x:v>
      </x:c>
      <x:c r="O306" s="90">
        <x:v>0</x:v>
      </x:c>
      <x:c r="P306" s="90">
        <x:v>0</x:v>
      </x:c>
      <x:c r="Q306" s="90">
        <x:v>7.0000000000000007E-2</x:v>
      </x:c>
      <x:c r="R306" s="90">
        <x:v>0</x:v>
      </x:c>
      <x:c r="S306" s="90">
        <x:v>0</x:v>
      </x:c>
      <x:c r="T306" s="90">
        <x:v>0</x:v>
      </x:c>
      <x:c r="U306">
        <x:v>0</x:v>
      </x:c>
      <x:c r="V306">
        <x:v>0</x:v>
      </x:c>
      <x:c r="W306">
        <x:v>0</x:v>
      </x:c>
      <x:c r="X306">
        <x:v>0</x:v>
      </x:c>
      <x:c r="Y306">
        <x:v>0</x:v>
      </x:c>
      <x:c r="Z306" s="90">
        <x:v>0</x:v>
      </x:c>
    </x:row>
    <x:row r="307" spans="2:26" x14ac:dyDescent="0.3">
      <x:c r="D307" t="s">
        <x:v>82</x:v>
      </x:c>
      <x:c r="E307" t="s">
        <x:v>70</x:v>
      </x:c>
      <x:c r="F307" s="90">
        <x:v>0</x:v>
      </x:c>
      <x:c r="G307" s="90">
        <x:v>0</x:v>
      </x:c>
      <x:c r="H307" s="90">
        <x:v>0</x:v>
      </x:c>
      <x:c r="I307" s="90">
        <x:v>0</x:v>
      </x:c>
      <x:c r="J307" s="90">
        <x:v>0</x:v>
      </x:c>
      <x:c r="K307" s="90">
        <x:v>0</x:v>
      </x:c>
      <x:c r="L307" s="90">
        <x:v>0</x:v>
      </x:c>
      <x:c r="M307" s="90">
        <x:v>0</x:v>
      </x:c>
      <x:c r="N307" s="90">
        <x:v>0</x:v>
      </x:c>
      <x:c r="O307" s="90">
        <x:v>0</x:v>
      </x:c>
      <x:c r="P307" s="90">
        <x:v>0</x:v>
      </x:c>
      <x:c r="Q307" s="90">
        <x:v>370.15</x:v>
      </x:c>
      <x:c r="R307" s="90">
        <x:v>-1.95</x:v>
      </x:c>
      <x:c r="S307" s="90">
        <x:v>0</x:v>
      </x:c>
      <x:c r="T307" s="90">
        <x:v>0</x:v>
      </x:c>
      <x:c r="U307">
        <x:v>0</x:v>
      </x:c>
      <x:c r="V307">
        <x:v>0</x:v>
      </x:c>
      <x:c r="W307">
        <x:v>0</x:v>
      </x:c>
      <x:c r="X307">
        <x:v>0</x:v>
      </x:c>
      <x:c r="Y307">
        <x:v>0</x:v>
      </x:c>
      <x:c r="Z307" s="90">
        <x:v>0</x:v>
      </x:c>
    </x:row>
    <x:row r="308" spans="2:26" x14ac:dyDescent="0.3">
      <x:c r="E308" t="s">
        <x:v>72</x:v>
      </x:c>
      <x:c r="F308" s="90">
        <x:v>0</x:v>
      </x:c>
      <x:c r="G308" s="90">
        <x:v>0</x:v>
      </x:c>
      <x:c r="H308" s="90">
        <x:v>0</x:v>
      </x:c>
      <x:c r="I308" s="90">
        <x:v>0</x:v>
      </x:c>
      <x:c r="J308" s="90">
        <x:v>0</x:v>
      </x:c>
      <x:c r="K308" s="90">
        <x:v>0</x:v>
      </x:c>
      <x:c r="L308" s="90">
        <x:v>0</x:v>
      </x:c>
      <x:c r="M308" s="90">
        <x:v>0</x:v>
      </x:c>
      <x:c r="N308" s="90">
        <x:v>0</x:v>
      </x:c>
      <x:c r="O308" s="90">
        <x:v>0</x:v>
      </x:c>
      <x:c r="P308" s="90">
        <x:v>0</x:v>
      </x:c>
      <x:c r="Q308" s="90">
        <x:v>370.08</x:v>
      </x:c>
      <x:c r="R308" s="90">
        <x:v>-1.95</x:v>
      </x:c>
      <x:c r="S308" s="90">
        <x:v>0</x:v>
      </x:c>
      <x:c r="T308" s="90">
        <x:v>0</x:v>
      </x:c>
      <x:c r="U308">
        <x:v>0</x:v>
      </x:c>
      <x:c r="V308">
        <x:v>0</x:v>
      </x:c>
      <x:c r="W308">
        <x:v>0</x:v>
      </x:c>
      <x:c r="X308">
        <x:v>0</x:v>
      </x:c>
      <x:c r="Y308">
        <x:v>0</x:v>
      </x:c>
      <x:c r="Z308" s="90">
        <x:v>0</x:v>
      </x:c>
    </x:row>
    <x:row r="309" spans="2:26" x14ac:dyDescent="0.3">
      <x:c r="E309" t="s">
        <x:v>81</x:v>
      </x:c>
      <x:c r="F309" s="90">
        <x:v>0</x:v>
      </x:c>
      <x:c r="G309" s="90">
        <x:v>0</x:v>
      </x:c>
      <x:c r="H309" s="90">
        <x:v>0</x:v>
      </x:c>
      <x:c r="I309" s="90">
        <x:v>0</x:v>
      </x:c>
      <x:c r="J309" s="90">
        <x:v>0</x:v>
      </x:c>
      <x:c r="K309" s="90">
        <x:v>0</x:v>
      </x:c>
      <x:c r="L309" s="90">
        <x:v>0</x:v>
      </x:c>
      <x:c r="M309" s="90">
        <x:v>0</x:v>
      </x:c>
      <x:c r="N309" s="90">
        <x:v>0</x:v>
      </x:c>
      <x:c r="O309" s="90">
        <x:v>0</x:v>
      </x:c>
      <x:c r="P309" s="90">
        <x:v>0</x:v>
      </x:c>
      <x:c r="Q309" s="90">
        <x:v>7.0000000000000007E-2</x:v>
      </x:c>
      <x:c r="R309" s="90">
        <x:v>0</x:v>
      </x:c>
      <x:c r="S309" s="90">
        <x:v>0</x:v>
      </x:c>
      <x:c r="T309" s="90">
        <x:v>0</x:v>
      </x:c>
      <x:c r="U309">
        <x:v>0</x:v>
      </x:c>
      <x:c r="V309">
        <x:v>0</x:v>
      </x:c>
      <x:c r="W309">
        <x:v>0</x:v>
      </x:c>
      <x:c r="X309">
        <x:v>0</x:v>
      </x:c>
      <x:c r="Y309">
        <x:v>0</x:v>
      </x:c>
      <x:c r="Z309" s="90">
        <x:v>0</x:v>
      </x:c>
    </x:row>
    <x:row r="310" spans="2:26" x14ac:dyDescent="0.3">
      <x:c r="D310" t="s">
        <x:v>86</x:v>
      </x:c>
      <x:c r="E310" t="s">
        <x:v>70</x:v>
      </x:c>
      <x:c r="F310" s="90">
        <x:v>0</x:v>
      </x:c>
      <x:c r="G310" s="90">
        <x:v>0</x:v>
      </x:c>
      <x:c r="H310" s="90">
        <x:v>0</x:v>
      </x:c>
      <x:c r="I310" s="90">
        <x:v>0</x:v>
      </x:c>
      <x:c r="J310" s="90">
        <x:v>0</x:v>
      </x:c>
      <x:c r="K310" s="90">
        <x:v>0</x:v>
      </x:c>
      <x:c r="L310" s="90">
        <x:v>0</x:v>
      </x:c>
      <x:c r="M310" s="90">
        <x:v>0</x:v>
      </x:c>
      <x:c r="N310" s="90">
        <x:v>0</x:v>
      </x:c>
      <x:c r="O310" s="90">
        <x:v>0</x:v>
      </x:c>
      <x:c r="P310" s="90">
        <x:v>0</x:v>
      </x:c>
      <x:c r="Q310" s="90">
        <x:v>370.15</x:v>
      </x:c>
      <x:c r="R310" s="90">
        <x:v>-1.95</x:v>
      </x:c>
      <x:c r="S310" s="90">
        <x:v>0</x:v>
      </x:c>
      <x:c r="T310" s="90">
        <x:v>0</x:v>
      </x:c>
      <x:c r="U310">
        <x:v>0</x:v>
      </x:c>
      <x:c r="V310">
        <x:v>0</x:v>
      </x:c>
      <x:c r="W310">
        <x:v>0</x:v>
      </x:c>
      <x:c r="X310">
        <x:v>0</x:v>
      </x:c>
      <x:c r="Y310">
        <x:v>0</x:v>
      </x:c>
      <x:c r="Z310" s="90">
        <x:v>0</x:v>
      </x:c>
    </x:row>
    <x:row r="311" spans="2:26" ht="12.75" customHeight="1" x14ac:dyDescent="0.3">
      <x:c r="E311" s="89" t="s">
        <x:v>72</x:v>
      </x:c>
      <x:c r="F311" s="371">
        <x:v>0</x:v>
      </x:c>
      <x:c r="G311" s="90">
        <x:v>0</x:v>
      </x:c>
      <x:c r="H311" s="90">
        <x:v>0</x:v>
      </x:c>
      <x:c r="I311" s="90">
        <x:v>0</x:v>
      </x:c>
      <x:c r="J311" s="90">
        <x:v>0</x:v>
      </x:c>
      <x:c r="K311" s="90">
        <x:v>0</x:v>
      </x:c>
      <x:c r="L311" s="90">
        <x:v>0</x:v>
      </x:c>
      <x:c r="M311" s="90">
        <x:v>0</x:v>
      </x:c>
      <x:c r="N311" s="90">
        <x:v>0</x:v>
      </x:c>
      <x:c r="O311" s="90">
        <x:v>0</x:v>
      </x:c>
      <x:c r="P311" s="90">
        <x:v>0</x:v>
      </x:c>
      <x:c r="Q311" s="90">
        <x:v>0</x:v>
      </x:c>
      <x:c r="R311" s="90">
        <x:v>0</x:v>
      </x:c>
      <x:c r="S311" s="90">
        <x:v>0</x:v>
      </x:c>
      <x:c r="T311" s="90">
        <x:v>0</x:v>
      </x:c>
      <x:c r="U311" s="90">
        <x:v>0</x:v>
      </x:c>
      <x:c r="V311" s="90">
        <x:v>0</x:v>
      </x:c>
      <x:c r="W311" s="90">
        <x:v>0</x:v>
      </x:c>
      <x:c r="X311" s="90">
        <x:v>0</x:v>
      </x:c>
      <x:c r="Y311" s="90">
        <x:v>0</x:v>
      </x:c>
      <x:c r="Z311" s="90">
        <x:v>0</x:v>
      </x:c>
    </x:row>
    <x:row r="312" spans="2:26" x14ac:dyDescent="0.3">
      <x:c r="E312" t="s">
        <x:v>81</x:v>
      </x:c>
      <x:c r="F312" s="90">
        <x:v>0</x:v>
      </x:c>
      <x:c r="G312" s="90">
        <x:v>0</x:v>
      </x:c>
      <x:c r="H312" s="90">
        <x:v>0</x:v>
      </x:c>
      <x:c r="I312" s="90">
        <x:v>0</x:v>
      </x:c>
      <x:c r="J312" s="90">
        <x:v>0</x:v>
      </x:c>
      <x:c r="K312" s="90">
        <x:v>0</x:v>
      </x:c>
      <x:c r="L312" s="90">
        <x:v>0</x:v>
      </x:c>
      <x:c r="M312" s="90">
        <x:v>0</x:v>
      </x:c>
      <x:c r="N312" s="90">
        <x:v>0</x:v>
      </x:c>
      <x:c r="O312" s="90">
        <x:v>0</x:v>
      </x:c>
      <x:c r="P312" s="90">
        <x:v>0</x:v>
      </x:c>
      <x:c r="Q312" s="90">
        <x:v>0</x:v>
      </x:c>
      <x:c r="R312" s="90">
        <x:v>0</x:v>
      </x:c>
      <x:c r="S312" s="90">
        <x:v>0</x:v>
      </x:c>
      <x:c r="T312" s="90">
        <x:v>0</x:v>
      </x:c>
      <x:c r="U312">
        <x:v>0</x:v>
      </x:c>
      <x:c r="V312">
        <x:v>0</x:v>
      </x:c>
      <x:c r="W312">
        <x:v>0</x:v>
      </x:c>
      <x:c r="X312">
        <x:v>0</x:v>
      </x:c>
      <x:c r="Y312">
        <x:v>0</x:v>
      </x:c>
      <x:c r="Z312" s="90">
        <x:v>0</x:v>
      </x:c>
    </x:row>
    <x:row r="313" spans="2:26" ht="12.75" customHeight="1" x14ac:dyDescent="0.3">
      <x:c r="D313" t="s">
        <x:v>87</x:v>
      </x:c>
      <x:c r="E313" s="89" t="s">
        <x:v>70</x:v>
      </x:c>
      <x:c r="F313" s="371">
        <x:v>0</x:v>
      </x:c>
      <x:c r="G313" s="90">
        <x:v>0</x:v>
      </x:c>
      <x:c r="H313" s="90">
        <x:v>0</x:v>
      </x:c>
      <x:c r="I313" s="90">
        <x:v>0</x:v>
      </x:c>
      <x:c r="J313" s="90">
        <x:v>0</x:v>
      </x:c>
      <x:c r="K313" s="90">
        <x:v>0</x:v>
      </x:c>
      <x:c r="L313" s="90">
        <x:v>0</x:v>
      </x:c>
      <x:c r="M313" s="90">
        <x:v>0</x:v>
      </x:c>
      <x:c r="N313" s="90">
        <x:v>0</x:v>
      </x:c>
      <x:c r="O313" s="90">
        <x:v>0</x:v>
      </x:c>
      <x:c r="P313" s="90">
        <x:v>0</x:v>
      </x:c>
      <x:c r="Q313" s="90">
        <x:v>0</x:v>
      </x:c>
      <x:c r="R313" s="90">
        <x:v>0</x:v>
      </x:c>
      <x:c r="S313" s="90">
        <x:v>0</x:v>
      </x:c>
      <x:c r="T313" s="90">
        <x:v>0</x:v>
      </x:c>
      <x:c r="U313" s="90">
        <x:v>0</x:v>
      </x:c>
      <x:c r="V313" s="90">
        <x:v>0</x:v>
      </x:c>
      <x:c r="W313" s="90">
        <x:v>0</x:v>
      </x:c>
      <x:c r="X313" s="90">
        <x:v>0</x:v>
      </x:c>
      <x:c r="Y313" s="90">
        <x:v>0</x:v>
      </x:c>
      <x:c r="Z313" s="90">
        <x:v>0</x:v>
      </x:c>
    </x:row>
    <x:row r="314" spans="2:26" s="94" customFormat="1" ht="12.75" customHeight="1" x14ac:dyDescent="0.3">
      <x:c r="C314" s="101" t="s">
        <x:v>119</x:v>
      </x:c>
      <x:c r="D314" s="101" t="s">
        <x:v>70</x:v>
      </x:c>
      <x:c r="F314" s="93">
        <x:v>0</x:v>
      </x:c>
      <x:c r="G314" s="93">
        <x:v>0</x:v>
      </x:c>
      <x:c r="H314" s="93">
        <x:v>0</x:v>
      </x:c>
      <x:c r="I314" s="93">
        <x:v>0</x:v>
      </x:c>
      <x:c r="J314" s="93">
        <x:v>0</x:v>
      </x:c>
      <x:c r="K314" s="93">
        <x:v>0</x:v>
      </x:c>
      <x:c r="L314" s="93">
        <x:v>0</x:v>
      </x:c>
      <x:c r="M314" s="93">
        <x:v>0</x:v>
      </x:c>
      <x:c r="N314" s="93">
        <x:v>0</x:v>
      </x:c>
      <x:c r="O314" s="93">
        <x:v>0</x:v>
      </x:c>
      <x:c r="P314" s="93">
        <x:v>0</x:v>
      </x:c>
      <x:c r="Q314" s="93">
        <x:v>0</x:v>
      </x:c>
      <x:c r="R314" s="93">
        <x:v>0</x:v>
      </x:c>
      <x:c r="S314" s="93">
        <x:v>0</x:v>
      </x:c>
      <x:c r="T314" s="93">
        <x:v>0</x:v>
      </x:c>
      <x:c r="U314" s="93">
        <x:v>0</x:v>
      </x:c>
      <x:c r="V314" s="93">
        <x:v>0</x:v>
      </x:c>
      <x:c r="W314" s="93">
        <x:v>0</x:v>
      </x:c>
      <x:c r="X314" s="93">
        <x:v>0</x:v>
      </x:c>
      <x:c r="Y314" s="93">
        <x:v>0</x:v>
      </x:c>
      <x:c r="Z314" s="93">
        <x:v>0</x:v>
      </x:c>
    </x:row>
    <x:row r="315" spans="2:26" s="378" customFormat="1" ht="12.75" customHeight="1" x14ac:dyDescent="0.3">
      <x:c r="B315" s="378" t="s">
        <x:v>122</x:v>
      </x:c>
      <x:c r="C315" s="378" t="s">
        <x:v>70</x:v>
      </x:c>
      <x:c r="E315" s="376"/>
      <x:c r="F315" s="710">
        <x:v>0</x:v>
      </x:c>
      <x:c r="G315" s="377">
        <x:v>0</x:v>
      </x:c>
      <x:c r="H315" s="377">
        <x:v>0</x:v>
      </x:c>
      <x:c r="I315" s="377">
        <x:v>0</x:v>
      </x:c>
      <x:c r="J315" s="377">
        <x:v>0</x:v>
      </x:c>
      <x:c r="K315" s="377">
        <x:v>0</x:v>
      </x:c>
      <x:c r="L315" s="377">
        <x:v>0</x:v>
      </x:c>
      <x:c r="M315" s="377">
        <x:v>0</x:v>
      </x:c>
      <x:c r="N315" s="377">
        <x:v>0</x:v>
      </x:c>
      <x:c r="O315" s="377">
        <x:v>0</x:v>
      </x:c>
      <x:c r="P315" s="377">
        <x:v>0</x:v>
      </x:c>
      <x:c r="Q315" s="377">
        <x:v>0</x:v>
      </x:c>
      <x:c r="R315" s="377">
        <x:v>0</x:v>
      </x:c>
      <x:c r="S315" s="377">
        <x:v>0</x:v>
      </x:c>
      <x:c r="T315" s="378">
        <x:v>0</x:v>
      </x:c>
      <x:c r="U315" s="378">
        <x:v>0</x:v>
      </x:c>
      <x:c r="V315" s="378">
        <x:v>0</x:v>
      </x:c>
      <x:c r="W315" s="378">
        <x:v>0</x:v>
      </x:c>
      <x:c r="X315" s="378">
        <x:v>0</x:v>
      </x:c>
      <x:c r="Y315" s="378">
        <x:v>0</x:v>
      </x:c>
      <x:c r="Z315" s="378">
        <x:v>0</x:v>
      </x:c>
    </x:row>
    <x:row r="316" spans="2:26" ht="12.75" customHeight="1" x14ac:dyDescent="0.3">
      <x:c r="E316" s="89" t="s">
        <x:v>72</x:v>
      </x:c>
      <x:c r="F316" s="371" t="n">
        <x:v>9719750244.82</x:v>
      </x:c>
      <x:c r="G316" s="90" t="n">
        <x:v>518985297.02</x:v>
      </x:c>
      <x:c r="H316" s="90" t="n">
        <x:v>289013100.16</x:v>
      </x:c>
      <x:c r="I316" s="90" t="n">
        <x:v>153714080.84</x:v>
      </x:c>
      <x:c r="J316" s="90" t="n">
        <x:v>2405209535.55</x:v>
      </x:c>
      <x:c r="K316" s="90" t="n">
        <x:v>86280652.69</x:v>
      </x:c>
      <x:c r="L316" s="90" t="n">
        <x:v>14487413.71</x:v>
      </x:c>
      <x:c r="M316" s="90" t="n">
        <x:v>757500669.33</x:v>
      </x:c>
      <x:c r="N316" s="90" t="n">
        <x:v>717156253.17</x:v>
      </x:c>
      <x:c r="O316" s="90" t="n">
        <x:v>3407243450.51</x:v>
      </x:c>
      <x:c r="P316" s="90" t="n">
        <x:v>1229371624.98</x:v>
      </x:c>
      <x:c r="Q316" s="90" t="n">
        <x:v>140870667.74</x:v>
      </x:c>
      <x:c r="R316" s="90" t="n">
        <x:v>-82500.88</x:v>
      </x:c>
      <x:c r="S316" s="90" t="n">
        <x:v>0</x:v>
      </x:c>
      <x:c r="T316" t="n">
        <x:v>0</x:v>
      </x:c>
      <x:c r="U316">
        <x:v>0</x:v>
      </x:c>
      <x:c r="V316">
        <x:v>0</x:v>
      </x:c>
      <x:c r="W316">
        <x:v>0</x:v>
      </x:c>
      <x:c r="X316">
        <x:v>0</x:v>
      </x:c>
      <x:c r="Y316">
        <x:v>0</x:v>
      </x:c>
      <x:c r="Z316">
        <x:v>0</x:v>
      </x:c>
    </x:row>
    <x:row r="317" spans="2:26" ht="12.75" customHeight="1" x14ac:dyDescent="0.3">
      <x:c r="E317" s="89" t="s">
        <x:v>81</x:v>
      </x:c>
      <x:c r="F317" s="371" t="n">
        <x:v>6460238.3</x:v>
      </x:c>
      <x:c r="G317" s="90" t="n">
        <x:v>500475.93</x:v>
      </x:c>
      <x:c r="H317" s="90" t="n">
        <x:v>267595.04</x:v>
      </x:c>
      <x:c r="I317" s="90" t="n">
        <x:v>141148.85</x:v>
      </x:c>
      <x:c r="J317" s="90" t="n">
        <x:v>1409060.29</x:v>
      </x:c>
      <x:c r="K317" s="90" t="n">
        <x:v>52892.7</x:v>
      </x:c>
      <x:c r="L317" s="90" t="n">
        <x:v>6692.14</x:v>
      </x:c>
      <x:c r="M317" s="90" t="n">
        <x:v>464137.12</x:v>
      </x:c>
      <x:c r="N317" s="90" t="n">
        <x:v>433080.35</x:v>
      </x:c>
      <x:c r="O317" s="90" t="n">
        <x:v>1921331.41</x:v>
      </x:c>
      <x:c r="P317" s="90" t="n">
        <x:v>1177481.7</x:v>
      </x:c>
      <x:c r="Q317" s="90" t="n">
        <x:v>86340.22</x:v>
      </x:c>
      <x:c r="R317" s="90" t="n">
        <x:v>1.44</x:v>
      </x:c>
      <x:c r="S317" s="90" t="n">
        <x:v>-0.43</x:v>
      </x:c>
      <x:c r="T317" t="n">
        <x:v>1.54</x:v>
      </x:c>
      <x:c r="U317">
        <x:v>0</x:v>
      </x:c>
      <x:c r="V317">
        <x:v>0</x:v>
      </x:c>
      <x:c r="W317">
        <x:v>0</x:v>
      </x:c>
      <x:c r="X317">
        <x:v>0</x:v>
      </x:c>
      <x:c r="Y317">
        <x:v>0</x:v>
      </x:c>
      <x:c r="Z317">
        <x:v>0</x:v>
      </x:c>
    </x:row>
    <x:row r="318" spans="2:26" ht="12.75" customHeight="1" x14ac:dyDescent="0.3">
      <x:c r="D318" t="s">
        <x:v>156</x:v>
      </x:c>
      <x:c r="E318" s="89" t="s">
        <x:v>70</x:v>
      </x:c>
      <x:c r="F318" s="90" t="n">
        <x:v>9726210483.12</x:v>
      </x:c>
      <x:c r="G318" s="90" t="n">
        <x:v>519485772.95</x:v>
      </x:c>
      <x:c r="H318" s="90" t="n">
        <x:v>289280695.2</x:v>
      </x:c>
      <x:c r="I318" s="90" t="n">
        <x:v>153855229.69</x:v>
      </x:c>
      <x:c r="J318" s="90" t="n">
        <x:v>2406618595.84</x:v>
      </x:c>
      <x:c r="K318" s="90" t="n">
        <x:v>86333545.39</x:v>
      </x:c>
      <x:c r="L318" s="90" t="n">
        <x:v>14494105.85</x:v>
      </x:c>
      <x:c r="M318" s="90" t="n">
        <x:v>757964806.45</x:v>
      </x:c>
      <x:c r="N318" s="90" t="n">
        <x:v>717589333.52</x:v>
      </x:c>
      <x:c r="O318" s="90" t="n">
        <x:v>3409164781.92</x:v>
      </x:c>
      <x:c r="P318" s="90" t="n">
        <x:v>1230549106.68</x:v>
      </x:c>
      <x:c r="Q318" s="90" t="n">
        <x:v>140957007.96</x:v>
      </x:c>
      <x:c r="R318" s="90" t="n">
        <x:v>-82499.44</x:v>
      </x:c>
      <x:c r="S318" s="90" t="n">
        <x:v>-0.43</x:v>
      </x:c>
      <x:c r="T318" t="n">
        <x:v>1.54</x:v>
      </x:c>
      <x:c r="U318">
        <x:v>0</x:v>
      </x:c>
      <x:c r="V318">
        <x:v>0</x:v>
      </x:c>
      <x:c r="W318">
        <x:v>0</x:v>
      </x:c>
      <x:c r="X318">
        <x:v>0</x:v>
      </x:c>
      <x:c r="Y318">
        <x:v>0</x:v>
      </x:c>
      <x:c r="Z318">
        <x:v>0</x:v>
      </x:c>
    </x:row>
    <x:row r="319" spans="2:26" s="286" customFormat="1" ht="12.75" customHeight="1" x14ac:dyDescent="0.3">
      <x:c r="C319" s="286" t="s">
        <x:v>155</x:v>
      </x:c>
      <x:c r="D319" s="286" t="s">
        <x:v>70</x:v>
      </x:c>
      <x:c r="E319" s="229"/>
      <x:c r="F319" s="229" t="n">
        <x:v>9726210483.12</x:v>
      </x:c>
      <x:c r="G319" s="230" t="n">
        <x:v>519485772.95</x:v>
      </x:c>
      <x:c r="H319" s="230" t="n">
        <x:v>289280695.2</x:v>
      </x:c>
      <x:c r="I319" s="230" t="n">
        <x:v>153855229.69</x:v>
      </x:c>
      <x:c r="J319" s="230" t="n">
        <x:v>2406618595.84</x:v>
      </x:c>
      <x:c r="K319" s="230" t="n">
        <x:v>86333545.39</x:v>
      </x:c>
      <x:c r="L319" s="230" t="n">
        <x:v>14494105.85</x:v>
      </x:c>
      <x:c r="M319" s="230" t="n">
        <x:v>757964806.45</x:v>
      </x:c>
      <x:c r="N319" s="230" t="n">
        <x:v>717589333.52</x:v>
      </x:c>
      <x:c r="O319" s="230" t="n">
        <x:v>3409164781.92</x:v>
      </x:c>
      <x:c r="P319" s="230" t="n">
        <x:v>1230549106.68</x:v>
      </x:c>
      <x:c r="Q319" s="230" t="n">
        <x:v>140957007.96</x:v>
      </x:c>
      <x:c r="R319" s="230" t="n">
        <x:v>-82499.44</x:v>
      </x:c>
      <x:c r="S319" s="230" t="n">
        <x:v>-0.43</x:v>
      </x:c>
      <x:c r="T319" s="230" t="n">
        <x:v>1.54</x:v>
      </x:c>
      <x:c r="U319" s="230">
        <x:v>0</x:v>
      </x:c>
      <x:c r="V319" s="230">
        <x:v>0</x:v>
      </x:c>
      <x:c r="W319" s="230">
        <x:v>0</x:v>
      </x:c>
      <x:c r="X319" s="230">
        <x:v>0</x:v>
      </x:c>
      <x:c r="Y319" s="230">
        <x:v>0</x:v>
      </x:c>
      <x:c r="Z319" s="230">
        <x:v>0</x:v>
      </x:c>
    </x:row>
    <x:row r="320" spans="2:26" ht="12.75" customHeight="1" x14ac:dyDescent="0.3">
      <x:c r="E320" s="89" t="s">
        <x:v>72</x:v>
      </x:c>
      <x:c r="F320" s="90" t="n">
        <x:v>27893217.32</x:v>
      </x:c>
      <x:c r="G320" s="90" t="n">
        <x:v>2081012.49</x:v>
      </x:c>
      <x:c r="H320" s="90" t="n">
        <x:v>1155536.09</x:v>
      </x:c>
      <x:c r="I320" s="90" t="n">
        <x:v>617410.02</x:v>
      </x:c>
      <x:c r="J320" s="90" t="n">
        <x:v>6000571.41</x:v>
      </x:c>
      <x:c r="K320" s="90" t="n">
        <x:v>162410.15</x:v>
      </x:c>
      <x:c r="L320" s="90" t="n">
        <x:v>120000</x:v>
      </x:c>
      <x:c r="M320" s="90" t="n">
        <x:v>1429718.63</x:v>
      </x:c>
      <x:c r="N320" s="90" t="n">
        <x:v>1933171.8</x:v>
      </x:c>
      <x:c r="O320" s="90" t="n">
        <x:v>9206584.21</x:v>
      </x:c>
      <x:c r="P320" s="90" t="n">
        <x:v>4919256.99</x:v>
      </x:c>
      <x:c r="Q320" s="90" t="n">
        <x:v>267301.82</x:v>
      </x:c>
      <x:c r="R320" s="90" t="n">
        <x:v>243.71</x:v>
      </x:c>
      <x:c r="S320" s="90" t="n">
        <x:v>0</x:v>
      </x:c>
      <x:c r="T320" t="n">
        <x:v>0</x:v>
      </x:c>
      <x:c r="U320">
        <x:v>0</x:v>
      </x:c>
      <x:c r="V320">
        <x:v>0</x:v>
      </x:c>
      <x:c r="W320">
        <x:v>0</x:v>
      </x:c>
      <x:c r="X320">
        <x:v>0</x:v>
      </x:c>
      <x:c r="Y320">
        <x:v>0</x:v>
      </x:c>
      <x:c r="Z320">
        <x:v>0</x:v>
      </x:c>
    </x:row>
    <x:row r="321" spans="1:26" ht="12.75" customHeight="1" x14ac:dyDescent="0.3">
      <x:c r="E321" s="89" t="s">
        <x:v>81</x:v>
      </x:c>
      <x:c r="F321" s="90" t="n">
        <x:v>154599.58</x:v>
      </x:c>
      <x:c r="G321" s="90" t="n">
        <x:v>10824.74</x:v>
      </x:c>
      <x:c r="H321" s="90" t="n">
        <x:v>6004.38</x:v>
      </x:c>
      <x:c r="I321" s="90" t="n">
        <x:v>3208.77</x:v>
      </x:c>
      <x:c r="J321" s="90" t="n">
        <x:v>34776.93</x:v>
      </x:c>
      <x:c r="K321" s="90" t="n">
        <x:v>950.03</x:v>
      </x:c>
      <x:c r="L321" s="90" t="n">
        <x:v>0</x:v>
      </x:c>
      <x:c r="M321" s="90" t="n">
        <x:v>8342.33</x:v>
      </x:c>
      <x:c r="N321" s="90" t="n">
        <x:v>11217.5</x:v>
      </x:c>
      <x:c r="O321" s="90" t="n">
        <x:v>52265.65</x:v>
      </x:c>
      <x:c r="P321" s="90" t="n">
        <x:v>25462.6</x:v>
      </x:c>
      <x:c r="Q321" s="90" t="n">
        <x:v>1550.04</x:v>
      </x:c>
      <x:c r="R321" s="90" t="n">
        <x:v>-3.48</x:v>
      </x:c>
      <x:c r="S321" s="90" t="n">
        <x:v>0.09</x:v>
      </x:c>
      <x:c r="T321" t="n">
        <x:v>0</x:v>
      </x:c>
      <x:c r="U321">
        <x:v>0</x:v>
      </x:c>
      <x:c r="V321">
        <x:v>0</x:v>
      </x:c>
      <x:c r="W321">
        <x:v>0</x:v>
      </x:c>
      <x:c r="X321">
        <x:v>0</x:v>
      </x:c>
      <x:c r="Y321">
        <x:v>0</x:v>
      </x:c>
      <x:c r="Z321">
        <x:v>0</x:v>
      </x:c>
    </x:row>
    <x:row r="322" spans="1:26" ht="12.75" customHeight="1" x14ac:dyDescent="0.3">
      <x:c r="D322" s="89" t="s">
        <x:v>82</x:v>
      </x:c>
      <x:c r="E322" s="89" t="s">
        <x:v>70</x:v>
      </x:c>
      <x:c r="F322" s="90" t="n">
        <x:v>28047816.9</x:v>
      </x:c>
      <x:c r="G322" s="90" t="n">
        <x:v>2091837.23</x:v>
      </x:c>
      <x:c r="H322" s="90" t="n">
        <x:v>1161540.47</x:v>
      </x:c>
      <x:c r="I322" s="90" t="n">
        <x:v>620618.79</x:v>
      </x:c>
      <x:c r="J322" s="90" t="n">
        <x:v>6035348.34</x:v>
      </x:c>
      <x:c r="K322" s="90" t="n">
        <x:v>163360.18</x:v>
      </x:c>
      <x:c r="L322" s="90" t="n">
        <x:v>120000</x:v>
      </x:c>
      <x:c r="M322" s="90" t="n">
        <x:v>1438060.96</x:v>
      </x:c>
      <x:c r="N322" s="90" t="n">
        <x:v>1944389.3</x:v>
      </x:c>
      <x:c r="O322" s="90" t="n">
        <x:v>9258849.86</x:v>
      </x:c>
      <x:c r="P322" s="90" t="n">
        <x:v>4944719.59</x:v>
      </x:c>
      <x:c r="Q322" s="90" t="n">
        <x:v>268851.86</x:v>
      </x:c>
      <x:c r="R322" s="90" t="n">
        <x:v>240.23</x:v>
      </x:c>
      <x:c r="S322" s="90" t="n">
        <x:v>0.09</x:v>
      </x:c>
      <x:c r="T322" t="n">
        <x:v>0</x:v>
      </x:c>
      <x:c r="U322">
        <x:v>0</x:v>
      </x:c>
      <x:c r="V322">
        <x:v>0</x:v>
      </x:c>
      <x:c r="W322">
        <x:v>0</x:v>
      </x:c>
      <x:c r="X322">
        <x:v>0</x:v>
      </x:c>
      <x:c r="Y322">
        <x:v>0</x:v>
      </x:c>
      <x:c r="Z322">
        <x:v>0</x:v>
      </x:c>
    </x:row>
    <x:row r="323" spans="1:26" ht="12.75" customHeight="1" x14ac:dyDescent="0.3">
      <x:c r="D323" s="89"/>
      <x:c r="E323" s="89" t="s">
        <x:v>72</x:v>
      </x:c>
      <x:c r="F323" s="90" t="n">
        <x:v>29974838.11</x:v>
      </x:c>
      <x:c r="G323" s="90" t="n">
        <x:v>4371957.34</x:v>
      </x:c>
      <x:c r="H323" s="90" t="n">
        <x:v>2385801.56</x:v>
      </x:c>
      <x:c r="I323" s="90" t="n">
        <x:v>1257846.1</x:v>
      </x:c>
      <x:c r="J323" s="90" t="n">
        <x:v>3214417.44</x:v>
      </x:c>
      <x:c r="K323" s="90" t="n">
        <x:v>135193.77</x:v>
      </x:c>
      <x:c r="L323" s="90" t="n">
        <x:v>535353.19</x:v>
      </x:c>
      <x:c r="M323" s="90" t="n">
        <x:v>1184512.71</x:v>
      </x:c>
      <x:c r="N323" s="90" t="n">
        <x:v>1156651.89</x:v>
      </x:c>
      <x:c r="O323" s="90" t="n">
        <x:v>5194600.59</x:v>
      </x:c>
      <x:c r="P323" s="90" t="n">
        <x:v>10318301.26</x:v>
      </x:c>
      <x:c r="Q323" s="90" t="n">
        <x:v>220225.91</x:v>
      </x:c>
      <x:c r="R323" s="90" t="n">
        <x:v>-23.65</x:v>
      </x:c>
      <x:c r="S323" s="90" t="n">
        <x:v>0</x:v>
      </x:c>
      <x:c r="T323" t="n">
        <x:v>0</x:v>
      </x:c>
      <x:c r="U323">
        <x:v>0</x:v>
      </x:c>
      <x:c r="V323">
        <x:v>0</x:v>
      </x:c>
      <x:c r="W323">
        <x:v>0</x:v>
      </x:c>
      <x:c r="X323">
        <x:v>0</x:v>
      </x:c>
      <x:c r="Y323">
        <x:v>0</x:v>
      </x:c>
      <x:c r="Z323">
        <x:v>0</x:v>
      </x:c>
    </x:row>
    <x:row r="324" spans="1:26" ht="12.75" customHeight="1" x14ac:dyDescent="0.3">
      <x:c r="E324" s="89" t="s">
        <x:v>81</x:v>
      </x:c>
      <x:c r="F324" s="90" t="n">
        <x:v>753903.19</x:v>
      </x:c>
      <x:c r="G324" s="90" t="n">
        <x:v>75688.1</x:v>
      </x:c>
      <x:c r="H324" s="90" t="n">
        <x:v>39256.08</x:v>
      </x:c>
      <x:c r="I324" s="90" t="n">
        <x:v>17189.55</x:v>
      </x:c>
      <x:c r="J324" s="90" t="n">
        <x:v>111623.91</x:v>
      </x:c>
      <x:c r="K324" s="90" t="n">
        <x:v>7618.41</x:v>
      </x:c>
      <x:c r="L324" s="90" t="n">
        <x:v>0</x:v>
      </x:c>
      <x:c r="M324" s="90" t="n">
        <x:v>66787.32</x:v>
      </x:c>
      <x:c r="N324" s="90" t="n">
        <x:v>57030.81</x:v>
      </x:c>
      <x:c r="O324" s="90" t="n">
        <x:v>195601.23</x:v>
      </x:c>
      <x:c r="P324" s="90" t="n">
        <x:v>170673.94</x:v>
      </x:c>
      <x:c r="Q324" s="90" t="n">
        <x:v>12428.53</x:v>
      </x:c>
      <x:c r="R324" s="90" t="n">
        <x:v>13.62</x:v>
      </x:c>
      <x:c r="S324" s="90" t="n">
        <x:v>-8.35</x:v>
      </x:c>
      <x:c r="T324" t="n">
        <x:v>0.04</x:v>
      </x:c>
      <x:c r="U324">
        <x:v>0</x:v>
      </x:c>
      <x:c r="V324">
        <x:v>0</x:v>
      </x:c>
      <x:c r="W324">
        <x:v>0</x:v>
      </x:c>
      <x:c r="X324">
        <x:v>0</x:v>
      </x:c>
      <x:c r="Y324">
        <x:v>0</x:v>
      </x:c>
      <x:c r="Z324">
        <x:v>0</x:v>
      </x:c>
    </x:row>
    <x:row r="325" spans="1:26" ht="12.75" customHeight="1" x14ac:dyDescent="0.3">
      <x:c r="D325" s="89" t="s">
        <x:v>86</x:v>
      </x:c>
      <x:c r="E325" s="89" t="s">
        <x:v>70</x:v>
      </x:c>
      <x:c r="F325" s="90" t="n">
        <x:v>30728741.3</x:v>
      </x:c>
      <x:c r="G325" s="90" t="n">
        <x:v>4447645.44</x:v>
      </x:c>
      <x:c r="H325" s="90" t="n">
        <x:v>2425057.64</x:v>
      </x:c>
      <x:c r="I325" s="90" t="n">
        <x:v>1275035.65</x:v>
      </x:c>
      <x:c r="J325" s="90" t="n">
        <x:v>3326041.35</x:v>
      </x:c>
      <x:c r="K325" s="90" t="n">
        <x:v>142812.18</x:v>
      </x:c>
      <x:c r="L325" s="90" t="n">
        <x:v>535353.19</x:v>
      </x:c>
      <x:c r="M325" s="90" t="n">
        <x:v>1251300.03</x:v>
      </x:c>
      <x:c r="N325" s="90" t="n">
        <x:v>1213682.7</x:v>
      </x:c>
      <x:c r="O325" s="90" t="n">
        <x:v>5390201.82</x:v>
      </x:c>
      <x:c r="P325" s="90" t="n">
        <x:v>10488975.2</x:v>
      </x:c>
      <x:c r="Q325" s="90" t="n">
        <x:v>232654.44</x:v>
      </x:c>
      <x:c r="R325" s="90" t="n">
        <x:v>-10.03</x:v>
      </x:c>
      <x:c r="S325" s="90" t="n">
        <x:v>-8.35</x:v>
      </x:c>
      <x:c r="T325" t="n">
        <x:v>0.04</x:v>
      </x:c>
      <x:c r="U325">
        <x:v>0</x:v>
      </x:c>
      <x:c r="V325">
        <x:v>0</x:v>
      </x:c>
      <x:c r="W325">
        <x:v>0</x:v>
      </x:c>
      <x:c r="X325">
        <x:v>0</x:v>
      </x:c>
      <x:c r="Y325">
        <x:v>0</x:v>
      </x:c>
      <x:c r="Z325">
        <x:v>0</x:v>
      </x:c>
    </x:row>
    <x:row r="326" spans="1:26" ht="12.75" customHeight="1" x14ac:dyDescent="0.3">
      <x:c r="E326" s="89" t="s">
        <x:v>72</x:v>
      </x:c>
      <x:c r="F326" s="90" t="n">
        <x:v>226728731.7</x:v>
      </x:c>
      <x:c r="G326" s="90" t="n">
        <x:v>42828311.23</x:v>
      </x:c>
      <x:c r="H326" s="90" t="n">
        <x:v>24273629.1</x:v>
      </x:c>
      <x:c r="I326" s="90" t="n">
        <x:v>12708424.33</x:v>
      </x:c>
      <x:c r="J326" s="90" t="n">
        <x:v>12928902.76</x:v>
      </x:c>
      <x:c r="K326" s="90" t="n">
        <x:v>341568.52</x:v>
      </x:c>
      <x:c r="L326" s="90" t="n">
        <x:v>4088350.02</x:v>
      </x:c>
      <x:c r="M326" s="90" t="n">
        <x:v>3004870.82</x:v>
      </x:c>
      <x:c r="N326" s="90" t="n">
        <x:v>4237775.21</x:v>
      </x:c>
      <x:c r="O326" s="90" t="n">
        <x:v>20284611.45</x:v>
      </x:c>
      <x:c r="P326" s="90" t="n">
        <x:v>101468705.94</x:v>
      </x:c>
      <x:c r="Q326" s="90" t="n">
        <x:v>563016.39</x:v>
      </x:c>
      <x:c r="R326" s="90" t="n">
        <x:v>565.93</x:v>
      </x:c>
      <x:c r="S326" s="90" t="n">
        <x:v>0</x:v>
      </x:c>
      <x:c r="T326" t="n">
        <x:v>0</x:v>
      </x:c>
      <x:c r="U326">
        <x:v>0</x:v>
      </x:c>
      <x:c r="V326">
        <x:v>0</x:v>
      </x:c>
      <x:c r="W326">
        <x:v>0</x:v>
      </x:c>
      <x:c r="X326">
        <x:v>0</x:v>
      </x:c>
      <x:c r="Y326">
        <x:v>0</x:v>
      </x:c>
      <x:c r="Z326">
        <x:v>0</x:v>
      </x:c>
    </x:row>
    <x:row r="327" spans="1:26" ht="12.75" customHeight="1" x14ac:dyDescent="0.3">
      <x:c r="E327" s="89" t="s">
        <x:v>81</x:v>
      </x:c>
      <x:c r="F327" s="90" t="n">
        <x:v>1206617.63</x:v>
      </x:c>
      <x:c r="G327" s="90" t="n">
        <x:v>195527.8</x:v>
      </x:c>
      <x:c r="H327" s="90" t="n">
        <x:v>126581.95</x:v>
      </x:c>
      <x:c r="I327" s="90" t="n">
        <x:v>58497.16</x:v>
      </x:c>
      <x:c r="J327" s="90" t="n">
        <x:v>112774.52</x:v>
      </x:c>
      <x:c r="K327" s="90" t="n">
        <x:v>2729.26</x:v>
      </x:c>
      <x:c r="L327" s="90" t="n">
        <x:v>67908.6</x:v>
      </x:c>
      <x:c r="M327" s="90" t="n">
        <x:v>23708.58</x:v>
      </x:c>
      <x:c r="N327" s="90" t="n">
        <x:v>33699.53</x:v>
      </x:c>
      <x:c r="O327" s="90" t="n">
        <x:v>157605.82</x:v>
      </x:c>
      <x:c r="P327" s="90" t="n">
        <x:v>464745.83</x:v>
      </x:c>
      <x:c r="Q327" s="90" t="n">
        <x:v>4452.93</x:v>
      </x:c>
      <x:c r="R327" s="90" t="n">
        <x:v>-1.56</x:v>
      </x:c>
      <x:c r="S327" s="90" t="n">
        <x:v>-41612.79</x:v>
      </x:c>
      <x:c r="T327" t="n">
        <x:v>0</x:v>
      </x:c>
      <x:c r="U327">
        <x:v>0</x:v>
      </x:c>
      <x:c r="V327">
        <x:v>0</x:v>
      </x:c>
      <x:c r="W327">
        <x:v>0</x:v>
      </x:c>
      <x:c r="X327">
        <x:v>0</x:v>
      </x:c>
      <x:c r="Y327">
        <x:v>0</x:v>
      </x:c>
      <x:c r="Z327">
        <x:v>0</x:v>
      </x:c>
    </x:row>
    <x:row r="328" spans="1:26" ht="12.75" customHeight="1" x14ac:dyDescent="0.3">
      <x:c r="D328" s="89" t="s">
        <x:v>87</x:v>
      </x:c>
      <x:c r="E328" s="89" t="s">
        <x:v>70</x:v>
      </x:c>
      <x:c r="F328" s="90" t="n">
        <x:v>227935349.33</x:v>
      </x:c>
      <x:c r="G328" s="90" t="n">
        <x:v>43023839.03</x:v>
      </x:c>
      <x:c r="H328" s="90" t="n">
        <x:v>24400211.05</x:v>
      </x:c>
      <x:c r="I328" s="90" t="n">
        <x:v>12766921.49</x:v>
      </x:c>
      <x:c r="J328" s="90" t="n">
        <x:v>13041677.28</x:v>
      </x:c>
      <x:c r="K328" s="90" t="n">
        <x:v>344297.78</x:v>
      </x:c>
      <x:c r="L328" s="90" t="n">
        <x:v>4156258.62</x:v>
      </x:c>
      <x:c r="M328" s="90" t="n">
        <x:v>3028579.4</x:v>
      </x:c>
      <x:c r="N328" s="90" t="n">
        <x:v>4271474.74</x:v>
      </x:c>
      <x:c r="O328" s="90" t="n">
        <x:v>20442217.27</x:v>
      </x:c>
      <x:c r="P328" s="90" t="n">
        <x:v>101933451.77</x:v>
      </x:c>
      <x:c r="Q328" s="90" t="n">
        <x:v>567469.32</x:v>
      </x:c>
      <x:c r="R328" s="90" t="n">
        <x:v>564.37</x:v>
      </x:c>
      <x:c r="S328" s="90" t="n">
        <x:v>-41612.79</x:v>
      </x:c>
      <x:c r="T328" t="n">
        <x:v>0</x:v>
      </x:c>
      <x:c r="U328">
        <x:v>0</x:v>
      </x:c>
      <x:c r="V328">
        <x:v>0</x:v>
      </x:c>
      <x:c r="W328">
        <x:v>0</x:v>
      </x:c>
      <x:c r="X328">
        <x:v>0</x:v>
      </x:c>
      <x:c r="Y328">
        <x:v>0</x:v>
      </x:c>
      <x:c r="Z328">
        <x:v>0</x:v>
      </x:c>
    </x:row>
    <x:row r="329" spans="1:26" s="94" customFormat="1" ht="12.75" customHeight="1" x14ac:dyDescent="0.3">
      <x:c r="C329" s="101" t="s">
        <x:v>119</x:v>
      </x:c>
      <x:c r="D329" s="101" t="s">
        <x:v>70</x:v>
      </x:c>
      <x:c r="F329" s="93" t="n">
        <x:v>286711907.53</x:v>
      </x:c>
      <x:c r="G329" s="93" t="n">
        <x:v>49563321.7</x:v>
      </x:c>
      <x:c r="H329" s="93" t="n">
        <x:v>27986809.16</x:v>
      </x:c>
      <x:c r="I329" s="93" t="n">
        <x:v>14662575.93</x:v>
      </x:c>
      <x:c r="J329" s="93" t="n">
        <x:v>22403066.97</x:v>
      </x:c>
      <x:c r="K329" s="93" t="n">
        <x:v>650470.14</x:v>
      </x:c>
      <x:c r="L329" s="93" t="n">
        <x:v>4811611.81</x:v>
      </x:c>
      <x:c r="M329" s="93" t="n">
        <x:v>5717940.39</x:v>
      </x:c>
      <x:c r="N329" s="93" t="n">
        <x:v>7429546.74</x:v>
      </x:c>
      <x:c r="O329" s="93" t="n">
        <x:v>35091268.95</x:v>
      </x:c>
      <x:c r="P329" s="93" t="n">
        <x:v>117367146.56</x:v>
      </x:c>
      <x:c r="Q329" s="93" t="n">
        <x:v>1068975.62</x:v>
      </x:c>
      <x:c r="R329" s="93" t="n">
        <x:v>794.57</x:v>
      </x:c>
      <x:c r="S329" s="93" t="n">
        <x:v>-41621.05</x:v>
      </x:c>
      <x:c r="T329" s="94" t="n">
        <x:v>0.04</x:v>
      </x:c>
      <x:c r="U329" s="94">
        <x:v>0</x:v>
      </x:c>
      <x:c r="V329" s="94">
        <x:v>0</x:v>
      </x:c>
      <x:c r="W329" s="94">
        <x:v>0</x:v>
      </x:c>
      <x:c r="X329" s="94">
        <x:v>0</x:v>
      </x:c>
      <x:c r="Y329" s="94">
        <x:v>0</x:v>
      </x:c>
      <x:c r="Z329" s="94">
        <x:v>0</x:v>
      </x:c>
    </x:row>
    <x:row r="330" spans="1:26" s="226" customFormat="1" ht="12.75" customHeight="1" x14ac:dyDescent="0.3">
      <x:c r="B330" s="98" t="s">
        <x:v>112</x:v>
      </x:c>
      <x:c r="C330" s="98" t="s">
        <x:v>70</x:v>
      </x:c>
      <x:c r="F330" s="100" t="n">
        <x:v>10012922390.65</x:v>
      </x:c>
      <x:c r="G330" s="100" t="n">
        <x:v>569049094.65</x:v>
      </x:c>
      <x:c r="H330" s="100" t="n">
        <x:v>317267504.36</x:v>
      </x:c>
      <x:c r="I330" s="100" t="n">
        <x:v>168517805.62</x:v>
      </x:c>
      <x:c r="J330" s="100" t="n">
        <x:v>2429021662.81</x:v>
      </x:c>
      <x:c r="K330" s="100" t="n">
        <x:v>86984015.53</x:v>
      </x:c>
      <x:c r="L330" s="100" t="n">
        <x:v>19305717.66</x:v>
      </x:c>
      <x:c r="M330" s="100" t="n">
        <x:v>763682746.84</x:v>
      </x:c>
      <x:c r="N330" s="100" t="n">
        <x:v>725018880.26</x:v>
      </x:c>
      <x:c r="O330" s="100" t="n">
        <x:v>3444256050.87</x:v>
      </x:c>
      <x:c r="P330" s="100" t="n">
        <x:v>1347916253.24</x:v>
      </x:c>
      <x:c r="Q330" s="100" t="n">
        <x:v>142025983.58</x:v>
      </x:c>
      <x:c r="R330" s="100" t="n">
        <x:v>-81704.87</x:v>
      </x:c>
      <x:c r="S330" s="100" t="n">
        <x:v>-41621.48</x:v>
      </x:c>
      <x:c r="T330" s="226" t="n">
        <x:v>1.58</x:v>
      </x:c>
      <x:c r="U330" s="226">
        <x:v>0</x:v>
      </x:c>
      <x:c r="V330" s="226">
        <x:v>0</x:v>
      </x:c>
      <x:c r="W330" s="226">
        <x:v>0</x:v>
      </x:c>
      <x:c r="X330" s="226">
        <x:v>0</x:v>
      </x:c>
      <x:c r="Y330" s="226">
        <x:v>0</x:v>
      </x:c>
      <x:c r="Z330" s="226">
        <x:v>0</x:v>
      </x:c>
    </x:row>
    <x:row r="331" spans="1:26" ht="12.75" customHeight="1" x14ac:dyDescent="0.3">
      <x:c r="A331" s="89" t="s">
        <x:v>78</x:v>
      </x:c>
      <x:c r="B331" s="89" t="s">
        <x:v>70</x:v>
      </x:c>
      <x:c r="F331" s="90" t="n">
        <x:v>10012922390.65</x:v>
      </x:c>
      <x:c r="G331" s="90" t="n">
        <x:v>569049094.65</x:v>
      </x:c>
      <x:c r="H331" s="90" t="n">
        <x:v>317267504.36</x:v>
      </x:c>
      <x:c r="I331" s="90" t="n">
        <x:v>168517805.62</x:v>
      </x:c>
      <x:c r="J331" s="90" t="n">
        <x:v>2429021662.81</x:v>
      </x:c>
      <x:c r="K331" s="90" t="n">
        <x:v>86984015.53</x:v>
      </x:c>
      <x:c r="L331" s="90" t="n">
        <x:v>19305717.66</x:v>
      </x:c>
      <x:c r="M331" s="90" t="n">
        <x:v>763682746.84</x:v>
      </x:c>
      <x:c r="N331" s="90" t="n">
        <x:v>725018880.26</x:v>
      </x:c>
      <x:c r="O331" s="90" t="n">
        <x:v>3444256050.87</x:v>
      </x:c>
      <x:c r="P331" s="90" t="n">
        <x:v>1347916253.24</x:v>
      </x:c>
      <x:c r="Q331" s="90" t="n">
        <x:v>142025983.58</x:v>
      </x:c>
      <x:c r="R331" s="90" t="n">
        <x:v>-81704.87</x:v>
      </x:c>
      <x:c r="S331" s="90" t="n">
        <x:v>-41621.48</x:v>
      </x:c>
      <x:c r="T331" t="n">
        <x:v>1.58</x:v>
      </x:c>
      <x:c r="U331">
        <x:v>0</x:v>
      </x:c>
      <x:c r="V331">
        <x:v>0</x:v>
      </x:c>
      <x:c r="W331">
        <x:v>0</x:v>
      </x:c>
      <x:c r="X331">
        <x:v>0</x:v>
      </x:c>
      <x:c r="Y331">
        <x:v>0</x:v>
      </x:c>
      <x:c r="Z331">
        <x:v>0</x:v>
      </x:c>
    </x:row>
    <x:row r="332" spans="1:26" x14ac:dyDescent="0.3">
      <x:c r="E332" t="s">
        <x:v>73</x:v>
      </x:c>
      <x:c r="F332" s="90">
        <x:v>0</x:v>
      </x:c>
      <x:c r="G332" s="90">
        <x:v>0</x:v>
      </x:c>
      <x:c r="H332" s="90">
        <x:v>0</x:v>
      </x:c>
      <x:c r="I332" s="90">
        <x:v>0</x:v>
      </x:c>
      <x:c r="J332" s="90">
        <x:v>0</x:v>
      </x:c>
      <x:c r="K332" s="90">
        <x:v>0</x:v>
      </x:c>
      <x:c r="L332" s="90">
        <x:v>0</x:v>
      </x:c>
      <x:c r="M332" s="90">
        <x:v>0</x:v>
      </x:c>
      <x:c r="N332" s="90">
        <x:v>0</x:v>
      </x:c>
      <x:c r="O332" s="90">
        <x:v>0</x:v>
      </x:c>
      <x:c r="P332" s="90">
        <x:v>0</x:v>
      </x:c>
      <x:c r="Q332" s="90">
        <x:v>0</x:v>
      </x:c>
      <x:c r="R332" s="90">
        <x:v>0</x:v>
      </x:c>
      <x:c r="S332" s="90">
        <x:v>0</x:v>
      </x:c>
      <x:c r="T332" s="90">
        <x:v>0</x:v>
      </x:c>
      <x:c r="U332">
        <x:v>0</x:v>
      </x:c>
      <x:c r="V332">
        <x:v>0</x:v>
      </x:c>
      <x:c r="W332">
        <x:v>0</x:v>
      </x:c>
      <x:c r="X332">
        <x:v>0</x:v>
      </x:c>
      <x:c r="Y332">
        <x:v>0</x:v>
      </x:c>
      <x:c r="Z332" s="90">
        <x:v>0</x:v>
      </x:c>
    </x:row>
    <x:row r="333" spans="1:26" x14ac:dyDescent="0.3">
      <x:c r="D333" t="s">
        <x:v>156</x:v>
      </x:c>
      <x:c r="E333" t="s">
        <x:v>70</x:v>
      </x:c>
      <x:c r="F333" s="90">
        <x:v>0</x:v>
      </x:c>
      <x:c r="G333" s="90">
        <x:v>0</x:v>
      </x:c>
      <x:c r="H333" s="90">
        <x:v>0</x:v>
      </x:c>
      <x:c r="I333" s="90">
        <x:v>0</x:v>
      </x:c>
      <x:c r="J333" s="90">
        <x:v>0</x:v>
      </x:c>
      <x:c r="K333" s="90">
        <x:v>0</x:v>
      </x:c>
      <x:c r="L333" s="90">
        <x:v>0</x:v>
      </x:c>
      <x:c r="M333" s="90">
        <x:v>0</x:v>
      </x:c>
      <x:c r="N333" s="90">
        <x:v>0</x:v>
      </x:c>
      <x:c r="O333" s="90">
        <x:v>0</x:v>
      </x:c>
      <x:c r="P333" s="90">
        <x:v>0</x:v>
      </x:c>
      <x:c r="Q333" s="90">
        <x:v>0</x:v>
      </x:c>
      <x:c r="R333" s="90">
        <x:v>0</x:v>
      </x:c>
      <x:c r="S333" s="90">
        <x:v>0</x:v>
      </x:c>
      <x:c r="T333" s="90">
        <x:v>0</x:v>
      </x:c>
      <x:c r="U333">
        <x:v>0</x:v>
      </x:c>
      <x:c r="V333">
        <x:v>0</x:v>
      </x:c>
      <x:c r="W333">
        <x:v>0</x:v>
      </x:c>
      <x:c r="X333">
        <x:v>0</x:v>
      </x:c>
      <x:c r="Y333">
        <x:v>0</x:v>
      </x:c>
      <x:c r="Z333" s="90">
        <x:v>0</x:v>
      </x:c>
    </x:row>
    <x:row r="334" spans="1:26" s="286" customFormat="1" ht="12.75" customHeight="1" x14ac:dyDescent="0.3">
      <x:c r="C334" s="286" t="s">
        <x:v>155</x:v>
      </x:c>
      <x:c r="D334" s="286" t="s">
        <x:v>70</x:v>
      </x:c>
      <x:c r="E334" s="229"/>
      <x:c r="F334" s="229">
        <x:v>0</x:v>
      </x:c>
      <x:c r="G334" s="230">
        <x:v>0</x:v>
      </x:c>
      <x:c r="H334" s="230">
        <x:v>0</x:v>
      </x:c>
      <x:c r="I334" s="230">
        <x:v>0</x:v>
      </x:c>
      <x:c r="J334" s="230">
        <x:v>0</x:v>
      </x:c>
      <x:c r="K334" s="230">
        <x:v>0</x:v>
      </x:c>
      <x:c r="L334" s="230">
        <x:v>0</x:v>
      </x:c>
      <x:c r="M334" s="230">
        <x:v>0</x:v>
      </x:c>
      <x:c r="N334" s="230">
        <x:v>0</x:v>
      </x:c>
      <x:c r="O334" s="230">
        <x:v>0</x:v>
      </x:c>
      <x:c r="P334" s="230">
        <x:v>0</x:v>
      </x:c>
      <x:c r="Q334" s="230">
        <x:v>0</x:v>
      </x:c>
      <x:c r="R334" s="230">
        <x:v>0</x:v>
      </x:c>
      <x:c r="S334" s="230">
        <x:v>0</x:v>
      </x:c>
      <x:c r="T334" s="230">
        <x:v>0</x:v>
      </x:c>
      <x:c r="U334" s="230">
        <x:v>0</x:v>
      </x:c>
      <x:c r="V334" s="230">
        <x:v>0</x:v>
      </x:c>
      <x:c r="W334" s="230">
        <x:v>0</x:v>
      </x:c>
      <x:c r="X334" s="230">
        <x:v>0</x:v>
      </x:c>
      <x:c r="Y334" s="230">
        <x:v>0</x:v>
      </x:c>
      <x:c r="Z334" s="230">
        <x:v>0</x:v>
      </x:c>
    </x:row>
    <x:row r="335" spans="1:26" x14ac:dyDescent="0.3">
      <x:c r="E335" t="s">
        <x:v>73</x:v>
      </x:c>
      <x:c r="F335" s="90">
        <x:v>0</x:v>
      </x:c>
      <x:c r="G335" s="90">
        <x:v>0</x:v>
      </x:c>
      <x:c r="H335" s="90">
        <x:v>0</x:v>
      </x:c>
      <x:c r="I335" s="90">
        <x:v>0</x:v>
      </x:c>
      <x:c r="J335" s="90">
        <x:v>0</x:v>
      </x:c>
      <x:c r="K335" s="90">
        <x:v>0</x:v>
      </x:c>
      <x:c r="L335" s="90">
        <x:v>0</x:v>
      </x:c>
      <x:c r="M335" s="90">
        <x:v>0</x:v>
      </x:c>
      <x:c r="N335" s="90">
        <x:v>0</x:v>
      </x:c>
      <x:c r="O335" s="90">
        <x:v>0</x:v>
      </x:c>
      <x:c r="P335" s="90">
        <x:v>0</x:v>
      </x:c>
      <x:c r="Q335" s="90">
        <x:v>0</x:v>
      </x:c>
      <x:c r="R335" s="90">
        <x:v>0</x:v>
      </x:c>
      <x:c r="S335" s="90">
        <x:v>0</x:v>
      </x:c>
      <x:c r="T335" s="90">
        <x:v>0</x:v>
      </x:c>
      <x:c r="U335">
        <x:v>0</x:v>
      </x:c>
      <x:c r="V335">
        <x:v>0</x:v>
      </x:c>
      <x:c r="W335">
        <x:v>0</x:v>
      </x:c>
      <x:c r="X335">
        <x:v>0</x:v>
      </x:c>
      <x:c r="Y335">
        <x:v>0</x:v>
      </x:c>
      <x:c r="Z335" s="90">
        <x:v>0</x:v>
      </x:c>
    </x:row>
    <x:row r="336" spans="1:26" x14ac:dyDescent="0.3">
      <x:c r="D336" t="s">
        <x:v>82</x:v>
      </x:c>
      <x:c r="E336" t="s">
        <x:v>70</x:v>
      </x:c>
      <x:c r="F336" s="90">
        <x:v>0</x:v>
      </x:c>
      <x:c r="G336" s="90">
        <x:v>0</x:v>
      </x:c>
      <x:c r="H336" s="90">
        <x:v>0</x:v>
      </x:c>
      <x:c r="I336" s="90">
        <x:v>0</x:v>
      </x:c>
      <x:c r="J336" s="90">
        <x:v>0</x:v>
      </x:c>
      <x:c r="K336" s="90">
        <x:v>0</x:v>
      </x:c>
      <x:c r="L336" s="90">
        <x:v>0</x:v>
      </x:c>
      <x:c r="M336" s="90">
        <x:v>0</x:v>
      </x:c>
      <x:c r="N336" s="90">
        <x:v>0</x:v>
      </x:c>
      <x:c r="O336" s="90">
        <x:v>0</x:v>
      </x:c>
      <x:c r="P336" s="90">
        <x:v>0</x:v>
      </x:c>
      <x:c r="Q336" s="90">
        <x:v>0</x:v>
      </x:c>
      <x:c r="R336" s="90">
        <x:v>0</x:v>
      </x:c>
      <x:c r="S336" s="90">
        <x:v>0</x:v>
      </x:c>
      <x:c r="T336" s="90">
        <x:v>0</x:v>
      </x:c>
      <x:c r="U336">
        <x:v>0</x:v>
      </x:c>
      <x:c r="V336">
        <x:v>0</x:v>
      </x:c>
      <x:c r="W336">
        <x:v>0</x:v>
      </x:c>
      <x:c r="X336">
        <x:v>0</x:v>
      </x:c>
      <x:c r="Y336">
        <x:v>0</x:v>
      </x:c>
      <x:c r="Z336" s="90">
        <x:v>0</x:v>
      </x:c>
    </x:row>
    <x:row r="337" spans="2:26" x14ac:dyDescent="0.3">
      <x:c r="E337" t="s">
        <x:v>73</x:v>
      </x:c>
      <x:c r="F337" s="90">
        <x:v>0</x:v>
      </x:c>
      <x:c r="G337" s="90">
        <x:v>0</x:v>
      </x:c>
      <x:c r="H337" s="90">
        <x:v>0</x:v>
      </x:c>
      <x:c r="I337" s="90">
        <x:v>0</x:v>
      </x:c>
      <x:c r="J337" s="90">
        <x:v>0</x:v>
      </x:c>
      <x:c r="K337" s="90">
        <x:v>0</x:v>
      </x:c>
      <x:c r="L337" s="90">
        <x:v>0</x:v>
      </x:c>
      <x:c r="M337" s="90">
        <x:v>0</x:v>
      </x:c>
      <x:c r="N337" s="90">
        <x:v>0</x:v>
      </x:c>
      <x:c r="O337" s="90">
        <x:v>0</x:v>
      </x:c>
      <x:c r="P337" s="90">
        <x:v>0</x:v>
      </x:c>
      <x:c r="Q337" s="90">
        <x:v>0</x:v>
      </x:c>
      <x:c r="R337" s="90">
        <x:v>0</x:v>
      </x:c>
      <x:c r="S337" s="90">
        <x:v>0</x:v>
      </x:c>
      <x:c r="T337" s="90">
        <x:v>0</x:v>
      </x:c>
      <x:c r="U337">
        <x:v>0</x:v>
      </x:c>
      <x:c r="V337">
        <x:v>0</x:v>
      </x:c>
      <x:c r="W337">
        <x:v>0</x:v>
      </x:c>
      <x:c r="X337">
        <x:v>0</x:v>
      </x:c>
      <x:c r="Y337">
        <x:v>0</x:v>
      </x:c>
      <x:c r="Z337" s="90">
        <x:v>0</x:v>
      </x:c>
    </x:row>
    <x:row r="338" spans="2:26" x14ac:dyDescent="0.3">
      <x:c r="D338" t="s">
        <x:v>86</x:v>
      </x:c>
      <x:c r="E338" t="s">
        <x:v>70</x:v>
      </x:c>
      <x:c r="F338" s="90">
        <x:v>0</x:v>
      </x:c>
      <x:c r="G338" s="90">
        <x:v>0</x:v>
      </x:c>
      <x:c r="H338" s="90">
        <x:v>0</x:v>
      </x:c>
      <x:c r="I338" s="90">
        <x:v>0</x:v>
      </x:c>
      <x:c r="J338" s="90">
        <x:v>0</x:v>
      </x:c>
      <x:c r="K338" s="90">
        <x:v>0</x:v>
      </x:c>
      <x:c r="L338" s="90">
        <x:v>0</x:v>
      </x:c>
      <x:c r="M338" s="90">
        <x:v>0</x:v>
      </x:c>
      <x:c r="N338" s="90">
        <x:v>0</x:v>
      </x:c>
      <x:c r="O338" s="90">
        <x:v>0</x:v>
      </x:c>
      <x:c r="P338" s="90">
        <x:v>0</x:v>
      </x:c>
      <x:c r="Q338" s="90">
        <x:v>0</x:v>
      </x:c>
      <x:c r="R338" s="90">
        <x:v>0</x:v>
      </x:c>
      <x:c r="S338" s="90">
        <x:v>0</x:v>
      </x:c>
      <x:c r="T338" s="90">
        <x:v>0</x:v>
      </x:c>
      <x:c r="U338">
        <x:v>0</x:v>
      </x:c>
      <x:c r="V338">
        <x:v>0</x:v>
      </x:c>
      <x:c r="W338">
        <x:v>0</x:v>
      </x:c>
      <x:c r="X338">
        <x:v>0</x:v>
      </x:c>
      <x:c r="Y338">
        <x:v>0</x:v>
      </x:c>
      <x:c r="Z338" s="90">
        <x:v>0</x:v>
      </x:c>
    </x:row>
    <x:row r="339" spans="2:26" x14ac:dyDescent="0.3">
      <x:c r="E339" t="s">
        <x:v>73</x:v>
      </x:c>
      <x:c r="F339" s="90">
        <x:v>0</x:v>
      </x:c>
      <x:c r="G339" s="90">
        <x:v>0</x:v>
      </x:c>
      <x:c r="H339" s="90">
        <x:v>0</x:v>
      </x:c>
      <x:c r="I339" s="90">
        <x:v>0</x:v>
      </x:c>
      <x:c r="J339" s="90">
        <x:v>0</x:v>
      </x:c>
      <x:c r="K339" s="90">
        <x:v>0</x:v>
      </x:c>
      <x:c r="L339" s="90">
        <x:v>0</x:v>
      </x:c>
      <x:c r="M339" s="90">
        <x:v>0</x:v>
      </x:c>
      <x:c r="N339" s="90">
        <x:v>0</x:v>
      </x:c>
      <x:c r="O339" s="90">
        <x:v>0</x:v>
      </x:c>
      <x:c r="P339" s="90">
        <x:v>0</x:v>
      </x:c>
      <x:c r="Q339" s="90">
        <x:v>0</x:v>
      </x:c>
      <x:c r="R339" s="90">
        <x:v>0</x:v>
      </x:c>
      <x:c r="S339" s="90">
        <x:v>0</x:v>
      </x:c>
      <x:c r="T339" s="90">
        <x:v>0</x:v>
      </x:c>
      <x:c r="U339">
        <x:v>0</x:v>
      </x:c>
      <x:c r="V339">
        <x:v>0</x:v>
      </x:c>
      <x:c r="W339">
        <x:v>0</x:v>
      </x:c>
      <x:c r="X339">
        <x:v>0</x:v>
      </x:c>
      <x:c r="Y339">
        <x:v>0</x:v>
      </x:c>
      <x:c r="Z339" s="90">
        <x:v>0</x:v>
      </x:c>
    </x:row>
    <x:row r="340" spans="2:26" x14ac:dyDescent="0.3">
      <x:c r="D340" t="s">
        <x:v>87</x:v>
      </x:c>
      <x:c r="E340" t="s">
        <x:v>70</x:v>
      </x:c>
      <x:c r="F340" s="90">
        <x:v>0</x:v>
      </x:c>
      <x:c r="G340" s="90">
        <x:v>0</x:v>
      </x:c>
      <x:c r="H340" s="90">
        <x:v>0</x:v>
      </x:c>
      <x:c r="I340" s="90">
        <x:v>0</x:v>
      </x:c>
      <x:c r="J340" s="90">
        <x:v>0</x:v>
      </x:c>
      <x:c r="K340" s="90">
        <x:v>0</x:v>
      </x:c>
      <x:c r="L340" s="90">
        <x:v>0</x:v>
      </x:c>
      <x:c r="M340" s="90">
        <x:v>0</x:v>
      </x:c>
      <x:c r="N340" s="90">
        <x:v>0</x:v>
      </x:c>
      <x:c r="O340" s="90">
        <x:v>0</x:v>
      </x:c>
      <x:c r="P340" s="90">
        <x:v>0</x:v>
      </x:c>
      <x:c r="Q340" s="90">
        <x:v>0</x:v>
      </x:c>
      <x:c r="R340" s="90">
        <x:v>0</x:v>
      </x:c>
      <x:c r="S340" s="90">
        <x:v>0</x:v>
      </x:c>
      <x:c r="T340" s="90">
        <x:v>0</x:v>
      </x:c>
      <x:c r="U340">
        <x:v>0</x:v>
      </x:c>
      <x:c r="V340">
        <x:v>0</x:v>
      </x:c>
      <x:c r="W340">
        <x:v>0</x:v>
      </x:c>
      <x:c r="X340">
        <x:v>0</x:v>
      </x:c>
      <x:c r="Y340">
        <x:v>0</x:v>
      </x:c>
      <x:c r="Z340" s="90">
        <x:v>0</x:v>
      </x:c>
    </x:row>
    <x:row r="341" spans="2:26" s="94" customFormat="1" ht="12.75" customHeight="1" x14ac:dyDescent="0.3">
      <x:c r="C341" s="101" t="s">
        <x:v>119</x:v>
      </x:c>
      <x:c r="D341" s="101" t="s">
        <x:v>70</x:v>
      </x:c>
      <x:c r="F341" s="93">
        <x:v>0</x:v>
      </x:c>
      <x:c r="G341" s="93">
        <x:v>0</x:v>
      </x:c>
      <x:c r="H341" s="93">
        <x:v>0</x:v>
      </x:c>
      <x:c r="I341" s="93">
        <x:v>0</x:v>
      </x:c>
      <x:c r="J341" s="93">
        <x:v>0</x:v>
      </x:c>
      <x:c r="K341" s="93">
        <x:v>0</x:v>
      </x:c>
      <x:c r="L341" s="93">
        <x:v>0</x:v>
      </x:c>
      <x:c r="M341" s="93">
        <x:v>0</x:v>
      </x:c>
      <x:c r="N341" s="93">
        <x:v>0</x:v>
      </x:c>
      <x:c r="O341" s="93">
        <x:v>0</x:v>
      </x:c>
      <x:c r="P341" s="93">
        <x:v>0</x:v>
      </x:c>
      <x:c r="Q341" s="93">
        <x:v>0</x:v>
      </x:c>
      <x:c r="R341" s="93">
        <x:v>0</x:v>
      </x:c>
      <x:c r="S341" s="93">
        <x:v>0</x:v>
      </x:c>
      <x:c r="T341" s="93">
        <x:v>0</x:v>
      </x:c>
      <x:c r="U341" s="93">
        <x:v>0</x:v>
      </x:c>
      <x:c r="V341" s="93">
        <x:v>0</x:v>
      </x:c>
      <x:c r="W341" s="93">
        <x:v>0</x:v>
      </x:c>
      <x:c r="X341" s="93">
        <x:v>0</x:v>
      </x:c>
      <x:c r="Y341" s="93">
        <x:v>0</x:v>
      </x:c>
      <x:c r="Z341" s="93">
        <x:v>0</x:v>
      </x:c>
    </x:row>
    <x:row r="342" spans="2:26" s="378" customFormat="1" ht="12.65" customHeight="1" x14ac:dyDescent="0.3">
      <x:c r="B342" s="378" t="s">
        <x:v>122</x:v>
      </x:c>
      <x:c r="C342" s="378" t="s">
        <x:v>70</x:v>
      </x:c>
      <x:c r="E342" s="376"/>
      <x:c r="F342" s="710">
        <x:v>0</x:v>
      </x:c>
      <x:c r="G342" s="377">
        <x:v>0</x:v>
      </x:c>
      <x:c r="H342" s="377">
        <x:v>0</x:v>
      </x:c>
      <x:c r="I342" s="377">
        <x:v>0</x:v>
      </x:c>
      <x:c r="J342" s="377">
        <x:v>0</x:v>
      </x:c>
      <x:c r="K342" s="377">
        <x:v>0</x:v>
      </x:c>
      <x:c r="L342" s="377">
        <x:v>0</x:v>
      </x:c>
      <x:c r="M342" s="377">
        <x:v>0</x:v>
      </x:c>
      <x:c r="N342" s="377">
        <x:v>0</x:v>
      </x:c>
      <x:c r="O342" s="377">
        <x:v>0</x:v>
      </x:c>
      <x:c r="P342" s="377">
        <x:v>0</x:v>
      </x:c>
      <x:c r="Q342" s="377">
        <x:v>0</x:v>
      </x:c>
      <x:c r="R342" s="377">
        <x:v>0</x:v>
      </x:c>
      <x:c r="S342" s="377">
        <x:v>0</x:v>
      </x:c>
      <x:c r="T342" s="378">
        <x:v>0</x:v>
      </x:c>
      <x:c r="U342" s="378">
        <x:v>0</x:v>
      </x:c>
      <x:c r="V342" s="378">
        <x:v>0</x:v>
      </x:c>
      <x:c r="W342" s="378">
        <x:v>0</x:v>
      </x:c>
      <x:c r="X342" s="378">
        <x:v>0</x:v>
      </x:c>
      <x:c r="Y342" s="378">
        <x:v>0</x:v>
      </x:c>
      <x:c r="Z342" s="378">
        <x:v>0</x:v>
      </x:c>
    </x:row>
    <x:row r="343" spans="2:26" ht="12.65" customHeight="1" x14ac:dyDescent="0.3">
      <x:c r="E343" s="89" t="s">
        <x:v>73</x:v>
      </x:c>
      <x:c r="F343" s="371" t="n">
        <x:v>-1327632993.07</x:v>
      </x:c>
      <x:c r="G343" s="90" t="n">
        <x:v>-8564985.77</x:v>
      </x:c>
      <x:c r="H343" s="90" t="n">
        <x:v>-4774987.63</x:v>
      </x:c>
      <x:c r="I343" s="90" t="n">
        <x:v>-2523218.82</x:v>
      </x:c>
      <x:c r="J343" s="90" t="n">
        <x:v>-408268306.71</x:v>
      </x:c>
      <x:c r="K343" s="90" t="n">
        <x:v>-14887976.7</x:v>
      </x:c>
      <x:c r="L343" s="90" t="n">
        <x:v>0</x:v>
      </x:c>
      <x:c r="M343" s="90" t="n">
        <x:v>-130597681.34</x:v>
      </x:c>
      <x:c r="N343" s="90" t="n">
        <x:v>-124131146.83</x:v>
      </x:c>
      <x:c r="O343" s="90" t="n">
        <x:v>-589163703.42</x:v>
      </x:c>
      <x:c r="P343" s="90" t="n">
        <x:v>-20430834.86</x:v>
      </x:c>
      <x:c r="Q343" s="90" t="n">
        <x:v>-24290150.99</x:v>
      </x:c>
      <x:c r="R343" s="90" t="n">
        <x:v>0</x:v>
      </x:c>
      <x:c r="S343" s="90" t="n">
        <x:v>0</x:v>
      </x:c>
      <x:c r="T343" t="n">
        <x:v>0</x:v>
      </x:c>
      <x:c r="U343">
        <x:v>0</x:v>
      </x:c>
      <x:c r="V343">
        <x:v>0</x:v>
      </x:c>
      <x:c r="W343">
        <x:v>0</x:v>
      </x:c>
      <x:c r="X343">
        <x:v>0</x:v>
      </x:c>
      <x:c r="Y343">
        <x:v>0</x:v>
      </x:c>
      <x:c r="Z343">
        <x:v>0</x:v>
      </x:c>
    </x:row>
    <x:row r="344" spans="2:26" ht="12.75" customHeight="1" x14ac:dyDescent="0.3">
      <x:c r="D344" t="s">
        <x:v>156</x:v>
      </x:c>
      <x:c r="E344" s="89" t="s">
        <x:v>70</x:v>
      </x:c>
      <x:c r="F344" s="371" t="n">
        <x:v>-1327632993.07</x:v>
      </x:c>
      <x:c r="G344" s="90" t="n">
        <x:v>-8564985.77</x:v>
      </x:c>
      <x:c r="H344" s="90" t="n">
        <x:v>-4774987.63</x:v>
      </x:c>
      <x:c r="I344" s="90" t="n">
        <x:v>-2523218.82</x:v>
      </x:c>
      <x:c r="J344" s="90" t="n">
        <x:v>-408268306.71</x:v>
      </x:c>
      <x:c r="K344" s="90" t="n">
        <x:v>-14887976.7</x:v>
      </x:c>
      <x:c r="L344" s="90" t="n">
        <x:v>0</x:v>
      </x:c>
      <x:c r="M344" s="90" t="n">
        <x:v>-130597681.34</x:v>
      </x:c>
      <x:c r="N344" s="90" t="n">
        <x:v>-124131146.83</x:v>
      </x:c>
      <x:c r="O344" s="90" t="n">
        <x:v>-589163703.42</x:v>
      </x:c>
      <x:c r="P344" s="90" t="n">
        <x:v>-20430834.86</x:v>
      </x:c>
      <x:c r="Q344" s="90" t="n">
        <x:v>-24290150.99</x:v>
      </x:c>
      <x:c r="R344" s="90" t="n">
        <x:v>0</x:v>
      </x:c>
      <x:c r="S344" s="90" t="n">
        <x:v>0</x:v>
      </x:c>
      <x:c r="T344" t="n">
        <x:v>0</x:v>
      </x:c>
      <x:c r="U344">
        <x:v>0</x:v>
      </x:c>
      <x:c r="V344">
        <x:v>0</x:v>
      </x:c>
      <x:c r="W344">
        <x:v>0</x:v>
      </x:c>
      <x:c r="X344">
        <x:v>0</x:v>
      </x:c>
      <x:c r="Y344">
        <x:v>0</x:v>
      </x:c>
      <x:c r="Z344">
        <x:v>0</x:v>
      </x:c>
    </x:row>
    <x:row r="345" spans="2:26" s="286" customFormat="1" ht="12.75" customHeight="1" x14ac:dyDescent="0.3">
      <x:c r="C345" s="286" t="s">
        <x:v>155</x:v>
      </x:c>
      <x:c r="D345" s="286" t="s">
        <x:v>70</x:v>
      </x:c>
      <x:c r="E345" s="229"/>
      <x:c r="F345" s="229" t="n">
        <x:v>-1327632993.07</x:v>
      </x:c>
      <x:c r="G345" s="230" t="n">
        <x:v>-8564985.77</x:v>
      </x:c>
      <x:c r="H345" s="230" t="n">
        <x:v>-4774987.63</x:v>
      </x:c>
      <x:c r="I345" s="230" t="n">
        <x:v>-2523218.82</x:v>
      </x:c>
      <x:c r="J345" s="230" t="n">
        <x:v>-408268306.71</x:v>
      </x:c>
      <x:c r="K345" s="230" t="n">
        <x:v>-14887976.7</x:v>
      </x:c>
      <x:c r="L345" s="230" t="n">
        <x:v>0</x:v>
      </x:c>
      <x:c r="M345" s="230" t="n">
        <x:v>-130597681.34</x:v>
      </x:c>
      <x:c r="N345" s="230" t="n">
        <x:v>-124131146.83</x:v>
      </x:c>
      <x:c r="O345" s="230" t="n">
        <x:v>-589163703.42</x:v>
      </x:c>
      <x:c r="P345" s="230" t="n">
        <x:v>-20430834.86</x:v>
      </x:c>
      <x:c r="Q345" s="230" t="n">
        <x:v>-24290150.99</x:v>
      </x:c>
      <x:c r="R345" s="230" t="n">
        <x:v>0</x:v>
      </x:c>
      <x:c r="S345" s="230" t="n">
        <x:v>0</x:v>
      </x:c>
      <x:c r="T345" s="230" t="n">
        <x:v>0</x:v>
      </x:c>
      <x:c r="U345" s="230">
        <x:v>0</x:v>
      </x:c>
      <x:c r="V345" s="230">
        <x:v>0</x:v>
      </x:c>
      <x:c r="W345" s="230">
        <x:v>0</x:v>
      </x:c>
      <x:c r="X345" s="230">
        <x:v>0</x:v>
      </x:c>
      <x:c r="Y345" s="230">
        <x:v>0</x:v>
      </x:c>
      <x:c r="Z345" s="230">
        <x:v>0</x:v>
      </x:c>
    </x:row>
    <x:row r="346" spans="2:26" ht="12.75" customHeight="1" x14ac:dyDescent="0.3">
      <x:c r="D346" s="89"/>
      <x:c r="E346" s="89" t="s">
        <x:v>73</x:v>
      </x:c>
      <x:c r="F346" s="90" t="n">
        <x:v>2828333.1</x:v>
      </x:c>
      <x:c r="G346" s="90" t="n">
        <x:v>743180.49</x:v>
      </x:c>
      <x:c r="H346" s="90" t="n">
        <x:v>414441.74</x:v>
      </x:c>
      <x:c r="I346" s="90" t="n">
        <x:v>221023.81</x:v>
      </x:c>
      <x:c r="J346" s="90" t="n">
        <x:v>-139031.15</x:v>
      </x:c>
      <x:c r="K346" s="90" t="n">
        <x:v>-2208.44</x:v>
      </x:c>
      <x:c r="L346" s="90" t="n">
        <x:v>0</x:v>
      </x:c>
      <x:c r="M346" s="90" t="n">
        <x:v>-20313.72</x:v>
      </x:c>
      <x:c r="N346" s="90" t="n">
        <x:v>-24977.48</x:v>
      </x:c>
      <x:c r="O346" s="90" t="n">
        <x:v>-121230.75</x:v>
      </x:c>
      <x:c r="P346" s="90" t="n">
        <x:v>1761052.74</x:v>
      </x:c>
      <x:c r="Q346" s="90" t="n">
        <x:v>-3604.14</x:v>
      </x:c>
      <x:c r="R346" s="90" t="n">
        <x:v>0</x:v>
      </x:c>
      <x:c r="S346" s="90" t="n">
        <x:v>0</x:v>
      </x:c>
      <x:c r="T346" t="n">
        <x:v>0</x:v>
      </x:c>
      <x:c r="U346">
        <x:v>0</x:v>
      </x:c>
      <x:c r="V346">
        <x:v>0</x:v>
      </x:c>
      <x:c r="W346">
        <x:v>0</x:v>
      </x:c>
      <x:c r="X346">
        <x:v>0</x:v>
      </x:c>
      <x:c r="Y346">
        <x:v>0</x:v>
      </x:c>
      <x:c r="Z346">
        <x:v>0</x:v>
      </x:c>
    </x:row>
    <x:row r="347" spans="2:26" ht="12.75" customHeight="1" x14ac:dyDescent="0.3">
      <x:c r="D347" t="s">
        <x:v>82</x:v>
      </x:c>
      <x:c r="E347" s="89" t="s">
        <x:v>70</x:v>
      </x:c>
      <x:c r="F347" s="90" t="n">
        <x:v>2828333.1</x:v>
      </x:c>
      <x:c r="G347" s="90" t="n">
        <x:v>743180.49</x:v>
      </x:c>
      <x:c r="H347" s="90" t="n">
        <x:v>414441.74</x:v>
      </x:c>
      <x:c r="I347" s="90" t="n">
        <x:v>221023.81</x:v>
      </x:c>
      <x:c r="J347" s="90" t="n">
        <x:v>-139031.15</x:v>
      </x:c>
      <x:c r="K347" s="90" t="n">
        <x:v>-2208.44</x:v>
      </x:c>
      <x:c r="L347" s="90" t="n">
        <x:v>0</x:v>
      </x:c>
      <x:c r="M347" s="90" t="n">
        <x:v>-20313.72</x:v>
      </x:c>
      <x:c r="N347" s="90" t="n">
        <x:v>-24977.48</x:v>
      </x:c>
      <x:c r="O347" s="90" t="n">
        <x:v>-121230.75</x:v>
      </x:c>
      <x:c r="P347" s="90" t="n">
        <x:v>1761052.74</x:v>
      </x:c>
      <x:c r="Q347" s="90" t="n">
        <x:v>-3604.14</x:v>
      </x:c>
      <x:c r="R347" s="90" t="n">
        <x:v>0</x:v>
      </x:c>
      <x:c r="S347" s="90" t="n">
        <x:v>0</x:v>
      </x:c>
      <x:c r="T347" t="n">
        <x:v>0</x:v>
      </x:c>
      <x:c r="U347">
        <x:v>0</x:v>
      </x:c>
      <x:c r="V347">
        <x:v>0</x:v>
      </x:c>
      <x:c r="W347">
        <x:v>0</x:v>
      </x:c>
      <x:c r="X347">
        <x:v>0</x:v>
      </x:c>
      <x:c r="Y347">
        <x:v>0</x:v>
      </x:c>
      <x:c r="Z347">
        <x:v>0</x:v>
      </x:c>
    </x:row>
    <x:row r="348" spans="2:26" ht="12.75" customHeight="1" x14ac:dyDescent="0.3">
      <x:c r="D348" s="89"/>
      <x:c r="E348" s="89" t="s">
        <x:v>73</x:v>
      </x:c>
      <x:c r="F348" s="90" t="n">
        <x:v>10204619.7</x:v>
      </x:c>
      <x:c r="G348" s="90" t="n">
        <x:v>2328991.14</x:v>
      </x:c>
      <x:c r="H348" s="90" t="n">
        <x:v>1287297.82</x:v>
      </x:c>
      <x:c r="I348" s="90" t="n">
        <x:v>679570.49</x:v>
      </x:c>
      <x:c r="J348" s="90" t="n">
        <x:v>102278.14</x:v>
      </x:c>
      <x:c r="K348" s="90" t="n">
        <x:v>4415.71</x:v>
      </x:c>
      <x:c r="L348" s="90" t="n">
        <x:v>0</x:v>
      </x:c>
      <x:c r="M348" s="90" t="n">
        <x:v>39056.98</x:v>
      </x:c>
      <x:c r="N348" s="90" t="n">
        <x:v>58210.36</x:v>
      </x:c>
      <x:c r="O348" s="90" t="n">
        <x:v>188950.98</x:v>
      </x:c>
      <x:c r="P348" s="90" t="n">
        <x:v>5508643.75</x:v>
      </x:c>
      <x:c r="Q348" s="90" t="n">
        <x:v>7204.33</x:v>
      </x:c>
      <x:c r="R348" s="90" t="n">
        <x:v>0</x:v>
      </x:c>
      <x:c r="S348" s="90" t="n">
        <x:v>0</x:v>
      </x:c>
      <x:c r="T348" t="n">
        <x:v>0</x:v>
      </x:c>
      <x:c r="U348">
        <x:v>0</x:v>
      </x:c>
      <x:c r="V348">
        <x:v>0</x:v>
      </x:c>
      <x:c r="W348">
        <x:v>0</x:v>
      </x:c>
      <x:c r="X348">
        <x:v>0</x:v>
      </x:c>
      <x:c r="Y348">
        <x:v>0</x:v>
      </x:c>
      <x:c r="Z348">
        <x:v>0</x:v>
      </x:c>
    </x:row>
    <x:row r="349" spans="2:26" ht="12.75" customHeight="1" x14ac:dyDescent="0.3">
      <x:c r="D349" t="s">
        <x:v>86</x:v>
      </x:c>
      <x:c r="E349" s="89" t="s">
        <x:v>70</x:v>
      </x:c>
      <x:c r="F349" s="90" t="n">
        <x:v>10204619.7</x:v>
      </x:c>
      <x:c r="G349" s="90" t="n">
        <x:v>2328991.14</x:v>
      </x:c>
      <x:c r="H349" s="90" t="n">
        <x:v>1287297.82</x:v>
      </x:c>
      <x:c r="I349" s="90" t="n">
        <x:v>679570.49</x:v>
      </x:c>
      <x:c r="J349" s="90" t="n">
        <x:v>102278.14</x:v>
      </x:c>
      <x:c r="K349" s="90" t="n">
        <x:v>4415.71</x:v>
      </x:c>
      <x:c r="L349" s="90" t="n">
        <x:v>0</x:v>
      </x:c>
      <x:c r="M349" s="90" t="n">
        <x:v>39056.98</x:v>
      </x:c>
      <x:c r="N349" s="90" t="n">
        <x:v>58210.36</x:v>
      </x:c>
      <x:c r="O349" s="90" t="n">
        <x:v>188950.98</x:v>
      </x:c>
      <x:c r="P349" s="90" t="n">
        <x:v>5508643.75</x:v>
      </x:c>
      <x:c r="Q349" s="90" t="n">
        <x:v>7204.33</x:v>
      </x:c>
      <x:c r="R349" s="90" t="n">
        <x:v>0</x:v>
      </x:c>
      <x:c r="S349" s="90" t="n">
        <x:v>0</x:v>
      </x:c>
      <x:c r="T349" t="n">
        <x:v>0</x:v>
      </x:c>
      <x:c r="U349">
        <x:v>0</x:v>
      </x:c>
      <x:c r="V349">
        <x:v>0</x:v>
      </x:c>
      <x:c r="W349">
        <x:v>0</x:v>
      </x:c>
      <x:c r="X349">
        <x:v>0</x:v>
      </x:c>
      <x:c r="Y349">
        <x:v>0</x:v>
      </x:c>
      <x:c r="Z349">
        <x:v>0</x:v>
      </x:c>
    </x:row>
    <x:row r="350" spans="2:26" ht="12.75" customHeight="1" x14ac:dyDescent="0.3">
      <x:c r="D350" s="89"/>
      <x:c r="E350" s="89" t="s">
        <x:v>73</x:v>
      </x:c>
      <x:c r="F350" s="90" t="n">
        <x:v>132456085.67</x:v>
      </x:c>
      <x:c r="G350" s="90" t="n">
        <x:v>30585428.24</x:v>
      </x:c>
      <x:c r="H350" s="90" t="n">
        <x:v>17048992.6</x:v>
      </x:c>
      <x:c r="I350" s="90" t="n">
        <x:v>9062837.04</x:v>
      </x:c>
      <x:c r="J350" s="90" t="n">
        <x:v>1058444.68</x:v>
      </x:c>
      <x:c r="K350" s="90" t="n">
        <x:v>25732.85</x:v>
      </x:c>
      <x:c r="L350" s="90" t="n">
        <x:v>0</x:v>
      </x:c>
      <x:c r="M350" s="90" t="n">
        <x:v>227727.21</x:v>
      </x:c>
      <x:c r="N350" s="90" t="n">
        <x:v>319819.04</x:v>
      </x:c>
      <x:c r="O350" s="90" t="n">
        <x:v>1520655.55</x:v>
      </x:c>
      <x:c r="P350" s="90" t="n">
        <x:v>72564464.72</x:v>
      </x:c>
      <x:c r="Q350" s="90" t="n">
        <x:v>41983.74</x:v>
      </x:c>
      <x:c r="R350" s="90" t="n">
        <x:v>0</x:v>
      </x:c>
      <x:c r="S350" s="90" t="n">
        <x:v>0</x:v>
      </x:c>
      <x:c r="T350" t="n">
        <x:v>0</x:v>
      </x:c>
      <x:c r="U350">
        <x:v>0</x:v>
      </x:c>
      <x:c r="V350">
        <x:v>0</x:v>
      </x:c>
      <x:c r="W350">
        <x:v>0</x:v>
      </x:c>
      <x:c r="X350">
        <x:v>0</x:v>
      </x:c>
      <x:c r="Y350">
        <x:v>0</x:v>
      </x:c>
      <x:c r="Z350">
        <x:v>0</x:v>
      </x:c>
    </x:row>
    <x:row r="351" spans="2:26" ht="12.75" customHeight="1" x14ac:dyDescent="0.3">
      <x:c r="C351" s="89"/>
      <x:c r="D351" s="89" t="s">
        <x:v>87</x:v>
      </x:c>
      <x:c r="E351" t="s">
        <x:v>70</x:v>
      </x:c>
      <x:c r="F351" s="90" t="n">
        <x:v>132456085.67</x:v>
      </x:c>
      <x:c r="G351" s="90" t="n">
        <x:v>30585428.24</x:v>
      </x:c>
      <x:c r="H351" s="90" t="n">
        <x:v>17048992.6</x:v>
      </x:c>
      <x:c r="I351" s="90" t="n">
        <x:v>9062837.04</x:v>
      </x:c>
      <x:c r="J351" s="90" t="n">
        <x:v>1058444.68</x:v>
      </x:c>
      <x:c r="K351" s="90" t="n">
        <x:v>25732.85</x:v>
      </x:c>
      <x:c r="L351" s="90" t="n">
        <x:v>0</x:v>
      </x:c>
      <x:c r="M351" s="90" t="n">
        <x:v>227727.21</x:v>
      </x:c>
      <x:c r="N351" s="90" t="n">
        <x:v>319819.04</x:v>
      </x:c>
      <x:c r="O351" s="90" t="n">
        <x:v>1520655.55</x:v>
      </x:c>
      <x:c r="P351" s="90" t="n">
        <x:v>72564464.72</x:v>
      </x:c>
      <x:c r="Q351" s="90" t="n">
        <x:v>41983.74</x:v>
      </x:c>
      <x:c r="R351" s="90" t="n">
        <x:v>0</x:v>
      </x:c>
      <x:c r="S351" s="90" t="n">
        <x:v>0</x:v>
      </x:c>
      <x:c r="T351" t="n">
        <x:v>0</x:v>
      </x:c>
      <x:c r="U351">
        <x:v>0</x:v>
      </x:c>
      <x:c r="V351">
        <x:v>0</x:v>
      </x:c>
      <x:c r="W351">
        <x:v>0</x:v>
      </x:c>
      <x:c r="X351">
        <x:v>0</x:v>
      </x:c>
      <x:c r="Y351">
        <x:v>0</x:v>
      </x:c>
      <x:c r="Z351">
        <x:v>0</x:v>
      </x:c>
    </x:row>
    <x:row r="352" spans="2:26" s="94" customFormat="1" ht="12.75" customHeight="1" x14ac:dyDescent="0.3">
      <x:c r="C352" s="101" t="s">
        <x:v>119</x:v>
      </x:c>
      <x:c r="D352" s="101" t="s">
        <x:v>70</x:v>
      </x:c>
      <x:c r="F352" s="93" t="n">
        <x:v>145489038.47</x:v>
      </x:c>
      <x:c r="G352" s="93" t="n">
        <x:v>33657599.87</x:v>
      </x:c>
      <x:c r="H352" s="93" t="n">
        <x:v>18750732.16</x:v>
      </x:c>
      <x:c r="I352" s="93" t="n">
        <x:v>9963431.34</x:v>
      </x:c>
      <x:c r="J352" s="93" t="n">
        <x:v>1021691.67</x:v>
      </x:c>
      <x:c r="K352" s="93" t="n">
        <x:v>27940.12</x:v>
      </x:c>
      <x:c r="L352" s="93" t="n">
        <x:v>0</x:v>
      </x:c>
      <x:c r="M352" s="93" t="n">
        <x:v>246470.47</x:v>
      </x:c>
      <x:c r="N352" s="93" t="n">
        <x:v>353051.92</x:v>
      </x:c>
      <x:c r="O352" s="93" t="n">
        <x:v>1588375.78</x:v>
      </x:c>
      <x:c r="P352" s="93" t="n">
        <x:v>79834161.21</x:v>
      </x:c>
      <x:c r="Q352" s="93" t="n">
        <x:v>45583.93</x:v>
      </x:c>
      <x:c r="R352" s="93" t="n">
        <x:v>0</x:v>
      </x:c>
      <x:c r="S352" s="93" t="n">
        <x:v>0</x:v>
      </x:c>
      <x:c r="T352" s="94" t="n">
        <x:v>0</x:v>
      </x:c>
      <x:c r="U352" s="94">
        <x:v>0</x:v>
      </x:c>
      <x:c r="V352" s="94">
        <x:v>0</x:v>
      </x:c>
      <x:c r="W352" s="94">
        <x:v>0</x:v>
      </x:c>
      <x:c r="X352" s="94">
        <x:v>0</x:v>
      </x:c>
      <x:c r="Y352" s="94">
        <x:v>0</x:v>
      </x:c>
      <x:c r="Z352" s="94">
        <x:v>0</x:v>
      </x:c>
    </x:row>
    <x:row r="353" spans="1:26" s="226" customFormat="1" ht="12.75" customHeight="1" x14ac:dyDescent="0.3">
      <x:c r="A353" s="98"/>
      <x:c r="B353" s="98" t="s">
        <x:v>112</x:v>
      </x:c>
      <x:c r="C353" s="226" t="s">
        <x:v>70</x:v>
      </x:c>
      <x:c r="F353" s="100" t="n">
        <x:v>-1182143954.6</x:v>
      </x:c>
      <x:c r="G353" s="100" t="n">
        <x:v>25092614.1</x:v>
      </x:c>
      <x:c r="H353" s="100" t="n">
        <x:v>13975744.53</x:v>
      </x:c>
      <x:c r="I353" s="100" t="n">
        <x:v>7440212.52</x:v>
      </x:c>
      <x:c r="J353" s="100" t="n">
        <x:v>-407246615.04</x:v>
      </x:c>
      <x:c r="K353" s="100" t="n">
        <x:v>-14860036.58</x:v>
      </x:c>
      <x:c r="L353" s="100" t="n">
        <x:v>0</x:v>
      </x:c>
      <x:c r="M353" s="100" t="n">
        <x:v>-130351210.87</x:v>
      </x:c>
      <x:c r="N353" s="100" t="n">
        <x:v>-123778094.91</x:v>
      </x:c>
      <x:c r="O353" s="100" t="n">
        <x:v>-587575327.64</x:v>
      </x:c>
      <x:c r="P353" s="100" t="n">
        <x:v>59403326.35</x:v>
      </x:c>
      <x:c r="Q353" s="100" t="n">
        <x:v>-24244567.06</x:v>
      </x:c>
      <x:c r="R353" s="100" t="n">
        <x:v>0</x:v>
      </x:c>
      <x:c r="S353" s="100" t="n">
        <x:v>0</x:v>
      </x:c>
      <x:c r="T353" s="226" t="n">
        <x:v>0</x:v>
      </x:c>
      <x:c r="U353" s="226">
        <x:v>0</x:v>
      </x:c>
      <x:c r="V353" s="226">
        <x:v>0</x:v>
      </x:c>
      <x:c r="W353" s="226">
        <x:v>0</x:v>
      </x:c>
      <x:c r="X353" s="226">
        <x:v>0</x:v>
      </x:c>
      <x:c r="Y353" s="226">
        <x:v>0</x:v>
      </x:c>
      <x:c r="Z353" s="226">
        <x:v>0</x:v>
      </x:c>
    </x:row>
    <x:row r="354" spans="1:26" ht="12.75" customHeight="1" x14ac:dyDescent="0.3">
      <x:c r="A354" s="89" t="s">
        <x:v>79</x:v>
      </x:c>
      <x:c r="B354" t="s">
        <x:v>70</x:v>
      </x:c>
      <x:c r="F354" s="90" t="n">
        <x:v>-1182143954.6</x:v>
      </x:c>
      <x:c r="G354" s="90" t="n">
        <x:v>25092614.1</x:v>
      </x:c>
      <x:c r="H354" s="90" t="n">
        <x:v>13975744.53</x:v>
      </x:c>
      <x:c r="I354" s="90" t="n">
        <x:v>7440212.52</x:v>
      </x:c>
      <x:c r="J354" s="90" t="n">
        <x:v>-407246615.04</x:v>
      </x:c>
      <x:c r="K354" s="90" t="n">
        <x:v>-14860036.58</x:v>
      </x:c>
      <x:c r="L354" s="90" t="n">
        <x:v>0</x:v>
      </x:c>
      <x:c r="M354" s="90" t="n">
        <x:v>-130351210.87</x:v>
      </x:c>
      <x:c r="N354" s="90" t="n">
        <x:v>-123778094.91</x:v>
      </x:c>
      <x:c r="O354" s="90" t="n">
        <x:v>-587575327.64</x:v>
      </x:c>
      <x:c r="P354" s="90" t="n">
        <x:v>59403326.35</x:v>
      </x:c>
      <x:c r="Q354" s="90" t="n">
        <x:v>-24244567.06</x:v>
      </x:c>
      <x:c r="R354" s="90" t="n">
        <x:v>0</x:v>
      </x:c>
      <x:c r="S354" s="90" t="n">
        <x:v>0</x:v>
      </x:c>
      <x:c r="T354" t="n">
        <x:v>0</x:v>
      </x:c>
      <x:c r="U354">
        <x:v>0</x:v>
      </x:c>
      <x:c r="V354">
        <x:v>0</x:v>
      </x:c>
      <x:c r="W354">
        <x:v>0</x:v>
      </x:c>
      <x:c r="X354">
        <x:v>0</x:v>
      </x:c>
      <x:c r="Y354">
        <x:v>0</x:v>
      </x:c>
      <x:c r="Z354">
        <x:v>0</x:v>
      </x:c>
    </x:row>
    <x:row r="355" spans="1:26" ht="12.75" customHeight="1" x14ac:dyDescent="0.3">
      <x:c r="A355" t="s">
        <x:v>70</x:v>
      </x:c>
      <x:c r="E355" s="89"/>
      <x:c r="F355" s="90" t="n">
        <x:v>8830777878</x:v>
      </x:c>
      <x:c r="G355" s="90" t="n">
        <x:v>594141672.32</x:v>
      </x:c>
      <x:c r="H355" s="90" t="n">
        <x:v>331243233.41</x:v>
      </x:c>
      <x:c r="I355" s="90" t="n">
        <x:v>175958011.38</x:v>
      </x:c>
      <x:c r="J355" s="90" t="n">
        <x:v>2021774924.63</x:v>
      </x:c>
      <x:c r="K355" s="90" t="n">
        <x:v>72123973.96</x:v>
      </x:c>
      <x:c r="L355" s="90" t="n">
        <x:v>19305717.66</x:v>
      </x:c>
      <x:c r="M355" s="90" t="n">
        <x:v>633331492.19</x:v>
      </x:c>
      <x:c r="N355" s="90" t="n">
        <x:v>601240729.36</x:v>
      </x:c>
      <x:c r="O355" s="90" t="n">
        <x:v>2856680538.91</x:v>
      </x:c>
      <x:c r="P355" s="90" t="n">
        <x:v>1407319500.57</x:v>
      </x:c>
      <x:c r="Q355" s="90" t="n">
        <x:v>117781408.38</x:v>
      </x:c>
      <x:c r="R355" s="90" t="n">
        <x:v>-81704.87</x:v>
      </x:c>
      <x:c r="S355" s="90" t="n">
        <x:v>-41621.48</x:v>
      </x:c>
      <x:c r="T355" s="150" t="n">
        <x:v>1.58</x:v>
      </x:c>
      <x:c r="U355" s="150">
        <x:v>0</x:v>
      </x:c>
      <x:c r="V355" s="150">
        <x:v>0</x:v>
      </x:c>
      <x:c r="W355" s="150">
        <x:v>0</x:v>
      </x:c>
      <x:c r="X355">
        <x:v>0</x:v>
      </x:c>
      <x:c r="Y355">
        <x:v>0</x:v>
      </x:c>
      <x:c r="Z355">
        <x:v>0</x:v>
      </x:c>
    </x:row>
    <x:row r="356" spans="1:26" ht="12.75" hidden="1" customHeight="1" x14ac:dyDescent="0.3">
      <x:c r="A356" s="89"/>
      <x:c r="B356" s="89"/>
      <x:c r="F356" s="90"/>
      <x:c r="G356" s="90"/>
      <x:c r="H356" s="90"/>
      <x:c r="I356" s="90"/>
      <x:c r="J356" s="90"/>
      <x:c r="K356" s="90"/>
      <x:c r="L356" s="90"/>
      <x:c r="M356" s="90"/>
      <x:c r="N356" s="90"/>
      <x:c r="O356" s="90"/>
      <x:c r="P356" s="90"/>
      <x:c r="Q356" s="90"/>
      <x:c r="R356" s="90"/>
      <x:c r="S356" s="90"/>
    </x:row>
    <x:row r="357" spans="1:26" ht="12.75" hidden="1" customHeight="1" x14ac:dyDescent="0.3">
      <x:c r="E357" s="89"/>
      <x:c r="F357" s="90"/>
      <x:c r="G357" s="90"/>
      <x:c r="H357" s="90"/>
      <x:c r="I357" s="90"/>
      <x:c r="J357" s="90"/>
      <x:c r="K357" s="90"/>
      <x:c r="L357" s="90"/>
      <x:c r="M357" s="90"/>
      <x:c r="N357" s="90"/>
      <x:c r="O357" s="90"/>
      <x:c r="P357" s="90"/>
      <x:c r="Q357" s="90"/>
      <x:c r="R357" s="90"/>
      <x:c r="S357" s="90"/>
    </x:row>
    <x:row r="358" spans="1:26" ht="12.75" hidden="1" customHeight="1" x14ac:dyDescent="0.3">
      <x:c r="D358" s="89"/>
      <x:c r="E358" s="89"/>
      <x:c r="F358" s="90"/>
      <x:c r="G358" s="90"/>
      <x:c r="H358" s="90"/>
      <x:c r="I358" s="90"/>
      <x:c r="J358" s="90"/>
      <x:c r="K358" s="90"/>
      <x:c r="L358" s="90"/>
      <x:c r="M358" s="90"/>
      <x:c r="N358" s="90"/>
      <x:c r="O358" s="90"/>
      <x:c r="P358" s="90"/>
      <x:c r="Q358" s="90"/>
      <x:c r="R358" s="90"/>
      <x:c r="S358" s="90"/>
    </x:row>
    <x:row r="359" spans="1:26" ht="12.75" hidden="1" customHeight="1" x14ac:dyDescent="0.3">
      <x:c r="D359" s="89"/>
      <x:c r="E359" s="89"/>
      <x:c r="F359" s="90"/>
      <x:c r="G359" s="90"/>
      <x:c r="H359" s="90"/>
      <x:c r="I359" s="90"/>
      <x:c r="J359" s="90"/>
      <x:c r="K359" s="90"/>
      <x:c r="L359" s="90"/>
      <x:c r="M359" s="90"/>
      <x:c r="N359" s="90"/>
      <x:c r="O359" s="90"/>
      <x:c r="P359" s="90"/>
      <x:c r="Q359" s="90"/>
      <x:c r="R359" s="90"/>
      <x:c r="S359" s="90"/>
    </x:row>
    <x:row r="360" spans="1:26" ht="12.75" hidden="1" customHeight="1" x14ac:dyDescent="0.3">
      <x:c r="E360" s="89"/>
      <x:c r="F360" s="90"/>
      <x:c r="G360" s="90"/>
      <x:c r="H360" s="90"/>
      <x:c r="I360" s="90"/>
      <x:c r="J360" s="90"/>
      <x:c r="K360" s="90"/>
      <x:c r="L360" s="90"/>
      <x:c r="M360" s="90"/>
      <x:c r="N360" s="90"/>
      <x:c r="O360" s="90"/>
      <x:c r="P360" s="90"/>
      <x:c r="Q360" s="90"/>
      <x:c r="R360" s="90"/>
      <x:c r="S360" s="90"/>
    </x:row>
    <x:row r="361" spans="1:26" ht="12.75" hidden="1" customHeight="1" x14ac:dyDescent="0.3">
      <x:c r="D361" s="89"/>
      <x:c r="E361" s="89"/>
      <x:c r="F361" s="90"/>
      <x:c r="G361" s="90"/>
      <x:c r="H361" s="90"/>
      <x:c r="I361" s="90"/>
      <x:c r="J361" s="90"/>
      <x:c r="K361" s="90"/>
      <x:c r="L361" s="90"/>
      <x:c r="M361" s="90"/>
      <x:c r="N361" s="90"/>
      <x:c r="O361" s="90"/>
      <x:c r="P361" s="90"/>
      <x:c r="Q361" s="90"/>
      <x:c r="R361" s="90"/>
      <x:c r="S361" s="90"/>
    </x:row>
    <x:row r="362" spans="1:26" ht="12.75" hidden="1" customHeight="1" x14ac:dyDescent="0.3">
      <x:c r="E362" s="89"/>
      <x:c r="F362" s="90"/>
      <x:c r="G362" s="90"/>
      <x:c r="H362" s="90"/>
      <x:c r="I362" s="90"/>
      <x:c r="J362" s="90"/>
      <x:c r="K362" s="90"/>
      <x:c r="L362" s="90"/>
      <x:c r="M362" s="90"/>
      <x:c r="N362" s="90"/>
      <x:c r="O362" s="90"/>
      <x:c r="P362" s="90"/>
      <x:c r="Q362" s="90"/>
      <x:c r="R362" s="90"/>
      <x:c r="S362" s="90"/>
    </x:row>
    <x:row r="363" spans="1:26" ht="12.75" hidden="1" customHeight="1" x14ac:dyDescent="0.3">
      <x:c r="D363" s="89"/>
      <x:c r="E363" s="89"/>
      <x:c r="F363" s="90"/>
      <x:c r="G363" s="90"/>
      <x:c r="H363" s="90"/>
      <x:c r="I363" s="90"/>
      <x:c r="J363" s="90"/>
      <x:c r="K363" s="90"/>
      <x:c r="L363" s="90"/>
      <x:c r="M363" s="90"/>
      <x:c r="N363" s="90"/>
      <x:c r="O363" s="90"/>
      <x:c r="P363" s="90"/>
      <x:c r="Q363" s="90"/>
      <x:c r="R363" s="90"/>
      <x:c r="S363" s="90"/>
    </x:row>
    <x:row r="364" spans="1:26" ht="12.75" hidden="1" customHeight="1" x14ac:dyDescent="0.3">
      <x:c r="E364" s="89"/>
      <x:c r="F364" s="90"/>
      <x:c r="G364" s="90"/>
      <x:c r="H364" s="90"/>
      <x:c r="I364" s="90"/>
      <x:c r="J364" s="90"/>
      <x:c r="K364" s="90"/>
      <x:c r="L364" s="90"/>
      <x:c r="M364" s="90"/>
      <x:c r="N364" s="90"/>
      <x:c r="O364" s="90"/>
      <x:c r="P364" s="90"/>
      <x:c r="Q364" s="90"/>
      <x:c r="R364" s="90"/>
      <x:c r="S364" s="90"/>
    </x:row>
    <x:row r="365" spans="1:26" ht="12.75" hidden="1" customHeight="1" x14ac:dyDescent="0.3">
      <x:c r="D365" s="89"/>
      <x:c r="E365" s="89"/>
      <x:c r="F365" s="90"/>
      <x:c r="G365" s="90"/>
      <x:c r="H365" s="90"/>
      <x:c r="I365" s="90"/>
      <x:c r="J365" s="90"/>
      <x:c r="K365" s="90"/>
      <x:c r="L365" s="90"/>
      <x:c r="M365" s="90"/>
      <x:c r="N365" s="90"/>
      <x:c r="O365" s="90"/>
      <x:c r="P365" s="90"/>
      <x:c r="Q365" s="90"/>
      <x:c r="R365" s="90"/>
      <x:c r="S365" s="90"/>
    </x:row>
    <x:row r="366" spans="1:26" ht="12.75" hidden="1" customHeight="1" x14ac:dyDescent="0.3">
      <x:c r="C366" s="89"/>
      <x:c r="D366" s="89"/>
      <x:c r="F366" s="90"/>
      <x:c r="G366" s="90"/>
      <x:c r="H366" s="90"/>
      <x:c r="I366" s="90"/>
      <x:c r="J366" s="90"/>
      <x:c r="K366" s="90"/>
      <x:c r="L366" s="90"/>
      <x:c r="M366" s="90"/>
      <x:c r="N366" s="90"/>
      <x:c r="O366" s="90"/>
      <x:c r="P366" s="90"/>
      <x:c r="Q366" s="90"/>
      <x:c r="R366" s="90"/>
      <x:c r="S366" s="90"/>
    </x:row>
    <x:row r="367" spans="1:26" ht="12.75" hidden="1" customHeight="1" x14ac:dyDescent="0.3">
      <x:c r="E367" s="89"/>
      <x:c r="F367" s="90"/>
      <x:c r="G367" s="90"/>
      <x:c r="H367" s="90"/>
      <x:c r="I367" s="90"/>
      <x:c r="J367" s="90"/>
      <x:c r="K367" s="90"/>
      <x:c r="L367" s="90"/>
      <x:c r="M367" s="90"/>
      <x:c r="N367" s="90"/>
      <x:c r="O367" s="90"/>
      <x:c r="P367" s="90"/>
      <x:c r="Q367" s="90"/>
      <x:c r="R367" s="90"/>
      <x:c r="S367" s="90"/>
    </x:row>
    <x:row r="368" spans="1:26" ht="12.75" hidden="1" customHeight="1" x14ac:dyDescent="0.3">
      <x:c r="D368" s="89"/>
      <x:c r="E368" s="89"/>
      <x:c r="F368" s="90"/>
      <x:c r="G368" s="90"/>
      <x:c r="H368" s="90"/>
      <x:c r="I368" s="90"/>
      <x:c r="J368" s="90"/>
      <x:c r="K368" s="90"/>
      <x:c r="L368" s="90"/>
      <x:c r="M368" s="90"/>
      <x:c r="N368" s="90"/>
      <x:c r="O368" s="90"/>
      <x:c r="P368" s="90"/>
      <x:c r="Q368" s="90"/>
      <x:c r="R368" s="90"/>
      <x:c r="S368" s="90"/>
    </x:row>
    <x:row r="369" spans="1:23" ht="12.75" hidden="1" customHeight="1" x14ac:dyDescent="0.3">
      <x:c r="E369" s="89"/>
      <x:c r="F369" s="90"/>
      <x:c r="G369" s="90"/>
      <x:c r="H369" s="90"/>
      <x:c r="I369" s="90"/>
      <x:c r="J369" s="90"/>
      <x:c r="K369" s="90"/>
      <x:c r="L369" s="90"/>
      <x:c r="M369" s="90"/>
      <x:c r="N369" s="90"/>
      <x:c r="O369" s="90"/>
      <x:c r="P369" s="90"/>
      <x:c r="Q369" s="90"/>
      <x:c r="R369" s="90"/>
      <x:c r="S369" s="90"/>
    </x:row>
    <x:row r="370" spans="1:23" ht="12.75" hidden="1" customHeight="1" x14ac:dyDescent="0.3">
      <x:c r="D370" s="89"/>
      <x:c r="E370" s="89"/>
      <x:c r="F370" s="90"/>
      <x:c r="G370" s="90"/>
      <x:c r="H370" s="90"/>
      <x:c r="I370" s="90"/>
      <x:c r="J370" s="90"/>
      <x:c r="K370" s="90"/>
      <x:c r="L370" s="90"/>
      <x:c r="M370" s="90"/>
      <x:c r="N370" s="90"/>
      <x:c r="O370" s="90"/>
      <x:c r="P370" s="90"/>
      <x:c r="Q370" s="90"/>
      <x:c r="R370" s="90"/>
      <x:c r="S370" s="90"/>
    </x:row>
    <x:row r="371" spans="1:23" ht="12.75" hidden="1" customHeight="1" x14ac:dyDescent="0.3">
      <x:c r="C371" s="89"/>
      <x:c r="D371" s="89"/>
      <x:c r="F371" s="90"/>
      <x:c r="G371" s="90"/>
      <x:c r="H371" s="90"/>
      <x:c r="I371" s="90"/>
      <x:c r="J371" s="90"/>
      <x:c r="K371" s="90"/>
      <x:c r="L371" s="90"/>
      <x:c r="M371" s="90"/>
      <x:c r="N371" s="90"/>
      <x:c r="O371" s="90"/>
      <x:c r="P371" s="90"/>
      <x:c r="Q371" s="90"/>
      <x:c r="R371" s="90"/>
      <x:c r="S371" s="90"/>
    </x:row>
    <x:row r="372" spans="1:23" ht="12.75" hidden="1" customHeight="1" x14ac:dyDescent="0.3">
      <x:c r="B372" s="89"/>
      <x:c r="C372" s="89"/>
      <x:c r="F372" s="90"/>
      <x:c r="G372" s="90"/>
      <x:c r="H372" s="90"/>
      <x:c r="I372" s="90"/>
      <x:c r="J372" s="90"/>
      <x:c r="K372" s="90"/>
      <x:c r="L372" s="90"/>
      <x:c r="M372" s="90"/>
      <x:c r="N372" s="90"/>
      <x:c r="O372" s="90"/>
      <x:c r="P372" s="90"/>
      <x:c r="Q372" s="90"/>
      <x:c r="R372" s="90"/>
      <x:c r="S372" s="90"/>
    </x:row>
    <x:row r="373" spans="1:23" ht="12.75" hidden="1" customHeight="1" x14ac:dyDescent="0.3">
      <x:c r="A373" s="89"/>
      <x:c r="B373" s="89"/>
      <x:c r="F373" s="90"/>
      <x:c r="G373" s="90"/>
      <x:c r="H373" s="90"/>
      <x:c r="I373" s="90"/>
      <x:c r="J373" s="90"/>
      <x:c r="K373" s="90"/>
      <x:c r="L373" s="90"/>
      <x:c r="M373" s="90"/>
      <x:c r="N373" s="90"/>
      <x:c r="O373" s="90"/>
      <x:c r="P373" s="90"/>
      <x:c r="Q373" s="90"/>
      <x:c r="R373" s="90"/>
      <x:c r="S373" s="90"/>
    </x:row>
    <x:row r="374" spans="1:23" ht="12.75" hidden="1" customHeight="1" x14ac:dyDescent="0.3">
      <x:c r="A374" s="89"/>
      <x:c r="F374" s="90"/>
      <x:c r="G374" s="90"/>
      <x:c r="H374" s="90"/>
      <x:c r="I374" s="90"/>
      <x:c r="J374" s="90"/>
      <x:c r="K374" s="90"/>
      <x:c r="L374" s="90"/>
      <x:c r="M374" s="90"/>
      <x:c r="N374" s="90"/>
      <x:c r="O374" s="90"/>
      <x:c r="P374" s="90"/>
      <x:c r="Q374" s="90"/>
      <x:c r="R374" s="90"/>
      <x:c r="S374" s="90"/>
    </x:row>
    <x:row r="375" spans="1:23" ht="12.75" hidden="1" customHeight="1" x14ac:dyDescent="0.3">
      <x:c r="A375" s="89"/>
      <x:c r="F375" s="90"/>
      <x:c r="G375" s="90"/>
      <x:c r="H375" s="90"/>
      <x:c r="I375" s="90"/>
      <x:c r="J375" s="90"/>
      <x:c r="K375" s="90"/>
      <x:c r="L375" s="90"/>
      <x:c r="M375" s="90"/>
      <x:c r="N375" s="90"/>
      <x:c r="O375" s="90"/>
      <x:c r="P375" s="90"/>
      <x:c r="Q375" s="90"/>
      <x:c r="R375" s="90"/>
      <x:c r="S375" s="90"/>
    </x:row>
    <x:row r="376" spans="1:23" ht="12.75" hidden="1" customHeight="1" x14ac:dyDescent="0.3">
      <x:c r="A376" s="89"/>
      <x:c r="F376" s="90"/>
      <x:c r="G376" s="90"/>
      <x:c r="H376" s="90"/>
      <x:c r="I376" s="90"/>
      <x:c r="J376" s="90"/>
      <x:c r="K376" s="90"/>
      <x:c r="L376" s="90"/>
      <x:c r="M376" s="90"/>
      <x:c r="N376" s="90"/>
      <x:c r="O376" s="90"/>
      <x:c r="P376" s="90"/>
      <x:c r="Q376" s="90"/>
      <x:c r="R376" s="90"/>
      <x:c r="S376" s="90"/>
    </x:row>
    <x:row r="377" spans="1:23" ht="12.75" hidden="1" customHeight="1" x14ac:dyDescent="0.3">
      <x:c r="A377" s="89"/>
      <x:c r="F377" s="90"/>
      <x:c r="G377" s="90"/>
      <x:c r="H377" s="90"/>
      <x:c r="I377" s="90"/>
      <x:c r="J377" s="90"/>
      <x:c r="K377" s="90"/>
      <x:c r="L377" s="90"/>
      <x:c r="M377" s="90"/>
      <x:c r="N377" s="90"/>
      <x:c r="O377" s="90"/>
      <x:c r="P377" s="90"/>
      <x:c r="Q377" s="90"/>
      <x:c r="R377" s="90"/>
      <x:c r="S377" s="90"/>
    </x:row>
    <x:row r="378" spans="1:23" ht="12.75" hidden="1" customHeight="1" x14ac:dyDescent="0.3">
      <x:c r="A378" s="89"/>
      <x:c r="F378" s="90"/>
      <x:c r="G378" s="90"/>
      <x:c r="H378" s="90"/>
      <x:c r="I378" s="90"/>
      <x:c r="J378" s="90"/>
      <x:c r="K378" s="90"/>
      <x:c r="L378" s="90"/>
      <x:c r="M378" s="90"/>
      <x:c r="N378" s="90"/>
      <x:c r="O378" s="90"/>
      <x:c r="P378" s="90"/>
      <x:c r="Q378" s="90"/>
      <x:c r="R378" s="90"/>
      <x:c r="S378" s="90"/>
    </x:row>
    <x:row r="379" spans="1:23" ht="12.75" hidden="1" customHeight="1" x14ac:dyDescent="0.3">
      <x:c r="A379" s="89"/>
      <x:c r="F379" s="90"/>
      <x:c r="G379" s="90"/>
      <x:c r="H379" s="90"/>
      <x:c r="I379" s="90"/>
      <x:c r="J379" s="90"/>
      <x:c r="K379" s="90"/>
      <x:c r="L379" s="90"/>
      <x:c r="M379" s="90"/>
      <x:c r="N379" s="90"/>
      <x:c r="O379" s="90"/>
      <x:c r="P379" s="90"/>
      <x:c r="Q379" s="90"/>
      <x:c r="R379" s="90"/>
      <x:c r="S379" s="90"/>
      <x:c r="T379" s="150"/>
      <x:c r="U379" s="150"/>
      <x:c r="V379" s="150"/>
      <x:c r="W379" s="150"/>
    </x:row>
    <x:row r="380" spans="1:23" ht="12.75" hidden="1" customHeight="1" x14ac:dyDescent="0.3">
      <x:c r="A380" s="89"/>
      <x:c r="F380" s="90"/>
      <x:c r="G380" s="90"/>
      <x:c r="H380" s="90"/>
      <x:c r="I380" s="90"/>
      <x:c r="J380" s="90"/>
      <x:c r="K380" s="90"/>
      <x:c r="L380" s="90"/>
      <x:c r="M380" s="90"/>
      <x:c r="N380" s="90"/>
      <x:c r="O380" s="90"/>
      <x:c r="P380" s="90"/>
      <x:c r="Q380" s="90"/>
      <x:c r="R380" s="90"/>
      <x:c r="S380" s="90"/>
      <x:c r="T380" s="150"/>
      <x:c r="U380" s="150"/>
      <x:c r="V380" s="150"/>
      <x:c r="W380" s="150"/>
    </x:row>
    <x:row r="381" spans="1:23" ht="12.75" hidden="1" customHeight="1" x14ac:dyDescent="0.3">
      <x:c r="A381" s="89"/>
      <x:c r="F381" s="90"/>
      <x:c r="G381" s="90"/>
      <x:c r="H381" s="90"/>
      <x:c r="I381" s="90"/>
      <x:c r="J381" s="90"/>
      <x:c r="K381" s="90"/>
      <x:c r="L381" s="90"/>
      <x:c r="M381" s="90"/>
      <x:c r="N381" s="90"/>
      <x:c r="O381" s="90"/>
      <x:c r="P381" s="90"/>
      <x:c r="Q381" s="90"/>
      <x:c r="R381" s="90"/>
      <x:c r="S381" s="90"/>
      <x:c r="T381" s="150"/>
      <x:c r="U381" s="150"/>
      <x:c r="V381" s="150"/>
      <x:c r="W381" s="150"/>
    </x:row>
    <x:row r="382" spans="1:23" ht="12.75" hidden="1" customHeight="1" x14ac:dyDescent="0.3">
      <x:c r="A382" s="89"/>
      <x:c r="F382" s="90"/>
      <x:c r="G382" s="90"/>
      <x:c r="H382" s="90"/>
      <x:c r="I382" s="90"/>
      <x:c r="J382" s="90"/>
      <x:c r="K382" s="90"/>
      <x:c r="L382" s="90"/>
      <x:c r="M382" s="90"/>
      <x:c r="N382" s="90"/>
      <x:c r="O382" s="90"/>
      <x:c r="P382" s="90"/>
      <x:c r="Q382" s="90"/>
      <x:c r="R382" s="90"/>
      <x:c r="S382" s="90"/>
      <x:c r="T382" s="150"/>
      <x:c r="U382" s="150"/>
      <x:c r="V382" s="150"/>
      <x:c r="W382" s="150"/>
    </x:row>
    <x:row r="383" spans="1:23" ht="12.75" hidden="1" customHeight="1" x14ac:dyDescent="0.3">
      <x:c r="A383" s="89"/>
      <x:c r="F383" s="90"/>
      <x:c r="G383" s="90"/>
      <x:c r="H383" s="90"/>
      <x:c r="I383" s="90"/>
      <x:c r="J383" s="90"/>
      <x:c r="K383" s="90"/>
      <x:c r="L383" s="90"/>
      <x:c r="M383" s="90"/>
      <x:c r="N383" s="90"/>
      <x:c r="O383" s="90"/>
      <x:c r="P383" s="90"/>
      <x:c r="Q383" s="90"/>
      <x:c r="R383" s="90"/>
      <x:c r="S383" s="90"/>
      <x:c r="T383" s="150"/>
      <x:c r="U383" s="150"/>
      <x:c r="V383" s="150"/>
      <x:c r="W383" s="150"/>
    </x:row>
    <x:row r="384" spans="1:23" ht="12.75" hidden="1" customHeight="1" x14ac:dyDescent="0.3">
      <x:c r="A384" s="89"/>
      <x:c r="F384" s="90"/>
      <x:c r="G384" s="90"/>
      <x:c r="H384" s="90"/>
      <x:c r="I384" s="90"/>
      <x:c r="J384" s="90"/>
      <x:c r="K384" s="90"/>
      <x:c r="L384" s="90"/>
      <x:c r="M384" s="90"/>
      <x:c r="N384" s="90"/>
      <x:c r="O384" s="90"/>
      <x:c r="P384" s="90"/>
      <x:c r="Q384" s="90"/>
      <x:c r="R384" s="90"/>
      <x:c r="S384" s="90"/>
      <x:c r="T384" s="150"/>
      <x:c r="U384" s="150"/>
      <x:c r="V384" s="150"/>
      <x:c r="W384" s="150"/>
    </x:row>
    <x:row r="385" spans="1:23" ht="12.75" hidden="1" customHeight="1" x14ac:dyDescent="0.3">
      <x:c r="A385" s="89"/>
      <x:c r="F385" s="90"/>
      <x:c r="G385" s="90"/>
      <x:c r="H385" s="90"/>
      <x:c r="I385" s="90"/>
      <x:c r="J385" s="90"/>
      <x:c r="K385" s="90"/>
      <x:c r="L385" s="90"/>
      <x:c r="M385" s="90"/>
      <x:c r="N385" s="90"/>
      <x:c r="O385" s="90"/>
      <x:c r="P385" s="90"/>
      <x:c r="Q385" s="90"/>
      <x:c r="R385" s="90"/>
      <x:c r="S385" s="90"/>
      <x:c r="T385" s="150"/>
      <x:c r="U385" s="150"/>
      <x:c r="V385" s="150"/>
      <x:c r="W385" s="150"/>
    </x:row>
    <x:row r="386" spans="1:23" ht="12.75" hidden="1" customHeight="1" x14ac:dyDescent="0.3">
      <x:c r="A386" s="89"/>
      <x:c r="F386" s="90"/>
      <x:c r="G386" s="90"/>
      <x:c r="H386" s="90"/>
      <x:c r="I386" s="90"/>
      <x:c r="J386" s="90"/>
      <x:c r="K386" s="90"/>
      <x:c r="L386" s="90"/>
      <x:c r="M386" s="90"/>
      <x:c r="N386" s="90"/>
      <x:c r="O386" s="90"/>
      <x:c r="P386" s="90"/>
      <x:c r="Q386" s="90"/>
      <x:c r="R386" s="90"/>
      <x:c r="S386" s="90"/>
      <x:c r="T386" s="150"/>
      <x:c r="U386" s="150"/>
      <x:c r="V386" s="150"/>
      <x:c r="W386" s="150"/>
    </x:row>
    <x:row r="387" spans="1:23" ht="12.75" hidden="1" customHeight="1" x14ac:dyDescent="0.3">
      <x:c r="A387" s="89"/>
      <x:c r="F387" s="90"/>
      <x:c r="G387" s="90"/>
      <x:c r="H387" s="90"/>
      <x:c r="I387" s="90"/>
      <x:c r="J387" s="90"/>
      <x:c r="K387" s="90"/>
      <x:c r="L387" s="90"/>
      <x:c r="M387" s="90"/>
      <x:c r="N387" s="90"/>
      <x:c r="O387" s="90"/>
      <x:c r="P387" s="90"/>
      <x:c r="Q387" s="90"/>
      <x:c r="R387" s="90"/>
      <x:c r="S387" s="90"/>
      <x:c r="T387" s="150"/>
      <x:c r="U387" s="150"/>
      <x:c r="V387" s="150"/>
      <x:c r="W387" s="150"/>
    </x:row>
    <x:row r="388" spans="1:23" ht="12.75" hidden="1" customHeight="1" x14ac:dyDescent="0.3">
      <x:c r="A388" s="89"/>
      <x:c r="F388" s="90"/>
      <x:c r="G388" s="90"/>
      <x:c r="H388" s="90"/>
      <x:c r="I388" s="90"/>
      <x:c r="J388" s="90"/>
      <x:c r="K388" s="90"/>
      <x:c r="L388" s="90"/>
      <x:c r="M388" s="90"/>
      <x:c r="N388" s="90"/>
      <x:c r="O388" s="90"/>
      <x:c r="P388" s="90"/>
      <x:c r="Q388" s="90"/>
      <x:c r="R388" s="90"/>
      <x:c r="S388" s="90"/>
      <x:c r="T388" s="150"/>
      <x:c r="U388" s="150"/>
      <x:c r="V388" s="150"/>
      <x:c r="W388" s="150"/>
    </x:row>
    <x:row r="389" spans="1:23" ht="12.75" hidden="1" customHeight="1" x14ac:dyDescent="0.3">
      <x:c r="A389" s="89"/>
      <x:c r="F389" s="90"/>
      <x:c r="G389" s="90"/>
      <x:c r="H389" s="90"/>
      <x:c r="I389" s="90"/>
      <x:c r="J389" s="90"/>
      <x:c r="K389" s="90"/>
      <x:c r="L389" s="90"/>
      <x:c r="M389" s="90"/>
      <x:c r="N389" s="90"/>
      <x:c r="O389" s="90"/>
      <x:c r="P389" s="90"/>
      <x:c r="Q389" s="90"/>
      <x:c r="R389" s="90"/>
      <x:c r="S389" s="90"/>
      <x:c r="T389" s="150"/>
      <x:c r="U389" s="150"/>
      <x:c r="V389" s="150"/>
      <x:c r="W389" s="150"/>
    </x:row>
    <x:row r="390" spans="1:23" ht="12.75" hidden="1" customHeight="1" x14ac:dyDescent="0.3">
      <x:c r="A390" s="89"/>
      <x:c r="F390" s="90"/>
      <x:c r="G390" s="90"/>
      <x:c r="H390" s="90"/>
      <x:c r="I390" s="90"/>
      <x:c r="J390" s="90"/>
      <x:c r="K390" s="90"/>
      <x:c r="L390" s="90"/>
      <x:c r="M390" s="90"/>
      <x:c r="N390" s="90"/>
      <x:c r="O390" s="90"/>
      <x:c r="P390" s="90"/>
      <x:c r="Q390" s="90"/>
      <x:c r="R390" s="90"/>
      <x:c r="S390" s="90"/>
      <x:c r="T390" s="150"/>
      <x:c r="U390" s="150"/>
      <x:c r="V390" s="150"/>
      <x:c r="W390" s="150"/>
    </x:row>
    <x:row r="391" spans="1:23" ht="12.75" hidden="1" customHeight="1" x14ac:dyDescent="0.3">
      <x:c r="A391" s="89"/>
      <x:c r="F391" s="90"/>
      <x:c r="G391" s="90"/>
      <x:c r="H391" s="90"/>
      <x:c r="I391" s="90"/>
      <x:c r="J391" s="90"/>
      <x:c r="K391" s="90"/>
      <x:c r="L391" s="90"/>
      <x:c r="M391" s="90"/>
      <x:c r="N391" s="90"/>
      <x:c r="O391" s="90"/>
      <x:c r="P391" s="90"/>
      <x:c r="Q391" s="90"/>
      <x:c r="R391" s="90"/>
      <x:c r="S391" s="90"/>
      <x:c r="T391" s="150"/>
      <x:c r="U391" s="150"/>
      <x:c r="V391" s="150"/>
      <x:c r="W391" s="150"/>
    </x:row>
    <x:row r="392" spans="1:23" ht="12.75" hidden="1" customHeight="1" x14ac:dyDescent="0.3">
      <x:c r="A392" s="89"/>
      <x:c r="F392" s="90"/>
      <x:c r="G392" s="90"/>
      <x:c r="H392" s="90"/>
      <x:c r="I392" s="90"/>
      <x:c r="J392" s="90"/>
      <x:c r="K392" s="90"/>
      <x:c r="L392" s="90"/>
      <x:c r="M392" s="90"/>
      <x:c r="N392" s="90"/>
      <x:c r="O392" s="90"/>
      <x:c r="P392" s="90"/>
      <x:c r="Q392" s="90"/>
      <x:c r="R392" s="90"/>
      <x:c r="S392" s="90"/>
      <x:c r="T392" s="150"/>
      <x:c r="U392" s="150"/>
      <x:c r="V392" s="150"/>
      <x:c r="W392" s="150"/>
    </x:row>
    <x:row r="393" spans="1:23" ht="12.75" hidden="1" customHeight="1" x14ac:dyDescent="0.3">
      <x:c r="A393" s="89"/>
      <x:c r="F393" s="90"/>
      <x:c r="G393" s="90"/>
      <x:c r="H393" s="90"/>
      <x:c r="I393" s="90"/>
      <x:c r="J393" s="90"/>
      <x:c r="K393" s="90"/>
      <x:c r="L393" s="90"/>
      <x:c r="M393" s="90"/>
      <x:c r="N393" s="90"/>
      <x:c r="O393" s="90"/>
      <x:c r="P393" s="90"/>
      <x:c r="Q393" s="90"/>
      <x:c r="R393" s="90"/>
      <x:c r="S393" s="90"/>
      <x:c r="T393" s="150"/>
      <x:c r="U393" s="150"/>
      <x:c r="V393" s="150"/>
      <x:c r="W393" s="150"/>
    </x:row>
    <x:row r="394" spans="1:23" ht="12.75" hidden="1" customHeight="1" x14ac:dyDescent="0.3">
      <x:c r="A394" s="89"/>
      <x:c r="F394" s="90"/>
      <x:c r="G394" s="90"/>
      <x:c r="H394" s="90"/>
      <x:c r="I394" s="90"/>
      <x:c r="J394" s="90"/>
      <x:c r="K394" s="90"/>
      <x:c r="L394" s="90"/>
      <x:c r="M394" s="90"/>
      <x:c r="N394" s="90"/>
      <x:c r="O394" s="90"/>
      <x:c r="P394" s="90"/>
      <x:c r="Q394" s="90"/>
      <x:c r="R394" s="90"/>
      <x:c r="S394" s="90"/>
      <x:c r="T394" s="150"/>
      <x:c r="U394" s="150"/>
      <x:c r="V394" s="150"/>
      <x:c r="W394" s="150"/>
    </x:row>
    <x:row r="395" spans="1:23" ht="12.75" hidden="1" customHeight="1" x14ac:dyDescent="0.3">
      <x:c r="A395" s="89"/>
      <x:c r="F395" s="90"/>
      <x:c r="G395" s="90"/>
      <x:c r="H395" s="90"/>
      <x:c r="I395" s="90"/>
      <x:c r="J395" s="90"/>
      <x:c r="K395" s="90"/>
      <x:c r="L395" s="90"/>
      <x:c r="M395" s="90"/>
      <x:c r="N395" s="90"/>
      <x:c r="O395" s="90"/>
      <x:c r="P395" s="90"/>
      <x:c r="Q395" s="90"/>
      <x:c r="R395" s="90"/>
      <x:c r="S395" s="90"/>
      <x:c r="T395" s="150"/>
      <x:c r="U395" s="150"/>
      <x:c r="V395" s="150"/>
      <x:c r="W395" s="150"/>
    </x:row>
    <x:row r="396" spans="1:23" ht="12.75" hidden="1" customHeight="1" x14ac:dyDescent="0.3">
      <x:c r="A396" s="89"/>
      <x:c r="F396" s="90"/>
      <x:c r="G396" s="90"/>
      <x:c r="H396" s="90"/>
      <x:c r="I396" s="90"/>
      <x:c r="J396" s="90"/>
      <x:c r="K396" s="90"/>
      <x:c r="L396" s="90"/>
      <x:c r="M396" s="90"/>
      <x:c r="N396" s="90"/>
      <x:c r="O396" s="90"/>
      <x:c r="P396" s="90"/>
      <x:c r="Q396" s="90"/>
      <x:c r="R396" s="90"/>
      <x:c r="S396" s="90"/>
      <x:c r="T396" s="150"/>
      <x:c r="U396" s="150"/>
      <x:c r="V396" s="150"/>
      <x:c r="W396" s="150"/>
    </x:row>
    <x:row r="397" spans="1:23" ht="12.75" hidden="1" customHeight="1" x14ac:dyDescent="0.3">
      <x:c r="A397" s="89"/>
      <x:c r="F397" s="90"/>
      <x:c r="G397" s="90"/>
      <x:c r="H397" s="90"/>
      <x:c r="I397" s="90"/>
      <x:c r="J397" s="90"/>
      <x:c r="K397" s="90"/>
      <x:c r="L397" s="90"/>
      <x:c r="M397" s="90"/>
      <x:c r="N397" s="90"/>
      <x:c r="O397" s="90"/>
      <x:c r="P397" s="90"/>
      <x:c r="Q397" s="90"/>
      <x:c r="R397" s="90"/>
      <x:c r="S397" s="90"/>
      <x:c r="T397" s="150"/>
      <x:c r="U397" s="150"/>
      <x:c r="V397" s="150"/>
      <x:c r="W397" s="150"/>
    </x:row>
    <x:row r="398" spans="1:23" ht="12.75" hidden="1" customHeight="1" x14ac:dyDescent="0.3">
      <x:c r="A398" s="89"/>
      <x:c r="F398" s="90"/>
      <x:c r="G398" s="90"/>
      <x:c r="H398" s="90"/>
      <x:c r="I398" s="90"/>
      <x:c r="J398" s="90"/>
      <x:c r="K398" s="90"/>
      <x:c r="L398" s="90"/>
      <x:c r="M398" s="90"/>
      <x:c r="N398" s="90"/>
      <x:c r="O398" s="90"/>
      <x:c r="P398" s="90"/>
      <x:c r="Q398" s="90"/>
      <x:c r="R398" s="90"/>
      <x:c r="S398" s="90"/>
      <x:c r="T398" s="150"/>
      <x:c r="U398" s="150"/>
      <x:c r="V398" s="150"/>
      <x:c r="W398" s="150"/>
    </x:row>
    <x:row r="399" spans="1:23" ht="12.75" hidden="1" customHeight="1" x14ac:dyDescent="0.3">
      <x:c r="A399" s="89"/>
      <x:c r="F399" s="90"/>
      <x:c r="G399" s="90"/>
      <x:c r="H399" s="90"/>
      <x:c r="I399" s="90"/>
      <x:c r="J399" s="90"/>
      <x:c r="K399" s="90"/>
      <x:c r="L399" s="90"/>
      <x:c r="M399" s="90"/>
      <x:c r="N399" s="90"/>
      <x:c r="O399" s="90"/>
      <x:c r="P399" s="90"/>
      <x:c r="Q399" s="90"/>
      <x:c r="R399" s="90"/>
      <x:c r="S399" s="90"/>
      <x:c r="T399" s="150"/>
      <x:c r="U399" s="150"/>
      <x:c r="V399" s="150"/>
      <x:c r="W399" s="150"/>
    </x:row>
    <x:row r="400" spans="1:23" ht="12.75" hidden="1" customHeight="1" x14ac:dyDescent="0.3">
      <x:c r="A400" s="89"/>
      <x:c r="F400" s="90"/>
      <x:c r="G400" s="90"/>
      <x:c r="H400" s="90"/>
      <x:c r="I400" s="90"/>
      <x:c r="J400" s="90"/>
      <x:c r="K400" s="90"/>
      <x:c r="L400" s="90"/>
      <x:c r="M400" s="90"/>
      <x:c r="N400" s="90"/>
      <x:c r="O400" s="90"/>
      <x:c r="P400" s="90"/>
      <x:c r="Q400" s="90"/>
      <x:c r="R400" s="90"/>
      <x:c r="S400" s="90"/>
      <x:c r="T400" s="150"/>
      <x:c r="U400" s="150"/>
      <x:c r="V400" s="150"/>
      <x:c r="W400" s="150"/>
    </x:row>
    <x:row r="401" spans="1:41" ht="12.75" hidden="1" customHeight="1" x14ac:dyDescent="0.3">
      <x:c r="A401" s="89"/>
      <x:c r="F401" s="90"/>
      <x:c r="G401" s="90"/>
      <x:c r="H401" s="90"/>
      <x:c r="I401" s="90"/>
      <x:c r="J401" s="90"/>
      <x:c r="K401" s="90"/>
      <x:c r="L401" s="90"/>
      <x:c r="M401" s="90"/>
      <x:c r="N401" s="90"/>
      <x:c r="O401" s="90"/>
      <x:c r="P401" s="90"/>
      <x:c r="Q401" s="90"/>
      <x:c r="R401" s="90"/>
      <x:c r="S401" s="90"/>
      <x:c r="T401" s="150"/>
      <x:c r="U401" s="150"/>
      <x:c r="V401" s="150"/>
      <x:c r="W401" s="150"/>
    </x:row>
    <x:row r="402" spans="1:41" ht="12.75" hidden="1" customHeight="1" x14ac:dyDescent="0.3">
      <x:c r="A402" s="89"/>
      <x:c r="F402" s="90"/>
      <x:c r="G402" s="90"/>
      <x:c r="H402" s="90"/>
      <x:c r="I402" s="90"/>
      <x:c r="J402" s="90"/>
      <x:c r="K402" s="90"/>
      <x:c r="L402" s="90"/>
      <x:c r="M402" s="90"/>
      <x:c r="N402" s="90"/>
      <x:c r="O402" s="90"/>
      <x:c r="P402" s="90"/>
      <x:c r="Q402" s="90"/>
      <x:c r="R402" s="90"/>
      <x:c r="S402" s="90"/>
      <x:c r="T402" s="150"/>
      <x:c r="U402" s="150"/>
      <x:c r="V402" s="150"/>
      <x:c r="W402" s="150"/>
    </x:row>
    <x:row r="403" spans="1:41" ht="12.75" hidden="1" customHeight="1" x14ac:dyDescent="0.3">
      <x:c r="A403" s="89"/>
      <x:c r="F403" s="90"/>
      <x:c r="G403" s="90"/>
      <x:c r="H403" s="90"/>
      <x:c r="I403" s="90"/>
      <x:c r="J403" s="90"/>
      <x:c r="K403" s="90"/>
      <x:c r="L403" s="90"/>
      <x:c r="M403" s="90"/>
      <x:c r="N403" s="90"/>
      <x:c r="O403" s="90"/>
      <x:c r="P403" s="90"/>
      <x:c r="Q403" s="90"/>
      <x:c r="R403" s="90"/>
      <x:c r="S403" s="90"/>
      <x:c r="T403" s="150"/>
      <x:c r="U403" s="150"/>
      <x:c r="V403" s="150"/>
      <x:c r="W403" s="150"/>
    </x:row>
    <x:row r="404" spans="1:41" ht="12.75" hidden="1" customHeight="1" x14ac:dyDescent="0.3">
      <x:c r="A404" s="89"/>
      <x:c r="F404" s="90"/>
      <x:c r="G404" s="90"/>
      <x:c r="H404" s="90"/>
      <x:c r="I404" s="90"/>
      <x:c r="J404" s="90"/>
      <x:c r="K404" s="90"/>
      <x:c r="L404" s="90"/>
      <x:c r="M404" s="90"/>
      <x:c r="N404" s="90"/>
      <x:c r="O404" s="90"/>
      <x:c r="P404" s="90"/>
      <x:c r="Q404" s="90"/>
      <x:c r="R404" s="90"/>
      <x:c r="S404" s="90"/>
      <x:c r="T404" s="150"/>
      <x:c r="U404" s="150"/>
      <x:c r="V404" s="150"/>
      <x:c r="W404" s="150"/>
    </x:row>
    <x:row r="405" spans="1:41" ht="12.75" hidden="1" customHeight="1" x14ac:dyDescent="0.3">
      <x:c r="A405" s="89"/>
      <x:c r="F405" s="90"/>
      <x:c r="G405" s="90"/>
      <x:c r="H405" s="90"/>
      <x:c r="I405" s="90"/>
      <x:c r="J405" s="90"/>
      <x:c r="K405" s="90"/>
      <x:c r="L405" s="90"/>
      <x:c r="M405" s="90"/>
      <x:c r="N405" s="90"/>
      <x:c r="O405" s="90"/>
      <x:c r="P405" s="90"/>
      <x:c r="Q405" s="90"/>
      <x:c r="R405" s="90"/>
      <x:c r="S405" s="90"/>
      <x:c r="T405" s="150"/>
      <x:c r="U405" s="150"/>
      <x:c r="V405" s="150"/>
      <x:c r="W405" s="150"/>
    </x:row>
    <x:row r="406" spans="1:41" ht="12.75" hidden="1" customHeight="1" x14ac:dyDescent="0.3">
      <x:c r="A406" s="89"/>
      <x:c r="F406" s="90"/>
      <x:c r="G406" s="90"/>
      <x:c r="H406" s="90"/>
      <x:c r="I406" s="90"/>
      <x:c r="J406" s="90"/>
      <x:c r="K406" s="90"/>
      <x:c r="L406" s="90"/>
      <x:c r="M406" s="90"/>
      <x:c r="N406" s="90"/>
      <x:c r="O406" s="90"/>
      <x:c r="P406" s="90"/>
      <x:c r="Q406" s="90"/>
      <x:c r="R406" s="90"/>
      <x:c r="S406" s="90"/>
      <x:c r="T406" s="150"/>
      <x:c r="U406" s="150"/>
      <x:c r="V406" s="150"/>
      <x:c r="W406" s="150"/>
    </x:row>
    <x:row r="407" spans="1:41" ht="12.75" hidden="1" customHeight="1" x14ac:dyDescent="0.3">
      <x:c r="A407" s="89"/>
      <x:c r="F407" s="90"/>
      <x:c r="G407" s="90"/>
      <x:c r="H407" s="90"/>
      <x:c r="I407" s="90"/>
      <x:c r="J407" s="90"/>
      <x:c r="K407" s="90"/>
      <x:c r="L407" s="90"/>
      <x:c r="M407" s="90"/>
      <x:c r="N407" s="90"/>
      <x:c r="O407" s="90"/>
      <x:c r="P407" s="90"/>
      <x:c r="Q407" s="90"/>
      <x:c r="R407" s="90"/>
      <x:c r="S407" s="90"/>
      <x:c r="T407" s="150"/>
      <x:c r="U407" s="150"/>
      <x:c r="V407" s="150"/>
      <x:c r="W407" s="150"/>
    </x:row>
    <x:row r="408" spans="1:41" ht="12.75" hidden="1" customHeight="1" x14ac:dyDescent="0.3">
      <x:c r="A408" s="89"/>
      <x:c r="F408" s="90"/>
      <x:c r="G408" s="90"/>
      <x:c r="H408" s="90"/>
      <x:c r="I408" s="90"/>
      <x:c r="J408" s="90"/>
      <x:c r="K408" s="90"/>
      <x:c r="L408" s="90"/>
      <x:c r="M408" s="90"/>
      <x:c r="N408" s="90"/>
      <x:c r="O408" s="90"/>
      <x:c r="P408" s="90"/>
      <x:c r="Q408" s="90"/>
      <x:c r="R408" s="90"/>
      <x:c r="S408" s="90"/>
      <x:c r="T408" s="150"/>
      <x:c r="U408" s="150"/>
      <x:c r="V408" s="150"/>
      <x:c r="W408" s="150"/>
    </x:row>
    <x:row r="409" spans="1:41" ht="12.75" hidden="1" customHeight="1" x14ac:dyDescent="0.3">
      <x:c r="A409" s="89"/>
      <x:c r="F409" s="90"/>
      <x:c r="G409" s="90"/>
      <x:c r="H409" s="90"/>
      <x:c r="I409" s="90"/>
      <x:c r="J409" s="90"/>
      <x:c r="K409" s="90"/>
      <x:c r="L409" s="90"/>
      <x:c r="M409" s="90"/>
      <x:c r="N409" s="90"/>
      <x:c r="O409" s="90"/>
      <x:c r="P409" s="90"/>
      <x:c r="Q409" s="90"/>
      <x:c r="R409" s="90"/>
      <x:c r="S409" s="90"/>
      <x:c r="T409" s="150"/>
      <x:c r="U409" s="150"/>
      <x:c r="V409" s="150"/>
      <x:c r="W409" s="150"/>
    </x:row>
    <x:row r="410" spans="1:41" ht="12.75" hidden="1" customHeight="1" x14ac:dyDescent="0.3">
      <x:c r="A410" s="89"/>
      <x:c r="F410" s="90"/>
      <x:c r="G410" s="90"/>
      <x:c r="H410" s="90"/>
      <x:c r="I410" s="90"/>
      <x:c r="J410" s="90"/>
      <x:c r="K410" s="90"/>
      <x:c r="L410" s="90"/>
      <x:c r="M410" s="90"/>
      <x:c r="N410" s="90"/>
      <x:c r="O410" s="90"/>
      <x:c r="P410" s="90"/>
      <x:c r="Q410" s="90"/>
      <x:c r="R410" s="90"/>
      <x:c r="S410" s="90"/>
      <x:c r="T410" s="150"/>
      <x:c r="U410" s="150"/>
      <x:c r="V410" s="150"/>
      <x:c r="W410" s="150"/>
    </x:row>
    <x:row r="411" spans="1:41" ht="12.75" hidden="1" customHeight="1" x14ac:dyDescent="0.3">
      <x:c r="A411" s="89"/>
      <x:c r="F411" s="90"/>
      <x:c r="G411" s="90"/>
      <x:c r="H411" s="90"/>
      <x:c r="I411" s="90"/>
      <x:c r="J411" s="90"/>
      <x:c r="K411" s="90"/>
      <x:c r="L411" s="90"/>
      <x:c r="M411" s="90"/>
      <x:c r="N411" s="90"/>
      <x:c r="O411" s="90"/>
      <x:c r="P411" s="90"/>
      <x:c r="Q411" s="90"/>
      <x:c r="R411" s="90"/>
      <x:c r="S411" s="90"/>
      <x:c r="T411" s="150"/>
      <x:c r="U411" s="150"/>
      <x:c r="V411" s="150"/>
      <x:c r="W411" s="150"/>
    </x:row>
    <x:row r="412" spans="1:41" ht="12.75" hidden="1" customHeight="1" x14ac:dyDescent="0.3">
      <x:c r="A412" s="89"/>
      <x:c r="F412" s="90"/>
      <x:c r="G412" s="90"/>
      <x:c r="H412" s="90"/>
      <x:c r="I412" s="90"/>
      <x:c r="J412" s="90"/>
      <x:c r="K412" s="90"/>
      <x:c r="L412" s="90"/>
      <x:c r="M412" s="90"/>
      <x:c r="N412" s="90"/>
      <x:c r="O412" s="90"/>
      <x:c r="P412" s="90"/>
      <x:c r="Q412" s="90"/>
      <x:c r="R412" s="90"/>
      <x:c r="S412" s="90"/>
      <x:c r="T412" s="150"/>
      <x:c r="U412" s="150"/>
      <x:c r="V412" s="150"/>
      <x:c r="W412" s="150"/>
    </x:row>
    <x:row r="413" spans="1:41" ht="12.75" customHeight="1" x14ac:dyDescent="0.3">
      <x:c r="A413" s="89"/>
      <x:c r="F413" s="90"/>
      <x:c r="G413" s="90"/>
      <x:c r="H413" s="90"/>
      <x:c r="I413" s="90"/>
      <x:c r="J413" s="90"/>
      <x:c r="K413" s="90"/>
      <x:c r="L413" s="90"/>
      <x:c r="M413" s="90"/>
      <x:c r="N413" s="90"/>
      <x:c r="O413" s="90"/>
      <x:c r="P413" s="90"/>
      <x:c r="Q413" s="90"/>
      <x:c r="R413" s="90"/>
      <x:c r="S413" s="90"/>
      <x:c r="T413" s="150"/>
      <x:c r="U413" s="150"/>
      <x:c r="V413" s="150"/>
      <x:c r="W413" s="150"/>
    </x:row>
    <x:row r="414" spans="1:41" ht="12.75" customHeight="1" x14ac:dyDescent="0.3">
      <x:c r="A414" s="89"/>
      <x:c r="F414" s="90"/>
      <x:c r="G414" s="90"/>
      <x:c r="H414" s="90"/>
      <x:c r="I414" s="90"/>
      <x:c r="J414" s="90"/>
      <x:c r="K414" s="90"/>
      <x:c r="L414" s="90"/>
      <x:c r="M414" s="90"/>
      <x:c r="N414" s="90"/>
      <x:c r="O414" s="90"/>
      <x:c r="P414" s="90"/>
      <x:c r="Q414" s="90"/>
      <x:c r="R414" s="90"/>
      <x:c r="S414" s="90"/>
      <x:c r="T414" s="150"/>
      <x:c r="U414" s="150"/>
      <x:c r="V414" s="150"/>
      <x:c r="W414" s="150"/>
    </x:row>
    <x:row r="415" spans="1:41" ht="12.75" customHeight="1" x14ac:dyDescent="0.3">
      <x:c r="C415" s="777" t="s">
        <x:v>2</x:v>
      </x:c>
      <x:c r="D415" s="775" t="s">
        <x:v>132</x:v>
      </x:c>
      <x:c r="E415" s="98" t="s">
        <x:v>70</x:v>
      </x:c>
      <x:c r="F415" s="100">
        <x:f>F330+F353+F299-L299-L330</x:f>
        <x:v>0</x:v>
      </x:c>
      <x:c r="G415" s="100">
        <x:f t="shared" ref="G415:AO415" si="16">G330+G299</x:f>
        <x:v>0</x:v>
      </x:c>
      <x:c r="H415" s="100">
        <x:f t="shared" si="16"/>
        <x:v>0</x:v>
      </x:c>
      <x:c r="I415" s="100">
        <x:f t="shared" si="16"/>
        <x:v>0</x:v>
      </x:c>
      <x:c r="J415" s="100">
        <x:f t="shared" si="16"/>
        <x:v>0</x:v>
      </x:c>
      <x:c r="K415" s="100">
        <x:f t="shared" si="16"/>
        <x:v>0</x:v>
      </x:c>
      <x:c r="L415" s="100">
        <x:f t="shared" si="16"/>
        <x:v>0</x:v>
      </x:c>
      <x:c r="M415" s="100">
        <x:f t="shared" si="16"/>
        <x:v>0</x:v>
      </x:c>
      <x:c r="N415" s="100">
        <x:f t="shared" si="16"/>
        <x:v>0</x:v>
      </x:c>
      <x:c r="O415" s="100">
        <x:f t="shared" si="16"/>
        <x:v>0</x:v>
      </x:c>
      <x:c r="P415" s="100">
        <x:f t="shared" si="16"/>
        <x:v>0</x:v>
      </x:c>
      <x:c r="Q415" s="100">
        <x:f t="shared" si="16"/>
        <x:v>0</x:v>
      </x:c>
      <x:c r="R415" s="100">
        <x:f t="shared" si="16"/>
        <x:v>0</x:v>
      </x:c>
      <x:c r="S415" s="100">
        <x:f t="shared" si="16"/>
        <x:v>0</x:v>
      </x:c>
      <x:c r="T415" s="100">
        <x:f t="shared" si="16"/>
        <x:v>0</x:v>
      </x:c>
      <x:c r="U415" s="100">
        <x:f t="shared" si="16"/>
        <x:v>0</x:v>
      </x:c>
      <x:c r="V415" s="100">
        <x:f t="shared" si="16"/>
        <x:v>0</x:v>
      </x:c>
      <x:c r="W415" s="100">
        <x:f t="shared" si="16"/>
        <x:v>0</x:v>
      </x:c>
      <x:c r="X415" s="100">
        <x:f t="shared" si="16"/>
        <x:v>0</x:v>
      </x:c>
      <x:c r="Y415" s="100">
        <x:f t="shared" si="16"/>
        <x:v>0</x:v>
      </x:c>
      <x:c r="Z415" s="100">
        <x:f t="shared" si="16"/>
        <x:v>0</x:v>
      </x:c>
      <x:c r="AA415" s="100">
        <x:f t="shared" si="16"/>
        <x:v>0</x:v>
      </x:c>
      <x:c r="AB415" s="100">
        <x:f t="shared" si="16"/>
        <x:v>0</x:v>
      </x:c>
      <x:c r="AC415" s="100">
        <x:f t="shared" si="16"/>
        <x:v>0</x:v>
      </x:c>
      <x:c r="AD415" s="100">
        <x:f t="shared" si="16"/>
        <x:v>0</x:v>
      </x:c>
      <x:c r="AE415" s="100">
        <x:f t="shared" si="16"/>
        <x:v>0</x:v>
      </x:c>
      <x:c r="AF415" s="100">
        <x:f t="shared" si="16"/>
        <x:v>0</x:v>
      </x:c>
      <x:c r="AG415" s="100">
        <x:f t="shared" si="16"/>
        <x:v>0</x:v>
      </x:c>
      <x:c r="AH415" s="100">
        <x:f t="shared" si="16"/>
        <x:v>0</x:v>
      </x:c>
      <x:c r="AI415" s="100">
        <x:f t="shared" si="16"/>
        <x:v>0</x:v>
      </x:c>
      <x:c r="AJ415" s="100">
        <x:f t="shared" si="16"/>
        <x:v>0</x:v>
      </x:c>
      <x:c r="AK415" s="100">
        <x:f t="shared" si="16"/>
        <x:v>0</x:v>
      </x:c>
      <x:c r="AL415" s="100">
        <x:f t="shared" si="16"/>
        <x:v>0</x:v>
      </x:c>
      <x:c r="AM415" s="100">
        <x:f t="shared" si="16"/>
        <x:v>0</x:v>
      </x:c>
      <x:c r="AN415" s="100">
        <x:f t="shared" si="16"/>
        <x:v>0</x:v>
      </x:c>
      <x:c r="AO415" s="100">
        <x:f t="shared" si="16"/>
        <x:v>0</x:v>
      </x:c>
    </x:row>
    <x:row r="416" spans="1:41" ht="12.75" customHeight="1" x14ac:dyDescent="0.3">
      <x:c r="C416" s="777"/>
      <x:c r="D416" s="775"/>
      <x:c r="E416" s="98" t="s">
        <x:v>73</x:v>
      </x:c>
      <x:c r="F416" s="100">
        <x:f>F353</x:f>
        <x:v>0</x:v>
      </x:c>
      <x:c r="G416" s="90"/>
      <x:c r="H416" s="90"/>
      <x:c r="I416" s="90"/>
      <x:c r="J416" s="90"/>
      <x:c r="K416" s="90"/>
      <x:c r="L416" s="90"/>
      <x:c r="M416" s="90"/>
      <x:c r="N416" s="90"/>
      <x:c r="O416" s="90"/>
      <x:c r="P416" s="90"/>
      <x:c r="Q416" s="90"/>
      <x:c r="R416" s="90"/>
      <x:c r="S416" s="90"/>
    </x:row>
    <x:row r="417" spans="1:41" ht="12.75" customHeight="1" x14ac:dyDescent="0.3">
      <x:c r="A417" s="90"/>
      <x:c r="C417" s="777"/>
      <x:c r="D417" s="775" t="s">
        <x:v>133</x:v>
      </x:c>
      <x:c r="E417" s="233" t="s">
        <x:v>70</x:v>
      </x:c>
      <x:c r="F417" s="234">
        <x:f>F342+F315-L315</x:f>
        <x:v>0</x:v>
      </x:c>
      <x:c r="G417" s="234">
        <x:f>G315</x:f>
        <x:v>0</x:v>
      </x:c>
      <x:c r="H417" s="234">
        <x:f t="shared" ref="H417:AO417" si="17">H315</x:f>
        <x:v>0</x:v>
      </x:c>
      <x:c r="I417" s="234">
        <x:f t="shared" si="17"/>
        <x:v>0</x:v>
      </x:c>
      <x:c r="J417" s="234">
        <x:f t="shared" si="17"/>
        <x:v>0</x:v>
      </x:c>
      <x:c r="K417" s="234">
        <x:f t="shared" si="17"/>
        <x:v>0</x:v>
      </x:c>
      <x:c r="L417" s="234">
        <x:f t="shared" si="17"/>
        <x:v>0</x:v>
      </x:c>
      <x:c r="M417" s="234">
        <x:f t="shared" si="17"/>
        <x:v>0</x:v>
      </x:c>
      <x:c r="N417" s="234">
        <x:f t="shared" si="17"/>
        <x:v>0</x:v>
      </x:c>
      <x:c r="O417" s="234">
        <x:f t="shared" si="17"/>
        <x:v>0</x:v>
      </x:c>
      <x:c r="P417" s="234">
        <x:f t="shared" si="17"/>
        <x:v>0</x:v>
      </x:c>
      <x:c r="Q417" s="234">
        <x:f t="shared" si="17"/>
        <x:v>0</x:v>
      </x:c>
      <x:c r="R417" s="234">
        <x:f t="shared" si="17"/>
        <x:v>0</x:v>
      </x:c>
      <x:c r="S417" s="234">
        <x:f t="shared" si="17"/>
        <x:v>0</x:v>
      </x:c>
      <x:c r="T417" s="234">
        <x:f t="shared" si="17"/>
        <x:v>0</x:v>
      </x:c>
      <x:c r="U417" s="234">
        <x:f t="shared" si="17"/>
        <x:v>0</x:v>
      </x:c>
      <x:c r="V417" s="234">
        <x:f t="shared" si="17"/>
        <x:v>0</x:v>
      </x:c>
      <x:c r="W417" s="234">
        <x:f t="shared" si="17"/>
        <x:v>0</x:v>
      </x:c>
      <x:c r="X417" s="234">
        <x:f t="shared" si="17"/>
        <x:v>0</x:v>
      </x:c>
      <x:c r="Y417" s="234">
        <x:f t="shared" si="17"/>
        <x:v>0</x:v>
      </x:c>
      <x:c r="Z417" s="234">
        <x:f t="shared" si="17"/>
        <x:v>0</x:v>
      </x:c>
      <x:c r="AA417" s="234">
        <x:f t="shared" si="17"/>
        <x:v>0</x:v>
      </x:c>
      <x:c r="AB417" s="234">
        <x:f t="shared" si="17"/>
        <x:v>0</x:v>
      </x:c>
      <x:c r="AC417" s="234">
        <x:f t="shared" si="17"/>
        <x:v>0</x:v>
      </x:c>
      <x:c r="AD417" s="234">
        <x:f t="shared" si="17"/>
        <x:v>0</x:v>
      </x:c>
      <x:c r="AE417" s="234">
        <x:f t="shared" si="17"/>
        <x:v>0</x:v>
      </x:c>
      <x:c r="AF417" s="234">
        <x:f t="shared" si="17"/>
        <x:v>0</x:v>
      </x:c>
      <x:c r="AG417" s="234">
        <x:f t="shared" si="17"/>
        <x:v>0</x:v>
      </x:c>
      <x:c r="AH417" s="234">
        <x:f t="shared" si="17"/>
        <x:v>0</x:v>
      </x:c>
      <x:c r="AI417" s="234">
        <x:f t="shared" si="17"/>
        <x:v>0</x:v>
      </x:c>
      <x:c r="AJ417" s="234">
        <x:f t="shared" si="17"/>
        <x:v>0</x:v>
      </x:c>
      <x:c r="AK417" s="234">
        <x:f t="shared" si="17"/>
        <x:v>0</x:v>
      </x:c>
      <x:c r="AL417" s="234">
        <x:f t="shared" si="17"/>
        <x:v>0</x:v>
      </x:c>
      <x:c r="AM417" s="234">
        <x:f t="shared" si="17"/>
        <x:v>0</x:v>
      </x:c>
      <x:c r="AN417" s="234">
        <x:f t="shared" si="17"/>
        <x:v>0</x:v>
      </x:c>
      <x:c r="AO417" s="234">
        <x:f t="shared" si="17"/>
        <x:v>0</x:v>
      </x:c>
    </x:row>
    <x:row r="418" spans="1:41" ht="12.75" customHeight="1" x14ac:dyDescent="0.3">
      <x:c r="C418" s="777"/>
      <x:c r="D418" s="775"/>
      <x:c r="E418" s="233" t="s">
        <x:v>73</x:v>
      </x:c>
      <x:c r="F418" s="234">
        <x:f>F342</x:f>
        <x:v>0</x:v>
      </x:c>
      <x:c r="G418" s="371"/>
      <x:c r="H418" s="90"/>
      <x:c r="I418" s="90"/>
      <x:c r="J418" s="90"/>
      <x:c r="K418" s="90"/>
      <x:c r="L418" s="90"/>
      <x:c r="M418" s="90"/>
      <x:c r="N418" s="90"/>
      <x:c r="O418" s="90"/>
      <x:c r="P418" s="90"/>
      <x:c r="Q418" s="90"/>
      <x:c r="R418" s="90"/>
    </x:row>
    <x:row r="419" spans="1:41" ht="12.75" customHeight="1" x14ac:dyDescent="0.3">
      <x:c r="A419" s="89"/>
      <x:c r="C419" s="97"/>
      <x:c r="F419" s="90"/>
      <x:c r="G419" s="90"/>
      <x:c r="H419" s="90"/>
      <x:c r="I419" s="90"/>
      <x:c r="J419" s="90"/>
      <x:c r="K419" s="90"/>
      <x:c r="L419" s="90"/>
      <x:c r="M419" s="90"/>
      <x:c r="N419" s="90"/>
      <x:c r="O419" s="90"/>
      <x:c r="P419" s="90"/>
      <x:c r="Q419" s="90"/>
      <x:c r="R419" s="90"/>
      <x:c r="S419" s="90"/>
    </x:row>
    <x:row r="420" spans="1:41" ht="12.75" customHeight="1" x14ac:dyDescent="0.3">
      <x:c r="C420" s="777" t="s">
        <x:v>160</x:v>
      </x:c>
      <x:c r="D420" s="775" t="s">
        <x:v>132</x:v>
      </x:c>
      <x:c r="E420" s="223" t="s">
        <x:v>70</x:v>
      </x:c>
      <x:c r="F420" s="225">
        <x:v>0</x:v>
      </x:c>
      <x:c r="G420" s="225">
        <x:v>0</x:v>
      </x:c>
      <x:c r="H420" s="225">
        <x:v>0</x:v>
      </x:c>
      <x:c r="I420" s="225">
        <x:v>0</x:v>
      </x:c>
      <x:c r="J420" s="225">
        <x:v>0</x:v>
      </x:c>
      <x:c r="K420" s="225">
        <x:v>0</x:v>
      </x:c>
      <x:c r="L420" s="225">
        <x:v>0</x:v>
      </x:c>
      <x:c r="M420" s="225">
        <x:v>0</x:v>
      </x:c>
      <x:c r="N420" s="225">
        <x:v>0</x:v>
      </x:c>
      <x:c r="O420" s="225">
        <x:v>0</x:v>
      </x:c>
      <x:c r="P420" s="225">
        <x:v>0</x:v>
      </x:c>
      <x:c r="Q420" s="225">
        <x:v>0</x:v>
      </x:c>
      <x:c r="R420" s="225">
        <x:v>0</x:v>
      </x:c>
      <x:c r="S420" s="225">
        <x:v>0</x:v>
      </x:c>
      <x:c r="T420" s="225">
        <x:v>0</x:v>
      </x:c>
      <x:c r="U420" s="225"/>
      <x:c r="V420" s="225"/>
      <x:c r="W420" s="225"/>
      <x:c r="X420" s="225">
        <x:v>0</x:v>
      </x:c>
      <x:c r="Y420" s="225">
        <x:v>0</x:v>
      </x:c>
      <x:c r="Z420" s="225">
        <x:v>0</x:v>
      </x:c>
      <x:c r="AA420" s="225">
        <x:v>0</x:v>
      </x:c>
      <x:c r="AB420" s="225">
        <x:v>0</x:v>
      </x:c>
      <x:c r="AC420" s="225">
        <x:v>0</x:v>
      </x:c>
      <x:c r="AD420" s="225">
        <x:v>0</x:v>
      </x:c>
      <x:c r="AE420" s="225">
        <x:v>0</x:v>
      </x:c>
      <x:c r="AF420" s="225">
        <x:v>0</x:v>
      </x:c>
      <x:c r="AG420" s="225">
        <x:v>0</x:v>
      </x:c>
      <x:c r="AH420" s="225">
        <x:v>0</x:v>
      </x:c>
      <x:c r="AI420" s="225">
        <x:v>0</x:v>
      </x:c>
      <x:c r="AJ420" s="225">
        <x:v>0</x:v>
      </x:c>
      <x:c r="AK420" s="225">
        <x:v>0</x:v>
      </x:c>
      <x:c r="AL420" s="225">
        <x:v>0</x:v>
      </x:c>
      <x:c r="AM420" s="225">
        <x:v>0</x:v>
      </x:c>
      <x:c r="AN420" s="225">
        <x:v>0</x:v>
      </x:c>
      <x:c r="AO420" s="225">
        <x:v>0</x:v>
      </x:c>
    </x:row>
    <x:row r="421" spans="1:41" ht="12.75" customHeight="1" x14ac:dyDescent="0.3">
      <x:c r="C421" s="777"/>
      <x:c r="D421" s="775"/>
      <x:c r="E421" s="223" t="s">
        <x:v>73</x:v>
      </x:c>
      <x:c r="F421" s="225">
        <x:v>0</x:v>
      </x:c>
      <x:c r="G421" s="90"/>
      <x:c r="H421" s="90"/>
      <x:c r="I421" s="90"/>
      <x:c r="J421" s="90"/>
      <x:c r="K421" s="90"/>
      <x:c r="L421" s="90"/>
      <x:c r="M421" s="90"/>
      <x:c r="N421" s="90"/>
      <x:c r="O421" s="90"/>
      <x:c r="P421" s="90"/>
      <x:c r="Q421" s="90"/>
      <x:c r="R421" s="90"/>
      <x:c r="S421" s="90"/>
    </x:row>
    <x:row r="422" spans="1:41" ht="12.75" customHeight="1" x14ac:dyDescent="0.3">
      <x:c r="C422" s="777"/>
      <x:c r="D422" s="775" t="s">
        <x:v>133</x:v>
      </x:c>
      <x:c r="E422" s="227" t="s">
        <x:v>70</x:v>
      </x:c>
      <x:c r="F422" s="228">
        <x:v>0</x:v>
      </x:c>
      <x:c r="G422" s="228">
        <x:v>0</x:v>
      </x:c>
      <x:c r="H422" s="228">
        <x:v>0</x:v>
      </x:c>
      <x:c r="I422" s="228">
        <x:v>0</x:v>
      </x:c>
      <x:c r="J422" s="228">
        <x:v>0</x:v>
      </x:c>
      <x:c r="K422" s="228">
        <x:v>0</x:v>
      </x:c>
      <x:c r="L422" s="228">
        <x:v>0</x:v>
      </x:c>
      <x:c r="M422" s="228">
        <x:v>0</x:v>
      </x:c>
      <x:c r="N422" s="228">
        <x:v>0</x:v>
      </x:c>
      <x:c r="O422" s="228">
        <x:v>0</x:v>
      </x:c>
      <x:c r="P422" s="228">
        <x:v>0</x:v>
      </x:c>
      <x:c r="Q422" s="228">
        <x:v>0</x:v>
      </x:c>
      <x:c r="R422" s="228">
        <x:v>0</x:v>
      </x:c>
      <x:c r="S422" s="228">
        <x:v>0</x:v>
      </x:c>
      <x:c r="T422" s="228">
        <x:v>0</x:v>
      </x:c>
      <x:c r="U422" s="228"/>
      <x:c r="V422" s="228"/>
      <x:c r="W422" s="228"/>
      <x:c r="X422" s="228">
        <x:v>0</x:v>
      </x:c>
      <x:c r="Y422" s="228">
        <x:v>0</x:v>
      </x:c>
      <x:c r="Z422" s="228">
        <x:v>0</x:v>
      </x:c>
      <x:c r="AA422" s="228">
        <x:v>0</x:v>
      </x:c>
      <x:c r="AB422" s="228">
        <x:v>0</x:v>
      </x:c>
      <x:c r="AC422" s="228">
        <x:v>0</x:v>
      </x:c>
      <x:c r="AD422" s="228">
        <x:v>0</x:v>
      </x:c>
      <x:c r="AE422" s="228">
        <x:v>0</x:v>
      </x:c>
      <x:c r="AF422" s="228">
        <x:v>0</x:v>
      </x:c>
      <x:c r="AG422" s="228">
        <x:v>0</x:v>
      </x:c>
      <x:c r="AH422" s="228">
        <x:v>0</x:v>
      </x:c>
      <x:c r="AI422" s="228">
        <x:v>0</x:v>
      </x:c>
      <x:c r="AJ422" s="228">
        <x:v>0</x:v>
      </x:c>
      <x:c r="AK422" s="228">
        <x:v>0</x:v>
      </x:c>
      <x:c r="AL422" s="228">
        <x:v>0</x:v>
      </x:c>
      <x:c r="AM422" s="228">
        <x:v>0</x:v>
      </x:c>
      <x:c r="AN422" s="228">
        <x:v>0</x:v>
      </x:c>
      <x:c r="AO422" s="228">
        <x:v>0</x:v>
      </x:c>
    </x:row>
    <x:row r="423" spans="1:41" ht="12.75" customHeight="1" x14ac:dyDescent="0.3">
      <x:c r="C423" s="777"/>
      <x:c r="D423" s="775"/>
      <x:c r="E423" s="227" t="s">
        <x:v>73</x:v>
      </x:c>
      <x:c r="F423" s="228">
        <x:v>0</x:v>
      </x:c>
      <x:c r="G423" s="90"/>
      <x:c r="H423" s="90"/>
      <x:c r="I423" s="90"/>
      <x:c r="J423" s="90"/>
      <x:c r="K423" s="90"/>
      <x:c r="L423" s="90"/>
      <x:c r="M423" s="90"/>
      <x:c r="N423" s="90"/>
      <x:c r="O423" s="90"/>
      <x:c r="P423" s="90"/>
      <x:c r="Q423" s="90"/>
      <x:c r="R423" s="90"/>
    </x:row>
    <x:row r="424" spans="1:41" ht="12.75" customHeight="1" x14ac:dyDescent="0.3">
      <x:c r="A424" s="89"/>
      <x:c r="C424" s="97"/>
      <x:c r="F424" s="90"/>
      <x:c r="G424" s="90"/>
      <x:c r="H424" s="90"/>
      <x:c r="I424" s="90"/>
      <x:c r="J424" s="90"/>
      <x:c r="K424" s="90"/>
      <x:c r="L424" s="90"/>
      <x:c r="M424" s="90"/>
      <x:c r="N424" s="90"/>
      <x:c r="O424" s="90"/>
      <x:c r="P424" s="90"/>
      <x:c r="Q424" s="90"/>
      <x:c r="R424" s="90"/>
      <x:c r="S424" s="90"/>
    </x:row>
    <x:row r="425" spans="1:41" ht="12.75" customHeight="1" x14ac:dyDescent="0.3">
      <x:c r="C425" s="777" t="s">
        <x:v>155</x:v>
      </x:c>
      <x:c r="D425" s="775" t="s">
        <x:v>132</x:v>
      </x:c>
      <x:c r="E425" s="221" t="s">
        <x:v>70</x:v>
      </x:c>
      <x:c r="F425" s="222">
        <x:f>F345+F319+F291-L291-L319</x:f>
        <x:v>0</x:v>
      </x:c>
      <x:c r="G425" s="222">
        <x:f t="shared" ref="G425:AO425" si="18">G319+G291</x:f>
        <x:v>0</x:v>
      </x:c>
      <x:c r="H425" s="222">
        <x:f t="shared" si="18"/>
        <x:v>0</x:v>
      </x:c>
      <x:c r="I425" s="222">
        <x:f t="shared" si="18"/>
        <x:v>0</x:v>
      </x:c>
      <x:c r="J425" s="222">
        <x:f t="shared" si="18"/>
        <x:v>0</x:v>
      </x:c>
      <x:c r="K425" s="222">
        <x:f t="shared" si="18"/>
        <x:v>0</x:v>
      </x:c>
      <x:c r="L425" s="222">
        <x:f t="shared" si="18"/>
        <x:v>0</x:v>
      </x:c>
      <x:c r="M425" s="222">
        <x:f t="shared" si="18"/>
        <x:v>0</x:v>
      </x:c>
      <x:c r="N425" s="222">
        <x:f t="shared" si="18"/>
        <x:v>0</x:v>
      </x:c>
      <x:c r="O425" s="222">
        <x:f t="shared" si="18"/>
        <x:v>0</x:v>
      </x:c>
      <x:c r="P425" s="222">
        <x:f t="shared" si="18"/>
        <x:v>0</x:v>
      </x:c>
      <x:c r="Q425" s="222">
        <x:f t="shared" si="18"/>
        <x:v>0</x:v>
      </x:c>
      <x:c r="R425" s="222">
        <x:f t="shared" si="18"/>
        <x:v>0</x:v>
      </x:c>
      <x:c r="S425" s="222">
        <x:f t="shared" si="18"/>
        <x:v>0</x:v>
      </x:c>
      <x:c r="T425" s="222">
        <x:f t="shared" si="18"/>
        <x:v>0</x:v>
      </x:c>
      <x:c r="U425" s="222">
        <x:f t="shared" si="18"/>
        <x:v>0</x:v>
      </x:c>
      <x:c r="V425" s="222">
        <x:f t="shared" si="18"/>
        <x:v>0</x:v>
      </x:c>
      <x:c r="W425" s="222">
        <x:f t="shared" si="18"/>
        <x:v>0</x:v>
      </x:c>
      <x:c r="X425" s="222">
        <x:f t="shared" si="18"/>
        <x:v>0</x:v>
      </x:c>
      <x:c r="Y425" s="222">
        <x:f t="shared" si="18"/>
        <x:v>0</x:v>
      </x:c>
      <x:c r="Z425" s="222">
        <x:f t="shared" si="18"/>
        <x:v>0</x:v>
      </x:c>
      <x:c r="AA425" s="222">
        <x:f t="shared" si="18"/>
        <x:v>0</x:v>
      </x:c>
      <x:c r="AB425" s="222">
        <x:f t="shared" si="18"/>
        <x:v>0</x:v>
      </x:c>
      <x:c r="AC425" s="222">
        <x:f t="shared" si="18"/>
        <x:v>0</x:v>
      </x:c>
      <x:c r="AD425" s="222">
        <x:f t="shared" si="18"/>
        <x:v>0</x:v>
      </x:c>
      <x:c r="AE425" s="222">
        <x:f t="shared" si="18"/>
        <x:v>0</x:v>
      </x:c>
      <x:c r="AF425" s="222">
        <x:f t="shared" si="18"/>
        <x:v>0</x:v>
      </x:c>
      <x:c r="AG425" s="222">
        <x:f t="shared" si="18"/>
        <x:v>0</x:v>
      </x:c>
      <x:c r="AH425" s="222">
        <x:f t="shared" si="18"/>
        <x:v>0</x:v>
      </x:c>
      <x:c r="AI425" s="222">
        <x:f t="shared" si="18"/>
        <x:v>0</x:v>
      </x:c>
      <x:c r="AJ425" s="222">
        <x:f t="shared" si="18"/>
        <x:v>0</x:v>
      </x:c>
      <x:c r="AK425" s="222">
        <x:f t="shared" si="18"/>
        <x:v>0</x:v>
      </x:c>
      <x:c r="AL425" s="222">
        <x:f t="shared" si="18"/>
        <x:v>0</x:v>
      </x:c>
      <x:c r="AM425" s="222">
        <x:f t="shared" si="18"/>
        <x:v>0</x:v>
      </x:c>
      <x:c r="AN425" s="222">
        <x:f t="shared" si="18"/>
        <x:v>0</x:v>
      </x:c>
      <x:c r="AO425" s="222">
        <x:f t="shared" si="18"/>
        <x:v>0</x:v>
      </x:c>
    </x:row>
    <x:row r="426" spans="1:41" ht="12.75" customHeight="1" x14ac:dyDescent="0.3">
      <x:c r="C426" s="777"/>
      <x:c r="D426" s="775"/>
      <x:c r="E426" s="221" t="s">
        <x:v>73</x:v>
      </x:c>
      <x:c r="F426" s="222">
        <x:f>F345</x:f>
        <x:v>0</x:v>
      </x:c>
      <x:c r="G426" s="90"/>
      <x:c r="H426" s="90"/>
      <x:c r="I426" s="90"/>
      <x:c r="J426" s="90"/>
      <x:c r="K426" s="90"/>
      <x:c r="L426" s="90"/>
      <x:c r="M426" s="90"/>
      <x:c r="N426" s="90"/>
      <x:c r="O426" s="90"/>
      <x:c r="P426" s="90"/>
      <x:c r="Q426" s="90"/>
      <x:c r="R426" s="90"/>
      <x:c r="S426" s="90"/>
    </x:row>
    <x:row r="427" spans="1:41" ht="12.75" customHeight="1" x14ac:dyDescent="0.3">
      <x:c r="C427" s="777"/>
      <x:c r="D427" s="775" t="s">
        <x:v>133</x:v>
      </x:c>
      <x:c r="E427" s="229" t="s">
        <x:v>70</x:v>
      </x:c>
      <x:c r="F427" s="230">
        <x:f>F334+F304-L304</x:f>
        <x:v>0</x:v>
      </x:c>
      <x:c r="G427" s="230">
        <x:f>G304</x:f>
        <x:v>0</x:v>
      </x:c>
      <x:c r="H427" s="230">
        <x:f t="shared" ref="H427:AO427" si="19">H304</x:f>
        <x:v>0</x:v>
      </x:c>
      <x:c r="I427" s="230">
        <x:f t="shared" si="19"/>
        <x:v>0</x:v>
      </x:c>
      <x:c r="J427" s="230">
        <x:f t="shared" si="19"/>
        <x:v>0</x:v>
      </x:c>
      <x:c r="K427" s="230">
        <x:f t="shared" si="19"/>
        <x:v>0</x:v>
      </x:c>
      <x:c r="L427" s="230">
        <x:f t="shared" si="19"/>
        <x:v>0</x:v>
      </x:c>
      <x:c r="M427" s="230">
        <x:f t="shared" si="19"/>
        <x:v>0</x:v>
      </x:c>
      <x:c r="N427" s="230">
        <x:f t="shared" si="19"/>
        <x:v>0</x:v>
      </x:c>
      <x:c r="O427" s="230">
        <x:f t="shared" si="19"/>
        <x:v>0</x:v>
      </x:c>
      <x:c r="P427" s="230">
        <x:f t="shared" si="19"/>
        <x:v>0</x:v>
      </x:c>
      <x:c r="Q427" s="230">
        <x:f t="shared" si="19"/>
        <x:v>0</x:v>
      </x:c>
      <x:c r="R427" s="230">
        <x:f t="shared" si="19"/>
        <x:v>0</x:v>
      </x:c>
      <x:c r="S427" s="230">
        <x:f t="shared" si="19"/>
        <x:v>0</x:v>
      </x:c>
      <x:c r="T427" s="230">
        <x:f t="shared" si="19"/>
        <x:v>0</x:v>
      </x:c>
      <x:c r="U427" s="230">
        <x:f t="shared" si="19"/>
        <x:v>0</x:v>
      </x:c>
      <x:c r="V427" s="230">
        <x:f t="shared" si="19"/>
        <x:v>0</x:v>
      </x:c>
      <x:c r="W427" s="230">
        <x:f t="shared" si="19"/>
        <x:v>0</x:v>
      </x:c>
      <x:c r="X427" s="230">
        <x:f t="shared" si="19"/>
        <x:v>0</x:v>
      </x:c>
      <x:c r="Y427" s="230">
        <x:f t="shared" si="19"/>
        <x:v>0</x:v>
      </x:c>
      <x:c r="Z427" s="230">
        <x:f t="shared" si="19"/>
        <x:v>0</x:v>
      </x:c>
      <x:c r="AA427" s="230">
        <x:f t="shared" si="19"/>
        <x:v>0</x:v>
      </x:c>
      <x:c r="AB427" s="230">
        <x:f t="shared" si="19"/>
        <x:v>0</x:v>
      </x:c>
      <x:c r="AC427" s="230">
        <x:f t="shared" si="19"/>
        <x:v>0</x:v>
      </x:c>
      <x:c r="AD427" s="230">
        <x:f t="shared" si="19"/>
        <x:v>0</x:v>
      </x:c>
      <x:c r="AE427" s="230">
        <x:f t="shared" si="19"/>
        <x:v>0</x:v>
      </x:c>
      <x:c r="AF427" s="230">
        <x:f t="shared" si="19"/>
        <x:v>0</x:v>
      </x:c>
      <x:c r="AG427" s="230">
        <x:f t="shared" si="19"/>
        <x:v>0</x:v>
      </x:c>
      <x:c r="AH427" s="230">
        <x:f t="shared" si="19"/>
        <x:v>0</x:v>
      </x:c>
      <x:c r="AI427" s="230">
        <x:f t="shared" si="19"/>
        <x:v>0</x:v>
      </x:c>
      <x:c r="AJ427" s="230">
        <x:f t="shared" si="19"/>
        <x:v>0</x:v>
      </x:c>
      <x:c r="AK427" s="230">
        <x:f t="shared" si="19"/>
        <x:v>0</x:v>
      </x:c>
      <x:c r="AL427" s="230">
        <x:f t="shared" si="19"/>
        <x:v>0</x:v>
      </x:c>
      <x:c r="AM427" s="230">
        <x:f t="shared" si="19"/>
        <x:v>0</x:v>
      </x:c>
      <x:c r="AN427" s="230">
        <x:f t="shared" si="19"/>
        <x:v>0</x:v>
      </x:c>
      <x:c r="AO427" s="230">
        <x:f t="shared" si="19"/>
        <x:v>0</x:v>
      </x:c>
    </x:row>
    <x:row r="428" spans="1:41" ht="12.75" customHeight="1" x14ac:dyDescent="0.3">
      <x:c r="C428" s="777"/>
      <x:c r="D428" s="775"/>
      <x:c r="E428" s="229" t="s">
        <x:v>73</x:v>
      </x:c>
      <x:c r="F428" s="230">
        <x:f>F334</x:f>
        <x:v>0</x:v>
      </x:c>
      <x:c r="G428" s="90"/>
      <x:c r="H428" s="90"/>
      <x:c r="I428" s="90"/>
      <x:c r="J428" s="90"/>
      <x:c r="K428" s="90"/>
      <x:c r="L428" s="90"/>
      <x:c r="M428" s="90"/>
      <x:c r="N428" s="90"/>
      <x:c r="O428" s="90"/>
      <x:c r="P428" s="90"/>
      <x:c r="Q428" s="90"/>
      <x:c r="R428" s="90"/>
    </x:row>
    <x:row r="429" spans="1:41" ht="12.75" customHeight="1" x14ac:dyDescent="0.3">
      <x:c r="A429" s="89"/>
      <x:c r="C429" s="97"/>
      <x:c r="F429" s="90"/>
      <x:c r="G429" s="90"/>
      <x:c r="H429" s="90"/>
      <x:c r="I429" s="90"/>
      <x:c r="J429" s="90"/>
      <x:c r="K429" s="90"/>
      <x:c r="L429" s="90"/>
      <x:c r="M429" s="90"/>
      <x:c r="N429" s="90"/>
      <x:c r="O429" s="90"/>
      <x:c r="P429" s="90"/>
      <x:c r="Q429" s="90"/>
      <x:c r="R429" s="90"/>
      <x:c r="S429" s="90"/>
    </x:row>
    <x:row r="430" spans="1:41" ht="12.75" customHeight="1" x14ac:dyDescent="0.3">
      <x:c r="C430" s="778" t="s">
        <x:v>326</x:v>
      </x:c>
      <x:c r="D430" s="775" t="s">
        <x:v>132</x:v>
      </x:c>
      <x:c r="E430" s="373" t="s">
        <x:v>70</x:v>
      </x:c>
      <x:c r="F430" s="374">
        <x:v>0</x:v>
      </x:c>
      <x:c r="G430" s="374">
        <x:v>0</x:v>
      </x:c>
      <x:c r="H430" s="374">
        <x:v>0</x:v>
      </x:c>
      <x:c r="I430" s="374">
        <x:v>0</x:v>
      </x:c>
      <x:c r="J430" s="374">
        <x:v>0</x:v>
      </x:c>
      <x:c r="K430" s="374">
        <x:v>0</x:v>
      </x:c>
      <x:c r="L430" s="374">
        <x:v>0</x:v>
      </x:c>
      <x:c r="M430" s="374">
        <x:v>0</x:v>
      </x:c>
      <x:c r="N430" s="374">
        <x:v>0</x:v>
      </x:c>
      <x:c r="O430" s="374">
        <x:v>0</x:v>
      </x:c>
      <x:c r="P430" s="374">
        <x:v>0</x:v>
      </x:c>
      <x:c r="Q430" s="374">
        <x:v>0</x:v>
      </x:c>
      <x:c r="R430" s="374">
        <x:v>0</x:v>
      </x:c>
      <x:c r="S430" s="374">
        <x:v>0</x:v>
      </x:c>
      <x:c r="T430" s="374">
        <x:v>0</x:v>
      </x:c>
      <x:c r="U430" s="374">
        <x:v>0</x:v>
      </x:c>
      <x:c r="V430" s="374">
        <x:v>0</x:v>
      </x:c>
      <x:c r="W430" s="374">
        <x:v>0</x:v>
      </x:c>
      <x:c r="X430" s="374">
        <x:v>0</x:v>
      </x:c>
      <x:c r="Y430" s="374">
        <x:v>0</x:v>
      </x:c>
      <x:c r="Z430" s="374">
        <x:v>0</x:v>
      </x:c>
      <x:c r="AA430" s="374">
        <x:v>0</x:v>
      </x:c>
      <x:c r="AB430" s="374">
        <x:v>0</x:v>
      </x:c>
      <x:c r="AC430" s="374">
        <x:v>0</x:v>
      </x:c>
      <x:c r="AD430" s="374">
        <x:v>0</x:v>
      </x:c>
      <x:c r="AE430" s="374">
        <x:v>0</x:v>
      </x:c>
      <x:c r="AF430" s="374">
        <x:v>0</x:v>
      </x:c>
      <x:c r="AG430" s="374">
        <x:v>0</x:v>
      </x:c>
      <x:c r="AH430" s="374">
        <x:v>0</x:v>
      </x:c>
      <x:c r="AI430" s="374">
        <x:v>0</x:v>
      </x:c>
      <x:c r="AJ430" s="374">
        <x:v>0</x:v>
      </x:c>
      <x:c r="AK430" s="374">
        <x:v>0</x:v>
      </x:c>
      <x:c r="AL430" s="374">
        <x:v>0</x:v>
      </x:c>
      <x:c r="AM430" s="374">
        <x:v>0</x:v>
      </x:c>
      <x:c r="AN430" s="374">
        <x:v>0</x:v>
      </x:c>
      <x:c r="AO430" s="374">
        <x:v>0</x:v>
      </x:c>
    </x:row>
    <x:row r="431" spans="1:41" ht="12.75" customHeight="1" x14ac:dyDescent="0.3">
      <x:c r="C431" s="778"/>
      <x:c r="D431" s="775"/>
      <x:c r="E431" s="373" t="s">
        <x:v>73</x:v>
      </x:c>
      <x:c r="F431" s="374">
        <x:v>0</x:v>
      </x:c>
      <x:c r="G431" s="90"/>
      <x:c r="H431" s="90"/>
      <x:c r="I431" s="90"/>
      <x:c r="J431" s="90"/>
      <x:c r="K431" s="90"/>
      <x:c r="L431" s="90"/>
      <x:c r="M431" s="90"/>
      <x:c r="N431" s="90"/>
      <x:c r="O431" s="90"/>
      <x:c r="P431" s="90"/>
      <x:c r="Q431" s="90"/>
      <x:c r="R431" s="90"/>
      <x:c r="S431" s="90"/>
    </x:row>
    <x:row r="432" spans="1:41" ht="12.75" customHeight="1" x14ac:dyDescent="0.3">
      <x:c r="C432" s="778"/>
      <x:c r="D432" s="775" t="s">
        <x:v>133</x:v>
      </x:c>
      <x:c r="E432" s="242" t="s">
        <x:v>70</x:v>
      </x:c>
      <x:c r="F432" s="243">
        <x:v>0</x:v>
      </x:c>
      <x:c r="G432" s="243">
        <x:v>0</x:v>
      </x:c>
      <x:c r="H432" s="243">
        <x:v>0</x:v>
      </x:c>
      <x:c r="I432" s="243">
        <x:v>0</x:v>
      </x:c>
      <x:c r="J432" s="243">
        <x:v>0</x:v>
      </x:c>
      <x:c r="K432" s="243">
        <x:v>0</x:v>
      </x:c>
      <x:c r="L432" s="243">
        <x:v>0</x:v>
      </x:c>
      <x:c r="M432" s="243">
        <x:v>0</x:v>
      </x:c>
      <x:c r="N432" s="243">
        <x:v>0</x:v>
      </x:c>
      <x:c r="O432" s="243">
        <x:v>0</x:v>
      </x:c>
      <x:c r="P432" s="243">
        <x:v>0</x:v>
      </x:c>
      <x:c r="Q432" s="243">
        <x:v>0</x:v>
      </x:c>
      <x:c r="R432" s="243">
        <x:v>0</x:v>
      </x:c>
      <x:c r="S432" s="243">
        <x:v>0</x:v>
      </x:c>
      <x:c r="T432" s="243">
        <x:v>0</x:v>
      </x:c>
      <x:c r="U432" s="243">
        <x:v>0</x:v>
      </x:c>
      <x:c r="V432" s="243">
        <x:v>0</x:v>
      </x:c>
      <x:c r="W432" s="243">
        <x:v>0</x:v>
      </x:c>
      <x:c r="X432" s="243">
        <x:v>0</x:v>
      </x:c>
      <x:c r="Y432" s="243">
        <x:v>0</x:v>
      </x:c>
      <x:c r="Z432" s="243">
        <x:v>0</x:v>
      </x:c>
      <x:c r="AA432" s="243">
        <x:v>0</x:v>
      </x:c>
      <x:c r="AB432" s="243">
        <x:v>0</x:v>
      </x:c>
      <x:c r="AC432" s="243">
        <x:v>0</x:v>
      </x:c>
      <x:c r="AD432" s="243">
        <x:v>0</x:v>
      </x:c>
      <x:c r="AE432" s="243">
        <x:v>0</x:v>
      </x:c>
      <x:c r="AF432" s="243">
        <x:v>0</x:v>
      </x:c>
      <x:c r="AG432" s="243">
        <x:v>0</x:v>
      </x:c>
      <x:c r="AH432" s="243">
        <x:v>0</x:v>
      </x:c>
      <x:c r="AI432" s="243">
        <x:v>0</x:v>
      </x:c>
      <x:c r="AJ432" s="243">
        <x:v>0</x:v>
      </x:c>
      <x:c r="AK432" s="243">
        <x:v>0</x:v>
      </x:c>
      <x:c r="AL432" s="243">
        <x:v>0</x:v>
      </x:c>
      <x:c r="AM432" s="243">
        <x:v>0</x:v>
      </x:c>
      <x:c r="AN432" s="243">
        <x:v>0</x:v>
      </x:c>
      <x:c r="AO432" s="243">
        <x:v>0</x:v>
      </x:c>
    </x:row>
    <x:row r="433" spans="1:41" ht="12.75" customHeight="1" x14ac:dyDescent="0.3">
      <x:c r="C433" s="778"/>
      <x:c r="D433" s="775"/>
      <x:c r="E433" s="242" t="s">
        <x:v>73</x:v>
      </x:c>
      <x:c r="F433" s="243">
        <x:v>0</x:v>
      </x:c>
      <x:c r="G433" s="90"/>
      <x:c r="H433" s="90"/>
      <x:c r="I433" s="90"/>
      <x:c r="J433" s="90"/>
      <x:c r="K433" s="90"/>
      <x:c r="L433" s="90"/>
      <x:c r="M433" s="90"/>
      <x:c r="N433" s="90"/>
      <x:c r="O433" s="90"/>
      <x:c r="P433" s="90"/>
      <x:c r="Q433" s="90"/>
      <x:c r="R433" s="90"/>
    </x:row>
    <x:row r="434" spans="1:41" ht="12.75" customHeight="1" x14ac:dyDescent="0.3">
      <x:c r="A434" s="89"/>
      <x:c r="C434" s="97"/>
      <x:c r="F434" s="90"/>
      <x:c r="G434" s="90"/>
      <x:c r="H434" s="90"/>
      <x:c r="I434" s="90"/>
      <x:c r="J434" s="90"/>
      <x:c r="K434" s="90"/>
      <x:c r="L434" s="90"/>
      <x:c r="M434" s="90"/>
      <x:c r="N434" s="90"/>
      <x:c r="O434" s="90"/>
      <x:c r="P434" s="90"/>
      <x:c r="Q434" s="90"/>
      <x:c r="R434" s="90"/>
      <x:c r="S434" s="90"/>
    </x:row>
    <x:row r="435" spans="1:41" ht="12.75" customHeight="1" x14ac:dyDescent="0.3">
      <x:c r="C435" s="777" t="s">
        <x:v>119</x:v>
      </x:c>
      <x:c r="D435" s="775" t="s">
        <x:v>132</x:v>
      </x:c>
      <x:c r="E435" s="101" t="s">
        <x:v>70</x:v>
      </x:c>
      <x:c r="F435" s="93">
        <x:f>F352+F329+F298-L298-L329</x:f>
        <x:v>0</x:v>
      </x:c>
      <x:c r="G435" s="93">
        <x:f t="shared" ref="G435:AO435" si="20">G329+G298</x:f>
        <x:v>0</x:v>
      </x:c>
      <x:c r="H435" s="93">
        <x:f t="shared" si="20"/>
        <x:v>0</x:v>
      </x:c>
      <x:c r="I435" s="93">
        <x:f t="shared" si="20"/>
        <x:v>0</x:v>
      </x:c>
      <x:c r="J435" s="93">
        <x:f t="shared" si="20"/>
        <x:v>0</x:v>
      </x:c>
      <x:c r="K435" s="93">
        <x:f t="shared" si="20"/>
        <x:v>0</x:v>
      </x:c>
      <x:c r="L435" s="93">
        <x:f t="shared" si="20"/>
        <x:v>0</x:v>
      </x:c>
      <x:c r="M435" s="93">
        <x:f t="shared" si="20"/>
        <x:v>0</x:v>
      </x:c>
      <x:c r="N435" s="93">
        <x:f t="shared" si="20"/>
        <x:v>0</x:v>
      </x:c>
      <x:c r="O435" s="93">
        <x:f t="shared" si="20"/>
        <x:v>0</x:v>
      </x:c>
      <x:c r="P435" s="93">
        <x:f t="shared" si="20"/>
        <x:v>0</x:v>
      </x:c>
      <x:c r="Q435" s="93">
        <x:f t="shared" si="20"/>
        <x:v>0</x:v>
      </x:c>
      <x:c r="R435" s="93">
        <x:f t="shared" si="20"/>
        <x:v>0</x:v>
      </x:c>
      <x:c r="S435" s="93">
        <x:f t="shared" si="20"/>
        <x:v>0</x:v>
      </x:c>
      <x:c r="T435" s="93">
        <x:f t="shared" si="20"/>
        <x:v>0</x:v>
      </x:c>
      <x:c r="U435" s="93">
        <x:f t="shared" si="20"/>
        <x:v>0</x:v>
      </x:c>
      <x:c r="V435" s="93">
        <x:f t="shared" si="20"/>
        <x:v>0</x:v>
      </x:c>
      <x:c r="W435" s="93">
        <x:f t="shared" si="20"/>
        <x:v>0</x:v>
      </x:c>
      <x:c r="X435" s="93">
        <x:f t="shared" si="20"/>
        <x:v>0</x:v>
      </x:c>
      <x:c r="Y435" s="93">
        <x:f t="shared" si="20"/>
        <x:v>0</x:v>
      </x:c>
      <x:c r="Z435" s="93">
        <x:f t="shared" si="20"/>
        <x:v>0</x:v>
      </x:c>
      <x:c r="AA435" s="93">
        <x:f t="shared" si="20"/>
        <x:v>0</x:v>
      </x:c>
      <x:c r="AB435" s="93">
        <x:f t="shared" si="20"/>
        <x:v>0</x:v>
      </x:c>
      <x:c r="AC435" s="93">
        <x:f t="shared" si="20"/>
        <x:v>0</x:v>
      </x:c>
      <x:c r="AD435" s="93">
        <x:f t="shared" si="20"/>
        <x:v>0</x:v>
      </x:c>
      <x:c r="AE435" s="93">
        <x:f t="shared" si="20"/>
        <x:v>0</x:v>
      </x:c>
      <x:c r="AF435" s="93">
        <x:f t="shared" si="20"/>
        <x:v>0</x:v>
      </x:c>
      <x:c r="AG435" s="93">
        <x:f t="shared" si="20"/>
        <x:v>0</x:v>
      </x:c>
      <x:c r="AH435" s="93">
        <x:f t="shared" si="20"/>
        <x:v>0</x:v>
      </x:c>
      <x:c r="AI435" s="93">
        <x:f t="shared" si="20"/>
        <x:v>0</x:v>
      </x:c>
      <x:c r="AJ435" s="93">
        <x:f t="shared" si="20"/>
        <x:v>0</x:v>
      </x:c>
      <x:c r="AK435" s="93">
        <x:f t="shared" si="20"/>
        <x:v>0</x:v>
      </x:c>
      <x:c r="AL435" s="93">
        <x:f t="shared" si="20"/>
        <x:v>0</x:v>
      </x:c>
      <x:c r="AM435" s="93">
        <x:f t="shared" si="20"/>
        <x:v>0</x:v>
      </x:c>
      <x:c r="AN435" s="93">
        <x:f t="shared" si="20"/>
        <x:v>0</x:v>
      </x:c>
      <x:c r="AO435" s="93">
        <x:f t="shared" si="20"/>
        <x:v>0</x:v>
      </x:c>
    </x:row>
    <x:row r="436" spans="1:41" ht="12.75" customHeight="1" x14ac:dyDescent="0.3">
      <x:c r="C436" s="777"/>
      <x:c r="D436" s="775"/>
      <x:c r="E436" s="101" t="s">
        <x:v>73</x:v>
      </x:c>
      <x:c r="F436" s="93">
        <x:f>F352</x:f>
        <x:v>0</x:v>
      </x:c>
      <x:c r="G436" s="90"/>
      <x:c r="H436" s="90"/>
      <x:c r="I436" s="90"/>
      <x:c r="J436" s="90"/>
      <x:c r="K436" s="90"/>
      <x:c r="L436" s="90"/>
      <x:c r="M436" s="90"/>
      <x:c r="N436" s="90"/>
      <x:c r="O436" s="90"/>
      <x:c r="P436" s="90"/>
      <x:c r="Q436" s="90"/>
      <x:c r="R436" s="90"/>
      <x:c r="S436" s="90"/>
    </x:row>
    <x:row r="437" spans="1:41" ht="12.75" customHeight="1" x14ac:dyDescent="0.3">
      <x:c r="C437" s="777"/>
      <x:c r="D437" s="775" t="s">
        <x:v>133</x:v>
      </x:c>
      <x:c r="E437" s="235" t="s">
        <x:v>70</x:v>
      </x:c>
      <x:c r="F437" s="236">
        <x:f>F341+F314-L314</x:f>
        <x:v>0</x:v>
      </x:c>
      <x:c r="G437" s="236">
        <x:f>G314</x:f>
        <x:v>0</x:v>
      </x:c>
      <x:c r="H437" s="236">
        <x:f t="shared" ref="H437:AO437" si="21">H314</x:f>
        <x:v>0</x:v>
      </x:c>
      <x:c r="I437" s="236">
        <x:f t="shared" si="21"/>
        <x:v>0</x:v>
      </x:c>
      <x:c r="J437" s="236">
        <x:f t="shared" si="21"/>
        <x:v>0</x:v>
      </x:c>
      <x:c r="K437" s="236">
        <x:f t="shared" si="21"/>
        <x:v>0</x:v>
      </x:c>
      <x:c r="L437" s="236">
        <x:f t="shared" si="21"/>
        <x:v>0</x:v>
      </x:c>
      <x:c r="M437" s="236">
        <x:f t="shared" si="21"/>
        <x:v>0</x:v>
      </x:c>
      <x:c r="N437" s="236">
        <x:f t="shared" si="21"/>
        <x:v>0</x:v>
      </x:c>
      <x:c r="O437" s="236">
        <x:f t="shared" si="21"/>
        <x:v>0</x:v>
      </x:c>
      <x:c r="P437" s="236">
        <x:f t="shared" si="21"/>
        <x:v>0</x:v>
      </x:c>
      <x:c r="Q437" s="236">
        <x:f t="shared" si="21"/>
        <x:v>0</x:v>
      </x:c>
      <x:c r="R437" s="236">
        <x:f t="shared" si="21"/>
        <x:v>0</x:v>
      </x:c>
      <x:c r="S437" s="236">
        <x:f t="shared" si="21"/>
        <x:v>0</x:v>
      </x:c>
      <x:c r="T437" s="236">
        <x:f t="shared" si="21"/>
        <x:v>0</x:v>
      </x:c>
      <x:c r="U437" s="236">
        <x:f t="shared" si="21"/>
        <x:v>0</x:v>
      </x:c>
      <x:c r="V437" s="236">
        <x:f t="shared" si="21"/>
        <x:v>0</x:v>
      </x:c>
      <x:c r="W437" s="236">
        <x:f t="shared" si="21"/>
        <x:v>0</x:v>
      </x:c>
      <x:c r="X437" s="236">
        <x:f t="shared" si="21"/>
        <x:v>0</x:v>
      </x:c>
      <x:c r="Y437" s="236">
        <x:f t="shared" si="21"/>
        <x:v>0</x:v>
      </x:c>
      <x:c r="Z437" s="236">
        <x:f t="shared" si="21"/>
        <x:v>0</x:v>
      </x:c>
      <x:c r="AA437" s="236">
        <x:f t="shared" si="21"/>
        <x:v>0</x:v>
      </x:c>
      <x:c r="AB437" s="236">
        <x:f t="shared" si="21"/>
        <x:v>0</x:v>
      </x:c>
      <x:c r="AC437" s="236">
        <x:f t="shared" si="21"/>
        <x:v>0</x:v>
      </x:c>
      <x:c r="AD437" s="236">
        <x:f t="shared" si="21"/>
        <x:v>0</x:v>
      </x:c>
      <x:c r="AE437" s="236">
        <x:f t="shared" si="21"/>
        <x:v>0</x:v>
      </x:c>
      <x:c r="AF437" s="236">
        <x:f t="shared" si="21"/>
        <x:v>0</x:v>
      </x:c>
      <x:c r="AG437" s="236">
        <x:f t="shared" si="21"/>
        <x:v>0</x:v>
      </x:c>
      <x:c r="AH437" s="236">
        <x:f t="shared" si="21"/>
        <x:v>0</x:v>
      </x:c>
      <x:c r="AI437" s="236">
        <x:f t="shared" si="21"/>
        <x:v>0</x:v>
      </x:c>
      <x:c r="AJ437" s="236">
        <x:f t="shared" si="21"/>
        <x:v>0</x:v>
      </x:c>
      <x:c r="AK437" s="236">
        <x:f t="shared" si="21"/>
        <x:v>0</x:v>
      </x:c>
      <x:c r="AL437" s="236">
        <x:f t="shared" si="21"/>
        <x:v>0</x:v>
      </x:c>
      <x:c r="AM437" s="236">
        <x:f t="shared" si="21"/>
        <x:v>0</x:v>
      </x:c>
      <x:c r="AN437" s="236">
        <x:f t="shared" si="21"/>
        <x:v>0</x:v>
      </x:c>
      <x:c r="AO437" s="236">
        <x:f t="shared" si="21"/>
        <x:v>0</x:v>
      </x:c>
    </x:row>
    <x:row r="438" spans="1:41" ht="12.75" customHeight="1" x14ac:dyDescent="0.3">
      <x:c r="C438" s="777"/>
      <x:c r="D438" s="775"/>
      <x:c r="E438" s="235" t="s">
        <x:v>73</x:v>
      </x:c>
      <x:c r="F438" s="236">
        <x:f>F341</x:f>
        <x:v>0</x:v>
      </x:c>
      <x:c r="G438" s="90"/>
      <x:c r="H438" s="90"/>
      <x:c r="I438" s="90"/>
      <x:c r="J438" s="90"/>
      <x:c r="K438" s="90"/>
      <x:c r="L438" s="90"/>
      <x:c r="M438" s="90"/>
      <x:c r="N438" s="90"/>
      <x:c r="O438" s="90"/>
      <x:c r="P438" s="90"/>
      <x:c r="Q438" s="90"/>
      <x:c r="R438" s="90"/>
    </x:row>
    <x:row r="439" spans="1:41" ht="12.75" customHeight="1" x14ac:dyDescent="0.3">
      <x:c r="A439" s="89"/>
      <x:c r="C439" s="97"/>
      <x:c r="F439" s="90"/>
      <x:c r="G439" s="90"/>
      <x:c r="H439" s="90"/>
      <x:c r="I439" s="90"/>
      <x:c r="J439" s="90"/>
      <x:c r="K439" s="90"/>
      <x:c r="L439" s="90"/>
      <x:c r="M439" s="90"/>
      <x:c r="N439" s="90"/>
      <x:c r="O439" s="90"/>
      <x:c r="P439" s="90"/>
      <x:c r="Q439" s="90"/>
      <x:c r="R439" s="90"/>
      <x:c r="S439" s="90"/>
    </x:row>
    <x:row r="440" spans="1:41" ht="12.75" customHeight="1" x14ac:dyDescent="0.3">
      <x:c r="C440" s="776" t="s">
        <x:v>161</x:v>
      </x:c>
      <x:c r="D440" s="775" t="s">
        <x:v>132</x:v>
      </x:c>
      <x:c r="E440" s="231" t="s">
        <x:v>70</x:v>
      </x:c>
      <x:c r="F440" s="232">
        <x:v>0</x:v>
      </x:c>
      <x:c r="G440" s="232">
        <x:v>0</x:v>
      </x:c>
      <x:c r="H440" s="232">
        <x:v>0</x:v>
      </x:c>
      <x:c r="I440" s="232">
        <x:v>0</x:v>
      </x:c>
      <x:c r="J440" s="232">
        <x:v>0</x:v>
      </x:c>
      <x:c r="K440" s="232">
        <x:v>0</x:v>
      </x:c>
      <x:c r="L440" s="232">
        <x:v>0</x:v>
      </x:c>
      <x:c r="M440" s="232">
        <x:v>0</x:v>
      </x:c>
      <x:c r="N440" s="232">
        <x:v>0</x:v>
      </x:c>
      <x:c r="O440" s="232">
        <x:v>0</x:v>
      </x:c>
      <x:c r="P440" s="232">
        <x:v>0</x:v>
      </x:c>
      <x:c r="Q440" s="232">
        <x:v>0</x:v>
      </x:c>
      <x:c r="R440" s="232">
        <x:v>0</x:v>
      </x:c>
      <x:c r="S440" s="232">
        <x:v>0</x:v>
      </x:c>
      <x:c r="T440" s="232">
        <x:v>0</x:v>
      </x:c>
      <x:c r="U440" s="232"/>
      <x:c r="V440" s="232"/>
      <x:c r="W440" s="232"/>
      <x:c r="X440" s="232">
        <x:v>0</x:v>
      </x:c>
      <x:c r="Y440" s="232">
        <x:v>0</x:v>
      </x:c>
      <x:c r="Z440" s="232">
        <x:v>0</x:v>
      </x:c>
      <x:c r="AA440" s="232">
        <x:v>0</x:v>
      </x:c>
      <x:c r="AB440" s="232">
        <x:v>0</x:v>
      </x:c>
      <x:c r="AC440" s="232">
        <x:v>0</x:v>
      </x:c>
      <x:c r="AD440" s="232">
        <x:v>0</x:v>
      </x:c>
      <x:c r="AE440" s="232">
        <x:v>0</x:v>
      </x:c>
      <x:c r="AF440" s="232">
        <x:v>0</x:v>
      </x:c>
      <x:c r="AG440" s="232">
        <x:v>0</x:v>
      </x:c>
      <x:c r="AH440" s="232">
        <x:v>0</x:v>
      </x:c>
      <x:c r="AI440" s="232">
        <x:v>0</x:v>
      </x:c>
      <x:c r="AJ440" s="232">
        <x:v>0</x:v>
      </x:c>
      <x:c r="AK440" s="232">
        <x:v>0</x:v>
      </x:c>
      <x:c r="AL440" s="232">
        <x:v>0</x:v>
      </x:c>
      <x:c r="AM440" s="232">
        <x:v>0</x:v>
      </x:c>
      <x:c r="AN440" s="232">
        <x:v>0</x:v>
      </x:c>
      <x:c r="AO440" s="232">
        <x:v>0</x:v>
      </x:c>
    </x:row>
    <x:row r="441" spans="1:41" ht="12.75" customHeight="1" x14ac:dyDescent="0.3">
      <x:c r="C441" s="776"/>
      <x:c r="D441" s="775"/>
      <x:c r="E441" s="231" t="s">
        <x:v>73</x:v>
      </x:c>
      <x:c r="F441" s="232">
        <x:v>0</x:v>
      </x:c>
      <x:c r="G441" s="90"/>
      <x:c r="H441" s="90"/>
      <x:c r="I441" s="90"/>
      <x:c r="J441" s="90"/>
      <x:c r="K441" s="90"/>
      <x:c r="L441" s="90"/>
      <x:c r="M441" s="90"/>
      <x:c r="N441" s="90"/>
      <x:c r="O441" s="90"/>
      <x:c r="P441" s="90"/>
      <x:c r="Q441" s="90"/>
      <x:c r="R441" s="90"/>
      <x:c r="S441" s="90"/>
    </x:row>
    <x:row r="442" spans="1:41" ht="12.75" customHeight="1" x14ac:dyDescent="0.3">
      <x:c r="C442" s="776"/>
      <x:c r="D442" s="775" t="s">
        <x:v>133</x:v>
      </x:c>
      <x:c r="E442" s="148" t="s">
        <x:v>70</x:v>
      </x:c>
      <x:c r="F442" s="149">
        <x:v>0</x:v>
      </x:c>
      <x:c r="G442" s="149">
        <x:v>0</x:v>
      </x:c>
      <x:c r="H442" s="149">
        <x:v>0</x:v>
      </x:c>
      <x:c r="I442" s="149">
        <x:v>0</x:v>
      </x:c>
      <x:c r="J442" s="149">
        <x:v>0</x:v>
      </x:c>
      <x:c r="K442" s="149">
        <x:v>0</x:v>
      </x:c>
      <x:c r="L442" s="149">
        <x:v>0</x:v>
      </x:c>
      <x:c r="M442" s="149">
        <x:v>0</x:v>
      </x:c>
      <x:c r="N442" s="149">
        <x:v>0</x:v>
      </x:c>
      <x:c r="O442" s="149">
        <x:v>0</x:v>
      </x:c>
      <x:c r="P442" s="149">
        <x:v>0</x:v>
      </x:c>
      <x:c r="Q442" s="149">
        <x:v>0</x:v>
      </x:c>
      <x:c r="R442" s="149">
        <x:v>0</x:v>
      </x:c>
      <x:c r="S442" s="149">
        <x:v>0</x:v>
      </x:c>
      <x:c r="T442" s="149">
        <x:v>0</x:v>
      </x:c>
      <x:c r="U442" s="149"/>
      <x:c r="V442" s="149"/>
      <x:c r="W442" s="149"/>
      <x:c r="X442" s="149">
        <x:v>0</x:v>
      </x:c>
      <x:c r="Y442" s="149">
        <x:v>0</x:v>
      </x:c>
      <x:c r="Z442" s="149">
        <x:v>0</x:v>
      </x:c>
      <x:c r="AA442" s="149">
        <x:v>0</x:v>
      </x:c>
      <x:c r="AB442" s="149">
        <x:v>0</x:v>
      </x:c>
      <x:c r="AC442" s="149">
        <x:v>0</x:v>
      </x:c>
      <x:c r="AD442" s="149">
        <x:v>0</x:v>
      </x:c>
      <x:c r="AE442" s="149">
        <x:v>0</x:v>
      </x:c>
      <x:c r="AF442" s="149">
        <x:v>0</x:v>
      </x:c>
      <x:c r="AG442" s="149">
        <x:v>0</x:v>
      </x:c>
      <x:c r="AH442" s="149">
        <x:v>0</x:v>
      </x:c>
      <x:c r="AI442" s="149">
        <x:v>0</x:v>
      </x:c>
      <x:c r="AJ442" s="149">
        <x:v>0</x:v>
      </x:c>
      <x:c r="AK442" s="149">
        <x:v>0</x:v>
      </x:c>
      <x:c r="AL442" s="149">
        <x:v>0</x:v>
      </x:c>
      <x:c r="AM442" s="149">
        <x:v>0</x:v>
      </x:c>
      <x:c r="AN442" s="149">
        <x:v>0</x:v>
      </x:c>
      <x:c r="AO442" s="149">
        <x:v>0</x:v>
      </x:c>
    </x:row>
    <x:row r="443" spans="1:41" ht="12.75" customHeight="1" x14ac:dyDescent="0.3">
      <x:c r="C443" s="776"/>
      <x:c r="D443" s="775"/>
      <x:c r="E443" s="148" t="s">
        <x:v>73</x:v>
      </x:c>
      <x:c r="F443" s="149">
        <x:v>0</x:v>
      </x:c>
      <x:c r="G443" s="90"/>
      <x:c r="H443" s="90"/>
      <x:c r="I443" s="90"/>
      <x:c r="J443" s="90"/>
      <x:c r="K443" s="90"/>
      <x:c r="L443" s="90"/>
      <x:c r="M443" s="90"/>
      <x:c r="N443" s="90"/>
      <x:c r="O443" s="90"/>
      <x:c r="P443" s="90"/>
      <x:c r="Q443" s="90"/>
      <x:c r="R443" s="90"/>
    </x:row>
    <x:row r="444" spans="1:41" ht="12.75" customHeight="1" x14ac:dyDescent="0.3">
      <x:c r="C444" s="388"/>
      <x:c r="D444" s="220"/>
      <x:c r="E444" s="89"/>
      <x:c r="F444" s="90"/>
      <x:c r="G444" s="90"/>
      <x:c r="H444" s="90"/>
      <x:c r="I444" s="90"/>
      <x:c r="J444" s="90"/>
      <x:c r="K444" s="90"/>
      <x:c r="L444" s="90"/>
      <x:c r="M444" s="90"/>
      <x:c r="N444" s="90"/>
      <x:c r="O444" s="90"/>
      <x:c r="P444" s="90"/>
      <x:c r="Q444" s="90"/>
      <x:c r="R444" s="90"/>
    </x:row>
    <x:row r="445" spans="1:41" ht="12.75" customHeight="1" x14ac:dyDescent="0.3">
      <x:c r="D445" s="458" t="s">
        <x:v>186</x:v>
      </x:c>
      <x:c r="E445" s="459" t="s">
        <x:v>70</x:v>
      </x:c>
      <x:c r="F445" s="460">
        <x:f t="shared" ref="F445:Z445" si="22">F299</x:f>
        <x:v>0</x:v>
      </x:c>
      <x:c r="G445" s="460">
        <x:f t="shared" si="22"/>
        <x:v>0</x:v>
      </x:c>
      <x:c r="H445" s="460">
        <x:f t="shared" si="22"/>
        <x:v>0</x:v>
      </x:c>
      <x:c r="I445" s="460">
        <x:f t="shared" si="22"/>
        <x:v>0</x:v>
      </x:c>
      <x:c r="J445" s="460">
        <x:f t="shared" si="22"/>
        <x:v>0</x:v>
      </x:c>
      <x:c r="K445" s="460">
        <x:f t="shared" si="22"/>
        <x:v>0</x:v>
      </x:c>
      <x:c r="L445" s="460">
        <x:f t="shared" si="22"/>
        <x:v>0</x:v>
      </x:c>
      <x:c r="M445" s="460">
        <x:f t="shared" si="22"/>
        <x:v>0</x:v>
      </x:c>
      <x:c r="N445" s="460">
        <x:f t="shared" si="22"/>
        <x:v>0</x:v>
      </x:c>
      <x:c r="O445" s="460">
        <x:f t="shared" si="22"/>
        <x:v>0</x:v>
      </x:c>
      <x:c r="P445" s="460">
        <x:f t="shared" si="22"/>
        <x:v>0</x:v>
      </x:c>
      <x:c r="Q445" s="460">
        <x:f t="shared" si="22"/>
        <x:v>0</x:v>
      </x:c>
      <x:c r="R445" s="460">
        <x:f t="shared" si="22"/>
        <x:v>0</x:v>
      </x:c>
      <x:c r="S445" s="460">
        <x:f t="shared" si="22"/>
        <x:v>0</x:v>
      </x:c>
      <x:c r="T445" s="460">
        <x:f t="shared" si="22"/>
        <x:v>0</x:v>
      </x:c>
      <x:c r="U445" s="460">
        <x:f t="shared" si="22"/>
        <x:v>0</x:v>
      </x:c>
      <x:c r="V445" s="460">
        <x:f t="shared" si="22"/>
        <x:v>0</x:v>
      </x:c>
      <x:c r="W445" s="460">
        <x:f t="shared" si="22"/>
        <x:v>0</x:v>
      </x:c>
      <x:c r="X445" s="460">
        <x:f t="shared" si="22"/>
        <x:v>0</x:v>
      </x:c>
      <x:c r="Y445" s="460">
        <x:f t="shared" si="22"/>
        <x:v>0</x:v>
      </x:c>
      <x:c r="Z445" s="460">
        <x:f t="shared" si="22"/>
        <x:v>0</x:v>
      </x:c>
    </x:row>
    <x:row r="446" spans="1:41" ht="12.75" customHeight="1" x14ac:dyDescent="0.3">
      <x:c r="C446" s="388"/>
      <x:c r="D446" s="220"/>
      <x:c r="E446" s="89"/>
      <x:c r="F446" s="90"/>
      <x:c r="G446" s="90"/>
      <x:c r="H446" s="90"/>
      <x:c r="I446" s="90"/>
      <x:c r="J446" s="90"/>
      <x:c r="K446" s="90"/>
      <x:c r="L446" s="90"/>
      <x:c r="M446" s="90"/>
      <x:c r="N446" s="90"/>
      <x:c r="O446" s="90"/>
      <x:c r="P446" s="90"/>
      <x:c r="Q446" s="90"/>
      <x:c r="R446" s="90"/>
    </x:row>
    <x:row r="447" spans="1:41" s="238" customFormat="1" ht="12.75" customHeight="1" x14ac:dyDescent="0.3">
      <x:c r="D447" s="239"/>
      <x:c r="E447" s="240"/>
      <x:c r="F447" s="240"/>
      <x:c r="G447" s="240"/>
      <x:c r="H447" s="240"/>
      <x:c r="I447" s="240"/>
      <x:c r="J447" s="240"/>
      <x:c r="K447" s="240"/>
      <x:c r="L447" s="240"/>
      <x:c r="M447" s="240"/>
      <x:c r="N447" s="240"/>
      <x:c r="O447" s="240"/>
      <x:c r="P447" s="240"/>
      <x:c r="Q447" s="240"/>
    </x:row>
    <x:row r="448" spans="1:41" ht="12.75" customHeight="1" x14ac:dyDescent="0.3">
      <x:c r="A448" s="89"/>
      <x:c r="B448" s="97" t="s">
        <x:v>88</x:v>
      </x:c>
      <x:c r="E448" s="90"/>
      <x:c r="F448" s="90"/>
      <x:c r="G448" s="90"/>
      <x:c r="H448" s="90"/>
      <x:c r="I448" s="90"/>
      <x:c r="J448" s="90"/>
      <x:c r="K448" s="90"/>
      <x:c r="L448" s="90"/>
      <x:c r="M448" s="90"/>
      <x:c r="N448" s="90"/>
      <x:c r="O448" s="90"/>
      <x:c r="P448" s="90"/>
      <x:c r="Q448" s="90"/>
    </x:row>
    <x:row r="449" spans="1:26" ht="12.75" customHeight="1" x14ac:dyDescent="0.3">
      <x:c r="A449" s="142"/>
      <x:c r="F449" s="89" t="s">
        <x:v>70</x:v>
      </x:c>
      <x:c r="G449" s="89" t="s">
        <x:v>64</x:v>
      </x:c>
      <x:c r="H449" s="89" t="s">
        <x:v>65</x:v>
      </x:c>
      <x:c r="I449" s="218" t="s">
        <x:v>164</x:v>
      </x:c>
      <x:c r="J449" s="89" t="s">
        <x:v>69</x:v>
      </x:c>
      <x:c r="K449" s="89" t="s">
        <x:v>68</x:v>
      </x:c>
      <x:c r="L449" s="89" t="s">
        <x:v>71</x:v>
      </x:c>
      <x:c r="M449" s="89" t="s">
        <x:v>66</x:v>
      </x:c>
      <x:c r="N449" s="89" t="s">
        <x:v>63</x:v>
      </x:c>
      <x:c r="O449" s="89" t="s">
        <x:v>61</x:v>
      </x:c>
      <x:c r="P449" s="89" t="s">
        <x:v>62</x:v>
      </x:c>
      <x:c r="Q449" s="89" t="s">
        <x:v>67</x:v>
      </x:c>
      <x:c r="R449" s="89" t="s">
        <x:v>77</x:v>
      </x:c>
      <x:c r="S449" s="89" t="s">
        <x:v>80</x:v>
      </x:c>
      <x:c r="T449" t="s">
        <x:v>135</x:v>
      </x:c>
      <x:c r="U449" t="s">
        <x:v>173</x:v>
      </x:c>
      <x:c r="V449" t="s">
        <x:v>222</x:v>
      </x:c>
      <x:c r="W449" t="s">
        <x:v>173</x:v>
      </x:c>
      <x:c r="X449" t="s">
        <x:v>173</x:v>
      </x:c>
      <x:c r="Y449" s="89" t="s">
        <x:v>135</x:v>
      </x:c>
      <x:c r="Z449" t="s">
        <x:v>167</x:v>
      </x:c>
    </x:row>
    <x:row r="450" spans="1:26" ht="12.75" customHeight="1" x14ac:dyDescent="0.3">
      <x:c r="E450" s="89" t="s">
        <x:v>72</x:v>
      </x:c>
      <x:c r="F450" s="371" t="n">
        <x:v>-10060.29</x:v>
      </x:c>
      <x:c r="G450" s="90" t="n">
        <x:v>-815.13</x:v>
      </x:c>
      <x:c r="H450" s="90" t="n">
        <x:v>-346.29</x:v>
      </x:c>
      <x:c r="I450" s="90" t="n">
        <x:v>-151.23</x:v>
      </x:c>
      <x:c r="J450" s="90" t="n">
        <x:v>-1859.88</x:v>
      </x:c>
      <x:c r="K450" s="90" t="n">
        <x:v>-75.75</x:v>
      </x:c>
      <x:c r="L450" s="90" t="n">
        <x:v>0</x:v>
      </x:c>
      <x:c r="M450" s="90" t="n">
        <x:v>-664.38</x:v>
      </x:c>
      <x:c r="N450" s="90" t="n">
        <x:v>-844.83</x:v>
      </x:c>
      <x:c r="O450" s="90" t="n">
        <x:v>-3102.12</x:v>
      </x:c>
      <x:c r="P450" s="90" t="n">
        <x:v>-2077.08</x:v>
      </x:c>
      <x:c r="Q450" s="90" t="n">
        <x:v>-123.6</x:v>
      </x:c>
      <x:c r="R450" s="90" t="n">
        <x:v>0</x:v>
      </x:c>
      <x:c r="S450" s="90" t="n">
        <x:v>0</x:v>
      </x:c>
      <x:c r="T450" t="n">
        <x:v>0</x:v>
      </x:c>
      <x:c r="U450">
        <x:v>0</x:v>
      </x:c>
      <x:c r="V450">
        <x:v>0</x:v>
      </x:c>
      <x:c r="W450">
        <x:v>0</x:v>
      </x:c>
      <x:c r="X450">
        <x:v>0</x:v>
      </x:c>
      <x:c r="Y450" s="90">
        <x:v>0</x:v>
      </x:c>
      <x:c r="Z450">
        <x:v>0</x:v>
      </x:c>
    </x:row>
    <x:row r="451" spans="1:26" ht="12.75" customHeight="1" x14ac:dyDescent="0.3">
      <x:c r="D451" t="s">
        <x:v>156</x:v>
      </x:c>
      <x:c r="E451" s="89" t="s">
        <x:v>70</x:v>
      </x:c>
      <x:c r="F451" s="371" t="n">
        <x:v>-10060.29</x:v>
      </x:c>
      <x:c r="G451" s="90" t="n">
        <x:v>-815.13</x:v>
      </x:c>
      <x:c r="H451" s="90" t="n">
        <x:v>-346.29</x:v>
      </x:c>
      <x:c r="I451" s="90" t="n">
        <x:v>-151.23</x:v>
      </x:c>
      <x:c r="J451" s="90" t="n">
        <x:v>-1859.88</x:v>
      </x:c>
      <x:c r="K451" s="90" t="n">
        <x:v>-75.75</x:v>
      </x:c>
      <x:c r="L451" s="90" t="n">
        <x:v>0</x:v>
      </x:c>
      <x:c r="M451" s="90" t="n">
        <x:v>-664.38</x:v>
      </x:c>
      <x:c r="N451" s="90" t="n">
        <x:v>-844.83</x:v>
      </x:c>
      <x:c r="O451" s="90" t="n">
        <x:v>-3102.12</x:v>
      </x:c>
      <x:c r="P451" s="90" t="n">
        <x:v>-2077.08</x:v>
      </x:c>
      <x:c r="Q451" s="90" t="n">
        <x:v>-123.6</x:v>
      </x:c>
      <x:c r="R451" s="90" t="n">
        <x:v>0</x:v>
      </x:c>
      <x:c r="S451" s="90" t="n">
        <x:v>0</x:v>
      </x:c>
      <x:c r="T451" t="n">
        <x:v>0</x:v>
      </x:c>
      <x:c r="U451">
        <x:v>0</x:v>
      </x:c>
      <x:c r="V451">
        <x:v>0</x:v>
      </x:c>
      <x:c r="W451">
        <x:v>0</x:v>
      </x:c>
      <x:c r="X451">
        <x:v>0</x:v>
      </x:c>
      <x:c r="Y451" s="90">
        <x:v>0</x:v>
      </x:c>
      <x:c r="Z451">
        <x:v>0</x:v>
      </x:c>
    </x:row>
    <x:row r="452" spans="1:26" s="656" customFormat="1" ht="12.75" customHeight="1" x14ac:dyDescent="0.3">
      <x:c r="C452" s="656" t="s">
        <x:v>155</x:v>
      </x:c>
      <x:c r="D452" s="657" t="s">
        <x:v>70</x:v>
      </x:c>
      <x:c r="E452" s="657"/>
      <x:c r="F452" s="658" t="n">
        <x:v>-10060.29</x:v>
      </x:c>
      <x:c r="G452" s="658" t="n">
        <x:v>-815.13</x:v>
      </x:c>
      <x:c r="H452" s="658" t="n">
        <x:v>-346.29</x:v>
      </x:c>
      <x:c r="I452" s="658" t="n">
        <x:v>-151.23</x:v>
      </x:c>
      <x:c r="J452" s="658" t="n">
        <x:v>-1859.88</x:v>
      </x:c>
      <x:c r="K452" s="658" t="n">
        <x:v>-75.75</x:v>
      </x:c>
      <x:c r="L452" s="658" t="n">
        <x:v>0</x:v>
      </x:c>
      <x:c r="M452" s="658" t="n">
        <x:v>-664.38</x:v>
      </x:c>
      <x:c r="N452" s="658" t="n">
        <x:v>-844.83</x:v>
      </x:c>
      <x:c r="O452" s="658" t="n">
        <x:v>-3102.12</x:v>
      </x:c>
      <x:c r="P452" s="658" t="n">
        <x:v>-2077.08</x:v>
      </x:c>
      <x:c r="Q452" s="658" t="n">
        <x:v>-123.6</x:v>
      </x:c>
      <x:c r="R452" s="658" t="n">
        <x:v>0</x:v>
      </x:c>
      <x:c r="S452" s="658" t="n">
        <x:v>0</x:v>
      </x:c>
      <x:c r="T452" s="656" t="n">
        <x:v>0</x:v>
      </x:c>
      <x:c r="U452" s="656">
        <x:v>0</x:v>
      </x:c>
      <x:c r="V452" s="656">
        <x:v>0</x:v>
      </x:c>
      <x:c r="W452" s="656">
        <x:v>0</x:v>
      </x:c>
      <x:c r="X452" s="656">
        <x:v>0</x:v>
      </x:c>
      <x:c r="Y452" s="658">
        <x:v>0</x:v>
      </x:c>
      <x:c r="Z452" s="656">
        <x:v>0</x:v>
      </x:c>
    </x:row>
    <x:row r="453" spans="1:26" ht="12.75" customHeight="1" x14ac:dyDescent="0.3">
      <x:c r="E453" s="89" t="s">
        <x:v>72</x:v>
      </x:c>
      <x:c r="F453" s="90">
        <x:v>0</x:v>
      </x:c>
      <x:c r="G453" s="90">
        <x:v>0</x:v>
      </x:c>
      <x:c r="H453" s="90">
        <x:v>0</x:v>
      </x:c>
      <x:c r="I453" s="90">
        <x:v>0</x:v>
      </x:c>
      <x:c r="J453" s="90">
        <x:v>0</x:v>
      </x:c>
      <x:c r="K453" s="90">
        <x:v>0</x:v>
      </x:c>
      <x:c r="L453" s="90">
        <x:v>0</x:v>
      </x:c>
      <x:c r="M453" s="90">
        <x:v>0</x:v>
      </x:c>
      <x:c r="N453" s="90">
        <x:v>0</x:v>
      </x:c>
      <x:c r="O453" s="90">
        <x:v>0</x:v>
      </x:c>
      <x:c r="P453" s="90">
        <x:v>0</x:v>
      </x:c>
      <x:c r="Q453" s="90">
        <x:v>0</x:v>
      </x:c>
      <x:c r="R453" s="90">
        <x:v>0</x:v>
      </x:c>
      <x:c r="S453" s="90">
        <x:v>0</x:v>
      </x:c>
      <x:c r="T453" s="90">
        <x:v>0</x:v>
      </x:c>
      <x:c r="U453" s="90">
        <x:v>0</x:v>
      </x:c>
      <x:c r="V453" s="90">
        <x:v>0</x:v>
      </x:c>
      <x:c r="W453" s="90">
        <x:v>0</x:v>
      </x:c>
      <x:c r="X453">
        <x:v>0</x:v>
      </x:c>
      <x:c r="Y453">
        <x:v>0</x:v>
      </x:c>
      <x:c r="Z453">
        <x:v>0</x:v>
      </x:c>
    </x:row>
    <x:row r="454" spans="1:26" ht="12.75" customHeight="1" x14ac:dyDescent="0.3">
      <x:c r="D454" t="s">
        <x:v>82</x:v>
      </x:c>
      <x:c r="E454" s="89" t="s">
        <x:v>70</x:v>
      </x:c>
      <x:c r="F454" s="371">
        <x:v>0</x:v>
      </x:c>
      <x:c r="G454" s="90">
        <x:v>0</x:v>
      </x:c>
      <x:c r="H454" s="90">
        <x:v>0</x:v>
      </x:c>
      <x:c r="I454" s="90">
        <x:v>0</x:v>
      </x:c>
      <x:c r="J454" s="90">
        <x:v>0</x:v>
      </x:c>
      <x:c r="K454" s="90">
        <x:v>0</x:v>
      </x:c>
      <x:c r="L454" s="90">
        <x:v>0</x:v>
      </x:c>
      <x:c r="M454" s="90">
        <x:v>0</x:v>
      </x:c>
      <x:c r="N454" s="90">
        <x:v>0</x:v>
      </x:c>
      <x:c r="O454" s="90">
        <x:v>0</x:v>
      </x:c>
      <x:c r="P454" s="90">
        <x:v>0</x:v>
      </x:c>
      <x:c r="Q454" s="90">
        <x:v>0</x:v>
      </x:c>
      <x:c r="R454" s="90">
        <x:v>0</x:v>
      </x:c>
      <x:c r="S454" s="90">
        <x:v>0</x:v>
      </x:c>
      <x:c r="T454" s="90">
        <x:v>0</x:v>
      </x:c>
      <x:c r="U454" s="90">
        <x:v>0</x:v>
      </x:c>
      <x:c r="V454" s="90">
        <x:v>0</x:v>
      </x:c>
      <x:c r="W454" s="90">
        <x:v>0</x:v>
      </x:c>
      <x:c r="X454">
        <x:v>0</x:v>
      </x:c>
      <x:c r="Y454">
        <x:v>0</x:v>
      </x:c>
      <x:c r="Z454">
        <x:v>0</x:v>
      </x:c>
    </x:row>
    <x:row r="455" spans="1:26" ht="12.75" customHeight="1" x14ac:dyDescent="0.3">
      <x:c r="E455" s="89" t="s">
        <x:v>72</x:v>
      </x:c>
      <x:c r="F455" s="371" t="n">
        <x:v>-20120.65</x:v>
      </x:c>
      <x:c r="G455" s="90" t="n">
        <x:v>-1630.32</x:v>
      </x:c>
      <x:c r="H455" s="90" t="n">
        <x:v>-692.62</x:v>
      </x:c>
      <x:c r="I455" s="90" t="n">
        <x:v>-302.46</x:v>
      </x:c>
      <x:c r="J455" s="90" t="n">
        <x:v>-3719.74</x:v>
      </x:c>
      <x:c r="K455" s="90" t="n">
        <x:v>-151.47</x:v>
      </x:c>
      <x:c r="L455" s="90" t="n">
        <x:v>0</x:v>
      </x:c>
      <x:c r="M455" s="90" t="n">
        <x:v>-1328.8</x:v>
      </x:c>
      <x:c r="N455" s="90" t="n">
        <x:v>-1689.69</x:v>
      </x:c>
      <x:c r="O455" s="90" t="n">
        <x:v>-6204.18</x:v>
      </x:c>
      <x:c r="P455" s="90" t="n">
        <x:v>-4154.22</x:v>
      </x:c>
      <x:c r="Q455" s="90" t="n">
        <x:v>-247.15</x:v>
      </x:c>
      <x:c r="R455" s="90" t="n">
        <x:v>0</x:v>
      </x:c>
      <x:c r="S455" s="90" t="n">
        <x:v>0</x:v>
      </x:c>
      <x:c r="T455" s="90" t="n">
        <x:v>0</x:v>
      </x:c>
      <x:c r="U455" s="90">
        <x:v>0</x:v>
      </x:c>
      <x:c r="V455" s="90">
        <x:v>0</x:v>
      </x:c>
      <x:c r="W455" s="90">
        <x:v>0</x:v>
      </x:c>
      <x:c r="X455">
        <x:v>0</x:v>
      </x:c>
      <x:c r="Y455">
        <x:v>0</x:v>
      </x:c>
      <x:c r="Z455">
        <x:v>0</x:v>
      </x:c>
    </x:row>
    <x:row r="456" spans="1:26" ht="12.75" customHeight="1" x14ac:dyDescent="0.3">
      <x:c r="D456" t="s">
        <x:v>86</x:v>
      </x:c>
      <x:c r="E456" s="89" t="s">
        <x:v>70</x:v>
      </x:c>
      <x:c r="F456" s="371" t="n">
        <x:v>-20120.65</x:v>
      </x:c>
      <x:c r="G456" s="90" t="n">
        <x:v>-1630.32</x:v>
      </x:c>
      <x:c r="H456" s="90" t="n">
        <x:v>-692.62</x:v>
      </x:c>
      <x:c r="I456" s="90" t="n">
        <x:v>-302.46</x:v>
      </x:c>
      <x:c r="J456" s="90" t="n">
        <x:v>-3719.74</x:v>
      </x:c>
      <x:c r="K456" s="90" t="n">
        <x:v>-151.47</x:v>
      </x:c>
      <x:c r="L456" s="90" t="n">
        <x:v>0</x:v>
      </x:c>
      <x:c r="M456" s="90" t="n">
        <x:v>-1328.8</x:v>
      </x:c>
      <x:c r="N456" s="90" t="n">
        <x:v>-1689.69</x:v>
      </x:c>
      <x:c r="O456" s="90" t="n">
        <x:v>-6204.18</x:v>
      </x:c>
      <x:c r="P456" s="90" t="n">
        <x:v>-4154.22</x:v>
      </x:c>
      <x:c r="Q456" s="90" t="n">
        <x:v>-247.15</x:v>
      </x:c>
      <x:c r="R456" s="90" t="n">
        <x:v>0</x:v>
      </x:c>
      <x:c r="S456" s="90" t="n">
        <x:v>0</x:v>
      </x:c>
      <x:c r="T456" s="90" t="n">
        <x:v>0</x:v>
      </x:c>
      <x:c r="U456" s="90">
        <x:v>0</x:v>
      </x:c>
      <x:c r="V456" s="90">
        <x:v>0</x:v>
      </x:c>
      <x:c r="W456" s="90">
        <x:v>0</x:v>
      </x:c>
      <x:c r="X456">
        <x:v>0</x:v>
      </x:c>
      <x:c r="Y456">
        <x:v>0</x:v>
      </x:c>
      <x:c r="Z456">
        <x:v>0</x:v>
      </x:c>
    </x:row>
    <x:row r="457" spans="1:26" ht="12.75" customHeight="1" x14ac:dyDescent="0.3">
      <x:c r="E457" s="89" t="s">
        <x:v>72</x:v>
      </x:c>
      <x:c r="F457" s="371">
        <x:v>0</x:v>
      </x:c>
      <x:c r="G457" s="90">
        <x:v>0</x:v>
      </x:c>
      <x:c r="H457" s="90">
        <x:v>0</x:v>
      </x:c>
      <x:c r="I457" s="90">
        <x:v>0</x:v>
      </x:c>
      <x:c r="J457" s="90">
        <x:v>0</x:v>
      </x:c>
      <x:c r="K457" s="90">
        <x:v>0</x:v>
      </x:c>
      <x:c r="L457" s="90">
        <x:v>0</x:v>
      </x:c>
      <x:c r="M457" s="90">
        <x:v>0</x:v>
      </x:c>
      <x:c r="N457" s="90">
        <x:v>0</x:v>
      </x:c>
      <x:c r="O457" s="90">
        <x:v>0</x:v>
      </x:c>
      <x:c r="P457" s="90">
        <x:v>0</x:v>
      </x:c>
      <x:c r="Q457" s="90">
        <x:v>0</x:v>
      </x:c>
      <x:c r="R457" s="90">
        <x:v>0</x:v>
      </x:c>
      <x:c r="S457" s="90">
        <x:v>0</x:v>
      </x:c>
      <x:c r="T457" s="90">
        <x:v>0</x:v>
      </x:c>
      <x:c r="U457" s="90">
        <x:v>0</x:v>
      </x:c>
      <x:c r="V457" s="90">
        <x:v>0</x:v>
      </x:c>
      <x:c r="W457" s="90">
        <x:v>0</x:v>
      </x:c>
      <x:c r="X457" s="90">
        <x:v>0</x:v>
      </x:c>
      <x:c r="Y457" s="90">
        <x:v>0</x:v>
      </x:c>
      <x:c r="Z457" s="90">
        <x:v>0</x:v>
      </x:c>
    </x:row>
    <x:row r="458" spans="1:26" ht="12.75" customHeight="1" x14ac:dyDescent="0.3">
      <x:c r="D458" t="s">
        <x:v>87</x:v>
      </x:c>
      <x:c r="E458" s="89" t="s">
        <x:v>70</x:v>
      </x:c>
      <x:c r="F458" s="371">
        <x:v>0</x:v>
      </x:c>
      <x:c r="G458" s="90">
        <x:v>0</x:v>
      </x:c>
      <x:c r="H458" s="90">
        <x:v>0</x:v>
      </x:c>
      <x:c r="I458" s="90">
        <x:v>0</x:v>
      </x:c>
      <x:c r="J458" s="90">
        <x:v>0</x:v>
      </x:c>
      <x:c r="K458" s="90">
        <x:v>0</x:v>
      </x:c>
      <x:c r="L458" s="90">
        <x:v>0</x:v>
      </x:c>
      <x:c r="M458" s="90">
        <x:v>0</x:v>
      </x:c>
      <x:c r="N458" s="90">
        <x:v>0</x:v>
      </x:c>
      <x:c r="O458" s="90">
        <x:v>0</x:v>
      </x:c>
      <x:c r="P458" s="90">
        <x:v>0</x:v>
      </x:c>
      <x:c r="Q458" s="90">
        <x:v>0</x:v>
      </x:c>
      <x:c r="R458" s="90">
        <x:v>0</x:v>
      </x:c>
      <x:c r="S458" s="90">
        <x:v>0</x:v>
      </x:c>
      <x:c r="T458" s="90">
        <x:v>0</x:v>
      </x:c>
      <x:c r="U458" s="90">
        <x:v>0</x:v>
      </x:c>
      <x:c r="V458" s="90">
        <x:v>0</x:v>
      </x:c>
      <x:c r="W458" s="90">
        <x:v>0</x:v>
      </x:c>
      <x:c r="X458" s="90">
        <x:v>0</x:v>
      </x:c>
      <x:c r="Y458" s="90">
        <x:v>0</x:v>
      </x:c>
      <x:c r="Z458" s="90">
        <x:v>0</x:v>
      </x:c>
    </x:row>
    <x:row r="459" spans="1:26" s="94" customFormat="1" ht="12.75" customHeight="1" x14ac:dyDescent="0.3">
      <x:c r="C459" s="101" t="s">
        <x:v>119</x:v>
      </x:c>
      <x:c r="D459" s="101" t="s">
        <x:v>70</x:v>
      </x:c>
      <x:c r="F459" s="93" t="n">
        <x:v>-20120.65</x:v>
      </x:c>
      <x:c r="G459" s="93" t="n">
        <x:v>-1630.32</x:v>
      </x:c>
      <x:c r="H459" s="93" t="n">
        <x:v>-692.62</x:v>
      </x:c>
      <x:c r="I459" s="93" t="n">
        <x:v>-302.46</x:v>
      </x:c>
      <x:c r="J459" s="93" t="n">
        <x:v>-3719.74</x:v>
      </x:c>
      <x:c r="K459" s="93" t="n">
        <x:v>-151.47</x:v>
      </x:c>
      <x:c r="L459" s="93" t="n">
        <x:v>0</x:v>
      </x:c>
      <x:c r="M459" s="93" t="n">
        <x:v>-1328.8</x:v>
      </x:c>
      <x:c r="N459" s="93" t="n">
        <x:v>-1689.69</x:v>
      </x:c>
      <x:c r="O459" s="93" t="n">
        <x:v>-6204.18</x:v>
      </x:c>
      <x:c r="P459" s="93" t="n">
        <x:v>-4154.22</x:v>
      </x:c>
      <x:c r="Q459" s="93" t="n">
        <x:v>-247.15</x:v>
      </x:c>
      <x:c r="R459" s="93" t="n">
        <x:v>0</x:v>
      </x:c>
      <x:c r="S459" s="93" t="n">
        <x:v>0</x:v>
      </x:c>
      <x:c r="T459" s="94" t="n">
        <x:v>0</x:v>
      </x:c>
      <x:c r="U459" s="94">
        <x:v>0</x:v>
      </x:c>
      <x:c r="V459" s="94">
        <x:v>0</x:v>
      </x:c>
      <x:c r="W459" s="94">
        <x:v>0</x:v>
      </x:c>
      <x:c r="X459" s="94">
        <x:v>0</x:v>
      </x:c>
      <x:c r="Y459" s="93">
        <x:v>0</x:v>
      </x:c>
      <x:c r="Z459" s="94">
        <x:v>0</x:v>
      </x:c>
    </x:row>
    <x:row r="460" spans="1:26" ht="12.75" customHeight="1" x14ac:dyDescent="0.3">
      <x:c r="B460" t="s">
        <x:v>112</x:v>
      </x:c>
      <x:c r="C460" t="s">
        <x:v>70</x:v>
      </x:c>
      <x:c r="E460" s="89"/>
      <x:c r="F460" s="371" t="n">
        <x:v>-30180.94</x:v>
      </x:c>
      <x:c r="G460" s="90" t="n">
        <x:v>-2445.45</x:v>
      </x:c>
      <x:c r="H460" s="90" t="n">
        <x:v>-1038.91</x:v>
      </x:c>
      <x:c r="I460" s="90" t="n">
        <x:v>-453.69</x:v>
      </x:c>
      <x:c r="J460" s="90" t="n">
        <x:v>-5579.62</x:v>
      </x:c>
      <x:c r="K460" s="90" t="n">
        <x:v>-227.22</x:v>
      </x:c>
      <x:c r="L460" s="90" t="n">
        <x:v>0</x:v>
      </x:c>
      <x:c r="M460" s="90" t="n">
        <x:v>-1993.18</x:v>
      </x:c>
      <x:c r="N460" s="90" t="n">
        <x:v>-2534.52</x:v>
      </x:c>
      <x:c r="O460" s="90" t="n">
        <x:v>-9306.3</x:v>
      </x:c>
      <x:c r="P460" s="90" t="n">
        <x:v>-6231.3</x:v>
      </x:c>
      <x:c r="Q460" s="90" t="n">
        <x:v>-370.75</x:v>
      </x:c>
      <x:c r="R460" s="90" t="n">
        <x:v>0</x:v>
      </x:c>
      <x:c r="S460" s="90" t="n">
        <x:v>0</x:v>
      </x:c>
      <x:c r="T460" t="n">
        <x:v>0</x:v>
      </x:c>
      <x:c r="U460">
        <x:v>0</x:v>
      </x:c>
      <x:c r="V460">
        <x:v>0</x:v>
      </x:c>
      <x:c r="W460">
        <x:v>0</x:v>
      </x:c>
      <x:c r="X460">
        <x:v>0</x:v>
      </x:c>
      <x:c r="Y460" s="90">
        <x:v>0</x:v>
      </x:c>
      <x:c r="Z460">
        <x:v>0</x:v>
      </x:c>
    </x:row>
    <x:row r="461" spans="1:26" s="458" customFormat="1" x14ac:dyDescent="0.3">
      <x:c r="A461" s="458" t="s">
        <x:v>186</x:v>
      </x:c>
      <x:c r="B461" s="459" t="s">
        <x:v>70</x:v>
      </x:c>
      <x:c r="C461" s="459"/>
      <x:c r="F461" s="460" t="n">
        <x:v>-30180.94</x:v>
      </x:c>
      <x:c r="G461" s="460" t="n">
        <x:v>-2445.45</x:v>
      </x:c>
      <x:c r="H461" s="460" t="n">
        <x:v>-1038.91</x:v>
      </x:c>
      <x:c r="I461" s="460" t="n">
        <x:v>-453.69</x:v>
      </x:c>
      <x:c r="J461" s="460" t="n">
        <x:v>-5579.62</x:v>
      </x:c>
      <x:c r="K461" s="460" t="n">
        <x:v>-227.22</x:v>
      </x:c>
      <x:c r="L461" s="460" t="n">
        <x:v>0</x:v>
      </x:c>
      <x:c r="M461" s="460" t="n">
        <x:v>-1993.18</x:v>
      </x:c>
      <x:c r="N461" s="460" t="n">
        <x:v>-2534.52</x:v>
      </x:c>
      <x:c r="O461" s="460" t="n">
        <x:v>-9306.3</x:v>
      </x:c>
      <x:c r="P461" s="460" t="n">
        <x:v>-6231.3</x:v>
      </x:c>
      <x:c r="Q461" s="460" t="n">
        <x:v>-370.75</x:v>
      </x:c>
      <x:c r="R461" s="460" t="n">
        <x:v>0</x:v>
      </x:c>
      <x:c r="S461" s="460" t="n">
        <x:v>0</x:v>
      </x:c>
      <x:c r="T461" s="460" t="n">
        <x:v>0</x:v>
      </x:c>
      <x:c r="U461" s="460">
        <x:v>0</x:v>
      </x:c>
      <x:c r="V461" s="460">
        <x:v>0</x:v>
      </x:c>
      <x:c r="W461" s="460">
        <x:v>0</x:v>
      </x:c>
      <x:c r="X461" s="460">
        <x:v>0</x:v>
      </x:c>
      <x:c r="Y461" s="460">
        <x:v>0</x:v>
      </x:c>
      <x:c r="Z461" s="460">
        <x:v>0</x:v>
      </x:c>
    </x:row>
    <x:row r="462" spans="1:26" ht="12.75" customHeight="1" x14ac:dyDescent="0.3">
      <x:c r="E462" s="89" t="s">
        <x:v>72</x:v>
      </x:c>
      <x:c r="F462" s="90" t="n">
        <x:v>21516420.77</x:v>
      </x:c>
      <x:c r="G462" s="90" t="n">
        <x:v>1187856.9</x:v>
      </x:c>
      <x:c r="H462" s="90" t="n">
        <x:v>672668.72</x:v>
      </x:c>
      <x:c r="I462" s="90" t="n">
        <x:v>361871.85</x:v>
      </x:c>
      <x:c r="J462" s="90" t="n">
        <x:v>4876831.81</x:v>
      </x:c>
      <x:c r="K462" s="90" t="n">
        <x:v>142932.11</x:v>
      </x:c>
      <x:c r="L462" s="90" t="n">
        <x:v>0</x:v>
      </x:c>
      <x:c r="M462" s="90" t="n">
        <x:v>1245557.08</x:v>
      </x:c>
      <x:c r="N462" s="90" t="n">
        <x:v>1552579.42</x:v>
      </x:c>
      <x:c r="O462" s="90" t="n">
        <x:v>8062220.2</x:v>
      </x:c>
      <x:c r="P462" s="90" t="n">
        <x:v>3179277.73</x:v>
      </x:c>
      <x:c r="Q462" s="90" t="n">
        <x:v>234628.28</x:v>
      </x:c>
      <x:c r="R462" s="90" t="n">
        <x:v>-3.33</x:v>
      </x:c>
      <x:c r="S462" s="90" t="n">
        <x:v>0</x:v>
      </x:c>
      <x:c r="T462" t="n">
        <x:v>0</x:v>
      </x:c>
      <x:c r="U462">
        <x:v>0</x:v>
      </x:c>
      <x:c r="V462">
        <x:v>0</x:v>
      </x:c>
      <x:c r="W462">
        <x:v>0</x:v>
      </x:c>
      <x:c r="X462">
        <x:v>0</x:v>
      </x:c>
      <x:c r="Y462" s="90">
        <x:v>0</x:v>
      </x:c>
      <x:c r="Z462">
        <x:v>0</x:v>
      </x:c>
    </x:row>
    <x:row r="463" spans="1:26" ht="12.75" customHeight="1" x14ac:dyDescent="0.3">
      <x:c r="E463" s="89" t="s">
        <x:v>81</x:v>
      </x:c>
      <x:c r="F463" s="90" t="n">
        <x:v>441546.2</x:v>
      </x:c>
      <x:c r="G463" s="90" t="n">
        <x:v>39387.96</x:v>
      </x:c>
      <x:c r="H463" s="90" t="n">
        <x:v>18717.47</x:v>
      </x:c>
      <x:c r="I463" s="90" t="n">
        <x:v>7974.72</x:v>
      </x:c>
      <x:c r="J463" s="90" t="n">
        <x:v>82320.37</x:v>
      </x:c>
      <x:c r="K463" s="90" t="n">
        <x:v>3080.74</x:v>
      </x:c>
      <x:c r="L463" s="90" t="n">
        <x:v>0</x:v>
      </x:c>
      <x:c r="M463" s="90" t="n">
        <x:v>27025.34</x:v>
      </x:c>
      <x:c r="N463" s="90" t="n">
        <x:v>34166.4</x:v>
      </x:c>
      <x:c r="O463" s="90" t="n">
        <x:v>122337.49</x:v>
      </x:c>
      <x:c r="P463" s="90" t="n">
        <x:v>101507.62</x:v>
      </x:c>
      <x:c r="Q463" s="90" t="n">
        <x:v>5028.05</x:v>
      </x:c>
      <x:c r="R463" s="90" t="n">
        <x:v>0.04</x:v>
      </x:c>
      <x:c r="S463" s="90" t="n">
        <x:v>0</x:v>
      </x:c>
      <x:c r="T463" t="n">
        <x:v>0</x:v>
      </x:c>
      <x:c r="U463">
        <x:v>0</x:v>
      </x:c>
      <x:c r="V463">
        <x:v>0</x:v>
      </x:c>
      <x:c r="W463">
        <x:v>0</x:v>
      </x:c>
      <x:c r="X463">
        <x:v>0</x:v>
      </x:c>
      <x:c r="Y463" s="90">
        <x:v>0</x:v>
      </x:c>
      <x:c r="Z463">
        <x:v>0</x:v>
      </x:c>
    </x:row>
    <x:row r="464" spans="1:26" ht="12.75" customHeight="1" x14ac:dyDescent="0.3">
      <x:c r="D464" t="s">
        <x:v>156</x:v>
      </x:c>
      <x:c r="E464" s="89" t="s">
        <x:v>70</x:v>
      </x:c>
      <x:c r="F464" s="90" t="n">
        <x:v>21957966.97</x:v>
      </x:c>
      <x:c r="G464" s="90" t="n">
        <x:v>1227244.86</x:v>
      </x:c>
      <x:c r="H464" s="90" t="n">
        <x:v>691386.19</x:v>
      </x:c>
      <x:c r="I464" s="90" t="n">
        <x:v>369846.57</x:v>
      </x:c>
      <x:c r="J464" s="90" t="n">
        <x:v>4959152.18</x:v>
      </x:c>
      <x:c r="K464" s="90" t="n">
        <x:v>146012.85</x:v>
      </x:c>
      <x:c r="L464" s="90" t="n">
        <x:v>0</x:v>
      </x:c>
      <x:c r="M464" s="90" t="n">
        <x:v>1272582.42</x:v>
      </x:c>
      <x:c r="N464" s="90" t="n">
        <x:v>1586745.82</x:v>
      </x:c>
      <x:c r="O464" s="90" t="n">
        <x:v>8184557.69</x:v>
      </x:c>
      <x:c r="P464" s="90" t="n">
        <x:v>3280785.35</x:v>
      </x:c>
      <x:c r="Q464" s="90" t="n">
        <x:v>239656.33</x:v>
      </x:c>
      <x:c r="R464" s="90" t="n">
        <x:v>-3.29</x:v>
      </x:c>
      <x:c r="S464" s="90" t="n">
        <x:v>0</x:v>
      </x:c>
      <x:c r="T464" t="n">
        <x:v>0</x:v>
      </x:c>
      <x:c r="U464">
        <x:v>0</x:v>
      </x:c>
      <x:c r="V464">
        <x:v>0</x:v>
      </x:c>
      <x:c r="W464">
        <x:v>0</x:v>
      </x:c>
      <x:c r="X464">
        <x:v>0</x:v>
      </x:c>
      <x:c r="Y464" s="90">
        <x:v>0</x:v>
      </x:c>
      <x:c r="Z464">
        <x:v>0</x:v>
      </x:c>
    </x:row>
    <x:row r="465" spans="3:26" s="656" customFormat="1" ht="12.75" customHeight="1" x14ac:dyDescent="0.3">
      <x:c r="C465" s="656" t="s">
        <x:v>155</x:v>
      </x:c>
      <x:c r="D465" s="657" t="s">
        <x:v>70</x:v>
      </x:c>
      <x:c r="E465" s="657"/>
      <x:c r="F465" s="658" t="n">
        <x:v>21957966.97</x:v>
      </x:c>
      <x:c r="G465" s="658" t="n">
        <x:v>1227244.86</x:v>
      </x:c>
      <x:c r="H465" s="658" t="n">
        <x:v>691386.19</x:v>
      </x:c>
      <x:c r="I465" s="658" t="n">
        <x:v>369846.57</x:v>
      </x:c>
      <x:c r="J465" s="658" t="n">
        <x:v>4959152.18</x:v>
      </x:c>
      <x:c r="K465" s="658" t="n">
        <x:v>146012.85</x:v>
      </x:c>
      <x:c r="L465" s="658" t="n">
        <x:v>0</x:v>
      </x:c>
      <x:c r="M465" s="658" t="n">
        <x:v>1272582.42</x:v>
      </x:c>
      <x:c r="N465" s="658" t="n">
        <x:v>1586745.82</x:v>
      </x:c>
      <x:c r="O465" s="658" t="n">
        <x:v>8184557.69</x:v>
      </x:c>
      <x:c r="P465" s="658" t="n">
        <x:v>3280785.35</x:v>
      </x:c>
      <x:c r="Q465" s="658" t="n">
        <x:v>239656.33</x:v>
      </x:c>
      <x:c r="R465" s="658" t="n">
        <x:v>-3.29</x:v>
      </x:c>
      <x:c r="S465" s="658" t="n">
        <x:v>0</x:v>
      </x:c>
      <x:c r="T465" s="656" t="n">
        <x:v>0</x:v>
      </x:c>
      <x:c r="U465" s="656">
        <x:v>0</x:v>
      </x:c>
      <x:c r="V465" s="656">
        <x:v>0</x:v>
      </x:c>
      <x:c r="W465" s="656">
        <x:v>0</x:v>
      </x:c>
      <x:c r="X465" s="656">
        <x:v>0</x:v>
      </x:c>
      <x:c r="Y465" s="658">
        <x:v>0</x:v>
      </x:c>
      <x:c r="Z465" s="656">
        <x:v>0</x:v>
      </x:c>
    </x:row>
    <x:row r="466" spans="3:26" ht="12.75" customHeight="1" x14ac:dyDescent="0.3">
      <x:c r="D466" s="89"/>
      <x:c r="E466" s="89" t="s">
        <x:v>72</x:v>
      </x:c>
      <x:c r="F466" s="371" t="n">
        <x:v>269250.42</x:v>
      </x:c>
      <x:c r="G466" s="90" t="n">
        <x:v>11640.67</x:v>
      </x:c>
      <x:c r="H466" s="90" t="n">
        <x:v>6539.65</x:v>
      </x:c>
      <x:c r="I466" s="90" t="n">
        <x:v>3462.31</x:v>
      </x:c>
      <x:c r="J466" s="90" t="n">
        <x:v>34147.99</x:v>
      </x:c>
      <x:c r="K466" s="90" t="n">
        <x:v>2728.6</x:v>
      </x:c>
      <x:c r="L466" s="90" t="n">
        <x:v>0</x:v>
      </x:c>
      <x:c r="M466" s="90" t="n">
        <x:v>23935.17</x:v>
      </x:c>
      <x:c r="N466" s="90" t="n">
        <x:v>24673.09</x:v>
      </x:c>
      <x:c r="O466" s="90" t="n">
        <x:v>126745.31</x:v>
      </x:c>
      <x:c r="P466" s="90" t="n">
        <x:v>30932.12</x:v>
      </x:c>
      <x:c r="Q466" s="90" t="n">
        <x:v>4451.93</x:v>
      </x:c>
      <x:c r="R466" s="90" t="n">
        <x:v>-6.42</x:v>
      </x:c>
      <x:c r="S466" s="90" t="n">
        <x:v>0</x:v>
      </x:c>
      <x:c r="T466" s="90" t="n">
        <x:v>0</x:v>
      </x:c>
      <x:c r="U466" s="90">
        <x:v>0</x:v>
      </x:c>
      <x:c r="V466" s="90">
        <x:v>0</x:v>
      </x:c>
      <x:c r="W466" s="90">
        <x:v>0</x:v>
      </x:c>
      <x:c r="X466">
        <x:v>0</x:v>
      </x:c>
      <x:c r="Y466">
        <x:v>0</x:v>
      </x:c>
      <x:c r="Z466">
        <x:v>0</x:v>
      </x:c>
    </x:row>
    <x:row r="467" spans="3:26" ht="12.75" customHeight="1" x14ac:dyDescent="0.3">
      <x:c r="D467" s="89"/>
      <x:c r="E467" s="89" t="s">
        <x:v>81</x:v>
      </x:c>
      <x:c r="F467" s="371" t="n">
        <x:v>2364.25</x:v>
      </x:c>
      <x:c r="G467" s="90" t="n">
        <x:v>134.94</x:v>
      </x:c>
      <x:c r="H467" s="90" t="n">
        <x:v>75.89</x:v>
      </x:c>
      <x:c r="I467" s="90" t="n">
        <x:v>40.21</x:v>
      </x:c>
      <x:c r="J467" s="90" t="n">
        <x:v>655.11</x:v>
      </x:c>
      <x:c r="K467" s="90" t="n">
        <x:v>17.62</x:v>
      </x:c>
      <x:c r="L467" s="90" t="n">
        <x:v>0</x:v>
      </x:c>
      <x:c r="M467" s="90" t="n">
        <x:v>154.5</x:v>
      </x:c>
      <x:c r="N467" s="90" t="n">
        <x:v>202.63</x:v>
      </x:c>
      <x:c r="O467" s="90" t="n">
        <x:v>695.36</x:v>
      </x:c>
      <x:c r="P467" s="90" t="n">
        <x:v>359.29</x:v>
      </x:c>
      <x:c r="Q467" s="90" t="n">
        <x:v>28.76</x:v>
      </x:c>
      <x:c r="R467" s="90" t="n">
        <x:v>-0.06</x:v>
      </x:c>
      <x:c r="S467" s="90" t="n">
        <x:v>0</x:v>
      </x:c>
      <x:c r="T467" s="90" t="n">
        <x:v>0</x:v>
      </x:c>
      <x:c r="U467" s="90">
        <x:v>0</x:v>
      </x:c>
      <x:c r="V467" s="90">
        <x:v>0</x:v>
      </x:c>
      <x:c r="W467" s="90">
        <x:v>0</x:v>
      </x:c>
      <x:c r="X467">
        <x:v>0</x:v>
      </x:c>
      <x:c r="Y467">
        <x:v>0</x:v>
      </x:c>
      <x:c r="Z467">
        <x:v>0</x:v>
      </x:c>
    </x:row>
    <x:row r="468" spans="3:26" ht="12.75" customHeight="1" x14ac:dyDescent="0.3">
      <x:c r="D468" s="89" t="s">
        <x:v>115</x:v>
      </x:c>
      <x:c r="E468" s="89" t="s">
        <x:v>70</x:v>
      </x:c>
      <x:c r="F468" s="371" t="n">
        <x:v>271614.67</x:v>
      </x:c>
      <x:c r="G468" s="90" t="n">
        <x:v>11775.61</x:v>
      </x:c>
      <x:c r="H468" s="90" t="n">
        <x:v>6615.54</x:v>
      </x:c>
      <x:c r="I468" s="90" t="n">
        <x:v>3502.52</x:v>
      </x:c>
      <x:c r="J468" s="90" t="n">
        <x:v>34803.1</x:v>
      </x:c>
      <x:c r="K468" s="90" t="n">
        <x:v>2746.22</x:v>
      </x:c>
      <x:c r="L468" s="90" t="n">
        <x:v>0</x:v>
      </x:c>
      <x:c r="M468" s="90" t="n">
        <x:v>24089.67</x:v>
      </x:c>
      <x:c r="N468" s="90" t="n">
        <x:v>24875.72</x:v>
      </x:c>
      <x:c r="O468" s="90" t="n">
        <x:v>127440.67</x:v>
      </x:c>
      <x:c r="P468" s="90" t="n">
        <x:v>31291.41</x:v>
      </x:c>
      <x:c r="Q468" s="90" t="n">
        <x:v>4480.69</x:v>
      </x:c>
      <x:c r="R468" s="90" t="n">
        <x:v>-6.48</x:v>
      </x:c>
      <x:c r="S468" s="90" t="n">
        <x:v>0</x:v>
      </x:c>
      <x:c r="T468" s="90" t="n">
        <x:v>0</x:v>
      </x:c>
      <x:c r="U468" s="90">
        <x:v>0</x:v>
      </x:c>
      <x:c r="V468" s="90">
        <x:v>0</x:v>
      </x:c>
      <x:c r="W468" s="90">
        <x:v>0</x:v>
      </x:c>
      <x:c r="X468">
        <x:v>0</x:v>
      </x:c>
      <x:c r="Y468">
        <x:v>0</x:v>
      </x:c>
      <x:c r="Z468">
        <x:v>0</x:v>
      </x:c>
    </x:row>
    <x:row r="469" spans="3:26" ht="12.75" customHeight="1" x14ac:dyDescent="0.3">
      <x:c r="D469" s="89"/>
      <x:c r="E469" s="89" t="s">
        <x:v>72</x:v>
      </x:c>
      <x:c r="F469" s="371">
        <x:v>0</x:v>
      </x:c>
      <x:c r="G469" s="90">
        <x:v>0</x:v>
      </x:c>
      <x:c r="H469" s="90">
        <x:v>0</x:v>
      </x:c>
      <x:c r="I469" s="90">
        <x:v>0</x:v>
      </x:c>
      <x:c r="J469" s="90">
        <x:v>0</x:v>
      </x:c>
      <x:c r="K469" s="90">
        <x:v>0</x:v>
      </x:c>
      <x:c r="L469" s="90">
        <x:v>0</x:v>
      </x:c>
      <x:c r="M469" s="90">
        <x:v>0</x:v>
      </x:c>
      <x:c r="N469" s="90">
        <x:v>0</x:v>
      </x:c>
      <x:c r="O469" s="90">
        <x:v>0</x:v>
      </x:c>
      <x:c r="P469" s="90">
        <x:v>0</x:v>
      </x:c>
      <x:c r="Q469" s="90">
        <x:v>0</x:v>
      </x:c>
      <x:c r="R469" s="90">
        <x:v>0</x:v>
      </x:c>
      <x:c r="S469" s="90">
        <x:v>0</x:v>
      </x:c>
      <x:c r="T469" s="90">
        <x:v>0</x:v>
      </x:c>
      <x:c r="U469" s="90">
        <x:v>0</x:v>
      </x:c>
      <x:c r="V469" s="90">
        <x:v>0</x:v>
      </x:c>
      <x:c r="W469" s="90">
        <x:v>0</x:v>
      </x:c>
      <x:c r="X469">
        <x:v>0</x:v>
      </x:c>
      <x:c r="Y469">
        <x:v>0</x:v>
      </x:c>
      <x:c r="Z469">
        <x:v>0</x:v>
      </x:c>
    </x:row>
    <x:row r="470" spans="3:26" ht="12.75" customHeight="1" x14ac:dyDescent="0.3">
      <x:c r="D470" s="89"/>
      <x:c r="E470" s="89" t="s">
        <x:v>81</x:v>
      </x:c>
      <x:c r="F470" s="90">
        <x:v>0</x:v>
      </x:c>
      <x:c r="G470" s="90">
        <x:v>0</x:v>
      </x:c>
      <x:c r="H470" s="90">
        <x:v>0</x:v>
      </x:c>
      <x:c r="I470" s="90">
        <x:v>0</x:v>
      </x:c>
      <x:c r="J470" s="90">
        <x:v>0</x:v>
      </x:c>
      <x:c r="K470" s="90">
        <x:v>0</x:v>
      </x:c>
      <x:c r="L470" s="90">
        <x:v>0</x:v>
      </x:c>
      <x:c r="M470" s="90">
        <x:v>0</x:v>
      </x:c>
      <x:c r="N470" s="90">
        <x:v>0</x:v>
      </x:c>
      <x:c r="O470" s="90">
        <x:v>0</x:v>
      </x:c>
      <x:c r="P470" s="90">
        <x:v>0</x:v>
      </x:c>
      <x:c r="Q470" s="90">
        <x:v>0</x:v>
      </x:c>
      <x:c r="R470" s="90">
        <x:v>0</x:v>
      </x:c>
      <x:c r="S470" s="90">
        <x:v>0</x:v>
      </x:c>
      <x:c r="T470" s="90">
        <x:v>0</x:v>
      </x:c>
      <x:c r="U470" s="90">
        <x:v>0</x:v>
      </x:c>
      <x:c r="V470" s="90">
        <x:v>0</x:v>
      </x:c>
      <x:c r="W470" s="90">
        <x:v>0</x:v>
      </x:c>
      <x:c r="X470">
        <x:v>0</x:v>
      </x:c>
      <x:c r="Y470">
        <x:v>0</x:v>
      </x:c>
      <x:c r="Z470">
        <x:v>0</x:v>
      </x:c>
    </x:row>
    <x:row r="471" spans="3:26" ht="12.75" customHeight="1" x14ac:dyDescent="0.3">
      <x:c r="D471" t="s">
        <x:v>116</x:v>
      </x:c>
      <x:c r="E471" s="89" t="s">
        <x:v>70</x:v>
      </x:c>
      <x:c r="F471" s="90">
        <x:v>0</x:v>
      </x:c>
      <x:c r="G471" s="90">
        <x:v>0</x:v>
      </x:c>
      <x:c r="H471" s="90">
        <x:v>0</x:v>
      </x:c>
      <x:c r="I471" s="90">
        <x:v>0</x:v>
      </x:c>
      <x:c r="J471" s="90">
        <x:v>0</x:v>
      </x:c>
      <x:c r="K471" s="90">
        <x:v>0</x:v>
      </x:c>
      <x:c r="L471" s="90">
        <x:v>0</x:v>
      </x:c>
      <x:c r="M471" s="90">
        <x:v>0</x:v>
      </x:c>
      <x:c r="N471" s="90">
        <x:v>0</x:v>
      </x:c>
      <x:c r="O471" s="90">
        <x:v>0</x:v>
      </x:c>
      <x:c r="P471" s="90">
        <x:v>0</x:v>
      </x:c>
      <x:c r="Q471" s="90">
        <x:v>0</x:v>
      </x:c>
      <x:c r="R471" s="90">
        <x:v>0</x:v>
      </x:c>
      <x:c r="S471" s="90">
        <x:v>0</x:v>
      </x:c>
      <x:c r="T471" s="90">
        <x:v>0</x:v>
      </x:c>
      <x:c r="U471" s="90">
        <x:v>0</x:v>
      </x:c>
      <x:c r="V471" s="90">
        <x:v>0</x:v>
      </x:c>
      <x:c r="W471" s="90">
        <x:v>0</x:v>
      </x:c>
      <x:c r="X471">
        <x:v>0</x:v>
      </x:c>
      <x:c r="Y471">
        <x:v>0</x:v>
      </x:c>
      <x:c r="Z471">
        <x:v>0</x:v>
      </x:c>
    </x:row>
    <x:row r="472" spans="3:26" ht="12.75" customHeight="1" x14ac:dyDescent="0.3">
      <x:c r="D472" s="89"/>
      <x:c r="E472" s="89" t="s">
        <x:v>72</x:v>
      </x:c>
      <x:c r="F472" s="90" t="n">
        <x:v>84970</x:v>
      </x:c>
      <x:c r="G472" s="90" t="n">
        <x:v>2339.92</x:v>
      </x:c>
      <x:c r="H472" s="90" t="n">
        <x:v>1244.84</x:v>
      </x:c>
      <x:c r="I472" s="90" t="n">
        <x:v>1230.9</x:v>
      </x:c>
      <x:c r="J472" s="90" t="n">
        <x:v>18888.68</x:v>
      </x:c>
      <x:c r="K472" s="90" t="n">
        <x:v>959</x:v>
      </x:c>
      <x:c r="L472" s="90" t="n">
        <x:v>0</x:v>
      </x:c>
      <x:c r="M472" s="90" t="n">
        <x:v>3672.68</x:v>
      </x:c>
      <x:c r="N472" s="90" t="n">
        <x:v>6952.02</x:v>
      </x:c>
      <x:c r="O472" s="90" t="n">
        <x:v>42280.75</x:v>
      </x:c>
      <x:c r="P472" s="90" t="n">
        <x:v>5836.55</x:v>
      </x:c>
      <x:c r="Q472" s="90" t="n">
        <x:v>1564.66</x:v>
      </x:c>
      <x:c r="R472" s="90" t="n">
        <x:v>0</x:v>
      </x:c>
      <x:c r="S472" s="90" t="n">
        <x:v>0</x:v>
      </x:c>
      <x:c r="T472" s="90" t="n">
        <x:v>0</x:v>
      </x:c>
      <x:c r="U472" s="90">
        <x:v>0</x:v>
      </x:c>
      <x:c r="V472" s="90">
        <x:v>0</x:v>
      </x:c>
      <x:c r="W472" s="90">
        <x:v>0</x:v>
      </x:c>
      <x:c r="X472">
        <x:v>0</x:v>
      </x:c>
      <x:c r="Y472">
        <x:v>0</x:v>
      </x:c>
      <x:c r="Z472">
        <x:v>0</x:v>
      </x:c>
    </x:row>
    <x:row r="473" spans="3:26" ht="12.75" customHeight="1" x14ac:dyDescent="0.3">
      <x:c r="E473" s="89" t="s">
        <x:v>81</x:v>
      </x:c>
      <x:c r="F473" s="90">
        <x:v>0</x:v>
      </x:c>
      <x:c r="G473" s="90">
        <x:v>0</x:v>
      </x:c>
      <x:c r="H473" s="90">
        <x:v>0</x:v>
      </x:c>
      <x:c r="I473" s="90">
        <x:v>0</x:v>
      </x:c>
      <x:c r="J473" s="90">
        <x:v>0</x:v>
      </x:c>
      <x:c r="K473" s="90">
        <x:v>0</x:v>
      </x:c>
      <x:c r="L473" s="90">
        <x:v>0</x:v>
      </x:c>
      <x:c r="M473" s="90">
        <x:v>0</x:v>
      </x:c>
      <x:c r="N473" s="90">
        <x:v>0</x:v>
      </x:c>
      <x:c r="O473" s="90">
        <x:v>0</x:v>
      </x:c>
      <x:c r="P473" s="90">
        <x:v>0</x:v>
      </x:c>
      <x:c r="Q473" s="90">
        <x:v>0</x:v>
      </x:c>
      <x:c r="R473" s="90">
        <x:v>0</x:v>
      </x:c>
      <x:c r="S473" s="90">
        <x:v>0</x:v>
      </x:c>
      <x:c r="T473" s="90">
        <x:v>0</x:v>
      </x:c>
      <x:c r="U473" s="90">
        <x:v>0</x:v>
      </x:c>
      <x:c r="V473" s="90">
        <x:v>0</x:v>
      </x:c>
      <x:c r="W473" s="90">
        <x:v>0</x:v>
      </x:c>
      <x:c r="X473">
        <x:v>0</x:v>
      </x:c>
      <x:c r="Y473">
        <x:v>0</x:v>
      </x:c>
      <x:c r="Z473">
        <x:v>0</x:v>
      </x:c>
    </x:row>
    <x:row r="474" spans="3:26" ht="12.75" customHeight="1" x14ac:dyDescent="0.3">
      <x:c r="D474" t="s">
        <x:v>118</x:v>
      </x:c>
      <x:c r="E474" s="89" t="s">
        <x:v>70</x:v>
      </x:c>
      <x:c r="F474" s="90" t="n">
        <x:v>84970</x:v>
      </x:c>
      <x:c r="G474" s="90" t="n">
        <x:v>2339.92</x:v>
      </x:c>
      <x:c r="H474" s="90" t="n">
        <x:v>1244.84</x:v>
      </x:c>
      <x:c r="I474" s="90" t="n">
        <x:v>1230.9</x:v>
      </x:c>
      <x:c r="J474" s="90" t="n">
        <x:v>18888.68</x:v>
      </x:c>
      <x:c r="K474" s="90" t="n">
        <x:v>959</x:v>
      </x:c>
      <x:c r="L474" s="90" t="n">
        <x:v>0</x:v>
      </x:c>
      <x:c r="M474" s="90" t="n">
        <x:v>3672.68</x:v>
      </x:c>
      <x:c r="N474" s="90" t="n">
        <x:v>6952.02</x:v>
      </x:c>
      <x:c r="O474" s="90" t="n">
        <x:v>42280.75</x:v>
      </x:c>
      <x:c r="P474" s="90" t="n">
        <x:v>5836.55</x:v>
      </x:c>
      <x:c r="Q474" s="90" t="n">
        <x:v>1564.66</x:v>
      </x:c>
      <x:c r="R474" s="90" t="n">
        <x:v>0</x:v>
      </x:c>
      <x:c r="S474" s="90" t="n">
        <x:v>0</x:v>
      </x:c>
      <x:c r="T474" s="90" t="n">
        <x:v>0</x:v>
      </x:c>
      <x:c r="U474" s="90">
        <x:v>0</x:v>
      </x:c>
      <x:c r="V474" s="90">
        <x:v>0</x:v>
      </x:c>
      <x:c r="W474" s="90">
        <x:v>0</x:v>
      </x:c>
      <x:c r="X474">
        <x:v>0</x:v>
      </x:c>
      <x:c r="Y474">
        <x:v>0</x:v>
      </x:c>
      <x:c r="Z474">
        <x:v>0</x:v>
      </x:c>
    </x:row>
    <x:row r="475" spans="3:26" s="224" customFormat="1" ht="12.75" customHeight="1" x14ac:dyDescent="0.3">
      <x:c r="C475" s="223" t="s">
        <x:v>120</x:v>
      </x:c>
      <x:c r="D475" s="223" t="s">
        <x:v>70</x:v>
      </x:c>
      <x:c r="F475" s="225" t="n">
        <x:v>356584.67</x:v>
      </x:c>
      <x:c r="G475" s="225" t="n">
        <x:v>14115.53</x:v>
      </x:c>
      <x:c r="H475" s="225" t="n">
        <x:v>7860.38</x:v>
      </x:c>
      <x:c r="I475" s="225" t="n">
        <x:v>4733.42</x:v>
      </x:c>
      <x:c r="J475" s="225" t="n">
        <x:v>53691.78</x:v>
      </x:c>
      <x:c r="K475" s="225" t="n">
        <x:v>3705.22</x:v>
      </x:c>
      <x:c r="L475" s="225" t="n">
        <x:v>0</x:v>
      </x:c>
      <x:c r="M475" s="225" t="n">
        <x:v>27762.35</x:v>
      </x:c>
      <x:c r="N475" s="225" t="n">
        <x:v>31827.74</x:v>
      </x:c>
      <x:c r="O475" s="225" t="n">
        <x:v>169721.42</x:v>
      </x:c>
      <x:c r="P475" s="225" t="n">
        <x:v>37127.96</x:v>
      </x:c>
      <x:c r="Q475" s="225" t="n">
        <x:v>6045.35</x:v>
      </x:c>
      <x:c r="R475" s="225" t="n">
        <x:v>-6.48</x:v>
      </x:c>
      <x:c r="S475" s="225" t="n">
        <x:v>0</x:v>
      </x:c>
      <x:c r="T475" s="224" t="n">
        <x:v>0</x:v>
      </x:c>
      <x:c r="U475" s="224">
        <x:v>0</x:v>
      </x:c>
      <x:c r="V475" s="224">
        <x:v>0</x:v>
      </x:c>
      <x:c r="W475" s="224">
        <x:v>0</x:v>
      </x:c>
      <x:c r="X475" s="224">
        <x:v>0</x:v>
      </x:c>
      <x:c r="Y475" s="225">
        <x:v>0</x:v>
      </x:c>
      <x:c r="Z475" s="224">
        <x:v>0</x:v>
      </x:c>
    </x:row>
    <x:row r="476" spans="3:26" ht="12.75" customHeight="1" x14ac:dyDescent="0.3">
      <x:c r="E476" s="89" t="s">
        <x:v>72</x:v>
      </x:c>
      <x:c r="F476" s="371" t="n">
        <x:v>463014.86</x:v>
      </x:c>
      <x:c r="G476" s="90" t="n">
        <x:v>25280.16</x:v>
      </x:c>
      <x:c r="H476" s="90" t="n">
        <x:v>14101.02</x:v>
      </x:c>
      <x:c r="I476" s="90" t="n">
        <x:v>7491.65</x:v>
      </x:c>
      <x:c r="J476" s="90" t="n">
        <x:v>106488.08</x:v>
      </x:c>
      <x:c r="K476" s="90" t="n">
        <x:v>3860.16</x:v>
      </x:c>
      <x:c r="L476" s="90" t="n">
        <x:v>0</x:v>
      </x:c>
      <x:c r="M476" s="90" t="n">
        <x:v>33861.06</x:v>
      </x:c>
      <x:c r="N476" s="90" t="n">
        <x:v>32145.55</x:v>
      </x:c>
      <x:c r="O476" s="90" t="n">
        <x:v>166557.78</x:v>
      </x:c>
      <x:c r="P476" s="90" t="n">
        <x:v>66934.6</x:v>
      </x:c>
      <x:c r="Q476" s="90" t="n">
        <x:v>6298.09</x:v>
      </x:c>
      <x:c r="R476" s="90" t="n">
        <x:v>-3.29</x:v>
      </x:c>
      <x:c r="S476" s="90" t="n">
        <x:v>0</x:v>
      </x:c>
      <x:c r="T476" s="90" t="n">
        <x:v>0</x:v>
      </x:c>
      <x:c r="U476" s="90">
        <x:v>0</x:v>
      </x:c>
      <x:c r="V476" s="90">
        <x:v>0</x:v>
      </x:c>
      <x:c r="W476" s="90">
        <x:v>0</x:v>
      </x:c>
      <x:c r="X476">
        <x:v>0</x:v>
      </x:c>
      <x:c r="Y476">
        <x:v>0</x:v>
      </x:c>
      <x:c r="Z476">
        <x:v>0</x:v>
      </x:c>
    </x:row>
    <x:row r="477" spans="3:26" ht="12.75" customHeight="1" x14ac:dyDescent="0.3">
      <x:c r="E477" s="89" t="s">
        <x:v>81</x:v>
      </x:c>
      <x:c r="F477" s="371">
        <x:v>0</x:v>
      </x:c>
      <x:c r="G477" s="90">
        <x:v>0</x:v>
      </x:c>
      <x:c r="H477" s="90">
        <x:v>0</x:v>
      </x:c>
      <x:c r="I477" s="90">
        <x:v>0</x:v>
      </x:c>
      <x:c r="J477" s="90">
        <x:v>0</x:v>
      </x:c>
      <x:c r="K477" s="90">
        <x:v>0</x:v>
      </x:c>
      <x:c r="L477" s="90">
        <x:v>0</x:v>
      </x:c>
      <x:c r="M477" s="90">
        <x:v>0</x:v>
      </x:c>
      <x:c r="N477" s="90">
        <x:v>0</x:v>
      </x:c>
      <x:c r="O477" s="90">
        <x:v>0</x:v>
      </x:c>
      <x:c r="P477" s="90">
        <x:v>0</x:v>
      </x:c>
      <x:c r="Q477" s="90">
        <x:v>0</x:v>
      </x:c>
      <x:c r="R477" s="90">
        <x:v>0</x:v>
      </x:c>
      <x:c r="S477" s="90">
        <x:v>0</x:v>
      </x:c>
      <x:c r="T477" s="90">
        <x:v>0</x:v>
      </x:c>
      <x:c r="U477" s="90">
        <x:v>0</x:v>
      </x:c>
      <x:c r="V477" s="90">
        <x:v>0</x:v>
      </x:c>
      <x:c r="W477" s="90">
        <x:v>0</x:v>
      </x:c>
      <x:c r="X477">
        <x:v>0</x:v>
      </x:c>
      <x:c r="Y477">
        <x:v>0</x:v>
      </x:c>
      <x:c r="Z477">
        <x:v>0</x:v>
      </x:c>
    </x:row>
    <x:row r="478" spans="3:26" ht="12.75" customHeight="1" x14ac:dyDescent="0.3">
      <x:c r="D478" t="s">
        <x:v>82</x:v>
      </x:c>
      <x:c r="E478" s="89" t="s">
        <x:v>70</x:v>
      </x:c>
      <x:c r="F478" s="371" t="n">
        <x:v>463014.86</x:v>
      </x:c>
      <x:c r="G478" s="90" t="n">
        <x:v>25280.16</x:v>
      </x:c>
      <x:c r="H478" s="90" t="n">
        <x:v>14101.02</x:v>
      </x:c>
      <x:c r="I478" s="90" t="n">
        <x:v>7491.65</x:v>
      </x:c>
      <x:c r="J478" s="90" t="n">
        <x:v>106488.08</x:v>
      </x:c>
      <x:c r="K478" s="90" t="n">
        <x:v>3860.16</x:v>
      </x:c>
      <x:c r="L478" s="90" t="n">
        <x:v>0</x:v>
      </x:c>
      <x:c r="M478" s="90" t="n">
        <x:v>33861.06</x:v>
      </x:c>
      <x:c r="N478" s="90" t="n">
        <x:v>32145.55</x:v>
      </x:c>
      <x:c r="O478" s="90" t="n">
        <x:v>166557.78</x:v>
      </x:c>
      <x:c r="P478" s="90" t="n">
        <x:v>66934.6</x:v>
      </x:c>
      <x:c r="Q478" s="90" t="n">
        <x:v>6298.09</x:v>
      </x:c>
      <x:c r="R478" s="90" t="n">
        <x:v>-3.29</x:v>
      </x:c>
      <x:c r="S478" s="90" t="n">
        <x:v>0</x:v>
      </x:c>
      <x:c r="T478" s="90" t="n">
        <x:v>0</x:v>
      </x:c>
      <x:c r="U478" s="90">
        <x:v>0</x:v>
      </x:c>
      <x:c r="V478" s="90">
        <x:v>0</x:v>
      </x:c>
      <x:c r="W478" s="90">
        <x:v>0</x:v>
      </x:c>
      <x:c r="X478">
        <x:v>0</x:v>
      </x:c>
      <x:c r="Y478">
        <x:v>0</x:v>
      </x:c>
      <x:c r="Z478">
        <x:v>0</x:v>
      </x:c>
    </x:row>
    <x:row r="479" spans="3:26" ht="12.75" customHeight="1" x14ac:dyDescent="0.3">
      <x:c r="E479" s="89" t="s">
        <x:v>72</x:v>
      </x:c>
      <x:c r="F479" s="371" t="n">
        <x:v>246993.84</x:v>
      </x:c>
      <x:c r="G479" s="90" t="n">
        <x:v>11800.76</x:v>
      </x:c>
      <x:c r="H479" s="90" t="n">
        <x:v>6274.55</x:v>
      </x:c>
      <x:c r="I479" s="90" t="n">
        <x:v>3485.2</x:v>
      </x:c>
      <x:c r="J479" s="90" t="n">
        <x:v>60372.89</x:v>
      </x:c>
      <x:c r="K479" s="90" t="n">
        <x:v>1884.56</x:v>
      </x:c>
      <x:c r="L479" s="90" t="n">
        <x:v>0</x:v>
      </x:c>
      <x:c r="M479" s="90" t="n">
        <x:v>16531.35</x:v>
      </x:c>
      <x:c r="N479" s="90" t="n">
        <x:v>18311.72</x:v>
      </x:c>
      <x:c r="O479" s="90" t="n">
        <x:v>93908.52</x:v>
      </x:c>
      <x:c r="P479" s="90" t="n">
        <x:v>31345.47</x:v>
      </x:c>
      <x:c r="Q479" s="90" t="n">
        <x:v>3074.81</x:v>
      </x:c>
      <x:c r="R479" s="90" t="n">
        <x:v>4.01</x:v>
      </x:c>
      <x:c r="S479" s="90" t="n">
        <x:v>0</x:v>
      </x:c>
      <x:c r="T479" s="90" t="n">
        <x:v>0</x:v>
      </x:c>
      <x:c r="U479" s="90">
        <x:v>0</x:v>
      </x:c>
      <x:c r="V479" s="90">
        <x:v>0</x:v>
      </x:c>
      <x:c r="W479" s="90">
        <x:v>0</x:v>
      </x:c>
      <x:c r="X479">
        <x:v>0</x:v>
      </x:c>
      <x:c r="Y479">
        <x:v>0</x:v>
      </x:c>
      <x:c r="Z479">
        <x:v>0</x:v>
      </x:c>
    </x:row>
    <x:row r="480" spans="3:26" ht="12.75" customHeight="1" x14ac:dyDescent="0.3">
      <x:c r="E480" s="89" t="s">
        <x:v>81</x:v>
      </x:c>
      <x:c r="F480" s="371" t="n">
        <x:v>182</x:v>
      </x:c>
      <x:c r="G480" s="90" t="n">
        <x:v>10.86</x:v>
      </x:c>
      <x:c r="H480" s="90" t="n">
        <x:v>6.08</x:v>
      </x:c>
      <x:c r="I480" s="90" t="n">
        <x:v>3.22</x:v>
      </x:c>
      <x:c r="J480" s="90" t="n">
        <x:v>42.07</x:v>
      </x:c>
      <x:c r="K480" s="90" t="n">
        <x:v>1.43</x:v>
      </x:c>
      <x:c r="L480" s="90" t="n">
        <x:v>0</x:v>
      </x:c>
      <x:c r="M480" s="90" t="n">
        <x:v>12.51</x:v>
      </x:c>
      <x:c r="N480" s="90" t="n">
        <x:v>12.16</x:v>
      </x:c>
      <x:c r="O480" s="90" t="n">
        <x:v>62.61</x:v>
      </x:c>
      <x:c r="P480" s="90" t="n">
        <x:v>28.74</x:v>
      </x:c>
      <x:c r="Q480" s="90" t="n">
        <x:v>2.32</x:v>
      </x:c>
      <x:c r="R480" s="90" t="n">
        <x:v>0</x:v>
      </x:c>
      <x:c r="S480" s="90" t="n">
        <x:v>0</x:v>
      </x:c>
      <x:c r="T480" s="90" t="n">
        <x:v>0</x:v>
      </x:c>
      <x:c r="U480" s="90">
        <x:v>0</x:v>
      </x:c>
      <x:c r="V480" s="90">
        <x:v>0</x:v>
      </x:c>
      <x:c r="W480" s="90">
        <x:v>0</x:v>
      </x:c>
      <x:c r="X480">
        <x:v>0</x:v>
      </x:c>
      <x:c r="Y480">
        <x:v>0</x:v>
      </x:c>
      <x:c r="Z480">
        <x:v>0</x:v>
      </x:c>
    </x:row>
    <x:row r="481" spans="2:26" ht="12.75" customHeight="1" x14ac:dyDescent="0.3">
      <x:c r="D481" t="s">
        <x:v>86</x:v>
      </x:c>
      <x:c r="E481" s="89" t="s">
        <x:v>70</x:v>
      </x:c>
      <x:c r="F481" s="371" t="n">
        <x:v>247175.84</x:v>
      </x:c>
      <x:c r="G481" s="90" t="n">
        <x:v>11811.62</x:v>
      </x:c>
      <x:c r="H481" s="90" t="n">
        <x:v>6280.63</x:v>
      </x:c>
      <x:c r="I481" s="90" t="n">
        <x:v>3488.42</x:v>
      </x:c>
      <x:c r="J481" s="90" t="n">
        <x:v>60414.96</x:v>
      </x:c>
      <x:c r="K481" s="90" t="n">
        <x:v>1885.99</x:v>
      </x:c>
      <x:c r="L481" s="90" t="n">
        <x:v>0</x:v>
      </x:c>
      <x:c r="M481" s="90" t="n">
        <x:v>16543.86</x:v>
      </x:c>
      <x:c r="N481" s="90" t="n">
        <x:v>18323.88</x:v>
      </x:c>
      <x:c r="O481" s="90" t="n">
        <x:v>93971.13</x:v>
      </x:c>
      <x:c r="P481" s="90" t="n">
        <x:v>31374.21</x:v>
      </x:c>
      <x:c r="Q481" s="90" t="n">
        <x:v>3077.13</x:v>
      </x:c>
      <x:c r="R481" s="90" t="n">
        <x:v>4.01</x:v>
      </x:c>
      <x:c r="S481" s="90" t="n">
        <x:v>0</x:v>
      </x:c>
      <x:c r="T481" s="90" t="n">
        <x:v>0</x:v>
      </x:c>
      <x:c r="U481" s="90">
        <x:v>0</x:v>
      </x:c>
      <x:c r="V481" s="90">
        <x:v>0</x:v>
      </x:c>
      <x:c r="W481" s="90">
        <x:v>0</x:v>
      </x:c>
      <x:c r="X481">
        <x:v>0</x:v>
      </x:c>
      <x:c r="Y481">
        <x:v>0</x:v>
      </x:c>
      <x:c r="Z481">
        <x:v>0</x:v>
      </x:c>
    </x:row>
    <x:row r="482" spans="2:26" ht="12.75" customHeight="1" x14ac:dyDescent="0.3">
      <x:c r="E482" s="89" t="s">
        <x:v>72</x:v>
      </x:c>
      <x:c r="F482" s="371" t="n">
        <x:v>6840</x:v>
      </x:c>
      <x:c r="G482" s="90" t="n">
        <x:v>305.47</x:v>
      </x:c>
      <x:c r="H482" s="90" t="n">
        <x:v>170.21</x:v>
      </x:c>
      <x:c r="I482" s="90" t="n">
        <x:v>90.52</x:v>
      </x:c>
      <x:c r="J482" s="90" t="n">
        <x:v>1618.16</x:v>
      </x:c>
      <x:c r="K482" s="90" t="n">
        <x:v>61.86</x:v>
      </x:c>
      <x:c r="L482" s="90" t="n">
        <x:v>0</x:v>
      </x:c>
      <x:c r="M482" s="90" t="n">
        <x:v>542.61</x:v>
      </x:c>
      <x:c r="N482" s="90" t="n">
        <x:v>505.61</x:v>
      </x:c>
      <x:c r="O482" s="90" t="n">
        <x:v>2635.85</x:v>
      </x:c>
      <x:c r="P482" s="90" t="n">
        <x:v>808.79</x:v>
      </x:c>
      <x:c r="Q482" s="90" t="n">
        <x:v>100.92</x:v>
      </x:c>
      <x:c r="R482" s="90" t="n">
        <x:v>0</x:v>
      </x:c>
      <x:c r="S482" s="90" t="n">
        <x:v>0</x:v>
      </x:c>
      <x:c r="T482" s="90" t="n">
        <x:v>0</x:v>
      </x:c>
      <x:c r="U482" s="90">
        <x:v>0</x:v>
      </x:c>
      <x:c r="V482" s="90">
        <x:v>0</x:v>
      </x:c>
      <x:c r="W482" s="90">
        <x:v>0</x:v>
      </x:c>
      <x:c r="X482" s="90">
        <x:v>0</x:v>
      </x:c>
      <x:c r="Y482" s="90">
        <x:v>0</x:v>
      </x:c>
      <x:c r="Z482" s="90">
        <x:v>0</x:v>
      </x:c>
    </x:row>
    <x:row r="483" spans="2:26" x14ac:dyDescent="0.3">
      <x:c r="E483" t="s">
        <x:v>81</x:v>
      </x:c>
      <x:c r="F483" s="90">
        <x:v>0</x:v>
      </x:c>
      <x:c r="G483" s="90">
        <x:v>0</x:v>
      </x:c>
      <x:c r="H483" s="90">
        <x:v>0</x:v>
      </x:c>
      <x:c r="I483" s="90">
        <x:v>0</x:v>
      </x:c>
      <x:c r="J483" s="90">
        <x:v>0</x:v>
      </x:c>
      <x:c r="K483" s="90">
        <x:v>0</x:v>
      </x:c>
      <x:c r="L483" s="90">
        <x:v>0</x:v>
      </x:c>
      <x:c r="M483" s="90">
        <x:v>0</x:v>
      </x:c>
      <x:c r="N483" s="90">
        <x:v>0</x:v>
      </x:c>
      <x:c r="O483" s="90">
        <x:v>0</x:v>
      </x:c>
      <x:c r="P483" s="90">
        <x:v>0</x:v>
      </x:c>
      <x:c r="Q483" s="90">
        <x:v>0</x:v>
      </x:c>
      <x:c r="R483" s="90">
        <x:v>0</x:v>
      </x:c>
      <x:c r="S483" s="90">
        <x:v>0</x:v>
      </x:c>
      <x:c r="T483" s="90">
        <x:v>0</x:v>
      </x:c>
      <x:c r="U483">
        <x:v>0</x:v>
      </x:c>
      <x:c r="V483">
        <x:v>0</x:v>
      </x:c>
      <x:c r="W483">
        <x:v>0</x:v>
      </x:c>
      <x:c r="X483">
        <x:v>0</x:v>
      </x:c>
      <x:c r="Y483">
        <x:v>0</x:v>
      </x:c>
      <x:c r="Z483" s="90">
        <x:v>0</x:v>
      </x:c>
    </x:row>
    <x:row r="484" spans="2:26" ht="12.75" customHeight="1" x14ac:dyDescent="0.3">
      <x:c r="D484" t="s">
        <x:v>87</x:v>
      </x:c>
      <x:c r="E484" s="89" t="s">
        <x:v>70</x:v>
      </x:c>
      <x:c r="F484" s="371" t="n">
        <x:v>6840</x:v>
      </x:c>
      <x:c r="G484" s="90" t="n">
        <x:v>305.47</x:v>
      </x:c>
      <x:c r="H484" s="90" t="n">
        <x:v>170.21</x:v>
      </x:c>
      <x:c r="I484" s="90" t="n">
        <x:v>90.52</x:v>
      </x:c>
      <x:c r="J484" s="90" t="n">
        <x:v>1618.16</x:v>
      </x:c>
      <x:c r="K484" s="90" t="n">
        <x:v>61.86</x:v>
      </x:c>
      <x:c r="L484" s="90" t="n">
        <x:v>0</x:v>
      </x:c>
      <x:c r="M484" s="90" t="n">
        <x:v>542.61</x:v>
      </x:c>
      <x:c r="N484" s="90" t="n">
        <x:v>505.61</x:v>
      </x:c>
      <x:c r="O484" s="90" t="n">
        <x:v>2635.85</x:v>
      </x:c>
      <x:c r="P484" s="90" t="n">
        <x:v>808.79</x:v>
      </x:c>
      <x:c r="Q484" s="90" t="n">
        <x:v>100.92</x:v>
      </x:c>
      <x:c r="R484" s="90" t="n">
        <x:v>0</x:v>
      </x:c>
      <x:c r="S484" s="90" t="n">
        <x:v>0</x:v>
      </x:c>
      <x:c r="T484" s="90" t="n">
        <x:v>0</x:v>
      </x:c>
      <x:c r="U484" s="90">
        <x:v>0</x:v>
      </x:c>
      <x:c r="V484" s="90">
        <x:v>0</x:v>
      </x:c>
      <x:c r="W484" s="90">
        <x:v>0</x:v>
      </x:c>
      <x:c r="X484" s="90">
        <x:v>0</x:v>
      </x:c>
      <x:c r="Y484" s="90">
        <x:v>0</x:v>
      </x:c>
      <x:c r="Z484" s="90">
        <x:v>0</x:v>
      </x:c>
    </x:row>
    <x:row r="485" spans="2:26" s="94" customFormat="1" ht="12.75" customHeight="1" x14ac:dyDescent="0.3">
      <x:c r="C485" s="94" t="s">
        <x:v>119</x:v>
      </x:c>
      <x:c r="D485" s="94" t="s">
        <x:v>70</x:v>
      </x:c>
      <x:c r="E485" s="101"/>
      <x:c r="F485" s="93" t="n">
        <x:v>717030.7</x:v>
      </x:c>
      <x:c r="G485" s="93" t="n">
        <x:v>37397.25</x:v>
      </x:c>
      <x:c r="H485" s="93" t="n">
        <x:v>20551.86</x:v>
      </x:c>
      <x:c r="I485" s="93" t="n">
        <x:v>11070.59</x:v>
      </x:c>
      <x:c r="J485" s="93" t="n">
        <x:v>168521.2</x:v>
      </x:c>
      <x:c r="K485" s="93" t="n">
        <x:v>5808.01</x:v>
      </x:c>
      <x:c r="L485" s="93" t="n">
        <x:v>0</x:v>
      </x:c>
      <x:c r="M485" s="93" t="n">
        <x:v>50947.53</x:v>
      </x:c>
      <x:c r="N485" s="93" t="n">
        <x:v>50975.04</x:v>
      </x:c>
      <x:c r="O485" s="93" t="n">
        <x:v>263164.76</x:v>
      </x:c>
      <x:c r="P485" s="93" t="n">
        <x:v>99117.6</x:v>
      </x:c>
      <x:c r="Q485" s="93" t="n">
        <x:v>9476.14</x:v>
      </x:c>
      <x:c r="R485" s="93" t="n">
        <x:v>0.72</x:v>
      </x:c>
      <x:c r="S485" s="93" t="n">
        <x:v>0</x:v>
      </x:c>
      <x:c r="T485" s="93" t="n">
        <x:v>0</x:v>
      </x:c>
      <x:c r="U485" s="93">
        <x:v>0</x:v>
      </x:c>
      <x:c r="V485" s="93">
        <x:v>0</x:v>
      </x:c>
      <x:c r="W485" s="93">
        <x:v>0</x:v>
      </x:c>
      <x:c r="X485" s="94">
        <x:v>0</x:v>
      </x:c>
      <x:c r="Y485" s="94">
        <x:v>0</x:v>
      </x:c>
      <x:c r="Z485" s="94">
        <x:v>0</x:v>
      </x:c>
    </x:row>
    <x:row r="486" spans="2:26" s="378" customFormat="1" ht="12.75" customHeight="1" x14ac:dyDescent="0.3">
      <x:c r="B486" s="378" t="s">
        <x:v>122</x:v>
      </x:c>
      <x:c r="C486" s="378" t="s">
        <x:v>70</x:v>
      </x:c>
      <x:c r="E486" s="376"/>
      <x:c r="F486" s="377" t="n">
        <x:v>23031582.34</x:v>
      </x:c>
      <x:c r="G486" s="377" t="n">
        <x:v>1278757.64</x:v>
      </x:c>
      <x:c r="H486" s="377" t="n">
        <x:v>719798.43</x:v>
      </x:c>
      <x:c r="I486" s="377" t="n">
        <x:v>385650.58</x:v>
      </x:c>
      <x:c r="J486" s="377" t="n">
        <x:v>5181365.16</x:v>
      </x:c>
      <x:c r="K486" s="377" t="n">
        <x:v>155526.08</x:v>
      </x:c>
      <x:c r="L486" s="377" t="n">
        <x:v>0</x:v>
      </x:c>
      <x:c r="M486" s="377" t="n">
        <x:v>1351292.3</x:v>
      </x:c>
      <x:c r="N486" s="377" t="n">
        <x:v>1669548.6</x:v>
      </x:c>
      <x:c r="O486" s="377" t="n">
        <x:v>8617443.87</x:v>
      </x:c>
      <x:c r="P486" s="377" t="n">
        <x:v>3417030.91</x:v>
      </x:c>
      <x:c r="Q486" s="377" t="n">
        <x:v>255177.82</x:v>
      </x:c>
      <x:c r="R486" s="377" t="n">
        <x:v>-9.05</x:v>
      </x:c>
      <x:c r="S486" s="377" t="n">
        <x:v>0</x:v>
      </x:c>
      <x:c r="T486" s="378" t="n">
        <x:v>0</x:v>
      </x:c>
      <x:c r="U486" s="378">
        <x:v>0</x:v>
      </x:c>
      <x:c r="V486" s="378">
        <x:v>0</x:v>
      </x:c>
      <x:c r="W486" s="378">
        <x:v>0</x:v>
      </x:c>
      <x:c r="X486" s="378">
        <x:v>0</x:v>
      </x:c>
      <x:c r="Y486" s="377">
        <x:v>0</x:v>
      </x:c>
      <x:c r="Z486" s="378">
        <x:v>0</x:v>
      </x:c>
    </x:row>
    <x:row r="487" spans="2:26" ht="12.75" customHeight="1" x14ac:dyDescent="0.3">
      <x:c r="E487" s="89" t="s">
        <x:v>72</x:v>
      </x:c>
      <x:c r="F487" s="90" t="n">
        <x:v>10316487786.87</x:v>
      </x:c>
      <x:c r="G487" s="90" t="n">
        <x:v>551410765.36</x:v>
      </x:c>
      <x:c r="H487" s="90" t="n">
        <x:v>306071016.32</x:v>
      </x:c>
      <x:c r="I487" s="90" t="n">
        <x:v>162886184.73</x:v>
      </x:c>
      <x:c r="J487" s="90" t="n">
        <x:v>2329299417.88</x:v>
      </x:c>
      <x:c r="K487" s="90" t="n">
        <x:v>87707938.07</x:v>
      </x:c>
      <x:c r="L487" s="90" t="n">
        <x:v>7966940.68</x:v>
      </x:c>
      <x:c r="M487" s="90" t="n">
        <x:v>768910877</x:v>
      </x:c>
      <x:c r="N487" s="90" t="n">
        <x:v>728042856.78</x:v>
      </x:c>
      <x:c r="O487" s="90" t="n">
        <x:v>3771216101</x:v>
      </x:c>
      <x:c r="P487" s="90" t="n">
        <x:v>1459609708.27</x:v>
      </x:c>
      <x:c r="Q487" s="90" t="n">
        <x:v>143334380.06</x:v>
      </x:c>
      <x:c r="R487" s="90" t="n">
        <x:v>31600.72</x:v>
      </x:c>
      <x:c r="S487" s="90" t="n">
        <x:v>0</x:v>
      </x:c>
      <x:c r="T487" t="n">
        <x:v>0</x:v>
      </x:c>
      <x:c r="U487">
        <x:v>0</x:v>
      </x:c>
      <x:c r="V487">
        <x:v>0</x:v>
      </x:c>
      <x:c r="W487">
        <x:v>0</x:v>
      </x:c>
      <x:c r="X487">
        <x:v>0</x:v>
      </x:c>
      <x:c r="Y487" s="90">
        <x:v>0</x:v>
      </x:c>
      <x:c r="Z487">
        <x:v>0</x:v>
      </x:c>
    </x:row>
    <x:row r="488" spans="2:26" ht="12.75" customHeight="1" x14ac:dyDescent="0.3">
      <x:c r="E488" s="89" t="s">
        <x:v>81</x:v>
      </x:c>
      <x:c r="F488" s="371" t="n">
        <x:v>14880353.09</x:v>
      </x:c>
      <x:c r="G488" s="90" t="n">
        <x:v>1291438.86</x:v>
      </x:c>
      <x:c r="H488" s="90" t="n">
        <x:v>568599.13</x:v>
      </x:c>
      <x:c r="I488" s="90" t="n">
        <x:v>235313.36</x:v>
      </x:c>
      <x:c r="J488" s="90" t="n">
        <x:v>3045375.22</x:v>
      </x:c>
      <x:c r="K488" s="90" t="n">
        <x:v>110392.5</x:v>
      </x:c>
      <x:c r="L488" s="90" t="n">
        <x:v>5432.15</x:v>
      </x:c>
      <x:c r="M488" s="90" t="n">
        <x:v>965801.91</x:v>
      </x:c>
      <x:c r="N488" s="90" t="n">
        <x:v>1108998.81</x:v>
      </x:c>
      <x:c r="O488" s="90" t="n">
        <x:v>3895953.74</x:v>
      </x:c>
      <x:c r="P488" s="90" t="n">
        <x:v>3472640.95</x:v>
      </x:c>
      <x:c r="Q488" s="90" t="n">
        <x:v>180195.77</x:v>
      </x:c>
      <x:c r="R488" s="90" t="n">
        <x:v>21.46</x:v>
      </x:c>
      <x:c r="S488" s="90" t="n">
        <x:v>10.26</x:v>
      </x:c>
      <x:c r="T488" t="n">
        <x:v>178.97</x:v>
      </x:c>
      <x:c r="U488">
        <x:v>0</x:v>
      </x:c>
      <x:c r="V488">
        <x:v>0</x:v>
      </x:c>
      <x:c r="W488">
        <x:v>0</x:v>
      </x:c>
      <x:c r="X488">
        <x:v>0</x:v>
      </x:c>
      <x:c r="Y488" s="90">
        <x:v>0</x:v>
      </x:c>
      <x:c r="Z488">
        <x:v>0</x:v>
      </x:c>
    </x:row>
    <x:row r="489" spans="2:26" ht="12.75" customHeight="1" x14ac:dyDescent="0.3">
      <x:c r="D489" t="s">
        <x:v>156</x:v>
      </x:c>
      <x:c r="E489" s="89" t="s">
        <x:v>70</x:v>
      </x:c>
      <x:c r="F489" s="90" t="n">
        <x:v>10331368139.96</x:v>
      </x:c>
      <x:c r="G489" s="90" t="n">
        <x:v>552702204.22</x:v>
      </x:c>
      <x:c r="H489" s="90" t="n">
        <x:v>306639615.45</x:v>
      </x:c>
      <x:c r="I489" s="90" t="n">
        <x:v>163121498.09</x:v>
      </x:c>
      <x:c r="J489" s="90" t="n">
        <x:v>2332344793.1</x:v>
      </x:c>
      <x:c r="K489" s="90" t="n">
        <x:v>87818330.57</x:v>
      </x:c>
      <x:c r="L489" s="90" t="n">
        <x:v>7972372.83</x:v>
      </x:c>
      <x:c r="M489" s="90" t="n">
        <x:v>769876678.91</x:v>
      </x:c>
      <x:c r="N489" s="90" t="n">
        <x:v>729151855.59</x:v>
      </x:c>
      <x:c r="O489" s="90" t="n">
        <x:v>3775112054.74</x:v>
      </x:c>
      <x:c r="P489" s="90" t="n">
        <x:v>1463082349.22</x:v>
      </x:c>
      <x:c r="Q489" s="90" t="n">
        <x:v>143514575.83</x:v>
      </x:c>
      <x:c r="R489" s="90" t="n">
        <x:v>31622.18</x:v>
      </x:c>
      <x:c r="S489" s="90" t="n">
        <x:v>10.26</x:v>
      </x:c>
      <x:c r="T489" t="n">
        <x:v>178.97</x:v>
      </x:c>
      <x:c r="U489">
        <x:v>0</x:v>
      </x:c>
      <x:c r="V489">
        <x:v>0</x:v>
      </x:c>
      <x:c r="W489">
        <x:v>0</x:v>
      </x:c>
      <x:c r="X489">
        <x:v>0</x:v>
      </x:c>
      <x:c r="Y489" s="90">
        <x:v>0</x:v>
      </x:c>
      <x:c r="Z489">
        <x:v>0</x:v>
      </x:c>
    </x:row>
    <x:row r="490" spans="2:26" s="656" customFormat="1" ht="12.75" customHeight="1" x14ac:dyDescent="0.3">
      <x:c r="C490" s="656" t="s">
        <x:v>155</x:v>
      </x:c>
      <x:c r="D490" s="657" t="s">
        <x:v>70</x:v>
      </x:c>
      <x:c r="E490" s="657"/>
      <x:c r="F490" s="658" t="n">
        <x:v>10331368139.96</x:v>
      </x:c>
      <x:c r="G490" s="658" t="n">
        <x:v>552702204.22</x:v>
      </x:c>
      <x:c r="H490" s="658" t="n">
        <x:v>306639615.45</x:v>
      </x:c>
      <x:c r="I490" s="658" t="n">
        <x:v>163121498.09</x:v>
      </x:c>
      <x:c r="J490" s="658" t="n">
        <x:v>2332344793.1</x:v>
      </x:c>
      <x:c r="K490" s="658" t="n">
        <x:v>87818330.57</x:v>
      </x:c>
      <x:c r="L490" s="658" t="n">
        <x:v>7972372.83</x:v>
      </x:c>
      <x:c r="M490" s="658" t="n">
        <x:v>769876678.91</x:v>
      </x:c>
      <x:c r="N490" s="658" t="n">
        <x:v>729151855.59</x:v>
      </x:c>
      <x:c r="O490" s="658" t="n">
        <x:v>3775112054.74</x:v>
      </x:c>
      <x:c r="P490" s="658" t="n">
        <x:v>1463082349.22</x:v>
      </x:c>
      <x:c r="Q490" s="658" t="n">
        <x:v>143514575.83</x:v>
      </x:c>
      <x:c r="R490" s="658" t="n">
        <x:v>31622.18</x:v>
      </x:c>
      <x:c r="S490" s="658" t="n">
        <x:v>10.26</x:v>
      </x:c>
      <x:c r="T490" s="656" t="n">
        <x:v>178.97</x:v>
      </x:c>
      <x:c r="U490" s="656">
        <x:v>0</x:v>
      </x:c>
      <x:c r="V490" s="656">
        <x:v>0</x:v>
      </x:c>
      <x:c r="W490" s="656">
        <x:v>0</x:v>
      </x:c>
      <x:c r="X490" s="656">
        <x:v>0</x:v>
      </x:c>
      <x:c r="Y490" s="658">
        <x:v>0</x:v>
      </x:c>
      <x:c r="Z490" s="656">
        <x:v>0</x:v>
      </x:c>
    </x:row>
    <x:row r="491" spans="2:26" ht="12.75" customHeight="1" x14ac:dyDescent="0.3">
      <x:c r="D491" s="89"/>
      <x:c r="E491" s="89" t="s">
        <x:v>72</x:v>
      </x:c>
      <x:c r="F491" s="371">
        <x:v>0</x:v>
      </x:c>
      <x:c r="G491" s="90">
        <x:v>0</x:v>
      </x:c>
      <x:c r="H491" s="90">
        <x:v>0</x:v>
      </x:c>
      <x:c r="I491" s="90">
        <x:v>0</x:v>
      </x:c>
      <x:c r="J491" s="90">
        <x:v>0</x:v>
      </x:c>
      <x:c r="K491" s="90">
        <x:v>0</x:v>
      </x:c>
      <x:c r="L491" s="90">
        <x:v>0</x:v>
      </x:c>
      <x:c r="M491" s="90">
        <x:v>0</x:v>
      </x:c>
      <x:c r="N491" s="90">
        <x:v>0</x:v>
      </x:c>
      <x:c r="O491" s="90">
        <x:v>0</x:v>
      </x:c>
      <x:c r="P491" s="90">
        <x:v>0</x:v>
      </x:c>
      <x:c r="Q491" s="90">
        <x:v>0</x:v>
      </x:c>
      <x:c r="R491" s="90">
        <x:v>0</x:v>
      </x:c>
      <x:c r="S491" s="90">
        <x:v>0</x:v>
      </x:c>
      <x:c r="T491">
        <x:v>0</x:v>
      </x:c>
      <x:c r="U491">
        <x:v>0</x:v>
      </x:c>
      <x:c r="V491">
        <x:v>0</x:v>
      </x:c>
      <x:c r="W491">
        <x:v>0</x:v>
      </x:c>
      <x:c r="X491">
        <x:v>0</x:v>
      </x:c>
      <x:c r="Y491" s="90">
        <x:v>0</x:v>
      </x:c>
      <x:c r="Z491">
        <x:v>0</x:v>
      </x:c>
    </x:row>
    <x:row r="492" spans="2:26" ht="12.75" customHeight="1" x14ac:dyDescent="0.3">
      <x:c r="D492" s="89"/>
      <x:c r="E492" s="89" t="s">
        <x:v>81</x:v>
      </x:c>
      <x:c r="F492" s="371">
        <x:v>0</x:v>
      </x:c>
      <x:c r="G492" s="90">
        <x:v>0</x:v>
      </x:c>
      <x:c r="H492" s="90">
        <x:v>0</x:v>
      </x:c>
      <x:c r="I492" s="90">
        <x:v>0</x:v>
      </x:c>
      <x:c r="J492" s="90">
        <x:v>0</x:v>
      </x:c>
      <x:c r="K492" s="90">
        <x:v>0</x:v>
      </x:c>
      <x:c r="L492" s="90">
        <x:v>0</x:v>
      </x:c>
      <x:c r="M492" s="90">
        <x:v>0</x:v>
      </x:c>
      <x:c r="N492" s="90">
        <x:v>0</x:v>
      </x:c>
      <x:c r="O492" s="90">
        <x:v>0</x:v>
      </x:c>
      <x:c r="P492" s="90">
        <x:v>0</x:v>
      </x:c>
      <x:c r="Q492" s="90">
        <x:v>0</x:v>
      </x:c>
      <x:c r="R492" s="90">
        <x:v>0</x:v>
      </x:c>
      <x:c r="S492" s="90">
        <x:v>0</x:v>
      </x:c>
      <x:c r="T492">
        <x:v>0</x:v>
      </x:c>
      <x:c r="U492">
        <x:v>0</x:v>
      </x:c>
      <x:c r="V492">
        <x:v>0</x:v>
      </x:c>
      <x:c r="W492">
        <x:v>0</x:v>
      </x:c>
      <x:c r="X492">
        <x:v>0</x:v>
      </x:c>
      <x:c r="Y492" s="90">
        <x:v>0</x:v>
      </x:c>
      <x:c r="Z492">
        <x:v>0</x:v>
      </x:c>
    </x:row>
    <x:row r="493" spans="2:26" ht="12.75" customHeight="1" x14ac:dyDescent="0.3">
      <x:c r="D493" s="89" t="s">
        <x:v>115</x:v>
      </x:c>
      <x:c r="E493" s="89" t="s">
        <x:v>70</x:v>
      </x:c>
      <x:c r="F493" s="371">
        <x:v>0</x:v>
      </x:c>
      <x:c r="G493" s="90">
        <x:v>0</x:v>
      </x:c>
      <x:c r="H493" s="90">
        <x:v>0</x:v>
      </x:c>
      <x:c r="I493" s="90">
        <x:v>0</x:v>
      </x:c>
      <x:c r="J493" s="90">
        <x:v>0</x:v>
      </x:c>
      <x:c r="K493" s="90">
        <x:v>0</x:v>
      </x:c>
      <x:c r="L493" s="90">
        <x:v>0</x:v>
      </x:c>
      <x:c r="M493" s="90">
        <x:v>0</x:v>
      </x:c>
      <x:c r="N493" s="90">
        <x:v>0</x:v>
      </x:c>
      <x:c r="O493" s="90">
        <x:v>0</x:v>
      </x:c>
      <x:c r="P493" s="90">
        <x:v>0</x:v>
      </x:c>
      <x:c r="Q493" s="90">
        <x:v>0</x:v>
      </x:c>
      <x:c r="R493" s="90">
        <x:v>0</x:v>
      </x:c>
      <x:c r="S493" s="90">
        <x:v>0</x:v>
      </x:c>
      <x:c r="T493">
        <x:v>0</x:v>
      </x:c>
      <x:c r="U493">
        <x:v>0</x:v>
      </x:c>
      <x:c r="V493">
        <x:v>0</x:v>
      </x:c>
      <x:c r="W493">
        <x:v>0</x:v>
      </x:c>
      <x:c r="X493">
        <x:v>0</x:v>
      </x:c>
      <x:c r="Y493" s="90">
        <x:v>0</x:v>
      </x:c>
      <x:c r="Z493">
        <x:v>0</x:v>
      </x:c>
    </x:row>
    <x:row r="494" spans="2:26" ht="12.75" customHeight="1" x14ac:dyDescent="0.3">
      <x:c r="C494" s="89"/>
      <x:c r="D494" s="89"/>
      <x:c r="E494" t="s">
        <x:v>72</x:v>
      </x:c>
      <x:c r="F494" s="90">
        <x:v>0</x:v>
      </x:c>
      <x:c r="G494" s="90">
        <x:v>0</x:v>
      </x:c>
      <x:c r="H494" s="90">
        <x:v>0</x:v>
      </x:c>
      <x:c r="I494" s="90">
        <x:v>0</x:v>
      </x:c>
      <x:c r="J494" s="90">
        <x:v>0</x:v>
      </x:c>
      <x:c r="K494" s="90">
        <x:v>0</x:v>
      </x:c>
      <x:c r="L494" s="90">
        <x:v>0</x:v>
      </x:c>
      <x:c r="M494" s="90">
        <x:v>0</x:v>
      </x:c>
      <x:c r="N494" s="90">
        <x:v>0</x:v>
      </x:c>
      <x:c r="O494" s="90">
        <x:v>0</x:v>
      </x:c>
      <x:c r="P494" s="90">
        <x:v>0</x:v>
      </x:c>
      <x:c r="Q494" s="90">
        <x:v>0</x:v>
      </x:c>
      <x:c r="R494" s="90">
        <x:v>0</x:v>
      </x:c>
      <x:c r="S494" s="90">
        <x:v>0</x:v>
      </x:c>
      <x:c r="T494">
        <x:v>0</x:v>
      </x:c>
      <x:c r="U494">
        <x:v>0</x:v>
      </x:c>
      <x:c r="V494">
        <x:v>0</x:v>
      </x:c>
      <x:c r="W494">
        <x:v>0</x:v>
      </x:c>
      <x:c r="X494">
        <x:v>0</x:v>
      </x:c>
      <x:c r="Y494" s="90">
        <x:v>0</x:v>
      </x:c>
      <x:c r="Z494">
        <x:v>0</x:v>
      </x:c>
    </x:row>
    <x:row r="495" spans="2:26" ht="12.75" customHeight="1" x14ac:dyDescent="0.3">
      <x:c r="E495" s="89" t="s">
        <x:v>81</x:v>
      </x:c>
      <x:c r="F495" s="90">
        <x:v>0</x:v>
      </x:c>
      <x:c r="G495" s="90">
        <x:v>0</x:v>
      </x:c>
      <x:c r="H495" s="90">
        <x:v>0</x:v>
      </x:c>
      <x:c r="I495" s="90">
        <x:v>0</x:v>
      </x:c>
      <x:c r="J495" s="90">
        <x:v>0</x:v>
      </x:c>
      <x:c r="K495" s="90">
        <x:v>0</x:v>
      </x:c>
      <x:c r="L495" s="90">
        <x:v>0</x:v>
      </x:c>
      <x:c r="M495" s="90">
        <x:v>0</x:v>
      </x:c>
      <x:c r="N495" s="90">
        <x:v>0</x:v>
      </x:c>
      <x:c r="O495" s="90">
        <x:v>0</x:v>
      </x:c>
      <x:c r="P495" s="90">
        <x:v>0</x:v>
      </x:c>
      <x:c r="Q495" s="90">
        <x:v>0</x:v>
      </x:c>
      <x:c r="R495" s="90">
        <x:v>0</x:v>
      </x:c>
      <x:c r="S495" s="90">
        <x:v>0</x:v>
      </x:c>
      <x:c r="T495">
        <x:v>0</x:v>
      </x:c>
      <x:c r="U495">
        <x:v>0</x:v>
      </x:c>
      <x:c r="V495">
        <x:v>0</x:v>
      </x:c>
      <x:c r="W495">
        <x:v>0</x:v>
      </x:c>
      <x:c r="X495">
        <x:v>0</x:v>
      </x:c>
      <x:c r="Y495" s="90">
        <x:v>0</x:v>
      </x:c>
      <x:c r="Z495">
        <x:v>0</x:v>
      </x:c>
    </x:row>
    <x:row r="496" spans="2:26" ht="12.75" customHeight="1" x14ac:dyDescent="0.3">
      <x:c r="D496" s="773">
        <x:v>2</x:v>
      </x:c>
      <x:c r="E496" s="89" t="s">
        <x:v>70</x:v>
      </x:c>
      <x:c r="F496" s="90">
        <x:v>0</x:v>
      </x:c>
      <x:c r="G496" s="90">
        <x:v>0</x:v>
      </x:c>
      <x:c r="H496" s="90">
        <x:v>0</x:v>
      </x:c>
      <x:c r="I496" s="90">
        <x:v>0</x:v>
      </x:c>
      <x:c r="J496" s="90">
        <x:v>0</x:v>
      </x:c>
      <x:c r="K496" s="90">
        <x:v>0</x:v>
      </x:c>
      <x:c r="L496" s="90">
        <x:v>0</x:v>
      </x:c>
      <x:c r="M496" s="90">
        <x:v>0</x:v>
      </x:c>
      <x:c r="N496" s="90">
        <x:v>0</x:v>
      </x:c>
      <x:c r="O496" s="90">
        <x:v>0</x:v>
      </x:c>
      <x:c r="P496" s="90">
        <x:v>0</x:v>
      </x:c>
      <x:c r="Q496" s="90">
        <x:v>0</x:v>
      </x:c>
      <x:c r="R496" s="90">
        <x:v>0</x:v>
      </x:c>
      <x:c r="S496" s="90">
        <x:v>0</x:v>
      </x:c>
      <x:c r="T496">
        <x:v>0</x:v>
      </x:c>
      <x:c r="U496">
        <x:v>0</x:v>
      </x:c>
      <x:c r="V496">
        <x:v>0</x:v>
      </x:c>
      <x:c r="W496">
        <x:v>0</x:v>
      </x:c>
      <x:c r="X496">
        <x:v>0</x:v>
      </x:c>
      <x:c r="Y496" s="90">
        <x:v>0</x:v>
      </x:c>
      <x:c r="Z496">
        <x:v>0</x:v>
      </x:c>
    </x:row>
    <x:row r="497" spans="1:26" ht="12.75" customHeight="1" x14ac:dyDescent="0.3">
      <x:c r="C497" s="89"/>
      <x:c r="D497" s="89"/>
      <x:c r="E497" t="s">
        <x:v>72</x:v>
      </x:c>
      <x:c r="F497" s="90">
        <x:v>0</x:v>
      </x:c>
      <x:c r="G497" s="90">
        <x:v>0</x:v>
      </x:c>
      <x:c r="H497" s="90">
        <x:v>0</x:v>
      </x:c>
      <x:c r="I497" s="90">
        <x:v>0</x:v>
      </x:c>
      <x:c r="J497" s="90">
        <x:v>0</x:v>
      </x:c>
      <x:c r="K497" s="90">
        <x:v>0</x:v>
      </x:c>
      <x:c r="L497" s="90">
        <x:v>0</x:v>
      </x:c>
      <x:c r="M497" s="90">
        <x:v>0</x:v>
      </x:c>
      <x:c r="N497" s="90">
        <x:v>0</x:v>
      </x:c>
      <x:c r="O497" s="90">
        <x:v>0</x:v>
      </x:c>
      <x:c r="P497" s="90">
        <x:v>0</x:v>
      </x:c>
      <x:c r="Q497" s="90">
        <x:v>0</x:v>
      </x:c>
      <x:c r="R497" s="90">
        <x:v>0</x:v>
      </x:c>
      <x:c r="S497" s="90">
        <x:v>0</x:v>
      </x:c>
      <x:c r="T497">
        <x:v>0</x:v>
      </x:c>
      <x:c r="U497">
        <x:v>0</x:v>
      </x:c>
      <x:c r="V497">
        <x:v>0</x:v>
      </x:c>
      <x:c r="W497">
        <x:v>0</x:v>
      </x:c>
      <x:c r="X497">
        <x:v>0</x:v>
      </x:c>
      <x:c r="Y497" s="90">
        <x:v>0</x:v>
      </x:c>
      <x:c r="Z497">
        <x:v>0</x:v>
      </x:c>
    </x:row>
    <x:row r="498" spans="1:26" ht="12.75" customHeight="1" x14ac:dyDescent="0.3">
      <x:c r="E498" s="89" t="s">
        <x:v>81</x:v>
      </x:c>
      <x:c r="F498" s="90">
        <x:v>0</x:v>
      </x:c>
      <x:c r="G498" s="90">
        <x:v>0</x:v>
      </x:c>
      <x:c r="H498" s="90">
        <x:v>0</x:v>
      </x:c>
      <x:c r="I498" s="90">
        <x:v>0</x:v>
      </x:c>
      <x:c r="J498" s="90">
        <x:v>0</x:v>
      </x:c>
      <x:c r="K498" s="90">
        <x:v>0</x:v>
      </x:c>
      <x:c r="L498" s="90">
        <x:v>0</x:v>
      </x:c>
      <x:c r="M498" s="90">
        <x:v>0</x:v>
      </x:c>
      <x:c r="N498" s="90">
        <x:v>0</x:v>
      </x:c>
      <x:c r="O498" s="90">
        <x:v>0</x:v>
      </x:c>
      <x:c r="P498" s="90">
        <x:v>0</x:v>
      </x:c>
      <x:c r="Q498" s="90">
        <x:v>0</x:v>
      </x:c>
      <x:c r="R498" s="90">
        <x:v>0</x:v>
      </x:c>
      <x:c r="S498" s="90">
        <x:v>0</x:v>
      </x:c>
      <x:c r="T498">
        <x:v>0</x:v>
      </x:c>
      <x:c r="U498">
        <x:v>0</x:v>
      </x:c>
      <x:c r="V498">
        <x:v>0</x:v>
      </x:c>
      <x:c r="W498">
        <x:v>0</x:v>
      </x:c>
      <x:c r="X498">
        <x:v>0</x:v>
      </x:c>
      <x:c r="Y498" s="90">
        <x:v>0</x:v>
      </x:c>
      <x:c r="Z498">
        <x:v>0</x:v>
      </x:c>
    </x:row>
    <x:row r="499" spans="1:26" ht="12.75" customHeight="1" x14ac:dyDescent="0.3">
      <x:c r="D499" t="s">
        <x:v>118</x:v>
      </x:c>
      <x:c r="E499" s="89" t="s">
        <x:v>70</x:v>
      </x:c>
      <x:c r="F499" s="90">
        <x:v>0</x:v>
      </x:c>
      <x:c r="G499" s="90">
        <x:v>0</x:v>
      </x:c>
      <x:c r="H499" s="90">
        <x:v>0</x:v>
      </x:c>
      <x:c r="I499" s="90">
        <x:v>0</x:v>
      </x:c>
      <x:c r="J499" s="90">
        <x:v>0</x:v>
      </x:c>
      <x:c r="K499" s="90">
        <x:v>0</x:v>
      </x:c>
      <x:c r="L499" s="90">
        <x:v>0</x:v>
      </x:c>
      <x:c r="M499" s="90">
        <x:v>0</x:v>
      </x:c>
      <x:c r="N499" s="90">
        <x:v>0</x:v>
      </x:c>
      <x:c r="O499" s="90">
        <x:v>0</x:v>
      </x:c>
      <x:c r="P499" s="90">
        <x:v>0</x:v>
      </x:c>
      <x:c r="Q499" s="90">
        <x:v>0</x:v>
      </x:c>
      <x:c r="R499" s="90">
        <x:v>0</x:v>
      </x:c>
      <x:c r="S499" s="90">
        <x:v>0</x:v>
      </x:c>
      <x:c r="T499">
        <x:v>0</x:v>
      </x:c>
      <x:c r="U499">
        <x:v>0</x:v>
      </x:c>
      <x:c r="V499">
        <x:v>0</x:v>
      </x:c>
      <x:c r="W499">
        <x:v>0</x:v>
      </x:c>
      <x:c r="X499">
        <x:v>0</x:v>
      </x:c>
      <x:c r="Y499" s="90">
        <x:v>0</x:v>
      </x:c>
      <x:c r="Z499">
        <x:v>0</x:v>
      </x:c>
    </x:row>
    <x:row r="500" spans="1:26" s="224" customFormat="1" ht="12.75" customHeight="1" x14ac:dyDescent="0.3">
      <x:c r="C500" s="223" t="s">
        <x:v>120</x:v>
      </x:c>
      <x:c r="D500" s="223" t="s">
        <x:v>70</x:v>
      </x:c>
      <x:c r="F500" s="225">
        <x:v>0</x:v>
      </x:c>
      <x:c r="G500" s="225">
        <x:v>0</x:v>
      </x:c>
      <x:c r="H500" s="225">
        <x:v>0</x:v>
      </x:c>
      <x:c r="I500" s="225">
        <x:v>0</x:v>
      </x:c>
      <x:c r="J500" s="225">
        <x:v>0</x:v>
      </x:c>
      <x:c r="K500" s="225">
        <x:v>0</x:v>
      </x:c>
      <x:c r="L500" s="225">
        <x:v>0</x:v>
      </x:c>
      <x:c r="M500" s="225">
        <x:v>0</x:v>
      </x:c>
      <x:c r="N500" s="225">
        <x:v>0</x:v>
      </x:c>
      <x:c r="O500" s="225">
        <x:v>0</x:v>
      </x:c>
      <x:c r="P500" s="225">
        <x:v>0</x:v>
      </x:c>
      <x:c r="Q500" s="225">
        <x:v>0</x:v>
      </x:c>
      <x:c r="R500" s="225">
        <x:v>0</x:v>
      </x:c>
      <x:c r="S500" s="225">
        <x:v>0</x:v>
      </x:c>
      <x:c r="T500" s="224">
        <x:v>0</x:v>
      </x:c>
      <x:c r="U500" s="224">
        <x:v>0</x:v>
      </x:c>
      <x:c r="V500" s="224">
        <x:v>0</x:v>
      </x:c>
      <x:c r="W500" s="224">
        <x:v>0</x:v>
      </x:c>
      <x:c r="X500" s="224">
        <x:v>0</x:v>
      </x:c>
      <x:c r="Y500" s="225">
        <x:v>0</x:v>
      </x:c>
      <x:c r="Z500" s="224">
        <x:v>0</x:v>
      </x:c>
    </x:row>
    <x:row r="501" spans="1:26" ht="12.75" customHeight="1" x14ac:dyDescent="0.3">
      <x:c r="E501" s="89" t="s">
        <x:v>72</x:v>
      </x:c>
      <x:c r="F501" s="90" t="n">
        <x:v>81379741.22</x:v>
      </x:c>
      <x:c r="G501" s="90" t="n">
        <x:v>4722303.37</x:v>
      </x:c>
      <x:c r="H501" s="90" t="n">
        <x:v>2646611.7</x:v>
      </x:c>
      <x:c r="I501" s="90" t="n">
        <x:v>1407817.53</x:v>
      </x:c>
      <x:c r="J501" s="90" t="n">
        <x:v>18853588.34</x:v>
      </x:c>
      <x:c r="K501" s="90" t="n">
        <x:v>467107.75</x:v>
      </x:c>
      <x:c r="L501" s="90" t="n">
        <x:v>0</x:v>
      </x:c>
      <x:c r="M501" s="90" t="n">
        <x:v>4106797.95</x:v>
      </x:c>
      <x:c r="N501" s="90" t="n">
        <x:v>5801684.7</x:v>
      </x:c>
      <x:c r="O501" s="90" t="n">
        <x:v>30089094.29</x:v>
      </x:c>
      <x:c r="P501" s="90" t="n">
        <x:v>12512820.2</x:v>
      </x:c>
      <x:c r="Q501" s="90" t="n">
        <x:v>771613.08</x:v>
      </x:c>
      <x:c r="R501" s="90" t="n">
        <x:v>302.31</x:v>
      </x:c>
      <x:c r="S501" s="90" t="n">
        <x:v>0</x:v>
      </x:c>
      <x:c r="T501" t="n">
        <x:v>0</x:v>
      </x:c>
      <x:c r="U501">
        <x:v>0</x:v>
      </x:c>
      <x:c r="V501">
        <x:v>0</x:v>
      </x:c>
      <x:c r="W501">
        <x:v>0</x:v>
      </x:c>
      <x:c r="X501">
        <x:v>0</x:v>
      </x:c>
      <x:c r="Y501" s="90">
        <x:v>0</x:v>
      </x:c>
      <x:c r="Z501">
        <x:v>0</x:v>
      </x:c>
    </x:row>
    <x:row r="502" spans="1:26" ht="12.75" customHeight="1" x14ac:dyDescent="0.3">
      <x:c r="D502" s="89"/>
      <x:c r="E502" s="89" t="s">
        <x:v>81</x:v>
      </x:c>
      <x:c r="F502" s="90" t="n">
        <x:v>237061.36</x:v>
      </x:c>
      <x:c r="G502" s="90" t="n">
        <x:v>14686.74</x:v>
      </x:c>
      <x:c r="H502" s="90" t="n">
        <x:v>8302.62</x:v>
      </x:c>
      <x:c r="I502" s="90" t="n">
        <x:v>4392.62</x:v>
      </x:c>
      <x:c r="J502" s="90" t="n">
        <x:v>59679.69</x:v>
      </x:c>
      <x:c r="K502" s="90" t="n">
        <x:v>1483.67</x:v>
      </x:c>
      <x:c r="L502" s="90" t="n">
        <x:v>0</x:v>
      </x:c>
      <x:c r="M502" s="90" t="n">
        <x:v>13041.16</x:v>
      </x:c>
      <x:c r="N502" s="90" t="n">
        <x:v>18748.86</x:v>
      </x:c>
      <x:c r="O502" s="90" t="n">
        <x:v>75101.78</x:v>
      </x:c>
      <x:c r="P502" s="90" t="n">
        <x:v>39197.67</x:v>
      </x:c>
      <x:c r="Q502" s="90" t="n">
        <x:v>2426.36</x:v>
      </x:c>
      <x:c r="R502" s="90" t="n">
        <x:v>0.19</x:v>
      </x:c>
      <x:c r="S502" s="90" t="n">
        <x:v>0</x:v>
      </x:c>
      <x:c r="T502" t="n">
        <x:v>0</x:v>
      </x:c>
      <x:c r="U502">
        <x:v>0</x:v>
      </x:c>
      <x:c r="V502">
        <x:v>0</x:v>
      </x:c>
      <x:c r="W502">
        <x:v>0</x:v>
      </x:c>
      <x:c r="X502">
        <x:v>0</x:v>
      </x:c>
      <x:c r="Y502" s="90">
        <x:v>0</x:v>
      </x:c>
      <x:c r="Z502">
        <x:v>0</x:v>
      </x:c>
    </x:row>
    <x:row r="503" spans="1:26" ht="12.75" customHeight="1" x14ac:dyDescent="0.3">
      <x:c r="D503" t="s">
        <x:v>82</x:v>
      </x:c>
      <x:c r="E503" s="89" t="s">
        <x:v>70</x:v>
      </x:c>
      <x:c r="F503" s="90" t="n">
        <x:v>81616802.58</x:v>
      </x:c>
      <x:c r="G503" s="90" t="n">
        <x:v>4736990.11</x:v>
      </x:c>
      <x:c r="H503" s="90" t="n">
        <x:v>2654914.32</x:v>
      </x:c>
      <x:c r="I503" s="90" t="n">
        <x:v>1412210.15</x:v>
      </x:c>
      <x:c r="J503" s="90" t="n">
        <x:v>18913268.03</x:v>
      </x:c>
      <x:c r="K503" s="90" t="n">
        <x:v>468591.42</x:v>
      </x:c>
      <x:c r="L503" s="90" t="n">
        <x:v>0</x:v>
      </x:c>
      <x:c r="M503" s="90" t="n">
        <x:v>4119839.11</x:v>
      </x:c>
      <x:c r="N503" s="90" t="n">
        <x:v>5820433.56</x:v>
      </x:c>
      <x:c r="O503" s="90" t="n">
        <x:v>30164196.07</x:v>
      </x:c>
      <x:c r="P503" s="90" t="n">
        <x:v>12552017.87</x:v>
      </x:c>
      <x:c r="Q503" s="90" t="n">
        <x:v>774039.44</x:v>
      </x:c>
      <x:c r="R503" s="90" t="n">
        <x:v>302.5</x:v>
      </x:c>
      <x:c r="S503" s="90" t="n">
        <x:v>0</x:v>
      </x:c>
      <x:c r="T503" t="n">
        <x:v>0</x:v>
      </x:c>
      <x:c r="U503">
        <x:v>0</x:v>
      </x:c>
      <x:c r="V503">
        <x:v>0</x:v>
      </x:c>
      <x:c r="W503">
        <x:v>0</x:v>
      </x:c>
      <x:c r="X503">
        <x:v>0</x:v>
      </x:c>
      <x:c r="Y503" s="90">
        <x:v>0</x:v>
      </x:c>
      <x:c r="Z503">
        <x:v>0</x:v>
      </x:c>
    </x:row>
    <x:row r="504" spans="1:26" ht="12.75" customHeight="1" x14ac:dyDescent="0.3">
      <x:c r="E504" s="89" t="s">
        <x:v>72</x:v>
      </x:c>
      <x:c r="F504" s="90" t="n">
        <x:v>123815339.8</x:v>
      </x:c>
      <x:c r="G504" s="90" t="n">
        <x:v>13083650.44</x:v>
      </x:c>
      <x:c r="H504" s="90" t="n">
        <x:v>6977296.52</x:v>
      </x:c>
      <x:c r="I504" s="90" t="n">
        <x:v>3555256.33</x:v>
      </x:c>
      <x:c r="J504" s="90" t="n">
        <x:v>18058334.6</x:v>
      </x:c>
      <x:c r="K504" s="90" t="n">
        <x:v>677891.2</x:v>
      </x:c>
      <x:c r="L504" s="90" t="n">
        <x:v>143000</x:v>
      </x:c>
      <x:c r="M504" s="90" t="n">
        <x:v>5823200.06</x:v>
      </x:c>
      <x:c r="N504" s="90" t="n">
        <x:v>6623739.14</x:v>
      </x:c>
      <x:c r="O504" s="90" t="n">
        <x:v>33350465.38</x:v>
      </x:c>
      <x:c r="P504" s="90" t="n">
        <x:v>34405951.42</x:v>
      </x:c>
      <x:c r="Q504" s="90" t="n">
        <x:v>1116521.45</x:v>
      </x:c>
      <x:c r="R504" s="90" t="n">
        <x:v>33.26</x:v>
      </x:c>
      <x:c r="S504" s="90" t="n">
        <x:v>0</x:v>
      </x:c>
      <x:c r="T504" t="n">
        <x:v>0</x:v>
      </x:c>
      <x:c r="U504">
        <x:v>0</x:v>
      </x:c>
      <x:c r="V504">
        <x:v>0</x:v>
      </x:c>
      <x:c r="W504">
        <x:v>0</x:v>
      </x:c>
      <x:c r="X504">
        <x:v>0</x:v>
      </x:c>
      <x:c r="Y504" s="90">
        <x:v>0</x:v>
      </x:c>
      <x:c r="Z504">
        <x:v>0</x:v>
      </x:c>
    </x:row>
    <x:row r="505" spans="1:26" ht="12.75" customHeight="1" x14ac:dyDescent="0.3">
      <x:c r="D505" s="89"/>
      <x:c r="E505" s="89" t="s">
        <x:v>81</x:v>
      </x:c>
      <x:c r="F505" s="90" t="n">
        <x:v>11888953.22</x:v>
      </x:c>
      <x:c r="G505" s="90" t="n">
        <x:v>1382334.62</x:v>
      </x:c>
      <x:c r="H505" s="90" t="n">
        <x:v>599210.32</x:v>
      </x:c>
      <x:c r="I505" s="90" t="n">
        <x:v>234416.44</x:v>
      </x:c>
      <x:c r="J505" s="90" t="n">
        <x:v>1808866.08</x:v>
      </x:c>
      <x:c r="K505" s="90" t="n">
        <x:v>73046.04</x:v>
      </x:c>
      <x:c r="L505" s="90" t="n">
        <x:v>3054.63</x:v>
      </x:c>
      <x:c r="M505" s="90" t="n">
        <x:v>638850.88</x:v>
      </x:c>
      <x:c r="N505" s="90" t="n">
        <x:v>745059.17</x:v>
      </x:c>
      <x:c r="O505" s="90" t="n">
        <x:v>2600585.61</x:v>
      </x:c>
      <x:c r="P505" s="90" t="n">
        <x:v>3684297.02</x:v>
      </x:c>
      <x:c r="Q505" s="90" t="n">
        <x:v>119221.63</x:v>
      </x:c>
      <x:c r="R505" s="90" t="n">
        <x:v>10.58</x:v>
      </x:c>
      <x:c r="S505" s="90" t="n">
        <x:v>-0.04</x:v>
      </x:c>
      <x:c r="T505" t="n">
        <x:v>0.24</x:v>
      </x:c>
      <x:c r="U505">
        <x:v>0</x:v>
      </x:c>
      <x:c r="V505">
        <x:v>0</x:v>
      </x:c>
      <x:c r="W505">
        <x:v>0</x:v>
      </x:c>
      <x:c r="X505">
        <x:v>0</x:v>
      </x:c>
      <x:c r="Y505" s="90">
        <x:v>0</x:v>
      </x:c>
      <x:c r="Z505">
        <x:v>0</x:v>
      </x:c>
    </x:row>
    <x:row r="506" spans="1:26" ht="12.75" customHeight="1" x14ac:dyDescent="0.3">
      <x:c r="C506" s="89"/>
      <x:c r="D506" s="89" t="s">
        <x:v>86</x:v>
      </x:c>
      <x:c r="E506" t="s">
        <x:v>70</x:v>
      </x:c>
      <x:c r="F506" s="90" t="n">
        <x:v>135704293.02</x:v>
      </x:c>
      <x:c r="G506" s="90" t="n">
        <x:v>14465985.06</x:v>
      </x:c>
      <x:c r="H506" s="90" t="n">
        <x:v>7576506.84</x:v>
      </x:c>
      <x:c r="I506" s="90" t="n">
        <x:v>3789672.77</x:v>
      </x:c>
      <x:c r="J506" s="90" t="n">
        <x:v>19867200.68</x:v>
      </x:c>
      <x:c r="K506" s="90" t="n">
        <x:v>750937.24</x:v>
      </x:c>
      <x:c r="L506" s="90" t="n">
        <x:v>146054.63</x:v>
      </x:c>
      <x:c r="M506" s="90" t="n">
        <x:v>6462050.94</x:v>
      </x:c>
      <x:c r="N506" s="90" t="n">
        <x:v>7368798.31</x:v>
      </x:c>
      <x:c r="O506" s="90" t="n">
        <x:v>35951050.99</x:v>
      </x:c>
      <x:c r="P506" s="90" t="n">
        <x:v>38090248.44</x:v>
      </x:c>
      <x:c r="Q506" s="90" t="n">
        <x:v>1235743.08</x:v>
      </x:c>
      <x:c r="R506" s="90" t="n">
        <x:v>43.84</x:v>
      </x:c>
      <x:c r="S506" s="90" t="n">
        <x:v>-0.04</x:v>
      </x:c>
      <x:c r="T506" t="n">
        <x:v>0.24</x:v>
      </x:c>
      <x:c r="U506">
        <x:v>0</x:v>
      </x:c>
      <x:c r="V506">
        <x:v>0</x:v>
      </x:c>
      <x:c r="W506">
        <x:v>0</x:v>
      </x:c>
      <x:c r="X506">
        <x:v>0</x:v>
      </x:c>
      <x:c r="Y506" s="90">
        <x:v>0</x:v>
      </x:c>
      <x:c r="Z506">
        <x:v>0</x:v>
      </x:c>
    </x:row>
    <x:row r="507" spans="1:26" ht="12.75" customHeight="1" x14ac:dyDescent="0.3">
      <x:c r="B507" s="89"/>
      <x:c r="C507" s="89"/>
      <x:c r="E507" t="s">
        <x:v>72</x:v>
      </x:c>
      <x:c r="F507" s="90" t="n">
        <x:v>225325086.64</x:v>
      </x:c>
      <x:c r="G507" s="90" t="n">
        <x:v>32280074.97</x:v>
      </x:c>
      <x:c r="H507" s="90" t="n">
        <x:v>18033624.83</x:v>
      </x:c>
      <x:c r="I507" s="90" t="n">
        <x:v>10242953.2</x:v>
      </x:c>
      <x:c r="J507" s="90" t="n">
        <x:v>24927907.39</x:v>
      </x:c>
      <x:c r="K507" s="90" t="n">
        <x:v>611466.27</x:v>
      </x:c>
      <x:c r="L507" s="90" t="n">
        <x:v>523000</x:v>
      </x:c>
      <x:c r="M507" s="90" t="n">
        <x:v>5328219.47</x:v>
      </x:c>
      <x:c r="N507" s="90" t="n">
        <x:v>7544034.57</x:v>
      </x:c>
      <x:c r="O507" s="90" t="n">
        <x:v>39147230.22</x:v>
      </x:c>
      <x:c r="P507" s="90" t="n">
        <x:v>85688215.91</x:v>
      </x:c>
      <x:c r="Q507" s="90" t="n">
        <x:v>998385.79</x:v>
      </x:c>
      <x:c r="R507" s="90" t="n">
        <x:v>-25.98</x:v>
      </x:c>
      <x:c r="S507" s="90" t="n">
        <x:v>0</x:v>
      </x:c>
      <x:c r="T507" t="n">
        <x:v>0</x:v>
      </x:c>
      <x:c r="U507">
        <x:v>0</x:v>
      </x:c>
      <x:c r="V507">
        <x:v>0</x:v>
      </x:c>
      <x:c r="W507">
        <x:v>0</x:v>
      </x:c>
      <x:c r="X507">
        <x:v>0</x:v>
      </x:c>
      <x:c r="Y507" s="90">
        <x:v>0</x:v>
      </x:c>
      <x:c r="Z507">
        <x:v>0</x:v>
      </x:c>
    </x:row>
    <x:row r="508" spans="1:26" ht="12.75" customHeight="1" x14ac:dyDescent="0.3">
      <x:c r="A508" s="89"/>
      <x:c r="B508" s="89"/>
      <x:c r="E508" t="s">
        <x:v>81</x:v>
      </x:c>
      <x:c r="F508" s="90" t="n">
        <x:v>2618329.01</x:v>
      </x:c>
      <x:c r="G508" s="90" t="n">
        <x:v>487188.88</x:v>
      </x:c>
      <x:c r="H508" s="90" t="n">
        <x:v>271849.21</x:v>
      </x:c>
      <x:c r="I508" s="90" t="n">
        <x:v>157080.72</x:v>
      </x:c>
      <x:c r="J508" s="90" t="n">
        <x:v>137850.53</x:v>
      </x:c>
      <x:c r="K508" s="90" t="n">
        <x:v>3387.41</x:v>
      </x:c>
      <x:c r="L508" s="90" t="n">
        <x:v>1708.12</x:v>
      </x:c>
      <x:c r="M508" s="90" t="n">
        <x:v>29672.42</x:v>
      </x:c>
      <x:c r="N508" s="90" t="n">
        <x:v>41675.72</x:v>
      </x:c>
      <x:c r="O508" s="90" t="n">
        <x:v>181009.44</x:v>
      </x:c>
      <x:c r="P508" s="90" t="n">
        <x:v>1301375.06</x:v>
      </x:c>
      <x:c r="Q508" s="90" t="n">
        <x:v>5531.69</x:v>
      </x:c>
      <x:c r="R508" s="90" t="n">
        <x:v>-0.19</x:v>
      </x:c>
      <x:c r="S508" s="90" t="n">
        <x:v>0</x:v>
      </x:c>
      <x:c r="T508" t="n">
        <x:v>0</x:v>
      </x:c>
      <x:c r="U508">
        <x:v>0</x:v>
      </x:c>
      <x:c r="V508">
        <x:v>0</x:v>
      </x:c>
      <x:c r="W508">
        <x:v>0</x:v>
      </x:c>
      <x:c r="X508">
        <x:v>0</x:v>
      </x:c>
      <x:c r="Y508" s="90">
        <x:v>0</x:v>
      </x:c>
      <x:c r="Z508">
        <x:v>0</x:v>
      </x:c>
    </x:row>
    <x:row r="509" spans="1:26" ht="12.75" customHeight="1" x14ac:dyDescent="0.3">
      <x:c r="A509" s="89"/>
      <x:c r="B509" s="89"/>
      <x:c r="D509" t="s">
        <x:v>87</x:v>
      </x:c>
      <x:c r="E509" t="s">
        <x:v>70</x:v>
      </x:c>
      <x:c r="F509" s="371" t="n">
        <x:v>227943415.65</x:v>
      </x:c>
      <x:c r="G509" s="90" t="n">
        <x:v>32767263.85</x:v>
      </x:c>
      <x:c r="H509" s="90" t="n">
        <x:v>18305474.04</x:v>
      </x:c>
      <x:c r="I509" s="90" t="n">
        <x:v>10400033.92</x:v>
      </x:c>
      <x:c r="J509" s="90" t="n">
        <x:v>25065757.92</x:v>
      </x:c>
      <x:c r="K509" s="90" t="n">
        <x:v>614853.68</x:v>
      </x:c>
      <x:c r="L509" s="90" t="n">
        <x:v>524708.12</x:v>
      </x:c>
      <x:c r="M509" s="90" t="n">
        <x:v>5357891.89</x:v>
      </x:c>
      <x:c r="N509" s="90" t="n">
        <x:v>7585710.29</x:v>
      </x:c>
      <x:c r="O509" s="90" t="n">
        <x:v>39328239.66</x:v>
      </x:c>
      <x:c r="P509" s="90" t="n">
        <x:v>86989590.97</x:v>
      </x:c>
      <x:c r="Q509" s="90" t="n">
        <x:v>1003917.48</x:v>
      </x:c>
      <x:c r="R509" s="90" t="n">
        <x:v>-26.17</x:v>
      </x:c>
      <x:c r="S509" s="90" t="n">
        <x:v>0</x:v>
      </x:c>
      <x:c r="T509" t="n">
        <x:v>0</x:v>
      </x:c>
      <x:c r="U509">
        <x:v>0</x:v>
      </x:c>
      <x:c r="V509">
        <x:v>0</x:v>
      </x:c>
      <x:c r="W509">
        <x:v>0</x:v>
      </x:c>
      <x:c r="X509">
        <x:v>0</x:v>
      </x:c>
      <x:c r="Y509" s="90">
        <x:v>0</x:v>
      </x:c>
      <x:c r="Z509">
        <x:v>0</x:v>
      </x:c>
    </x:row>
    <x:row r="510" spans="1:26" s="94" customFormat="1" ht="12.75" customHeight="1" x14ac:dyDescent="0.3">
      <x:c r="C510" s="101" t="s">
        <x:v>119</x:v>
      </x:c>
      <x:c r="D510" s="101" t="s">
        <x:v>70</x:v>
      </x:c>
      <x:c r="F510" s="93" t="n">
        <x:v>445264511.25</x:v>
      </x:c>
      <x:c r="G510" s="93" t="n">
        <x:v>51970239.02</x:v>
      </x:c>
      <x:c r="H510" s="93" t="n">
        <x:v>28536895.2</x:v>
      </x:c>
      <x:c r="I510" s="93" t="n">
        <x:v>15601916.84</x:v>
      </x:c>
      <x:c r="J510" s="93" t="n">
        <x:v>63846226.63</x:v>
      </x:c>
      <x:c r="K510" s="93" t="n">
        <x:v>1834382.34</x:v>
      </x:c>
      <x:c r="L510" s="93" t="n">
        <x:v>670762.75</x:v>
      </x:c>
      <x:c r="M510" s="93" t="n">
        <x:v>15939781.94</x:v>
      </x:c>
      <x:c r="N510" s="93" t="n">
        <x:v>20774942.16</x:v>
      </x:c>
      <x:c r="O510" s="93" t="n">
        <x:v>105443486.72</x:v>
      </x:c>
      <x:c r="P510" s="93" t="n">
        <x:v>137631857.28</x:v>
      </x:c>
      <x:c r="Q510" s="93" t="n">
        <x:v>3013700</x:v>
      </x:c>
      <x:c r="R510" s="93" t="n">
        <x:v>320.17</x:v>
      </x:c>
      <x:c r="S510" s="93" t="n">
        <x:v>-0.04</x:v>
      </x:c>
      <x:c r="T510" s="94" t="n">
        <x:v>0.24</x:v>
      </x:c>
      <x:c r="U510" s="94">
        <x:v>0</x:v>
      </x:c>
      <x:c r="V510" s="94">
        <x:v>0</x:v>
      </x:c>
      <x:c r="W510" s="94">
        <x:v>0</x:v>
      </x:c>
      <x:c r="X510" s="94">
        <x:v>0</x:v>
      </x:c>
      <x:c r="Y510" s="93">
        <x:v>0</x:v>
      </x:c>
      <x:c r="Z510" s="94">
        <x:v>0</x:v>
      </x:c>
    </x:row>
    <x:row r="511" spans="1:26" s="226" customFormat="1" ht="12.75" customHeight="1" x14ac:dyDescent="0.3">
      <x:c r="B511" s="98" t="s">
        <x:v>112</x:v>
      </x:c>
      <x:c r="C511" s="98" t="s">
        <x:v>70</x:v>
      </x:c>
      <x:c r="F511" s="100" t="n">
        <x:v>10776632651.21</x:v>
      </x:c>
      <x:c r="G511" s="100" t="n">
        <x:v>604672443.24</x:v>
      </x:c>
      <x:c r="H511" s="100" t="n">
        <x:v>335176510.65</x:v>
      </x:c>
      <x:c r="I511" s="100" t="n">
        <x:v>178723414.93</x:v>
      </x:c>
      <x:c r="J511" s="100" t="n">
        <x:v>2396191019.73</x:v>
      </x:c>
      <x:c r="K511" s="100" t="n">
        <x:v>89652712.91</x:v>
      </x:c>
      <x:c r="L511" s="100" t="n">
        <x:v>8643135.58</x:v>
      </x:c>
      <x:c r="M511" s="100" t="n">
        <x:v>785816460.85</x:v>
      </x:c>
      <x:c r="N511" s="100" t="n">
        <x:v>749926797.75</x:v>
      </x:c>
      <x:c r="O511" s="100" t="n">
        <x:v>3880555541.46</x:v>
      </x:c>
      <x:c r="P511" s="100" t="n">
        <x:v>1600714206.5</x:v>
      </x:c>
      <x:c r="Q511" s="100" t="n">
        <x:v>146528275.83</x:v>
      </x:c>
      <x:c r="R511" s="100" t="n">
        <x:v>31942.35</x:v>
      </x:c>
      <x:c r="S511" s="100" t="n">
        <x:v>10.22</x:v>
      </x:c>
      <x:c r="T511" s="226" t="n">
        <x:v>179.21</x:v>
      </x:c>
      <x:c r="U511" s="226">
        <x:v>0</x:v>
      </x:c>
      <x:c r="V511" s="226">
        <x:v>0</x:v>
      </x:c>
      <x:c r="W511" s="226">
        <x:v>0</x:v>
      </x:c>
      <x:c r="X511" s="226">
        <x:v>0</x:v>
      </x:c>
      <x:c r="Y511" s="100">
        <x:v>0</x:v>
      </x:c>
      <x:c r="Z511" s="226">
        <x:v>0</x:v>
      </x:c>
    </x:row>
    <x:row r="512" spans="1:26" ht="12" customHeight="1" x14ac:dyDescent="0.3">
      <x:c r="A512" s="89" t="s">
        <x:v>78</x:v>
      </x:c>
      <x:c r="B512" s="89" t="s">
        <x:v>70</x:v>
      </x:c>
      <x:c r="F512" s="371" t="n">
        <x:v>10799664233.55</x:v>
      </x:c>
      <x:c r="G512" s="90" t="n">
        <x:v>605951200.88</x:v>
      </x:c>
      <x:c r="H512" s="90" t="n">
        <x:v>335896309.08</x:v>
      </x:c>
      <x:c r="I512" s="90" t="n">
        <x:v>179109065.51</x:v>
      </x:c>
      <x:c r="J512" s="90" t="n">
        <x:v>2401372384.89</x:v>
      </x:c>
      <x:c r="K512" s="90" t="n">
        <x:v>89808238.99</x:v>
      </x:c>
      <x:c r="L512" s="90" t="n">
        <x:v>8643135.58</x:v>
      </x:c>
      <x:c r="M512" s="90" t="n">
        <x:v>787167753.15</x:v>
      </x:c>
      <x:c r="N512" s="90" t="n">
        <x:v>751596346.35</x:v>
      </x:c>
      <x:c r="O512" s="90" t="n">
        <x:v>3889172985.33</x:v>
      </x:c>
      <x:c r="P512" s="90" t="n">
        <x:v>1604131237.41</x:v>
      </x:c>
      <x:c r="Q512" s="90" t="n">
        <x:v>146783453.65</x:v>
      </x:c>
      <x:c r="R512" s="90" t="n">
        <x:v>31933.3</x:v>
      </x:c>
      <x:c r="S512" s="90" t="n">
        <x:v>10.22</x:v>
      </x:c>
      <x:c r="T512" t="n">
        <x:v>179.21</x:v>
      </x:c>
      <x:c r="U512">
        <x:v>0</x:v>
      </x:c>
      <x:c r="V512">
        <x:v>0</x:v>
      </x:c>
      <x:c r="W512">
        <x:v>0</x:v>
      </x:c>
      <x:c r="X512">
        <x:v>0</x:v>
      </x:c>
      <x:c r="Y512" s="90">
        <x:v>0</x:v>
      </x:c>
      <x:c r="Z512">
        <x:v>0</x:v>
      </x:c>
    </x:row>
    <x:row r="513" spans="2:26" ht="12.75" customHeight="1" x14ac:dyDescent="0.3">
      <x:c r="B513" s="89"/>
      <x:c r="C513" s="89"/>
      <x:c r="E513" t="s">
        <x:v>73</x:v>
      </x:c>
      <x:c r="F513" s="90" t="n">
        <x:v>-1560876.97</x:v>
      </x:c>
      <x:c r="G513" s="90" t="n">
        <x:v>53550.42</x:v>
      </x:c>
      <x:c r="H513" s="90" t="n">
        <x:v>32933.96</x:v>
      </x:c>
      <x:c r="I513" s="90" t="n">
        <x:v>16175.09</x:v>
      </x:c>
      <x:c r="J513" s="90" t="n">
        <x:v>-562935.2</x:v>
      </x:c>
      <x:c r="K513" s="90" t="n">
        <x:v>-14226.03</x:v>
      </x:c>
      <x:c r="L513" s="90" t="n">
        <x:v>0</x:v>
      </x:c>
      <x:c r="M513" s="90" t="n">
        <x:v>-124687.29</x:v>
      </x:c>
      <x:c r="N513" s="90" t="n">
        <x:v>-176501.79</x:v>
      </x:c>
      <x:c r="O513" s="90" t="n">
        <x:v>-906716.15</x:v>
      </x:c>
      <x:c r="P513" s="90" t="n">
        <x:v>144859.4</x:v>
      </x:c>
      <x:c r="Q513" s="90" t="n">
        <x:v>-23329.38</x:v>
      </x:c>
      <x:c r="R513" s="90" t="n">
        <x:v>0</x:v>
      </x:c>
      <x:c r="S513" s="90" t="n">
        <x:v>0</x:v>
      </x:c>
      <x:c r="T513" s="90" t="n">
        <x:v>0</x:v>
      </x:c>
      <x:c r="U513" s="90">
        <x:v>0</x:v>
      </x:c>
      <x:c r="V513" s="90">
        <x:v>0</x:v>
      </x:c>
      <x:c r="W513" s="90">
        <x:v>0</x:v>
      </x:c>
      <x:c r="X513">
        <x:v>0</x:v>
      </x:c>
      <x:c r="Y513">
        <x:v>0</x:v>
      </x:c>
      <x:c r="Z513">
        <x:v>0</x:v>
      </x:c>
    </x:row>
    <x:row r="514" spans="2:26" ht="12.75" customHeight="1" x14ac:dyDescent="0.3">
      <x:c r="B514" s="89"/>
      <x:c r="C514" s="89"/>
      <x:c r="D514" t="s">
        <x:v>156</x:v>
      </x:c>
      <x:c r="E514" t="s">
        <x:v>70</x:v>
      </x:c>
      <x:c r="F514" s="90" t="n">
        <x:v>-1560876.97</x:v>
      </x:c>
      <x:c r="G514" s="90" t="n">
        <x:v>53550.42</x:v>
      </x:c>
      <x:c r="H514" s="90" t="n">
        <x:v>32933.96</x:v>
      </x:c>
      <x:c r="I514" s="90" t="n">
        <x:v>16175.09</x:v>
      </x:c>
      <x:c r="J514" s="90" t="n">
        <x:v>-562935.2</x:v>
      </x:c>
      <x:c r="K514" s="90" t="n">
        <x:v>-14226.03</x:v>
      </x:c>
      <x:c r="L514" s="90" t="n">
        <x:v>0</x:v>
      </x:c>
      <x:c r="M514" s="90" t="n">
        <x:v>-124687.29</x:v>
      </x:c>
      <x:c r="N514" s="90" t="n">
        <x:v>-176501.79</x:v>
      </x:c>
      <x:c r="O514" s="90" t="n">
        <x:v>-906716.15</x:v>
      </x:c>
      <x:c r="P514" s="90" t="n">
        <x:v>144859.4</x:v>
      </x:c>
      <x:c r="Q514" s="90" t="n">
        <x:v>-23329.38</x:v>
      </x:c>
      <x:c r="R514" s="90" t="n">
        <x:v>0</x:v>
      </x:c>
      <x:c r="S514" s="90" t="n">
        <x:v>0</x:v>
      </x:c>
      <x:c r="T514" s="90" t="n">
        <x:v>0</x:v>
      </x:c>
      <x:c r="U514" s="90">
        <x:v>0</x:v>
      </x:c>
      <x:c r="V514" s="90">
        <x:v>0</x:v>
      </x:c>
      <x:c r="W514" s="90">
        <x:v>0</x:v>
      </x:c>
      <x:c r="X514">
        <x:v>0</x:v>
      </x:c>
      <x:c r="Y514">
        <x:v>0</x:v>
      </x:c>
      <x:c r="Z514">
        <x:v>0</x:v>
      </x:c>
    </x:row>
    <x:row r="515" spans="2:26" s="656" customFormat="1" ht="12.75" customHeight="1" x14ac:dyDescent="0.3">
      <x:c r="C515" s="656" t="s">
        <x:v>155</x:v>
      </x:c>
      <x:c r="D515" s="657" t="s">
        <x:v>70</x:v>
      </x:c>
      <x:c r="E515" s="657"/>
      <x:c r="F515" s="658" t="n">
        <x:v>-1560876.97</x:v>
      </x:c>
      <x:c r="G515" s="658" t="n">
        <x:v>53550.42</x:v>
      </x:c>
      <x:c r="H515" s="658" t="n">
        <x:v>32933.96</x:v>
      </x:c>
      <x:c r="I515" s="658" t="n">
        <x:v>16175.09</x:v>
      </x:c>
      <x:c r="J515" s="658" t="n">
        <x:v>-562935.2</x:v>
      </x:c>
      <x:c r="K515" s="658" t="n">
        <x:v>-14226.03</x:v>
      </x:c>
      <x:c r="L515" s="658" t="n">
        <x:v>0</x:v>
      </x:c>
      <x:c r="M515" s="658" t="n">
        <x:v>-124687.29</x:v>
      </x:c>
      <x:c r="N515" s="658" t="n">
        <x:v>-176501.79</x:v>
      </x:c>
      <x:c r="O515" s="658" t="n">
        <x:v>-906716.15</x:v>
      </x:c>
      <x:c r="P515" s="658" t="n">
        <x:v>144859.4</x:v>
      </x:c>
      <x:c r="Q515" s="658" t="n">
        <x:v>-23329.38</x:v>
      </x:c>
      <x:c r="R515" s="658" t="n">
        <x:v>0</x:v>
      </x:c>
      <x:c r="S515" s="658" t="n">
        <x:v>0</x:v>
      </x:c>
      <x:c r="T515" s="658" t="n">
        <x:v>0</x:v>
      </x:c>
      <x:c r="U515" s="658">
        <x:v>0</x:v>
      </x:c>
      <x:c r="V515" s="658">
        <x:v>0</x:v>
      </x:c>
      <x:c r="W515" s="658">
        <x:v>0</x:v>
      </x:c>
      <x:c r="X515" s="656">
        <x:v>0</x:v>
      </x:c>
      <x:c r="Y515" s="656">
        <x:v>0</x:v>
      </x:c>
      <x:c r="Z515" s="656">
        <x:v>0</x:v>
      </x:c>
    </x:row>
    <x:row r="516" spans="2:26" ht="12.75" customHeight="1" x14ac:dyDescent="0.3">
      <x:c r="E516" s="89" t="s">
        <x:v>73</x:v>
      </x:c>
      <x:c r="F516" s="90" t="n">
        <x:v>-47234.67</x:v>
      </x:c>
      <x:c r="G516" s="90" t="n">
        <x:v>-1088.25</x:v>
      </x:c>
      <x:c r="H516" s="90" t="n">
        <x:v>-614.85</x:v>
      </x:c>
      <x:c r="I516" s="90" t="n">
        <x:v>-324.42</x:v>
      </x:c>
      <x:c r="J516" s="90" t="n">
        <x:v>-8085.25</x:v>
      </x:c>
      <x:c r="K516" s="90" t="n">
        <x:v>-505.96</x:v>
      </x:c>
      <x:c r="L516" s="90" t="n">
        <x:v>0</x:v>
      </x:c>
      <x:c r="M516" s="90" t="n">
        <x:v>-4438.23</x:v>
      </x:c>
      <x:c r="N516" s="90" t="n">
        <x:v>-4643.52</x:v>
      </x:c>
      <x:c r="O516" s="90" t="n">
        <x:v>-23810.72</x:v>
      </x:c>
      <x:c r="P516" s="90" t="n">
        <x:v>-2897.96</x:v>
      </x:c>
      <x:c r="Q516" s="90" t="n">
        <x:v>-825.51</x:v>
      </x:c>
      <x:c r="R516" s="90" t="n">
        <x:v>0</x:v>
      </x:c>
      <x:c r="S516" s="90" t="n">
        <x:v>0</x:v>
      </x:c>
      <x:c r="T516" t="n">
        <x:v>0</x:v>
      </x:c>
      <x:c r="U516">
        <x:v>0</x:v>
      </x:c>
      <x:c r="V516">
        <x:v>0</x:v>
      </x:c>
      <x:c r="W516">
        <x:v>0</x:v>
      </x:c>
      <x:c r="X516">
        <x:v>0</x:v>
      </x:c>
      <x:c r="Y516" s="90">
        <x:v>0</x:v>
      </x:c>
      <x:c r="Z516">
        <x:v>0</x:v>
      </x:c>
    </x:row>
    <x:row r="517" spans="2:26" ht="12.75" customHeight="1" x14ac:dyDescent="0.3">
      <x:c r="D517" t="s">
        <x:v>115</x:v>
      </x:c>
      <x:c r="E517" s="89" t="s">
        <x:v>70</x:v>
      </x:c>
      <x:c r="F517" s="371" t="n">
        <x:v>-47234.67</x:v>
      </x:c>
      <x:c r="G517" s="90" t="n">
        <x:v>-1088.25</x:v>
      </x:c>
      <x:c r="H517" s="90" t="n">
        <x:v>-614.85</x:v>
      </x:c>
      <x:c r="I517" s="90" t="n">
        <x:v>-324.42</x:v>
      </x:c>
      <x:c r="J517" s="90" t="n">
        <x:v>-8085.25</x:v>
      </x:c>
      <x:c r="K517" s="90" t="n">
        <x:v>-505.96</x:v>
      </x:c>
      <x:c r="L517" s="90" t="n">
        <x:v>0</x:v>
      </x:c>
      <x:c r="M517" s="90" t="n">
        <x:v>-4438.23</x:v>
      </x:c>
      <x:c r="N517" s="90" t="n">
        <x:v>-4643.52</x:v>
      </x:c>
      <x:c r="O517" s="90" t="n">
        <x:v>-23810.72</x:v>
      </x:c>
      <x:c r="P517" s="90" t="n">
        <x:v>-2897.96</x:v>
      </x:c>
      <x:c r="Q517" s="90" t="n">
        <x:v>-825.51</x:v>
      </x:c>
      <x:c r="R517" s="90" t="n">
        <x:v>0</x:v>
      </x:c>
      <x:c r="S517" s="90" t="n">
        <x:v>0</x:v>
      </x:c>
      <x:c r="T517" t="n">
        <x:v>0</x:v>
      </x:c>
      <x:c r="U517">
        <x:v>0</x:v>
      </x:c>
      <x:c r="V517">
        <x:v>0</x:v>
      </x:c>
      <x:c r="W517">
        <x:v>0</x:v>
      </x:c>
      <x:c r="X517">
        <x:v>0</x:v>
      </x:c>
      <x:c r="Y517" s="90">
        <x:v>0</x:v>
      </x:c>
      <x:c r="Z517">
        <x:v>0</x:v>
      </x:c>
    </x:row>
    <x:row r="518" spans="2:26" ht="12.75" customHeight="1" x14ac:dyDescent="0.3">
      <x:c r="E518" s="89" t="s">
        <x:v>73</x:v>
      </x:c>
      <x:c r="F518" s="371">
        <x:v>0</x:v>
      </x:c>
      <x:c r="G518" s="90">
        <x:v>0</x:v>
      </x:c>
      <x:c r="H518" s="90">
        <x:v>0</x:v>
      </x:c>
      <x:c r="I518" s="90">
        <x:v>0</x:v>
      </x:c>
      <x:c r="J518" s="90">
        <x:v>0</x:v>
      </x:c>
      <x:c r="K518" s="90">
        <x:v>0</x:v>
      </x:c>
      <x:c r="L518" s="90">
        <x:v>0</x:v>
      </x:c>
      <x:c r="M518" s="90">
        <x:v>0</x:v>
      </x:c>
      <x:c r="N518" s="90">
        <x:v>0</x:v>
      </x:c>
      <x:c r="O518" s="90">
        <x:v>0</x:v>
      </x:c>
      <x:c r="P518" s="90">
        <x:v>0</x:v>
      </x:c>
      <x:c r="Q518" s="90">
        <x:v>0</x:v>
      </x:c>
      <x:c r="R518" s="90">
        <x:v>0</x:v>
      </x:c>
      <x:c r="S518" s="90">
        <x:v>0</x:v>
      </x:c>
      <x:c r="T518">
        <x:v>0</x:v>
      </x:c>
      <x:c r="U518">
        <x:v>0</x:v>
      </x:c>
      <x:c r="V518">
        <x:v>0</x:v>
      </x:c>
      <x:c r="W518">
        <x:v>0</x:v>
      </x:c>
      <x:c r="X518">
        <x:v>0</x:v>
      </x:c>
      <x:c r="Y518" s="90">
        <x:v>0</x:v>
      </x:c>
      <x:c r="Z518">
        <x:v>0</x:v>
      </x:c>
    </x:row>
    <x:row r="519" spans="2:26" ht="12.75" customHeight="1" x14ac:dyDescent="0.3">
      <x:c r="D519" s="772">
        <x:v>2</x:v>
      </x:c>
      <x:c r="E519" s="89" t="s">
        <x:v>70</x:v>
      </x:c>
      <x:c r="F519" s="371">
        <x:v>0</x:v>
      </x:c>
      <x:c r="G519" s="90">
        <x:v>0</x:v>
      </x:c>
      <x:c r="H519" s="90">
        <x:v>0</x:v>
      </x:c>
      <x:c r="I519" s="90">
        <x:v>0</x:v>
      </x:c>
      <x:c r="J519" s="90">
        <x:v>0</x:v>
      </x:c>
      <x:c r="K519" s="90">
        <x:v>0</x:v>
      </x:c>
      <x:c r="L519" s="90">
        <x:v>0</x:v>
      </x:c>
      <x:c r="M519" s="90">
        <x:v>0</x:v>
      </x:c>
      <x:c r="N519" s="90">
        <x:v>0</x:v>
      </x:c>
      <x:c r="O519" s="90">
        <x:v>0</x:v>
      </x:c>
      <x:c r="P519" s="90">
        <x:v>0</x:v>
      </x:c>
      <x:c r="Q519" s="90">
        <x:v>0</x:v>
      </x:c>
      <x:c r="R519" s="90">
        <x:v>0</x:v>
      </x:c>
      <x:c r="S519" s="90">
        <x:v>0</x:v>
      </x:c>
      <x:c r="T519">
        <x:v>0</x:v>
      </x:c>
      <x:c r="U519">
        <x:v>0</x:v>
      </x:c>
      <x:c r="V519">
        <x:v>0</x:v>
      </x:c>
      <x:c r="W519">
        <x:v>0</x:v>
      </x:c>
      <x:c r="X519">
        <x:v>0</x:v>
      </x:c>
      <x:c r="Y519" s="90">
        <x:v>0</x:v>
      </x:c>
      <x:c r="Z519">
        <x:v>0</x:v>
      </x:c>
    </x:row>
    <x:row r="520" spans="2:26" ht="12.75" customHeight="1" x14ac:dyDescent="0.3">
      <x:c r="E520" s="89" t="s">
        <x:v>73</x:v>
      </x:c>
      <x:c r="F520" s="371">
        <x:v>0</x:v>
      </x:c>
      <x:c r="G520" s="90">
        <x:v>0</x:v>
      </x:c>
      <x:c r="H520" s="90">
        <x:v>0</x:v>
      </x:c>
      <x:c r="I520" s="90">
        <x:v>0</x:v>
      </x:c>
      <x:c r="J520" s="90">
        <x:v>0</x:v>
      </x:c>
      <x:c r="K520" s="90">
        <x:v>0</x:v>
      </x:c>
      <x:c r="L520" s="90">
        <x:v>0</x:v>
      </x:c>
      <x:c r="M520" s="90">
        <x:v>0</x:v>
      </x:c>
      <x:c r="N520" s="90">
        <x:v>0</x:v>
      </x:c>
      <x:c r="O520" s="90">
        <x:v>0</x:v>
      </x:c>
      <x:c r="P520" s="90">
        <x:v>0</x:v>
      </x:c>
      <x:c r="Q520" s="90">
        <x:v>0</x:v>
      </x:c>
      <x:c r="R520" s="90">
        <x:v>0</x:v>
      </x:c>
      <x:c r="S520" s="90">
        <x:v>0</x:v>
      </x:c>
      <x:c r="T520">
        <x:v>0</x:v>
      </x:c>
      <x:c r="U520">
        <x:v>0</x:v>
      </x:c>
      <x:c r="V520">
        <x:v>0</x:v>
      </x:c>
      <x:c r="W520">
        <x:v>0</x:v>
      </x:c>
      <x:c r="X520">
        <x:v>0</x:v>
      </x:c>
      <x:c r="Y520" s="90">
        <x:v>0</x:v>
      </x:c>
      <x:c r="Z520">
        <x:v>0</x:v>
      </x:c>
    </x:row>
    <x:row r="521" spans="2:26" ht="12.75" customHeight="1" x14ac:dyDescent="0.3">
      <x:c r="D521" t="s">
        <x:v>118</x:v>
      </x:c>
      <x:c r="E521" s="89" t="s">
        <x:v>70</x:v>
      </x:c>
      <x:c r="F521" s="371">
        <x:v>0</x:v>
      </x:c>
      <x:c r="G521" s="90">
        <x:v>0</x:v>
      </x:c>
      <x:c r="H521" s="90">
        <x:v>0</x:v>
      </x:c>
      <x:c r="I521" s="90">
        <x:v>0</x:v>
      </x:c>
      <x:c r="J521" s="90">
        <x:v>0</x:v>
      </x:c>
      <x:c r="K521" s="90">
        <x:v>0</x:v>
      </x:c>
      <x:c r="L521" s="90">
        <x:v>0</x:v>
      </x:c>
      <x:c r="M521" s="90">
        <x:v>0</x:v>
      </x:c>
      <x:c r="N521" s="90">
        <x:v>0</x:v>
      </x:c>
      <x:c r="O521" s="90">
        <x:v>0</x:v>
      </x:c>
      <x:c r="P521" s="90">
        <x:v>0</x:v>
      </x:c>
      <x:c r="Q521" s="90">
        <x:v>0</x:v>
      </x:c>
      <x:c r="R521" s="90">
        <x:v>0</x:v>
      </x:c>
      <x:c r="S521" s="90">
        <x:v>0</x:v>
      </x:c>
      <x:c r="T521">
        <x:v>0</x:v>
      </x:c>
      <x:c r="U521">
        <x:v>0</x:v>
      </x:c>
      <x:c r="V521">
        <x:v>0</x:v>
      </x:c>
      <x:c r="W521">
        <x:v>0</x:v>
      </x:c>
      <x:c r="X521">
        <x:v>0</x:v>
      </x:c>
      <x:c r="Y521" s="90">
        <x:v>0</x:v>
      </x:c>
      <x:c r="Z521">
        <x:v>0</x:v>
      </x:c>
    </x:row>
    <x:row r="522" spans="2:26" s="224" customFormat="1" ht="12.75" customHeight="1" x14ac:dyDescent="0.3">
      <x:c r="C522" s="223" t="s">
        <x:v>120</x:v>
      </x:c>
      <x:c r="D522" s="223" t="s">
        <x:v>70</x:v>
      </x:c>
      <x:c r="F522" s="225" t="n">
        <x:v>-47234.67</x:v>
      </x:c>
      <x:c r="G522" s="225" t="n">
        <x:v>-1088.25</x:v>
      </x:c>
      <x:c r="H522" s="225" t="n">
        <x:v>-614.85</x:v>
      </x:c>
      <x:c r="I522" s="225" t="n">
        <x:v>-324.42</x:v>
      </x:c>
      <x:c r="J522" s="225" t="n">
        <x:v>-8085.25</x:v>
      </x:c>
      <x:c r="K522" s="225" t="n">
        <x:v>-505.96</x:v>
      </x:c>
      <x:c r="L522" s="225" t="n">
        <x:v>0</x:v>
      </x:c>
      <x:c r="M522" s="225" t="n">
        <x:v>-4438.23</x:v>
      </x:c>
      <x:c r="N522" s="225" t="n">
        <x:v>-4643.52</x:v>
      </x:c>
      <x:c r="O522" s="225" t="n">
        <x:v>-23810.72</x:v>
      </x:c>
      <x:c r="P522" s="225" t="n">
        <x:v>-2897.96</x:v>
      </x:c>
      <x:c r="Q522" s="225" t="n">
        <x:v>-825.51</x:v>
      </x:c>
      <x:c r="R522" s="225" t="n">
        <x:v>0</x:v>
      </x:c>
      <x:c r="S522" s="225" t="n">
        <x:v>0</x:v>
      </x:c>
      <x:c r="T522" s="224" t="n">
        <x:v>0</x:v>
      </x:c>
      <x:c r="U522" s="224">
        <x:v>0</x:v>
      </x:c>
      <x:c r="V522" s="224">
        <x:v>0</x:v>
      </x:c>
      <x:c r="W522" s="224">
        <x:v>0</x:v>
      </x:c>
      <x:c r="X522" s="224">
        <x:v>0</x:v>
      </x:c>
      <x:c r="Y522" s="225">
        <x:v>0</x:v>
      </x:c>
      <x:c r="Z522" s="224">
        <x:v>0</x:v>
      </x:c>
    </x:row>
    <x:row r="523" spans="2:26" ht="12.75" customHeight="1" x14ac:dyDescent="0.3">
      <x:c r="D523" s="89"/>
      <x:c r="E523" s="89" t="s">
        <x:v>73</x:v>
      </x:c>
      <x:c r="F523" s="371" t="n">
        <x:v>37555.14</x:v>
      </x:c>
      <x:c r="G523" s="90" t="n">
        <x:v>4039.08</x:v>
      </x:c>
      <x:c r="H523" s="90" t="n">
        <x:v>2258.1</x:v>
      </x:c>
      <x:c r="I523" s="90" t="n">
        <x:v>1196.98</x:v>
      </x:c>
      <x:c r="J523" s="90" t="n">
        <x:v>6201.71</x:v>
      </x:c>
      <x:c r="K523" s="90" t="n">
        <x:v>205</x:v>
      </x:c>
      <x:c r="L523" s="90" t="n">
        <x:v>0</x:v>
      </x:c>
      <x:c r="M523" s="90" t="n">
        <x:v>1798.22</x:v>
      </x:c>
      <x:c r="N523" s="90" t="n">
        <x:v>1765.23</x:v>
      </x:c>
      <x:c r="O523" s="90" t="n">
        <x:v>9062.01</x:v>
      </x:c>
      <x:c r="P523" s="90" t="n">
        <x:v>10694.35</x:v>
      </x:c>
      <x:c r="Q523" s="90" t="n">
        <x:v>334.46</x:v>
      </x:c>
      <x:c r="R523" s="90" t="n">
        <x:v>0</x:v>
      </x:c>
      <x:c r="S523" s="90" t="n">
        <x:v>0</x:v>
      </x:c>
      <x:c r="T523" s="90" t="n">
        <x:v>0</x:v>
      </x:c>
      <x:c r="U523" s="90">
        <x:v>0</x:v>
      </x:c>
      <x:c r="V523" s="90">
        <x:v>0</x:v>
      </x:c>
      <x:c r="W523" s="90">
        <x:v>0</x:v>
      </x:c>
      <x:c r="X523">
        <x:v>0</x:v>
      </x:c>
      <x:c r="Y523">
        <x:v>0</x:v>
      </x:c>
      <x:c r="Z523">
        <x:v>0</x:v>
      </x:c>
    </x:row>
    <x:row r="524" spans="2:26" ht="12.75" customHeight="1" x14ac:dyDescent="0.3">
      <x:c r="D524" s="89" t="s">
        <x:v>82</x:v>
      </x:c>
      <x:c r="E524" s="89" t="s">
        <x:v>70</x:v>
      </x:c>
      <x:c r="F524" s="371" t="n">
        <x:v>37555.14</x:v>
      </x:c>
      <x:c r="G524" s="90" t="n">
        <x:v>4039.08</x:v>
      </x:c>
      <x:c r="H524" s="90" t="n">
        <x:v>2258.1</x:v>
      </x:c>
      <x:c r="I524" s="90" t="n">
        <x:v>1196.98</x:v>
      </x:c>
      <x:c r="J524" s="90" t="n">
        <x:v>6201.71</x:v>
      </x:c>
      <x:c r="K524" s="90" t="n">
        <x:v>205</x:v>
      </x:c>
      <x:c r="L524" s="90" t="n">
        <x:v>0</x:v>
      </x:c>
      <x:c r="M524" s="90" t="n">
        <x:v>1798.22</x:v>
      </x:c>
      <x:c r="N524" s="90" t="n">
        <x:v>1765.23</x:v>
      </x:c>
      <x:c r="O524" s="90" t="n">
        <x:v>9062.01</x:v>
      </x:c>
      <x:c r="P524" s="90" t="n">
        <x:v>10694.35</x:v>
      </x:c>
      <x:c r="Q524" s="90" t="n">
        <x:v>334.46</x:v>
      </x:c>
      <x:c r="R524" s="90" t="n">
        <x:v>0</x:v>
      </x:c>
      <x:c r="S524" s="90" t="n">
        <x:v>0</x:v>
      </x:c>
      <x:c r="T524" s="90" t="n">
        <x:v>0</x:v>
      </x:c>
      <x:c r="U524" s="90">
        <x:v>0</x:v>
      </x:c>
      <x:c r="V524" s="90">
        <x:v>0</x:v>
      </x:c>
      <x:c r="W524" s="90">
        <x:v>0</x:v>
      </x:c>
      <x:c r="X524">
        <x:v>0</x:v>
      </x:c>
      <x:c r="Y524">
        <x:v>0</x:v>
      </x:c>
      <x:c r="Z524">
        <x:v>0</x:v>
      </x:c>
    </x:row>
    <x:row r="525" spans="2:26" ht="12.75" customHeight="1" x14ac:dyDescent="0.3">
      <x:c r="D525" s="89"/>
      <x:c r="E525" s="89" t="s">
        <x:v>73</x:v>
      </x:c>
      <x:c r="F525" s="371" t="n">
        <x:v>96151.16</x:v>
      </x:c>
      <x:c r="G525" s="90" t="n">
        <x:v>6725.46</x:v>
      </x:c>
      <x:c r="H525" s="90" t="n">
        <x:v>3475.84</x:v>
      </x:c>
      <x:c r="I525" s="90" t="n">
        <x:v>1916.48</x:v>
      </x:c>
      <x:c r="J525" s="90" t="n">
        <x:v>21986.42</x:v>
      </x:c>
      <x:c r="K525" s="90" t="n">
        <x:v>512.83</x:v>
      </x:c>
      <x:c r="L525" s="90" t="n">
        <x:v>0</x:v>
      </x:c>
      <x:c r="M525" s="90" t="n">
        <x:v>4498.28</x:v>
      </x:c>
      <x:c r="N525" s="90" t="n">
        <x:v>6333.74</x:v>
      </x:c>
      <x:c r="O525" s="90" t="n">
        <x:v>31922.75</x:v>
      </x:c>
      <x:c r="P525" s="90" t="n">
        <x:v>17942.67</x:v>
      </x:c>
      <x:c r="Q525" s="90" t="n">
        <x:v>836.69</x:v>
      </x:c>
      <x:c r="R525" s="90" t="n">
        <x:v>0</x:v>
      </x:c>
      <x:c r="S525" s="90" t="n">
        <x:v>0</x:v>
      </x:c>
      <x:c r="T525" s="90" t="n">
        <x:v>0</x:v>
      </x:c>
      <x:c r="U525" s="90">
        <x:v>0</x:v>
      </x:c>
      <x:c r="V525" s="90">
        <x:v>0</x:v>
      </x:c>
      <x:c r="W525" s="90">
        <x:v>0</x:v>
      </x:c>
      <x:c r="X525">
        <x:v>0</x:v>
      </x:c>
      <x:c r="Y525">
        <x:v>0</x:v>
      </x:c>
      <x:c r="Z525">
        <x:v>0</x:v>
      </x:c>
    </x:row>
    <x:row r="526" spans="2:26" ht="12.75" customHeight="1" x14ac:dyDescent="0.3">
      <x:c r="D526" s="89" t="s">
        <x:v>86</x:v>
      </x:c>
      <x:c r="E526" s="89" t="s">
        <x:v>70</x:v>
      </x:c>
      <x:c r="F526" s="371" t="n">
        <x:v>96151.16</x:v>
      </x:c>
      <x:c r="G526" s="90" t="n">
        <x:v>6725.46</x:v>
      </x:c>
      <x:c r="H526" s="90" t="n">
        <x:v>3475.84</x:v>
      </x:c>
      <x:c r="I526" s="90" t="n">
        <x:v>1916.48</x:v>
      </x:c>
      <x:c r="J526" s="90" t="n">
        <x:v>21986.42</x:v>
      </x:c>
      <x:c r="K526" s="90" t="n">
        <x:v>512.83</x:v>
      </x:c>
      <x:c r="L526" s="90" t="n">
        <x:v>0</x:v>
      </x:c>
      <x:c r="M526" s="90" t="n">
        <x:v>4498.28</x:v>
      </x:c>
      <x:c r="N526" s="90" t="n">
        <x:v>6333.74</x:v>
      </x:c>
      <x:c r="O526" s="90" t="n">
        <x:v>31922.75</x:v>
      </x:c>
      <x:c r="P526" s="90" t="n">
        <x:v>17942.67</x:v>
      </x:c>
      <x:c r="Q526" s="90" t="n">
        <x:v>836.69</x:v>
      </x:c>
      <x:c r="R526" s="90" t="n">
        <x:v>0</x:v>
      </x:c>
      <x:c r="S526" s="90" t="n">
        <x:v>0</x:v>
      </x:c>
      <x:c r="T526" s="90" t="n">
        <x:v>0</x:v>
      </x:c>
      <x:c r="U526" s="90">
        <x:v>0</x:v>
      </x:c>
      <x:c r="V526" s="90">
        <x:v>0</x:v>
      </x:c>
      <x:c r="W526" s="90">
        <x:v>0</x:v>
      </x:c>
      <x:c r="X526">
        <x:v>0</x:v>
      </x:c>
      <x:c r="Y526">
        <x:v>0</x:v>
      </x:c>
      <x:c r="Z526">
        <x:v>0</x:v>
      </x:c>
    </x:row>
    <x:row r="527" spans="2:26" x14ac:dyDescent="0.3">
      <x:c r="E527" t="s">
        <x:v>73</x:v>
      </x:c>
      <x:c r="F527" s="90">
        <x:v>0</x:v>
      </x:c>
      <x:c r="G527" s="90">
        <x:v>0</x:v>
      </x:c>
      <x:c r="H527" s="90">
        <x:v>0</x:v>
      </x:c>
      <x:c r="I527" s="90">
        <x:v>0</x:v>
      </x:c>
      <x:c r="J527" s="90">
        <x:v>0</x:v>
      </x:c>
      <x:c r="K527" s="90">
        <x:v>0</x:v>
      </x:c>
      <x:c r="L527" s="90">
        <x:v>0</x:v>
      </x:c>
      <x:c r="M527" s="90">
        <x:v>0</x:v>
      </x:c>
      <x:c r="N527" s="90">
        <x:v>0</x:v>
      </x:c>
      <x:c r="O527" s="90">
        <x:v>0</x:v>
      </x:c>
      <x:c r="P527" s="90">
        <x:v>0</x:v>
      </x:c>
      <x:c r="Q527" s="90">
        <x:v>0</x:v>
      </x:c>
      <x:c r="R527" s="90">
        <x:v>0</x:v>
      </x:c>
      <x:c r="S527" s="90">
        <x:v>0</x:v>
      </x:c>
      <x:c r="T527" s="90">
        <x:v>0</x:v>
      </x:c>
      <x:c r="U527">
        <x:v>0</x:v>
      </x:c>
      <x:c r="V527">
        <x:v>0</x:v>
      </x:c>
      <x:c r="W527">
        <x:v>0</x:v>
      </x:c>
      <x:c r="X527">
        <x:v>0</x:v>
      </x:c>
      <x:c r="Y527">
        <x:v>0</x:v>
      </x:c>
      <x:c r="Z527" s="90">
        <x:v>0</x:v>
      </x:c>
    </x:row>
    <x:row r="528" spans="2:26" x14ac:dyDescent="0.3">
      <x:c r="D528" t="s">
        <x:v>87</x:v>
      </x:c>
      <x:c r="E528" t="s">
        <x:v>70</x:v>
      </x:c>
      <x:c r="F528" s="90">
        <x:v>0</x:v>
      </x:c>
      <x:c r="G528" s="90">
        <x:v>0</x:v>
      </x:c>
      <x:c r="H528" s="90">
        <x:v>0</x:v>
      </x:c>
      <x:c r="I528" s="90">
        <x:v>0</x:v>
      </x:c>
      <x:c r="J528" s="90">
        <x:v>0</x:v>
      </x:c>
      <x:c r="K528" s="90">
        <x:v>0</x:v>
      </x:c>
      <x:c r="L528" s="90">
        <x:v>0</x:v>
      </x:c>
      <x:c r="M528" s="90">
        <x:v>0</x:v>
      </x:c>
      <x:c r="N528" s="90">
        <x:v>0</x:v>
      </x:c>
      <x:c r="O528" s="90">
        <x:v>0</x:v>
      </x:c>
      <x:c r="P528" s="90">
        <x:v>0</x:v>
      </x:c>
      <x:c r="Q528" s="90">
        <x:v>0</x:v>
      </x:c>
      <x:c r="R528" s="90">
        <x:v>0</x:v>
      </x:c>
      <x:c r="S528" s="90">
        <x:v>0</x:v>
      </x:c>
      <x:c r="T528" s="90">
        <x:v>0</x:v>
      </x:c>
      <x:c r="U528">
        <x:v>0</x:v>
      </x:c>
      <x:c r="V528">
        <x:v>0</x:v>
      </x:c>
      <x:c r="W528">
        <x:v>0</x:v>
      </x:c>
      <x:c r="X528">
        <x:v>0</x:v>
      </x:c>
      <x:c r="Y528">
        <x:v>0</x:v>
      </x:c>
      <x:c r="Z528" s="90">
        <x:v>0</x:v>
      </x:c>
    </x:row>
    <x:row r="529" spans="2:26" s="94" customFormat="1" ht="12.75" customHeight="1" x14ac:dyDescent="0.3">
      <x:c r="C529" s="94" t="s">
        <x:v>119</x:v>
      </x:c>
      <x:c r="D529" s="94" t="s">
        <x:v>70</x:v>
      </x:c>
      <x:c r="E529" s="101"/>
      <x:c r="F529" s="93" t="n">
        <x:v>133706.3</x:v>
      </x:c>
      <x:c r="G529" s="93" t="n">
        <x:v>10764.54</x:v>
      </x:c>
      <x:c r="H529" s="93" t="n">
        <x:v>5733.94</x:v>
      </x:c>
      <x:c r="I529" s="93" t="n">
        <x:v>3113.46</x:v>
      </x:c>
      <x:c r="J529" s="93" t="n">
        <x:v>28188.13</x:v>
      </x:c>
      <x:c r="K529" s="93" t="n">
        <x:v>717.83</x:v>
      </x:c>
      <x:c r="L529" s="93" t="n">
        <x:v>0</x:v>
      </x:c>
      <x:c r="M529" s="93" t="n">
        <x:v>6296.5</x:v>
      </x:c>
      <x:c r="N529" s="93" t="n">
        <x:v>8098.97</x:v>
      </x:c>
      <x:c r="O529" s="93" t="n">
        <x:v>40984.76</x:v>
      </x:c>
      <x:c r="P529" s="93" t="n">
        <x:v>28637.02</x:v>
      </x:c>
      <x:c r="Q529" s="93" t="n">
        <x:v>1171.15</x:v>
      </x:c>
      <x:c r="R529" s="93" t="n">
        <x:v>0</x:v>
      </x:c>
      <x:c r="S529" s="93" t="n">
        <x:v>0</x:v>
      </x:c>
      <x:c r="T529" s="93" t="n">
        <x:v>0</x:v>
      </x:c>
      <x:c r="U529" s="93">
        <x:v>0</x:v>
      </x:c>
      <x:c r="V529" s="93">
        <x:v>0</x:v>
      </x:c>
      <x:c r="W529" s="93">
        <x:v>0</x:v>
      </x:c>
      <x:c r="X529" s="94">
        <x:v>0</x:v>
      </x:c>
      <x:c r="Y529" s="94">
        <x:v>0</x:v>
      </x:c>
      <x:c r="Z529" s="94">
        <x:v>0</x:v>
      </x:c>
    </x:row>
    <x:row r="530" spans="2:26" s="378" customFormat="1" ht="12.75" customHeight="1" x14ac:dyDescent="0.3">
      <x:c r="B530" s="378" t="s">
        <x:v>122</x:v>
      </x:c>
      <x:c r="C530" s="378" t="s">
        <x:v>70</x:v>
      </x:c>
      <x:c r="E530" s="376"/>
      <x:c r="F530" s="377" t="n">
        <x:v>-1474405.34</x:v>
      </x:c>
      <x:c r="G530" s="377" t="n">
        <x:v>63226.71</x:v>
      </x:c>
      <x:c r="H530" s="377" t="n">
        <x:v>38053.05</x:v>
      </x:c>
      <x:c r="I530" s="377" t="n">
        <x:v>18964.13</x:v>
      </x:c>
      <x:c r="J530" s="377" t="n">
        <x:v>-542832.32</x:v>
      </x:c>
      <x:c r="K530" s="377" t="n">
        <x:v>-14014.16</x:v>
      </x:c>
      <x:c r="L530" s="377" t="n">
        <x:v>0</x:v>
      </x:c>
      <x:c r="M530" s="377" t="n">
        <x:v>-122829.02</x:v>
      </x:c>
      <x:c r="N530" s="377" t="n">
        <x:v>-173046.34</x:v>
      </x:c>
      <x:c r="O530" s="377" t="n">
        <x:v>-889542.11</x:v>
      </x:c>
      <x:c r="P530" s="377" t="n">
        <x:v>170598.46</x:v>
      </x:c>
      <x:c r="Q530" s="377" t="n">
        <x:v>-22983.74</x:v>
      </x:c>
      <x:c r="R530" s="377" t="n">
        <x:v>0</x:v>
      </x:c>
      <x:c r="S530" s="377" t="n">
        <x:v>0</x:v>
      </x:c>
      <x:c r="T530" s="378" t="n">
        <x:v>0</x:v>
      </x:c>
      <x:c r="U530" s="378">
        <x:v>0</x:v>
      </x:c>
      <x:c r="V530" s="378">
        <x:v>0</x:v>
      </x:c>
      <x:c r="W530" s="378">
        <x:v>0</x:v>
      </x:c>
      <x:c r="X530" s="378">
        <x:v>0</x:v>
      </x:c>
      <x:c r="Y530" s="377">
        <x:v>0</x:v>
      </x:c>
      <x:c r="Z530" s="378">
        <x:v>0</x:v>
      </x:c>
    </x:row>
    <x:row r="531" spans="2:26" ht="12.75" customHeight="1" x14ac:dyDescent="0.3">
      <x:c r="E531" s="89" t="s">
        <x:v>73</x:v>
      </x:c>
      <x:c r="F531" s="90" t="n">
        <x:v>-440994165.67</x:v>
      </x:c>
      <x:c r="G531" s="90" t="n">
        <x:v>45083745.57</x:v>
      </x:c>
      <x:c r="H531" s="90" t="n">
        <x:v>24726150.07</x:v>
      </x:c>
      <x:c r="I531" s="90" t="n">
        <x:v>13138151.8</x:v>
      </x:c>
      <x:c r="J531" s="90" t="n">
        <x:v>-190606036.38</x:v>
      </x:c>
      <x:c r="K531" s="90" t="n">
        <x:v>-7297920.08</x:v>
      </x:c>
      <x:c r="L531" s="90" t="n">
        <x:v>0</x:v>
      </x:c>
      <x:c r="M531" s="90" t="n">
        <x:v>-64042151.81</x:v>
      </x:c>
      <x:c r="N531" s="90" t="n">
        <x:v>-59277978.76</x:v>
      </x:c>
      <x:c r="O531" s="90" t="n">
        <x:v>-310255229.8</x:v>
      </x:c>
      <x:c r="P531" s="90" t="n">
        <x:v>119446638.11</x:v>
      </x:c>
      <x:c r="Q531" s="90" t="n">
        <x:v>-11909534.39</x:v>
      </x:c>
      <x:c r="R531" s="90" t="n">
        <x:v>0</x:v>
      </x:c>
      <x:c r="S531" s="90" t="n">
        <x:v>0</x:v>
      </x:c>
      <x:c r="T531" t="n">
        <x:v>0</x:v>
      </x:c>
      <x:c r="U531">
        <x:v>0</x:v>
      </x:c>
      <x:c r="V531">
        <x:v>0</x:v>
      </x:c>
      <x:c r="W531">
        <x:v>0</x:v>
      </x:c>
      <x:c r="X531">
        <x:v>0</x:v>
      </x:c>
      <x:c r="Y531" s="90">
        <x:v>0</x:v>
      </x:c>
      <x:c r="Z531">
        <x:v>0</x:v>
      </x:c>
    </x:row>
    <x:row r="532" spans="2:26" ht="12.75" customHeight="1" x14ac:dyDescent="0.3">
      <x:c r="D532" s="89" t="s">
        <x:v>156</x:v>
      </x:c>
      <x:c r="E532" s="89" t="s">
        <x:v>70</x:v>
      </x:c>
      <x:c r="F532" s="90" t="n">
        <x:v>-440994165.67</x:v>
      </x:c>
      <x:c r="G532" s="90" t="n">
        <x:v>45083745.57</x:v>
      </x:c>
      <x:c r="H532" s="90" t="n">
        <x:v>24726150.07</x:v>
      </x:c>
      <x:c r="I532" s="90" t="n">
        <x:v>13138151.8</x:v>
      </x:c>
      <x:c r="J532" s="90" t="n">
        <x:v>-190606036.38</x:v>
      </x:c>
      <x:c r="K532" s="90" t="n">
        <x:v>-7297920.08</x:v>
      </x:c>
      <x:c r="L532" s="90" t="n">
        <x:v>0</x:v>
      </x:c>
      <x:c r="M532" s="90" t="n">
        <x:v>-64042151.81</x:v>
      </x:c>
      <x:c r="N532" s="90" t="n">
        <x:v>-59277978.76</x:v>
      </x:c>
      <x:c r="O532" s="90" t="n">
        <x:v>-310255229.8</x:v>
      </x:c>
      <x:c r="P532" s="90" t="n">
        <x:v>119446638.11</x:v>
      </x:c>
      <x:c r="Q532" s="90" t="n">
        <x:v>-11909534.39</x:v>
      </x:c>
      <x:c r="R532" s="90" t="n">
        <x:v>0</x:v>
      </x:c>
      <x:c r="S532" s="90" t="n">
        <x:v>0</x:v>
      </x:c>
      <x:c r="T532" t="n">
        <x:v>0</x:v>
      </x:c>
      <x:c r="U532">
        <x:v>0</x:v>
      </x:c>
      <x:c r="V532">
        <x:v>0</x:v>
      </x:c>
      <x:c r="W532">
        <x:v>0</x:v>
      </x:c>
      <x:c r="X532">
        <x:v>0</x:v>
      </x:c>
      <x:c r="Y532" s="90">
        <x:v>0</x:v>
      </x:c>
      <x:c r="Z532">
        <x:v>0</x:v>
      </x:c>
    </x:row>
    <x:row r="533" spans="2:26" s="656" customFormat="1" ht="12.75" customHeight="1" x14ac:dyDescent="0.3">
      <x:c r="C533" s="656" t="s">
        <x:v>155</x:v>
      </x:c>
      <x:c r="D533" s="657" t="s">
        <x:v>70</x:v>
      </x:c>
      <x:c r="E533" s="657"/>
      <x:c r="F533" s="738" t="n">
        <x:v>-440994165.67</x:v>
      </x:c>
      <x:c r="G533" s="658" t="n">
        <x:v>45083745.57</x:v>
      </x:c>
      <x:c r="H533" s="658" t="n">
        <x:v>24726150.07</x:v>
      </x:c>
      <x:c r="I533" s="658" t="n">
        <x:v>13138151.8</x:v>
      </x:c>
      <x:c r="J533" s="658" t="n">
        <x:v>-190606036.38</x:v>
      </x:c>
      <x:c r="K533" s="658" t="n">
        <x:v>-7297920.08</x:v>
      </x:c>
      <x:c r="L533" s="658" t="n">
        <x:v>0</x:v>
      </x:c>
      <x:c r="M533" s="658" t="n">
        <x:v>-64042151.81</x:v>
      </x:c>
      <x:c r="N533" s="658" t="n">
        <x:v>-59277978.76</x:v>
      </x:c>
      <x:c r="O533" s="658" t="n">
        <x:v>-310255229.8</x:v>
      </x:c>
      <x:c r="P533" s="658" t="n">
        <x:v>119446638.11</x:v>
      </x:c>
      <x:c r="Q533" s="658" t="n">
        <x:v>-11909534.39</x:v>
      </x:c>
      <x:c r="R533" s="658" t="n">
        <x:v>0</x:v>
      </x:c>
      <x:c r="S533" s="658" t="n">
        <x:v>0</x:v>
      </x:c>
      <x:c r="T533" s="656" t="n">
        <x:v>0</x:v>
      </x:c>
      <x:c r="U533" s="656">
        <x:v>0</x:v>
      </x:c>
      <x:c r="V533" s="656">
        <x:v>0</x:v>
      </x:c>
      <x:c r="W533" s="656">
        <x:v>0</x:v>
      </x:c>
      <x:c r="X533" s="656">
        <x:v>0</x:v>
      </x:c>
      <x:c r="Y533" s="658">
        <x:v>0</x:v>
      </x:c>
      <x:c r="Z533" s="656">
        <x:v>0</x:v>
      </x:c>
    </x:row>
    <x:row r="534" spans="2:26" ht="12.75" customHeight="1" x14ac:dyDescent="0.3">
      <x:c r="D534" s="89"/>
      <x:c r="E534" s="89" t="s">
        <x:v>73</x:v>
      </x:c>
      <x:c r="F534" s="371">
        <x:v>0</x:v>
      </x:c>
      <x:c r="G534" s="90">
        <x:v>0</x:v>
      </x:c>
      <x:c r="H534" s="90">
        <x:v>0</x:v>
      </x:c>
      <x:c r="I534" s="90">
        <x:v>0</x:v>
      </x:c>
      <x:c r="J534" s="90">
        <x:v>0</x:v>
      </x:c>
      <x:c r="K534" s="90">
        <x:v>0</x:v>
      </x:c>
      <x:c r="L534" s="90">
        <x:v>0</x:v>
      </x:c>
      <x:c r="M534" s="90">
        <x:v>0</x:v>
      </x:c>
      <x:c r="N534" s="90">
        <x:v>0</x:v>
      </x:c>
      <x:c r="O534" s="90">
        <x:v>0</x:v>
      </x:c>
      <x:c r="P534" s="90">
        <x:v>0</x:v>
      </x:c>
      <x:c r="Q534" s="90">
        <x:v>0</x:v>
      </x:c>
      <x:c r="R534" s="90">
        <x:v>0</x:v>
      </x:c>
      <x:c r="S534" s="90">
        <x:v>0</x:v>
      </x:c>
      <x:c r="T534">
        <x:v>0</x:v>
      </x:c>
      <x:c r="U534">
        <x:v>0</x:v>
      </x:c>
      <x:c r="V534">
        <x:v>0</x:v>
      </x:c>
      <x:c r="W534">
        <x:v>0</x:v>
      </x:c>
      <x:c r="X534">
        <x:v>0</x:v>
      </x:c>
      <x:c r="Y534" s="90">
        <x:v>0</x:v>
      </x:c>
      <x:c r="Z534">
        <x:v>0</x:v>
      </x:c>
    </x:row>
    <x:row r="535" spans="2:26" ht="12.65" customHeight="1" x14ac:dyDescent="0.3">
      <x:c r="D535" s="89" t="s">
        <x:v>115</x:v>
      </x:c>
      <x:c r="E535" s="89" t="s">
        <x:v>70</x:v>
      </x:c>
      <x:c r="F535" s="371">
        <x:v>0</x:v>
      </x:c>
      <x:c r="G535" s="90">
        <x:v>0</x:v>
      </x:c>
      <x:c r="H535" s="90">
        <x:v>0</x:v>
      </x:c>
      <x:c r="I535" s="90">
        <x:v>0</x:v>
      </x:c>
      <x:c r="J535" s="90">
        <x:v>0</x:v>
      </x:c>
      <x:c r="K535" s="90">
        <x:v>0</x:v>
      </x:c>
      <x:c r="L535" s="90">
        <x:v>0</x:v>
      </x:c>
      <x:c r="M535" s="90">
        <x:v>0</x:v>
      </x:c>
      <x:c r="N535" s="90">
        <x:v>0</x:v>
      </x:c>
      <x:c r="O535" s="90">
        <x:v>0</x:v>
      </x:c>
      <x:c r="P535" s="90">
        <x:v>0</x:v>
      </x:c>
      <x:c r="Q535" s="90">
        <x:v>0</x:v>
      </x:c>
      <x:c r="R535" s="90">
        <x:v>0</x:v>
      </x:c>
      <x:c r="S535" s="90">
        <x:v>0</x:v>
      </x:c>
      <x:c r="T535">
        <x:v>0</x:v>
      </x:c>
      <x:c r="U535">
        <x:v>0</x:v>
      </x:c>
      <x:c r="V535">
        <x:v>0</x:v>
      </x:c>
      <x:c r="W535">
        <x:v>0</x:v>
      </x:c>
      <x:c r="X535">
        <x:v>0</x:v>
      </x:c>
      <x:c r="Y535" s="90">
        <x:v>0</x:v>
      </x:c>
      <x:c r="Z535">
        <x:v>0</x:v>
      </x:c>
    </x:row>
    <x:row r="536" spans="2:26" ht="12.75" customHeight="1" x14ac:dyDescent="0.3">
      <x:c r="E536" s="89" t="s">
        <x:v>73</x:v>
      </x:c>
      <x:c r="F536" s="90">
        <x:v>0</x:v>
      </x:c>
      <x:c r="G536" s="90">
        <x:v>0</x:v>
      </x:c>
      <x:c r="H536" s="90">
        <x:v>0</x:v>
      </x:c>
      <x:c r="I536" s="90">
        <x:v>0</x:v>
      </x:c>
      <x:c r="J536" s="90">
        <x:v>0</x:v>
      </x:c>
      <x:c r="K536" s="90">
        <x:v>0</x:v>
      </x:c>
      <x:c r="L536" s="90">
        <x:v>0</x:v>
      </x:c>
      <x:c r="M536" s="90">
        <x:v>0</x:v>
      </x:c>
      <x:c r="N536" s="90">
        <x:v>0</x:v>
      </x:c>
      <x:c r="O536" s="90">
        <x:v>0</x:v>
      </x:c>
      <x:c r="P536" s="90">
        <x:v>0</x:v>
      </x:c>
      <x:c r="Q536" s="90">
        <x:v>0</x:v>
      </x:c>
      <x:c r="R536" s="90">
        <x:v>0</x:v>
      </x:c>
      <x:c r="S536" s="90">
        <x:v>0</x:v>
      </x:c>
      <x:c r="T536">
        <x:v>0</x:v>
      </x:c>
      <x:c r="U536">
        <x:v>0</x:v>
      </x:c>
      <x:c r="V536">
        <x:v>0</x:v>
      </x:c>
      <x:c r="W536">
        <x:v>0</x:v>
      </x:c>
      <x:c r="X536">
        <x:v>0</x:v>
      </x:c>
      <x:c r="Y536" s="90">
        <x:v>0</x:v>
      </x:c>
      <x:c r="Z536">
        <x:v>0</x:v>
      </x:c>
    </x:row>
    <x:row r="537" spans="2:26" ht="12.75" customHeight="1" x14ac:dyDescent="0.3">
      <x:c r="D537" s="773">
        <x:v>2</x:v>
      </x:c>
      <x:c r="E537" s="89" t="s">
        <x:v>70</x:v>
      </x:c>
      <x:c r="F537" s="90">
        <x:v>0</x:v>
      </x:c>
      <x:c r="G537" s="90">
        <x:v>0</x:v>
      </x:c>
      <x:c r="H537" s="90">
        <x:v>0</x:v>
      </x:c>
      <x:c r="I537" s="90">
        <x:v>0</x:v>
      </x:c>
      <x:c r="J537" s="90">
        <x:v>0</x:v>
      </x:c>
      <x:c r="K537" s="90">
        <x:v>0</x:v>
      </x:c>
      <x:c r="L537" s="90">
        <x:v>0</x:v>
      </x:c>
      <x:c r="M537" s="90">
        <x:v>0</x:v>
      </x:c>
      <x:c r="N537" s="90">
        <x:v>0</x:v>
      </x:c>
      <x:c r="O537" s="90">
        <x:v>0</x:v>
      </x:c>
      <x:c r="P537" s="90">
        <x:v>0</x:v>
      </x:c>
      <x:c r="Q537" s="90">
        <x:v>0</x:v>
      </x:c>
      <x:c r="R537" s="90">
        <x:v>0</x:v>
      </x:c>
      <x:c r="S537" s="90">
        <x:v>0</x:v>
      </x:c>
      <x:c r="T537">
        <x:v>0</x:v>
      </x:c>
      <x:c r="U537">
        <x:v>0</x:v>
      </x:c>
      <x:c r="V537">
        <x:v>0</x:v>
      </x:c>
      <x:c r="W537">
        <x:v>0</x:v>
      </x:c>
      <x:c r="X537">
        <x:v>0</x:v>
      </x:c>
      <x:c r="Y537" s="90">
        <x:v>0</x:v>
      </x:c>
      <x:c r="Z537">
        <x:v>0</x:v>
      </x:c>
    </x:row>
    <x:row r="538" spans="2:26" ht="12.75" customHeight="1" x14ac:dyDescent="0.3">
      <x:c r="E538" s="89" t="s">
        <x:v>73</x:v>
      </x:c>
      <x:c r="F538" s="90">
        <x:v>0</x:v>
      </x:c>
      <x:c r="G538" s="90">
        <x:v>0</x:v>
      </x:c>
      <x:c r="H538" s="90">
        <x:v>0</x:v>
      </x:c>
      <x:c r="I538" s="90">
        <x:v>0</x:v>
      </x:c>
      <x:c r="J538" s="90">
        <x:v>0</x:v>
      </x:c>
      <x:c r="K538" s="90">
        <x:v>0</x:v>
      </x:c>
      <x:c r="L538" s="90">
        <x:v>0</x:v>
      </x:c>
      <x:c r="M538" s="90">
        <x:v>0</x:v>
      </x:c>
      <x:c r="N538" s="90">
        <x:v>0</x:v>
      </x:c>
      <x:c r="O538" s="90">
        <x:v>0</x:v>
      </x:c>
      <x:c r="P538" s="90">
        <x:v>0</x:v>
      </x:c>
      <x:c r="Q538" s="90">
        <x:v>0</x:v>
      </x:c>
      <x:c r="R538" s="90">
        <x:v>0</x:v>
      </x:c>
      <x:c r="S538" s="90">
        <x:v>0</x:v>
      </x:c>
      <x:c r="T538">
        <x:v>0</x:v>
      </x:c>
      <x:c r="U538">
        <x:v>0</x:v>
      </x:c>
      <x:c r="V538">
        <x:v>0</x:v>
      </x:c>
      <x:c r="W538">
        <x:v>0</x:v>
      </x:c>
      <x:c r="X538">
        <x:v>0</x:v>
      </x:c>
      <x:c r="Y538" s="90">
        <x:v>0</x:v>
      </x:c>
      <x:c r="Z538">
        <x:v>0</x:v>
      </x:c>
    </x:row>
    <x:row r="539" spans="2:26" ht="12.75" customHeight="1" x14ac:dyDescent="0.3">
      <x:c r="D539" s="89" t="s">
        <x:v>118</x:v>
      </x:c>
      <x:c r="E539" s="89" t="s">
        <x:v>70</x:v>
      </x:c>
      <x:c r="F539" s="90">
        <x:v>0</x:v>
      </x:c>
      <x:c r="G539" s="90">
        <x:v>0</x:v>
      </x:c>
      <x:c r="H539" s="90">
        <x:v>0</x:v>
      </x:c>
      <x:c r="I539" s="90">
        <x:v>0</x:v>
      </x:c>
      <x:c r="J539" s="90">
        <x:v>0</x:v>
      </x:c>
      <x:c r="K539" s="90">
        <x:v>0</x:v>
      </x:c>
      <x:c r="L539" s="90">
        <x:v>0</x:v>
      </x:c>
      <x:c r="M539" s="90">
        <x:v>0</x:v>
      </x:c>
      <x:c r="N539" s="90">
        <x:v>0</x:v>
      </x:c>
      <x:c r="O539" s="90">
        <x:v>0</x:v>
      </x:c>
      <x:c r="P539" s="90">
        <x:v>0</x:v>
      </x:c>
      <x:c r="Q539" s="90">
        <x:v>0</x:v>
      </x:c>
      <x:c r="R539" s="90">
        <x:v>0</x:v>
      </x:c>
      <x:c r="S539" s="90">
        <x:v>0</x:v>
      </x:c>
      <x:c r="T539">
        <x:v>0</x:v>
      </x:c>
      <x:c r="U539">
        <x:v>0</x:v>
      </x:c>
      <x:c r="V539">
        <x:v>0</x:v>
      </x:c>
      <x:c r="W539">
        <x:v>0</x:v>
      </x:c>
      <x:c r="X539">
        <x:v>0</x:v>
      </x:c>
      <x:c r="Y539" s="90">
        <x:v>0</x:v>
      </x:c>
      <x:c r="Z539">
        <x:v>0</x:v>
      </x:c>
    </x:row>
    <x:row r="540" spans="2:26" s="224" customFormat="1" ht="12.75" customHeight="1" x14ac:dyDescent="0.3">
      <x:c r="C540" s="223" t="s">
        <x:v>120</x:v>
      </x:c>
      <x:c r="D540" s="223" t="s">
        <x:v>70</x:v>
      </x:c>
      <x:c r="F540" s="225">
        <x:v>0</x:v>
      </x:c>
      <x:c r="G540" s="225">
        <x:v>0</x:v>
      </x:c>
      <x:c r="H540" s="225">
        <x:v>0</x:v>
      </x:c>
      <x:c r="I540" s="225">
        <x:v>0</x:v>
      </x:c>
      <x:c r="J540" s="225">
        <x:v>0</x:v>
      </x:c>
      <x:c r="K540" s="225">
        <x:v>0</x:v>
      </x:c>
      <x:c r="L540" s="225">
        <x:v>0</x:v>
      </x:c>
      <x:c r="M540" s="225">
        <x:v>0</x:v>
      </x:c>
      <x:c r="N540" s="225">
        <x:v>0</x:v>
      </x:c>
      <x:c r="O540" s="225">
        <x:v>0</x:v>
      </x:c>
      <x:c r="P540" s="225">
        <x:v>0</x:v>
      </x:c>
      <x:c r="Q540" s="225">
        <x:v>0</x:v>
      </x:c>
      <x:c r="R540" s="225">
        <x:v>0</x:v>
      </x:c>
      <x:c r="S540" s="225">
        <x:v>0</x:v>
      </x:c>
      <x:c r="T540" s="224">
        <x:v>0</x:v>
      </x:c>
      <x:c r="U540" s="224">
        <x:v>0</x:v>
      </x:c>
      <x:c r="V540" s="224">
        <x:v>0</x:v>
      </x:c>
      <x:c r="W540" s="224">
        <x:v>0</x:v>
      </x:c>
      <x:c r="X540" s="224">
        <x:v>0</x:v>
      </x:c>
      <x:c r="Y540" s="225">
        <x:v>0</x:v>
      </x:c>
      <x:c r="Z540" s="224">
        <x:v>0</x:v>
      </x:c>
    </x:row>
    <x:row r="541" spans="2:26" ht="12.75" customHeight="1" x14ac:dyDescent="0.3">
      <x:c r="E541" s="89" t="s">
        <x:v>73</x:v>
      </x:c>
      <x:c r="F541" s="90" t="n">
        <x:v>621387.42</x:v>
      </x:c>
      <x:c r="G541" s="90" t="n">
        <x:v>852609.88</x:v>
      </x:c>
      <x:c r="H541" s="90" t="n">
        <x:v>474811.81</x:v>
      </x:c>
      <x:c r="I541" s="90" t="n">
        <x:v>246061.62</x:v>
      </x:c>
      <x:c r="J541" s="90" t="n">
        <x:v>-1032983.4</x:v>
      </x:c>
      <x:c r="K541" s="90" t="n">
        <x:v>-23653.6</x:v>
      </x:c>
      <x:c r="L541" s="90" t="n">
        <x:v>0</x:v>
      </x:c>
      <x:c r="M541" s="90" t="n">
        <x:v>-207515.15</x:v>
      </x:c>
      <x:c r="N541" s="90" t="n">
        <x:v>-305567</x:v>
      </x:c>
      <x:c r="O541" s="90" t="n">
        <x:v>-1602885.5</x:v>
      </x:c>
      <x:c r="P541" s="90" t="n">
        <x:v>2259043.41</x:v>
      </x:c>
      <x:c r="Q541" s="90" t="n">
        <x:v>-38534.65</x:v>
      </x:c>
      <x:c r="R541" s="90" t="n">
        <x:v>0</x:v>
      </x:c>
      <x:c r="S541" s="90" t="n">
        <x:v>0</x:v>
      </x:c>
      <x:c r="T541" t="n">
        <x:v>0</x:v>
      </x:c>
      <x:c r="U541">
        <x:v>0</x:v>
      </x:c>
      <x:c r="V541">
        <x:v>0</x:v>
      </x:c>
      <x:c r="W541">
        <x:v>0</x:v>
      </x:c>
      <x:c r="X541">
        <x:v>0</x:v>
      </x:c>
      <x:c r="Y541" s="90">
        <x:v>0</x:v>
      </x:c>
      <x:c r="Z541">
        <x:v>0</x:v>
      </x:c>
    </x:row>
    <x:row r="542" spans="2:26" ht="12.75" customHeight="1" x14ac:dyDescent="0.3">
      <x:c r="D542" s="89" t="s">
        <x:v>82</x:v>
      </x:c>
      <x:c r="E542" s="89" t="s">
        <x:v>70</x:v>
      </x:c>
      <x:c r="F542" s="90" t="n">
        <x:v>621387.42</x:v>
      </x:c>
      <x:c r="G542" s="90" t="n">
        <x:v>852609.88</x:v>
      </x:c>
      <x:c r="H542" s="90" t="n">
        <x:v>474811.81</x:v>
      </x:c>
      <x:c r="I542" s="90" t="n">
        <x:v>246061.62</x:v>
      </x:c>
      <x:c r="J542" s="90" t="n">
        <x:v>-1032983.4</x:v>
      </x:c>
      <x:c r="K542" s="90" t="n">
        <x:v>-23653.6</x:v>
      </x:c>
      <x:c r="L542" s="90" t="n">
        <x:v>0</x:v>
      </x:c>
      <x:c r="M542" s="90" t="n">
        <x:v>-207515.15</x:v>
      </x:c>
      <x:c r="N542" s="90" t="n">
        <x:v>-305567</x:v>
      </x:c>
      <x:c r="O542" s="90" t="n">
        <x:v>-1602885.5</x:v>
      </x:c>
      <x:c r="P542" s="90" t="n">
        <x:v>2259043.41</x:v>
      </x:c>
      <x:c r="Q542" s="90" t="n">
        <x:v>-38534.65</x:v>
      </x:c>
      <x:c r="R542" s="90" t="n">
        <x:v>0</x:v>
      </x:c>
      <x:c r="S542" s="90" t="n">
        <x:v>0</x:v>
      </x:c>
      <x:c r="T542" t="n">
        <x:v>0</x:v>
      </x:c>
      <x:c r="U542">
        <x:v>0</x:v>
      </x:c>
      <x:c r="V542">
        <x:v>0</x:v>
      </x:c>
      <x:c r="W542">
        <x:v>0</x:v>
      </x:c>
      <x:c r="X542">
        <x:v>0</x:v>
      </x:c>
      <x:c r="Y542" s="90">
        <x:v>0</x:v>
      </x:c>
      <x:c r="Z542">
        <x:v>0</x:v>
      </x:c>
    </x:row>
    <x:row r="543" spans="2:26" ht="12.75" customHeight="1" x14ac:dyDescent="0.3">
      <x:c r="E543" s="89" t="s">
        <x:v>73</x:v>
      </x:c>
      <x:c r="F543" s="90" t="n">
        <x:v>33034294.63</x:v>
      </x:c>
      <x:c r="G543" s="90" t="n">
        <x:v>7469715.15</x:v>
      </x:c>
      <x:c r="H543" s="90" t="n">
        <x:v>4000414.05</x:v>
      </x:c>
      <x:c r="I543" s="90" t="n">
        <x:v>2027029.51</x:v>
      </x:c>
      <x:c r="J543" s="90" t="n">
        <x:v>-213628.61</x:v>
      </x:c>
      <x:c r="K543" s="90" t="n">
        <x:v>-892.04</x:v>
      </x:c>
      <x:c r="L543" s="90" t="n">
        <x:v>0</x:v>
      </x:c>
      <x:c r="M543" s="90" t="n">
        <x:v>-8871.71</x:v>
      </x:c>
      <x:c r="N543" s="90" t="n">
        <x:v>16891.87</x:v>
      </x:c>
      <x:c r="O543" s="90" t="n">
        <x:v>-15808.99</x:v>
      </x:c>
      <x:c r="P543" s="90" t="n">
        <x:v>19760866.23</x:v>
      </x:c>
      <x:c r="Q543" s="90" t="n">
        <x:v>-1420.83</x:v>
      </x:c>
      <x:c r="R543" s="90" t="n">
        <x:v>0</x:v>
      </x:c>
      <x:c r="S543" s="90" t="n">
        <x:v>0</x:v>
      </x:c>
      <x:c r="T543" t="n">
        <x:v>0</x:v>
      </x:c>
      <x:c r="U543">
        <x:v>0</x:v>
      </x:c>
      <x:c r="V543">
        <x:v>0</x:v>
      </x:c>
      <x:c r="W543">
        <x:v>0</x:v>
      </x:c>
      <x:c r="X543">
        <x:v>0</x:v>
      </x:c>
      <x:c r="Y543" s="90">
        <x:v>0</x:v>
      </x:c>
      <x:c r="Z543">
        <x:v>0</x:v>
      </x:c>
    </x:row>
    <x:row r="544" spans="2:26" ht="12.75" customHeight="1" x14ac:dyDescent="0.3">
      <x:c r="D544" s="89" t="s">
        <x:v>86</x:v>
      </x:c>
      <x:c r="E544" s="89" t="s">
        <x:v>70</x:v>
      </x:c>
      <x:c r="F544" s="90" t="n">
        <x:v>33034294.63</x:v>
      </x:c>
      <x:c r="G544" s="90" t="n">
        <x:v>7469715.15</x:v>
      </x:c>
      <x:c r="H544" s="90" t="n">
        <x:v>4000414.05</x:v>
      </x:c>
      <x:c r="I544" s="90" t="n">
        <x:v>2027029.51</x:v>
      </x:c>
      <x:c r="J544" s="90" t="n">
        <x:v>-213628.61</x:v>
      </x:c>
      <x:c r="K544" s="90" t="n">
        <x:v>-892.04</x:v>
      </x:c>
      <x:c r="L544" s="90" t="n">
        <x:v>0</x:v>
      </x:c>
      <x:c r="M544" s="90" t="n">
        <x:v>-8871.71</x:v>
      </x:c>
      <x:c r="N544" s="90" t="n">
        <x:v>16891.87</x:v>
      </x:c>
      <x:c r="O544" s="90" t="n">
        <x:v>-15808.99</x:v>
      </x:c>
      <x:c r="P544" s="90" t="n">
        <x:v>19760866.23</x:v>
      </x:c>
      <x:c r="Q544" s="90" t="n">
        <x:v>-1420.83</x:v>
      </x:c>
      <x:c r="R544" s="90" t="n">
        <x:v>0</x:v>
      </x:c>
      <x:c r="S544" s="90" t="n">
        <x:v>0</x:v>
      </x:c>
      <x:c r="T544" t="n">
        <x:v>0</x:v>
      </x:c>
      <x:c r="U544">
        <x:v>0</x:v>
      </x:c>
      <x:c r="V544">
        <x:v>0</x:v>
      </x:c>
      <x:c r="W544">
        <x:v>0</x:v>
      </x:c>
      <x:c r="X544">
        <x:v>0</x:v>
      </x:c>
      <x:c r="Y544" s="90">
        <x:v>0</x:v>
      </x:c>
      <x:c r="Z544">
        <x:v>0</x:v>
      </x:c>
    </x:row>
    <x:row r="545" spans="1:26" ht="12.75" customHeight="1" x14ac:dyDescent="0.3">
      <x:c r="E545" s="89" t="s">
        <x:v>73</x:v>
      </x:c>
      <x:c r="F545" s="90" t="n">
        <x:v>113346962.35</x:v>
      </x:c>
      <x:c r="G545" s="90" t="n">
        <x:v>23417221.89</x:v>
      </x:c>
      <x:c r="H545" s="90" t="n">
        <x:v>13112318.44</x:v>
      </x:c>
      <x:c r="I545" s="90" t="n">
        <x:v>6940407.51</x:v>
      </x:c>
      <x:c r="J545" s="90" t="n">
        <x:v>2390566.06</x:v>
      </x:c>
      <x:c r="K545" s="90" t="n">
        <x:v>61583.13</x:v>
      </x:c>
      <x:c r="L545" s="90" t="n">
        <x:v>0</x:v>
      </x:c>
      <x:c r="M545" s="90" t="n">
        <x:v>539287.8</x:v>
      </x:c>
      <x:c r="N545" s="90" t="n">
        <x:v>727371.22</x:v>
      </x:c>
      <x:c r="O545" s="90" t="n">
        <x:v>3723280.44</x:v>
      </x:c>
      <x:c r="P545" s="90" t="n">
        <x:v>62334424.08</x:v>
      </x:c>
      <x:c r="Q545" s="90" t="n">
        <x:v>100501.78</x:v>
      </x:c>
      <x:c r="R545" s="90" t="n">
        <x:v>0</x:v>
      </x:c>
      <x:c r="S545" s="90" t="n">
        <x:v>0</x:v>
      </x:c>
      <x:c r="T545" t="n">
        <x:v>0</x:v>
      </x:c>
      <x:c r="U545">
        <x:v>0</x:v>
      </x:c>
      <x:c r="V545">
        <x:v>0</x:v>
      </x:c>
      <x:c r="W545">
        <x:v>0</x:v>
      </x:c>
      <x:c r="X545">
        <x:v>0</x:v>
      </x:c>
      <x:c r="Y545" s="90">
        <x:v>0</x:v>
      </x:c>
      <x:c r="Z545">
        <x:v>0</x:v>
      </x:c>
    </x:row>
    <x:row r="546" spans="1:26" ht="12.75" customHeight="1" x14ac:dyDescent="0.3">
      <x:c r="D546" s="89" t="s">
        <x:v>87</x:v>
      </x:c>
      <x:c r="E546" s="89" t="s">
        <x:v>70</x:v>
      </x:c>
      <x:c r="F546" s="90" t="n">
        <x:v>113346962.35</x:v>
      </x:c>
      <x:c r="G546" s="90" t="n">
        <x:v>23417221.89</x:v>
      </x:c>
      <x:c r="H546" s="90" t="n">
        <x:v>13112318.44</x:v>
      </x:c>
      <x:c r="I546" s="90" t="n">
        <x:v>6940407.51</x:v>
      </x:c>
      <x:c r="J546" s="90" t="n">
        <x:v>2390566.06</x:v>
      </x:c>
      <x:c r="K546" s="90" t="n">
        <x:v>61583.13</x:v>
      </x:c>
      <x:c r="L546" s="90" t="n">
        <x:v>0</x:v>
      </x:c>
      <x:c r="M546" s="90" t="n">
        <x:v>539287.8</x:v>
      </x:c>
      <x:c r="N546" s="90" t="n">
        <x:v>727371.22</x:v>
      </x:c>
      <x:c r="O546" s="90" t="n">
        <x:v>3723280.44</x:v>
      </x:c>
      <x:c r="P546" s="90" t="n">
        <x:v>62334424.08</x:v>
      </x:c>
      <x:c r="Q546" s="90" t="n">
        <x:v>100501.78</x:v>
      </x:c>
      <x:c r="R546" s="90" t="n">
        <x:v>0</x:v>
      </x:c>
      <x:c r="S546" s="90" t="n">
        <x:v>0</x:v>
      </x:c>
      <x:c r="T546" t="n">
        <x:v>0</x:v>
      </x:c>
      <x:c r="U546">
        <x:v>0</x:v>
      </x:c>
      <x:c r="V546">
        <x:v>0</x:v>
      </x:c>
      <x:c r="W546">
        <x:v>0</x:v>
      </x:c>
      <x:c r="X546">
        <x:v>0</x:v>
      </x:c>
      <x:c r="Y546" s="90">
        <x:v>0</x:v>
      </x:c>
      <x:c r="Z546">
        <x:v>0</x:v>
      </x:c>
    </x:row>
    <x:row r="547" spans="1:26" s="94" customFormat="1" ht="12.75" customHeight="1" x14ac:dyDescent="0.3">
      <x:c r="C547" s="101" t="s">
        <x:v>119</x:v>
      </x:c>
      <x:c r="D547" s="101" t="s">
        <x:v>70</x:v>
      </x:c>
      <x:c r="F547" s="93" t="n">
        <x:v>147002644.4</x:v>
      </x:c>
      <x:c r="G547" s="93" t="n">
        <x:v>31739546.92</x:v>
      </x:c>
      <x:c r="H547" s="93" t="n">
        <x:v>17587544.3</x:v>
      </x:c>
      <x:c r="I547" s="93" t="n">
        <x:v>9213498.64</x:v>
      </x:c>
      <x:c r="J547" s="93" t="n">
        <x:v>1143954.05</x:v>
      </x:c>
      <x:c r="K547" s="93" t="n">
        <x:v>37037.49</x:v>
      </x:c>
      <x:c r="L547" s="93" t="n">
        <x:v>0</x:v>
      </x:c>
      <x:c r="M547" s="93" t="n">
        <x:v>322900.94</x:v>
      </x:c>
      <x:c r="N547" s="93" t="n">
        <x:v>438696.09</x:v>
      </x:c>
      <x:c r="O547" s="93" t="n">
        <x:v>2104585.95</x:v>
      </x:c>
      <x:c r="P547" s="93" t="n">
        <x:v>84354333.72</x:v>
      </x:c>
      <x:c r="Q547" s="93" t="n">
        <x:v>60546.3</x:v>
      </x:c>
      <x:c r="R547" s="93" t="n">
        <x:v>0</x:v>
      </x:c>
      <x:c r="S547" s="93" t="n">
        <x:v>0</x:v>
      </x:c>
      <x:c r="T547" s="94" t="n">
        <x:v>0</x:v>
      </x:c>
      <x:c r="U547" s="94">
        <x:v>0</x:v>
      </x:c>
      <x:c r="V547" s="94">
        <x:v>0</x:v>
      </x:c>
      <x:c r="W547" s="94">
        <x:v>0</x:v>
      </x:c>
      <x:c r="X547" s="94">
        <x:v>0</x:v>
      </x:c>
      <x:c r="Y547" s="93">
        <x:v>0</x:v>
      </x:c>
      <x:c r="Z547" s="94">
        <x:v>0</x:v>
      </x:c>
    </x:row>
    <x:row r="548" spans="1:26" s="226" customFormat="1" ht="12.75" customHeight="1" x14ac:dyDescent="0.3">
      <x:c r="B548" s="98" t="s">
        <x:v>112</x:v>
      </x:c>
      <x:c r="C548" s="98" t="s">
        <x:v>70</x:v>
      </x:c>
      <x:c r="F548" s="100" t="n">
        <x:v>-293991521.27</x:v>
      </x:c>
      <x:c r="G548" s="100" t="n">
        <x:v>76823292.49</x:v>
      </x:c>
      <x:c r="H548" s="100" t="n">
        <x:v>42313694.37</x:v>
      </x:c>
      <x:c r="I548" s="100" t="n">
        <x:v>22351650.44</x:v>
      </x:c>
      <x:c r="J548" s="100" t="n">
        <x:v>-189462082.33</x:v>
      </x:c>
      <x:c r="K548" s="100" t="n">
        <x:v>-7260882.59</x:v>
      </x:c>
      <x:c r="L548" s="100" t="n">
        <x:v>0</x:v>
      </x:c>
      <x:c r="M548" s="100" t="n">
        <x:v>-63719250.87</x:v>
      </x:c>
      <x:c r="N548" s="100" t="n">
        <x:v>-58839282.67</x:v>
      </x:c>
      <x:c r="O548" s="100" t="n">
        <x:v>-308150643.85</x:v>
      </x:c>
      <x:c r="P548" s="100" t="n">
        <x:v>203800971.83</x:v>
      </x:c>
      <x:c r="Q548" s="100" t="n">
        <x:v>-11848988.09</x:v>
      </x:c>
      <x:c r="R548" s="100" t="n">
        <x:v>0</x:v>
      </x:c>
      <x:c r="S548" s="100" t="n">
        <x:v>0</x:v>
      </x:c>
      <x:c r="T548" s="226" t="n">
        <x:v>0</x:v>
      </x:c>
      <x:c r="U548" s="226">
        <x:v>0</x:v>
      </x:c>
      <x:c r="V548" s="226">
        <x:v>0</x:v>
      </x:c>
      <x:c r="W548" s="226">
        <x:v>0</x:v>
      </x:c>
      <x:c r="X548" s="226">
        <x:v>0</x:v>
      </x:c>
      <x:c r="Y548" s="100">
        <x:v>0</x:v>
      </x:c>
      <x:c r="Z548" s="226">
        <x:v>0</x:v>
      </x:c>
    </x:row>
    <x:row r="549" spans="1:26" ht="12.75" customHeight="1" x14ac:dyDescent="0.3">
      <x:c r="A549" s="89" t="s">
        <x:v>79</x:v>
      </x:c>
      <x:c r="B549" s="89" t="s">
        <x:v>70</x:v>
      </x:c>
      <x:c r="F549" s="90" t="n">
        <x:v>-295465926.61</x:v>
      </x:c>
      <x:c r="G549" s="90" t="n">
        <x:v>76886519.2</x:v>
      </x:c>
      <x:c r="H549" s="90" t="n">
        <x:v>42351747.42</x:v>
      </x:c>
      <x:c r="I549" s="90" t="n">
        <x:v>22370614.57</x:v>
      </x:c>
      <x:c r="J549" s="90" t="n">
        <x:v>-190004914.65</x:v>
      </x:c>
      <x:c r="K549" s="90" t="n">
        <x:v>-7274896.75</x:v>
      </x:c>
      <x:c r="L549" s="90" t="n">
        <x:v>0</x:v>
      </x:c>
      <x:c r="M549" s="90" t="n">
        <x:v>-63842079.89</x:v>
      </x:c>
      <x:c r="N549" s="90" t="n">
        <x:v>-59012329.01</x:v>
      </x:c>
      <x:c r="O549" s="90" t="n">
        <x:v>-309040185.96</x:v>
      </x:c>
      <x:c r="P549" s="90" t="n">
        <x:v>203971570.29</x:v>
      </x:c>
      <x:c r="Q549" s="90" t="n">
        <x:v>-11871971.83</x:v>
      </x:c>
      <x:c r="R549" s="90" t="n">
        <x:v>0</x:v>
      </x:c>
      <x:c r="S549" s="90" t="n">
        <x:v>0</x:v>
      </x:c>
      <x:c r="T549" t="n">
        <x:v>0</x:v>
      </x:c>
      <x:c r="U549">
        <x:v>0</x:v>
      </x:c>
      <x:c r="V549">
        <x:v>0</x:v>
      </x:c>
      <x:c r="W549">
        <x:v>0</x:v>
      </x:c>
      <x:c r="X549">
        <x:v>0</x:v>
      </x:c>
      <x:c r="Y549" s="90">
        <x:v>0</x:v>
      </x:c>
      <x:c r="Z549">
        <x:v>0</x:v>
      </x:c>
    </x:row>
    <x:row r="550" spans="1:26" ht="12.75" customHeight="1" x14ac:dyDescent="0.3">
      <x:c r="A550" s="89" t="s">
        <x:v>70</x:v>
      </x:c>
      <x:c r="F550" s="90" t="n">
        <x:v>10504168126</x:v>
      </x:c>
      <x:c r="G550" s="90" t="n">
        <x:v>682835274.63</x:v>
      </x:c>
      <x:c r="H550" s="90" t="n">
        <x:v>378247017.59</x:v>
      </x:c>
      <x:c r="I550" s="90" t="n">
        <x:v>201479226.39</x:v>
      </x:c>
      <x:c r="J550" s="90" t="n">
        <x:v>2211361890.62</x:v>
      </x:c>
      <x:c r="K550" s="90" t="n">
        <x:v>82533115.02</x:v>
      </x:c>
      <x:c r="L550" s="90" t="n">
        <x:v>8643135.58</x:v>
      </x:c>
      <x:c r="M550" s="90" t="n">
        <x:v>723323680.08</x:v>
      </x:c>
      <x:c r="N550" s="90" t="n">
        <x:v>692581482.82</x:v>
      </x:c>
      <x:c r="O550" s="90" t="n">
        <x:v>3580123493.07</x:v>
      </x:c>
      <x:c r="P550" s="90" t="n">
        <x:v>1808096576.4</x:v>
      </x:c>
      <x:c r="Q550" s="90" t="n">
        <x:v>134911111.07</x:v>
      </x:c>
      <x:c r="R550" s="90" t="n">
        <x:v>31933.3</x:v>
      </x:c>
      <x:c r="S550" s="90" t="n">
        <x:v>10.22</x:v>
      </x:c>
      <x:c r="T550" t="n">
        <x:v>179.21</x:v>
      </x:c>
      <x:c r="U550">
        <x:v>0</x:v>
      </x:c>
      <x:c r="V550">
        <x:v>0</x:v>
      </x:c>
      <x:c r="W550">
        <x:v>0</x:v>
      </x:c>
      <x:c r="X550">
        <x:v>0</x:v>
      </x:c>
      <x:c r="Y550" s="90">
        <x:v>0</x:v>
      </x:c>
      <x:c r="Z550">
        <x:v>0</x:v>
      </x:c>
    </x:row>
    <x:row r="551" spans="1:26" ht="12.75" customHeight="1" x14ac:dyDescent="0.3">
      <x:c r="A551" s="89"/>
      <x:c r="F551" s="90"/>
      <x:c r="G551" s="90"/>
      <x:c r="H551" s="90"/>
      <x:c r="I551" s="90"/>
      <x:c r="J551" s="90"/>
      <x:c r="K551" s="90"/>
      <x:c r="L551" s="90"/>
      <x:c r="M551" s="90"/>
      <x:c r="N551" s="90"/>
      <x:c r="O551" s="90"/>
      <x:c r="P551" s="90"/>
      <x:c r="Q551" s="90"/>
      <x:c r="R551" s="90"/>
      <x:c r="S551" s="90"/>
      <x:c r="T551" s="90"/>
      <x:c r="U551" s="90"/>
      <x:c r="V551" s="90"/>
      <x:c r="W551" s="90"/>
    </x:row>
    <x:row r="552" spans="1:26" ht="12.75" hidden="1" customHeight="1" x14ac:dyDescent="0.3">
      <x:c r="A552" s="89"/>
      <x:c r="F552" s="90"/>
      <x:c r="G552" s="90"/>
      <x:c r="H552" s="90"/>
      <x:c r="I552" s="90"/>
      <x:c r="J552" s="90"/>
      <x:c r="K552" s="90"/>
      <x:c r="L552" s="90"/>
      <x:c r="M552" s="90"/>
      <x:c r="N552" s="90"/>
      <x:c r="O552" s="90"/>
      <x:c r="P552" s="90"/>
      <x:c r="Q552" s="90"/>
      <x:c r="R552" s="90"/>
      <x:c r="S552" s="90"/>
    </x:row>
    <x:row r="553" spans="1:26" ht="12.75" hidden="1" customHeight="1" x14ac:dyDescent="0.3">
      <x:c r="A553" s="89"/>
      <x:c r="F553" s="90"/>
      <x:c r="G553" s="90"/>
      <x:c r="H553" s="90"/>
      <x:c r="I553" s="90"/>
      <x:c r="J553" s="90"/>
      <x:c r="K553" s="90"/>
      <x:c r="L553" s="90"/>
      <x:c r="M553" s="90"/>
      <x:c r="N553" s="90"/>
      <x:c r="O553" s="90"/>
      <x:c r="P553" s="90"/>
      <x:c r="Q553" s="90"/>
      <x:c r="R553" s="90"/>
      <x:c r="S553" s="90"/>
    </x:row>
    <x:row r="554" spans="1:26" ht="12.75" hidden="1" customHeight="1" x14ac:dyDescent="0.3">
      <x:c r="A554" s="89"/>
      <x:c r="F554" s="90"/>
      <x:c r="G554" s="90"/>
      <x:c r="H554" s="90"/>
      <x:c r="I554" s="90"/>
      <x:c r="J554" s="90"/>
      <x:c r="K554" s="90"/>
      <x:c r="L554" s="90"/>
      <x:c r="M554" s="90"/>
      <x:c r="N554" s="90"/>
      <x:c r="O554" s="90"/>
      <x:c r="P554" s="90"/>
      <x:c r="Q554" s="90"/>
      <x:c r="R554" s="90"/>
      <x:c r="S554" s="90"/>
    </x:row>
    <x:row r="555" spans="1:26" ht="12.75" hidden="1" customHeight="1" x14ac:dyDescent="0.3">
      <x:c r="A555" s="89"/>
      <x:c r="F555" s="90"/>
      <x:c r="G555" s="90"/>
      <x:c r="H555" s="90"/>
      <x:c r="I555" s="90"/>
      <x:c r="J555" s="90"/>
      <x:c r="K555" s="90"/>
      <x:c r="L555" s="90"/>
      <x:c r="M555" s="90"/>
      <x:c r="N555" s="90"/>
      <x:c r="O555" s="90"/>
      <x:c r="P555" s="90"/>
      <x:c r="Q555" s="90"/>
      <x:c r="R555" s="90"/>
      <x:c r="S555" s="90"/>
    </x:row>
    <x:row r="556" spans="1:26" ht="12.75" hidden="1" customHeight="1" x14ac:dyDescent="0.3">
      <x:c r="A556" s="89"/>
      <x:c r="F556" s="90"/>
      <x:c r="G556" s="90"/>
      <x:c r="H556" s="90"/>
      <x:c r="I556" s="90"/>
      <x:c r="J556" s="90"/>
      <x:c r="K556" s="90"/>
      <x:c r="L556" s="90"/>
      <x:c r="M556" s="90"/>
      <x:c r="N556" s="90"/>
      <x:c r="O556" s="90"/>
      <x:c r="P556" s="90"/>
      <x:c r="Q556" s="90"/>
      <x:c r="R556" s="90"/>
      <x:c r="S556" s="90"/>
    </x:row>
    <x:row r="557" spans="1:26" ht="12.75" hidden="1" customHeight="1" x14ac:dyDescent="0.3">
      <x:c r="A557" s="89"/>
      <x:c r="F557" s="90"/>
      <x:c r="G557" s="90"/>
      <x:c r="H557" s="90"/>
      <x:c r="I557" s="90"/>
      <x:c r="J557" s="90"/>
      <x:c r="K557" s="90"/>
      <x:c r="L557" s="90"/>
      <x:c r="M557" s="90"/>
      <x:c r="N557" s="90"/>
      <x:c r="O557" s="90"/>
      <x:c r="P557" s="90"/>
      <x:c r="Q557" s="90"/>
      <x:c r="R557" s="90"/>
      <x:c r="S557" s="90"/>
    </x:row>
    <x:row r="558" spans="1:26" ht="12.75" hidden="1" customHeight="1" x14ac:dyDescent="0.3">
      <x:c r="A558" s="89"/>
      <x:c r="F558" s="90"/>
      <x:c r="G558" s="90"/>
      <x:c r="H558" s="90"/>
      <x:c r="I558" s="90"/>
      <x:c r="J558" s="90"/>
      <x:c r="K558" s="90"/>
      <x:c r="L558" s="90"/>
      <x:c r="M558" s="90"/>
      <x:c r="N558" s="90"/>
      <x:c r="O558" s="90"/>
      <x:c r="P558" s="90"/>
      <x:c r="Q558" s="90"/>
      <x:c r="R558" s="90"/>
      <x:c r="S558" s="90"/>
    </x:row>
    <x:row r="559" spans="1:26" ht="12.75" hidden="1" customHeight="1" x14ac:dyDescent="0.3">
      <x:c r="A559" s="89"/>
      <x:c r="F559" s="90"/>
      <x:c r="G559" s="90"/>
      <x:c r="H559" s="90"/>
      <x:c r="I559" s="90"/>
      <x:c r="J559" s="90"/>
      <x:c r="K559" s="90"/>
      <x:c r="L559" s="90"/>
      <x:c r="M559" s="90"/>
      <x:c r="N559" s="90"/>
      <x:c r="O559" s="90"/>
      <x:c r="P559" s="90"/>
      <x:c r="Q559" s="90"/>
      <x:c r="R559" s="90"/>
      <x:c r="S559" s="90"/>
    </x:row>
    <x:row r="560" spans="1:26" ht="12.75" hidden="1" customHeight="1" x14ac:dyDescent="0.3">
      <x:c r="A560" s="89"/>
      <x:c r="F560" s="90"/>
      <x:c r="G560" s="90"/>
      <x:c r="H560" s="90"/>
      <x:c r="I560" s="90"/>
      <x:c r="J560" s="90"/>
      <x:c r="K560" s="90"/>
      <x:c r="L560" s="90"/>
      <x:c r="M560" s="90"/>
      <x:c r="N560" s="90"/>
      <x:c r="O560" s="90"/>
      <x:c r="P560" s="90"/>
      <x:c r="Q560" s="90"/>
      <x:c r="R560" s="90"/>
      <x:c r="S560" s="90"/>
    </x:row>
    <x:row r="561" spans="1:41" ht="12.75" hidden="1" customHeight="1" x14ac:dyDescent="0.3">
      <x:c r="A561" s="89"/>
      <x:c r="F561" s="90"/>
      <x:c r="G561" s="90"/>
      <x:c r="H561" s="90"/>
      <x:c r="I561" s="90"/>
      <x:c r="J561" s="90"/>
      <x:c r="K561" s="90"/>
      <x:c r="L561" s="90"/>
      <x:c r="M561" s="90"/>
      <x:c r="N561" s="90"/>
      <x:c r="O561" s="90"/>
      <x:c r="P561" s="90"/>
      <x:c r="Q561" s="90"/>
      <x:c r="R561" s="90"/>
      <x:c r="S561" s="90"/>
    </x:row>
    <x:row r="562" spans="1:41" ht="12.75" hidden="1" customHeight="1" x14ac:dyDescent="0.3">
      <x:c r="A562" s="89"/>
      <x:c r="F562" s="90"/>
      <x:c r="G562" s="90"/>
      <x:c r="H562" s="90"/>
      <x:c r="I562" s="90"/>
      <x:c r="J562" s="90"/>
      <x:c r="K562" s="90"/>
      <x:c r="L562" s="90"/>
      <x:c r="M562" s="90"/>
      <x:c r="N562" s="90"/>
      <x:c r="O562" s="90"/>
      <x:c r="P562" s="90"/>
      <x:c r="Q562" s="90"/>
      <x:c r="R562" s="90"/>
      <x:c r="S562" s="90"/>
    </x:row>
    <x:row r="563" spans="1:41" ht="12.75" hidden="1" customHeight="1" x14ac:dyDescent="0.3">
      <x:c r="A563" s="89"/>
      <x:c r="F563" s="90"/>
      <x:c r="G563" s="90"/>
      <x:c r="H563" s="90"/>
      <x:c r="I563" s="90"/>
      <x:c r="J563" s="90"/>
      <x:c r="K563" s="90"/>
      <x:c r="L563" s="90"/>
      <x:c r="M563" s="90"/>
      <x:c r="N563" s="90"/>
      <x:c r="O563" s="90"/>
      <x:c r="P563" s="90"/>
      <x:c r="Q563" s="90"/>
      <x:c r="R563" s="90"/>
      <x:c r="S563" s="90"/>
    </x:row>
    <x:row r="564" spans="1:41" ht="12.75" hidden="1" customHeight="1" x14ac:dyDescent="0.3">
      <x:c r="A564" s="89"/>
      <x:c r="F564" s="90"/>
      <x:c r="G564" s="90"/>
      <x:c r="H564" s="90"/>
      <x:c r="I564" s="90"/>
      <x:c r="J564" s="90"/>
      <x:c r="K564" s="90"/>
      <x:c r="L564" s="90"/>
      <x:c r="M564" s="90"/>
      <x:c r="N564" s="90"/>
      <x:c r="O564" s="90"/>
      <x:c r="P564" s="90"/>
      <x:c r="Q564" s="90"/>
      <x:c r="R564" s="90"/>
      <x:c r="S564" s="90"/>
    </x:row>
    <x:row r="565" spans="1:41" ht="12.75" hidden="1" customHeight="1" x14ac:dyDescent="0.3">
      <x:c r="A565" s="89"/>
      <x:c r="F565" s="90"/>
      <x:c r="G565" s="90"/>
      <x:c r="H565" s="90"/>
      <x:c r="I565" s="90"/>
      <x:c r="J565" s="90"/>
      <x:c r="K565" s="90"/>
      <x:c r="L565" s="90"/>
      <x:c r="M565" s="90"/>
      <x:c r="N565" s="90"/>
      <x:c r="O565" s="90"/>
      <x:c r="P565" s="90"/>
      <x:c r="Q565" s="90"/>
      <x:c r="R565" s="90"/>
      <x:c r="S565" s="90"/>
    </x:row>
    <x:row r="566" spans="1:41" ht="12.75" hidden="1" customHeight="1" x14ac:dyDescent="0.3">
      <x:c r="A566" s="89"/>
      <x:c r="F566" s="90"/>
      <x:c r="G566" s="90"/>
      <x:c r="H566" s="90"/>
      <x:c r="I566" s="90"/>
      <x:c r="J566" s="90"/>
      <x:c r="K566" s="90"/>
      <x:c r="L566" s="90"/>
      <x:c r="M566" s="90"/>
      <x:c r="N566" s="90"/>
      <x:c r="O566" s="90"/>
      <x:c r="P566" s="90"/>
      <x:c r="Q566" s="90"/>
      <x:c r="R566" s="90"/>
      <x:c r="S566" s="90"/>
    </x:row>
    <x:row r="567" spans="1:41" ht="12.75" customHeight="1" x14ac:dyDescent="0.3">
      <x:c r="A567" s="89"/>
      <x:c r="F567" s="90"/>
      <x:c r="G567" s="90"/>
      <x:c r="H567" s="90"/>
      <x:c r="I567" s="90"/>
      <x:c r="J567" s="90"/>
      <x:c r="K567" s="90"/>
      <x:c r="L567" s="90"/>
      <x:c r="M567" s="90"/>
      <x:c r="N567" s="90"/>
      <x:c r="O567" s="90"/>
      <x:c r="P567" s="90"/>
      <x:c r="Q567" s="90"/>
      <x:c r="R567" s="90"/>
      <x:c r="S567" s="90"/>
    </x:row>
    <x:row r="568" spans="1:41" ht="12.75" customHeight="1" x14ac:dyDescent="0.3">
      <x:c r="C568" s="777" t="s">
        <x:v>2</x:v>
      </x:c>
      <x:c r="D568" s="775" t="s">
        <x:v>132</x:v>
      </x:c>
      <x:c r="E568" s="98" t="s">
        <x:v>70</x:v>
      </x:c>
      <x:c r="F568" s="100">
        <x:f>F511+F548+F460-L460-L511</x:f>
        <x:v>0</x:v>
      </x:c>
      <x:c r="G568" s="100">
        <x:f>G511+G460</x:f>
        <x:v>0</x:v>
      </x:c>
      <x:c r="H568" s="100">
        <x:f t="shared" ref="H568:AO568" si="23">H511+H460</x:f>
        <x:v>0</x:v>
      </x:c>
      <x:c r="I568" s="100">
        <x:f t="shared" si="23"/>
        <x:v>0</x:v>
      </x:c>
      <x:c r="J568" s="100">
        <x:f t="shared" si="23"/>
        <x:v>0</x:v>
      </x:c>
      <x:c r="K568" s="100">
        <x:f t="shared" si="23"/>
        <x:v>0</x:v>
      </x:c>
      <x:c r="L568" s="100">
        <x:f t="shared" si="23"/>
        <x:v>0</x:v>
      </x:c>
      <x:c r="M568" s="100">
        <x:f t="shared" si="23"/>
        <x:v>0</x:v>
      </x:c>
      <x:c r="N568" s="100">
        <x:f t="shared" si="23"/>
        <x:v>0</x:v>
      </x:c>
      <x:c r="O568" s="100">
        <x:f t="shared" si="23"/>
        <x:v>0</x:v>
      </x:c>
      <x:c r="P568" s="100">
        <x:f t="shared" si="23"/>
        <x:v>0</x:v>
      </x:c>
      <x:c r="Q568" s="100">
        <x:f t="shared" si="23"/>
        <x:v>0</x:v>
      </x:c>
      <x:c r="R568" s="100">
        <x:f t="shared" si="23"/>
        <x:v>0</x:v>
      </x:c>
      <x:c r="S568" s="100">
        <x:f t="shared" si="23"/>
        <x:v>0</x:v>
      </x:c>
      <x:c r="T568" s="100">
        <x:f t="shared" si="23"/>
        <x:v>0</x:v>
      </x:c>
      <x:c r="U568" s="100">
        <x:f t="shared" si="23"/>
        <x:v>0</x:v>
      </x:c>
      <x:c r="V568" s="100">
        <x:f t="shared" si="23"/>
        <x:v>0</x:v>
      </x:c>
      <x:c r="W568" s="100">
        <x:f t="shared" si="23"/>
        <x:v>0</x:v>
      </x:c>
      <x:c r="X568" s="100">
        <x:f t="shared" si="23"/>
        <x:v>0</x:v>
      </x:c>
      <x:c r="Y568" s="100">
        <x:f t="shared" si="23"/>
        <x:v>0</x:v>
      </x:c>
      <x:c r="Z568" s="100">
        <x:f t="shared" si="23"/>
        <x:v>0</x:v>
      </x:c>
      <x:c r="AA568" s="100">
        <x:f t="shared" si="23"/>
        <x:v>0</x:v>
      </x:c>
      <x:c r="AB568" s="100">
        <x:f t="shared" si="23"/>
        <x:v>0</x:v>
      </x:c>
      <x:c r="AC568" s="100">
        <x:f t="shared" si="23"/>
        <x:v>0</x:v>
      </x:c>
      <x:c r="AD568" s="100">
        <x:f t="shared" si="23"/>
        <x:v>0</x:v>
      </x:c>
      <x:c r="AE568" s="100">
        <x:f t="shared" si="23"/>
        <x:v>0</x:v>
      </x:c>
      <x:c r="AF568" s="100">
        <x:f t="shared" si="23"/>
        <x:v>0</x:v>
      </x:c>
      <x:c r="AG568" s="100">
        <x:f t="shared" si="23"/>
        <x:v>0</x:v>
      </x:c>
      <x:c r="AH568" s="100">
        <x:f t="shared" si="23"/>
        <x:v>0</x:v>
      </x:c>
      <x:c r="AI568" s="100">
        <x:f t="shared" si="23"/>
        <x:v>0</x:v>
      </x:c>
      <x:c r="AJ568" s="100">
        <x:f t="shared" si="23"/>
        <x:v>0</x:v>
      </x:c>
      <x:c r="AK568" s="100">
        <x:f t="shared" si="23"/>
        <x:v>0</x:v>
      </x:c>
      <x:c r="AL568" s="100">
        <x:f t="shared" si="23"/>
        <x:v>0</x:v>
      </x:c>
      <x:c r="AM568" s="100">
        <x:f t="shared" si="23"/>
        <x:v>0</x:v>
      </x:c>
      <x:c r="AN568" s="100">
        <x:f t="shared" si="23"/>
        <x:v>0</x:v>
      </x:c>
      <x:c r="AO568" s="100">
        <x:f t="shared" si="23"/>
        <x:v>0</x:v>
      </x:c>
    </x:row>
    <x:row r="569" spans="1:41" ht="12.75" customHeight="1" x14ac:dyDescent="0.3">
      <x:c r="C569" s="777"/>
      <x:c r="D569" s="775"/>
      <x:c r="E569" s="98" t="s">
        <x:v>73</x:v>
      </x:c>
      <x:c r="F569" s="100">
        <x:f>F548</x:f>
        <x:v>0</x:v>
      </x:c>
      <x:c r="G569" s="90"/>
      <x:c r="H569" s="90"/>
      <x:c r="I569" s="90"/>
      <x:c r="J569" s="90"/>
      <x:c r="K569" s="90"/>
      <x:c r="L569" s="90"/>
      <x:c r="M569" s="90"/>
      <x:c r="N569" s="90"/>
      <x:c r="O569" s="90"/>
      <x:c r="P569" s="90"/>
      <x:c r="Q569" s="90"/>
      <x:c r="R569" s="90"/>
      <x:c r="S569" s="90"/>
    </x:row>
    <x:row r="570" spans="1:41" ht="12.75" customHeight="1" x14ac:dyDescent="0.3">
      <x:c r="C570" s="777"/>
      <x:c r="D570" s="775" t="s">
        <x:v>133</x:v>
      </x:c>
      <x:c r="E570" s="233" t="s">
        <x:v>70</x:v>
      </x:c>
      <x:c r="F570" s="234">
        <x:f>F530+F486-L486</x:f>
        <x:v>0</x:v>
      </x:c>
      <x:c r="G570" s="234">
        <x:f t="shared" ref="G570:AA570" si="24">G486</x:f>
        <x:v>0</x:v>
      </x:c>
      <x:c r="H570" s="234">
        <x:f t="shared" si="24"/>
        <x:v>0</x:v>
      </x:c>
      <x:c r="I570" s="234">
        <x:f t="shared" si="24"/>
        <x:v>0</x:v>
      </x:c>
      <x:c r="J570" s="234">
        <x:f t="shared" si="24"/>
        <x:v>0</x:v>
      </x:c>
      <x:c r="K570" s="234">
        <x:f t="shared" si="24"/>
        <x:v>0</x:v>
      </x:c>
      <x:c r="L570" s="234">
        <x:f t="shared" si="24"/>
        <x:v>0</x:v>
      </x:c>
      <x:c r="M570" s="234">
        <x:f t="shared" si="24"/>
        <x:v>0</x:v>
      </x:c>
      <x:c r="N570" s="234">
        <x:f t="shared" si="24"/>
        <x:v>0</x:v>
      </x:c>
      <x:c r="O570" s="234">
        <x:f t="shared" si="24"/>
        <x:v>0</x:v>
      </x:c>
      <x:c r="P570" s="234">
        <x:f t="shared" si="24"/>
        <x:v>0</x:v>
      </x:c>
      <x:c r="Q570" s="234">
        <x:f t="shared" si="24"/>
        <x:v>0</x:v>
      </x:c>
      <x:c r="R570" s="234">
        <x:f t="shared" si="24"/>
        <x:v>0</x:v>
      </x:c>
      <x:c r="S570" s="234">
        <x:f t="shared" si="24"/>
        <x:v>0</x:v>
      </x:c>
      <x:c r="T570" s="234">
        <x:f t="shared" si="24"/>
        <x:v>0</x:v>
      </x:c>
      <x:c r="U570" s="234">
        <x:f t="shared" si="24"/>
        <x:v>0</x:v>
      </x:c>
      <x:c r="V570" s="234">
        <x:f t="shared" si="24"/>
        <x:v>0</x:v>
      </x:c>
      <x:c r="W570" s="234">
        <x:f t="shared" si="24"/>
        <x:v>0</x:v>
      </x:c>
      <x:c r="X570" s="234">
        <x:f t="shared" si="24"/>
        <x:v>0</x:v>
      </x:c>
      <x:c r="Y570" s="234">
        <x:f t="shared" si="24"/>
        <x:v>0</x:v>
      </x:c>
      <x:c r="Z570" s="234">
        <x:f t="shared" si="24"/>
        <x:v>0</x:v>
      </x:c>
      <x:c r="AA570" s="234">
        <x:f t="shared" si="24"/>
        <x:v>0</x:v>
      </x:c>
    </x:row>
    <x:row r="571" spans="1:41" ht="12.75" customHeight="1" x14ac:dyDescent="0.3">
      <x:c r="C571" s="777"/>
      <x:c r="D571" s="775"/>
      <x:c r="E571" s="233" t="s">
        <x:v>73</x:v>
      </x:c>
      <x:c r="F571" s="234">
        <x:f>F530</x:f>
        <x:v>0</x:v>
      </x:c>
      <x:c r="G571" s="90"/>
      <x:c r="H571" s="90"/>
      <x:c r="I571" s="90"/>
      <x:c r="J571" s="90"/>
      <x:c r="K571" s="90"/>
      <x:c r="L571" s="90"/>
      <x:c r="M571" s="90"/>
      <x:c r="N571" s="90"/>
      <x:c r="O571" s="90"/>
      <x:c r="P571" s="90"/>
      <x:c r="Q571" s="90"/>
      <x:c r="R571" s="90"/>
    </x:row>
    <x:row r="572" spans="1:41" ht="12.75" customHeight="1" x14ac:dyDescent="0.3">
      <x:c r="A572" s="89"/>
      <x:c r="C572" s="97"/>
      <x:c r="F572" s="90"/>
      <x:c r="G572" s="90"/>
      <x:c r="H572" s="90"/>
      <x:c r="I572" s="90"/>
      <x:c r="J572" s="90"/>
      <x:c r="K572" s="90"/>
      <x:c r="L572" s="90"/>
      <x:c r="M572" s="90"/>
      <x:c r="N572" s="90"/>
      <x:c r="O572" s="90"/>
      <x:c r="P572" s="90"/>
      <x:c r="Q572" s="90"/>
      <x:c r="R572" s="90"/>
      <x:c r="S572" s="90"/>
    </x:row>
    <x:row r="573" spans="1:41" ht="12.75" customHeight="1" x14ac:dyDescent="0.3">
      <x:c r="C573" s="777" t="s">
        <x:v>160</x:v>
      </x:c>
      <x:c r="D573" s="775" t="s">
        <x:v>132</x:v>
      </x:c>
      <x:c r="E573" s="223" t="s">
        <x:v>70</x:v>
      </x:c>
      <x:c r="F573" s="225">
        <x:f>F540+F500-L500</x:f>
        <x:v>0</x:v>
      </x:c>
      <x:c r="G573" s="225">
        <x:f t="shared" ref="G573:AO573" si="25">G500</x:f>
        <x:v>0</x:v>
      </x:c>
      <x:c r="H573" s="225">
        <x:f t="shared" si="25"/>
        <x:v>0</x:v>
      </x:c>
      <x:c r="I573" s="225">
        <x:f t="shared" si="25"/>
        <x:v>0</x:v>
      </x:c>
      <x:c r="J573" s="225">
        <x:f t="shared" si="25"/>
        <x:v>0</x:v>
      </x:c>
      <x:c r="K573" s="225">
        <x:f t="shared" si="25"/>
        <x:v>0</x:v>
      </x:c>
      <x:c r="L573" s="225">
        <x:f t="shared" si="25"/>
        <x:v>0</x:v>
      </x:c>
      <x:c r="M573" s="225">
        <x:f t="shared" si="25"/>
        <x:v>0</x:v>
      </x:c>
      <x:c r="N573" s="225">
        <x:f t="shared" si="25"/>
        <x:v>0</x:v>
      </x:c>
      <x:c r="O573" s="225">
        <x:f t="shared" si="25"/>
        <x:v>0</x:v>
      </x:c>
      <x:c r="P573" s="225">
        <x:f t="shared" si="25"/>
        <x:v>0</x:v>
      </x:c>
      <x:c r="Q573" s="225">
        <x:f t="shared" si="25"/>
        <x:v>0</x:v>
      </x:c>
      <x:c r="R573" s="225">
        <x:f t="shared" si="25"/>
        <x:v>0</x:v>
      </x:c>
      <x:c r="S573" s="225">
        <x:f t="shared" si="25"/>
        <x:v>0</x:v>
      </x:c>
      <x:c r="T573" s="225">
        <x:f t="shared" si="25"/>
        <x:v>0</x:v>
      </x:c>
      <x:c r="U573" s="225">
        <x:f t="shared" si="25"/>
        <x:v>0</x:v>
      </x:c>
      <x:c r="V573" s="225">
        <x:f t="shared" si="25"/>
        <x:v>0</x:v>
      </x:c>
      <x:c r="W573" s="225">
        <x:f t="shared" si="25"/>
        <x:v>0</x:v>
      </x:c>
      <x:c r="X573" s="225">
        <x:f t="shared" si="25"/>
        <x:v>0</x:v>
      </x:c>
      <x:c r="Y573" s="225">
        <x:f t="shared" si="25"/>
        <x:v>0</x:v>
      </x:c>
      <x:c r="Z573" s="225">
        <x:f t="shared" si="25"/>
        <x:v>0</x:v>
      </x:c>
      <x:c r="AA573" s="225">
        <x:f t="shared" si="25"/>
        <x:v>0</x:v>
      </x:c>
      <x:c r="AB573" s="225">
        <x:f t="shared" si="25"/>
        <x:v>0</x:v>
      </x:c>
      <x:c r="AC573" s="225">
        <x:f t="shared" si="25"/>
        <x:v>0</x:v>
      </x:c>
      <x:c r="AD573" s="225">
        <x:f t="shared" si="25"/>
        <x:v>0</x:v>
      </x:c>
      <x:c r="AE573" s="225">
        <x:f t="shared" si="25"/>
        <x:v>0</x:v>
      </x:c>
      <x:c r="AF573" s="225">
        <x:f t="shared" si="25"/>
        <x:v>0</x:v>
      </x:c>
      <x:c r="AG573" s="225">
        <x:f t="shared" si="25"/>
        <x:v>0</x:v>
      </x:c>
      <x:c r="AH573" s="225">
        <x:f t="shared" si="25"/>
        <x:v>0</x:v>
      </x:c>
      <x:c r="AI573" s="225">
        <x:f t="shared" si="25"/>
        <x:v>0</x:v>
      </x:c>
      <x:c r="AJ573" s="225">
        <x:f t="shared" si="25"/>
        <x:v>0</x:v>
      </x:c>
      <x:c r="AK573" s="225">
        <x:f t="shared" si="25"/>
        <x:v>0</x:v>
      </x:c>
      <x:c r="AL573" s="225">
        <x:f t="shared" si="25"/>
        <x:v>0</x:v>
      </x:c>
      <x:c r="AM573" s="225">
        <x:f t="shared" si="25"/>
        <x:v>0</x:v>
      </x:c>
      <x:c r="AN573" s="225">
        <x:f t="shared" si="25"/>
        <x:v>0</x:v>
      </x:c>
      <x:c r="AO573" s="225">
        <x:f t="shared" si="25"/>
        <x:v>0</x:v>
      </x:c>
    </x:row>
    <x:row r="574" spans="1:41" ht="12.75" customHeight="1" x14ac:dyDescent="0.3">
      <x:c r="C574" s="777"/>
      <x:c r="D574" s="775"/>
      <x:c r="E574" s="223" t="s">
        <x:v>73</x:v>
      </x:c>
      <x:c r="F574" s="225">
        <x:f>F540</x:f>
        <x:v>0</x:v>
      </x:c>
      <x:c r="G574" s="90"/>
      <x:c r="H574" s="90"/>
      <x:c r="I574" s="90"/>
      <x:c r="J574" s="90"/>
      <x:c r="K574" s="90"/>
      <x:c r="L574" s="90"/>
      <x:c r="M574" s="90"/>
      <x:c r="N574" s="90"/>
      <x:c r="O574" s="90"/>
      <x:c r="P574" s="90"/>
      <x:c r="Q574" s="90"/>
      <x:c r="R574" s="90"/>
      <x:c r="S574" s="90"/>
    </x:row>
    <x:row r="575" spans="1:41" ht="12.75" customHeight="1" x14ac:dyDescent="0.3">
      <x:c r="C575" s="777"/>
      <x:c r="D575" s="775" t="s">
        <x:v>133</x:v>
      </x:c>
      <x:c r="E575" s="227" t="s">
        <x:v>70</x:v>
      </x:c>
      <x:c r="F575" s="228">
        <x:f>F522+F475-L475</x:f>
        <x:v>0</x:v>
      </x:c>
      <x:c r="G575" s="228">
        <x:f t="shared" ref="G575:Z575" si="26">G475</x:f>
        <x:v>0</x:v>
      </x:c>
      <x:c r="H575" s="228">
        <x:f t="shared" si="26"/>
        <x:v>0</x:v>
      </x:c>
      <x:c r="I575" s="228">
        <x:f t="shared" si="26"/>
        <x:v>0</x:v>
      </x:c>
      <x:c r="J575" s="228">
        <x:f t="shared" si="26"/>
        <x:v>0</x:v>
      </x:c>
      <x:c r="K575" s="228">
        <x:f t="shared" si="26"/>
        <x:v>0</x:v>
      </x:c>
      <x:c r="L575" s="228">
        <x:f t="shared" si="26"/>
        <x:v>0</x:v>
      </x:c>
      <x:c r="M575" s="228">
        <x:f t="shared" si="26"/>
        <x:v>0</x:v>
      </x:c>
      <x:c r="N575" s="228">
        <x:f t="shared" si="26"/>
        <x:v>0</x:v>
      </x:c>
      <x:c r="O575" s="228">
        <x:f t="shared" si="26"/>
        <x:v>0</x:v>
      </x:c>
      <x:c r="P575" s="228">
        <x:f t="shared" si="26"/>
        <x:v>0</x:v>
      </x:c>
      <x:c r="Q575" s="228">
        <x:f t="shared" si="26"/>
        <x:v>0</x:v>
      </x:c>
      <x:c r="R575" s="228">
        <x:f t="shared" si="26"/>
        <x:v>0</x:v>
      </x:c>
      <x:c r="S575" s="228">
        <x:f t="shared" si="26"/>
        <x:v>0</x:v>
      </x:c>
      <x:c r="T575" s="228">
        <x:f t="shared" si="26"/>
        <x:v>0</x:v>
      </x:c>
      <x:c r="U575" s="228">
        <x:f t="shared" si="26"/>
        <x:v>0</x:v>
      </x:c>
      <x:c r="V575" s="228">
        <x:f t="shared" si="26"/>
        <x:v>0</x:v>
      </x:c>
      <x:c r="W575" s="228">
        <x:f t="shared" si="26"/>
        <x:v>0</x:v>
      </x:c>
      <x:c r="X575" s="228">
        <x:f t="shared" si="26"/>
        <x:v>0</x:v>
      </x:c>
      <x:c r="Y575" s="228">
        <x:f t="shared" si="26"/>
        <x:v>0</x:v>
      </x:c>
      <x:c r="Z575" s="228">
        <x:f t="shared" si="26"/>
        <x:v>0</x:v>
      </x:c>
    </x:row>
    <x:row r="576" spans="1:41" ht="12.75" customHeight="1" x14ac:dyDescent="0.3">
      <x:c r="C576" s="777"/>
      <x:c r="D576" s="775"/>
      <x:c r="E576" s="227" t="s">
        <x:v>73</x:v>
      </x:c>
      <x:c r="F576" s="228">
        <x:f>F522</x:f>
        <x:v>0</x:v>
      </x:c>
      <x:c r="G576" s="90"/>
      <x:c r="H576" s="90"/>
      <x:c r="I576" s="90"/>
      <x:c r="J576" s="90"/>
      <x:c r="K576" s="90"/>
      <x:c r="L576" s="90"/>
      <x:c r="M576" s="90"/>
      <x:c r="N576" s="90"/>
      <x:c r="O576" s="90"/>
      <x:c r="P576" s="90"/>
      <x:c r="Q576" s="90"/>
      <x:c r="R576" s="90"/>
    </x:row>
    <x:row r="577" spans="1:41" ht="12.75" customHeight="1" x14ac:dyDescent="0.3">
      <x:c r="A577" s="89"/>
      <x:c r="C577" s="97"/>
      <x:c r="F577" s="90"/>
      <x:c r="G577" s="90"/>
      <x:c r="H577" s="90"/>
      <x:c r="I577" s="90"/>
      <x:c r="J577" s="90"/>
      <x:c r="K577" s="90"/>
      <x:c r="L577" s="90"/>
      <x:c r="M577" s="90"/>
      <x:c r="N577" s="90"/>
      <x:c r="O577" s="90"/>
      <x:c r="P577" s="90"/>
      <x:c r="Q577" s="90"/>
      <x:c r="R577" s="90"/>
      <x:c r="S577" s="90"/>
    </x:row>
    <x:row r="578" spans="1:41" ht="12.75" customHeight="1" x14ac:dyDescent="0.3">
      <x:c r="C578" s="777" t="s">
        <x:v>155</x:v>
      </x:c>
      <x:c r="D578" s="775" t="s">
        <x:v>132</x:v>
      </x:c>
      <x:c r="E578" s="221" t="s">
        <x:v>70</x:v>
      </x:c>
      <x:c r="F578" s="222">
        <x:f>F533+F490+F452-L452-L490</x:f>
        <x:v>0</x:v>
      </x:c>
      <x:c r="G578" s="222">
        <x:f t="shared" ref="G578:Z578" si="27">G490+G452</x:f>
        <x:v>0</x:v>
      </x:c>
      <x:c r="H578" s="222">
        <x:f t="shared" si="27"/>
        <x:v>0</x:v>
      </x:c>
      <x:c r="I578" s="222">
        <x:f t="shared" si="27"/>
        <x:v>0</x:v>
      </x:c>
      <x:c r="J578" s="222">
        <x:f t="shared" si="27"/>
        <x:v>0</x:v>
      </x:c>
      <x:c r="K578" s="222">
        <x:f t="shared" si="27"/>
        <x:v>0</x:v>
      </x:c>
      <x:c r="L578" s="222">
        <x:f t="shared" si="27"/>
        <x:v>0</x:v>
      </x:c>
      <x:c r="M578" s="222">
        <x:f t="shared" si="27"/>
        <x:v>0</x:v>
      </x:c>
      <x:c r="N578" s="222">
        <x:f t="shared" si="27"/>
        <x:v>0</x:v>
      </x:c>
      <x:c r="O578" s="222">
        <x:f t="shared" si="27"/>
        <x:v>0</x:v>
      </x:c>
      <x:c r="P578" s="222">
        <x:f t="shared" si="27"/>
        <x:v>0</x:v>
      </x:c>
      <x:c r="Q578" s="222">
        <x:f t="shared" si="27"/>
        <x:v>0</x:v>
      </x:c>
      <x:c r="R578" s="222">
        <x:f t="shared" si="27"/>
        <x:v>0</x:v>
      </x:c>
      <x:c r="S578" s="222">
        <x:f t="shared" si="27"/>
        <x:v>0</x:v>
      </x:c>
      <x:c r="T578" s="222">
        <x:f t="shared" si="27"/>
        <x:v>0</x:v>
      </x:c>
      <x:c r="U578" s="222">
        <x:f t="shared" si="27"/>
        <x:v>0</x:v>
      </x:c>
      <x:c r="V578" s="222">
        <x:f t="shared" si="27"/>
        <x:v>0</x:v>
      </x:c>
      <x:c r="W578" s="222">
        <x:f t="shared" si="27"/>
        <x:v>0</x:v>
      </x:c>
      <x:c r="X578" s="222">
        <x:f t="shared" si="27"/>
        <x:v>0</x:v>
      </x:c>
      <x:c r="Y578" s="222">
        <x:f t="shared" si="27"/>
        <x:v>0</x:v>
      </x:c>
      <x:c r="Z578" s="222">
        <x:f t="shared" si="27"/>
        <x:v>0</x:v>
      </x:c>
    </x:row>
    <x:row r="579" spans="1:41" ht="12.75" customHeight="1" x14ac:dyDescent="0.3">
      <x:c r="C579" s="777"/>
      <x:c r="D579" s="775"/>
      <x:c r="E579" s="221" t="s">
        <x:v>73</x:v>
      </x:c>
      <x:c r="F579" s="222">
        <x:f>F533</x:f>
        <x:v>0</x:v>
      </x:c>
      <x:c r="G579" s="90"/>
      <x:c r="H579" s="90"/>
      <x:c r="I579" s="90"/>
      <x:c r="J579" s="90"/>
      <x:c r="K579" s="90"/>
      <x:c r="L579" s="90"/>
      <x:c r="M579" s="90"/>
      <x:c r="N579" s="90"/>
      <x:c r="O579" s="90"/>
      <x:c r="P579" s="90"/>
      <x:c r="Q579" s="90"/>
      <x:c r="R579" s="90"/>
      <x:c r="S579" s="90"/>
    </x:row>
    <x:row r="580" spans="1:41" ht="12.75" customHeight="1" x14ac:dyDescent="0.3">
      <x:c r="C580" s="777"/>
      <x:c r="D580" s="775" t="s">
        <x:v>133</x:v>
      </x:c>
      <x:c r="E580" s="229" t="s">
        <x:v>70</x:v>
      </x:c>
      <x:c r="F580" s="230">
        <x:f>F515+F465-L465</x:f>
        <x:v>0</x:v>
      </x:c>
      <x:c r="G580" s="230">
        <x:f t="shared" ref="G580:Z580" si="28">G465</x:f>
        <x:v>0</x:v>
      </x:c>
      <x:c r="H580" s="230">
        <x:f t="shared" si="28"/>
        <x:v>0</x:v>
      </x:c>
      <x:c r="I580" s="230">
        <x:f t="shared" si="28"/>
        <x:v>0</x:v>
      </x:c>
      <x:c r="J580" s="230">
        <x:f t="shared" si="28"/>
        <x:v>0</x:v>
      </x:c>
      <x:c r="K580" s="230">
        <x:f t="shared" si="28"/>
        <x:v>0</x:v>
      </x:c>
      <x:c r="L580" s="230">
        <x:f t="shared" si="28"/>
        <x:v>0</x:v>
      </x:c>
      <x:c r="M580" s="230">
        <x:f t="shared" si="28"/>
        <x:v>0</x:v>
      </x:c>
      <x:c r="N580" s="230">
        <x:f t="shared" si="28"/>
        <x:v>0</x:v>
      </x:c>
      <x:c r="O580" s="230">
        <x:f t="shared" si="28"/>
        <x:v>0</x:v>
      </x:c>
      <x:c r="P580" s="230">
        <x:f t="shared" si="28"/>
        <x:v>0</x:v>
      </x:c>
      <x:c r="Q580" s="230">
        <x:f t="shared" si="28"/>
        <x:v>0</x:v>
      </x:c>
      <x:c r="R580" s="230">
        <x:f t="shared" si="28"/>
        <x:v>0</x:v>
      </x:c>
      <x:c r="S580" s="230">
        <x:f t="shared" si="28"/>
        <x:v>0</x:v>
      </x:c>
      <x:c r="T580" s="230">
        <x:f t="shared" si="28"/>
        <x:v>0</x:v>
      </x:c>
      <x:c r="U580" s="230">
        <x:f t="shared" si="28"/>
        <x:v>0</x:v>
      </x:c>
      <x:c r="V580" s="230">
        <x:f t="shared" si="28"/>
        <x:v>0</x:v>
      </x:c>
      <x:c r="W580" s="230">
        <x:f t="shared" si="28"/>
        <x:v>0</x:v>
      </x:c>
      <x:c r="X580" s="230">
        <x:f t="shared" si="28"/>
        <x:v>0</x:v>
      </x:c>
      <x:c r="Y580" s="230">
        <x:f t="shared" si="28"/>
        <x:v>0</x:v>
      </x:c>
      <x:c r="Z580" s="230">
        <x:f t="shared" si="28"/>
        <x:v>0</x:v>
      </x:c>
    </x:row>
    <x:row r="581" spans="1:41" ht="12.75" customHeight="1" x14ac:dyDescent="0.3">
      <x:c r="C581" s="777"/>
      <x:c r="D581" s="775"/>
      <x:c r="E581" s="229" t="s">
        <x:v>73</x:v>
      </x:c>
      <x:c r="F581" s="230">
        <x:f>F515</x:f>
        <x:v>0</x:v>
      </x:c>
      <x:c r="G581" s="90"/>
      <x:c r="H581" s="90"/>
      <x:c r="I581" s="90"/>
      <x:c r="J581" s="90"/>
      <x:c r="K581" s="90"/>
      <x:c r="L581" s="90"/>
      <x:c r="M581" s="90"/>
      <x:c r="N581" s="90"/>
      <x:c r="O581" s="90"/>
      <x:c r="P581" s="90"/>
      <x:c r="Q581" s="90"/>
      <x:c r="R581" s="90"/>
    </x:row>
    <x:row r="582" spans="1:41" ht="12.75" customHeight="1" x14ac:dyDescent="0.3">
      <x:c r="A582" s="89"/>
      <x:c r="C582" s="97"/>
      <x:c r="F582" s="90"/>
      <x:c r="G582" s="90"/>
      <x:c r="H582" s="90"/>
      <x:c r="I582" s="90"/>
      <x:c r="J582" s="90"/>
      <x:c r="K582" s="90"/>
      <x:c r="L582" s="90"/>
      <x:c r="M582" s="90"/>
      <x:c r="N582" s="90"/>
      <x:c r="O582" s="90"/>
      <x:c r="P582" s="90"/>
      <x:c r="Q582" s="90"/>
      <x:c r="R582" s="90"/>
      <x:c r="S582" s="90"/>
    </x:row>
    <x:row r="583" spans="1:41" ht="12.75" customHeight="1" x14ac:dyDescent="0.3">
      <x:c r="C583" s="778" t="s">
        <x:v>326</x:v>
      </x:c>
      <x:c r="D583" s="775" t="s">
        <x:v>132</x:v>
      </x:c>
      <x:c r="E583" s="373" t="s">
        <x:v>70</x:v>
      </x:c>
      <x:c r="F583" s="374">
        <x:v>0</x:v>
      </x:c>
      <x:c r="G583" s="374">
        <x:v>0</x:v>
      </x:c>
      <x:c r="H583" s="374">
        <x:v>0</x:v>
      </x:c>
      <x:c r="I583" s="374">
        <x:v>0</x:v>
      </x:c>
      <x:c r="J583" s="374">
        <x:v>0</x:v>
      </x:c>
      <x:c r="K583" s="374">
        <x:v>0</x:v>
      </x:c>
      <x:c r="L583" s="374">
        <x:v>0</x:v>
      </x:c>
      <x:c r="M583" s="374">
        <x:v>0</x:v>
      </x:c>
      <x:c r="N583" s="374">
        <x:v>0</x:v>
      </x:c>
      <x:c r="O583" s="374">
        <x:v>0</x:v>
      </x:c>
      <x:c r="P583" s="374">
        <x:v>0</x:v>
      </x:c>
      <x:c r="Q583" s="374">
        <x:v>0</x:v>
      </x:c>
      <x:c r="R583" s="374">
        <x:v>0</x:v>
      </x:c>
      <x:c r="S583" s="374">
        <x:v>0</x:v>
      </x:c>
      <x:c r="T583" s="374">
        <x:v>0</x:v>
      </x:c>
      <x:c r="U583" s="374">
        <x:v>0</x:v>
      </x:c>
      <x:c r="V583" s="374">
        <x:v>0</x:v>
      </x:c>
      <x:c r="W583" s="374">
        <x:v>0</x:v>
      </x:c>
      <x:c r="X583" s="374">
        <x:v>0</x:v>
      </x:c>
      <x:c r="Y583" s="374">
        <x:v>0</x:v>
      </x:c>
      <x:c r="Z583" s="374">
        <x:v>0</x:v>
      </x:c>
      <x:c r="AA583" s="374">
        <x:v>0</x:v>
      </x:c>
      <x:c r="AB583" s="374">
        <x:v>0</x:v>
      </x:c>
      <x:c r="AC583" s="374">
        <x:v>0</x:v>
      </x:c>
      <x:c r="AD583" s="374">
        <x:v>0</x:v>
      </x:c>
      <x:c r="AE583" s="374">
        <x:v>0</x:v>
      </x:c>
      <x:c r="AF583" s="374">
        <x:v>0</x:v>
      </x:c>
      <x:c r="AG583" s="374">
        <x:v>0</x:v>
      </x:c>
      <x:c r="AH583" s="374">
        <x:v>0</x:v>
      </x:c>
      <x:c r="AI583" s="374">
        <x:v>0</x:v>
      </x:c>
      <x:c r="AJ583" s="374">
        <x:v>0</x:v>
      </x:c>
      <x:c r="AK583" s="374">
        <x:v>0</x:v>
      </x:c>
      <x:c r="AL583" s="374">
        <x:v>0</x:v>
      </x:c>
      <x:c r="AM583" s="374">
        <x:v>0</x:v>
      </x:c>
      <x:c r="AN583" s="374">
        <x:v>0</x:v>
      </x:c>
      <x:c r="AO583" s="374">
        <x:v>0</x:v>
      </x:c>
    </x:row>
    <x:row r="584" spans="1:41" ht="12.75" customHeight="1" x14ac:dyDescent="0.3">
      <x:c r="C584" s="778"/>
      <x:c r="D584" s="775"/>
      <x:c r="E584" s="373" t="s">
        <x:v>73</x:v>
      </x:c>
      <x:c r="F584" s="374">
        <x:v>0</x:v>
      </x:c>
      <x:c r="G584" s="90"/>
      <x:c r="H584" s="90"/>
      <x:c r="I584" s="90"/>
      <x:c r="J584" s="90"/>
      <x:c r="K584" s="90"/>
      <x:c r="L584" s="90"/>
      <x:c r="M584" s="90"/>
      <x:c r="N584" s="90"/>
      <x:c r="O584" s="90"/>
      <x:c r="P584" s="90"/>
      <x:c r="Q584" s="90"/>
      <x:c r="R584" s="90"/>
      <x:c r="S584" s="90"/>
    </x:row>
    <x:row r="585" spans="1:41" ht="12.75" customHeight="1" x14ac:dyDescent="0.3">
      <x:c r="C585" s="778"/>
      <x:c r="D585" s="775" t="s">
        <x:v>133</x:v>
      </x:c>
      <x:c r="E585" s="242" t="s">
        <x:v>70</x:v>
      </x:c>
      <x:c r="F585" s="243">
        <x:v>0</x:v>
      </x:c>
      <x:c r="G585" s="243">
        <x:v>0</x:v>
      </x:c>
      <x:c r="H585" s="243">
        <x:v>0</x:v>
      </x:c>
      <x:c r="I585" s="243">
        <x:v>0</x:v>
      </x:c>
      <x:c r="J585" s="243">
        <x:v>0</x:v>
      </x:c>
      <x:c r="K585" s="243">
        <x:v>0</x:v>
      </x:c>
      <x:c r="L585" s="243">
        <x:v>0</x:v>
      </x:c>
      <x:c r="M585" s="243">
        <x:v>0</x:v>
      </x:c>
      <x:c r="N585" s="243">
        <x:v>0</x:v>
      </x:c>
      <x:c r="O585" s="243">
        <x:v>0</x:v>
      </x:c>
      <x:c r="P585" s="243">
        <x:v>0</x:v>
      </x:c>
      <x:c r="Q585" s="243">
        <x:v>0</x:v>
      </x:c>
      <x:c r="R585" s="243">
        <x:v>0</x:v>
      </x:c>
      <x:c r="S585" s="243">
        <x:v>0</x:v>
      </x:c>
      <x:c r="T585" s="243">
        <x:v>0</x:v>
      </x:c>
      <x:c r="U585" s="243">
        <x:v>0</x:v>
      </x:c>
      <x:c r="V585" s="243">
        <x:v>0</x:v>
      </x:c>
      <x:c r="W585" s="243">
        <x:v>0</x:v>
      </x:c>
      <x:c r="X585" s="243">
        <x:v>0</x:v>
      </x:c>
      <x:c r="Y585" s="243">
        <x:v>0</x:v>
      </x:c>
      <x:c r="Z585" s="243">
        <x:v>0</x:v>
      </x:c>
      <x:c r="AA585" s="243">
        <x:v>0</x:v>
      </x:c>
      <x:c r="AB585" s="243">
        <x:v>0</x:v>
      </x:c>
      <x:c r="AC585" s="243">
        <x:v>0</x:v>
      </x:c>
      <x:c r="AD585" s="243">
        <x:v>0</x:v>
      </x:c>
      <x:c r="AE585" s="243">
        <x:v>0</x:v>
      </x:c>
      <x:c r="AF585" s="243">
        <x:v>0</x:v>
      </x:c>
      <x:c r="AG585" s="243">
        <x:v>0</x:v>
      </x:c>
      <x:c r="AH585" s="243">
        <x:v>0</x:v>
      </x:c>
      <x:c r="AI585" s="243">
        <x:v>0</x:v>
      </x:c>
      <x:c r="AJ585" s="243">
        <x:v>0</x:v>
      </x:c>
      <x:c r="AK585" s="243">
        <x:v>0</x:v>
      </x:c>
      <x:c r="AL585" s="243">
        <x:v>0</x:v>
      </x:c>
      <x:c r="AM585" s="243">
        <x:v>0</x:v>
      </x:c>
      <x:c r="AN585" s="243">
        <x:v>0</x:v>
      </x:c>
      <x:c r="AO585" s="243">
        <x:v>0</x:v>
      </x:c>
    </x:row>
    <x:row r="586" spans="1:41" ht="12.75" customHeight="1" x14ac:dyDescent="0.3">
      <x:c r="C586" s="778"/>
      <x:c r="D586" s="775"/>
      <x:c r="E586" s="242" t="s">
        <x:v>73</x:v>
      </x:c>
      <x:c r="F586" s="243">
        <x:v>0</x:v>
      </x:c>
      <x:c r="G586" s="90"/>
      <x:c r="H586" s="90"/>
      <x:c r="I586" s="90"/>
      <x:c r="J586" s="90"/>
      <x:c r="K586" s="90"/>
      <x:c r="L586" s="90"/>
      <x:c r="M586" s="90"/>
      <x:c r="N586" s="90"/>
      <x:c r="O586" s="90"/>
      <x:c r="P586" s="90"/>
      <x:c r="Q586" s="90"/>
      <x:c r="R586" s="90"/>
    </x:row>
    <x:row r="587" spans="1:41" ht="12.75" customHeight="1" x14ac:dyDescent="0.3">
      <x:c r="A587" s="89"/>
      <x:c r="C587" s="97"/>
      <x:c r="F587" s="90"/>
      <x:c r="G587" s="90"/>
      <x:c r="H587" s="90"/>
      <x:c r="I587" s="90"/>
      <x:c r="J587" s="90"/>
      <x:c r="K587" s="90"/>
      <x:c r="L587" s="90"/>
      <x:c r="M587" s="90"/>
      <x:c r="N587" s="90"/>
      <x:c r="O587" s="90"/>
      <x:c r="P587" s="90"/>
      <x:c r="Q587" s="90"/>
      <x:c r="R587" s="90"/>
      <x:c r="S587" s="90"/>
    </x:row>
    <x:row r="588" spans="1:41" ht="12.75" customHeight="1" x14ac:dyDescent="0.3">
      <x:c r="C588" s="777" t="s">
        <x:v>119</x:v>
      </x:c>
      <x:c r="D588" s="775" t="s">
        <x:v>132</x:v>
      </x:c>
      <x:c r="E588" s="101" t="s">
        <x:v>70</x:v>
      </x:c>
      <x:c r="F588" s="93">
        <x:f>F547+F510+F459-L459-L510</x:f>
        <x:v>0</x:v>
      </x:c>
      <x:c r="G588" s="93">
        <x:f t="shared" ref="G588:AO588" si="29">G510+G459</x:f>
        <x:v>0</x:v>
      </x:c>
      <x:c r="H588" s="93">
        <x:f t="shared" si="29"/>
        <x:v>0</x:v>
      </x:c>
      <x:c r="I588" s="93">
        <x:f t="shared" si="29"/>
        <x:v>0</x:v>
      </x:c>
      <x:c r="J588" s="93">
        <x:f t="shared" si="29"/>
        <x:v>0</x:v>
      </x:c>
      <x:c r="K588" s="93">
        <x:f t="shared" si="29"/>
        <x:v>0</x:v>
      </x:c>
      <x:c r="L588" s="93">
        <x:f t="shared" si="29"/>
        <x:v>0</x:v>
      </x:c>
      <x:c r="M588" s="93">
        <x:f t="shared" si="29"/>
        <x:v>0</x:v>
      </x:c>
      <x:c r="N588" s="93">
        <x:f t="shared" si="29"/>
        <x:v>0</x:v>
      </x:c>
      <x:c r="O588" s="93">
        <x:f t="shared" si="29"/>
        <x:v>0</x:v>
      </x:c>
      <x:c r="P588" s="93">
        <x:f t="shared" si="29"/>
        <x:v>0</x:v>
      </x:c>
      <x:c r="Q588" s="93">
        <x:f t="shared" si="29"/>
        <x:v>0</x:v>
      </x:c>
      <x:c r="R588" s="93">
        <x:f t="shared" si="29"/>
        <x:v>0</x:v>
      </x:c>
      <x:c r="S588" s="93">
        <x:f t="shared" si="29"/>
        <x:v>0</x:v>
      </x:c>
      <x:c r="T588" s="93">
        <x:f t="shared" si="29"/>
        <x:v>0</x:v>
      </x:c>
      <x:c r="U588" s="93">
        <x:f t="shared" si="29"/>
        <x:v>0</x:v>
      </x:c>
      <x:c r="V588" s="93">
        <x:f t="shared" si="29"/>
        <x:v>0</x:v>
      </x:c>
      <x:c r="W588" s="93">
        <x:f t="shared" si="29"/>
        <x:v>0</x:v>
      </x:c>
      <x:c r="X588" s="93">
        <x:f t="shared" si="29"/>
        <x:v>0</x:v>
      </x:c>
      <x:c r="Y588" s="93">
        <x:f t="shared" si="29"/>
        <x:v>0</x:v>
      </x:c>
      <x:c r="Z588" s="93">
        <x:f t="shared" si="29"/>
        <x:v>0</x:v>
      </x:c>
      <x:c r="AA588" s="93">
        <x:f t="shared" si="29"/>
        <x:v>0</x:v>
      </x:c>
      <x:c r="AB588" s="93">
        <x:f t="shared" si="29"/>
        <x:v>0</x:v>
      </x:c>
      <x:c r="AC588" s="93">
        <x:f t="shared" si="29"/>
        <x:v>0</x:v>
      </x:c>
      <x:c r="AD588" s="93">
        <x:f t="shared" si="29"/>
        <x:v>0</x:v>
      </x:c>
      <x:c r="AE588" s="93">
        <x:f t="shared" si="29"/>
        <x:v>0</x:v>
      </x:c>
      <x:c r="AF588" s="93">
        <x:f t="shared" si="29"/>
        <x:v>0</x:v>
      </x:c>
      <x:c r="AG588" s="93">
        <x:f t="shared" si="29"/>
        <x:v>0</x:v>
      </x:c>
      <x:c r="AH588" s="93">
        <x:f t="shared" si="29"/>
        <x:v>0</x:v>
      </x:c>
      <x:c r="AI588" s="93">
        <x:f t="shared" si="29"/>
        <x:v>0</x:v>
      </x:c>
      <x:c r="AJ588" s="93">
        <x:f t="shared" si="29"/>
        <x:v>0</x:v>
      </x:c>
      <x:c r="AK588" s="93">
        <x:f t="shared" si="29"/>
        <x:v>0</x:v>
      </x:c>
      <x:c r="AL588" s="93">
        <x:f t="shared" si="29"/>
        <x:v>0</x:v>
      </x:c>
      <x:c r="AM588" s="93">
        <x:f t="shared" si="29"/>
        <x:v>0</x:v>
      </x:c>
      <x:c r="AN588" s="93">
        <x:f t="shared" si="29"/>
        <x:v>0</x:v>
      </x:c>
      <x:c r="AO588" s="93">
        <x:f t="shared" si="29"/>
        <x:v>0</x:v>
      </x:c>
    </x:row>
    <x:row r="589" spans="1:41" ht="12.75" customHeight="1" x14ac:dyDescent="0.3">
      <x:c r="C589" s="777"/>
      <x:c r="D589" s="775"/>
      <x:c r="E589" s="101" t="s">
        <x:v>73</x:v>
      </x:c>
      <x:c r="F589" s="93">
        <x:f>F547</x:f>
        <x:v>0</x:v>
      </x:c>
      <x:c r="G589" s="90"/>
      <x:c r="H589" s="90"/>
      <x:c r="I589" s="90"/>
      <x:c r="J589" s="90"/>
      <x:c r="K589" s="90"/>
      <x:c r="L589" s="90"/>
      <x:c r="M589" s="90"/>
      <x:c r="N589" s="90"/>
      <x:c r="O589" s="90"/>
      <x:c r="P589" s="90"/>
      <x:c r="Q589" s="90"/>
      <x:c r="R589" s="90"/>
      <x:c r="S589" s="90"/>
    </x:row>
    <x:row r="590" spans="1:41" ht="12.75" customHeight="1" x14ac:dyDescent="0.3">
      <x:c r="C590" s="777"/>
      <x:c r="D590" s="775" t="s">
        <x:v>133</x:v>
      </x:c>
      <x:c r="E590" s="235" t="s">
        <x:v>70</x:v>
      </x:c>
      <x:c r="F590" s="236">
        <x:f>F529+F485-L485</x:f>
        <x:v>0</x:v>
      </x:c>
      <x:c r="G590" s="236">
        <x:f t="shared" ref="G590:Z590" si="30">G485</x:f>
        <x:v>0</x:v>
      </x:c>
      <x:c r="H590" s="236">
        <x:f t="shared" si="30"/>
        <x:v>0</x:v>
      </x:c>
      <x:c r="I590" s="236">
        <x:f t="shared" si="30"/>
        <x:v>0</x:v>
      </x:c>
      <x:c r="J590" s="236">
        <x:f t="shared" si="30"/>
        <x:v>0</x:v>
      </x:c>
      <x:c r="K590" s="236">
        <x:f t="shared" si="30"/>
        <x:v>0</x:v>
      </x:c>
      <x:c r="L590" s="236">
        <x:f t="shared" si="30"/>
        <x:v>0</x:v>
      </x:c>
      <x:c r="M590" s="236">
        <x:f t="shared" si="30"/>
        <x:v>0</x:v>
      </x:c>
      <x:c r="N590" s="236">
        <x:f t="shared" si="30"/>
        <x:v>0</x:v>
      </x:c>
      <x:c r="O590" s="236">
        <x:f t="shared" si="30"/>
        <x:v>0</x:v>
      </x:c>
      <x:c r="P590" s="236">
        <x:f t="shared" si="30"/>
        <x:v>0</x:v>
      </x:c>
      <x:c r="Q590" s="236">
        <x:f t="shared" si="30"/>
        <x:v>0</x:v>
      </x:c>
      <x:c r="R590" s="236">
        <x:f t="shared" si="30"/>
        <x:v>0</x:v>
      </x:c>
      <x:c r="S590" s="236">
        <x:f t="shared" si="30"/>
        <x:v>0</x:v>
      </x:c>
      <x:c r="T590" s="236">
        <x:f t="shared" si="30"/>
        <x:v>0</x:v>
      </x:c>
      <x:c r="U590" s="236">
        <x:f t="shared" si="30"/>
        <x:v>0</x:v>
      </x:c>
      <x:c r="V590" s="236">
        <x:f t="shared" si="30"/>
        <x:v>0</x:v>
      </x:c>
      <x:c r="W590" s="236">
        <x:f t="shared" si="30"/>
        <x:v>0</x:v>
      </x:c>
      <x:c r="X590" s="236">
        <x:f t="shared" si="30"/>
        <x:v>0</x:v>
      </x:c>
      <x:c r="Y590" s="236">
        <x:f t="shared" si="30"/>
        <x:v>0</x:v>
      </x:c>
      <x:c r="Z590" s="236">
        <x:f t="shared" si="30"/>
        <x:v>0</x:v>
      </x:c>
    </x:row>
    <x:row r="591" spans="1:41" ht="12.75" customHeight="1" x14ac:dyDescent="0.3">
      <x:c r="C591" s="777"/>
      <x:c r="D591" s="775"/>
      <x:c r="E591" s="235" t="s">
        <x:v>73</x:v>
      </x:c>
      <x:c r="F591" s="236">
        <x:f>F529</x:f>
        <x:v>0</x:v>
      </x:c>
      <x:c r="G591" s="90"/>
      <x:c r="H591" s="90"/>
      <x:c r="I591" s="90"/>
      <x:c r="J591" s="90"/>
      <x:c r="K591" s="90"/>
      <x:c r="L591" s="90"/>
      <x:c r="M591" s="90"/>
      <x:c r="N591" s="90"/>
      <x:c r="O591" s="90"/>
      <x:c r="P591" s="90"/>
      <x:c r="Q591" s="90"/>
      <x:c r="R591" s="90"/>
    </x:row>
    <x:row r="592" spans="1:41" ht="12.75" customHeight="1" x14ac:dyDescent="0.3">
      <x:c r="A592" s="89"/>
      <x:c r="C592" s="97"/>
      <x:c r="F592" s="90"/>
      <x:c r="G592" s="90"/>
      <x:c r="H592" s="90"/>
      <x:c r="I592" s="90"/>
      <x:c r="J592" s="90"/>
      <x:c r="K592" s="90"/>
      <x:c r="L592" s="90"/>
      <x:c r="M592" s="90"/>
      <x:c r="N592" s="90"/>
      <x:c r="O592" s="90"/>
      <x:c r="P592" s="90"/>
      <x:c r="Q592" s="90"/>
      <x:c r="R592" s="90"/>
      <x:c r="S592" s="90"/>
    </x:row>
    <x:row r="593" spans="1:41" ht="12.75" customHeight="1" x14ac:dyDescent="0.3">
      <x:c r="C593" s="776" t="s">
        <x:v>161</x:v>
      </x:c>
      <x:c r="D593" s="775" t="s">
        <x:v>132</x:v>
      </x:c>
      <x:c r="E593" s="231" t="s">
        <x:v>70</x:v>
      </x:c>
      <x:c r="F593" s="232">
        <x:v>0</x:v>
      </x:c>
      <x:c r="G593" s="232">
        <x:v>0</x:v>
      </x:c>
      <x:c r="H593" s="232">
        <x:v>0</x:v>
      </x:c>
      <x:c r="I593" s="232">
        <x:v>0</x:v>
      </x:c>
      <x:c r="J593" s="232">
        <x:v>0</x:v>
      </x:c>
      <x:c r="K593" s="232">
        <x:v>0</x:v>
      </x:c>
      <x:c r="L593" s="232">
        <x:v>0</x:v>
      </x:c>
      <x:c r="M593" s="232">
        <x:v>0</x:v>
      </x:c>
      <x:c r="N593" s="232">
        <x:v>0</x:v>
      </x:c>
      <x:c r="O593" s="232">
        <x:v>0</x:v>
      </x:c>
      <x:c r="P593" s="232">
        <x:v>0</x:v>
      </x:c>
      <x:c r="Q593" s="232">
        <x:v>0</x:v>
      </x:c>
      <x:c r="R593" s="232">
        <x:v>0</x:v>
      </x:c>
      <x:c r="S593" s="232">
        <x:v>0</x:v>
      </x:c>
      <x:c r="T593" s="232">
        <x:v>0</x:v>
      </x:c>
      <x:c r="U593" s="232">
        <x:v>0</x:v>
      </x:c>
      <x:c r="V593" s="232">
        <x:v>0</x:v>
      </x:c>
      <x:c r="W593" s="232">
        <x:v>0</x:v>
      </x:c>
      <x:c r="X593" s="232">
        <x:v>0</x:v>
      </x:c>
      <x:c r="Y593" s="232">
        <x:v>0</x:v>
      </x:c>
      <x:c r="Z593" s="232">
        <x:v>0</x:v>
      </x:c>
      <x:c r="AA593" s="232">
        <x:v>0</x:v>
      </x:c>
      <x:c r="AB593" s="232">
        <x:v>0</x:v>
      </x:c>
      <x:c r="AC593" s="232">
        <x:v>0</x:v>
      </x:c>
      <x:c r="AD593" s="232">
        <x:v>0</x:v>
      </x:c>
      <x:c r="AE593" s="232">
        <x:v>0</x:v>
      </x:c>
      <x:c r="AF593" s="232">
        <x:v>0</x:v>
      </x:c>
      <x:c r="AG593" s="232">
        <x:v>0</x:v>
      </x:c>
      <x:c r="AH593" s="232">
        <x:v>0</x:v>
      </x:c>
      <x:c r="AI593" s="232">
        <x:v>0</x:v>
      </x:c>
      <x:c r="AJ593" s="232">
        <x:v>0</x:v>
      </x:c>
      <x:c r="AK593" s="232">
        <x:v>0</x:v>
      </x:c>
      <x:c r="AL593" s="232">
        <x:v>0</x:v>
      </x:c>
      <x:c r="AM593" s="232">
        <x:v>0</x:v>
      </x:c>
      <x:c r="AN593" s="232">
        <x:v>0</x:v>
      </x:c>
      <x:c r="AO593" s="232">
        <x:v>0</x:v>
      </x:c>
    </x:row>
    <x:row r="594" spans="1:41" ht="12.75" customHeight="1" x14ac:dyDescent="0.3">
      <x:c r="C594" s="776"/>
      <x:c r="D594" s="775"/>
      <x:c r="E594" s="231" t="s">
        <x:v>73</x:v>
      </x:c>
      <x:c r="F594" s="232">
        <x:v>0</x:v>
      </x:c>
      <x:c r="G594" s="90"/>
      <x:c r="H594" s="90"/>
      <x:c r="I594" s="90"/>
      <x:c r="J594" s="90"/>
      <x:c r="K594" s="90"/>
      <x:c r="L594" s="90"/>
      <x:c r="M594" s="90"/>
      <x:c r="N594" s="90"/>
      <x:c r="O594" s="90"/>
      <x:c r="P594" s="90"/>
      <x:c r="Q594" s="90"/>
      <x:c r="R594" s="90"/>
      <x:c r="S594" s="90"/>
    </x:row>
    <x:row r="595" spans="1:41" ht="12.75" customHeight="1" x14ac:dyDescent="0.3">
      <x:c r="C595" s="776"/>
      <x:c r="E595" s="148" t="s">
        <x:v>70</x:v>
      </x:c>
      <x:c r="F595" s="149">
        <x:v>0</x:v>
      </x:c>
      <x:c r="G595" s="149">
        <x:v>0</x:v>
      </x:c>
      <x:c r="H595" s="149">
        <x:v>0</x:v>
      </x:c>
      <x:c r="I595" s="149">
        <x:v>0</x:v>
      </x:c>
      <x:c r="J595" s="149">
        <x:v>0</x:v>
      </x:c>
      <x:c r="K595" s="149">
        <x:v>0</x:v>
      </x:c>
      <x:c r="L595" s="149">
        <x:v>0</x:v>
      </x:c>
      <x:c r="M595" s="149">
        <x:v>0</x:v>
      </x:c>
      <x:c r="N595" s="149">
        <x:v>0</x:v>
      </x:c>
      <x:c r="O595" s="149">
        <x:v>0</x:v>
      </x:c>
      <x:c r="P595" s="149">
        <x:v>0</x:v>
      </x:c>
      <x:c r="Q595" s="149">
        <x:v>0</x:v>
      </x:c>
      <x:c r="R595" s="149">
        <x:v>0</x:v>
      </x:c>
      <x:c r="S595" s="149">
        <x:v>0</x:v>
      </x:c>
      <x:c r="T595" s="149">
        <x:v>0</x:v>
      </x:c>
      <x:c r="U595" s="149">
        <x:v>0</x:v>
      </x:c>
      <x:c r="V595" s="149">
        <x:v>0</x:v>
      </x:c>
      <x:c r="W595" s="149">
        <x:v>0</x:v>
      </x:c>
      <x:c r="X595" s="149">
        <x:v>0</x:v>
      </x:c>
      <x:c r="Y595" s="149">
        <x:v>0</x:v>
      </x:c>
      <x:c r="Z595" s="149">
        <x:v>0</x:v>
      </x:c>
    </x:row>
    <x:row r="596" spans="1:41" ht="12.75" customHeight="1" x14ac:dyDescent="0.3">
      <x:c r="C596" s="776"/>
      <x:c r="D596" s="220" t="s">
        <x:v>132</x:v>
      </x:c>
      <x:c r="E596" s="148" t="s">
        <x:v>73</x:v>
      </x:c>
      <x:c r="F596" s="149">
        <x:v>0</x:v>
      </x:c>
      <x:c r="G596" s="90"/>
      <x:c r="H596" s="90"/>
      <x:c r="I596" s="90"/>
      <x:c r="J596" s="90"/>
      <x:c r="K596" s="90"/>
      <x:c r="L596" s="90"/>
      <x:c r="M596" s="90"/>
      <x:c r="N596" s="90"/>
      <x:c r="O596" s="90"/>
      <x:c r="P596" s="90"/>
      <x:c r="Q596" s="90"/>
      <x:c r="R596" s="90"/>
    </x:row>
    <x:row r="597" spans="1:41" ht="12.75" customHeight="1" x14ac:dyDescent="0.3">
      <x:c r="C597" s="388"/>
      <x:c r="D597" s="220"/>
      <x:c r="E597" s="89"/>
      <x:c r="F597" s="90"/>
      <x:c r="G597" s="90"/>
      <x:c r="H597" s="90"/>
      <x:c r="I597" s="90"/>
      <x:c r="J597" s="90"/>
      <x:c r="K597" s="90"/>
      <x:c r="L597" s="90"/>
      <x:c r="M597" s="90"/>
      <x:c r="N597" s="90"/>
      <x:c r="O597" s="90"/>
      <x:c r="P597" s="90"/>
      <x:c r="Q597" s="90"/>
      <x:c r="R597" s="90"/>
    </x:row>
    <x:row r="598" spans="1:41" ht="12.75" customHeight="1" x14ac:dyDescent="0.3">
      <x:c r="D598" s="458" t="s">
        <x:v>186</x:v>
      </x:c>
      <x:c r="E598" s="459" t="s">
        <x:v>70</x:v>
      </x:c>
      <x:c r="F598" s="460">
        <x:f>F460</x:f>
        <x:v>0</x:v>
      </x:c>
      <x:c r="G598" s="460">
        <x:f t="shared" ref="G598:Z598" si="31">G460</x:f>
        <x:v>0</x:v>
      </x:c>
      <x:c r="H598" s="460">
        <x:f t="shared" si="31"/>
        <x:v>0</x:v>
      </x:c>
      <x:c r="I598" s="460">
        <x:f t="shared" si="31"/>
        <x:v>0</x:v>
      </x:c>
      <x:c r="J598" s="460">
        <x:f t="shared" si="31"/>
        <x:v>0</x:v>
      </x:c>
      <x:c r="K598" s="460">
        <x:f t="shared" si="31"/>
        <x:v>0</x:v>
      </x:c>
      <x:c r="L598" s="460">
        <x:f t="shared" si="31"/>
        <x:v>0</x:v>
      </x:c>
      <x:c r="M598" s="460">
        <x:f t="shared" si="31"/>
        <x:v>0</x:v>
      </x:c>
      <x:c r="N598" s="460">
        <x:f t="shared" si="31"/>
        <x:v>0</x:v>
      </x:c>
      <x:c r="O598" s="460">
        <x:f t="shared" si="31"/>
        <x:v>0</x:v>
      </x:c>
      <x:c r="P598" s="460">
        <x:f t="shared" si="31"/>
        <x:v>0</x:v>
      </x:c>
      <x:c r="Q598" s="460">
        <x:f t="shared" si="31"/>
        <x:v>0</x:v>
      </x:c>
      <x:c r="R598" s="460">
        <x:f t="shared" si="31"/>
        <x:v>0</x:v>
      </x:c>
      <x:c r="S598" s="460">
        <x:f t="shared" si="31"/>
        <x:v>0</x:v>
      </x:c>
      <x:c r="T598" s="460">
        <x:f t="shared" si="31"/>
        <x:v>0</x:v>
      </x:c>
      <x:c r="U598" s="460">
        <x:f t="shared" si="31"/>
        <x:v>0</x:v>
      </x:c>
      <x:c r="V598" s="460">
        <x:f t="shared" si="31"/>
        <x:v>0</x:v>
      </x:c>
      <x:c r="W598" s="460">
        <x:f t="shared" si="31"/>
        <x:v>0</x:v>
      </x:c>
      <x:c r="X598" s="460">
        <x:f t="shared" si="31"/>
        <x:v>0</x:v>
      </x:c>
      <x:c r="Y598" s="460">
        <x:f t="shared" si="31"/>
        <x:v>0</x:v>
      </x:c>
      <x:c r="Z598" s="460">
        <x:f t="shared" si="31"/>
        <x:v>0</x:v>
      </x:c>
    </x:row>
    <x:row r="599" spans="1:41" ht="12.75" customHeight="1" x14ac:dyDescent="0.3">
      <x:c r="C599" s="388"/>
      <x:c r="D599" s="220"/>
      <x:c r="E599" s="89"/>
      <x:c r="F599" s="90"/>
      <x:c r="G599" s="90"/>
      <x:c r="H599" s="90"/>
      <x:c r="I599" s="90"/>
      <x:c r="J599" s="90"/>
      <x:c r="K599" s="90"/>
      <x:c r="L599" s="90"/>
      <x:c r="M599" s="90"/>
      <x:c r="N599" s="90"/>
      <x:c r="O599" s="90"/>
      <x:c r="P599" s="90"/>
      <x:c r="Q599" s="90"/>
      <x:c r="R599" s="90"/>
    </x:row>
    <x:row r="600" spans="1:41" s="238" customFormat="1" ht="12.75" customHeight="1" x14ac:dyDescent="0.3">
      <x:c r="D600" s="239"/>
      <x:c r="E600" s="240"/>
      <x:c r="F600" s="240"/>
      <x:c r="G600" s="240"/>
      <x:c r="H600" s="240"/>
      <x:c r="I600" s="240"/>
      <x:c r="J600" s="240"/>
      <x:c r="K600" s="240"/>
      <x:c r="L600" s="240"/>
      <x:c r="M600" s="240"/>
      <x:c r="N600" s="240"/>
      <x:c r="O600" s="240"/>
      <x:c r="P600" s="240"/>
      <x:c r="Q600" s="240"/>
    </x:row>
    <x:row r="601" spans="1:41" ht="12.65" customHeight="1" x14ac:dyDescent="0.3">
      <x:c r="A601" s="89"/>
      <x:c r="B601" s="97" t="s">
        <x:v>93</x:v>
      </x:c>
      <x:c r="E601" s="90"/>
      <x:c r="F601" s="90"/>
      <x:c r="G601" s="90"/>
      <x:c r="H601" s="90"/>
      <x:c r="I601" s="90"/>
      <x:c r="J601" s="90"/>
      <x:c r="K601" s="90"/>
      <x:c r="L601" s="90"/>
      <x:c r="M601" s="90"/>
      <x:c r="N601" s="90"/>
      <x:c r="O601" s="90"/>
      <x:c r="P601" s="90"/>
      <x:c r="Q601" s="90"/>
    </x:row>
    <x:row r="602" spans="1:41" ht="12.75" customHeight="1" x14ac:dyDescent="0.3">
      <x:c r="F602" s="89" t="s">
        <x:v>70</x:v>
      </x:c>
      <x:c r="G602" s="89" t="s">
        <x:v>64</x:v>
      </x:c>
      <x:c r="H602" s="89" t="s">
        <x:v>65</x:v>
      </x:c>
      <x:c r="I602" s="218" t="s">
        <x:v>164</x:v>
      </x:c>
      <x:c r="J602" s="89" t="s">
        <x:v>69</x:v>
      </x:c>
      <x:c r="K602" s="89" t="s">
        <x:v>68</x:v>
      </x:c>
      <x:c r="L602" s="89" t="s">
        <x:v>71</x:v>
      </x:c>
      <x:c r="M602" s="89" t="s">
        <x:v>66</x:v>
      </x:c>
      <x:c r="N602" s="89" t="s">
        <x:v>63</x:v>
      </x:c>
      <x:c r="O602" s="89" t="s">
        <x:v>61</x:v>
      </x:c>
      <x:c r="P602" s="89" t="s">
        <x:v>62</x:v>
      </x:c>
      <x:c r="Q602" s="89" t="s">
        <x:v>67</x:v>
      </x:c>
      <x:c r="R602" s="89" t="s">
        <x:v>77</x:v>
      </x:c>
      <x:c r="S602" s="89" t="s">
        <x:v>80</x:v>
      </x:c>
      <x:c r="T602" s="89" t="s">
        <x:v>135</x:v>
      </x:c>
      <x:c r="U602" s="89" t="s">
        <x:v>173</x:v>
      </x:c>
      <x:c r="V602" s="89" t="s">
        <x:v>222</x:v>
      </x:c>
      <x:c r="W602" s="89" t="s">
        <x:v>173</x:v>
      </x:c>
      <x:c r="X602" t="s">
        <x:v>173</x:v>
      </x:c>
      <x:c r="Y602" s="89" t="s">
        <x:v>135</x:v>
      </x:c>
      <x:c r="Z602" t="s">
        <x:v>167</x:v>
      </x:c>
    </x:row>
    <x:row r="603" spans="1:41" x14ac:dyDescent="0.3">
      <x:c r="E603" t="s">
        <x:v>72</x:v>
      </x:c>
      <x:c r="F603" s="90">
        <x:v>0</x:v>
      </x:c>
      <x:c r="G603" s="90">
        <x:v>0</x:v>
      </x:c>
      <x:c r="H603" s="90">
        <x:v>0</x:v>
      </x:c>
      <x:c r="I603" s="90">
        <x:v>0</x:v>
      </x:c>
      <x:c r="J603" s="90">
        <x:v>0</x:v>
      </x:c>
      <x:c r="K603" s="90">
        <x:v>0</x:v>
      </x:c>
      <x:c r="L603" s="90">
        <x:v>0</x:v>
      </x:c>
      <x:c r="M603" s="90">
        <x:v>0</x:v>
      </x:c>
      <x:c r="N603" s="90">
        <x:v>0</x:v>
      </x:c>
      <x:c r="O603" s="90">
        <x:v>0</x:v>
      </x:c>
      <x:c r="P603" s="90">
        <x:v>0</x:v>
      </x:c>
      <x:c r="Q603" s="90">
        <x:v>0</x:v>
      </x:c>
      <x:c r="R603" s="90">
        <x:v>0</x:v>
      </x:c>
      <x:c r="S603" s="90">
        <x:v>0</x:v>
      </x:c>
      <x:c r="T603" s="90">
        <x:v>0</x:v>
      </x:c>
      <x:c r="U603">
        <x:v>0</x:v>
      </x:c>
      <x:c r="V603">
        <x:v>0</x:v>
      </x:c>
      <x:c r="W603">
        <x:v>0</x:v>
      </x:c>
      <x:c r="X603">
        <x:v>0</x:v>
      </x:c>
      <x:c r="Y603">
        <x:v>0</x:v>
      </x:c>
      <x:c r="Z603" s="90">
        <x:v>0</x:v>
      </x:c>
    </x:row>
    <x:row r="604" spans="1:41" x14ac:dyDescent="0.3">
      <x:c r="D604" t="s">
        <x:v>156</x:v>
      </x:c>
      <x:c r="E604" t="s">
        <x:v>70</x:v>
      </x:c>
      <x:c r="F604" s="90">
        <x:v>0</x:v>
      </x:c>
      <x:c r="G604" s="90">
        <x:v>0</x:v>
      </x:c>
      <x:c r="H604" s="90">
        <x:v>0</x:v>
      </x:c>
      <x:c r="I604" s="90">
        <x:v>0</x:v>
      </x:c>
      <x:c r="J604" s="90">
        <x:v>0</x:v>
      </x:c>
      <x:c r="K604" s="90">
        <x:v>0</x:v>
      </x:c>
      <x:c r="L604" s="90">
        <x:v>0</x:v>
      </x:c>
      <x:c r="M604" s="90">
        <x:v>0</x:v>
      </x:c>
      <x:c r="N604" s="90">
        <x:v>0</x:v>
      </x:c>
      <x:c r="O604" s="90">
        <x:v>0</x:v>
      </x:c>
      <x:c r="P604" s="90">
        <x:v>0</x:v>
      </x:c>
      <x:c r="Q604" s="90">
        <x:v>0</x:v>
      </x:c>
      <x:c r="R604" s="90">
        <x:v>0</x:v>
      </x:c>
      <x:c r="S604" s="90">
        <x:v>0</x:v>
      </x:c>
      <x:c r="T604" s="90">
        <x:v>0</x:v>
      </x:c>
      <x:c r="U604">
        <x:v>0</x:v>
      </x:c>
      <x:c r="V604">
        <x:v>0</x:v>
      </x:c>
      <x:c r="W604">
        <x:v>0</x:v>
      </x:c>
      <x:c r="X604">
        <x:v>0</x:v>
      </x:c>
      <x:c r="Y604">
        <x:v>0</x:v>
      </x:c>
      <x:c r="Z604" s="90">
        <x:v>0</x:v>
      </x:c>
    </x:row>
    <x:row r="605" spans="1:41" s="286" customFormat="1" x14ac:dyDescent="0.3">
      <x:c r="C605" s="286" t="s">
        <x:v>155</x:v>
      </x:c>
      <x:c r="D605" s="286" t="s">
        <x:v>70</x:v>
      </x:c>
      <x:c r="F605" s="230">
        <x:v>0</x:v>
      </x:c>
      <x:c r="G605" s="230">
        <x:v>0</x:v>
      </x:c>
      <x:c r="H605" s="230">
        <x:v>0</x:v>
      </x:c>
      <x:c r="I605" s="230">
        <x:v>0</x:v>
      </x:c>
      <x:c r="J605" s="230">
        <x:v>0</x:v>
      </x:c>
      <x:c r="K605" s="230">
        <x:v>0</x:v>
      </x:c>
      <x:c r="L605" s="230">
        <x:v>0</x:v>
      </x:c>
      <x:c r="M605" s="230">
        <x:v>0</x:v>
      </x:c>
      <x:c r="N605" s="230">
        <x:v>0</x:v>
      </x:c>
      <x:c r="O605" s="230">
        <x:v>0</x:v>
      </x:c>
      <x:c r="P605" s="230">
        <x:v>0</x:v>
      </x:c>
      <x:c r="Q605" s="230">
        <x:v>0</x:v>
      </x:c>
      <x:c r="R605" s="230">
        <x:v>0</x:v>
      </x:c>
      <x:c r="S605" s="230">
        <x:v>0</x:v>
      </x:c>
      <x:c r="T605" s="230">
        <x:v>0</x:v>
      </x:c>
      <x:c r="U605" s="286">
        <x:v>0</x:v>
      </x:c>
      <x:c r="V605" s="286">
        <x:v>0</x:v>
      </x:c>
      <x:c r="W605" s="286">
        <x:v>0</x:v>
      </x:c>
      <x:c r="X605" s="286">
        <x:v>0</x:v>
      </x:c>
      <x:c r="Y605" s="286">
        <x:v>0</x:v>
      </x:c>
      <x:c r="Z605" s="230">
        <x:v>0</x:v>
      </x:c>
    </x:row>
    <x:row r="606" spans="1:41" ht="12.75" customHeight="1" x14ac:dyDescent="0.3">
      <x:c r="E606" s="89" t="s">
        <x:v>72</x:v>
      </x:c>
      <x:c r="F606" s="371">
        <x:v>0</x:v>
      </x:c>
      <x:c r="G606" s="90">
        <x:v>0</x:v>
      </x:c>
      <x:c r="H606" s="90">
        <x:v>0</x:v>
      </x:c>
      <x:c r="I606" s="90">
        <x:v>0</x:v>
      </x:c>
      <x:c r="J606" s="90">
        <x:v>0</x:v>
      </x:c>
      <x:c r="K606" s="90">
        <x:v>0</x:v>
      </x:c>
      <x:c r="L606" s="90">
        <x:v>0</x:v>
      </x:c>
      <x:c r="M606" s="90">
        <x:v>0</x:v>
      </x:c>
      <x:c r="N606" s="90">
        <x:v>0</x:v>
      </x:c>
      <x:c r="O606" s="90">
        <x:v>0</x:v>
      </x:c>
      <x:c r="P606" s="90">
        <x:v>0</x:v>
      </x:c>
      <x:c r="Q606" s="90">
        <x:v>0</x:v>
      </x:c>
      <x:c r="R606" s="90">
        <x:v>0</x:v>
      </x:c>
      <x:c r="S606" s="90">
        <x:v>0</x:v>
      </x:c>
      <x:c r="T606" s="90">
        <x:v>0</x:v>
      </x:c>
      <x:c r="U606" s="90">
        <x:v>0</x:v>
      </x:c>
      <x:c r="V606" s="90">
        <x:v>0</x:v>
      </x:c>
      <x:c r="W606" s="90">
        <x:v>0</x:v>
      </x:c>
      <x:c r="X606" s="90">
        <x:v>0</x:v>
      </x:c>
      <x:c r="Y606" s="90">
        <x:v>0</x:v>
      </x:c>
      <x:c r="Z606" s="90">
        <x:v>0</x:v>
      </x:c>
    </x:row>
    <x:row r="607" spans="1:41" ht="12.75" customHeight="1" x14ac:dyDescent="0.3">
      <x:c r="D607" t="s">
        <x:v>82</x:v>
      </x:c>
      <x:c r="E607" s="89" t="s">
        <x:v>70</x:v>
      </x:c>
      <x:c r="F607" s="371">
        <x:v>0</x:v>
      </x:c>
      <x:c r="G607" s="90">
        <x:v>0</x:v>
      </x:c>
      <x:c r="H607" s="90">
        <x:v>0</x:v>
      </x:c>
      <x:c r="I607" s="90">
        <x:v>0</x:v>
      </x:c>
      <x:c r="J607" s="90">
        <x:v>0</x:v>
      </x:c>
      <x:c r="K607" s="90">
        <x:v>0</x:v>
      </x:c>
      <x:c r="L607" s="90">
        <x:v>0</x:v>
      </x:c>
      <x:c r="M607" s="90">
        <x:v>0</x:v>
      </x:c>
      <x:c r="N607" s="90">
        <x:v>0</x:v>
      </x:c>
      <x:c r="O607" s="90">
        <x:v>0</x:v>
      </x:c>
      <x:c r="P607" s="90">
        <x:v>0</x:v>
      </x:c>
      <x:c r="Q607" s="90">
        <x:v>0</x:v>
      </x:c>
      <x:c r="R607" s="90">
        <x:v>0</x:v>
      </x:c>
      <x:c r="S607" s="90">
        <x:v>0</x:v>
      </x:c>
      <x:c r="T607" s="90">
        <x:v>0</x:v>
      </x:c>
      <x:c r="U607" s="90">
        <x:v>0</x:v>
      </x:c>
      <x:c r="V607" s="90">
        <x:v>0</x:v>
      </x:c>
      <x:c r="W607" s="90">
        <x:v>0</x:v>
      </x:c>
      <x:c r="X607" s="90">
        <x:v>0</x:v>
      </x:c>
      <x:c r="Y607" s="90">
        <x:v>0</x:v>
      </x:c>
      <x:c r="Z607" s="90">
        <x:v>0</x:v>
      </x:c>
    </x:row>
    <x:row r="608" spans="1:41" ht="12.75" customHeight="1" x14ac:dyDescent="0.3">
      <x:c r="E608" s="89" t="s">
        <x:v>72</x:v>
      </x:c>
      <x:c r="F608" s="371">
        <x:v>0</x:v>
      </x:c>
      <x:c r="G608" s="90">
        <x:v>0</x:v>
      </x:c>
      <x:c r="H608" s="90">
        <x:v>0</x:v>
      </x:c>
      <x:c r="I608" s="90">
        <x:v>0</x:v>
      </x:c>
      <x:c r="J608" s="90">
        <x:v>0</x:v>
      </x:c>
      <x:c r="K608" s="90">
        <x:v>0</x:v>
      </x:c>
      <x:c r="L608" s="90">
        <x:v>0</x:v>
      </x:c>
      <x:c r="M608" s="90">
        <x:v>0</x:v>
      </x:c>
      <x:c r="N608" s="90">
        <x:v>0</x:v>
      </x:c>
      <x:c r="O608" s="90">
        <x:v>0</x:v>
      </x:c>
      <x:c r="P608" s="90">
        <x:v>0</x:v>
      </x:c>
      <x:c r="Q608" s="90">
        <x:v>0</x:v>
      </x:c>
      <x:c r="R608" s="90">
        <x:v>0</x:v>
      </x:c>
      <x:c r="S608" s="90">
        <x:v>0</x:v>
      </x:c>
      <x:c r="T608" s="90">
        <x:v>0</x:v>
      </x:c>
      <x:c r="U608" s="90">
        <x:v>0</x:v>
      </x:c>
      <x:c r="V608" s="90">
        <x:v>0</x:v>
      </x:c>
      <x:c r="W608" s="90">
        <x:v>0</x:v>
      </x:c>
      <x:c r="X608" s="90">
        <x:v>0</x:v>
      </x:c>
      <x:c r="Y608" s="90">
        <x:v>0</x:v>
      </x:c>
      <x:c r="Z608" s="90">
        <x:v>0</x:v>
      </x:c>
    </x:row>
    <x:row r="609" spans="1:26" ht="12.75" customHeight="1" x14ac:dyDescent="0.3">
      <x:c r="D609" t="s">
        <x:v>86</x:v>
      </x:c>
      <x:c r="E609" s="89" t="s">
        <x:v>70</x:v>
      </x:c>
      <x:c r="F609" s="371">
        <x:v>0</x:v>
      </x:c>
      <x:c r="G609" s="90">
        <x:v>0</x:v>
      </x:c>
      <x:c r="H609" s="90">
        <x:v>0</x:v>
      </x:c>
      <x:c r="I609" s="90">
        <x:v>0</x:v>
      </x:c>
      <x:c r="J609" s="90">
        <x:v>0</x:v>
      </x:c>
      <x:c r="K609" s="90">
        <x:v>0</x:v>
      </x:c>
      <x:c r="L609" s="90">
        <x:v>0</x:v>
      </x:c>
      <x:c r="M609" s="90">
        <x:v>0</x:v>
      </x:c>
      <x:c r="N609" s="90">
        <x:v>0</x:v>
      </x:c>
      <x:c r="O609" s="90">
        <x:v>0</x:v>
      </x:c>
      <x:c r="P609" s="90">
        <x:v>0</x:v>
      </x:c>
      <x:c r="Q609" s="90">
        <x:v>0</x:v>
      </x:c>
      <x:c r="R609" s="90">
        <x:v>0</x:v>
      </x:c>
      <x:c r="S609" s="90">
        <x:v>0</x:v>
      </x:c>
      <x:c r="T609" s="90">
        <x:v>0</x:v>
      </x:c>
      <x:c r="U609" s="90">
        <x:v>0</x:v>
      </x:c>
      <x:c r="V609" s="90">
        <x:v>0</x:v>
      </x:c>
      <x:c r="W609" s="90">
        <x:v>0</x:v>
      </x:c>
      <x:c r="X609" s="90">
        <x:v>0</x:v>
      </x:c>
      <x:c r="Y609" s="90">
        <x:v>0</x:v>
      </x:c>
      <x:c r="Z609" s="90">
        <x:v>0</x:v>
      </x:c>
    </x:row>
    <x:row r="610" spans="1:26" ht="12.75" customHeight="1" x14ac:dyDescent="0.3">
      <x:c r="E610" s="89" t="s">
        <x:v>72</x:v>
      </x:c>
      <x:c r="F610" s="371">
        <x:v>0</x:v>
      </x:c>
      <x:c r="G610" s="90">
        <x:v>0</x:v>
      </x:c>
      <x:c r="H610" s="90">
        <x:v>0</x:v>
      </x:c>
      <x:c r="I610" s="90">
        <x:v>0</x:v>
      </x:c>
      <x:c r="J610" s="90">
        <x:v>0</x:v>
      </x:c>
      <x:c r="K610" s="90">
        <x:v>0</x:v>
      </x:c>
      <x:c r="L610" s="90">
        <x:v>0</x:v>
      </x:c>
      <x:c r="M610" s="90">
        <x:v>0</x:v>
      </x:c>
      <x:c r="N610" s="90">
        <x:v>0</x:v>
      </x:c>
      <x:c r="O610" s="90">
        <x:v>0</x:v>
      </x:c>
      <x:c r="P610" s="90">
        <x:v>0</x:v>
      </x:c>
      <x:c r="Q610" s="90">
        <x:v>0</x:v>
      </x:c>
      <x:c r="R610" s="90">
        <x:v>0</x:v>
      </x:c>
      <x:c r="S610" s="90">
        <x:v>0</x:v>
      </x:c>
      <x:c r="T610" s="90">
        <x:v>0</x:v>
      </x:c>
      <x:c r="U610" s="90">
        <x:v>0</x:v>
      </x:c>
      <x:c r="V610" s="90">
        <x:v>0</x:v>
      </x:c>
      <x:c r="W610" s="90">
        <x:v>0</x:v>
      </x:c>
      <x:c r="X610" s="90">
        <x:v>0</x:v>
      </x:c>
      <x:c r="Y610" s="90">
        <x:v>0</x:v>
      </x:c>
      <x:c r="Z610" s="90">
        <x:v>0</x:v>
      </x:c>
    </x:row>
    <x:row r="611" spans="1:26" ht="12.75" customHeight="1" x14ac:dyDescent="0.3">
      <x:c r="D611" t="s">
        <x:v>87</x:v>
      </x:c>
      <x:c r="E611" s="89" t="s">
        <x:v>70</x:v>
      </x:c>
      <x:c r="F611" s="371">
        <x:v>0</x:v>
      </x:c>
      <x:c r="G611" s="90">
        <x:v>0</x:v>
      </x:c>
      <x:c r="H611" s="90">
        <x:v>0</x:v>
      </x:c>
      <x:c r="I611" s="90">
        <x:v>0</x:v>
      </x:c>
      <x:c r="J611" s="90">
        <x:v>0</x:v>
      </x:c>
      <x:c r="K611" s="90">
        <x:v>0</x:v>
      </x:c>
      <x:c r="L611" s="90">
        <x:v>0</x:v>
      </x:c>
      <x:c r="M611" s="90">
        <x:v>0</x:v>
      </x:c>
      <x:c r="N611" s="90">
        <x:v>0</x:v>
      </x:c>
      <x:c r="O611" s="90">
        <x:v>0</x:v>
      </x:c>
      <x:c r="P611" s="90">
        <x:v>0</x:v>
      </x:c>
      <x:c r="Q611" s="90">
        <x:v>0</x:v>
      </x:c>
      <x:c r="R611" s="90">
        <x:v>0</x:v>
      </x:c>
      <x:c r="S611" s="90">
        <x:v>0</x:v>
      </x:c>
      <x:c r="T611" s="90">
        <x:v>0</x:v>
      </x:c>
      <x:c r="U611" s="90">
        <x:v>0</x:v>
      </x:c>
      <x:c r="V611" s="90">
        <x:v>0</x:v>
      </x:c>
      <x:c r="W611" s="90">
        <x:v>0</x:v>
      </x:c>
      <x:c r="X611" s="90">
        <x:v>0</x:v>
      </x:c>
      <x:c r="Y611" s="90">
        <x:v>0</x:v>
      </x:c>
      <x:c r="Z611" s="90">
        <x:v>0</x:v>
      </x:c>
    </x:row>
    <x:row r="612" spans="1:26" s="94" customFormat="1" ht="12.75" customHeight="1" x14ac:dyDescent="0.3">
      <x:c r="C612" s="101" t="s">
        <x:v>119</x:v>
      </x:c>
      <x:c r="D612" s="101" t="s">
        <x:v>70</x:v>
      </x:c>
      <x:c r="F612" s="93">
        <x:v>0</x:v>
      </x:c>
      <x:c r="G612" s="93">
        <x:v>0</x:v>
      </x:c>
      <x:c r="H612" s="93">
        <x:v>0</x:v>
      </x:c>
      <x:c r="I612" s="93">
        <x:v>0</x:v>
      </x:c>
      <x:c r="J612" s="93">
        <x:v>0</x:v>
      </x:c>
      <x:c r="K612" s="93">
        <x:v>0</x:v>
      </x:c>
      <x:c r="L612" s="93">
        <x:v>0</x:v>
      </x:c>
      <x:c r="M612" s="93">
        <x:v>0</x:v>
      </x:c>
      <x:c r="N612" s="93">
        <x:v>0</x:v>
      </x:c>
      <x:c r="O612" s="93">
        <x:v>0</x:v>
      </x:c>
      <x:c r="P612" s="93">
        <x:v>0</x:v>
      </x:c>
      <x:c r="Q612" s="93">
        <x:v>0</x:v>
      </x:c>
      <x:c r="R612" s="93">
        <x:v>0</x:v>
      </x:c>
      <x:c r="S612" s="93">
        <x:v>0</x:v>
      </x:c>
      <x:c r="T612" s="93">
        <x:v>0</x:v>
      </x:c>
      <x:c r="U612" s="93">
        <x:v>0</x:v>
      </x:c>
      <x:c r="V612" s="93">
        <x:v>0</x:v>
      </x:c>
      <x:c r="W612" s="93">
        <x:v>0</x:v>
      </x:c>
      <x:c r="X612" s="93">
        <x:v>0</x:v>
      </x:c>
      <x:c r="Y612" s="93">
        <x:v>0</x:v>
      </x:c>
      <x:c r="Z612" s="93">
        <x:v>0</x:v>
      </x:c>
    </x:row>
    <x:row r="613" spans="1:26" ht="12.75" customHeight="1" x14ac:dyDescent="0.3">
      <x:c r="B613" t="s">
        <x:v>112</x:v>
      </x:c>
      <x:c r="C613" t="s">
        <x:v>70</x:v>
      </x:c>
      <x:c r="E613" s="89"/>
      <x:c r="F613" s="371">
        <x:v>0</x:v>
      </x:c>
      <x:c r="G613" s="90">
        <x:v>0</x:v>
      </x:c>
      <x:c r="H613" s="90">
        <x:v>0</x:v>
      </x:c>
      <x:c r="I613" s="90">
        <x:v>0</x:v>
      </x:c>
      <x:c r="J613" s="90">
        <x:v>0</x:v>
      </x:c>
      <x:c r="K613" s="90">
        <x:v>0</x:v>
      </x:c>
      <x:c r="L613" s="90">
        <x:v>0</x:v>
      </x:c>
      <x:c r="M613" s="90">
        <x:v>0</x:v>
      </x:c>
      <x:c r="N613" s="90">
        <x:v>0</x:v>
      </x:c>
      <x:c r="O613" s="90">
        <x:v>0</x:v>
      </x:c>
      <x:c r="P613" s="90">
        <x:v>0</x:v>
      </x:c>
      <x:c r="Q613" s="90">
        <x:v>0</x:v>
      </x:c>
      <x:c r="R613" s="90">
        <x:v>0</x:v>
      </x:c>
      <x:c r="S613" s="90">
        <x:v>0</x:v>
      </x:c>
      <x:c r="T613" s="90">
        <x:v>0</x:v>
      </x:c>
      <x:c r="U613" s="90">
        <x:v>0</x:v>
      </x:c>
      <x:c r="V613" s="90">
        <x:v>0</x:v>
      </x:c>
      <x:c r="W613" s="90">
        <x:v>0</x:v>
      </x:c>
      <x:c r="X613" s="90">
        <x:v>0</x:v>
      </x:c>
      <x:c r="Y613" s="90">
        <x:v>0</x:v>
      </x:c>
      <x:c r="Z613" s="90">
        <x:v>0</x:v>
      </x:c>
    </x:row>
    <x:row r="614" spans="1:26" s="458" customFormat="1" ht="12.75" customHeight="1" x14ac:dyDescent="0.3">
      <x:c r="A614" s="458" t="s">
        <x:v>186</x:v>
      </x:c>
      <x:c r="B614" s="458" t="s">
        <x:v>70</x:v>
      </x:c>
      <x:c r="F614" s="458">
        <x:v>0</x:v>
      </x:c>
      <x:c r="G614" s="458">
        <x:v>0</x:v>
      </x:c>
      <x:c r="H614" s="458">
        <x:v>0</x:v>
      </x:c>
      <x:c r="I614" s="458">
        <x:v>0</x:v>
      </x:c>
      <x:c r="J614" s="458">
        <x:v>0</x:v>
      </x:c>
      <x:c r="K614" s="458">
        <x:v>0</x:v>
      </x:c>
      <x:c r="L614" s="458">
        <x:v>0</x:v>
      </x:c>
      <x:c r="M614" s="458">
        <x:v>0</x:v>
      </x:c>
      <x:c r="N614" s="458">
        <x:v>0</x:v>
      </x:c>
      <x:c r="O614" s="458">
        <x:v>0</x:v>
      </x:c>
      <x:c r="P614" s="458">
        <x:v>0</x:v>
      </x:c>
      <x:c r="Q614" s="458">
        <x:v>0</x:v>
      </x:c>
      <x:c r="R614" s="458">
        <x:v>0</x:v>
      </x:c>
      <x:c r="S614" s="458">
        <x:v>0</x:v>
      </x:c>
      <x:c r="T614" s="458">
        <x:v>0</x:v>
      </x:c>
      <x:c r="U614" s="458">
        <x:v>0</x:v>
      </x:c>
      <x:c r="V614" s="458">
        <x:v>0</x:v>
      </x:c>
      <x:c r="W614" s="458">
        <x:v>0</x:v>
      </x:c>
      <x:c r="X614" s="458">
        <x:v>0</x:v>
      </x:c>
      <x:c r="Y614" s="458">
        <x:v>0</x:v>
      </x:c>
      <x:c r="Z614" s="458">
        <x:v>0</x:v>
      </x:c>
    </x:row>
    <x:row r="615" spans="1:26" x14ac:dyDescent="0.3">
      <x:c r="E615" t="s">
        <x:v>72</x:v>
      </x:c>
      <x:c r="F615" s="90">
        <x:v>0</x:v>
      </x:c>
      <x:c r="G615" s="90">
        <x:v>0</x:v>
      </x:c>
      <x:c r="H615" s="90">
        <x:v>0</x:v>
      </x:c>
      <x:c r="I615" s="90">
        <x:v>0</x:v>
      </x:c>
      <x:c r="J615" s="90">
        <x:v>0</x:v>
      </x:c>
      <x:c r="K615" s="90">
        <x:v>0</x:v>
      </x:c>
      <x:c r="L615" s="90">
        <x:v>0</x:v>
      </x:c>
      <x:c r="M615" s="90">
        <x:v>0</x:v>
      </x:c>
      <x:c r="N615" s="90">
        <x:v>0</x:v>
      </x:c>
      <x:c r="O615" s="90">
        <x:v>0</x:v>
      </x:c>
      <x:c r="P615" s="90">
        <x:v>0</x:v>
      </x:c>
      <x:c r="Q615" s="90">
        <x:v>0</x:v>
      </x:c>
      <x:c r="R615" s="90">
        <x:v>0</x:v>
      </x:c>
      <x:c r="S615" s="90">
        <x:v>0</x:v>
      </x:c>
      <x:c r="T615" s="90">
        <x:v>0</x:v>
      </x:c>
      <x:c r="U615">
        <x:v>0</x:v>
      </x:c>
      <x:c r="V615">
        <x:v>0</x:v>
      </x:c>
      <x:c r="W615">
        <x:v>0</x:v>
      </x:c>
      <x:c r="X615">
        <x:v>0</x:v>
      </x:c>
      <x:c r="Y615">
        <x:v>0</x:v>
      </x:c>
      <x:c r="Z615" s="90">
        <x:v>0</x:v>
      </x:c>
    </x:row>
    <x:row r="616" spans="1:26" x14ac:dyDescent="0.3">
      <x:c r="E616" t="s">
        <x:v>81</x:v>
      </x:c>
      <x:c r="F616" s="90">
        <x:v>0</x:v>
      </x:c>
      <x:c r="G616" s="90">
        <x:v>0</x:v>
      </x:c>
      <x:c r="H616" s="90">
        <x:v>0</x:v>
      </x:c>
      <x:c r="I616" s="90">
        <x:v>0</x:v>
      </x:c>
      <x:c r="J616" s="90">
        <x:v>0</x:v>
      </x:c>
      <x:c r="K616" s="90">
        <x:v>0</x:v>
      </x:c>
      <x:c r="L616" s="90">
        <x:v>0</x:v>
      </x:c>
      <x:c r="M616" s="90">
        <x:v>0</x:v>
      </x:c>
      <x:c r="N616" s="90">
        <x:v>0</x:v>
      </x:c>
      <x:c r="O616" s="90">
        <x:v>0</x:v>
      </x:c>
      <x:c r="P616" s="90">
        <x:v>0</x:v>
      </x:c>
      <x:c r="Q616" s="90">
        <x:v>0</x:v>
      </x:c>
      <x:c r="R616" s="90">
        <x:v>0</x:v>
      </x:c>
      <x:c r="S616" s="90">
        <x:v>0</x:v>
      </x:c>
      <x:c r="T616" s="90">
        <x:v>0</x:v>
      </x:c>
      <x:c r="U616">
        <x:v>0</x:v>
      </x:c>
      <x:c r="V616">
        <x:v>0</x:v>
      </x:c>
      <x:c r="W616">
        <x:v>0</x:v>
      </x:c>
      <x:c r="X616">
        <x:v>0</x:v>
      </x:c>
      <x:c r="Y616">
        <x:v>0</x:v>
      </x:c>
      <x:c r="Z616" s="90">
        <x:v>0</x:v>
      </x:c>
    </x:row>
    <x:row r="617" spans="1:26" x14ac:dyDescent="0.3">
      <x:c r="D617" t="s">
        <x:v>156</x:v>
      </x:c>
      <x:c r="E617" t="s">
        <x:v>70</x:v>
      </x:c>
      <x:c r="F617" s="90">
        <x:v>0</x:v>
      </x:c>
      <x:c r="G617" s="90">
        <x:v>0</x:v>
      </x:c>
      <x:c r="H617" s="90">
        <x:v>0</x:v>
      </x:c>
      <x:c r="I617" s="90">
        <x:v>0</x:v>
      </x:c>
      <x:c r="J617" s="90">
        <x:v>0</x:v>
      </x:c>
      <x:c r="K617" s="90">
        <x:v>0</x:v>
      </x:c>
      <x:c r="L617" s="90">
        <x:v>0</x:v>
      </x:c>
      <x:c r="M617" s="90">
        <x:v>0</x:v>
      </x:c>
      <x:c r="N617" s="90">
        <x:v>0</x:v>
      </x:c>
      <x:c r="O617" s="90">
        <x:v>0</x:v>
      </x:c>
      <x:c r="P617" s="90">
        <x:v>0</x:v>
      </x:c>
      <x:c r="Q617" s="90">
        <x:v>0</x:v>
      </x:c>
      <x:c r="R617" s="90">
        <x:v>0</x:v>
      </x:c>
      <x:c r="S617" s="90">
        <x:v>0</x:v>
      </x:c>
      <x:c r="T617" s="90">
        <x:v>0</x:v>
      </x:c>
      <x:c r="U617">
        <x:v>0</x:v>
      </x:c>
      <x:c r="V617">
        <x:v>0</x:v>
      </x:c>
      <x:c r="W617">
        <x:v>0</x:v>
      </x:c>
      <x:c r="X617">
        <x:v>0</x:v>
      </x:c>
      <x:c r="Y617">
        <x:v>0</x:v>
      </x:c>
      <x:c r="Z617" s="90">
        <x:v>0</x:v>
      </x:c>
    </x:row>
    <x:row r="618" spans="1:26" s="286" customFormat="1" x14ac:dyDescent="0.3">
      <x:c r="C618" s="286" t="s">
        <x:v>155</x:v>
      </x:c>
      <x:c r="D618" s="286" t="s">
        <x:v>70</x:v>
      </x:c>
      <x:c r="F618" s="230">
        <x:v>0</x:v>
      </x:c>
      <x:c r="G618" s="230">
        <x:v>0</x:v>
      </x:c>
      <x:c r="H618" s="230">
        <x:v>0</x:v>
      </x:c>
      <x:c r="I618" s="230">
        <x:v>0</x:v>
      </x:c>
      <x:c r="J618" s="230">
        <x:v>0</x:v>
      </x:c>
      <x:c r="K618" s="230">
        <x:v>0</x:v>
      </x:c>
      <x:c r="L618" s="230">
        <x:v>0</x:v>
      </x:c>
      <x:c r="M618" s="230">
        <x:v>0</x:v>
      </x:c>
      <x:c r="N618" s="230">
        <x:v>0</x:v>
      </x:c>
      <x:c r="O618" s="230">
        <x:v>0</x:v>
      </x:c>
      <x:c r="P618" s="230">
        <x:v>0</x:v>
      </x:c>
      <x:c r="Q618" s="230">
        <x:v>0</x:v>
      </x:c>
      <x:c r="R618" s="230">
        <x:v>0</x:v>
      </x:c>
      <x:c r="S618" s="230">
        <x:v>0</x:v>
      </x:c>
      <x:c r="T618" s="230">
        <x:v>0</x:v>
      </x:c>
      <x:c r="U618" s="286">
        <x:v>0</x:v>
      </x:c>
      <x:c r="V618" s="286">
        <x:v>0</x:v>
      </x:c>
      <x:c r="W618" s="286">
        <x:v>0</x:v>
      </x:c>
      <x:c r="X618" s="286">
        <x:v>0</x:v>
      </x:c>
      <x:c r="Y618" s="286">
        <x:v>0</x:v>
      </x:c>
      <x:c r="Z618" s="230">
        <x:v>0</x:v>
      </x:c>
    </x:row>
    <x:row r="619" spans="1:26" x14ac:dyDescent="0.3">
      <x:c r="E619" t="s">
        <x:v>72</x:v>
      </x:c>
      <x:c r="F619" s="90">
        <x:v>0</x:v>
      </x:c>
      <x:c r="G619" s="90">
        <x:v>0</x:v>
      </x:c>
      <x:c r="H619" s="90">
        <x:v>0</x:v>
      </x:c>
      <x:c r="I619" s="90">
        <x:v>0</x:v>
      </x:c>
      <x:c r="J619" s="90">
        <x:v>0</x:v>
      </x:c>
      <x:c r="K619" s="90">
        <x:v>0</x:v>
      </x:c>
      <x:c r="L619" s="90">
        <x:v>0</x:v>
      </x:c>
      <x:c r="M619" s="90">
        <x:v>0</x:v>
      </x:c>
      <x:c r="N619" s="90">
        <x:v>0</x:v>
      </x:c>
      <x:c r="O619" s="90">
        <x:v>0</x:v>
      </x:c>
      <x:c r="P619" s="90">
        <x:v>0</x:v>
      </x:c>
      <x:c r="Q619" s="90">
        <x:v>370.08</x:v>
      </x:c>
      <x:c r="R619" s="90">
        <x:v>-1.95</x:v>
      </x:c>
      <x:c r="S619" s="90">
        <x:v>0</x:v>
      </x:c>
      <x:c r="T619" s="90">
        <x:v>0</x:v>
      </x:c>
      <x:c r="U619">
        <x:v>0</x:v>
      </x:c>
      <x:c r="V619">
        <x:v>0</x:v>
      </x:c>
      <x:c r="W619">
        <x:v>0</x:v>
      </x:c>
      <x:c r="X619">
        <x:v>0</x:v>
      </x:c>
      <x:c r="Y619">
        <x:v>0</x:v>
      </x:c>
      <x:c r="Z619" s="90">
        <x:v>0</x:v>
      </x:c>
    </x:row>
    <x:row r="620" spans="1:26" x14ac:dyDescent="0.3">
      <x:c r="E620" t="s">
        <x:v>81</x:v>
      </x:c>
      <x:c r="F620" s="90">
        <x:v>0</x:v>
      </x:c>
      <x:c r="G620" s="90">
        <x:v>0</x:v>
      </x:c>
      <x:c r="H620" s="90">
        <x:v>0</x:v>
      </x:c>
      <x:c r="I620" s="90">
        <x:v>0</x:v>
      </x:c>
      <x:c r="J620" s="90">
        <x:v>0</x:v>
      </x:c>
      <x:c r="K620" s="90">
        <x:v>0</x:v>
      </x:c>
      <x:c r="L620" s="90">
        <x:v>0</x:v>
      </x:c>
      <x:c r="M620" s="90">
        <x:v>0</x:v>
      </x:c>
      <x:c r="N620" s="90">
        <x:v>0</x:v>
      </x:c>
      <x:c r="O620" s="90">
        <x:v>0</x:v>
      </x:c>
      <x:c r="P620" s="90">
        <x:v>0</x:v>
      </x:c>
      <x:c r="Q620" s="90">
        <x:v>7.0000000000000007E-2</x:v>
      </x:c>
      <x:c r="R620" s="90">
        <x:v>0</x:v>
      </x:c>
      <x:c r="S620" s="90">
        <x:v>0</x:v>
      </x:c>
      <x:c r="T620" s="90">
        <x:v>0</x:v>
      </x:c>
      <x:c r="U620">
        <x:v>0</x:v>
      </x:c>
      <x:c r="V620">
        <x:v>0</x:v>
      </x:c>
      <x:c r="W620">
        <x:v>0</x:v>
      </x:c>
      <x:c r="X620">
        <x:v>0</x:v>
      </x:c>
      <x:c r="Y620">
        <x:v>0</x:v>
      </x:c>
      <x:c r="Z620" s="90">
        <x:v>0</x:v>
      </x:c>
    </x:row>
    <x:row r="621" spans="1:26" x14ac:dyDescent="0.3">
      <x:c r="D621" t="s">
        <x:v>82</x:v>
      </x:c>
      <x:c r="E621" t="s">
        <x:v>70</x:v>
      </x:c>
      <x:c r="F621" s="90">
        <x:v>0</x:v>
      </x:c>
      <x:c r="G621" s="90">
        <x:v>0</x:v>
      </x:c>
      <x:c r="H621" s="90">
        <x:v>0</x:v>
      </x:c>
      <x:c r="I621" s="90">
        <x:v>0</x:v>
      </x:c>
      <x:c r="J621" s="90">
        <x:v>0</x:v>
      </x:c>
      <x:c r="K621" s="90">
        <x:v>0</x:v>
      </x:c>
      <x:c r="L621" s="90">
        <x:v>0</x:v>
      </x:c>
      <x:c r="M621" s="90">
        <x:v>0</x:v>
      </x:c>
      <x:c r="N621" s="90">
        <x:v>0</x:v>
      </x:c>
      <x:c r="O621" s="90">
        <x:v>0</x:v>
      </x:c>
      <x:c r="P621" s="90">
        <x:v>0</x:v>
      </x:c>
      <x:c r="Q621" s="90">
        <x:v>370.15</x:v>
      </x:c>
      <x:c r="R621" s="90">
        <x:v>-1.95</x:v>
      </x:c>
      <x:c r="S621" s="90">
        <x:v>0</x:v>
      </x:c>
      <x:c r="T621" s="90">
        <x:v>0</x:v>
      </x:c>
      <x:c r="U621">
        <x:v>0</x:v>
      </x:c>
      <x:c r="V621">
        <x:v>0</x:v>
      </x:c>
      <x:c r="W621">
        <x:v>0</x:v>
      </x:c>
      <x:c r="X621">
        <x:v>0</x:v>
      </x:c>
      <x:c r="Y621">
        <x:v>0</x:v>
      </x:c>
      <x:c r="Z621" s="90">
        <x:v>0</x:v>
      </x:c>
    </x:row>
    <x:row r="622" spans="1:26" x14ac:dyDescent="0.3">
      <x:c r="E622" t="s">
        <x:v>72</x:v>
      </x:c>
      <x:c r="F622" s="90">
        <x:v>0</x:v>
      </x:c>
      <x:c r="G622" s="90">
        <x:v>0</x:v>
      </x:c>
      <x:c r="H622" s="90">
        <x:v>0</x:v>
      </x:c>
      <x:c r="I622" s="90">
        <x:v>0</x:v>
      </x:c>
      <x:c r="J622" s="90">
        <x:v>0</x:v>
      </x:c>
      <x:c r="K622" s="90">
        <x:v>0</x:v>
      </x:c>
      <x:c r="L622" s="90">
        <x:v>0</x:v>
      </x:c>
      <x:c r="M622" s="90">
        <x:v>0</x:v>
      </x:c>
      <x:c r="N622" s="90">
        <x:v>0</x:v>
      </x:c>
      <x:c r="O622" s="90">
        <x:v>0</x:v>
      </x:c>
      <x:c r="P622" s="90">
        <x:v>0</x:v>
      </x:c>
      <x:c r="Q622" s="90">
        <x:v>370.08</x:v>
      </x:c>
      <x:c r="R622" s="90">
        <x:v>-1.95</x:v>
      </x:c>
      <x:c r="S622" s="90">
        <x:v>0</x:v>
      </x:c>
      <x:c r="T622" s="90">
        <x:v>0</x:v>
      </x:c>
      <x:c r="U622">
        <x:v>0</x:v>
      </x:c>
      <x:c r="V622">
        <x:v>0</x:v>
      </x:c>
      <x:c r="W622">
        <x:v>0</x:v>
      </x:c>
      <x:c r="X622">
        <x:v>0</x:v>
      </x:c>
      <x:c r="Y622">
        <x:v>0</x:v>
      </x:c>
      <x:c r="Z622" s="90">
        <x:v>0</x:v>
      </x:c>
    </x:row>
    <x:row r="623" spans="1:26" x14ac:dyDescent="0.3">
      <x:c r="E623" t="s">
        <x:v>81</x:v>
      </x:c>
      <x:c r="F623" s="90">
        <x:v>0</x:v>
      </x:c>
      <x:c r="G623" s="90">
        <x:v>0</x:v>
      </x:c>
      <x:c r="H623" s="90">
        <x:v>0</x:v>
      </x:c>
      <x:c r="I623" s="90">
        <x:v>0</x:v>
      </x:c>
      <x:c r="J623" s="90">
        <x:v>0</x:v>
      </x:c>
      <x:c r="K623" s="90">
        <x:v>0</x:v>
      </x:c>
      <x:c r="L623" s="90">
        <x:v>0</x:v>
      </x:c>
      <x:c r="M623" s="90">
        <x:v>0</x:v>
      </x:c>
      <x:c r="N623" s="90">
        <x:v>0</x:v>
      </x:c>
      <x:c r="O623" s="90">
        <x:v>0</x:v>
      </x:c>
      <x:c r="P623" s="90">
        <x:v>0</x:v>
      </x:c>
      <x:c r="Q623" s="90">
        <x:v>7.0000000000000007E-2</x:v>
      </x:c>
      <x:c r="R623" s="90">
        <x:v>0</x:v>
      </x:c>
      <x:c r="S623" s="90">
        <x:v>0</x:v>
      </x:c>
      <x:c r="T623" s="90">
        <x:v>0</x:v>
      </x:c>
      <x:c r="U623">
        <x:v>0</x:v>
      </x:c>
      <x:c r="V623">
        <x:v>0</x:v>
      </x:c>
      <x:c r="W623">
        <x:v>0</x:v>
      </x:c>
      <x:c r="X623">
        <x:v>0</x:v>
      </x:c>
      <x:c r="Y623">
        <x:v>0</x:v>
      </x:c>
      <x:c r="Z623" s="90">
        <x:v>0</x:v>
      </x:c>
    </x:row>
    <x:row r="624" spans="1:26" x14ac:dyDescent="0.3">
      <x:c r="D624" t="s">
        <x:v>86</x:v>
      </x:c>
      <x:c r="E624" t="s">
        <x:v>70</x:v>
      </x:c>
      <x:c r="F624" s="90">
        <x:v>0</x:v>
      </x:c>
      <x:c r="G624" s="90">
        <x:v>0</x:v>
      </x:c>
      <x:c r="H624" s="90">
        <x:v>0</x:v>
      </x:c>
      <x:c r="I624" s="90">
        <x:v>0</x:v>
      </x:c>
      <x:c r="J624" s="90">
        <x:v>0</x:v>
      </x:c>
      <x:c r="K624" s="90">
        <x:v>0</x:v>
      </x:c>
      <x:c r="L624" s="90">
        <x:v>0</x:v>
      </x:c>
      <x:c r="M624" s="90">
        <x:v>0</x:v>
      </x:c>
      <x:c r="N624" s="90">
        <x:v>0</x:v>
      </x:c>
      <x:c r="O624" s="90">
        <x:v>0</x:v>
      </x:c>
      <x:c r="P624" s="90">
        <x:v>0</x:v>
      </x:c>
      <x:c r="Q624" s="90">
        <x:v>370.15</x:v>
      </x:c>
      <x:c r="R624" s="90">
        <x:v>-1.95</x:v>
      </x:c>
      <x:c r="S624" s="90">
        <x:v>0</x:v>
      </x:c>
      <x:c r="T624" s="90">
        <x:v>0</x:v>
      </x:c>
      <x:c r="U624">
        <x:v>0</x:v>
      </x:c>
      <x:c r="V624">
        <x:v>0</x:v>
      </x:c>
      <x:c r="W624">
        <x:v>0</x:v>
      </x:c>
      <x:c r="X624">
        <x:v>0</x:v>
      </x:c>
      <x:c r="Y624">
        <x:v>0</x:v>
      </x:c>
      <x:c r="Z624" s="90">
        <x:v>0</x:v>
      </x:c>
    </x:row>
    <x:row r="625" spans="1:26" ht="12.75" customHeight="1" x14ac:dyDescent="0.3">
      <x:c r="E625" s="89" t="s">
        <x:v>72</x:v>
      </x:c>
      <x:c r="F625" s="371">
        <x:v>0</x:v>
      </x:c>
      <x:c r="G625" s="90">
        <x:v>0</x:v>
      </x:c>
      <x:c r="H625" s="90">
        <x:v>0</x:v>
      </x:c>
      <x:c r="I625" s="90">
        <x:v>0</x:v>
      </x:c>
      <x:c r="J625" s="90">
        <x:v>0</x:v>
      </x:c>
      <x:c r="K625" s="90">
        <x:v>0</x:v>
      </x:c>
      <x:c r="L625" s="90">
        <x:v>0</x:v>
      </x:c>
      <x:c r="M625" s="90">
        <x:v>0</x:v>
      </x:c>
      <x:c r="N625" s="90">
        <x:v>0</x:v>
      </x:c>
      <x:c r="O625" s="90">
        <x:v>0</x:v>
      </x:c>
      <x:c r="P625" s="90">
        <x:v>0</x:v>
      </x:c>
      <x:c r="Q625" s="90">
        <x:v>0</x:v>
      </x:c>
      <x:c r="R625" s="90">
        <x:v>0</x:v>
      </x:c>
      <x:c r="S625" s="90">
        <x:v>0</x:v>
      </x:c>
      <x:c r="T625" s="90">
        <x:v>0</x:v>
      </x:c>
      <x:c r="U625" s="90">
        <x:v>0</x:v>
      </x:c>
      <x:c r="V625" s="90">
        <x:v>0</x:v>
      </x:c>
      <x:c r="W625" s="90">
        <x:v>0</x:v>
      </x:c>
      <x:c r="X625" s="90">
        <x:v>0</x:v>
      </x:c>
      <x:c r="Y625" s="90">
        <x:v>0</x:v>
      </x:c>
      <x:c r="Z625" s="90">
        <x:v>0</x:v>
      </x:c>
    </x:row>
    <x:row r="626" spans="1:26" x14ac:dyDescent="0.3">
      <x:c r="E626" t="s">
        <x:v>81</x:v>
      </x:c>
      <x:c r="F626" s="90">
        <x:v>0</x:v>
      </x:c>
      <x:c r="G626" s="90">
        <x:v>0</x:v>
      </x:c>
      <x:c r="H626" s="90">
        <x:v>0</x:v>
      </x:c>
      <x:c r="I626" s="90">
        <x:v>0</x:v>
      </x:c>
      <x:c r="J626" s="90">
        <x:v>0</x:v>
      </x:c>
      <x:c r="K626" s="90">
        <x:v>0</x:v>
      </x:c>
      <x:c r="L626" s="90">
        <x:v>0</x:v>
      </x:c>
      <x:c r="M626" s="90">
        <x:v>0</x:v>
      </x:c>
      <x:c r="N626" s="90">
        <x:v>0</x:v>
      </x:c>
      <x:c r="O626" s="90">
        <x:v>0</x:v>
      </x:c>
      <x:c r="P626" s="90">
        <x:v>0</x:v>
      </x:c>
      <x:c r="Q626" s="90">
        <x:v>0</x:v>
      </x:c>
      <x:c r="R626" s="90">
        <x:v>0</x:v>
      </x:c>
      <x:c r="S626" s="90">
        <x:v>0</x:v>
      </x:c>
      <x:c r="T626" s="90">
        <x:v>0</x:v>
      </x:c>
      <x:c r="U626">
        <x:v>0</x:v>
      </x:c>
      <x:c r="V626">
        <x:v>0</x:v>
      </x:c>
      <x:c r="W626">
        <x:v>0</x:v>
      </x:c>
      <x:c r="X626">
        <x:v>0</x:v>
      </x:c>
      <x:c r="Y626">
        <x:v>0</x:v>
      </x:c>
      <x:c r="Z626" s="90">
        <x:v>0</x:v>
      </x:c>
    </x:row>
    <x:row r="627" spans="1:26" ht="12.75" customHeight="1" x14ac:dyDescent="0.3">
      <x:c r="D627" t="s">
        <x:v>87</x:v>
      </x:c>
      <x:c r="E627" s="89" t="s">
        <x:v>70</x:v>
      </x:c>
      <x:c r="F627" s="371">
        <x:v>0</x:v>
      </x:c>
      <x:c r="G627" s="90">
        <x:v>0</x:v>
      </x:c>
      <x:c r="H627" s="90">
        <x:v>0</x:v>
      </x:c>
      <x:c r="I627" s="90">
        <x:v>0</x:v>
      </x:c>
      <x:c r="J627" s="90">
        <x:v>0</x:v>
      </x:c>
      <x:c r="K627" s="90">
        <x:v>0</x:v>
      </x:c>
      <x:c r="L627" s="90">
        <x:v>0</x:v>
      </x:c>
      <x:c r="M627" s="90">
        <x:v>0</x:v>
      </x:c>
      <x:c r="N627" s="90">
        <x:v>0</x:v>
      </x:c>
      <x:c r="O627" s="90">
        <x:v>0</x:v>
      </x:c>
      <x:c r="P627" s="90">
        <x:v>0</x:v>
      </x:c>
      <x:c r="Q627" s="90">
        <x:v>0</x:v>
      </x:c>
      <x:c r="R627" s="90">
        <x:v>0</x:v>
      </x:c>
      <x:c r="S627" s="90">
        <x:v>0</x:v>
      </x:c>
      <x:c r="T627" s="90">
        <x:v>0</x:v>
      </x:c>
      <x:c r="U627" s="90">
        <x:v>0</x:v>
      </x:c>
      <x:c r="V627" s="90">
        <x:v>0</x:v>
      </x:c>
      <x:c r="W627" s="90">
        <x:v>0</x:v>
      </x:c>
      <x:c r="X627" s="90">
        <x:v>0</x:v>
      </x:c>
      <x:c r="Y627" s="90">
        <x:v>0</x:v>
      </x:c>
      <x:c r="Z627" s="90">
        <x:v>0</x:v>
      </x:c>
    </x:row>
    <x:row r="628" spans="1:26" s="94" customFormat="1" ht="12.75" customHeight="1" x14ac:dyDescent="0.3">
      <x:c r="C628" s="101" t="s">
        <x:v>119</x:v>
      </x:c>
      <x:c r="D628" s="101" t="s">
        <x:v>70</x:v>
      </x:c>
      <x:c r="F628" s="93">
        <x:v>0</x:v>
      </x:c>
      <x:c r="G628" s="93">
        <x:v>0</x:v>
      </x:c>
      <x:c r="H628" s="93">
        <x:v>0</x:v>
      </x:c>
      <x:c r="I628" s="93">
        <x:v>0</x:v>
      </x:c>
      <x:c r="J628" s="93">
        <x:v>0</x:v>
      </x:c>
      <x:c r="K628" s="93">
        <x:v>0</x:v>
      </x:c>
      <x:c r="L628" s="93">
        <x:v>0</x:v>
      </x:c>
      <x:c r="M628" s="93">
        <x:v>0</x:v>
      </x:c>
      <x:c r="N628" s="93">
        <x:v>0</x:v>
      </x:c>
      <x:c r="O628" s="93">
        <x:v>0</x:v>
      </x:c>
      <x:c r="P628" s="93">
        <x:v>0</x:v>
      </x:c>
      <x:c r="Q628" s="93">
        <x:v>0</x:v>
      </x:c>
      <x:c r="R628" s="93">
        <x:v>0</x:v>
      </x:c>
      <x:c r="S628" s="93">
        <x:v>0</x:v>
      </x:c>
      <x:c r="T628" s="93">
        <x:v>0</x:v>
      </x:c>
      <x:c r="U628" s="93">
        <x:v>0</x:v>
      </x:c>
      <x:c r="V628" s="93">
        <x:v>0</x:v>
      </x:c>
      <x:c r="W628" s="93">
        <x:v>0</x:v>
      </x:c>
      <x:c r="X628" s="93">
        <x:v>0</x:v>
      </x:c>
      <x:c r="Y628" s="93">
        <x:v>0</x:v>
      </x:c>
      <x:c r="Z628" s="93">
        <x:v>0</x:v>
      </x:c>
    </x:row>
    <x:row r="629" spans="1:26" s="378" customFormat="1" ht="12.75" customHeight="1" x14ac:dyDescent="0.3">
      <x:c r="B629" s="378" t="s">
        <x:v>122</x:v>
      </x:c>
      <x:c r="C629" s="378" t="s">
        <x:v>70</x:v>
      </x:c>
      <x:c r="E629" s="376"/>
      <x:c r="F629" s="710">
        <x:v>0</x:v>
      </x:c>
      <x:c r="G629" s="377">
        <x:v>0</x:v>
      </x:c>
      <x:c r="H629" s="377">
        <x:v>0</x:v>
      </x:c>
      <x:c r="I629" s="377">
        <x:v>0</x:v>
      </x:c>
      <x:c r="J629" s="377">
        <x:v>0</x:v>
      </x:c>
      <x:c r="K629" s="377">
        <x:v>0</x:v>
      </x:c>
      <x:c r="L629" s="377">
        <x:v>0</x:v>
      </x:c>
      <x:c r="M629" s="377">
        <x:v>0</x:v>
      </x:c>
      <x:c r="N629" s="377">
        <x:v>0</x:v>
      </x:c>
      <x:c r="O629" s="377">
        <x:v>0</x:v>
      </x:c>
      <x:c r="P629" s="377">
        <x:v>0</x:v>
      </x:c>
      <x:c r="Q629" s="377">
        <x:v>0</x:v>
      </x:c>
      <x:c r="R629" s="377">
        <x:v>0</x:v>
      </x:c>
      <x:c r="S629" s="377">
        <x:v>0</x:v>
      </x:c>
      <x:c r="T629" s="377">
        <x:v>0</x:v>
      </x:c>
      <x:c r="U629" s="377">
        <x:v>0</x:v>
      </x:c>
      <x:c r="V629" s="377">
        <x:v>0</x:v>
      </x:c>
      <x:c r="W629" s="377">
        <x:v>0</x:v>
      </x:c>
      <x:c r="X629" s="377">
        <x:v>0</x:v>
      </x:c>
      <x:c r="Y629" s="377">
        <x:v>0</x:v>
      </x:c>
      <x:c r="Z629" s="377">
        <x:v>0</x:v>
      </x:c>
    </x:row>
    <x:row r="630" spans="1:26" ht="12.75" customHeight="1" x14ac:dyDescent="0.3">
      <x:c r="C630" s="89"/>
      <x:c r="D630" s="89"/>
      <x:c r="E630" t="s">
        <x:v>72</x:v>
      </x:c>
      <x:c r="F630" s="371" t="n">
        <x:v>7406462788.36</x:v>
      </x:c>
      <x:c r="G630" s="90" t="n">
        <x:v>382434611.91</x:v>
      </x:c>
      <x:c r="H630" s="90" t="n">
        <x:v>213001567.09</x:v>
      </x:c>
      <x:c r="I630" s="90" t="n">
        <x:v>113293730.21</x:v>
      </x:c>
      <x:c r="J630" s="90" t="n">
        <x:v>1811930655.26</x:v>
      </x:c>
      <x:c r="K630" s="90" t="n">
        <x:v>60228423.32</x:v>
      </x:c>
      <x:c r="L630" s="90" t="n">
        <x:v>10471100</x:v>
      </x:c>
      <x:c r="M630" s="90" t="n">
        <x:v>528408998.82</x:v>
      </x:c>
      <x:c r="N630" s="90" t="n">
        <x:v>496404846.02</x:v>
      </x:c>
      <x:c r="O630" s="90" t="n">
        <x:v>2553943335.3</x:v>
      </x:c>
      <x:c r="P630" s="90" t="n">
        <x:v>1138056820.87</x:v>
      </x:c>
      <x:c r="Q630" s="90" t="n">
        <x:v>98277123.38</x:v>
      </x:c>
      <x:c r="R630" s="90" t="n">
        <x:v>11576.18</x:v>
      </x:c>
      <x:c r="S630" s="90" t="n">
        <x:v>0</x:v>
      </x:c>
      <x:c r="T630" t="n">
        <x:v>0</x:v>
      </x:c>
      <x:c r="U630">
        <x:v>0</x:v>
      </x:c>
      <x:c r="V630">
        <x:v>0</x:v>
      </x:c>
      <x:c r="W630">
        <x:v>0</x:v>
      </x:c>
      <x:c r="X630">
        <x:v>0</x:v>
      </x:c>
      <x:c r="Y630">
        <x:v>0</x:v>
      </x:c>
      <x:c r="Z630">
        <x:v>0</x:v>
      </x:c>
    </x:row>
    <x:row r="631" spans="1:26" ht="12.75" customHeight="1" x14ac:dyDescent="0.3">
      <x:c r="C631" s="89"/>
      <x:c r="D631" s="89"/>
      <x:c r="E631" t="s">
        <x:v>81</x:v>
      </x:c>
      <x:c r="F631" s="90" t="n">
        <x:v>7748156.53</x:v>
      </x:c>
      <x:c r="G631" s="90" t="n">
        <x:v>791632.88</x:v>
      </x:c>
      <x:c r="H631" s="90" t="n">
        <x:v>397564.53</x:v>
      </x:c>
      <x:c r="I631" s="90" t="n">
        <x:v>193425.46</x:v>
      </x:c>
      <x:c r="J631" s="90" t="n">
        <x:v>1228265.81</x:v>
      </x:c>
      <x:c r="K631" s="90" t="n">
        <x:v>52113.98</x:v>
      </x:c>
      <x:c r="L631" s="90" t="n">
        <x:v>596.87</x:v>
      </x:c>
      <x:c r="M631" s="90" t="n">
        <x:v>456961.78</x:v>
      </x:c>
      <x:c r="N631" s="90" t="n">
        <x:v>383739.51</x:v>
      </x:c>
      <x:c r="O631" s="90" t="n">
        <x:v>1862264.3</x:v>
      </x:c>
      <x:c r="P631" s="90" t="n">
        <x:v>2296530.82</x:v>
      </x:c>
      <x:c r="Q631" s="90" t="n">
        <x:v>85033.38</x:v>
      </x:c>
      <x:c r="R631" s="90" t="n">
        <x:v>22.39</x:v>
      </x:c>
      <x:c r="S631" s="90" t="n">
        <x:v>0</x:v>
      </x:c>
      <x:c r="T631" t="n">
        <x:v>4.82</x:v>
      </x:c>
      <x:c r="U631">
        <x:v>0</x:v>
      </x:c>
      <x:c r="V631">
        <x:v>0</x:v>
      </x:c>
      <x:c r="W631">
        <x:v>0</x:v>
      </x:c>
      <x:c r="X631">
        <x:v>0</x:v>
      </x:c>
      <x:c r="Y631">
        <x:v>0</x:v>
      </x:c>
      <x:c r="Z631">
        <x:v>0</x:v>
      </x:c>
    </x:row>
    <x:row r="632" spans="1:26" ht="12.75" customHeight="1" x14ac:dyDescent="0.3">
      <x:c r="D632" t="s">
        <x:v>156</x:v>
      </x:c>
      <x:c r="E632" s="89" t="s">
        <x:v>70</x:v>
      </x:c>
      <x:c r="F632" s="90" t="n">
        <x:v>7414210944.89</x:v>
      </x:c>
      <x:c r="G632" s="90" t="n">
        <x:v>383226244.79</x:v>
      </x:c>
      <x:c r="H632" s="90" t="n">
        <x:v>213399131.62</x:v>
      </x:c>
      <x:c r="I632" s="90" t="n">
        <x:v>113487155.67</x:v>
      </x:c>
      <x:c r="J632" s="90" t="n">
        <x:v>1813158921.07</x:v>
      </x:c>
      <x:c r="K632" s="90" t="n">
        <x:v>60280537.3</x:v>
      </x:c>
      <x:c r="L632" s="90" t="n">
        <x:v>10471696.87</x:v>
      </x:c>
      <x:c r="M632" s="90" t="n">
        <x:v>528865960.6</x:v>
      </x:c>
      <x:c r="N632" s="90" t="n">
        <x:v>496788585.53</x:v>
      </x:c>
      <x:c r="O632" s="90" t="n">
        <x:v>2555805599.6</x:v>
      </x:c>
      <x:c r="P632" s="90" t="n">
        <x:v>1140353351.69</x:v>
      </x:c>
      <x:c r="Q632" s="90" t="n">
        <x:v>98362156.76</x:v>
      </x:c>
      <x:c r="R632" s="90" t="n">
        <x:v>11598.57</x:v>
      </x:c>
      <x:c r="S632" s="90" t="n">
        <x:v>0</x:v>
      </x:c>
      <x:c r="T632" t="n">
        <x:v>4.82</x:v>
      </x:c>
      <x:c r="U632">
        <x:v>0</x:v>
      </x:c>
      <x:c r="V632">
        <x:v>0</x:v>
      </x:c>
      <x:c r="W632">
        <x:v>0</x:v>
      </x:c>
      <x:c r="X632">
        <x:v>0</x:v>
      </x:c>
      <x:c r="Y632">
        <x:v>0</x:v>
      </x:c>
      <x:c r="Z632">
        <x:v>0</x:v>
      </x:c>
    </x:row>
    <x:row r="633" spans="1:26" s="656" customFormat="1" ht="12.75" customHeight="1" x14ac:dyDescent="0.3">
      <x:c r="A633" s="657"/>
      <x:c r="B633" s="657"/>
      <x:c r="C633" s="656" t="s">
        <x:v>155</x:v>
      </x:c>
      <x:c r="D633" s="656" t="s">
        <x:v>70</x:v>
      </x:c>
      <x:c r="F633" s="658" t="n">
        <x:v>7414210944.89</x:v>
      </x:c>
      <x:c r="G633" s="658" t="n">
        <x:v>383226244.79</x:v>
      </x:c>
      <x:c r="H633" s="658" t="n">
        <x:v>213399131.62</x:v>
      </x:c>
      <x:c r="I633" s="658" t="n">
        <x:v>113487155.67</x:v>
      </x:c>
      <x:c r="J633" s="658" t="n">
        <x:v>1813158921.07</x:v>
      </x:c>
      <x:c r="K633" s="658" t="n">
        <x:v>60280537.3</x:v>
      </x:c>
      <x:c r="L633" s="658" t="n">
        <x:v>10471696.87</x:v>
      </x:c>
      <x:c r="M633" s="658" t="n">
        <x:v>528865960.6</x:v>
      </x:c>
      <x:c r="N633" s="658" t="n">
        <x:v>496788585.53</x:v>
      </x:c>
      <x:c r="O633" s="658" t="n">
        <x:v>2555805599.6</x:v>
      </x:c>
      <x:c r="P633" s="658" t="n">
        <x:v>1140353351.69</x:v>
      </x:c>
      <x:c r="Q633" s="658" t="n">
        <x:v>98362156.76</x:v>
      </x:c>
      <x:c r="R633" s="658" t="n">
        <x:v>11598.57</x:v>
      </x:c>
      <x:c r="S633" s="658" t="n">
        <x:v>0</x:v>
      </x:c>
      <x:c r="T633" s="656" t="n">
        <x:v>4.82</x:v>
      </x:c>
      <x:c r="U633" s="656">
        <x:v>0</x:v>
      </x:c>
      <x:c r="V633" s="656">
        <x:v>0</x:v>
      </x:c>
      <x:c r="W633" s="656">
        <x:v>0</x:v>
      </x:c>
      <x:c r="X633" s="656">
        <x:v>0</x:v>
      </x:c>
      <x:c r="Y633" s="656">
        <x:v>0</x:v>
      </x:c>
      <x:c r="Z633" s="656">
        <x:v>0</x:v>
      </x:c>
    </x:row>
    <x:row r="634" spans="1:26" ht="12.75" customHeight="1" x14ac:dyDescent="0.3">
      <x:c r="E634" s="89" t="s">
        <x:v>72</x:v>
      </x:c>
      <x:c r="F634" s="90" t="n">
        <x:v>160092177.14</x:v>
      </x:c>
      <x:c r="G634" s="90" t="n">
        <x:v>8661080.1</x:v>
      </x:c>
      <x:c r="H634" s="90" t="n">
        <x:v>4833415.13</x:v>
      </x:c>
      <x:c r="I634" s="90" t="n">
        <x:v>2582595.52</x:v>
      </x:c>
      <x:c r="J634" s="90" t="n">
        <x:v>38399519.4</x:v>
      </x:c>
      <x:c r="K634" s="90" t="n">
        <x:v>1268377.67</x:v>
      </x:c>
      <x:c r="L634" s="90" t="n">
        <x:v>0</x:v>
      </x:c>
      <x:c r="M634" s="90" t="n">
        <x:v>11140054.55</x:v>
      </x:c>
      <x:c r="N634" s="90" t="n">
        <x:v>10558954.77</x:v>
      </x:c>
      <x:c r="O634" s="90" t="n">
        <x:v>54651229.02</x:v>
      </x:c>
      <x:c r="P634" s="90" t="n">
        <x:v>25928014.94</x:v>
      </x:c>
      <x:c r="Q634" s="90" t="n">
        <x:v>2069142.02</x:v>
      </x:c>
      <x:c r="R634" s="90" t="n">
        <x:v>-205.98</x:v>
      </x:c>
      <x:c r="S634" s="90" t="n">
        <x:v>0</x:v>
      </x:c>
      <x:c r="T634" t="n">
        <x:v>0</x:v>
      </x:c>
      <x:c r="U634">
        <x:v>0</x:v>
      </x:c>
      <x:c r="V634">
        <x:v>0</x:v>
      </x:c>
      <x:c r="W634">
        <x:v>0</x:v>
      </x:c>
      <x:c r="X634">
        <x:v>0</x:v>
      </x:c>
      <x:c r="Y634">
        <x:v>0</x:v>
      </x:c>
      <x:c r="Z634">
        <x:v>0</x:v>
      </x:c>
    </x:row>
    <x:row r="635" spans="1:26" ht="12.75" customHeight="1" x14ac:dyDescent="0.3">
      <x:c r="E635" s="89" t="s">
        <x:v>81</x:v>
      </x:c>
      <x:c r="F635" s="371" t="n">
        <x:v>94709.83</x:v>
      </x:c>
      <x:c r="G635" s="90" t="n">
        <x:v>5210.34</x:v>
      </x:c>
      <x:c r="H635" s="90" t="n">
        <x:v>2882.65</x:v>
      </x:c>
      <x:c r="I635" s="90" t="n">
        <x:v>1569</x:v>
      </x:c>
      <x:c r="J635" s="90" t="n">
        <x:v>20323.64</x:v>
      </x:c>
      <x:c r="K635" s="90" t="n">
        <x:v>720.72</x:v>
      </x:c>
      <x:c r="L635" s="90" t="n">
        <x:v>0</x:v>
      </x:c>
      <x:c r="M635" s="90" t="n">
        <x:v>6347.52</x:v>
      </x:c>
      <x:c r="N635" s="90" t="n">
        <x:v>6686</x:v>
      </x:c>
      <x:c r="O635" s="90" t="n">
        <x:v>34170.61</x:v>
      </x:c>
      <x:c r="P635" s="90" t="n">
        <x:v>15601.5</x:v>
      </x:c>
      <x:c r="Q635" s="90" t="n">
        <x:v>1198.34</x:v>
      </x:c>
      <x:c r="R635" s="90" t="n">
        <x:v>-0.48</x:v>
      </x:c>
      <x:c r="S635" s="90" t="n">
        <x:v>-0.01</x:v>
      </x:c>
      <x:c r="T635" t="n">
        <x:v>0</x:v>
      </x:c>
      <x:c r="U635">
        <x:v>0</x:v>
      </x:c>
      <x:c r="V635">
        <x:v>0</x:v>
      </x:c>
      <x:c r="W635">
        <x:v>0</x:v>
      </x:c>
      <x:c r="X635">
        <x:v>0</x:v>
      </x:c>
      <x:c r="Y635">
        <x:v>0</x:v>
      </x:c>
      <x:c r="Z635">
        <x:v>0</x:v>
      </x:c>
    </x:row>
    <x:row r="636" spans="1:26" ht="12.75" customHeight="1" x14ac:dyDescent="0.3">
      <x:c r="D636" t="s">
        <x:v>156</x:v>
      </x:c>
      <x:c r="E636" s="89" t="s">
        <x:v>70</x:v>
      </x:c>
      <x:c r="F636" s="371" t="n">
        <x:v>160186886.97</x:v>
      </x:c>
      <x:c r="G636" s="90" t="n">
        <x:v>8666290.44</x:v>
      </x:c>
      <x:c r="H636" s="90" t="n">
        <x:v>4836297.78</x:v>
      </x:c>
      <x:c r="I636" s="90" t="n">
        <x:v>2584164.52</x:v>
      </x:c>
      <x:c r="J636" s="90" t="n">
        <x:v>38419843.04</x:v>
      </x:c>
      <x:c r="K636" s="90" t="n">
        <x:v>1269098.39</x:v>
      </x:c>
      <x:c r="L636" s="90" t="n">
        <x:v>0</x:v>
      </x:c>
      <x:c r="M636" s="90" t="n">
        <x:v>11146402.07</x:v>
      </x:c>
      <x:c r="N636" s="90" t="n">
        <x:v>10565640.77</x:v>
      </x:c>
      <x:c r="O636" s="90" t="n">
        <x:v>54685399.63</x:v>
      </x:c>
      <x:c r="P636" s="90" t="n">
        <x:v>25943616.44</x:v>
      </x:c>
      <x:c r="Q636" s="90" t="n">
        <x:v>2070340.36</x:v>
      </x:c>
      <x:c r="R636" s="90" t="n">
        <x:v>-206.46</x:v>
      </x:c>
      <x:c r="S636" s="90" t="n">
        <x:v>-0.01</x:v>
      </x:c>
      <x:c r="T636" t="n">
        <x:v>0</x:v>
      </x:c>
      <x:c r="U636">
        <x:v>0</x:v>
      </x:c>
      <x:c r="V636">
        <x:v>0</x:v>
      </x:c>
      <x:c r="W636">
        <x:v>0</x:v>
      </x:c>
      <x:c r="X636">
        <x:v>0</x:v>
      </x:c>
      <x:c r="Y636">
        <x:v>0</x:v>
      </x:c>
      <x:c r="Z636">
        <x:v>0</x:v>
      </x:c>
    </x:row>
    <x:row r="637" spans="1:26" s="739" customFormat="1" ht="12.75" customHeight="1" x14ac:dyDescent="0.3">
      <x:c r="C637" s="739" t="s">
        <x:v>326</x:v>
      </x:c>
      <x:c r="D637" s="739" t="s">
        <x:v>70</x:v>
      </x:c>
      <x:c r="E637" s="231"/>
      <x:c r="F637" s="740" t="n">
        <x:v>160186886.97</x:v>
      </x:c>
      <x:c r="G637" s="232" t="n">
        <x:v>8666290.44</x:v>
      </x:c>
      <x:c r="H637" s="232" t="n">
        <x:v>4836297.78</x:v>
      </x:c>
      <x:c r="I637" s="232" t="n">
        <x:v>2584164.52</x:v>
      </x:c>
      <x:c r="J637" s="232" t="n">
        <x:v>38419843.04</x:v>
      </x:c>
      <x:c r="K637" s="232" t="n">
        <x:v>1269098.39</x:v>
      </x:c>
      <x:c r="L637" s="232" t="n">
        <x:v>0</x:v>
      </x:c>
      <x:c r="M637" s="232" t="n">
        <x:v>11146402.07</x:v>
      </x:c>
      <x:c r="N637" s="232" t="n">
        <x:v>10565640.77</x:v>
      </x:c>
      <x:c r="O637" s="232" t="n">
        <x:v>54685399.63</x:v>
      </x:c>
      <x:c r="P637" s="232" t="n">
        <x:v>25943616.44</x:v>
      </x:c>
      <x:c r="Q637" s="232" t="n">
        <x:v>2070340.36</x:v>
      </x:c>
      <x:c r="R637" s="232" t="n">
        <x:v>-206.46</x:v>
      </x:c>
      <x:c r="S637" s="232" t="n">
        <x:v>-0.01</x:v>
      </x:c>
      <x:c r="T637" s="739" t="n">
        <x:v>0</x:v>
      </x:c>
      <x:c r="U637" s="739">
        <x:v>0</x:v>
      </x:c>
      <x:c r="V637" s="739">
        <x:v>0</x:v>
      </x:c>
      <x:c r="W637" s="739">
        <x:v>0</x:v>
      </x:c>
      <x:c r="X637" s="739">
        <x:v>0</x:v>
      </x:c>
      <x:c r="Y637" s="739">
        <x:v>0</x:v>
      </x:c>
      <x:c r="Z637" s="739">
        <x:v>0</x:v>
      </x:c>
    </x:row>
    <x:row r="638" spans="1:26" ht="12.75" customHeight="1" x14ac:dyDescent="0.3">
      <x:c r="E638" s="89" t="s">
        <x:v>72</x:v>
      </x:c>
      <x:c r="F638" s="371" t="n">
        <x:v>18917966.41</x:v>
      </x:c>
      <x:c r="G638" s="90" t="n">
        <x:v>988150.54</x:v>
      </x:c>
      <x:c r="H638" s="90" t="n">
        <x:v>548361.94</x:v>
      </x:c>
      <x:c r="I638" s="90" t="n">
        <x:v>294164.36</x:v>
      </x:c>
      <x:c r="J638" s="90" t="n">
        <x:v>3136320.25</x:v>
      </x:c>
      <x:c r="K638" s="90" t="n">
        <x:v>134782.33</x:v>
      </x:c>
      <x:c r="L638" s="90" t="n">
        <x:v>0</x:v>
      </x:c>
      <x:c r="M638" s="90" t="n">
        <x:v>1191960.92</x:v>
      </x:c>
      <x:c r="N638" s="90" t="n">
        <x:v>1455905.71</x:v>
      </x:c>
      <x:c r="O638" s="90" t="n">
        <x:v>7986093.3</x:v>
      </x:c>
      <x:c r="P638" s="90" t="n">
        <x:v>2960122.74</x:v>
      </x:c>
      <x:c r="Q638" s="90" t="n">
        <x:v>222255.94</x:v>
      </x:c>
      <x:c r="R638" s="90" t="n">
        <x:v>-151.62</x:v>
      </x:c>
      <x:c r="S638" s="90" t="n">
        <x:v>0</x:v>
      </x:c>
      <x:c r="T638" t="n">
        <x:v>0</x:v>
      </x:c>
      <x:c r="U638">
        <x:v>0</x:v>
      </x:c>
      <x:c r="V638">
        <x:v>0</x:v>
      </x:c>
      <x:c r="W638">
        <x:v>0</x:v>
      </x:c>
      <x:c r="X638">
        <x:v>0</x:v>
      </x:c>
      <x:c r="Y638">
        <x:v>0</x:v>
      </x:c>
      <x:c r="Z638">
        <x:v>0</x:v>
      </x:c>
    </x:row>
    <x:row r="639" spans="1:26" ht="12.75" customHeight="1" x14ac:dyDescent="0.3">
      <x:c r="E639" s="89" t="s">
        <x:v>81</x:v>
      </x:c>
      <x:c r="F639" s="90" t="n">
        <x:v>126929.22</x:v>
      </x:c>
      <x:c r="G639" s="90" t="n">
        <x:v>7200.68</x:v>
      </x:c>
      <x:c r="H639" s="90" t="n">
        <x:v>3836.23</x:v>
      </x:c>
      <x:c r="I639" s="90" t="n">
        <x:v>2053.48</x:v>
      </x:c>
      <x:c r="J639" s="90" t="n">
        <x:v>21877.84</x:v>
      </x:c>
      <x:c r="K639" s="90" t="n">
        <x:v>960.57</x:v>
      </x:c>
      <x:c r="L639" s="90" t="n">
        <x:v>0</x:v>
      </x:c>
      <x:c r="M639" s="90" t="n">
        <x:v>8419.79</x:v>
      </x:c>
      <x:c r="N639" s="90" t="n">
        <x:v>9443.19</x:v>
      </x:c>
      <x:c r="O639" s="90" t="n">
        <x:v>50077.47</x:v>
      </x:c>
      <x:c r="P639" s="90" t="n">
        <x:v>21452.68</x:v>
      </x:c>
      <x:c r="Q639" s="90" t="n">
        <x:v>1607.37</x:v>
      </x:c>
      <x:c r="R639" s="90" t="n">
        <x:v>-0.12</x:v>
      </x:c>
      <x:c r="S639" s="90" t="n">
        <x:v>-0.02</x:v>
      </x:c>
      <x:c r="T639" t="n">
        <x:v>0.06</x:v>
      </x:c>
      <x:c r="U639">
        <x:v>0</x:v>
      </x:c>
      <x:c r="V639">
        <x:v>0</x:v>
      </x:c>
      <x:c r="W639">
        <x:v>0</x:v>
      </x:c>
      <x:c r="X639">
        <x:v>0</x:v>
      </x:c>
      <x:c r="Y639">
        <x:v>0</x:v>
      </x:c>
      <x:c r="Z639">
        <x:v>0</x:v>
      </x:c>
    </x:row>
    <x:row r="640" spans="1:26" ht="12.75" customHeight="1" x14ac:dyDescent="0.3">
      <x:c r="D640" s="89" t="s">
        <x:v>82</x:v>
      </x:c>
      <x:c r="E640" s="89" t="s">
        <x:v>70</x:v>
      </x:c>
      <x:c r="F640" s="90" t="n">
        <x:v>19044895.63</x:v>
      </x:c>
      <x:c r="G640" s="90" t="n">
        <x:v>995351.22</x:v>
      </x:c>
      <x:c r="H640" s="90" t="n">
        <x:v>552198.17</x:v>
      </x:c>
      <x:c r="I640" s="90" t="n">
        <x:v>296217.84</x:v>
      </x:c>
      <x:c r="J640" s="90" t="n">
        <x:v>3158198.09</x:v>
      </x:c>
      <x:c r="K640" s="90" t="n">
        <x:v>135742.9</x:v>
      </x:c>
      <x:c r="L640" s="90" t="n">
        <x:v>0</x:v>
      </x:c>
      <x:c r="M640" s="90" t="n">
        <x:v>1200380.71</x:v>
      </x:c>
      <x:c r="N640" s="90" t="n">
        <x:v>1465348.9</x:v>
      </x:c>
      <x:c r="O640" s="90" t="n">
        <x:v>8036170.77</x:v>
      </x:c>
      <x:c r="P640" s="90" t="n">
        <x:v>2981575.42</x:v>
      </x:c>
      <x:c r="Q640" s="90" t="n">
        <x:v>223863.31</x:v>
      </x:c>
      <x:c r="R640" s="90" t="n">
        <x:v>-151.74</x:v>
      </x:c>
      <x:c r="S640" s="90" t="n">
        <x:v>-0.02</x:v>
      </x:c>
      <x:c r="T640" t="n">
        <x:v>0.06</x:v>
      </x:c>
      <x:c r="U640">
        <x:v>0</x:v>
      </x:c>
      <x:c r="V640">
        <x:v>0</x:v>
      </x:c>
      <x:c r="W640">
        <x:v>0</x:v>
      </x:c>
      <x:c r="X640">
        <x:v>0</x:v>
      </x:c>
      <x:c r="Y640">
        <x:v>0</x:v>
      </x:c>
      <x:c r="Z640">
        <x:v>0</x:v>
      </x:c>
    </x:row>
    <x:row r="641" spans="1:26" ht="12.75" customHeight="1" x14ac:dyDescent="0.3">
      <x:c r="C641" s="89"/>
      <x:c r="D641" s="89"/>
      <x:c r="E641" t="s">
        <x:v>72</x:v>
      </x:c>
      <x:c r="F641" s="90" t="n">
        <x:v>16231726.5</x:v>
      </x:c>
      <x:c r="G641" s="90" t="n">
        <x:v>898028.7</x:v>
      </x:c>
      <x:c r="H641" s="90" t="n">
        <x:v>469286.58</x:v>
      </x:c>
      <x:c r="I641" s="90" t="n">
        <x:v>261201.9</x:v>
      </x:c>
      <x:c r="J641" s="90" t="n">
        <x:v>1931111.49</x:v>
      </x:c>
      <x:c r="K641" s="90" t="n">
        <x:v>149676.92</x:v>
      </x:c>
      <x:c r="L641" s="90" t="n">
        <x:v>0</x:v>
      </x:c>
      <x:c r="M641" s="90" t="n">
        <x:v>1372648.24</x:v>
      </x:c>
      <x:c r="N641" s="90" t="n">
        <x:v>1260202.22</x:v>
      </x:c>
      <x:c r="O641" s="90" t="n">
        <x:v>6967779.84</x:v>
      </x:c>
      <x:c r="P641" s="90" t="n">
        <x:v>2678122.74</x:v>
      </x:c>
      <x:c r="Q641" s="90" t="n">
        <x:v>243826.32</x:v>
      </x:c>
      <x:c r="R641" s="90" t="n">
        <x:v>-158.45</x:v>
      </x:c>
      <x:c r="S641" s="90" t="n">
        <x:v>0</x:v>
      </x:c>
      <x:c r="T641" t="n">
        <x:v>0</x:v>
      </x:c>
      <x:c r="U641">
        <x:v>0</x:v>
      </x:c>
      <x:c r="V641">
        <x:v>0</x:v>
      </x:c>
      <x:c r="W641">
        <x:v>0</x:v>
      </x:c>
      <x:c r="X641">
        <x:v>0</x:v>
      </x:c>
      <x:c r="Y641">
        <x:v>0</x:v>
      </x:c>
      <x:c r="Z641">
        <x:v>0</x:v>
      </x:c>
    </x:row>
    <x:row r="642" spans="1:26" ht="12.75" customHeight="1" x14ac:dyDescent="0.3">
      <x:c r="B642" s="89"/>
      <x:c r="C642" s="89"/>
      <x:c r="E642" t="s">
        <x:v>81</x:v>
      </x:c>
      <x:c r="F642" s="90" t="n">
        <x:v>585509.71</x:v>
      </x:c>
      <x:c r="G642" s="90" t="n">
        <x:v>37135.1</x:v>
      </x:c>
      <x:c r="H642" s="90" t="n">
        <x:v>18090.99</x:v>
      </x:c>
      <x:c r="I642" s="90" t="n">
        <x:v>9334.49</x:v>
      </x:c>
      <x:c r="J642" s="90" t="n">
        <x:v>118479.91</x:v>
      </x:c>
      <x:c r="K642" s="90" t="n">
        <x:v>5190.29</x:v>
      </x:c>
      <x:c r="L642" s="90" t="n">
        <x:v>0</x:v>
      </x:c>
      <x:c r="M642" s="90" t="n">
        <x:v>46884.97</x:v>
      </x:c>
      <x:c r="N642" s="90" t="n">
        <x:v>41453.95</x:v>
      </x:c>
      <x:c r="O642" s="90" t="n">
        <x:v>190269.04</x:v>
      </x:c>
      <x:c r="P642" s="90" t="n">
        <x:v>110198.84</x:v>
      </x:c>
      <x:c r="Q642" s="90" t="n">
        <x:v>8468.46</x:v>
      </x:c>
      <x:c r="R642" s="90" t="n">
        <x:v>3.64</x:v>
      </x:c>
      <x:c r="S642" s="90" t="n">
        <x:v>0</x:v>
      </x:c>
      <x:c r="T642" t="n">
        <x:v>0.03</x:v>
      </x:c>
      <x:c r="U642">
        <x:v>0</x:v>
      </x:c>
      <x:c r="V642">
        <x:v>0</x:v>
      </x:c>
      <x:c r="W642">
        <x:v>0</x:v>
      </x:c>
      <x:c r="X642">
        <x:v>0</x:v>
      </x:c>
      <x:c r="Y642">
        <x:v>0</x:v>
      </x:c>
      <x:c r="Z642">
        <x:v>0</x:v>
      </x:c>
    </x:row>
    <x:row r="643" spans="1:26" ht="12.75" customHeight="1" x14ac:dyDescent="0.3">
      <x:c r="A643" s="89"/>
      <x:c r="B643" s="89"/>
      <x:c r="D643" t="s">
        <x:v>86</x:v>
      </x:c>
      <x:c r="E643" t="s">
        <x:v>70</x:v>
      </x:c>
      <x:c r="F643" s="90" t="n">
        <x:v>16817236.21</x:v>
      </x:c>
      <x:c r="G643" s="90" t="n">
        <x:v>935163.8</x:v>
      </x:c>
      <x:c r="H643" s="90" t="n">
        <x:v>487377.57</x:v>
      </x:c>
      <x:c r="I643" s="90" t="n">
        <x:v>270536.39</x:v>
      </x:c>
      <x:c r="J643" s="90" t="n">
        <x:v>2049591.4</x:v>
      </x:c>
      <x:c r="K643" s="90" t="n">
        <x:v>154867.21</x:v>
      </x:c>
      <x:c r="L643" s="90" t="n">
        <x:v>0</x:v>
      </x:c>
      <x:c r="M643" s="90" t="n">
        <x:v>1419533.21</x:v>
      </x:c>
      <x:c r="N643" s="90" t="n">
        <x:v>1301656.17</x:v>
      </x:c>
      <x:c r="O643" s="90" t="n">
        <x:v>7158048.88</x:v>
      </x:c>
      <x:c r="P643" s="90" t="n">
        <x:v>2788321.58</x:v>
      </x:c>
      <x:c r="Q643" s="90" t="n">
        <x:v>252294.78</x:v>
      </x:c>
      <x:c r="R643" s="90" t="n">
        <x:v>-154.81</x:v>
      </x:c>
      <x:c r="S643" s="90" t="n">
        <x:v>0</x:v>
      </x:c>
      <x:c r="T643" t="n">
        <x:v>0.03</x:v>
      </x:c>
      <x:c r="U643">
        <x:v>0</x:v>
      </x:c>
      <x:c r="V643">
        <x:v>0</x:v>
      </x:c>
      <x:c r="W643">
        <x:v>0</x:v>
      </x:c>
      <x:c r="X643">
        <x:v>0</x:v>
      </x:c>
      <x:c r="Y643">
        <x:v>0</x:v>
      </x:c>
      <x:c r="Z643">
        <x:v>0</x:v>
      </x:c>
    </x:row>
    <x:row r="644" spans="1:26" ht="12.75" customHeight="1" x14ac:dyDescent="0.3">
      <x:c r="E644" s="89" t="s">
        <x:v>72</x:v>
      </x:c>
      <x:c r="F644" s="90" t="n">
        <x:v>95111405.43</x:v>
      </x:c>
      <x:c r="G644" s="90" t="n">
        <x:v>13716794.96</x:v>
      </x:c>
      <x:c r="H644" s="90" t="n">
        <x:v>7538723.1</x:v>
      </x:c>
      <x:c r="I644" s="90" t="n">
        <x:v>4037358.33</x:v>
      </x:c>
      <x:c r="J644" s="90" t="n">
        <x:v>7300355.76</x:v>
      </x:c>
      <x:c r="K644" s="90" t="n">
        <x:v>227689.37</x:v>
      </x:c>
      <x:c r="L644" s="90" t="n">
        <x:v>1725000</x:v>
      </x:c>
      <x:c r="M644" s="90" t="n">
        <x:v>2006777.02</x:v>
      </x:c>
      <x:c r="N644" s="90" t="n">
        <x:v>2777643.4</x:v>
      </x:c>
      <x:c r="O644" s="90" t="n">
        <x:v>14591870.9</x:v>
      </x:c>
      <x:c r="P644" s="90" t="n">
        <x:v>40814334.9</x:v>
      </x:c>
      <x:c r="Q644" s="90" t="n">
        <x:v>375261.73</x:v>
      </x:c>
      <x:c r="R644" s="90" t="n">
        <x:v>-404.04</x:v>
      </x:c>
      <x:c r="S644" s="90" t="n">
        <x:v>0</x:v>
      </x:c>
      <x:c r="T644" t="n">
        <x:v>0</x:v>
      </x:c>
      <x:c r="U644">
        <x:v>0</x:v>
      </x:c>
      <x:c r="V644">
        <x:v>0</x:v>
      </x:c>
      <x:c r="W644">
        <x:v>0</x:v>
      </x:c>
      <x:c r="X644">
        <x:v>0</x:v>
      </x:c>
      <x:c r="Y644">
        <x:v>0</x:v>
      </x:c>
      <x:c r="Z644">
        <x:v>0</x:v>
      </x:c>
    </x:row>
    <x:row r="645" spans="1:26" ht="12.75" customHeight="1" x14ac:dyDescent="0.3">
      <x:c r="A645" s="89"/>
      <x:c r="B645" s="89"/>
      <x:c r="E645" t="s">
        <x:v>81</x:v>
      </x:c>
      <x:c r="F645" s="90" t="n">
        <x:v>3638579.87</x:v>
      </x:c>
      <x:c r="G645" s="90" t="n">
        <x:v>605626.59</x:v>
      </x:c>
      <x:c r="H645" s="90" t="n">
        <x:v>304312.49</x:v>
      </x:c>
      <x:c r="I645" s="90" t="n">
        <x:v>165596.28</x:v>
      </x:c>
      <x:c r="J645" s="90" t="n">
        <x:v>180985.28</x:v>
      </x:c>
      <x:c r="K645" s="90" t="n">
        <x:v>5191.66</x:v>
      </x:c>
      <x:c r="L645" s="90" t="n">
        <x:v>183241.19</x:v>
      </x:c>
      <x:c r="M645" s="90" t="n">
        <x:v>45282.16</x:v>
      </x:c>
      <x:c r="N645" s="90" t="n">
        <x:v>59930.97</x:v>
      </x:c>
      <x:c r="O645" s="90" t="n">
        <x:v>283354.87</x:v>
      </x:c>
      <x:c r="P645" s="90" t="n">
        <x:v>1796526.34</x:v>
      </x:c>
      <x:c r="Q645" s="90" t="n">
        <x:v>8534.06</x:v>
      </x:c>
      <x:c r="R645" s="90" t="n">
        <x:v>-2</x:v>
      </x:c>
      <x:c r="S645" s="90" t="n">
        <x:v>-0.02</x:v>
      </x:c>
      <x:c r="T645" t="n">
        <x:v>0</x:v>
      </x:c>
      <x:c r="U645">
        <x:v>0</x:v>
      </x:c>
      <x:c r="V645">
        <x:v>0</x:v>
      </x:c>
      <x:c r="W645">
        <x:v>0</x:v>
      </x:c>
      <x:c r="X645">
        <x:v>0</x:v>
      </x:c>
      <x:c r="Y645">
        <x:v>0</x:v>
      </x:c>
      <x:c r="Z645">
        <x:v>0</x:v>
      </x:c>
    </x:row>
    <x:row r="646" spans="1:26" ht="12.75" customHeight="1" x14ac:dyDescent="0.3">
      <x:c r="D646" t="s">
        <x:v>87</x:v>
      </x:c>
      <x:c r="E646" s="89" t="s">
        <x:v>70</x:v>
      </x:c>
      <x:c r="F646" s="90" t="n">
        <x:v>98749985.3</x:v>
      </x:c>
      <x:c r="G646" s="90" t="n">
        <x:v>14322421.55</x:v>
      </x:c>
      <x:c r="H646" s="90" t="n">
        <x:v>7843035.59</x:v>
      </x:c>
      <x:c r="I646" s="90" t="n">
        <x:v>4202954.61</x:v>
      </x:c>
      <x:c r="J646" s="90" t="n">
        <x:v>7481341.04</x:v>
      </x:c>
      <x:c r="K646" s="90" t="n">
        <x:v>232881.03</x:v>
      </x:c>
      <x:c r="L646" s="90" t="n">
        <x:v>1908241.19</x:v>
      </x:c>
      <x:c r="M646" s="90" t="n">
        <x:v>2052059.18</x:v>
      </x:c>
      <x:c r="N646" s="90" t="n">
        <x:v>2837574.37</x:v>
      </x:c>
      <x:c r="O646" s="90" t="n">
        <x:v>14875225.77</x:v>
      </x:c>
      <x:c r="P646" s="90" t="n">
        <x:v>42610861.24</x:v>
      </x:c>
      <x:c r="Q646" s="90" t="n">
        <x:v>383795.79</x:v>
      </x:c>
      <x:c r="R646" s="90" t="n">
        <x:v>-406.04</x:v>
      </x:c>
      <x:c r="S646" s="90" t="n">
        <x:v>-0.02</x:v>
      </x:c>
      <x:c r="T646" t="n">
        <x:v>0</x:v>
      </x:c>
      <x:c r="U646">
        <x:v>0</x:v>
      </x:c>
      <x:c r="V646">
        <x:v>0</x:v>
      </x:c>
      <x:c r="W646">
        <x:v>0</x:v>
      </x:c>
      <x:c r="X646">
        <x:v>0</x:v>
      </x:c>
      <x:c r="Y646">
        <x:v>0</x:v>
      </x:c>
      <x:c r="Z646">
        <x:v>0</x:v>
      </x:c>
    </x:row>
    <x:row r="647" spans="1:26" s="94" customFormat="1" ht="12.75" customHeight="1" x14ac:dyDescent="0.3">
      <x:c r="A647" s="101"/>
      <x:c r="B647" s="101"/>
      <x:c r="C647" s="94" t="s">
        <x:v>119</x:v>
      </x:c>
      <x:c r="D647" s="94" t="s">
        <x:v>70</x:v>
      </x:c>
      <x:c r="F647" s="93" t="n">
        <x:v>134612117.14</x:v>
      </x:c>
      <x:c r="G647" s="93" t="n">
        <x:v>16252936.57</x:v>
      </x:c>
      <x:c r="H647" s="93" t="n">
        <x:v>8882611.33</x:v>
      </x:c>
      <x:c r="I647" s="93" t="n">
        <x:v>4769708.84</x:v>
      </x:c>
      <x:c r="J647" s="93" t="n">
        <x:v>12689130.53</x:v>
      </x:c>
      <x:c r="K647" s="93" t="n">
        <x:v>523491.14</x:v>
      </x:c>
      <x:c r="L647" s="93" t="n">
        <x:v>1908241.19</x:v>
      </x:c>
      <x:c r="M647" s="93" t="n">
        <x:v>4671973.1</x:v>
      </x:c>
      <x:c r="N647" s="93" t="n">
        <x:v>5604579.44</x:v>
      </x:c>
      <x:c r="O647" s="93" t="n">
        <x:v>30069445.42</x:v>
      </x:c>
      <x:c r="P647" s="93" t="n">
        <x:v>48380758.24</x:v>
      </x:c>
      <x:c r="Q647" s="93" t="n">
        <x:v>859953.88</x:v>
      </x:c>
      <x:c r="R647" s="93" t="n">
        <x:v>-712.59</x:v>
      </x:c>
      <x:c r="S647" s="93" t="n">
        <x:v>-0.04</x:v>
      </x:c>
      <x:c r="T647" s="94" t="n">
        <x:v>0.09</x:v>
      </x:c>
      <x:c r="U647" s="94">
        <x:v>0</x:v>
      </x:c>
      <x:c r="V647" s="94">
        <x:v>0</x:v>
      </x:c>
      <x:c r="W647" s="94">
        <x:v>0</x:v>
      </x:c>
      <x:c r="X647" s="94">
        <x:v>0</x:v>
      </x:c>
      <x:c r="Y647" s="94">
        <x:v>0</x:v>
      </x:c>
      <x:c r="Z647" s="94">
        <x:v>0</x:v>
      </x:c>
    </x:row>
    <x:row r="648" spans="1:26" s="226" customFormat="1" ht="12.75" customHeight="1" x14ac:dyDescent="0.3">
      <x:c r="B648" s="226" t="s">
        <x:v>112</x:v>
      </x:c>
      <x:c r="C648" s="226" t="s">
        <x:v>70</x:v>
      </x:c>
      <x:c r="E648" s="98"/>
      <x:c r="F648" s="100" t="n">
        <x:v>7709009949</x:v>
      </x:c>
      <x:c r="G648" s="100" t="n">
        <x:v>408145471.8</x:v>
      </x:c>
      <x:c r="H648" s="100" t="n">
        <x:v>227118040.73</x:v>
      </x:c>
      <x:c r="I648" s="100" t="n">
        <x:v>120841029.03</x:v>
      </x:c>
      <x:c r="J648" s="100" t="n">
        <x:v>1864267894.64</x:v>
      </x:c>
      <x:c r="K648" s="100" t="n">
        <x:v>62073126.83</x:v>
      </x:c>
      <x:c r="L648" s="100" t="n">
        <x:v>12379938.06</x:v>
      </x:c>
      <x:c r="M648" s="100" t="n">
        <x:v>544684335.77</x:v>
      </x:c>
      <x:c r="N648" s="100" t="n">
        <x:v>512958805.74</x:v>
      </x:c>
      <x:c r="O648" s="100" t="n">
        <x:v>2640560444.65</x:v>
      </x:c>
      <x:c r="P648" s="100" t="n">
        <x:v>1214677726.37</x:v>
      </x:c>
      <x:c r="Q648" s="100" t="n">
        <x:v>101292451</x:v>
      </x:c>
      <x:c r="R648" s="100" t="n">
        <x:v>10679.52</x:v>
      </x:c>
      <x:c r="S648" s="100" t="n">
        <x:v>-0.05</x:v>
      </x:c>
      <x:c r="T648" s="226" t="n">
        <x:v>4.91</x:v>
      </x:c>
      <x:c r="U648" s="226">
        <x:v>0</x:v>
      </x:c>
      <x:c r="V648" s="226">
        <x:v>0</x:v>
      </x:c>
      <x:c r="W648" s="226">
        <x:v>0</x:v>
      </x:c>
      <x:c r="X648" s="226">
        <x:v>0</x:v>
      </x:c>
      <x:c r="Y648" s="226">
        <x:v>0</x:v>
      </x:c>
      <x:c r="Z648" s="226">
        <x:v>0</x:v>
      </x:c>
    </x:row>
    <x:row r="649" spans="1:26" ht="13.5" customHeight="1" x14ac:dyDescent="0.3">
      <x:c r="A649" t="s">
        <x:v>78</x:v>
      </x:c>
      <x:c r="B649" t="s">
        <x:v>70</x:v>
      </x:c>
      <x:c r="E649" s="89"/>
      <x:c r="F649" s="90" t="n">
        <x:v>7709009949</x:v>
      </x:c>
      <x:c r="G649" s="90" t="n">
        <x:v>408145471.8</x:v>
      </x:c>
      <x:c r="H649" s="90" t="n">
        <x:v>227118040.73</x:v>
      </x:c>
      <x:c r="I649" s="90" t="n">
        <x:v>120841029.03</x:v>
      </x:c>
      <x:c r="J649" s="90" t="n">
        <x:v>1864267894.64</x:v>
      </x:c>
      <x:c r="K649" s="90" t="n">
        <x:v>62073126.83</x:v>
      </x:c>
      <x:c r="L649" s="90" t="n">
        <x:v>12379938.06</x:v>
      </x:c>
      <x:c r="M649" s="90" t="n">
        <x:v>544684335.77</x:v>
      </x:c>
      <x:c r="N649" s="90" t="n">
        <x:v>512958805.74</x:v>
      </x:c>
      <x:c r="O649" s="90" t="n">
        <x:v>2640560444.65</x:v>
      </x:c>
      <x:c r="P649" s="90" t="n">
        <x:v>1214677726.37</x:v>
      </x:c>
      <x:c r="Q649" s="90" t="n">
        <x:v>101292451</x:v>
      </x:c>
      <x:c r="R649" s="90" t="n">
        <x:v>10679.52</x:v>
      </x:c>
      <x:c r="S649" s="90" t="n">
        <x:v>-0.05</x:v>
      </x:c>
      <x:c r="T649" t="n">
        <x:v>4.91</x:v>
      </x:c>
      <x:c r="U649">
        <x:v>0</x:v>
      </x:c>
      <x:c r="V649">
        <x:v>0</x:v>
      </x:c>
      <x:c r="W649">
        <x:v>0</x:v>
      </x:c>
      <x:c r="X649">
        <x:v>0</x:v>
      </x:c>
      <x:c r="Y649">
        <x:v>0</x:v>
      </x:c>
      <x:c r="Z649">
        <x:v>0</x:v>
      </x:c>
    </x:row>
    <x:row r="650" spans="1:26" x14ac:dyDescent="0.3">
      <x:c r="E650" t="s">
        <x:v>73</x:v>
      </x:c>
      <x:c r="F650" s="90">
        <x:v>0</x:v>
      </x:c>
      <x:c r="G650" s="90">
        <x:v>0</x:v>
      </x:c>
      <x:c r="H650" s="90">
        <x:v>0</x:v>
      </x:c>
      <x:c r="I650" s="90">
        <x:v>0</x:v>
      </x:c>
      <x:c r="J650" s="90">
        <x:v>0</x:v>
      </x:c>
      <x:c r="K650" s="90">
        <x:v>0</x:v>
      </x:c>
      <x:c r="L650" s="90">
        <x:v>0</x:v>
      </x:c>
      <x:c r="M650" s="90">
        <x:v>0</x:v>
      </x:c>
      <x:c r="N650" s="90">
        <x:v>0</x:v>
      </x:c>
      <x:c r="O650" s="90">
        <x:v>0</x:v>
      </x:c>
      <x:c r="P650" s="90">
        <x:v>0</x:v>
      </x:c>
      <x:c r="Q650" s="90">
        <x:v>0</x:v>
      </x:c>
      <x:c r="R650" s="90">
        <x:v>0</x:v>
      </x:c>
      <x:c r="S650" s="90">
        <x:v>0</x:v>
      </x:c>
      <x:c r="T650" s="90">
        <x:v>0</x:v>
      </x:c>
      <x:c r="U650">
        <x:v>0</x:v>
      </x:c>
      <x:c r="V650">
        <x:v>0</x:v>
      </x:c>
      <x:c r="W650">
        <x:v>0</x:v>
      </x:c>
      <x:c r="X650">
        <x:v>0</x:v>
      </x:c>
      <x:c r="Y650">
        <x:v>0</x:v>
      </x:c>
      <x:c r="Z650" s="90">
        <x:v>0</x:v>
      </x:c>
    </x:row>
    <x:row r="651" spans="1:26" x14ac:dyDescent="0.3">
      <x:c r="D651" t="s">
        <x:v>156</x:v>
      </x:c>
      <x:c r="E651" t="s">
        <x:v>70</x:v>
      </x:c>
      <x:c r="F651" s="90">
        <x:v>0</x:v>
      </x:c>
      <x:c r="G651" s="90">
        <x:v>0</x:v>
      </x:c>
      <x:c r="H651" s="90">
        <x:v>0</x:v>
      </x:c>
      <x:c r="I651" s="90">
        <x:v>0</x:v>
      </x:c>
      <x:c r="J651" s="90">
        <x:v>0</x:v>
      </x:c>
      <x:c r="K651" s="90">
        <x:v>0</x:v>
      </x:c>
      <x:c r="L651" s="90">
        <x:v>0</x:v>
      </x:c>
      <x:c r="M651" s="90">
        <x:v>0</x:v>
      </x:c>
      <x:c r="N651" s="90">
        <x:v>0</x:v>
      </x:c>
      <x:c r="O651" s="90">
        <x:v>0</x:v>
      </x:c>
      <x:c r="P651" s="90">
        <x:v>0</x:v>
      </x:c>
      <x:c r="Q651" s="90">
        <x:v>0</x:v>
      </x:c>
      <x:c r="R651" s="90">
        <x:v>0</x:v>
      </x:c>
      <x:c r="S651" s="90">
        <x:v>0</x:v>
      </x:c>
      <x:c r="T651" s="90">
        <x:v>0</x:v>
      </x:c>
      <x:c r="U651">
        <x:v>0</x:v>
      </x:c>
      <x:c r="V651">
        <x:v>0</x:v>
      </x:c>
      <x:c r="W651">
        <x:v>0</x:v>
      </x:c>
      <x:c r="X651">
        <x:v>0</x:v>
      </x:c>
      <x:c r="Y651">
        <x:v>0</x:v>
      </x:c>
      <x:c r="Z651" s="90">
        <x:v>0</x:v>
      </x:c>
    </x:row>
    <x:row r="652" spans="1:26" s="286" customFormat="1" ht="12.75" customHeight="1" x14ac:dyDescent="0.3">
      <x:c r="C652" s="286" t="s">
        <x:v>155</x:v>
      </x:c>
      <x:c r="D652" s="286" t="s">
        <x:v>70</x:v>
      </x:c>
      <x:c r="E652" s="229"/>
      <x:c r="F652" s="229">
        <x:v>0</x:v>
      </x:c>
      <x:c r="G652" s="230">
        <x:v>0</x:v>
      </x:c>
      <x:c r="H652" s="230">
        <x:v>0</x:v>
      </x:c>
      <x:c r="I652" s="230">
        <x:v>0</x:v>
      </x:c>
      <x:c r="J652" s="230">
        <x:v>0</x:v>
      </x:c>
      <x:c r="K652" s="230">
        <x:v>0</x:v>
      </x:c>
      <x:c r="L652" s="230">
        <x:v>0</x:v>
      </x:c>
      <x:c r="M652" s="230">
        <x:v>0</x:v>
      </x:c>
      <x:c r="N652" s="230">
        <x:v>0</x:v>
      </x:c>
      <x:c r="O652" s="230">
        <x:v>0</x:v>
      </x:c>
      <x:c r="P652" s="230">
        <x:v>0</x:v>
      </x:c>
      <x:c r="Q652" s="230">
        <x:v>0</x:v>
      </x:c>
      <x:c r="R652" s="230">
        <x:v>0</x:v>
      </x:c>
      <x:c r="S652" s="230">
        <x:v>0</x:v>
      </x:c>
      <x:c r="T652" s="230">
        <x:v>0</x:v>
      </x:c>
      <x:c r="U652" s="230">
        <x:v>0</x:v>
      </x:c>
      <x:c r="V652" s="230">
        <x:v>0</x:v>
      </x:c>
      <x:c r="W652" s="230">
        <x:v>0</x:v>
      </x:c>
      <x:c r="X652" s="230">
        <x:v>0</x:v>
      </x:c>
      <x:c r="Y652" s="230">
        <x:v>0</x:v>
      </x:c>
      <x:c r="Z652" s="230">
        <x:v>0</x:v>
      </x:c>
    </x:row>
    <x:row r="653" spans="1:26" x14ac:dyDescent="0.3">
      <x:c r="E653" t="s">
        <x:v>73</x:v>
      </x:c>
      <x:c r="F653" s="90">
        <x:v>0</x:v>
      </x:c>
      <x:c r="G653" s="90">
        <x:v>0</x:v>
      </x:c>
      <x:c r="H653" s="90">
        <x:v>0</x:v>
      </x:c>
      <x:c r="I653" s="90">
        <x:v>0</x:v>
      </x:c>
      <x:c r="J653" s="90">
        <x:v>0</x:v>
      </x:c>
      <x:c r="K653" s="90">
        <x:v>0</x:v>
      </x:c>
      <x:c r="L653" s="90">
        <x:v>0</x:v>
      </x:c>
      <x:c r="M653" s="90">
        <x:v>0</x:v>
      </x:c>
      <x:c r="N653" s="90">
        <x:v>0</x:v>
      </x:c>
      <x:c r="O653" s="90">
        <x:v>0</x:v>
      </x:c>
      <x:c r="P653" s="90">
        <x:v>0</x:v>
      </x:c>
      <x:c r="Q653" s="90">
        <x:v>0</x:v>
      </x:c>
      <x:c r="R653" s="90">
        <x:v>0</x:v>
      </x:c>
      <x:c r="S653" s="90">
        <x:v>0</x:v>
      </x:c>
      <x:c r="T653" s="90">
        <x:v>0</x:v>
      </x:c>
      <x:c r="U653">
        <x:v>0</x:v>
      </x:c>
      <x:c r="V653">
        <x:v>0</x:v>
      </x:c>
      <x:c r="W653">
        <x:v>0</x:v>
      </x:c>
      <x:c r="X653">
        <x:v>0</x:v>
      </x:c>
      <x:c r="Y653">
        <x:v>0</x:v>
      </x:c>
      <x:c r="Z653" s="90">
        <x:v>0</x:v>
      </x:c>
    </x:row>
    <x:row r="654" spans="1:26" x14ac:dyDescent="0.3">
      <x:c r="D654" t="s">
        <x:v>82</x:v>
      </x:c>
      <x:c r="E654" t="s">
        <x:v>70</x:v>
      </x:c>
      <x:c r="F654" s="90">
        <x:v>0</x:v>
      </x:c>
      <x:c r="G654" s="90">
        <x:v>0</x:v>
      </x:c>
      <x:c r="H654" s="90">
        <x:v>0</x:v>
      </x:c>
      <x:c r="I654" s="90">
        <x:v>0</x:v>
      </x:c>
      <x:c r="J654" s="90">
        <x:v>0</x:v>
      </x:c>
      <x:c r="K654" s="90">
        <x:v>0</x:v>
      </x:c>
      <x:c r="L654" s="90">
        <x:v>0</x:v>
      </x:c>
      <x:c r="M654" s="90">
        <x:v>0</x:v>
      </x:c>
      <x:c r="N654" s="90">
        <x:v>0</x:v>
      </x:c>
      <x:c r="O654" s="90">
        <x:v>0</x:v>
      </x:c>
      <x:c r="P654" s="90">
        <x:v>0</x:v>
      </x:c>
      <x:c r="Q654" s="90">
        <x:v>0</x:v>
      </x:c>
      <x:c r="R654" s="90">
        <x:v>0</x:v>
      </x:c>
      <x:c r="S654" s="90">
        <x:v>0</x:v>
      </x:c>
      <x:c r="T654" s="90">
        <x:v>0</x:v>
      </x:c>
      <x:c r="U654">
        <x:v>0</x:v>
      </x:c>
      <x:c r="V654">
        <x:v>0</x:v>
      </x:c>
      <x:c r="W654">
        <x:v>0</x:v>
      </x:c>
      <x:c r="X654">
        <x:v>0</x:v>
      </x:c>
      <x:c r="Y654">
        <x:v>0</x:v>
      </x:c>
      <x:c r="Z654" s="90">
        <x:v>0</x:v>
      </x:c>
    </x:row>
    <x:row r="655" spans="1:26" x14ac:dyDescent="0.3">
      <x:c r="E655" t="s">
        <x:v>73</x:v>
      </x:c>
      <x:c r="F655" s="90">
        <x:v>0</x:v>
      </x:c>
      <x:c r="G655" s="90">
        <x:v>0</x:v>
      </x:c>
      <x:c r="H655" s="90">
        <x:v>0</x:v>
      </x:c>
      <x:c r="I655" s="90">
        <x:v>0</x:v>
      </x:c>
      <x:c r="J655" s="90">
        <x:v>0</x:v>
      </x:c>
      <x:c r="K655" s="90">
        <x:v>0</x:v>
      </x:c>
      <x:c r="L655" s="90">
        <x:v>0</x:v>
      </x:c>
      <x:c r="M655" s="90">
        <x:v>0</x:v>
      </x:c>
      <x:c r="N655" s="90">
        <x:v>0</x:v>
      </x:c>
      <x:c r="O655" s="90">
        <x:v>0</x:v>
      </x:c>
      <x:c r="P655" s="90">
        <x:v>0</x:v>
      </x:c>
      <x:c r="Q655" s="90">
        <x:v>0</x:v>
      </x:c>
      <x:c r="R655" s="90">
        <x:v>0</x:v>
      </x:c>
      <x:c r="S655" s="90">
        <x:v>0</x:v>
      </x:c>
      <x:c r="T655" s="90">
        <x:v>0</x:v>
      </x:c>
      <x:c r="U655">
        <x:v>0</x:v>
      </x:c>
      <x:c r="V655">
        <x:v>0</x:v>
      </x:c>
      <x:c r="W655">
        <x:v>0</x:v>
      </x:c>
      <x:c r="X655">
        <x:v>0</x:v>
      </x:c>
      <x:c r="Y655">
        <x:v>0</x:v>
      </x:c>
      <x:c r="Z655" s="90">
        <x:v>0</x:v>
      </x:c>
    </x:row>
    <x:row r="656" spans="1:26" x14ac:dyDescent="0.3">
      <x:c r="D656" t="s">
        <x:v>86</x:v>
      </x:c>
      <x:c r="E656" t="s">
        <x:v>70</x:v>
      </x:c>
      <x:c r="F656" s="90">
        <x:v>0</x:v>
      </x:c>
      <x:c r="G656" s="90">
        <x:v>0</x:v>
      </x:c>
      <x:c r="H656" s="90">
        <x:v>0</x:v>
      </x:c>
      <x:c r="I656" s="90">
        <x:v>0</x:v>
      </x:c>
      <x:c r="J656" s="90">
        <x:v>0</x:v>
      </x:c>
      <x:c r="K656" s="90">
        <x:v>0</x:v>
      </x:c>
      <x:c r="L656" s="90">
        <x:v>0</x:v>
      </x:c>
      <x:c r="M656" s="90">
        <x:v>0</x:v>
      </x:c>
      <x:c r="N656" s="90">
        <x:v>0</x:v>
      </x:c>
      <x:c r="O656" s="90">
        <x:v>0</x:v>
      </x:c>
      <x:c r="P656" s="90">
        <x:v>0</x:v>
      </x:c>
      <x:c r="Q656" s="90">
        <x:v>0</x:v>
      </x:c>
      <x:c r="R656" s="90">
        <x:v>0</x:v>
      </x:c>
      <x:c r="S656" s="90">
        <x:v>0</x:v>
      </x:c>
      <x:c r="T656" s="90">
        <x:v>0</x:v>
      </x:c>
      <x:c r="U656">
        <x:v>0</x:v>
      </x:c>
      <x:c r="V656">
        <x:v>0</x:v>
      </x:c>
      <x:c r="W656">
        <x:v>0</x:v>
      </x:c>
      <x:c r="X656">
        <x:v>0</x:v>
      </x:c>
      <x:c r="Y656">
        <x:v>0</x:v>
      </x:c>
      <x:c r="Z656" s="90">
        <x:v>0</x:v>
      </x:c>
    </x:row>
    <x:row r="657" spans="1:26" x14ac:dyDescent="0.3">
      <x:c r="E657" t="s">
        <x:v>73</x:v>
      </x:c>
      <x:c r="F657" s="90">
        <x:v>0</x:v>
      </x:c>
      <x:c r="G657" s="90">
        <x:v>0</x:v>
      </x:c>
      <x:c r="H657" s="90">
        <x:v>0</x:v>
      </x:c>
      <x:c r="I657" s="90">
        <x:v>0</x:v>
      </x:c>
      <x:c r="J657" s="90">
        <x:v>0</x:v>
      </x:c>
      <x:c r="K657" s="90">
        <x:v>0</x:v>
      </x:c>
      <x:c r="L657" s="90">
        <x:v>0</x:v>
      </x:c>
      <x:c r="M657" s="90">
        <x:v>0</x:v>
      </x:c>
      <x:c r="N657" s="90">
        <x:v>0</x:v>
      </x:c>
      <x:c r="O657" s="90">
        <x:v>0</x:v>
      </x:c>
      <x:c r="P657" s="90">
        <x:v>0</x:v>
      </x:c>
      <x:c r="Q657" s="90">
        <x:v>0</x:v>
      </x:c>
      <x:c r="R657" s="90">
        <x:v>0</x:v>
      </x:c>
      <x:c r="S657" s="90">
        <x:v>0</x:v>
      </x:c>
      <x:c r="T657" s="90">
        <x:v>0</x:v>
      </x:c>
      <x:c r="U657">
        <x:v>0</x:v>
      </x:c>
      <x:c r="V657">
        <x:v>0</x:v>
      </x:c>
      <x:c r="W657">
        <x:v>0</x:v>
      </x:c>
      <x:c r="X657">
        <x:v>0</x:v>
      </x:c>
      <x:c r="Y657">
        <x:v>0</x:v>
      </x:c>
      <x:c r="Z657" s="90">
        <x:v>0</x:v>
      </x:c>
    </x:row>
    <x:row r="658" spans="1:26" x14ac:dyDescent="0.3">
      <x:c r="D658" t="s">
        <x:v>87</x:v>
      </x:c>
      <x:c r="E658" t="s">
        <x:v>70</x:v>
      </x:c>
      <x:c r="F658" s="90">
        <x:v>0</x:v>
      </x:c>
      <x:c r="G658" s="90">
        <x:v>0</x:v>
      </x:c>
      <x:c r="H658" s="90">
        <x:v>0</x:v>
      </x:c>
      <x:c r="I658" s="90">
        <x:v>0</x:v>
      </x:c>
      <x:c r="J658" s="90">
        <x:v>0</x:v>
      </x:c>
      <x:c r="K658" s="90">
        <x:v>0</x:v>
      </x:c>
      <x:c r="L658" s="90">
        <x:v>0</x:v>
      </x:c>
      <x:c r="M658" s="90">
        <x:v>0</x:v>
      </x:c>
      <x:c r="N658" s="90">
        <x:v>0</x:v>
      </x:c>
      <x:c r="O658" s="90">
        <x:v>0</x:v>
      </x:c>
      <x:c r="P658" s="90">
        <x:v>0</x:v>
      </x:c>
      <x:c r="Q658" s="90">
        <x:v>0</x:v>
      </x:c>
      <x:c r="R658" s="90">
        <x:v>0</x:v>
      </x:c>
      <x:c r="S658" s="90">
        <x:v>0</x:v>
      </x:c>
      <x:c r="T658" s="90">
        <x:v>0</x:v>
      </x:c>
      <x:c r="U658">
        <x:v>0</x:v>
      </x:c>
      <x:c r="V658">
        <x:v>0</x:v>
      </x:c>
      <x:c r="W658">
        <x:v>0</x:v>
      </x:c>
      <x:c r="X658">
        <x:v>0</x:v>
      </x:c>
      <x:c r="Y658">
        <x:v>0</x:v>
      </x:c>
      <x:c r="Z658" s="90">
        <x:v>0</x:v>
      </x:c>
    </x:row>
    <x:row r="659" spans="1:26" s="94" customFormat="1" ht="12.75" customHeight="1" x14ac:dyDescent="0.3">
      <x:c r="C659" s="101" t="s">
        <x:v>119</x:v>
      </x:c>
      <x:c r="D659" s="101" t="s">
        <x:v>70</x:v>
      </x:c>
      <x:c r="F659" s="93">
        <x:v>0</x:v>
      </x:c>
      <x:c r="G659" s="93">
        <x:v>0</x:v>
      </x:c>
      <x:c r="H659" s="93">
        <x:v>0</x:v>
      </x:c>
      <x:c r="I659" s="93">
        <x:v>0</x:v>
      </x:c>
      <x:c r="J659" s="93">
        <x:v>0</x:v>
      </x:c>
      <x:c r="K659" s="93">
        <x:v>0</x:v>
      </x:c>
      <x:c r="L659" s="93">
        <x:v>0</x:v>
      </x:c>
      <x:c r="M659" s="93">
        <x:v>0</x:v>
      </x:c>
      <x:c r="N659" s="93">
        <x:v>0</x:v>
      </x:c>
      <x:c r="O659" s="93">
        <x:v>0</x:v>
      </x:c>
      <x:c r="P659" s="93">
        <x:v>0</x:v>
      </x:c>
      <x:c r="Q659" s="93">
        <x:v>0</x:v>
      </x:c>
      <x:c r="R659" s="93">
        <x:v>0</x:v>
      </x:c>
      <x:c r="S659" s="93">
        <x:v>0</x:v>
      </x:c>
      <x:c r="T659" s="93">
        <x:v>0</x:v>
      </x:c>
      <x:c r="U659" s="93">
        <x:v>0</x:v>
      </x:c>
      <x:c r="V659" s="93">
        <x:v>0</x:v>
      </x:c>
      <x:c r="W659" s="93">
        <x:v>0</x:v>
      </x:c>
      <x:c r="X659" s="93">
        <x:v>0</x:v>
      </x:c>
      <x:c r="Y659" s="93">
        <x:v>0</x:v>
      </x:c>
      <x:c r="Z659" s="93">
        <x:v>0</x:v>
      </x:c>
    </x:row>
    <x:row r="660" spans="1:26" s="378" customFormat="1" ht="12.75" customHeight="1" x14ac:dyDescent="0.3">
      <x:c r="B660" s="378" t="s">
        <x:v>122</x:v>
      </x:c>
      <x:c r="C660" s="378" t="s">
        <x:v>70</x:v>
      </x:c>
      <x:c r="E660" s="376"/>
      <x:c r="F660" s="710">
        <x:v>0</x:v>
      </x:c>
      <x:c r="G660" s="377">
        <x:v>0</x:v>
      </x:c>
      <x:c r="H660" s="377">
        <x:v>0</x:v>
      </x:c>
      <x:c r="I660" s="377">
        <x:v>0</x:v>
      </x:c>
      <x:c r="J660" s="377">
        <x:v>0</x:v>
      </x:c>
      <x:c r="K660" s="377">
        <x:v>0</x:v>
      </x:c>
      <x:c r="L660" s="377">
        <x:v>0</x:v>
      </x:c>
      <x:c r="M660" s="377">
        <x:v>0</x:v>
      </x:c>
      <x:c r="N660" s="377">
        <x:v>0</x:v>
      </x:c>
      <x:c r="O660" s="377">
        <x:v>0</x:v>
      </x:c>
      <x:c r="P660" s="377">
        <x:v>0</x:v>
      </x:c>
      <x:c r="Q660" s="377">
        <x:v>0</x:v>
      </x:c>
      <x:c r="R660" s="377">
        <x:v>0</x:v>
      </x:c>
      <x:c r="S660" s="377">
        <x:v>0</x:v>
      </x:c>
      <x:c r="T660" s="377">
        <x:v>0</x:v>
      </x:c>
      <x:c r="U660" s="377">
        <x:v>0</x:v>
      </x:c>
      <x:c r="V660" s="377">
        <x:v>0</x:v>
      </x:c>
      <x:c r="W660" s="377">
        <x:v>0</x:v>
      </x:c>
      <x:c r="X660" s="377">
        <x:v>0</x:v>
      </x:c>
      <x:c r="Y660" s="377">
        <x:v>0</x:v>
      </x:c>
      <x:c r="Z660" s="377">
        <x:v>0</x:v>
      </x:c>
    </x:row>
    <x:row r="661" spans="1:26" ht="12.75" customHeight="1" x14ac:dyDescent="0.3">
      <x:c r="E661" s="89" t="s">
        <x:v>73</x:v>
      </x:c>
      <x:c r="F661" s="371" t="n">
        <x:v>-170561819.89</x:v>
      </x:c>
      <x:c r="G661" s="90" t="n">
        <x:v>10753191.92</x:v>
      </x:c>
      <x:c r="H661" s="90" t="n">
        <x:v>5971219.08</x:v>
      </x:c>
      <x:c r="I661" s="90" t="n">
        <x:v>3173606.36</x:v>
      </x:c>
      <x:c r="J661" s="90" t="n">
        <x:v>-72995240.97</x:v>
      </x:c>
      <x:c r="K661" s="90" t="n">
        <x:v>-2462189.9</x:v>
      </x:c>
      <x:c r="L661" s="90" t="n">
        <x:v>0</x:v>
      </x:c>
      <x:c r="M661" s="90" t="n">
        <x:v>-21620596.43</x:v>
      </x:c>
      <x:c r="N661" s="90" t="n">
        <x:v>-20865967.76</x:v>
      </x:c>
      <x:c r="O661" s="90" t="n">
        <x:v>-100905954.38</x:v>
      </x:c>
      <x:c r="P661" s="90" t="n">
        <x:v>32409631.54</x:v>
      </x:c>
      <x:c r="Q661" s="90" t="n">
        <x:v>-4019519.35</x:v>
      </x:c>
      <x:c r="R661" s="90" t="n">
        <x:v>0</x:v>
      </x:c>
      <x:c r="S661" s="90" t="n">
        <x:v>0</x:v>
      </x:c>
      <x:c r="T661" t="n">
        <x:v>0</x:v>
      </x:c>
      <x:c r="U661">
        <x:v>0</x:v>
      </x:c>
      <x:c r="V661">
        <x:v>0</x:v>
      </x:c>
      <x:c r="W661">
        <x:v>0</x:v>
      </x:c>
      <x:c r="X661">
        <x:v>0</x:v>
      </x:c>
      <x:c r="Y661">
        <x:v>0</x:v>
      </x:c>
      <x:c r="Z661">
        <x:v>0</x:v>
      </x:c>
    </x:row>
    <x:row r="662" spans="1:26" ht="12.75" customHeight="1" x14ac:dyDescent="0.3">
      <x:c r="D662" t="s">
        <x:v>156</x:v>
      </x:c>
      <x:c r="E662" s="89" t="s">
        <x:v>70</x:v>
      </x:c>
      <x:c r="F662" s="371" t="n">
        <x:v>-170561819.89</x:v>
      </x:c>
      <x:c r="G662" s="90" t="n">
        <x:v>10753191.92</x:v>
      </x:c>
      <x:c r="H662" s="90" t="n">
        <x:v>5971219.08</x:v>
      </x:c>
      <x:c r="I662" s="90" t="n">
        <x:v>3173606.36</x:v>
      </x:c>
      <x:c r="J662" s="90" t="n">
        <x:v>-72995240.97</x:v>
      </x:c>
      <x:c r="K662" s="90" t="n">
        <x:v>-2462189.9</x:v>
      </x:c>
      <x:c r="L662" s="90" t="n">
        <x:v>0</x:v>
      </x:c>
      <x:c r="M662" s="90" t="n">
        <x:v>-21620596.43</x:v>
      </x:c>
      <x:c r="N662" s="90" t="n">
        <x:v>-20865967.76</x:v>
      </x:c>
      <x:c r="O662" s="90" t="n">
        <x:v>-100905954.38</x:v>
      </x:c>
      <x:c r="P662" s="90" t="n">
        <x:v>32409631.54</x:v>
      </x:c>
      <x:c r="Q662" s="90" t="n">
        <x:v>-4019519.35</x:v>
      </x:c>
      <x:c r="R662" s="90" t="n">
        <x:v>0</x:v>
      </x:c>
      <x:c r="S662" s="90" t="n">
        <x:v>0</x:v>
      </x:c>
      <x:c r="T662" t="n">
        <x:v>0</x:v>
      </x:c>
      <x:c r="U662">
        <x:v>0</x:v>
      </x:c>
      <x:c r="V662">
        <x:v>0</x:v>
      </x:c>
      <x:c r="W662">
        <x:v>0</x:v>
      </x:c>
      <x:c r="X662">
        <x:v>0</x:v>
      </x:c>
      <x:c r="Y662">
        <x:v>0</x:v>
      </x:c>
      <x:c r="Z662">
        <x:v>0</x:v>
      </x:c>
    </x:row>
    <x:row r="663" spans="1:26" s="656" customFormat="1" ht="12.75" customHeight="1" x14ac:dyDescent="0.3">
      <x:c r="A663" s="657"/>
      <x:c r="B663" s="657"/>
      <x:c r="C663" s="656" t="s">
        <x:v>155</x:v>
      </x:c>
      <x:c r="D663" s="656" t="s">
        <x:v>70</x:v>
      </x:c>
      <x:c r="F663" s="658" t="n">
        <x:v>-170561819.89</x:v>
      </x:c>
      <x:c r="G663" s="658" t="n">
        <x:v>10753191.92</x:v>
      </x:c>
      <x:c r="H663" s="658" t="n">
        <x:v>5971219.08</x:v>
      </x:c>
      <x:c r="I663" s="658" t="n">
        <x:v>3173606.36</x:v>
      </x:c>
      <x:c r="J663" s="658" t="n">
        <x:v>-72995240.97</x:v>
      </x:c>
      <x:c r="K663" s="658" t="n">
        <x:v>-2462189.9</x:v>
      </x:c>
      <x:c r="L663" s="658" t="n">
        <x:v>0</x:v>
      </x:c>
      <x:c r="M663" s="658" t="n">
        <x:v>-21620596.43</x:v>
      </x:c>
      <x:c r="N663" s="658" t="n">
        <x:v>-20865967.76</x:v>
      </x:c>
      <x:c r="O663" s="658" t="n">
        <x:v>-100905954.38</x:v>
      </x:c>
      <x:c r="P663" s="658" t="n">
        <x:v>32409631.54</x:v>
      </x:c>
      <x:c r="Q663" s="658" t="n">
        <x:v>-4019519.35</x:v>
      </x:c>
      <x:c r="R663" s="658" t="n">
        <x:v>0</x:v>
      </x:c>
      <x:c r="S663" s="658" t="n">
        <x:v>0</x:v>
      </x:c>
      <x:c r="T663" s="656" t="n">
        <x:v>0</x:v>
      </x:c>
      <x:c r="U663" s="656">
        <x:v>0</x:v>
      </x:c>
      <x:c r="V663" s="656">
        <x:v>0</x:v>
      </x:c>
      <x:c r="W663" s="656">
        <x:v>0</x:v>
      </x:c>
      <x:c r="X663" s="656">
        <x:v>0</x:v>
      </x:c>
      <x:c r="Y663" s="656">
        <x:v>0</x:v>
      </x:c>
      <x:c r="Z663" s="656">
        <x:v>0</x:v>
      </x:c>
    </x:row>
    <x:row r="664" spans="1:26" ht="12.75" customHeight="1" x14ac:dyDescent="0.3">
      <x:c r="E664" s="89" t="s">
        <x:v>73</x:v>
      </x:c>
      <x:c r="F664" s="371" t="n">
        <x:v>-20676306.97</x:v>
      </x:c>
      <x:c r="G664" s="90" t="n">
        <x:v>-1030955.54</x:v>
      </x:c>
      <x:c r="H664" s="90" t="n">
        <x:v>-574040.59</x:v>
      </x:c>
      <x:c r="I664" s="90" t="n">
        <x:v>-305319.3</x:v>
      </x:c>
      <x:c r="J664" s="90" t="n">
        <x:v>-5151792.1</x:v>
      </x:c>
      <x:c r="K664" s="90" t="n">
        <x:v>-169399.72</x:v>
      </x:c>
      <x:c r="L664" s="90" t="n">
        <x:v>0</x:v>
      </x:c>
      <x:c r="M664" s="90" t="n">
        <x:v>-1485911.9</x:v>
      </x:c>
      <x:c r="N664" s="90" t="n">
        <x:v>-1420513.45</x:v>
      </x:c>
      <x:c r="O664" s="90" t="n">
        <x:v>-7189457.94</x:v>
      </x:c>
      <x:c r="P664" s="90" t="n">
        <x:v>-3072537.16</x:v>
      </x:c>
      <x:c r="Q664" s="90" t="n">
        <x:v>-276379.27</x:v>
      </x:c>
      <x:c r="R664" s="90" t="n">
        <x:v>0</x:v>
      </x:c>
      <x:c r="S664" s="90" t="n">
        <x:v>0</x:v>
      </x:c>
      <x:c r="T664" t="n">
        <x:v>0</x:v>
      </x:c>
      <x:c r="U664">
        <x:v>0</x:v>
      </x:c>
      <x:c r="V664">
        <x:v>0</x:v>
      </x:c>
      <x:c r="W664">
        <x:v>0</x:v>
      </x:c>
      <x:c r="X664">
        <x:v>0</x:v>
      </x:c>
      <x:c r="Y664">
        <x:v>0</x:v>
      </x:c>
      <x:c r="Z664">
        <x:v>0</x:v>
      </x:c>
    </x:row>
    <x:row r="665" spans="1:26" ht="12.75" customHeight="1" x14ac:dyDescent="0.3">
      <x:c r="D665" t="s">
        <x:v>156</x:v>
      </x:c>
      <x:c r="E665" s="89" t="s">
        <x:v>70</x:v>
      </x:c>
      <x:c r="F665" s="371" t="n">
        <x:v>-20676306.97</x:v>
      </x:c>
      <x:c r="G665" s="90" t="n">
        <x:v>-1030955.54</x:v>
      </x:c>
      <x:c r="H665" s="90" t="n">
        <x:v>-574040.59</x:v>
      </x:c>
      <x:c r="I665" s="90" t="n">
        <x:v>-305319.3</x:v>
      </x:c>
      <x:c r="J665" s="90" t="n">
        <x:v>-5151792.1</x:v>
      </x:c>
      <x:c r="K665" s="90" t="n">
        <x:v>-169399.72</x:v>
      </x:c>
      <x:c r="L665" s="90" t="n">
        <x:v>0</x:v>
      </x:c>
      <x:c r="M665" s="90" t="n">
        <x:v>-1485911.9</x:v>
      </x:c>
      <x:c r="N665" s="90" t="n">
        <x:v>-1420513.45</x:v>
      </x:c>
      <x:c r="O665" s="90" t="n">
        <x:v>-7189457.94</x:v>
      </x:c>
      <x:c r="P665" s="90" t="n">
        <x:v>-3072537.16</x:v>
      </x:c>
      <x:c r="Q665" s="90" t="n">
        <x:v>-276379.27</x:v>
      </x:c>
      <x:c r="R665" s="90" t="n">
        <x:v>0</x:v>
      </x:c>
      <x:c r="S665" s="90" t="n">
        <x:v>0</x:v>
      </x:c>
      <x:c r="T665" t="n">
        <x:v>0</x:v>
      </x:c>
      <x:c r="U665">
        <x:v>0</x:v>
      </x:c>
      <x:c r="V665">
        <x:v>0</x:v>
      </x:c>
      <x:c r="W665">
        <x:v>0</x:v>
      </x:c>
      <x:c r="X665">
        <x:v>0</x:v>
      </x:c>
      <x:c r="Y665">
        <x:v>0</x:v>
      </x:c>
      <x:c r="Z665">
        <x:v>0</x:v>
      </x:c>
    </x:row>
    <x:row r="666" spans="1:26" s="739" customFormat="1" ht="12.75" customHeight="1" x14ac:dyDescent="0.3">
      <x:c r="C666" s="739" t="s">
        <x:v>326</x:v>
      </x:c>
      <x:c r="D666" s="739" t="s">
        <x:v>70</x:v>
      </x:c>
      <x:c r="E666" s="231"/>
      <x:c r="F666" s="740" t="n">
        <x:v>-20676306.97</x:v>
      </x:c>
      <x:c r="G666" s="232" t="n">
        <x:v>-1030955.54</x:v>
      </x:c>
      <x:c r="H666" s="232" t="n">
        <x:v>-574040.59</x:v>
      </x:c>
      <x:c r="I666" s="232" t="n">
        <x:v>-305319.3</x:v>
      </x:c>
      <x:c r="J666" s="232" t="n">
        <x:v>-5151792.1</x:v>
      </x:c>
      <x:c r="K666" s="232" t="n">
        <x:v>-169399.72</x:v>
      </x:c>
      <x:c r="L666" s="232" t="n">
        <x:v>0</x:v>
      </x:c>
      <x:c r="M666" s="232" t="n">
        <x:v>-1485911.9</x:v>
      </x:c>
      <x:c r="N666" s="232" t="n">
        <x:v>-1420513.45</x:v>
      </x:c>
      <x:c r="O666" s="232" t="n">
        <x:v>-7189457.94</x:v>
      </x:c>
      <x:c r="P666" s="232" t="n">
        <x:v>-3072537.16</x:v>
      </x:c>
      <x:c r="Q666" s="232" t="n">
        <x:v>-276379.27</x:v>
      </x:c>
      <x:c r="R666" s="232" t="n">
        <x:v>0</x:v>
      </x:c>
      <x:c r="S666" s="232" t="n">
        <x:v>0</x:v>
      </x:c>
      <x:c r="T666" s="739" t="n">
        <x:v>0</x:v>
      </x:c>
      <x:c r="U666" s="739">
        <x:v>0</x:v>
      </x:c>
      <x:c r="V666" s="739">
        <x:v>0</x:v>
      </x:c>
      <x:c r="W666" s="739">
        <x:v>0</x:v>
      </x:c>
      <x:c r="X666" s="739">
        <x:v>0</x:v>
      </x:c>
      <x:c r="Y666" s="739">
        <x:v>0</x:v>
      </x:c>
      <x:c r="Z666" s="739">
        <x:v>0</x:v>
      </x:c>
    </x:row>
    <x:row r="667" spans="1:26" ht="12.75" customHeight="1" x14ac:dyDescent="0.3">
      <x:c r="E667" s="89" t="s">
        <x:v>73</x:v>
      </x:c>
      <x:c r="F667" s="371" t="n">
        <x:v>191228.37</x:v>
      </x:c>
      <x:c r="G667" s="90" t="n">
        <x:v>133039.57</x:v>
      </x:c>
      <x:c r="H667" s="90" t="n">
        <x:v>75310.73</x:v>
      </x:c>
      <x:c r="I667" s="90" t="n">
        <x:v>39747.31</x:v>
      </x:c>
      <x:c r="J667" s="90" t="n">
        <x:v>-39777.11</x:v>
      </x:c>
      <x:c r="K667" s="90" t="n">
        <x:v>-4210.01</x:v>
      </x:c>
      <x:c r="L667" s="90" t="n">
        <x:v>0</x:v>
      </x:c>
      <x:c r="M667" s="90" t="n">
        <x:v>-36921.14</x:v>
      </x:c>
      <x:c r="N667" s="90" t="n">
        <x:v>-53891.47</x:v>
      </x:c>
      <x:c r="O667" s="90" t="n">
        <x:v>-311814.94</x:v>
      </x:c>
      <x:c r="P667" s="90" t="n">
        <x:v>396614.53</x:v>
      </x:c>
      <x:c r="Q667" s="90" t="n">
        <x:v>-6869.1</x:v>
      </x:c>
      <x:c r="R667" s="90" t="n">
        <x:v>0</x:v>
      </x:c>
      <x:c r="S667" s="90" t="n">
        <x:v>0</x:v>
      </x:c>
      <x:c r="T667" t="n">
        <x:v>0</x:v>
      </x:c>
      <x:c r="U667">
        <x:v>0</x:v>
      </x:c>
      <x:c r="V667">
        <x:v>0</x:v>
      </x:c>
      <x:c r="W667">
        <x:v>0</x:v>
      </x:c>
      <x:c r="X667">
        <x:v>0</x:v>
      </x:c>
      <x:c r="Y667">
        <x:v>0</x:v>
      </x:c>
      <x:c r="Z667">
        <x:v>0</x:v>
      </x:c>
    </x:row>
    <x:row r="668" spans="1:26" ht="12.75" customHeight="1" x14ac:dyDescent="0.3">
      <x:c r="D668" s="89" t="s">
        <x:v>82</x:v>
      </x:c>
      <x:c r="E668" s="89" t="s">
        <x:v>70</x:v>
      </x:c>
      <x:c r="F668" s="90" t="n">
        <x:v>191228.37</x:v>
      </x:c>
      <x:c r="G668" s="90" t="n">
        <x:v>133039.57</x:v>
      </x:c>
      <x:c r="H668" s="90" t="n">
        <x:v>75310.73</x:v>
      </x:c>
      <x:c r="I668" s="90" t="n">
        <x:v>39747.31</x:v>
      </x:c>
      <x:c r="J668" s="90" t="n">
        <x:v>-39777.11</x:v>
      </x:c>
      <x:c r="K668" s="90" t="n">
        <x:v>-4210.01</x:v>
      </x:c>
      <x:c r="L668" s="90" t="n">
        <x:v>0</x:v>
      </x:c>
      <x:c r="M668" s="90" t="n">
        <x:v>-36921.14</x:v>
      </x:c>
      <x:c r="N668" s="90" t="n">
        <x:v>-53891.47</x:v>
      </x:c>
      <x:c r="O668" s="90" t="n">
        <x:v>-311814.94</x:v>
      </x:c>
      <x:c r="P668" s="90" t="n">
        <x:v>396614.53</x:v>
      </x:c>
      <x:c r="Q668" s="90" t="n">
        <x:v>-6869.1</x:v>
      </x:c>
      <x:c r="R668" s="90" t="n">
        <x:v>0</x:v>
      </x:c>
      <x:c r="S668" s="90" t="n">
        <x:v>0</x:v>
      </x:c>
      <x:c r="T668" t="n">
        <x:v>0</x:v>
      </x:c>
      <x:c r="U668">
        <x:v>0</x:v>
      </x:c>
      <x:c r="V668">
        <x:v>0</x:v>
      </x:c>
      <x:c r="W668">
        <x:v>0</x:v>
      </x:c>
      <x:c r="X668">
        <x:v>0</x:v>
      </x:c>
      <x:c r="Y668">
        <x:v>0</x:v>
      </x:c>
      <x:c r="Z668">
        <x:v>0</x:v>
      </x:c>
    </x:row>
    <x:row r="669" spans="1:26" ht="12.75" customHeight="1" x14ac:dyDescent="0.3">
      <x:c r="E669" s="89" t="s">
        <x:v>73</x:v>
      </x:c>
      <x:c r="F669" s="90" t="n">
        <x:v>2399773.79</x:v>
      </x:c>
      <x:c r="G669" s="90" t="n">
        <x:v>316955.67</x:v>
      </x:c>
      <x:c r="H669" s="90" t="n">
        <x:v>175303.8</x:v>
      </x:c>
      <x:c r="I669" s="90" t="n">
        <x:v>93368.94</x:v>
      </x:c>
      <x:c r="J669" s="90" t="n">
        <x:v>185831.99</x:v>
      </x:c>
      <x:c r="K669" s="90" t="n">
        <x:v>9144.51</x:v>
      </x:c>
      <x:c r="L669" s="90" t="n">
        <x:v>0</x:v>
      </x:c>
      <x:c r="M669" s="90" t="n">
        <x:v>84275.12</x:v>
      </x:c>
      <x:c r="N669" s="90" t="n">
        <x:v>94151.17</x:v>
      </x:c>
      <x:c r="O669" s="90" t="n">
        <x:v>470643.7</x:v>
      </x:c>
      <x:c r="P669" s="90" t="n">
        <x:v>955178.9</x:v>
      </x:c>
      <x:c r="Q669" s="90" t="n">
        <x:v>14919.99</x:v>
      </x:c>
      <x:c r="R669" s="90" t="n">
        <x:v>0</x:v>
      </x:c>
      <x:c r="S669" s="90" t="n">
        <x:v>0</x:v>
      </x:c>
      <x:c r="T669" t="n">
        <x:v>0</x:v>
      </x:c>
      <x:c r="U669">
        <x:v>0</x:v>
      </x:c>
      <x:c r="V669">
        <x:v>0</x:v>
      </x:c>
      <x:c r="W669">
        <x:v>0</x:v>
      </x:c>
      <x:c r="X669">
        <x:v>0</x:v>
      </x:c>
      <x:c r="Y669">
        <x:v>0</x:v>
      </x:c>
      <x:c r="Z669">
        <x:v>0</x:v>
      </x:c>
    </x:row>
    <x:row r="670" spans="1:26" ht="12.75" customHeight="1" x14ac:dyDescent="0.3">
      <x:c r="D670" s="89" t="s">
        <x:v>86</x:v>
      </x:c>
      <x:c r="E670" s="89" t="s">
        <x:v>70</x:v>
      </x:c>
      <x:c r="F670" s="90" t="n">
        <x:v>2399773.79</x:v>
      </x:c>
      <x:c r="G670" s="90" t="n">
        <x:v>316955.67</x:v>
      </x:c>
      <x:c r="H670" s="90" t="n">
        <x:v>175303.8</x:v>
      </x:c>
      <x:c r="I670" s="90" t="n">
        <x:v>93368.94</x:v>
      </x:c>
      <x:c r="J670" s="90" t="n">
        <x:v>185831.99</x:v>
      </x:c>
      <x:c r="K670" s="90" t="n">
        <x:v>9144.51</x:v>
      </x:c>
      <x:c r="L670" s="90" t="n">
        <x:v>0</x:v>
      </x:c>
      <x:c r="M670" s="90" t="n">
        <x:v>84275.12</x:v>
      </x:c>
      <x:c r="N670" s="90" t="n">
        <x:v>94151.17</x:v>
      </x:c>
      <x:c r="O670" s="90" t="n">
        <x:v>470643.7</x:v>
      </x:c>
      <x:c r="P670" s="90" t="n">
        <x:v>955178.9</x:v>
      </x:c>
      <x:c r="Q670" s="90" t="n">
        <x:v>14919.99</x:v>
      </x:c>
      <x:c r="R670" s="90" t="n">
        <x:v>0</x:v>
      </x:c>
      <x:c r="S670" s="90" t="n">
        <x:v>0</x:v>
      </x:c>
      <x:c r="T670" t="n">
        <x:v>0</x:v>
      </x:c>
      <x:c r="U670">
        <x:v>0</x:v>
      </x:c>
      <x:c r="V670">
        <x:v>0</x:v>
      </x:c>
      <x:c r="W670">
        <x:v>0</x:v>
      </x:c>
      <x:c r="X670">
        <x:v>0</x:v>
      </x:c>
      <x:c r="Y670">
        <x:v>0</x:v>
      </x:c>
      <x:c r="Z670">
        <x:v>0</x:v>
      </x:c>
    </x:row>
    <x:row r="671" spans="1:26" ht="12.75" customHeight="1" x14ac:dyDescent="0.3">
      <x:c r="E671" s="89" t="s">
        <x:v>73</x:v>
      </x:c>
      <x:c r="F671" s="90" t="n">
        <x:v>36270393.7</x:v>
      </x:c>
      <x:c r="G671" s="90" t="n">
        <x:v>7294256.55</x:v>
      </x:c>
      <x:c r="H671" s="90" t="n">
        <x:v>4030099.58</x:v>
      </x:c>
      <x:c r="I671" s="90" t="n">
        <x:v>2148240.97</x:v>
      </x:c>
      <x:c r="J671" s="90" t="n">
        <x:v>592932.37</x:v>
      </x:c>
      <x:c r="K671" s="90" t="n">
        <x:v>5598.69</x:v>
      </x:c>
      <x:c r="L671" s="90" t="n">
        <x:v>0</x:v>
      </x:c>
      <x:c r="M671" s="90" t="n">
        <x:v>50827.4</x:v>
      </x:c>
      <x:c r="N671" s="90" t="n">
        <x:v>53449.52</x:v>
      </x:c>
      <x:c r="O671" s="90" t="n">
        <x:v>301085.35</x:v>
      </x:c>
      <x:c r="P671" s="90" t="n">
        <x:v>21784768.38</x:v>
      </x:c>
      <x:c r="Q671" s="90" t="n">
        <x:v>9134.89</x:v>
      </x:c>
      <x:c r="R671" s="90" t="n">
        <x:v>0</x:v>
      </x:c>
      <x:c r="S671" s="90" t="n">
        <x:v>0</x:v>
      </x:c>
      <x:c r="T671" t="n">
        <x:v>0</x:v>
      </x:c>
      <x:c r="U671">
        <x:v>0</x:v>
      </x:c>
      <x:c r="V671">
        <x:v>0</x:v>
      </x:c>
      <x:c r="W671">
        <x:v>0</x:v>
      </x:c>
      <x:c r="X671">
        <x:v>0</x:v>
      </x:c>
      <x:c r="Y671">
        <x:v>0</x:v>
      </x:c>
      <x:c r="Z671">
        <x:v>0</x:v>
      </x:c>
    </x:row>
    <x:row r="672" spans="1:26" ht="12.75" customHeight="1" x14ac:dyDescent="0.3">
      <x:c r="D672" s="89" t="s">
        <x:v>87</x:v>
      </x:c>
      <x:c r="E672" s="89" t="s">
        <x:v>70</x:v>
      </x:c>
      <x:c r="F672" s="90" t="n">
        <x:v>36270393.7</x:v>
      </x:c>
      <x:c r="G672" s="90" t="n">
        <x:v>7294256.55</x:v>
      </x:c>
      <x:c r="H672" s="90" t="n">
        <x:v>4030099.58</x:v>
      </x:c>
      <x:c r="I672" s="90" t="n">
        <x:v>2148240.97</x:v>
      </x:c>
      <x:c r="J672" s="90" t="n">
        <x:v>592932.37</x:v>
      </x:c>
      <x:c r="K672" s="90" t="n">
        <x:v>5598.69</x:v>
      </x:c>
      <x:c r="L672" s="90" t="n">
        <x:v>0</x:v>
      </x:c>
      <x:c r="M672" s="90" t="n">
        <x:v>50827.4</x:v>
      </x:c>
      <x:c r="N672" s="90" t="n">
        <x:v>53449.52</x:v>
      </x:c>
      <x:c r="O672" s="90" t="n">
        <x:v>301085.35</x:v>
      </x:c>
      <x:c r="P672" s="90" t="n">
        <x:v>21784768.38</x:v>
      </x:c>
      <x:c r="Q672" s="90" t="n">
        <x:v>9134.89</x:v>
      </x:c>
      <x:c r="R672" s="90" t="n">
        <x:v>0</x:v>
      </x:c>
      <x:c r="S672" s="90" t="n">
        <x:v>0</x:v>
      </x:c>
      <x:c r="T672" t="n">
        <x:v>0</x:v>
      </x:c>
      <x:c r="U672">
        <x:v>0</x:v>
      </x:c>
      <x:c r="V672">
        <x:v>0</x:v>
      </x:c>
      <x:c r="W672">
        <x:v>0</x:v>
      </x:c>
      <x:c r="X672">
        <x:v>0</x:v>
      </x:c>
      <x:c r="Y672">
        <x:v>0</x:v>
      </x:c>
      <x:c r="Z672">
        <x:v>0</x:v>
      </x:c>
    </x:row>
    <x:row r="673" spans="1:41" s="94" customFormat="1" ht="12.75" customHeight="1" x14ac:dyDescent="0.3">
      <x:c r="C673" s="94" t="s">
        <x:v>119</x:v>
      </x:c>
      <x:c r="D673" s="94" t="s">
        <x:v>70</x:v>
      </x:c>
      <x:c r="E673" s="101"/>
      <x:c r="F673" s="93" t="n">
        <x:v>38861395.86</x:v>
      </x:c>
      <x:c r="G673" s="93" t="n">
        <x:v>7744251.79</x:v>
      </x:c>
      <x:c r="H673" s="93" t="n">
        <x:v>4280714.11</x:v>
      </x:c>
      <x:c r="I673" s="93" t="n">
        <x:v>2281357.22</x:v>
      </x:c>
      <x:c r="J673" s="93" t="n">
        <x:v>738987.25</x:v>
      </x:c>
      <x:c r="K673" s="93" t="n">
        <x:v>10533.19</x:v>
      </x:c>
      <x:c r="L673" s="93" t="n">
        <x:v>0</x:v>
      </x:c>
      <x:c r="M673" s="93" t="n">
        <x:v>98181.38</x:v>
      </x:c>
      <x:c r="N673" s="93" t="n">
        <x:v>93709.22</x:v>
      </x:c>
      <x:c r="O673" s="93" t="n">
        <x:v>459914.11</x:v>
      </x:c>
      <x:c r="P673" s="93" t="n">
        <x:v>23136561.81</x:v>
      </x:c>
      <x:c r="Q673" s="93" t="n">
        <x:v>17185.78</x:v>
      </x:c>
      <x:c r="R673" s="93" t="n">
        <x:v>0</x:v>
      </x:c>
      <x:c r="S673" s="93" t="n">
        <x:v>0</x:v>
      </x:c>
      <x:c r="T673" s="94" t="n">
        <x:v>0</x:v>
      </x:c>
      <x:c r="U673" s="94">
        <x:v>0</x:v>
      </x:c>
      <x:c r="V673" s="94">
        <x:v>0</x:v>
      </x:c>
      <x:c r="W673" s="94">
        <x:v>0</x:v>
      </x:c>
      <x:c r="X673" s="94">
        <x:v>0</x:v>
      </x:c>
      <x:c r="Y673" s="94">
        <x:v>0</x:v>
      </x:c>
      <x:c r="Z673" s="94">
        <x:v>0</x:v>
      </x:c>
    </x:row>
    <x:row r="674" spans="1:41" s="226" customFormat="1" ht="12.75" customHeight="1" x14ac:dyDescent="0.3">
      <x:c r="B674" s="98" t="s">
        <x:v>112</x:v>
      </x:c>
      <x:c r="C674" s="98" t="s">
        <x:v>70</x:v>
      </x:c>
      <x:c r="F674" s="100" t="n">
        <x:v>-152376731</x:v>
      </x:c>
      <x:c r="G674" s="100" t="n">
        <x:v>17466488.17</x:v>
      </x:c>
      <x:c r="H674" s="100" t="n">
        <x:v>9677892.6</x:v>
      </x:c>
      <x:c r="I674" s="100" t="n">
        <x:v>5149644.28</x:v>
      </x:c>
      <x:c r="J674" s="100" t="n">
        <x:v>-77408045.82</x:v>
      </x:c>
      <x:c r="K674" s="100" t="n">
        <x:v>-2621056.43</x:v>
      </x:c>
      <x:c r="L674" s="100" t="n">
        <x:v>0</x:v>
      </x:c>
      <x:c r="M674" s="100" t="n">
        <x:v>-23008326.95</x:v>
      </x:c>
      <x:c r="N674" s="100" t="n">
        <x:v>-22192771.99</x:v>
      </x:c>
      <x:c r="O674" s="100" t="n">
        <x:v>-107635498.21</x:v>
      </x:c>
      <x:c r="P674" s="100" t="n">
        <x:v>52473656.19</x:v>
      </x:c>
      <x:c r="Q674" s="100" t="n">
        <x:v>-4278712.84</x:v>
      </x:c>
      <x:c r="R674" s="100" t="n">
        <x:v>0</x:v>
      </x:c>
      <x:c r="S674" s="100" t="n">
        <x:v>0</x:v>
      </x:c>
      <x:c r="T674" s="226" t="n">
        <x:v>0</x:v>
      </x:c>
      <x:c r="U674" s="226">
        <x:v>0</x:v>
      </x:c>
      <x:c r="V674" s="226">
        <x:v>0</x:v>
      </x:c>
      <x:c r="W674" s="226">
        <x:v>0</x:v>
      </x:c>
      <x:c r="X674" s="226">
        <x:v>0</x:v>
      </x:c>
      <x:c r="Y674" s="226">
        <x:v>0</x:v>
      </x:c>
      <x:c r="Z674" s="226">
        <x:v>0</x:v>
      </x:c>
    </x:row>
    <x:row r="675" spans="1:41" ht="12.75" customHeight="1" x14ac:dyDescent="0.3">
      <x:c r="A675" s="89" t="s">
        <x:v>79</x:v>
      </x:c>
      <x:c r="B675" s="89" t="s">
        <x:v>70</x:v>
      </x:c>
      <x:c r="F675" s="90" t="n">
        <x:v>-152376731</x:v>
      </x:c>
      <x:c r="G675" s="90" t="n">
        <x:v>17466488.17</x:v>
      </x:c>
      <x:c r="H675" s="90" t="n">
        <x:v>9677892.6</x:v>
      </x:c>
      <x:c r="I675" s="90" t="n">
        <x:v>5149644.28</x:v>
      </x:c>
      <x:c r="J675" s="90" t="n">
        <x:v>-77408045.82</x:v>
      </x:c>
      <x:c r="K675" s="90" t="n">
        <x:v>-2621056.43</x:v>
      </x:c>
      <x:c r="L675" s="90" t="n">
        <x:v>0</x:v>
      </x:c>
      <x:c r="M675" s="90" t="n">
        <x:v>-23008326.95</x:v>
      </x:c>
      <x:c r="N675" s="90" t="n">
        <x:v>-22192771.99</x:v>
      </x:c>
      <x:c r="O675" s="90" t="n">
        <x:v>-107635498.21</x:v>
      </x:c>
      <x:c r="P675" s="90" t="n">
        <x:v>52473656.19</x:v>
      </x:c>
      <x:c r="Q675" s="90" t="n">
        <x:v>-4278712.84</x:v>
      </x:c>
      <x:c r="R675" s="90" t="n">
        <x:v>0</x:v>
      </x:c>
      <x:c r="S675" s="90" t="n">
        <x:v>0</x:v>
      </x:c>
      <x:c r="T675" t="n">
        <x:v>0</x:v>
      </x:c>
      <x:c r="U675">
        <x:v>0</x:v>
      </x:c>
      <x:c r="V675">
        <x:v>0</x:v>
      </x:c>
      <x:c r="W675">
        <x:v>0</x:v>
      </x:c>
      <x:c r="X675">
        <x:v>0</x:v>
      </x:c>
      <x:c r="Y675">
        <x:v>0</x:v>
      </x:c>
      <x:c r="Z675">
        <x:v>0</x:v>
      </x:c>
    </x:row>
    <x:row r="676" spans="1:41" ht="12.75" customHeight="1" x14ac:dyDescent="0.3">
      <x:c r="A676" s="89" t="s">
        <x:v>70</x:v>
      </x:c>
      <x:c r="F676" s="90" t="n">
        <x:v>7556633218</x:v>
      </x:c>
      <x:c r="G676" s="90" t="n">
        <x:v>425611959.97</x:v>
      </x:c>
      <x:c r="H676" s="90" t="n">
        <x:v>236795933.33</x:v>
      </x:c>
      <x:c r="I676" s="90" t="n">
        <x:v>125990673.31</x:v>
      </x:c>
      <x:c r="J676" s="90" t="n">
        <x:v>1786859848.82</x:v>
      </x:c>
      <x:c r="K676" s="90" t="n">
        <x:v>59452070.4</x:v>
      </x:c>
      <x:c r="L676" s="90" t="n">
        <x:v>12379938.06</x:v>
      </x:c>
      <x:c r="M676" s="90" t="n">
        <x:v>521676008.82</x:v>
      </x:c>
      <x:c r="N676" s="90" t="n">
        <x:v>490766033.75</x:v>
      </x:c>
      <x:c r="O676" s="90" t="n">
        <x:v>2532924946.44</x:v>
      </x:c>
      <x:c r="P676" s="90" t="n">
        <x:v>1267151382.56</x:v>
      </x:c>
      <x:c r="Q676" s="90" t="n">
        <x:v>97013738.16</x:v>
      </x:c>
      <x:c r="R676" s="90" t="n">
        <x:v>10679.52</x:v>
      </x:c>
      <x:c r="S676" s="90" t="n">
        <x:v>-0.05</x:v>
      </x:c>
      <x:c r="T676" t="n">
        <x:v>4.91</x:v>
      </x:c>
      <x:c r="U676">
        <x:v>0</x:v>
      </x:c>
      <x:c r="V676">
        <x:v>0</x:v>
      </x:c>
      <x:c r="W676">
        <x:v>0</x:v>
      </x:c>
      <x:c r="X676">
        <x:v>0</x:v>
      </x:c>
      <x:c r="Y676">
        <x:v>0</x:v>
      </x:c>
      <x:c r="Z676">
        <x:v>0</x:v>
      </x:c>
    </x:row>
    <x:row r="677" spans="1:41" ht="12.75" customHeight="1" x14ac:dyDescent="0.3">
      <x:c r="A677" s="89"/>
      <x:c r="F677" s="90"/>
      <x:c r="G677" s="90"/>
      <x:c r="H677" s="90"/>
      <x:c r="I677" s="90"/>
      <x:c r="J677" s="90"/>
      <x:c r="K677" s="90"/>
      <x:c r="L677" s="90"/>
      <x:c r="M677" s="90"/>
      <x:c r="N677" s="90"/>
      <x:c r="O677" s="90"/>
      <x:c r="P677" s="90"/>
      <x:c r="Q677" s="90"/>
      <x:c r="R677" s="90"/>
      <x:c r="S677" s="90"/>
      <x:c r="T677" s="90"/>
      <x:c r="U677" s="90"/>
      <x:c r="V677" s="90"/>
      <x:c r="W677" s="90"/>
      <x:c r="X677" s="150"/>
    </x:row>
    <x:row r="678" spans="1:41" ht="12.75" customHeight="1" x14ac:dyDescent="0.3">
      <x:c r="A678" s="89"/>
      <x:c r="F678" s="90"/>
      <x:c r="G678" s="90"/>
      <x:c r="H678" s="90"/>
      <x:c r="I678" s="90"/>
      <x:c r="J678" s="90"/>
      <x:c r="K678" s="90"/>
      <x:c r="L678" s="90"/>
      <x:c r="M678" s="90"/>
      <x:c r="N678" s="90"/>
      <x:c r="O678" s="90"/>
      <x:c r="P678" s="90"/>
      <x:c r="Q678" s="90"/>
      <x:c r="R678" s="90"/>
      <x:c r="S678" s="90"/>
    </x:row>
    <x:row r="679" spans="1:41" ht="12.75" customHeight="1" x14ac:dyDescent="0.3">
      <x:c r="A679" s="89"/>
      <x:c r="F679" s="90"/>
      <x:c r="G679" s="90"/>
      <x:c r="H679" s="90"/>
      <x:c r="I679" s="90"/>
      <x:c r="J679" s="90"/>
      <x:c r="K679" s="90"/>
      <x:c r="L679" s="90"/>
      <x:c r="M679" s="90"/>
      <x:c r="N679" s="90"/>
      <x:c r="O679" s="90"/>
      <x:c r="P679" s="90"/>
      <x:c r="Q679" s="90"/>
      <x:c r="R679" s="90"/>
      <x:c r="S679" s="90"/>
    </x:row>
    <x:row r="680" spans="1:41" ht="12.75" customHeight="1" x14ac:dyDescent="0.3">
      <x:c r="C680" s="777" t="s">
        <x:v>2</x:v>
      </x:c>
      <x:c r="D680" s="775" t="s">
        <x:v>132</x:v>
      </x:c>
      <x:c r="E680" s="98" t="s">
        <x:v>70</x:v>
      </x:c>
      <x:c r="F680" s="100">
        <x:f>F674+F648+F613-L613-L648</x:f>
        <x:v>0</x:v>
      </x:c>
      <x:c r="G680" s="100">
        <x:f t="shared" ref="G680:AO680" si="32">G648+G613</x:f>
        <x:v>0</x:v>
      </x:c>
      <x:c r="H680" s="100">
        <x:f t="shared" si="32"/>
        <x:v>0</x:v>
      </x:c>
      <x:c r="I680" s="100">
        <x:f t="shared" si="32"/>
        <x:v>0</x:v>
      </x:c>
      <x:c r="J680" s="100">
        <x:f t="shared" si="32"/>
        <x:v>0</x:v>
      </x:c>
      <x:c r="K680" s="100">
        <x:f t="shared" si="32"/>
        <x:v>0</x:v>
      </x:c>
      <x:c r="L680" s="100">
        <x:f t="shared" si="32"/>
        <x:v>0</x:v>
      </x:c>
      <x:c r="M680" s="100">
        <x:f t="shared" si="32"/>
        <x:v>0</x:v>
      </x:c>
      <x:c r="N680" s="100">
        <x:f t="shared" si="32"/>
        <x:v>0</x:v>
      </x:c>
      <x:c r="O680" s="100">
        <x:f t="shared" si="32"/>
        <x:v>0</x:v>
      </x:c>
      <x:c r="P680" s="100">
        <x:f t="shared" si="32"/>
        <x:v>0</x:v>
      </x:c>
      <x:c r="Q680" s="100">
        <x:f t="shared" si="32"/>
        <x:v>0</x:v>
      </x:c>
      <x:c r="R680" s="100">
        <x:f t="shared" si="32"/>
        <x:v>0</x:v>
      </x:c>
      <x:c r="S680" s="100">
        <x:f t="shared" si="32"/>
        <x:v>0</x:v>
      </x:c>
      <x:c r="T680" s="100">
        <x:f t="shared" si="32"/>
        <x:v>0</x:v>
      </x:c>
      <x:c r="U680" s="100">
        <x:f t="shared" si="32"/>
        <x:v>0</x:v>
      </x:c>
      <x:c r="V680" s="100">
        <x:f t="shared" si="32"/>
        <x:v>0</x:v>
      </x:c>
      <x:c r="W680" s="100">
        <x:f t="shared" si="32"/>
        <x:v>0</x:v>
      </x:c>
      <x:c r="X680" s="100">
        <x:f t="shared" si="32"/>
        <x:v>0</x:v>
      </x:c>
      <x:c r="Y680" s="100">
        <x:f t="shared" si="32"/>
        <x:v>0</x:v>
      </x:c>
      <x:c r="Z680" s="100">
        <x:f t="shared" si="32"/>
        <x:v>0</x:v>
      </x:c>
      <x:c r="AA680" s="100">
        <x:f t="shared" si="32"/>
        <x:v>0</x:v>
      </x:c>
      <x:c r="AB680" s="100">
        <x:f t="shared" si="32"/>
        <x:v>0</x:v>
      </x:c>
      <x:c r="AC680" s="100">
        <x:f t="shared" si="32"/>
        <x:v>0</x:v>
      </x:c>
      <x:c r="AD680" s="100">
        <x:f t="shared" si="32"/>
        <x:v>0</x:v>
      </x:c>
      <x:c r="AE680" s="100">
        <x:f t="shared" si="32"/>
        <x:v>0</x:v>
      </x:c>
      <x:c r="AF680" s="100">
        <x:f t="shared" si="32"/>
        <x:v>0</x:v>
      </x:c>
      <x:c r="AG680" s="100">
        <x:f t="shared" si="32"/>
        <x:v>0</x:v>
      </x:c>
      <x:c r="AH680" s="100">
        <x:f t="shared" si="32"/>
        <x:v>0</x:v>
      </x:c>
      <x:c r="AI680" s="100">
        <x:f t="shared" si="32"/>
        <x:v>0</x:v>
      </x:c>
      <x:c r="AJ680" s="100">
        <x:f t="shared" si="32"/>
        <x:v>0</x:v>
      </x:c>
      <x:c r="AK680" s="100">
        <x:f t="shared" si="32"/>
        <x:v>0</x:v>
      </x:c>
      <x:c r="AL680" s="100">
        <x:f t="shared" si="32"/>
        <x:v>0</x:v>
      </x:c>
      <x:c r="AM680" s="100">
        <x:f t="shared" si="32"/>
        <x:v>0</x:v>
      </x:c>
      <x:c r="AN680" s="100">
        <x:f t="shared" si="32"/>
        <x:v>0</x:v>
      </x:c>
      <x:c r="AO680" s="100">
        <x:f t="shared" si="32"/>
        <x:v>0</x:v>
      </x:c>
    </x:row>
    <x:row r="681" spans="1:41" ht="12.75" customHeight="1" x14ac:dyDescent="0.3">
      <x:c r="C681" s="777"/>
      <x:c r="D681" s="775"/>
      <x:c r="E681" s="98" t="s">
        <x:v>73</x:v>
      </x:c>
      <x:c r="F681" s="100">
        <x:f>F674</x:f>
        <x:v>0</x:v>
      </x:c>
      <x:c r="G681" s="90"/>
      <x:c r="H681" s="90"/>
      <x:c r="I681" s="90"/>
      <x:c r="J681" s="90"/>
      <x:c r="K681" s="90"/>
      <x:c r="L681" s="90"/>
      <x:c r="M681" s="90"/>
      <x:c r="N681" s="90"/>
      <x:c r="O681" s="90"/>
      <x:c r="P681" s="90"/>
      <x:c r="Q681" s="90"/>
      <x:c r="R681" s="90"/>
      <x:c r="S681" s="90"/>
    </x:row>
    <x:row r="682" spans="1:41" ht="12.75" customHeight="1" x14ac:dyDescent="0.3">
      <x:c r="C682" s="777"/>
      <x:c r="D682" s="775" t="s">
        <x:v>133</x:v>
      </x:c>
      <x:c r="E682" s="233" t="s">
        <x:v>70</x:v>
      </x:c>
      <x:c r="F682" s="234">
        <x:f>F660+F629-L629</x:f>
        <x:v>0</x:v>
      </x:c>
      <x:c r="G682" s="234">
        <x:f>G629</x:f>
        <x:v>0</x:v>
      </x:c>
      <x:c r="H682" s="234">
        <x:f t="shared" ref="H682:AO682" si="33">H629</x:f>
        <x:v>0</x:v>
      </x:c>
      <x:c r="I682" s="234">
        <x:f t="shared" si="33"/>
        <x:v>0</x:v>
      </x:c>
      <x:c r="J682" s="234">
        <x:f t="shared" si="33"/>
        <x:v>0</x:v>
      </x:c>
      <x:c r="K682" s="234">
        <x:f t="shared" si="33"/>
        <x:v>0</x:v>
      </x:c>
      <x:c r="L682" s="234">
        <x:f t="shared" si="33"/>
        <x:v>0</x:v>
      </x:c>
      <x:c r="M682" s="234">
        <x:f t="shared" si="33"/>
        <x:v>0</x:v>
      </x:c>
      <x:c r="N682" s="234">
        <x:f t="shared" si="33"/>
        <x:v>0</x:v>
      </x:c>
      <x:c r="O682" s="234">
        <x:f t="shared" si="33"/>
        <x:v>0</x:v>
      </x:c>
      <x:c r="P682" s="234">
        <x:f t="shared" si="33"/>
        <x:v>0</x:v>
      </x:c>
      <x:c r="Q682" s="234">
        <x:f t="shared" si="33"/>
        <x:v>0</x:v>
      </x:c>
      <x:c r="R682" s="234">
        <x:f t="shared" si="33"/>
        <x:v>0</x:v>
      </x:c>
      <x:c r="S682" s="234">
        <x:f t="shared" si="33"/>
        <x:v>0</x:v>
      </x:c>
      <x:c r="T682" s="234">
        <x:f t="shared" si="33"/>
        <x:v>0</x:v>
      </x:c>
      <x:c r="U682" s="234">
        <x:f t="shared" si="33"/>
        <x:v>0</x:v>
      </x:c>
      <x:c r="V682" s="234">
        <x:f t="shared" si="33"/>
        <x:v>0</x:v>
      </x:c>
      <x:c r="W682" s="234">
        <x:f t="shared" si="33"/>
        <x:v>0</x:v>
      </x:c>
      <x:c r="X682" s="234">
        <x:f t="shared" si="33"/>
        <x:v>0</x:v>
      </x:c>
      <x:c r="Y682" s="234">
        <x:f t="shared" si="33"/>
        <x:v>0</x:v>
      </x:c>
      <x:c r="Z682" s="234">
        <x:f t="shared" si="33"/>
        <x:v>0</x:v>
      </x:c>
      <x:c r="AA682" s="234">
        <x:f t="shared" si="33"/>
        <x:v>0</x:v>
      </x:c>
      <x:c r="AB682" s="234">
        <x:f t="shared" si="33"/>
        <x:v>0</x:v>
      </x:c>
      <x:c r="AC682" s="234">
        <x:f t="shared" si="33"/>
        <x:v>0</x:v>
      </x:c>
      <x:c r="AD682" s="234">
        <x:f t="shared" si="33"/>
        <x:v>0</x:v>
      </x:c>
      <x:c r="AE682" s="234">
        <x:f t="shared" si="33"/>
        <x:v>0</x:v>
      </x:c>
      <x:c r="AF682" s="234">
        <x:f t="shared" si="33"/>
        <x:v>0</x:v>
      </x:c>
      <x:c r="AG682" s="234">
        <x:f t="shared" si="33"/>
        <x:v>0</x:v>
      </x:c>
      <x:c r="AH682" s="234">
        <x:f t="shared" si="33"/>
        <x:v>0</x:v>
      </x:c>
      <x:c r="AI682" s="234">
        <x:f t="shared" si="33"/>
        <x:v>0</x:v>
      </x:c>
      <x:c r="AJ682" s="234">
        <x:f t="shared" si="33"/>
        <x:v>0</x:v>
      </x:c>
      <x:c r="AK682" s="234">
        <x:f t="shared" si="33"/>
        <x:v>0</x:v>
      </x:c>
      <x:c r="AL682" s="234">
        <x:f t="shared" si="33"/>
        <x:v>0</x:v>
      </x:c>
      <x:c r="AM682" s="234">
        <x:f t="shared" si="33"/>
        <x:v>0</x:v>
      </x:c>
      <x:c r="AN682" s="234">
        <x:f t="shared" si="33"/>
        <x:v>0</x:v>
      </x:c>
      <x:c r="AO682" s="234">
        <x:f t="shared" si="33"/>
        <x:v>0</x:v>
      </x:c>
    </x:row>
    <x:row r="683" spans="1:41" ht="12.75" customHeight="1" x14ac:dyDescent="0.3">
      <x:c r="C683" s="777"/>
      <x:c r="D683" s="775"/>
      <x:c r="E683" s="233" t="s">
        <x:v>73</x:v>
      </x:c>
      <x:c r="F683" s="234">
        <x:f>F660</x:f>
        <x:v>0</x:v>
      </x:c>
      <x:c r="G683" s="90"/>
      <x:c r="H683" s="90"/>
      <x:c r="I683" s="90"/>
      <x:c r="J683" s="90"/>
      <x:c r="K683" s="90"/>
      <x:c r="L683" s="90"/>
      <x:c r="M683" s="90"/>
      <x:c r="N683" s="90"/>
      <x:c r="O683" s="90"/>
      <x:c r="P683" s="90"/>
      <x:c r="Q683" s="90"/>
      <x:c r="R683" s="90"/>
    </x:row>
    <x:row r="684" spans="1:41" ht="12.75" customHeight="1" x14ac:dyDescent="0.3">
      <x:c r="A684" s="89"/>
      <x:c r="C684" s="97"/>
      <x:c r="F684" s="90"/>
      <x:c r="G684" s="90"/>
      <x:c r="H684" s="90"/>
      <x:c r="I684" s="90"/>
      <x:c r="J684" s="90"/>
      <x:c r="K684" s="90"/>
      <x:c r="L684" s="90"/>
      <x:c r="M684" s="90"/>
      <x:c r="N684" s="90"/>
      <x:c r="O684" s="90"/>
      <x:c r="P684" s="90"/>
      <x:c r="Q684" s="90"/>
      <x:c r="R684" s="90"/>
      <x:c r="S684" s="90"/>
    </x:row>
    <x:row r="685" spans="1:41" ht="12.75" customHeight="1" x14ac:dyDescent="0.3">
      <x:c r="C685" s="777" t="s">
        <x:v>160</x:v>
      </x:c>
      <x:c r="D685" s="775" t="s">
        <x:v>132</x:v>
      </x:c>
      <x:c r="E685" s="223" t="s">
        <x:v>70</x:v>
      </x:c>
      <x:c r="F685" s="225">
        <x:v>0</x:v>
      </x:c>
      <x:c r="G685" s="225">
        <x:v>0</x:v>
      </x:c>
      <x:c r="H685" s="225">
        <x:v>0</x:v>
      </x:c>
      <x:c r="I685" s="225">
        <x:v>0</x:v>
      </x:c>
      <x:c r="J685" s="225">
        <x:v>0</x:v>
      </x:c>
      <x:c r="K685" s="225">
        <x:v>0</x:v>
      </x:c>
      <x:c r="L685" s="225">
        <x:v>0</x:v>
      </x:c>
      <x:c r="M685" s="225">
        <x:v>0</x:v>
      </x:c>
      <x:c r="N685" s="225">
        <x:v>0</x:v>
      </x:c>
      <x:c r="O685" s="225">
        <x:v>0</x:v>
      </x:c>
      <x:c r="P685" s="225">
        <x:v>0</x:v>
      </x:c>
      <x:c r="Q685" s="225">
        <x:v>0</x:v>
      </x:c>
      <x:c r="R685" s="225">
        <x:v>0</x:v>
      </x:c>
      <x:c r="S685" s="225">
        <x:v>0</x:v>
      </x:c>
      <x:c r="T685" s="225">
        <x:v>0</x:v>
      </x:c>
      <x:c r="U685" s="225"/>
      <x:c r="V685" s="225"/>
      <x:c r="W685" s="225"/>
      <x:c r="X685" s="225">
        <x:v>0</x:v>
      </x:c>
      <x:c r="Y685" s="225">
        <x:v>0</x:v>
      </x:c>
      <x:c r="Z685" s="225">
        <x:v>0</x:v>
      </x:c>
      <x:c r="AA685" s="225">
        <x:v>0</x:v>
      </x:c>
      <x:c r="AB685" s="225">
        <x:v>0</x:v>
      </x:c>
      <x:c r="AC685" s="225">
        <x:v>0</x:v>
      </x:c>
      <x:c r="AD685" s="225">
        <x:v>0</x:v>
      </x:c>
      <x:c r="AE685" s="225">
        <x:v>0</x:v>
      </x:c>
      <x:c r="AF685" s="225">
        <x:v>0</x:v>
      </x:c>
      <x:c r="AG685" s="225">
        <x:v>0</x:v>
      </x:c>
      <x:c r="AH685" s="225">
        <x:v>0</x:v>
      </x:c>
      <x:c r="AI685" s="225">
        <x:v>0</x:v>
      </x:c>
      <x:c r="AJ685" s="225">
        <x:v>0</x:v>
      </x:c>
      <x:c r="AK685" s="225">
        <x:v>0</x:v>
      </x:c>
      <x:c r="AL685" s="225">
        <x:v>0</x:v>
      </x:c>
      <x:c r="AM685" s="225">
        <x:v>0</x:v>
      </x:c>
      <x:c r="AN685" s="225">
        <x:v>0</x:v>
      </x:c>
      <x:c r="AO685" s="225">
        <x:v>0</x:v>
      </x:c>
    </x:row>
    <x:row r="686" spans="1:41" ht="12.75" customHeight="1" x14ac:dyDescent="0.3">
      <x:c r="C686" s="777"/>
      <x:c r="D686" s="775"/>
      <x:c r="E686" s="223" t="s">
        <x:v>73</x:v>
      </x:c>
      <x:c r="F686" s="225">
        <x:v>0</x:v>
      </x:c>
      <x:c r="G686" s="90"/>
      <x:c r="H686" s="90"/>
      <x:c r="I686" s="90"/>
      <x:c r="J686" s="90"/>
      <x:c r="K686" s="90"/>
      <x:c r="L686" s="90"/>
      <x:c r="M686" s="90"/>
      <x:c r="N686" s="90"/>
      <x:c r="O686" s="90"/>
      <x:c r="P686" s="90"/>
      <x:c r="Q686" s="90"/>
      <x:c r="R686" s="90"/>
      <x:c r="S686" s="90"/>
    </x:row>
    <x:row r="687" spans="1:41" ht="12.75" customHeight="1" x14ac:dyDescent="0.3">
      <x:c r="C687" s="777"/>
      <x:c r="D687" s="775" t="s">
        <x:v>133</x:v>
      </x:c>
      <x:c r="E687" s="227" t="s">
        <x:v>70</x:v>
      </x:c>
      <x:c r="F687" s="228">
        <x:v>0</x:v>
      </x:c>
      <x:c r="G687" s="228">
        <x:v>0</x:v>
      </x:c>
      <x:c r="H687" s="228">
        <x:v>0</x:v>
      </x:c>
      <x:c r="I687" s="228">
        <x:v>0</x:v>
      </x:c>
      <x:c r="J687" s="228">
        <x:v>0</x:v>
      </x:c>
      <x:c r="K687" s="228">
        <x:v>0</x:v>
      </x:c>
      <x:c r="L687" s="228">
        <x:v>0</x:v>
      </x:c>
      <x:c r="M687" s="228">
        <x:v>0</x:v>
      </x:c>
      <x:c r="N687" s="228">
        <x:v>0</x:v>
      </x:c>
      <x:c r="O687" s="228">
        <x:v>0</x:v>
      </x:c>
      <x:c r="P687" s="228">
        <x:v>0</x:v>
      </x:c>
      <x:c r="Q687" s="228">
        <x:v>0</x:v>
      </x:c>
      <x:c r="R687" s="228">
        <x:v>0</x:v>
      </x:c>
      <x:c r="S687" s="228">
        <x:v>0</x:v>
      </x:c>
      <x:c r="T687" s="228">
        <x:v>0</x:v>
      </x:c>
      <x:c r="U687" s="228"/>
      <x:c r="V687" s="228"/>
      <x:c r="W687" s="228"/>
      <x:c r="X687" s="228">
        <x:v>0</x:v>
      </x:c>
      <x:c r="Y687" s="228">
        <x:v>0</x:v>
      </x:c>
      <x:c r="Z687" s="228">
        <x:v>0</x:v>
      </x:c>
      <x:c r="AA687" s="228">
        <x:v>0</x:v>
      </x:c>
      <x:c r="AB687" s="228">
        <x:v>0</x:v>
      </x:c>
      <x:c r="AC687" s="228">
        <x:v>0</x:v>
      </x:c>
      <x:c r="AD687" s="228">
        <x:v>0</x:v>
      </x:c>
      <x:c r="AE687" s="228">
        <x:v>0</x:v>
      </x:c>
      <x:c r="AF687" s="228">
        <x:v>0</x:v>
      </x:c>
      <x:c r="AG687" s="228">
        <x:v>0</x:v>
      </x:c>
      <x:c r="AH687" s="228">
        <x:v>0</x:v>
      </x:c>
      <x:c r="AI687" s="228">
        <x:v>0</x:v>
      </x:c>
      <x:c r="AJ687" s="228">
        <x:v>0</x:v>
      </x:c>
      <x:c r="AK687" s="228">
        <x:v>0</x:v>
      </x:c>
      <x:c r="AL687" s="228">
        <x:v>0</x:v>
      </x:c>
      <x:c r="AM687" s="228">
        <x:v>0</x:v>
      </x:c>
      <x:c r="AN687" s="228">
        <x:v>0</x:v>
      </x:c>
      <x:c r="AO687" s="228">
        <x:v>0</x:v>
      </x:c>
    </x:row>
    <x:row r="688" spans="1:41" ht="12.75" customHeight="1" x14ac:dyDescent="0.3">
      <x:c r="C688" s="777"/>
      <x:c r="D688" s="775"/>
      <x:c r="E688" s="227" t="s">
        <x:v>73</x:v>
      </x:c>
      <x:c r="F688" s="228">
        <x:v>0</x:v>
      </x:c>
      <x:c r="G688" s="90"/>
      <x:c r="H688" s="90"/>
      <x:c r="I688" s="90"/>
      <x:c r="J688" s="90"/>
      <x:c r="K688" s="90"/>
      <x:c r="L688" s="90"/>
      <x:c r="M688" s="90"/>
      <x:c r="N688" s="90"/>
      <x:c r="O688" s="90"/>
      <x:c r="P688" s="90"/>
      <x:c r="Q688" s="90"/>
      <x:c r="R688" s="90"/>
    </x:row>
    <x:row r="689" spans="1:41" ht="12.75" customHeight="1" x14ac:dyDescent="0.3">
      <x:c r="A689" s="89"/>
      <x:c r="C689" s="97"/>
      <x:c r="F689" s="90"/>
      <x:c r="G689" s="90"/>
      <x:c r="H689" s="90"/>
      <x:c r="I689" s="90"/>
      <x:c r="J689" s="90"/>
      <x:c r="K689" s="90"/>
      <x:c r="L689" s="90"/>
      <x:c r="M689" s="90"/>
      <x:c r="N689" s="90"/>
      <x:c r="O689" s="90"/>
      <x:c r="P689" s="90"/>
      <x:c r="Q689" s="90"/>
      <x:c r="R689" s="90"/>
      <x:c r="S689" s="90"/>
    </x:row>
    <x:row r="690" spans="1:41" ht="12.75" customHeight="1" x14ac:dyDescent="0.3">
      <x:c r="C690" s="777" t="s">
        <x:v>155</x:v>
      </x:c>
      <x:c r="D690" s="775" t="s">
        <x:v>132</x:v>
      </x:c>
      <x:c r="E690" s="221" t="s">
        <x:v>70</x:v>
      </x:c>
      <x:c r="F690" s="222">
        <x:f>F663+F633-L633</x:f>
        <x:v>0</x:v>
      </x:c>
      <x:c r="G690" s="222">
        <x:f>G633</x:f>
        <x:v>0</x:v>
      </x:c>
      <x:c r="H690" s="222">
        <x:f t="shared" ref="H690:AO690" si="34">H633</x:f>
        <x:v>0</x:v>
      </x:c>
      <x:c r="I690" s="222">
        <x:f t="shared" si="34"/>
        <x:v>0</x:v>
      </x:c>
      <x:c r="J690" s="222">
        <x:f t="shared" si="34"/>
        <x:v>0</x:v>
      </x:c>
      <x:c r="K690" s="222">
        <x:f t="shared" si="34"/>
        <x:v>0</x:v>
      </x:c>
      <x:c r="L690" s="222">
        <x:f t="shared" si="34"/>
        <x:v>0</x:v>
      </x:c>
      <x:c r="M690" s="222">
        <x:f t="shared" si="34"/>
        <x:v>0</x:v>
      </x:c>
      <x:c r="N690" s="222">
        <x:f t="shared" si="34"/>
        <x:v>0</x:v>
      </x:c>
      <x:c r="O690" s="222">
        <x:f t="shared" si="34"/>
        <x:v>0</x:v>
      </x:c>
      <x:c r="P690" s="222">
        <x:f t="shared" si="34"/>
        <x:v>0</x:v>
      </x:c>
      <x:c r="Q690" s="222">
        <x:f t="shared" si="34"/>
        <x:v>0</x:v>
      </x:c>
      <x:c r="R690" s="222">
        <x:f t="shared" si="34"/>
        <x:v>0</x:v>
      </x:c>
      <x:c r="S690" s="222">
        <x:f t="shared" si="34"/>
        <x:v>0</x:v>
      </x:c>
      <x:c r="T690" s="222">
        <x:f t="shared" si="34"/>
        <x:v>0</x:v>
      </x:c>
      <x:c r="U690" s="222">
        <x:f t="shared" si="34"/>
        <x:v>0</x:v>
      </x:c>
      <x:c r="V690" s="222">
        <x:f t="shared" si="34"/>
        <x:v>0</x:v>
      </x:c>
      <x:c r="W690" s="222">
        <x:f t="shared" si="34"/>
        <x:v>0</x:v>
      </x:c>
      <x:c r="X690" s="222">
        <x:f t="shared" si="34"/>
        <x:v>0</x:v>
      </x:c>
      <x:c r="Y690" s="222">
        <x:f t="shared" si="34"/>
        <x:v>0</x:v>
      </x:c>
      <x:c r="Z690" s="222">
        <x:f t="shared" si="34"/>
        <x:v>0</x:v>
      </x:c>
      <x:c r="AA690" s="222">
        <x:f t="shared" si="34"/>
        <x:v>0</x:v>
      </x:c>
      <x:c r="AB690" s="222">
        <x:f t="shared" si="34"/>
        <x:v>0</x:v>
      </x:c>
      <x:c r="AC690" s="222">
        <x:f t="shared" si="34"/>
        <x:v>0</x:v>
      </x:c>
      <x:c r="AD690" s="222">
        <x:f t="shared" si="34"/>
        <x:v>0</x:v>
      </x:c>
      <x:c r="AE690" s="222">
        <x:f t="shared" si="34"/>
        <x:v>0</x:v>
      </x:c>
      <x:c r="AF690" s="222">
        <x:f t="shared" si="34"/>
        <x:v>0</x:v>
      </x:c>
      <x:c r="AG690" s="222">
        <x:f t="shared" si="34"/>
        <x:v>0</x:v>
      </x:c>
      <x:c r="AH690" s="222">
        <x:f t="shared" si="34"/>
        <x:v>0</x:v>
      </x:c>
      <x:c r="AI690" s="222">
        <x:f t="shared" si="34"/>
        <x:v>0</x:v>
      </x:c>
      <x:c r="AJ690" s="222">
        <x:f t="shared" si="34"/>
        <x:v>0</x:v>
      </x:c>
      <x:c r="AK690" s="222">
        <x:f t="shared" si="34"/>
        <x:v>0</x:v>
      </x:c>
      <x:c r="AL690" s="222">
        <x:f t="shared" si="34"/>
        <x:v>0</x:v>
      </x:c>
      <x:c r="AM690" s="222">
        <x:f t="shared" si="34"/>
        <x:v>0</x:v>
      </x:c>
      <x:c r="AN690" s="222">
        <x:f t="shared" si="34"/>
        <x:v>0</x:v>
      </x:c>
      <x:c r="AO690" s="222">
        <x:f t="shared" si="34"/>
        <x:v>0</x:v>
      </x:c>
    </x:row>
    <x:row r="691" spans="1:41" ht="12.75" customHeight="1" x14ac:dyDescent="0.3">
      <x:c r="C691" s="777"/>
      <x:c r="D691" s="775"/>
      <x:c r="E691" s="221" t="s">
        <x:v>73</x:v>
      </x:c>
      <x:c r="F691" s="222">
        <x:f>F663</x:f>
        <x:v>0</x:v>
      </x:c>
      <x:c r="G691" s="90"/>
      <x:c r="H691" s="90"/>
      <x:c r="I691" s="90"/>
      <x:c r="J691" s="90"/>
      <x:c r="K691" s="90"/>
      <x:c r="L691" s="90"/>
      <x:c r="M691" s="90"/>
      <x:c r="N691" s="90"/>
      <x:c r="O691" s="90"/>
      <x:c r="P691" s="90"/>
      <x:c r="Q691" s="90"/>
      <x:c r="R691" s="90"/>
      <x:c r="S691" s="90"/>
    </x:row>
    <x:row r="692" spans="1:41" ht="12.75" customHeight="1" x14ac:dyDescent="0.3">
      <x:c r="C692" s="777"/>
      <x:c r="D692" s="775" t="s">
        <x:v>133</x:v>
      </x:c>
      <x:c r="E692" s="242" t="s">
        <x:v>70</x:v>
      </x:c>
      <x:c r="F692" s="243">
        <x:f>F652+F618-L618</x:f>
        <x:v>0</x:v>
      </x:c>
      <x:c r="G692" s="243">
        <x:f>G618</x:f>
        <x:v>0</x:v>
      </x:c>
      <x:c r="H692" s="243">
        <x:f t="shared" ref="H692:AO692" si="35">H618</x:f>
        <x:v>0</x:v>
      </x:c>
      <x:c r="I692" s="243">
        <x:f t="shared" si="35"/>
        <x:v>0</x:v>
      </x:c>
      <x:c r="J692" s="243">
        <x:f t="shared" si="35"/>
        <x:v>0</x:v>
      </x:c>
      <x:c r="K692" s="243">
        <x:f t="shared" si="35"/>
        <x:v>0</x:v>
      </x:c>
      <x:c r="L692" s="243">
        <x:f t="shared" si="35"/>
        <x:v>0</x:v>
      </x:c>
      <x:c r="M692" s="243">
        <x:f t="shared" si="35"/>
        <x:v>0</x:v>
      </x:c>
      <x:c r="N692" s="243">
        <x:f t="shared" si="35"/>
        <x:v>0</x:v>
      </x:c>
      <x:c r="O692" s="243">
        <x:f t="shared" si="35"/>
        <x:v>0</x:v>
      </x:c>
      <x:c r="P692" s="243">
        <x:f t="shared" si="35"/>
        <x:v>0</x:v>
      </x:c>
      <x:c r="Q692" s="243">
        <x:f t="shared" si="35"/>
        <x:v>0</x:v>
      </x:c>
      <x:c r="R692" s="243">
        <x:f t="shared" si="35"/>
        <x:v>0</x:v>
      </x:c>
      <x:c r="S692" s="243">
        <x:f t="shared" si="35"/>
        <x:v>0</x:v>
      </x:c>
      <x:c r="T692" s="243">
        <x:f t="shared" si="35"/>
        <x:v>0</x:v>
      </x:c>
      <x:c r="U692" s="243">
        <x:f t="shared" si="35"/>
        <x:v>0</x:v>
      </x:c>
      <x:c r="V692" s="243">
        <x:f t="shared" si="35"/>
        <x:v>0</x:v>
      </x:c>
      <x:c r="W692" s="243">
        <x:f t="shared" si="35"/>
        <x:v>0</x:v>
      </x:c>
      <x:c r="X692" s="243">
        <x:f t="shared" si="35"/>
        <x:v>0</x:v>
      </x:c>
      <x:c r="Y692" s="243">
        <x:f t="shared" si="35"/>
        <x:v>0</x:v>
      </x:c>
      <x:c r="Z692" s="243">
        <x:f t="shared" si="35"/>
        <x:v>0</x:v>
      </x:c>
      <x:c r="AA692" s="243">
        <x:f t="shared" si="35"/>
        <x:v>0</x:v>
      </x:c>
      <x:c r="AB692" s="243">
        <x:f t="shared" si="35"/>
        <x:v>0</x:v>
      </x:c>
      <x:c r="AC692" s="243">
        <x:f t="shared" si="35"/>
        <x:v>0</x:v>
      </x:c>
      <x:c r="AD692" s="243">
        <x:f t="shared" si="35"/>
        <x:v>0</x:v>
      </x:c>
      <x:c r="AE692" s="243">
        <x:f t="shared" si="35"/>
        <x:v>0</x:v>
      </x:c>
      <x:c r="AF692" s="243">
        <x:f t="shared" si="35"/>
        <x:v>0</x:v>
      </x:c>
      <x:c r="AG692" s="243">
        <x:f t="shared" si="35"/>
        <x:v>0</x:v>
      </x:c>
      <x:c r="AH692" s="243">
        <x:f t="shared" si="35"/>
        <x:v>0</x:v>
      </x:c>
      <x:c r="AI692" s="243">
        <x:f t="shared" si="35"/>
        <x:v>0</x:v>
      </x:c>
      <x:c r="AJ692" s="243">
        <x:f t="shared" si="35"/>
        <x:v>0</x:v>
      </x:c>
      <x:c r="AK692" s="243">
        <x:f t="shared" si="35"/>
        <x:v>0</x:v>
      </x:c>
      <x:c r="AL692" s="243">
        <x:f t="shared" si="35"/>
        <x:v>0</x:v>
      </x:c>
      <x:c r="AM692" s="243">
        <x:f t="shared" si="35"/>
        <x:v>0</x:v>
      </x:c>
      <x:c r="AN692" s="243">
        <x:f t="shared" si="35"/>
        <x:v>0</x:v>
      </x:c>
      <x:c r="AO692" s="243">
        <x:f t="shared" si="35"/>
        <x:v>0</x:v>
      </x:c>
    </x:row>
    <x:row r="693" spans="1:41" ht="12.75" customHeight="1" x14ac:dyDescent="0.3">
      <x:c r="C693" s="777"/>
      <x:c r="D693" s="775"/>
      <x:c r="E693" s="242" t="s">
        <x:v>73</x:v>
      </x:c>
      <x:c r="F693" s="243">
        <x:f>F652</x:f>
        <x:v>0</x:v>
      </x:c>
      <x:c r="G693" s="90"/>
      <x:c r="H693" s="90"/>
      <x:c r="I693" s="90"/>
      <x:c r="J693" s="90"/>
      <x:c r="K693" s="90"/>
      <x:c r="L693" s="90"/>
      <x:c r="M693" s="90"/>
      <x:c r="N693" s="90"/>
      <x:c r="O693" s="90"/>
      <x:c r="P693" s="90"/>
      <x:c r="Q693" s="90"/>
      <x:c r="R693" s="90"/>
    </x:row>
    <x:row r="694" spans="1:41" ht="12.75" customHeight="1" x14ac:dyDescent="0.3">
      <x:c r="A694" s="89"/>
      <x:c r="C694" s="97"/>
      <x:c r="F694" s="90"/>
      <x:c r="G694" s="90"/>
      <x:c r="H694" s="90"/>
      <x:c r="I694" s="90"/>
      <x:c r="J694" s="90"/>
      <x:c r="K694" s="90"/>
      <x:c r="L694" s="90"/>
      <x:c r="M694" s="90"/>
      <x:c r="N694" s="90"/>
      <x:c r="O694" s="90"/>
      <x:c r="P694" s="90"/>
      <x:c r="Q694" s="90"/>
      <x:c r="R694" s="90"/>
      <x:c r="S694" s="90"/>
    </x:row>
    <x:row r="695" spans="1:41" ht="12.75" customHeight="1" x14ac:dyDescent="0.3">
      <x:c r="C695" s="778" t="s">
        <x:v>326</x:v>
      </x:c>
      <x:c r="D695" s="775" t="s">
        <x:v>132</x:v>
      </x:c>
      <x:c r="E695" s="373" t="s">
        <x:v>70</x:v>
      </x:c>
      <x:c r="F695" s="374">
        <x:f>F666+F637-L637</x:f>
        <x:v>0</x:v>
      </x:c>
      <x:c r="G695" s="374">
        <x:f>G637</x:f>
        <x:v>0</x:v>
      </x:c>
      <x:c r="H695" s="374">
        <x:f t="shared" ref="H695:AO695" si="36">H637</x:f>
        <x:v>0</x:v>
      </x:c>
      <x:c r="I695" s="374">
        <x:f t="shared" si="36"/>
        <x:v>0</x:v>
      </x:c>
      <x:c r="J695" s="374">
        <x:f t="shared" si="36"/>
        <x:v>0</x:v>
      </x:c>
      <x:c r="K695" s="374">
        <x:f t="shared" si="36"/>
        <x:v>0</x:v>
      </x:c>
      <x:c r="L695" s="374">
        <x:f>L637</x:f>
        <x:v>0</x:v>
      </x:c>
      <x:c r="M695" s="374">
        <x:f t="shared" si="36"/>
        <x:v>0</x:v>
      </x:c>
      <x:c r="N695" s="374">
        <x:f t="shared" si="36"/>
        <x:v>0</x:v>
      </x:c>
      <x:c r="O695" s="374">
        <x:f t="shared" si="36"/>
        <x:v>0</x:v>
      </x:c>
      <x:c r="P695" s="374">
        <x:f t="shared" si="36"/>
        <x:v>0</x:v>
      </x:c>
      <x:c r="Q695" s="374">
        <x:f t="shared" si="36"/>
        <x:v>0</x:v>
      </x:c>
      <x:c r="R695" s="374">
        <x:f t="shared" si="36"/>
        <x:v>0</x:v>
      </x:c>
      <x:c r="S695" s="374">
        <x:f t="shared" si="36"/>
        <x:v>0</x:v>
      </x:c>
      <x:c r="T695" s="374">
        <x:f t="shared" si="36"/>
        <x:v>0</x:v>
      </x:c>
      <x:c r="U695" s="374">
        <x:f t="shared" si="36"/>
        <x:v>0</x:v>
      </x:c>
      <x:c r="V695" s="374">
        <x:f t="shared" si="36"/>
        <x:v>0</x:v>
      </x:c>
      <x:c r="W695" s="374">
        <x:f t="shared" si="36"/>
        <x:v>0</x:v>
      </x:c>
      <x:c r="X695" s="374">
        <x:f t="shared" si="36"/>
        <x:v>0</x:v>
      </x:c>
      <x:c r="Y695" s="374">
        <x:f t="shared" si="36"/>
        <x:v>0</x:v>
      </x:c>
      <x:c r="Z695" s="374">
        <x:f t="shared" si="36"/>
        <x:v>0</x:v>
      </x:c>
      <x:c r="AA695" s="374">
        <x:f t="shared" si="36"/>
        <x:v>0</x:v>
      </x:c>
      <x:c r="AB695" s="374">
        <x:f t="shared" si="36"/>
        <x:v>0</x:v>
      </x:c>
      <x:c r="AC695" s="374">
        <x:f t="shared" si="36"/>
        <x:v>0</x:v>
      </x:c>
      <x:c r="AD695" s="374">
        <x:f t="shared" si="36"/>
        <x:v>0</x:v>
      </x:c>
      <x:c r="AE695" s="374">
        <x:f t="shared" si="36"/>
        <x:v>0</x:v>
      </x:c>
      <x:c r="AF695" s="374">
        <x:f t="shared" si="36"/>
        <x:v>0</x:v>
      </x:c>
      <x:c r="AG695" s="374">
        <x:f t="shared" si="36"/>
        <x:v>0</x:v>
      </x:c>
      <x:c r="AH695" s="374">
        <x:f t="shared" si="36"/>
        <x:v>0</x:v>
      </x:c>
      <x:c r="AI695" s="374">
        <x:f t="shared" si="36"/>
        <x:v>0</x:v>
      </x:c>
      <x:c r="AJ695" s="374">
        <x:f t="shared" si="36"/>
        <x:v>0</x:v>
      </x:c>
      <x:c r="AK695" s="374">
        <x:f t="shared" si="36"/>
        <x:v>0</x:v>
      </x:c>
      <x:c r="AL695" s="374">
        <x:f t="shared" si="36"/>
        <x:v>0</x:v>
      </x:c>
      <x:c r="AM695" s="374">
        <x:f t="shared" si="36"/>
        <x:v>0</x:v>
      </x:c>
      <x:c r="AN695" s="374">
        <x:f t="shared" si="36"/>
        <x:v>0</x:v>
      </x:c>
      <x:c r="AO695" s="374">
        <x:f t="shared" si="36"/>
        <x:v>0</x:v>
      </x:c>
    </x:row>
    <x:row r="696" spans="1:41" ht="12.75" customHeight="1" x14ac:dyDescent="0.3">
      <x:c r="C696" s="778"/>
      <x:c r="D696" s="775"/>
      <x:c r="E696" s="373" t="s">
        <x:v>73</x:v>
      </x:c>
      <x:c r="F696" s="374">
        <x:f>F666</x:f>
        <x:v>0</x:v>
      </x:c>
      <x:c r="G696" s="90"/>
      <x:c r="H696" s="90"/>
      <x:c r="I696" s="90"/>
      <x:c r="J696" s="90"/>
      <x:c r="K696" s="90"/>
      <x:c r="L696" s="90"/>
      <x:c r="M696" s="90"/>
      <x:c r="N696" s="90"/>
      <x:c r="O696" s="90"/>
      <x:c r="P696" s="90"/>
      <x:c r="Q696" s="90"/>
      <x:c r="R696" s="90"/>
      <x:c r="S696" s="90"/>
    </x:row>
    <x:row r="697" spans="1:41" ht="12.75" customHeight="1" x14ac:dyDescent="0.3">
      <x:c r="C697" s="778"/>
      <x:c r="D697" s="775" t="s">
        <x:v>133</x:v>
      </x:c>
      <x:c r="E697" s="242" t="s">
        <x:v>70</x:v>
      </x:c>
      <x:c r="F697" s="243">
        <x:v>0</x:v>
      </x:c>
      <x:c r="G697" s="243">
        <x:v>0</x:v>
      </x:c>
      <x:c r="H697" s="243">
        <x:v>0</x:v>
      </x:c>
      <x:c r="I697" s="243">
        <x:v>0</x:v>
      </x:c>
      <x:c r="J697" s="243">
        <x:v>0</x:v>
      </x:c>
      <x:c r="K697" s="243">
        <x:v>0</x:v>
      </x:c>
      <x:c r="L697" s="243">
        <x:v>0</x:v>
      </x:c>
      <x:c r="M697" s="243">
        <x:v>0</x:v>
      </x:c>
      <x:c r="N697" s="243">
        <x:v>0</x:v>
      </x:c>
      <x:c r="O697" s="243">
        <x:v>0</x:v>
      </x:c>
      <x:c r="P697" s="243">
        <x:v>0</x:v>
      </x:c>
      <x:c r="Q697" s="243">
        <x:v>0</x:v>
      </x:c>
      <x:c r="R697" s="243">
        <x:v>0</x:v>
      </x:c>
      <x:c r="S697" s="243">
        <x:v>0</x:v>
      </x:c>
      <x:c r="T697" s="243">
        <x:v>0</x:v>
      </x:c>
      <x:c r="U697" s="243">
        <x:v>0</x:v>
      </x:c>
      <x:c r="V697" s="243">
        <x:v>0</x:v>
      </x:c>
      <x:c r="W697" s="243">
        <x:v>0</x:v>
      </x:c>
      <x:c r="X697" s="243">
        <x:v>0</x:v>
      </x:c>
      <x:c r="Y697" s="243">
        <x:v>0</x:v>
      </x:c>
      <x:c r="Z697" s="243">
        <x:v>0</x:v>
      </x:c>
      <x:c r="AA697" s="243">
        <x:v>0</x:v>
      </x:c>
      <x:c r="AB697" s="243">
        <x:v>0</x:v>
      </x:c>
      <x:c r="AC697" s="243">
        <x:v>0</x:v>
      </x:c>
      <x:c r="AD697" s="243">
        <x:v>0</x:v>
      </x:c>
      <x:c r="AE697" s="243">
        <x:v>0</x:v>
      </x:c>
      <x:c r="AF697" s="243">
        <x:v>0</x:v>
      </x:c>
      <x:c r="AG697" s="243">
        <x:v>0</x:v>
      </x:c>
      <x:c r="AH697" s="243">
        <x:v>0</x:v>
      </x:c>
      <x:c r="AI697" s="243">
        <x:v>0</x:v>
      </x:c>
      <x:c r="AJ697" s="243">
        <x:v>0</x:v>
      </x:c>
      <x:c r="AK697" s="243">
        <x:v>0</x:v>
      </x:c>
      <x:c r="AL697" s="243">
        <x:v>0</x:v>
      </x:c>
      <x:c r="AM697" s="243">
        <x:v>0</x:v>
      </x:c>
      <x:c r="AN697" s="243">
        <x:v>0</x:v>
      </x:c>
      <x:c r="AO697" s="243">
        <x:v>0</x:v>
      </x:c>
    </x:row>
    <x:row r="698" spans="1:41" ht="12.75" customHeight="1" x14ac:dyDescent="0.3">
      <x:c r="C698" s="778"/>
      <x:c r="D698" s="775"/>
      <x:c r="E698" s="242" t="s">
        <x:v>73</x:v>
      </x:c>
      <x:c r="F698" s="243">
        <x:v>0</x:v>
      </x:c>
      <x:c r="G698" s="90"/>
      <x:c r="H698" s="90"/>
      <x:c r="I698" s="90"/>
      <x:c r="J698" s="90"/>
      <x:c r="K698" s="90"/>
      <x:c r="L698" s="90"/>
      <x:c r="M698" s="90"/>
      <x:c r="N698" s="90"/>
      <x:c r="O698" s="90"/>
      <x:c r="P698" s="90"/>
      <x:c r="Q698" s="90"/>
      <x:c r="R698" s="90"/>
    </x:row>
    <x:row r="699" spans="1:41" ht="12.75" customHeight="1" x14ac:dyDescent="0.3">
      <x:c r="C699" s="719"/>
      <x:c r="D699" s="220"/>
      <x:c r="E699" s="89"/>
      <x:c r="F699" s="90"/>
      <x:c r="G699" s="90"/>
      <x:c r="H699" s="90"/>
      <x:c r="I699" s="90"/>
      <x:c r="J699" s="90"/>
      <x:c r="K699" s="90"/>
      <x:c r="L699" s="90"/>
      <x:c r="M699" s="90"/>
      <x:c r="N699" s="90"/>
      <x:c r="O699" s="90"/>
      <x:c r="P699" s="90"/>
      <x:c r="Q699" s="90"/>
      <x:c r="R699" s="90"/>
    </x:row>
    <x:row r="700" spans="1:41" ht="12.75" customHeight="1" x14ac:dyDescent="0.3">
      <x:c r="C700" s="777" t="s">
        <x:v>119</x:v>
      </x:c>
      <x:c r="D700" s="775" t="s">
        <x:v>132</x:v>
      </x:c>
      <x:c r="E700" s="101" t="s">
        <x:v>70</x:v>
      </x:c>
      <x:c r="F700" s="93">
        <x:f>F647+F673+F612-L612-L647</x:f>
        <x:v>0</x:v>
      </x:c>
      <x:c r="G700" s="93">
        <x:f t="shared" ref="G700:AO700" si="37">G647+G612</x:f>
        <x:v>0</x:v>
      </x:c>
      <x:c r="H700" s="93">
        <x:f t="shared" si="37"/>
        <x:v>0</x:v>
      </x:c>
      <x:c r="I700" s="93">
        <x:f t="shared" si="37"/>
        <x:v>0</x:v>
      </x:c>
      <x:c r="J700" s="93">
        <x:f t="shared" si="37"/>
        <x:v>0</x:v>
      </x:c>
      <x:c r="K700" s="93">
        <x:f t="shared" si="37"/>
        <x:v>0</x:v>
      </x:c>
      <x:c r="L700" s="93">
        <x:f t="shared" si="37"/>
        <x:v>0</x:v>
      </x:c>
      <x:c r="M700" s="93">
        <x:f t="shared" si="37"/>
        <x:v>0</x:v>
      </x:c>
      <x:c r="N700" s="93">
        <x:f t="shared" si="37"/>
        <x:v>0</x:v>
      </x:c>
      <x:c r="O700" s="93">
        <x:f t="shared" si="37"/>
        <x:v>0</x:v>
      </x:c>
      <x:c r="P700" s="93">
        <x:f t="shared" si="37"/>
        <x:v>0</x:v>
      </x:c>
      <x:c r="Q700" s="93">
        <x:f t="shared" si="37"/>
        <x:v>0</x:v>
      </x:c>
      <x:c r="R700" s="93">
        <x:f t="shared" si="37"/>
        <x:v>0</x:v>
      </x:c>
      <x:c r="S700" s="93">
        <x:f t="shared" si="37"/>
        <x:v>0</x:v>
      </x:c>
      <x:c r="T700" s="93">
        <x:f t="shared" si="37"/>
        <x:v>0</x:v>
      </x:c>
      <x:c r="U700" s="93">
        <x:f t="shared" si="37"/>
        <x:v>0</x:v>
      </x:c>
      <x:c r="V700" s="93">
        <x:f t="shared" si="37"/>
        <x:v>0</x:v>
      </x:c>
      <x:c r="W700" s="93">
        <x:f t="shared" si="37"/>
        <x:v>0</x:v>
      </x:c>
      <x:c r="X700" s="93">
        <x:f t="shared" si="37"/>
        <x:v>0</x:v>
      </x:c>
      <x:c r="Y700" s="93">
        <x:f t="shared" si="37"/>
        <x:v>0</x:v>
      </x:c>
      <x:c r="Z700" s="93">
        <x:f t="shared" si="37"/>
        <x:v>0</x:v>
      </x:c>
      <x:c r="AA700" s="93">
        <x:f t="shared" si="37"/>
        <x:v>0</x:v>
      </x:c>
      <x:c r="AB700" s="93">
        <x:f t="shared" si="37"/>
        <x:v>0</x:v>
      </x:c>
      <x:c r="AC700" s="93">
        <x:f t="shared" si="37"/>
        <x:v>0</x:v>
      </x:c>
      <x:c r="AD700" s="93">
        <x:f t="shared" si="37"/>
        <x:v>0</x:v>
      </x:c>
      <x:c r="AE700" s="93">
        <x:f t="shared" si="37"/>
        <x:v>0</x:v>
      </x:c>
      <x:c r="AF700" s="93">
        <x:f t="shared" si="37"/>
        <x:v>0</x:v>
      </x:c>
      <x:c r="AG700" s="93">
        <x:f t="shared" si="37"/>
        <x:v>0</x:v>
      </x:c>
      <x:c r="AH700" s="93">
        <x:f t="shared" si="37"/>
        <x:v>0</x:v>
      </x:c>
      <x:c r="AI700" s="93">
        <x:f t="shared" si="37"/>
        <x:v>0</x:v>
      </x:c>
      <x:c r="AJ700" s="93">
        <x:f t="shared" si="37"/>
        <x:v>0</x:v>
      </x:c>
      <x:c r="AK700" s="93">
        <x:f t="shared" si="37"/>
        <x:v>0</x:v>
      </x:c>
      <x:c r="AL700" s="93">
        <x:f t="shared" si="37"/>
        <x:v>0</x:v>
      </x:c>
      <x:c r="AM700" s="93">
        <x:f t="shared" si="37"/>
        <x:v>0</x:v>
      </x:c>
      <x:c r="AN700" s="93">
        <x:f t="shared" si="37"/>
        <x:v>0</x:v>
      </x:c>
      <x:c r="AO700" s="93">
        <x:f t="shared" si="37"/>
        <x:v>0</x:v>
      </x:c>
    </x:row>
    <x:row r="701" spans="1:41" ht="12.75" customHeight="1" x14ac:dyDescent="0.3">
      <x:c r="C701" s="777"/>
      <x:c r="D701" s="775"/>
      <x:c r="E701" s="101" t="s">
        <x:v>73</x:v>
      </x:c>
      <x:c r="F701" s="93">
        <x:f>F673</x:f>
        <x:v>0</x:v>
      </x:c>
      <x:c r="G701" s="90"/>
      <x:c r="H701" s="90"/>
      <x:c r="I701" s="90"/>
      <x:c r="J701" s="90"/>
      <x:c r="K701" s="90"/>
      <x:c r="L701" s="90"/>
      <x:c r="M701" s="90"/>
      <x:c r="N701" s="90"/>
      <x:c r="O701" s="90"/>
      <x:c r="P701" s="90"/>
      <x:c r="Q701" s="90"/>
      <x:c r="R701" s="90"/>
      <x:c r="S701" s="90"/>
    </x:row>
    <x:row r="702" spans="1:41" ht="12.75" customHeight="1" x14ac:dyDescent="0.3">
      <x:c r="C702" s="777"/>
      <x:c r="D702" s="775" t="s">
        <x:v>133</x:v>
      </x:c>
      <x:c r="E702" s="235" t="s">
        <x:v>70</x:v>
      </x:c>
      <x:c r="F702" s="236">
        <x:f>F659+F628-L628</x:f>
        <x:v>0</x:v>
      </x:c>
      <x:c r="G702" s="236">
        <x:f>G628</x:f>
        <x:v>0</x:v>
      </x:c>
      <x:c r="H702" s="236">
        <x:f t="shared" ref="H702:AO702" si="38">H628</x:f>
        <x:v>0</x:v>
      </x:c>
      <x:c r="I702" s="236">
        <x:f t="shared" si="38"/>
        <x:v>0</x:v>
      </x:c>
      <x:c r="J702" s="236">
        <x:f t="shared" si="38"/>
        <x:v>0</x:v>
      </x:c>
      <x:c r="K702" s="236">
        <x:f t="shared" si="38"/>
        <x:v>0</x:v>
      </x:c>
      <x:c r="L702" s="236">
        <x:f t="shared" si="38"/>
        <x:v>0</x:v>
      </x:c>
      <x:c r="M702" s="236">
        <x:f t="shared" si="38"/>
        <x:v>0</x:v>
      </x:c>
      <x:c r="N702" s="236">
        <x:f t="shared" si="38"/>
        <x:v>0</x:v>
      </x:c>
      <x:c r="O702" s="236">
        <x:f t="shared" si="38"/>
        <x:v>0</x:v>
      </x:c>
      <x:c r="P702" s="236">
        <x:f t="shared" si="38"/>
        <x:v>0</x:v>
      </x:c>
      <x:c r="Q702" s="236">
        <x:f t="shared" si="38"/>
        <x:v>0</x:v>
      </x:c>
      <x:c r="R702" s="236">
        <x:f t="shared" si="38"/>
        <x:v>0</x:v>
      </x:c>
      <x:c r="S702" s="236">
        <x:f t="shared" si="38"/>
        <x:v>0</x:v>
      </x:c>
      <x:c r="T702" s="236">
        <x:f t="shared" si="38"/>
        <x:v>0</x:v>
      </x:c>
      <x:c r="U702" s="236">
        <x:f t="shared" si="38"/>
        <x:v>0</x:v>
      </x:c>
      <x:c r="V702" s="236">
        <x:f t="shared" si="38"/>
        <x:v>0</x:v>
      </x:c>
      <x:c r="W702" s="236">
        <x:f t="shared" si="38"/>
        <x:v>0</x:v>
      </x:c>
      <x:c r="X702" s="236">
        <x:f t="shared" si="38"/>
        <x:v>0</x:v>
      </x:c>
      <x:c r="Y702" s="236">
        <x:f t="shared" si="38"/>
        <x:v>0</x:v>
      </x:c>
      <x:c r="Z702" s="236">
        <x:f t="shared" si="38"/>
        <x:v>0</x:v>
      </x:c>
      <x:c r="AA702" s="236">
        <x:f t="shared" si="38"/>
        <x:v>0</x:v>
      </x:c>
      <x:c r="AB702" s="236">
        <x:f t="shared" si="38"/>
        <x:v>0</x:v>
      </x:c>
      <x:c r="AC702" s="236">
        <x:f t="shared" si="38"/>
        <x:v>0</x:v>
      </x:c>
      <x:c r="AD702" s="236">
        <x:f t="shared" si="38"/>
        <x:v>0</x:v>
      </x:c>
      <x:c r="AE702" s="236">
        <x:f t="shared" si="38"/>
        <x:v>0</x:v>
      </x:c>
      <x:c r="AF702" s="236">
        <x:f t="shared" si="38"/>
        <x:v>0</x:v>
      </x:c>
      <x:c r="AG702" s="236">
        <x:f t="shared" si="38"/>
        <x:v>0</x:v>
      </x:c>
      <x:c r="AH702" s="236">
        <x:f t="shared" si="38"/>
        <x:v>0</x:v>
      </x:c>
      <x:c r="AI702" s="236">
        <x:f t="shared" si="38"/>
        <x:v>0</x:v>
      </x:c>
      <x:c r="AJ702" s="236">
        <x:f t="shared" si="38"/>
        <x:v>0</x:v>
      </x:c>
      <x:c r="AK702" s="236">
        <x:f t="shared" si="38"/>
        <x:v>0</x:v>
      </x:c>
      <x:c r="AL702" s="236">
        <x:f t="shared" si="38"/>
        <x:v>0</x:v>
      </x:c>
      <x:c r="AM702" s="236">
        <x:f t="shared" si="38"/>
        <x:v>0</x:v>
      </x:c>
      <x:c r="AN702" s="236">
        <x:f t="shared" si="38"/>
        <x:v>0</x:v>
      </x:c>
      <x:c r="AO702" s="236">
        <x:f t="shared" si="38"/>
        <x:v>0</x:v>
      </x:c>
    </x:row>
    <x:row r="703" spans="1:41" ht="12.75" customHeight="1" x14ac:dyDescent="0.3">
      <x:c r="C703" s="777"/>
      <x:c r="D703" s="775"/>
      <x:c r="E703" s="235" t="s">
        <x:v>73</x:v>
      </x:c>
      <x:c r="F703" s="236">
        <x:f>F659</x:f>
        <x:v>0</x:v>
      </x:c>
      <x:c r="G703" s="90"/>
      <x:c r="H703" s="90"/>
      <x:c r="I703" s="90"/>
      <x:c r="J703" s="90"/>
      <x:c r="K703" s="90"/>
      <x:c r="L703" s="90"/>
      <x:c r="M703" s="90"/>
      <x:c r="N703" s="90"/>
      <x:c r="O703" s="90"/>
      <x:c r="P703" s="90"/>
      <x:c r="Q703" s="90"/>
      <x:c r="R703" s="90"/>
    </x:row>
    <x:row r="704" spans="1:41" ht="12.75" customHeight="1" x14ac:dyDescent="0.3">
      <x:c r="A704" s="89"/>
      <x:c r="C704" s="97"/>
      <x:c r="F704" s="90"/>
      <x:c r="G704" s="90"/>
      <x:c r="H704" s="90"/>
      <x:c r="I704" s="90"/>
      <x:c r="J704" s="90"/>
      <x:c r="K704" s="90"/>
      <x:c r="L704" s="90"/>
      <x:c r="M704" s="90"/>
      <x:c r="N704" s="90"/>
      <x:c r="O704" s="90"/>
      <x:c r="P704" s="90"/>
      <x:c r="Q704" s="90"/>
      <x:c r="R704" s="90"/>
      <x:c r="S704" s="90"/>
    </x:row>
    <x:row r="705" spans="3:41" ht="12.75" customHeight="1" x14ac:dyDescent="0.3">
      <x:c r="C705" s="776" t="s">
        <x:v>161</x:v>
      </x:c>
      <x:c r="D705" s="775" t="s">
        <x:v>132</x:v>
      </x:c>
      <x:c r="E705" s="231" t="s">
        <x:v>70</x:v>
      </x:c>
      <x:c r="F705" s="232">
        <x:v>0</x:v>
      </x:c>
      <x:c r="G705" s="232">
        <x:v>0</x:v>
      </x:c>
      <x:c r="H705" s="232">
        <x:v>0</x:v>
      </x:c>
      <x:c r="I705" s="232">
        <x:v>0</x:v>
      </x:c>
      <x:c r="J705" s="232">
        <x:v>0</x:v>
      </x:c>
      <x:c r="K705" s="232">
        <x:v>0</x:v>
      </x:c>
      <x:c r="L705" s="232">
        <x:v>0</x:v>
      </x:c>
      <x:c r="M705" s="232">
        <x:v>0</x:v>
      </x:c>
      <x:c r="N705" s="232">
        <x:v>0</x:v>
      </x:c>
      <x:c r="O705" s="232">
        <x:v>0</x:v>
      </x:c>
      <x:c r="P705" s="232">
        <x:v>0</x:v>
      </x:c>
      <x:c r="Q705" s="232">
        <x:v>0</x:v>
      </x:c>
      <x:c r="R705" s="232">
        <x:v>0</x:v>
      </x:c>
      <x:c r="S705" s="232">
        <x:v>0</x:v>
      </x:c>
      <x:c r="T705" s="232">
        <x:v>0</x:v>
      </x:c>
      <x:c r="U705" s="232"/>
      <x:c r="V705" s="232"/>
      <x:c r="W705" s="232"/>
      <x:c r="X705" s="232">
        <x:v>0</x:v>
      </x:c>
      <x:c r="Y705" s="232">
        <x:v>0</x:v>
      </x:c>
      <x:c r="Z705" s="232">
        <x:v>0</x:v>
      </x:c>
      <x:c r="AA705" s="232">
        <x:v>0</x:v>
      </x:c>
      <x:c r="AB705" s="232">
        <x:v>0</x:v>
      </x:c>
      <x:c r="AC705" s="232">
        <x:v>0</x:v>
      </x:c>
      <x:c r="AD705" s="232">
        <x:v>0</x:v>
      </x:c>
      <x:c r="AE705" s="232">
        <x:v>0</x:v>
      </x:c>
      <x:c r="AF705" s="232">
        <x:v>0</x:v>
      </x:c>
      <x:c r="AG705" s="232">
        <x:v>0</x:v>
      </x:c>
      <x:c r="AH705" s="232">
        <x:v>0</x:v>
      </x:c>
      <x:c r="AI705" s="232">
        <x:v>0</x:v>
      </x:c>
      <x:c r="AJ705" s="232">
        <x:v>0</x:v>
      </x:c>
      <x:c r="AK705" s="232">
        <x:v>0</x:v>
      </x:c>
      <x:c r="AL705" s="232">
        <x:v>0</x:v>
      </x:c>
      <x:c r="AM705" s="232">
        <x:v>0</x:v>
      </x:c>
      <x:c r="AN705" s="232">
        <x:v>0</x:v>
      </x:c>
      <x:c r="AO705" s="232">
        <x:v>0</x:v>
      </x:c>
    </x:row>
    <x:row r="706" spans="3:41" ht="12.75" customHeight="1" x14ac:dyDescent="0.3">
      <x:c r="C706" s="776"/>
      <x:c r="D706" s="775"/>
      <x:c r="E706" s="231" t="s">
        <x:v>73</x:v>
      </x:c>
      <x:c r="F706" s="232">
        <x:v>0</x:v>
      </x:c>
      <x:c r="G706" s="90"/>
      <x:c r="H706" s="90"/>
      <x:c r="I706" s="90"/>
      <x:c r="J706" s="90"/>
      <x:c r="K706" s="90"/>
      <x:c r="L706" s="90"/>
      <x:c r="M706" s="90"/>
      <x:c r="N706" s="90"/>
      <x:c r="O706" s="90"/>
      <x:c r="P706" s="90"/>
      <x:c r="Q706" s="90"/>
      <x:c r="R706" s="90"/>
      <x:c r="S706" s="90"/>
    </x:row>
    <x:row r="707" spans="3:41" ht="12.75" customHeight="1" x14ac:dyDescent="0.3">
      <x:c r="C707" s="776"/>
      <x:c r="E707" s="148" t="s">
        <x:v>70</x:v>
      </x:c>
      <x:c r="F707" s="149">
        <x:v>0</x:v>
      </x:c>
      <x:c r="G707" s="149">
        <x:v>0</x:v>
      </x:c>
      <x:c r="H707" s="149">
        <x:v>0</x:v>
      </x:c>
      <x:c r="I707" s="149">
        <x:v>0</x:v>
      </x:c>
      <x:c r="J707" s="149">
        <x:v>0</x:v>
      </x:c>
      <x:c r="K707" s="149">
        <x:v>0</x:v>
      </x:c>
      <x:c r="L707" s="149">
        <x:v>0</x:v>
      </x:c>
      <x:c r="M707" s="149">
        <x:v>0</x:v>
      </x:c>
      <x:c r="N707" s="149">
        <x:v>0</x:v>
      </x:c>
      <x:c r="O707" s="149">
        <x:v>0</x:v>
      </x:c>
      <x:c r="P707" s="149">
        <x:v>0</x:v>
      </x:c>
      <x:c r="Q707" s="149">
        <x:v>0</x:v>
      </x:c>
      <x:c r="R707" s="149">
        <x:v>0</x:v>
      </x:c>
      <x:c r="S707" s="149">
        <x:v>0</x:v>
      </x:c>
      <x:c r="T707" s="149">
        <x:v>0</x:v>
      </x:c>
      <x:c r="U707" s="149"/>
      <x:c r="V707" s="149"/>
      <x:c r="W707" s="149"/>
      <x:c r="X707" s="149">
        <x:v>0</x:v>
      </x:c>
      <x:c r="Y707" s="149">
        <x:v>0</x:v>
      </x:c>
      <x:c r="Z707" s="149">
        <x:v>0</x:v>
      </x:c>
      <x:c r="AA707" s="149">
        <x:v>0</x:v>
      </x:c>
    </x:row>
    <x:row r="708" spans="3:41" ht="12.75" customHeight="1" x14ac:dyDescent="0.3">
      <x:c r="C708" s="776"/>
      <x:c r="D708" s="220" t="s">
        <x:v>132</x:v>
      </x:c>
      <x:c r="E708" s="148" t="s">
        <x:v>73</x:v>
      </x:c>
      <x:c r="F708" s="149">
        <x:v>0</x:v>
      </x:c>
      <x:c r="G708" s="90"/>
      <x:c r="H708" s="90"/>
      <x:c r="I708" s="90"/>
      <x:c r="J708" s="90"/>
      <x:c r="K708" s="90"/>
      <x:c r="L708" s="90"/>
      <x:c r="M708" s="90"/>
      <x:c r="N708" s="90"/>
      <x:c r="O708" s="90"/>
      <x:c r="P708" s="90"/>
      <x:c r="Q708" s="90"/>
      <x:c r="R708" s="90"/>
    </x:row>
    <x:row r="709" spans="3:41" ht="12.75" customHeight="1" x14ac:dyDescent="0.3">
      <x:c r="C709" s="388"/>
      <x:c r="D709" s="220"/>
      <x:c r="E709" s="89"/>
      <x:c r="F709" s="90"/>
      <x:c r="G709" s="90"/>
      <x:c r="H709" s="90"/>
      <x:c r="I709" s="90"/>
      <x:c r="J709" s="90"/>
      <x:c r="K709" s="90"/>
      <x:c r="L709" s="90"/>
      <x:c r="M709" s="90"/>
      <x:c r="N709" s="90"/>
      <x:c r="O709" s="90"/>
      <x:c r="P709" s="90"/>
      <x:c r="Q709" s="90"/>
      <x:c r="R709" s="90"/>
    </x:row>
    <x:row r="710" spans="3:41" ht="12.75" customHeight="1" x14ac:dyDescent="0.3">
      <x:c r="D710" s="458" t="s">
        <x:v>186</x:v>
      </x:c>
      <x:c r="E710" s="459" t="s">
        <x:v>70</x:v>
      </x:c>
      <x:c r="F710" s="460">
        <x:f>F614</x:f>
        <x:v>0</x:v>
      </x:c>
      <x:c r="G710" s="460">
        <x:f t="shared" ref="G710:AA710" si="39">G614</x:f>
        <x:v>0</x:v>
      </x:c>
      <x:c r="H710" s="460">
        <x:f t="shared" si="39"/>
        <x:v>0</x:v>
      </x:c>
      <x:c r="I710" s="460">
        <x:f t="shared" si="39"/>
        <x:v>0</x:v>
      </x:c>
      <x:c r="J710" s="460">
        <x:f t="shared" si="39"/>
        <x:v>0</x:v>
      </x:c>
      <x:c r="K710" s="460">
        <x:f t="shared" si="39"/>
        <x:v>0</x:v>
      </x:c>
      <x:c r="L710" s="460">
        <x:f t="shared" si="39"/>
        <x:v>0</x:v>
      </x:c>
      <x:c r="M710" s="460">
        <x:f t="shared" si="39"/>
        <x:v>0</x:v>
      </x:c>
      <x:c r="N710" s="460">
        <x:f t="shared" si="39"/>
        <x:v>0</x:v>
      </x:c>
      <x:c r="O710" s="460">
        <x:f t="shared" si="39"/>
        <x:v>0</x:v>
      </x:c>
      <x:c r="P710" s="460">
        <x:f t="shared" si="39"/>
        <x:v>0</x:v>
      </x:c>
      <x:c r="Q710" s="460">
        <x:f t="shared" si="39"/>
        <x:v>0</x:v>
      </x:c>
      <x:c r="R710" s="460">
        <x:f t="shared" si="39"/>
        <x:v>0</x:v>
      </x:c>
      <x:c r="S710" s="460">
        <x:f t="shared" si="39"/>
        <x:v>0</x:v>
      </x:c>
      <x:c r="T710" s="460">
        <x:f t="shared" si="39"/>
        <x:v>0</x:v>
      </x:c>
      <x:c r="U710" s="460">
        <x:f t="shared" si="39"/>
        <x:v>0</x:v>
      </x:c>
      <x:c r="V710" s="460">
        <x:f t="shared" si="39"/>
        <x:v>0</x:v>
      </x:c>
      <x:c r="W710" s="460">
        <x:f t="shared" si="39"/>
        <x:v>0</x:v>
      </x:c>
      <x:c r="X710" s="460">
        <x:f t="shared" si="39"/>
        <x:v>0</x:v>
      </x:c>
      <x:c r="Y710" s="460">
        <x:f t="shared" si="39"/>
        <x:v>0</x:v>
      </x:c>
      <x:c r="Z710" s="460">
        <x:f t="shared" si="39"/>
        <x:v>0</x:v>
      </x:c>
      <x:c r="AA710" s="460">
        <x:f t="shared" si="39"/>
        <x:v>0</x:v>
      </x:c>
    </x:row>
    <x:row r="711" spans="3:41" ht="12.75" customHeight="1" x14ac:dyDescent="0.3">
      <x:c r="C711" s="388"/>
      <x:c r="D711" s="220"/>
      <x:c r="E711" s="89"/>
      <x:c r="F711" s="90"/>
      <x:c r="G711" s="90"/>
      <x:c r="H711" s="90"/>
      <x:c r="I711" s="90"/>
      <x:c r="J711" s="90"/>
      <x:c r="K711" s="90"/>
      <x:c r="L711" s="90"/>
      <x:c r="M711" s="90"/>
      <x:c r="N711" s="90"/>
      <x:c r="O711" s="90"/>
      <x:c r="P711" s="90"/>
      <x:c r="Q711" s="90"/>
      <x:c r="R711" s="90"/>
    </x:row>
    <x:row r="712" spans="3:41" s="238" customFormat="1" ht="12.75" customHeight="1" x14ac:dyDescent="0.3">
      <x:c r="D712" s="239"/>
      <x:c r="E712" s="240"/>
      <x:c r="F712" s="240"/>
      <x:c r="G712" s="240"/>
      <x:c r="H712" s="240"/>
      <x:c r="I712" s="240"/>
      <x:c r="J712" s="240"/>
      <x:c r="K712" s="240"/>
      <x:c r="L712" s="240"/>
      <x:c r="M712" s="240"/>
      <x:c r="N712" s="240"/>
      <x:c r="O712" s="240"/>
      <x:c r="P712" s="240"/>
      <x:c r="Q712" s="240"/>
    </x:row>
  </x:sheetData>
  <x:mergeCells count="87">
    <x:mergeCell ref="D430:D431"/>
    <x:mergeCell ref="D432:D433"/>
    <x:mergeCell ref="C269:C272"/>
    <x:mergeCell ref="D269:D270"/>
    <x:mergeCell ref="D271:D272"/>
    <x:mergeCell ref="C279:C282"/>
    <x:mergeCell ref="D279:D280"/>
    <x:mergeCell ref="C415:C418"/>
    <x:mergeCell ref="D415:D416"/>
    <x:mergeCell ref="D417:D418"/>
    <x:mergeCell ref="C705:C708"/>
    <x:mergeCell ref="C680:C683"/>
    <x:mergeCell ref="D680:D681"/>
    <x:mergeCell ref="D682:D683"/>
    <x:mergeCell ref="C685:C688"/>
    <x:mergeCell ref="D685:D686"/>
    <x:mergeCell ref="D687:D688"/>
    <x:mergeCell ref="C690:C693"/>
    <x:mergeCell ref="D690:D691"/>
    <x:mergeCell ref="D692:D693"/>
    <x:mergeCell ref="C700:C703"/>
    <x:mergeCell ref="D700:D701"/>
    <x:mergeCell ref="D702:D703"/>
    <x:mergeCell ref="D705:D706"/>
    <x:mergeCell ref="C695:C698"/>
    <x:mergeCell ref="D695:D696"/>
    <x:mergeCell ref="D266:D267"/>
    <x:mergeCell ref="D276:D277"/>
    <x:mergeCell ref="C100:C103"/>
    <x:mergeCell ref="D100:D101"/>
    <x:mergeCell ref="D102:D103"/>
    <x:mergeCell ref="C254:C257"/>
    <x:mergeCell ref="D254:D255"/>
    <x:mergeCell ref="D256:D257"/>
    <x:mergeCell ref="C259:C262"/>
    <x:mergeCell ref="D259:D260"/>
    <x:mergeCell ref="D264:D265"/>
    <x:mergeCell ref="C264:C267"/>
    <x:mergeCell ref="C274:C277"/>
    <x:mergeCell ref="D274:D275"/>
    <x:mergeCell ref="D97:D98"/>
    <x:mergeCell ref="C80:C83"/>
    <x:mergeCell ref="C85:C88"/>
    <x:mergeCell ref="D261:D262"/>
    <x:mergeCell ref="C75:C78"/>
    <x:mergeCell ref="D75:D76"/>
    <x:mergeCell ref="D77:D78"/>
    <x:mergeCell ref="C95:C98"/>
    <x:mergeCell ref="D80:D81"/>
    <x:mergeCell ref="D82:D83"/>
    <x:mergeCell ref="D85:D86"/>
    <x:mergeCell ref="D87:D88"/>
    <x:mergeCell ref="D95:D96"/>
    <x:mergeCell ref="C90:C93"/>
    <x:mergeCell ref="D90:D91"/>
    <x:mergeCell ref="D92:D93"/>
    <x:mergeCell ref="C568:C571"/>
    <x:mergeCell ref="D568:D569"/>
    <x:mergeCell ref="D570:D571"/>
    <x:mergeCell ref="C420:C423"/>
    <x:mergeCell ref="D420:D421"/>
    <x:mergeCell ref="D422:D423"/>
    <x:mergeCell ref="C425:C428"/>
    <x:mergeCell ref="D425:D426"/>
    <x:mergeCell ref="D427:D428"/>
    <x:mergeCell ref="C435:C438"/>
    <x:mergeCell ref="D435:D436"/>
    <x:mergeCell ref="D437:D438"/>
    <x:mergeCell ref="C440:C443"/>
    <x:mergeCell ref="D440:D441"/>
    <x:mergeCell ref="D442:D443"/>
    <x:mergeCell ref="C430:C433"/>
    <x:mergeCell ref="D697:D698"/>
    <x:mergeCell ref="C593:C596"/>
    <x:mergeCell ref="C573:C576"/>
    <x:mergeCell ref="D573:D574"/>
    <x:mergeCell ref="D575:D576"/>
    <x:mergeCell ref="C578:C581"/>
    <x:mergeCell ref="D578:D579"/>
    <x:mergeCell ref="D580:D581"/>
    <x:mergeCell ref="C588:C591"/>
    <x:mergeCell ref="D588:D589"/>
    <x:mergeCell ref="D590:D591"/>
    <x:mergeCell ref="D593:D594"/>
    <x:mergeCell ref="C583:C586"/>
    <x:mergeCell ref="D583:D584"/>
    <x:mergeCell ref="D585:D586"/>
  </x:mergeCells>
  <x:pageMargins left="0.7" right="0.7" top="0.75" bottom="0.75" header="0.3" footer="0.3"/>
  <x:pageSetup orientation="portrait" r:id="rId1"/>
  <x:ignoredErrors>
    <x:ignoredError sqref="D153 D156 D159 D177 D181 D493 D499 D535 D539" numberStoredAsText="1"/>
  </x:ignoredErrors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dimension ref="A1:S485"/>
  <x:sheetViews>
    <x:sheetView zoomScaleNormal="100" workbookViewId="0">
      <x:pane ySplit="2" topLeftCell="A3" activePane="bottomLeft" state="frozen"/>
      <x:selection activeCell="D22" sqref="D22"/>
      <x:selection pane="bottomLeft" activeCell="A3" sqref="A3"/>
    </x:sheetView>
  </x:sheetViews>
  <x:sheetFormatPr baseColWidth="10" defaultRowHeight="12.45" x14ac:dyDescent="0.3"/>
  <x:cols>
    <x:col min="2" max="2" width="22.3828125" bestFit="1" customWidth="1"/>
    <x:col min="3" max="3" width="18.84375" customWidth="1"/>
    <x:col min="4" max="4" width="23.15234375" bestFit="1" customWidth="1"/>
    <x:col min="5" max="5" width="15.15234375" bestFit="1" customWidth="1"/>
    <x:col min="6" max="6" width="15.3828125" bestFit="1" customWidth="1"/>
    <x:col min="7" max="8" width="16.15234375" bestFit="1" customWidth="1"/>
    <x:col min="9" max="9" width="15.15234375" bestFit="1" customWidth="1"/>
    <x:col min="10" max="10" width="17" bestFit="1" customWidth="1"/>
    <x:col min="11" max="11" width="13.53515625" bestFit="1" customWidth="1"/>
    <x:col min="12" max="12" width="15.53515625" bestFit="1" customWidth="1"/>
    <x:col min="13" max="15" width="15.15234375" bestFit="1" customWidth="1"/>
    <x:col min="16" max="16" width="20.3828125" bestFit="1" customWidth="1"/>
    <x:col min="17" max="17" width="11.53515625" customWidth="1"/>
    <x:col min="18" max="18" width="13.53515625" bestFit="1" customWidth="1"/>
  </x:cols>
  <x:sheetData>
    <x:row r="1" spans="2:18" x14ac:dyDescent="0.3">
      <x:c r="B1" s="97" t="s">
        <x:v>74</x:v>
      </x:c>
    </x:row>
    <x:row r="2" spans="2:18" ht="12.75" customHeight="1" x14ac:dyDescent="0.3">
      <x:c r="E2" s="89" t="s">
        <x:v>70</x:v>
      </x:c>
      <x:c r="F2" s="89" t="s">
        <x:v>64</x:v>
      </x:c>
      <x:c r="G2" s="89" t="s">
        <x:v>65</x:v>
      </x:c>
      <x:c r="H2" s="219" t="s">
        <x:v>164</x:v>
      </x:c>
      <x:c r="I2" s="89" t="s">
        <x:v>69</x:v>
      </x:c>
      <x:c r="J2" s="89" t="s">
        <x:v>68</x:v>
      </x:c>
      <x:c r="K2" s="89" t="s">
        <x:v>83</x:v>
      </x:c>
      <x:c r="L2" s="89" t="s">
        <x:v>66</x:v>
      </x:c>
      <x:c r="M2" s="89" t="s">
        <x:v>63</x:v>
      </x:c>
      <x:c r="N2" s="89" t="s">
        <x:v>61</x:v>
      </x:c>
      <x:c r="O2" s="89" t="s">
        <x:v>62</x:v>
      </x:c>
      <x:c r="P2" s="89" t="s">
        <x:v>67</x:v>
      </x:c>
      <x:c r="Q2" s="89" t="s">
        <x:v>84</x:v>
      </x:c>
      <x:c r="R2" s="384" t="s">
        <x:v>225</x:v>
      </x:c>
    </x:row>
    <x:row r="3" spans="2:18" ht="12.75" customHeight="1" x14ac:dyDescent="0.3">
      <x:c r="D3" s="89" t="s">
        <x:v>72</x:v>
      </x:c>
      <x:c r="E3" s="371">
        <x:v>0</x:v>
      </x:c>
      <x:c r="F3" s="90">
        <x:v>0</x:v>
      </x:c>
      <x:c r="G3" s="90">
        <x:v>0</x:v>
      </x:c>
      <x:c r="H3" s="90">
        <x:v>0</x:v>
      </x:c>
      <x:c r="I3" s="90">
        <x:v>0</x:v>
      </x:c>
      <x:c r="J3" s="90">
        <x:v>0</x:v>
      </x:c>
      <x:c r="K3" s="90">
        <x:v>0</x:v>
      </x:c>
      <x:c r="L3" s="90">
        <x:v>0</x:v>
      </x:c>
      <x:c r="M3" s="90">
        <x:v>0</x:v>
      </x:c>
      <x:c r="N3" s="90">
        <x:v>0</x:v>
      </x:c>
      <x:c r="O3" s="90">
        <x:v>0</x:v>
      </x:c>
      <x:c r="P3" s="90">
        <x:v>0</x:v>
      </x:c>
      <x:c r="Q3" s="90">
        <x:v>0</x:v>
      </x:c>
      <x:c r="R3">
        <x:v>0</x:v>
      </x:c>
    </x:row>
    <x:row r="4" spans="2:18" ht="12.75" customHeight="1" x14ac:dyDescent="0.3">
      <x:c r="D4" t="s">
        <x:v>81</x:v>
      </x:c>
      <x:c r="E4">
        <x:v>0</x:v>
      </x:c>
      <x:c r="F4">
        <x:v>0</x:v>
      </x:c>
      <x:c r="G4">
        <x:v>0</x:v>
      </x:c>
      <x:c r="H4">
        <x:v>0</x:v>
      </x:c>
      <x:c r="I4">
        <x:v>0</x:v>
      </x:c>
      <x:c r="J4">
        <x:v>0</x:v>
      </x:c>
      <x:c r="K4">
        <x:v>0</x:v>
      </x:c>
      <x:c r="L4">
        <x:v>0</x:v>
      </x:c>
      <x:c r="M4">
        <x:v>0</x:v>
      </x:c>
      <x:c r="N4">
        <x:v>0</x:v>
      </x:c>
      <x:c r="O4">
        <x:v>0</x:v>
      </x:c>
      <x:c r="P4">
        <x:v>0</x:v>
      </x:c>
      <x:c r="Q4">
        <x:v>0</x:v>
      </x:c>
      <x:c r="R4">
        <x:v>0</x:v>
      </x:c>
    </x:row>
    <x:row r="5" spans="2:18" ht="12.75" customHeight="1" x14ac:dyDescent="0.3">
      <x:c r="C5" t="s">
        <x:v>332</x:v>
      </x:c>
      <x:c r="D5" s="89" t="s">
        <x:v>70</x:v>
      </x:c>
      <x:c r="E5" s="371">
        <x:v>0</x:v>
      </x:c>
      <x:c r="F5" s="90">
        <x:v>0</x:v>
      </x:c>
      <x:c r="G5" s="90">
        <x:v>0</x:v>
      </x:c>
      <x:c r="H5" s="90">
        <x:v>0</x:v>
      </x:c>
      <x:c r="I5" s="90">
        <x:v>0</x:v>
      </x:c>
      <x:c r="J5" s="90">
        <x:v>0</x:v>
      </x:c>
      <x:c r="K5" s="90">
        <x:v>0</x:v>
      </x:c>
      <x:c r="L5" s="90">
        <x:v>0</x:v>
      </x:c>
      <x:c r="M5" s="90">
        <x:v>0</x:v>
      </x:c>
      <x:c r="N5" s="90">
        <x:v>0</x:v>
      </x:c>
      <x:c r="O5" s="90">
        <x:v>0</x:v>
      </x:c>
      <x:c r="P5" s="90">
        <x:v>0</x:v>
      </x:c>
      <x:c r="Q5" s="90">
        <x:v>0</x:v>
      </x:c>
      <x:c r="R5">
        <x:v>0</x:v>
      </x:c>
    </x:row>
    <x:row r="6" spans="2:18" s="739" customFormat="1" ht="12.75" customHeight="1" x14ac:dyDescent="0.3">
      <x:c r="B6" s="739" t="s">
        <x:v>85</x:v>
      </x:c>
      <x:c r="C6" s="739" t="s">
        <x:v>70</x:v>
      </x:c>
      <x:c r="D6" s="231"/>
      <x:c r="E6" s="740">
        <x:v>0</x:v>
      </x:c>
      <x:c r="F6" s="232">
        <x:v>0</x:v>
      </x:c>
      <x:c r="G6" s="232">
        <x:v>0</x:v>
      </x:c>
      <x:c r="H6" s="232">
        <x:v>0</x:v>
      </x:c>
      <x:c r="I6" s="232">
        <x:v>0</x:v>
      </x:c>
      <x:c r="J6" s="232">
        <x:v>0</x:v>
      </x:c>
      <x:c r="K6" s="232">
        <x:v>0</x:v>
      </x:c>
      <x:c r="L6" s="232">
        <x:v>0</x:v>
      </x:c>
      <x:c r="M6" s="232">
        <x:v>0</x:v>
      </x:c>
      <x:c r="N6" s="232">
        <x:v>0</x:v>
      </x:c>
      <x:c r="O6" s="232">
        <x:v>0</x:v>
      </x:c>
      <x:c r="P6" s="232">
        <x:v>0</x:v>
      </x:c>
      <x:c r="Q6" s="232">
        <x:v>0</x:v>
      </x:c>
      <x:c r="R6" s="739">
        <x:v>0</x:v>
      </x:c>
    </x:row>
    <x:row r="7" spans="2:18" ht="12.75" customHeight="1" x14ac:dyDescent="0.3">
      <x:c r="D7" t="s">
        <x:v>72</x:v>
      </x:c>
      <x:c r="E7" s="384">
        <x:v>0</x:v>
      </x:c>
      <x:c r="F7" s="89">
        <x:v>0</x:v>
      </x:c>
      <x:c r="G7" s="89">
        <x:v>0</x:v>
      </x:c>
      <x:c r="H7" s="384">
        <x:v>0</x:v>
      </x:c>
      <x:c r="I7" s="89">
        <x:v>0</x:v>
      </x:c>
      <x:c r="J7" s="89">
        <x:v>0</x:v>
      </x:c>
      <x:c r="K7" s="89">
        <x:v>0</x:v>
      </x:c>
      <x:c r="L7" s="89">
        <x:v>0</x:v>
      </x:c>
      <x:c r="M7" s="89">
        <x:v>0</x:v>
      </x:c>
      <x:c r="N7" s="89">
        <x:v>0</x:v>
      </x:c>
      <x:c r="O7" s="89">
        <x:v>0</x:v>
      </x:c>
      <x:c r="P7" s="89">
        <x:v>0</x:v>
      </x:c>
      <x:c r="Q7" s="89">
        <x:v>0</x:v>
      </x:c>
      <x:c r="R7">
        <x:v>0</x:v>
      </x:c>
    </x:row>
    <x:row r="8" spans="2:18" ht="12.75" customHeight="1" x14ac:dyDescent="0.3">
      <x:c r="D8" t="s">
        <x:v>81</x:v>
      </x:c>
      <x:c r="E8">
        <x:v>0</x:v>
      </x:c>
      <x:c r="F8">
        <x:v>0</x:v>
      </x:c>
      <x:c r="G8">
        <x:v>0</x:v>
      </x:c>
      <x:c r="H8">
        <x:v>0</x:v>
      </x:c>
      <x:c r="I8">
        <x:v>0</x:v>
      </x:c>
      <x:c r="J8">
        <x:v>0</x:v>
      </x:c>
      <x:c r="K8">
        <x:v>0</x:v>
      </x:c>
      <x:c r="L8">
        <x:v>0</x:v>
      </x:c>
      <x:c r="M8">
        <x:v>0</x:v>
      </x:c>
      <x:c r="N8">
        <x:v>0</x:v>
      </x:c>
      <x:c r="O8">
        <x:v>0</x:v>
      </x:c>
      <x:c r="P8">
        <x:v>0</x:v>
      </x:c>
      <x:c r="Q8">
        <x:v>0</x:v>
      </x:c>
      <x:c r="R8">
        <x:v>0</x:v>
      </x:c>
    </x:row>
    <x:row r="9" spans="2:18" ht="12.75" customHeight="1" x14ac:dyDescent="0.3">
      <x:c r="C9" t="s">
        <x:v>156</x:v>
      </x:c>
      <x:c r="D9" t="s">
        <x:v>70</x:v>
      </x:c>
      <x:c r="E9">
        <x:v>0</x:v>
      </x:c>
      <x:c r="F9">
        <x:v>0</x:v>
      </x:c>
      <x:c r="G9">
        <x:v>0</x:v>
      </x:c>
      <x:c r="H9">
        <x:v>0</x:v>
      </x:c>
      <x:c r="I9">
        <x:v>0</x:v>
      </x:c>
      <x:c r="J9">
        <x:v>0</x:v>
      </x:c>
      <x:c r="K9">
        <x:v>0</x:v>
      </x:c>
      <x:c r="L9">
        <x:v>0</x:v>
      </x:c>
      <x:c r="M9">
        <x:v>0</x:v>
      </x:c>
      <x:c r="N9">
        <x:v>0</x:v>
      </x:c>
      <x:c r="O9">
        <x:v>0</x:v>
      </x:c>
      <x:c r="P9">
        <x:v>0</x:v>
      </x:c>
      <x:c r="Q9">
        <x:v>0</x:v>
      </x:c>
      <x:c r="R9">
        <x:v>0</x:v>
      </x:c>
    </x:row>
    <x:row r="10" spans="2:18" s="286" customFormat="1" ht="12.75" customHeight="1" x14ac:dyDescent="0.3">
      <x:c r="B10" s="286" t="s">
        <x:v>155</x:v>
      </x:c>
      <x:c r="C10" s="286" t="s">
        <x:v>70</x:v>
      </x:c>
      <x:c r="E10" s="286" t="n">
        <x:v>28281218.77</x:v>
      </x:c>
      <x:c r="F10" s="286">
        <x:v>0</x:v>
      </x:c>
      <x:c r="G10" s="286">
        <x:v>0</x:v>
      </x:c>
      <x:c r="H10" s="286">
        <x:v>0</x:v>
      </x:c>
      <x:c r="I10" s="286">
        <x:v>0</x:v>
      </x:c>
      <x:c r="J10" s="286">
        <x:v>0</x:v>
      </x:c>
      <x:c r="K10" s="286" t="n">
        <x:v>0</x:v>
      </x:c>
      <x:c r="L10" s="286">
        <x:v>0</x:v>
      </x:c>
      <x:c r="M10" s="286">
        <x:v>0</x:v>
      </x:c>
      <x:c r="N10" s="286">
        <x:v>0</x:v>
      </x:c>
      <x:c r="O10" s="286">
        <x:v>0</x:v>
      </x:c>
      <x:c r="P10" s="286">
        <x:v>0</x:v>
      </x:c>
      <x:c r="Q10" s="286">
        <x:v>0</x:v>
      </x:c>
      <x:c r="R10" s="286">
        <x:v>0</x:v>
      </x:c>
    </x:row>
    <x:row r="11" spans="2:18" ht="12.75" customHeight="1" x14ac:dyDescent="0.3">
      <x:c r="B11" s="142"/>
      <x:c r="D11" t="s">
        <x:v>72</x:v>
      </x:c>
      <x:c r="E11" s="142">
        <x:v>0</x:v>
      </x:c>
      <x:c r="F11">
        <x:v>0</x:v>
      </x:c>
      <x:c r="G11">
        <x:v>0</x:v>
      </x:c>
      <x:c r="H11">
        <x:v>0</x:v>
      </x:c>
      <x:c r="I11">
        <x:v>0</x:v>
      </x:c>
      <x:c r="J11">
        <x:v>0</x:v>
      </x:c>
      <x:c r="K11">
        <x:v>0</x:v>
      </x:c>
      <x:c r="L11">
        <x:v>0</x:v>
      </x:c>
      <x:c r="M11">
        <x:v>0</x:v>
      </x:c>
      <x:c r="N11">
        <x:v>0</x:v>
      </x:c>
      <x:c r="O11">
        <x:v>0</x:v>
      </x:c>
      <x:c r="P11">
        <x:v>0</x:v>
      </x:c>
      <x:c r="Q11">
        <x:v>0</x:v>
      </x:c>
      <x:c r="R11">
        <x:v>0</x:v>
      </x:c>
    </x:row>
    <x:row r="12" spans="2:18" ht="12.75" customHeight="1" x14ac:dyDescent="0.3">
      <x:c r="B12" s="142"/>
      <x:c r="D12" t="s">
        <x:v>81</x:v>
      </x:c>
      <x:c r="E12" s="142">
        <x:v>0</x:v>
      </x:c>
      <x:c r="F12">
        <x:v>0</x:v>
      </x:c>
      <x:c r="G12">
        <x:v>0</x:v>
      </x:c>
      <x:c r="H12">
        <x:v>0</x:v>
      </x:c>
      <x:c r="I12">
        <x:v>0</x:v>
      </x:c>
      <x:c r="J12">
        <x:v>0</x:v>
      </x:c>
      <x:c r="K12">
        <x:v>0</x:v>
      </x:c>
      <x:c r="L12">
        <x:v>0</x:v>
      </x:c>
      <x:c r="M12">
        <x:v>0</x:v>
      </x:c>
      <x:c r="N12">
        <x:v>0</x:v>
      </x:c>
      <x:c r="O12">
        <x:v>0</x:v>
      </x:c>
      <x:c r="P12">
        <x:v>0</x:v>
      </x:c>
      <x:c r="Q12">
        <x:v>0</x:v>
      </x:c>
      <x:c r="R12">
        <x:v>0</x:v>
      </x:c>
    </x:row>
    <x:row r="13" spans="2:18" ht="12.75" customHeight="1" x14ac:dyDescent="0.3">
      <x:c r="B13" s="142"/>
      <x:c r="C13" t="s">
        <x:v>82</x:v>
      </x:c>
      <x:c r="D13" t="s">
        <x:v>70</x:v>
      </x:c>
      <x:c r="E13" s="142">
        <x:v>0</x:v>
      </x:c>
      <x:c r="F13">
        <x:v>0</x:v>
      </x:c>
      <x:c r="G13">
        <x:v>0</x:v>
      </x:c>
      <x:c r="H13">
        <x:v>0</x:v>
      </x:c>
      <x:c r="I13">
        <x:v>0</x:v>
      </x:c>
      <x:c r="J13">
        <x:v>0</x:v>
      </x:c>
      <x:c r="K13">
        <x:v>0</x:v>
      </x:c>
      <x:c r="L13">
        <x:v>0</x:v>
      </x:c>
      <x:c r="M13">
        <x:v>0</x:v>
      </x:c>
      <x:c r="N13">
        <x:v>0</x:v>
      </x:c>
      <x:c r="O13">
        <x:v>0</x:v>
      </x:c>
      <x:c r="P13">
        <x:v>0</x:v>
      </x:c>
      <x:c r="Q13">
        <x:v>0</x:v>
      </x:c>
      <x:c r="R13">
        <x:v>0</x:v>
      </x:c>
    </x:row>
    <x:row r="14" spans="2:18" ht="12.75" customHeight="1" x14ac:dyDescent="0.3">
      <x:c r="B14" s="142"/>
      <x:c r="D14" t="s">
        <x:v>72</x:v>
      </x:c>
      <x:c r="E14">
        <x:v>0</x:v>
      </x:c>
      <x:c r="F14">
        <x:v>0</x:v>
      </x:c>
      <x:c r="G14">
        <x:v>0</x:v>
      </x:c>
      <x:c r="H14">
        <x:v>0</x:v>
      </x:c>
      <x:c r="I14">
        <x:v>0</x:v>
      </x:c>
      <x:c r="J14">
        <x:v>0</x:v>
      </x:c>
      <x:c r="K14">
        <x:v>0</x:v>
      </x:c>
      <x:c r="L14">
        <x:v>0</x:v>
      </x:c>
      <x:c r="M14">
        <x:v>0</x:v>
      </x:c>
      <x:c r="N14">
        <x:v>0</x:v>
      </x:c>
      <x:c r="O14">
        <x:v>0</x:v>
      </x:c>
      <x:c r="P14">
        <x:v>0</x:v>
      </x:c>
      <x:c r="Q14">
        <x:v>0</x:v>
      </x:c>
      <x:c r="R14">
        <x:v>0</x:v>
      </x:c>
    </x:row>
    <x:row r="15" spans="2:18" ht="12.75" customHeight="1" x14ac:dyDescent="0.3">
      <x:c r="B15" s="142"/>
      <x:c r="D15" t="s">
        <x:v>81</x:v>
      </x:c>
      <x:c r="E15">
        <x:v>0</x:v>
      </x:c>
      <x:c r="F15">
        <x:v>0</x:v>
      </x:c>
      <x:c r="G15">
        <x:v>0</x:v>
      </x:c>
      <x:c r="H15">
        <x:v>0</x:v>
      </x:c>
      <x:c r="I15">
        <x:v>0</x:v>
      </x:c>
      <x:c r="J15">
        <x:v>0</x:v>
      </x:c>
      <x:c r="K15">
        <x:v>0</x:v>
      </x:c>
      <x:c r="L15">
        <x:v>0</x:v>
      </x:c>
      <x:c r="M15">
        <x:v>0</x:v>
      </x:c>
      <x:c r="N15">
        <x:v>0</x:v>
      </x:c>
      <x:c r="O15">
        <x:v>0</x:v>
      </x:c>
      <x:c r="P15">
        <x:v>0</x:v>
      </x:c>
      <x:c r="Q15">
        <x:v>0</x:v>
      </x:c>
      <x:c r="R15">
        <x:v>0</x:v>
      </x:c>
    </x:row>
    <x:row r="16" spans="2:18" ht="12.75" customHeight="1" x14ac:dyDescent="0.3">
      <x:c r="B16" s="142"/>
      <x:c r="C16" t="s">
        <x:v>86</x:v>
      </x:c>
      <x:c r="D16" t="s">
        <x:v>70</x:v>
      </x:c>
      <x:c r="E16" s="142">
        <x:v>0</x:v>
      </x:c>
      <x:c r="F16">
        <x:v>0</x:v>
      </x:c>
      <x:c r="G16">
        <x:v>0</x:v>
      </x:c>
      <x:c r="H16">
        <x:v>0</x:v>
      </x:c>
      <x:c r="I16">
        <x:v>0</x:v>
      </x:c>
      <x:c r="J16">
        <x:v>0</x:v>
      </x:c>
      <x:c r="K16">
        <x:v>0</x:v>
      </x:c>
      <x:c r="L16">
        <x:v>0</x:v>
      </x:c>
      <x:c r="M16">
        <x:v>0</x:v>
      </x:c>
      <x:c r="N16">
        <x:v>0</x:v>
      </x:c>
      <x:c r="O16">
        <x:v>0</x:v>
      </x:c>
      <x:c r="P16">
        <x:v>0</x:v>
      </x:c>
      <x:c r="Q16">
        <x:v>0</x:v>
      </x:c>
      <x:c r="R16">
        <x:v>0</x:v>
      </x:c>
    </x:row>
    <x:row r="17" spans="1:18" ht="12.75" customHeight="1" x14ac:dyDescent="0.3">
      <x:c r="B17" s="142"/>
      <x:c r="D17" t="s">
        <x:v>72</x:v>
      </x:c>
      <x:c r="E17" s="142">
        <x:v>0</x:v>
      </x:c>
      <x:c r="F17">
        <x:v>0</x:v>
      </x:c>
      <x:c r="G17">
        <x:v>0</x:v>
      </x:c>
      <x:c r="H17">
        <x:v>0</x:v>
      </x:c>
      <x:c r="I17">
        <x:v>0</x:v>
      </x:c>
      <x:c r="J17">
        <x:v>0</x:v>
      </x:c>
      <x:c r="K17">
        <x:v>0</x:v>
      </x:c>
      <x:c r="L17">
        <x:v>0</x:v>
      </x:c>
      <x:c r="M17">
        <x:v>0</x:v>
      </x:c>
      <x:c r="N17">
        <x:v>0</x:v>
      </x:c>
      <x:c r="O17">
        <x:v>0</x:v>
      </x:c>
      <x:c r="P17">
        <x:v>0</x:v>
      </x:c>
      <x:c r="Q17">
        <x:v>0</x:v>
      </x:c>
      <x:c r="R17">
        <x:v>0</x:v>
      </x:c>
    </x:row>
    <x:row r="18" spans="1:18" ht="12.75" customHeight="1" x14ac:dyDescent="0.3">
      <x:c r="B18" s="142"/>
      <x:c r="D18" t="s">
        <x:v>81</x:v>
      </x:c>
      <x:c r="E18" s="142">
        <x:v>0</x:v>
      </x:c>
      <x:c r="F18">
        <x:v>0</x:v>
      </x:c>
      <x:c r="G18">
        <x:v>0</x:v>
      </x:c>
      <x:c r="H18">
        <x:v>0</x:v>
      </x:c>
      <x:c r="I18">
        <x:v>0</x:v>
      </x:c>
      <x:c r="J18">
        <x:v>0</x:v>
      </x:c>
      <x:c r="K18">
        <x:v>0</x:v>
      </x:c>
      <x:c r="L18">
        <x:v>0</x:v>
      </x:c>
      <x:c r="M18">
        <x:v>0</x:v>
      </x:c>
      <x:c r="N18">
        <x:v>0</x:v>
      </x:c>
      <x:c r="O18">
        <x:v>0</x:v>
      </x:c>
      <x:c r="P18">
        <x:v>0</x:v>
      </x:c>
      <x:c r="Q18">
        <x:v>0</x:v>
      </x:c>
      <x:c r="R18">
        <x:v>0</x:v>
      </x:c>
    </x:row>
    <x:row r="19" spans="1:18" ht="12.75" customHeight="1" x14ac:dyDescent="0.3">
      <x:c r="B19" s="142"/>
      <x:c r="C19" s="89" t="s">
        <x:v>87</x:v>
      </x:c>
      <x:c r="D19" s="89" t="s">
        <x:v>70</x:v>
      </x:c>
      <x:c r="E19" s="90">
        <x:v>0</x:v>
      </x:c>
      <x:c r="F19" s="90">
        <x:v>0</x:v>
      </x:c>
      <x:c r="G19" s="90">
        <x:v>0</x:v>
      </x:c>
      <x:c r="H19" s="90">
        <x:v>0</x:v>
      </x:c>
      <x:c r="I19" s="90">
        <x:v>0</x:v>
      </x:c>
      <x:c r="J19" s="90">
        <x:v>0</x:v>
      </x:c>
      <x:c r="K19" s="90">
        <x:v>0</x:v>
      </x:c>
      <x:c r="L19" s="90">
        <x:v>0</x:v>
      </x:c>
      <x:c r="M19" s="90">
        <x:v>0</x:v>
      </x:c>
      <x:c r="N19" s="90">
        <x:v>0</x:v>
      </x:c>
      <x:c r="O19" s="90">
        <x:v>0</x:v>
      </x:c>
      <x:c r="P19" s="90">
        <x:v>0</x:v>
      </x:c>
      <x:c r="Q19" s="90">
        <x:v>0</x:v>
      </x:c>
      <x:c r="R19">
        <x:v>0</x:v>
      </x:c>
    </x:row>
    <x:row r="20" spans="1:18" s="94" customFormat="1" ht="12.75" customHeight="1" x14ac:dyDescent="0.3">
      <x:c r="B20" s="101" t="s">
        <x:v>119</x:v>
      </x:c>
      <x:c r="C20" s="101" t="s">
        <x:v>70</x:v>
      </x:c>
      <x:c r="E20" s="93" t="n">
        <x:v>2995523.65</x:v>
      </x:c>
      <x:c r="F20" s="93">
        <x:v>0</x:v>
      </x:c>
      <x:c r="G20" s="93">
        <x:v>0</x:v>
      </x:c>
      <x:c r="H20" s="93">
        <x:v>0</x:v>
      </x:c>
      <x:c r="I20" s="93">
        <x:v>0</x:v>
      </x:c>
      <x:c r="J20" s="93">
        <x:v>0</x:v>
      </x:c>
      <x:c r="K20" s="93" t="n">
        <x:v>0</x:v>
      </x:c>
      <x:c r="L20" s="93">
        <x:v>0</x:v>
      </x:c>
      <x:c r="M20" s="93">
        <x:v>0</x:v>
      </x:c>
      <x:c r="N20" s="93">
        <x:v>0</x:v>
      </x:c>
      <x:c r="O20" s="93">
        <x:v>0</x:v>
      </x:c>
      <x:c r="P20" s="93">
        <x:v>0</x:v>
      </x:c>
      <x:c r="Q20" s="93">
        <x:v>0</x:v>
      </x:c>
      <x:c r="R20" s="94">
        <x:v>0</x:v>
      </x:c>
    </x:row>
    <x:row r="21" spans="1:18" s="226" customFormat="1" ht="12.75" customHeight="1" x14ac:dyDescent="0.3">
      <x:c r="A21" s="98" t="s">
        <x:v>78</x:v>
      </x:c>
      <x:c r="B21" s="98" t="s">
        <x:v>70</x:v>
      </x:c>
      <x:c r="E21" s="100" t="n">
        <x:v>31276742.42</x:v>
      </x:c>
      <x:c r="F21" s="100">
        <x:v>0</x:v>
      </x:c>
      <x:c r="G21" s="100">
        <x:v>0</x:v>
      </x:c>
      <x:c r="H21" s="100">
        <x:v>0</x:v>
      </x:c>
      <x:c r="I21" s="100">
        <x:v>0</x:v>
      </x:c>
      <x:c r="J21" s="100">
        <x:v>0</x:v>
      </x:c>
      <x:c r="K21" s="100" t="n">
        <x:v>0</x:v>
      </x:c>
      <x:c r="L21" s="100">
        <x:v>0</x:v>
      </x:c>
      <x:c r="M21" s="100">
        <x:v>0</x:v>
      </x:c>
      <x:c r="N21" s="100">
        <x:v>0</x:v>
      </x:c>
      <x:c r="O21" s="100">
        <x:v>0</x:v>
      </x:c>
      <x:c r="P21" s="100">
        <x:v>0</x:v>
      </x:c>
      <x:c r="Q21" s="100">
        <x:v>0</x:v>
      </x:c>
      <x:c r="R21" s="226">
        <x:v>0</x:v>
      </x:c>
    </x:row>
    <x:row r="22" spans="1:18" ht="12.75" customHeight="1" x14ac:dyDescent="0.3">
      <x:c r="D22" s="89" t="s">
        <x:v>73</x:v>
      </x:c>
      <x:c r="E22" s="371">
        <x:v>0</x:v>
      </x:c>
      <x:c r="F22" s="90">
        <x:v>0</x:v>
      </x:c>
      <x:c r="G22" s="90">
        <x:v>0</x:v>
      </x:c>
      <x:c r="H22" s="90">
        <x:v>0</x:v>
      </x:c>
      <x:c r="I22" s="90">
        <x:v>0</x:v>
      </x:c>
      <x:c r="J22" s="90">
        <x:v>0</x:v>
      </x:c>
      <x:c r="K22" s="90">
        <x:v>0</x:v>
      </x:c>
      <x:c r="L22" s="90">
        <x:v>0</x:v>
      </x:c>
      <x:c r="M22" s="90">
        <x:v>0</x:v>
      </x:c>
      <x:c r="N22" s="90">
        <x:v>0</x:v>
      </x:c>
      <x:c r="O22" s="90">
        <x:v>0</x:v>
      </x:c>
      <x:c r="P22" s="90">
        <x:v>0</x:v>
      </x:c>
      <x:c r="Q22" s="90">
        <x:v>0</x:v>
      </x:c>
      <x:c r="R22">
        <x:v>0</x:v>
      </x:c>
    </x:row>
    <x:row r="23" spans="1:18" ht="12.75" customHeight="1" x14ac:dyDescent="0.3">
      <x:c r="C23" s="89" t="s">
        <x:v>156</x:v>
      </x:c>
      <x:c r="D23" s="89" t="s">
        <x:v>70</x:v>
      </x:c>
      <x:c r="E23" s="90">
        <x:v>0</x:v>
      </x:c>
      <x:c r="F23" s="90">
        <x:v>0</x:v>
      </x:c>
      <x:c r="G23" s="90">
        <x:v>0</x:v>
      </x:c>
      <x:c r="H23" s="90">
        <x:v>0</x:v>
      </x:c>
      <x:c r="I23" s="90">
        <x:v>0</x:v>
      </x:c>
      <x:c r="J23" s="90">
        <x:v>0</x:v>
      </x:c>
      <x:c r="K23" s="90">
        <x:v>0</x:v>
      </x:c>
      <x:c r="L23" s="90">
        <x:v>0</x:v>
      </x:c>
      <x:c r="M23" s="90">
        <x:v>0</x:v>
      </x:c>
      <x:c r="N23" s="90">
        <x:v>0</x:v>
      </x:c>
      <x:c r="O23" s="90">
        <x:v>0</x:v>
      </x:c>
      <x:c r="P23" s="90">
        <x:v>0</x:v>
      </x:c>
      <x:c r="Q23" s="90">
        <x:v>0</x:v>
      </x:c>
      <x:c r="R23">
        <x:v>0</x:v>
      </x:c>
    </x:row>
    <x:row r="24" spans="1:18" s="286" customFormat="1" ht="12.75" customHeight="1" x14ac:dyDescent="0.3">
      <x:c r="B24" s="286" t="s">
        <x:v>155</x:v>
      </x:c>
      <x:c r="C24" s="286" t="s">
        <x:v>70</x:v>
      </x:c>
      <x:c r="E24" s="286" t="n">
        <x:v>-1549869.38</x:v>
      </x:c>
      <x:c r="F24" s="286">
        <x:v>0</x:v>
      </x:c>
      <x:c r="G24" s="286">
        <x:v>0</x:v>
      </x:c>
      <x:c r="H24" s="286">
        <x:v>0</x:v>
      </x:c>
      <x:c r="I24" s="286">
        <x:v>0</x:v>
      </x:c>
      <x:c r="J24" s="286">
        <x:v>0</x:v>
      </x:c>
      <x:c r="K24" s="286">
        <x:v>0</x:v>
      </x:c>
      <x:c r="L24" s="286">
        <x:v>0</x:v>
      </x:c>
      <x:c r="M24" s="286">
        <x:v>0</x:v>
      </x:c>
      <x:c r="N24" s="286">
        <x:v>0</x:v>
      </x:c>
      <x:c r="O24" s="286">
        <x:v>0</x:v>
      </x:c>
      <x:c r="P24" s="286">
        <x:v>0</x:v>
      </x:c>
      <x:c r="Q24" s="286">
        <x:v>0</x:v>
      </x:c>
      <x:c r="R24" s="286">
        <x:v>0</x:v>
      </x:c>
    </x:row>
    <x:row r="25" spans="1:18" ht="12.75" customHeight="1" x14ac:dyDescent="0.3">
      <x:c r="D25" s="89" t="s">
        <x:v>73</x:v>
      </x:c>
      <x:c r="E25" s="371">
        <x:v>0</x:v>
      </x:c>
      <x:c r="F25" s="90">
        <x:v>0</x:v>
      </x:c>
      <x:c r="G25" s="90">
        <x:v>0</x:v>
      </x:c>
      <x:c r="H25" s="90">
        <x:v>0</x:v>
      </x:c>
      <x:c r="I25" s="90">
        <x:v>0</x:v>
      </x:c>
      <x:c r="J25" s="90">
        <x:v>0</x:v>
      </x:c>
      <x:c r="K25" s="90">
        <x:v>0</x:v>
      </x:c>
      <x:c r="L25" s="90">
        <x:v>0</x:v>
      </x:c>
      <x:c r="M25" s="90">
        <x:v>0</x:v>
      </x:c>
      <x:c r="N25" s="90">
        <x:v>0</x:v>
      </x:c>
      <x:c r="O25" s="90">
        <x:v>0</x:v>
      </x:c>
      <x:c r="P25" s="90">
        <x:v>0</x:v>
      </x:c>
      <x:c r="Q25" s="90">
        <x:v>0</x:v>
      </x:c>
      <x:c r="R25">
        <x:v>0</x:v>
      </x:c>
    </x:row>
    <x:row r="26" spans="1:18" ht="12.75" customHeight="1" x14ac:dyDescent="0.3">
      <x:c r="C26" s="89" t="s">
        <x:v>82</x:v>
      </x:c>
      <x:c r="D26" s="89" t="s">
        <x:v>70</x:v>
      </x:c>
      <x:c r="E26" s="90">
        <x:v>0</x:v>
      </x:c>
      <x:c r="F26" s="90">
        <x:v>0</x:v>
      </x:c>
      <x:c r="G26" s="90">
        <x:v>0</x:v>
      </x:c>
      <x:c r="H26" s="90">
        <x:v>0</x:v>
      </x:c>
      <x:c r="I26" s="90">
        <x:v>0</x:v>
      </x:c>
      <x:c r="J26" s="90">
        <x:v>0</x:v>
      </x:c>
      <x:c r="K26" s="90">
        <x:v>0</x:v>
      </x:c>
      <x:c r="L26" s="90">
        <x:v>0</x:v>
      </x:c>
      <x:c r="M26" s="90">
        <x:v>0</x:v>
      </x:c>
      <x:c r="N26" s="90">
        <x:v>0</x:v>
      </x:c>
      <x:c r="O26" s="90">
        <x:v>0</x:v>
      </x:c>
      <x:c r="P26" s="90">
        <x:v>0</x:v>
      </x:c>
      <x:c r="Q26" s="90">
        <x:v>0</x:v>
      </x:c>
      <x:c r="R26">
        <x:v>0</x:v>
      </x:c>
    </x:row>
    <x:row r="27" spans="1:18" ht="12.75" customHeight="1" x14ac:dyDescent="0.3">
      <x:c r="D27" s="89" t="s">
        <x:v>73</x:v>
      </x:c>
      <x:c r="E27" s="90">
        <x:v>0</x:v>
      </x:c>
      <x:c r="F27" s="90">
        <x:v>0</x:v>
      </x:c>
      <x:c r="G27" s="90">
        <x:v>0</x:v>
      </x:c>
      <x:c r="H27" s="90">
        <x:v>0</x:v>
      </x:c>
      <x:c r="I27" s="90">
        <x:v>0</x:v>
      </x:c>
      <x:c r="J27" s="90">
        <x:v>0</x:v>
      </x:c>
      <x:c r="K27" s="90">
        <x:v>0</x:v>
      </x:c>
      <x:c r="L27" s="90">
        <x:v>0</x:v>
      </x:c>
      <x:c r="M27" s="90">
        <x:v>0</x:v>
      </x:c>
      <x:c r="N27" s="90">
        <x:v>0</x:v>
      </x:c>
      <x:c r="O27" s="90">
        <x:v>0</x:v>
      </x:c>
      <x:c r="P27" s="90">
        <x:v>0</x:v>
      </x:c>
      <x:c r="Q27" s="90">
        <x:v>0</x:v>
      </x:c>
      <x:c r="R27">
        <x:v>0</x:v>
      </x:c>
    </x:row>
    <x:row r="28" spans="1:18" ht="12.75" customHeight="1" x14ac:dyDescent="0.3">
      <x:c r="C28" s="89" t="s">
        <x:v>86</x:v>
      </x:c>
      <x:c r="D28" s="89" t="s">
        <x:v>70</x:v>
      </x:c>
      <x:c r="E28" s="90">
        <x:v>0</x:v>
      </x:c>
      <x:c r="F28" s="90">
        <x:v>0</x:v>
      </x:c>
      <x:c r="G28" s="90">
        <x:v>0</x:v>
      </x:c>
      <x:c r="H28" s="90">
        <x:v>0</x:v>
      </x:c>
      <x:c r="I28" s="90">
        <x:v>0</x:v>
      </x:c>
      <x:c r="J28" s="90">
        <x:v>0</x:v>
      </x:c>
      <x:c r="K28" s="90">
        <x:v>0</x:v>
      </x:c>
      <x:c r="L28" s="90">
        <x:v>0</x:v>
      </x:c>
      <x:c r="M28" s="90">
        <x:v>0</x:v>
      </x:c>
      <x:c r="N28" s="90">
        <x:v>0</x:v>
      </x:c>
      <x:c r="O28" s="90">
        <x:v>0</x:v>
      </x:c>
      <x:c r="P28" s="90">
        <x:v>0</x:v>
      </x:c>
      <x:c r="Q28" s="90">
        <x:v>0</x:v>
      </x:c>
      <x:c r="R28">
        <x:v>0</x:v>
      </x:c>
    </x:row>
    <x:row r="29" spans="1:18" ht="12.75" customHeight="1" x14ac:dyDescent="0.3">
      <x:c r="D29" s="89" t="s">
        <x:v>73</x:v>
      </x:c>
      <x:c r="E29" s="90">
        <x:v>0</x:v>
      </x:c>
      <x:c r="F29" s="90">
        <x:v>0</x:v>
      </x:c>
      <x:c r="G29" s="90">
        <x:v>0</x:v>
      </x:c>
      <x:c r="H29" s="90">
        <x:v>0</x:v>
      </x:c>
      <x:c r="I29" s="90">
        <x:v>0</x:v>
      </x:c>
      <x:c r="J29" s="90">
        <x:v>0</x:v>
      </x:c>
      <x:c r="K29" s="90">
        <x:v>0</x:v>
      </x:c>
      <x:c r="L29" s="90">
        <x:v>0</x:v>
      </x:c>
      <x:c r="M29" s="90">
        <x:v>0</x:v>
      </x:c>
      <x:c r="N29" s="90">
        <x:v>0</x:v>
      </x:c>
      <x:c r="O29" s="90">
        <x:v>0</x:v>
      </x:c>
      <x:c r="P29" s="90">
        <x:v>0</x:v>
      </x:c>
      <x:c r="Q29" s="90">
        <x:v>0</x:v>
      </x:c>
      <x:c r="R29">
        <x:v>0</x:v>
      </x:c>
    </x:row>
    <x:row r="30" spans="1:18" ht="12.75" customHeight="1" x14ac:dyDescent="0.3">
      <x:c r="C30" s="89" t="s">
        <x:v>87</x:v>
      </x:c>
      <x:c r="D30" s="89" t="s">
        <x:v>70</x:v>
      </x:c>
      <x:c r="E30" s="90">
        <x:v>0</x:v>
      </x:c>
      <x:c r="F30" s="90">
        <x:v>0</x:v>
      </x:c>
      <x:c r="G30" s="90">
        <x:v>0</x:v>
      </x:c>
      <x:c r="H30" s="90">
        <x:v>0</x:v>
      </x:c>
      <x:c r="I30" s="90">
        <x:v>0</x:v>
      </x:c>
      <x:c r="J30" s="90">
        <x:v>0</x:v>
      </x:c>
      <x:c r="K30" s="90">
        <x:v>0</x:v>
      </x:c>
      <x:c r="L30" s="90">
        <x:v>0</x:v>
      </x:c>
      <x:c r="M30" s="90">
        <x:v>0</x:v>
      </x:c>
      <x:c r="N30" s="90">
        <x:v>0</x:v>
      </x:c>
      <x:c r="O30" s="90">
        <x:v>0</x:v>
      </x:c>
      <x:c r="P30" s="90">
        <x:v>0</x:v>
      </x:c>
      <x:c r="Q30" s="90">
        <x:v>0</x:v>
      </x:c>
      <x:c r="R30">
        <x:v>0</x:v>
      </x:c>
    </x:row>
    <x:row r="31" spans="1:18" s="94" customFormat="1" ht="12.75" customHeight="1" x14ac:dyDescent="0.3">
      <x:c r="B31" s="101" t="s">
        <x:v>119</x:v>
      </x:c>
      <x:c r="C31" s="101" t="s">
        <x:v>70</x:v>
      </x:c>
      <x:c r="E31" s="93" t="n">
        <x:v>861197.98</x:v>
      </x:c>
      <x:c r="F31" s="93">
        <x:v>0</x:v>
      </x:c>
      <x:c r="G31" s="93">
        <x:v>0</x:v>
      </x:c>
      <x:c r="H31" s="93">
        <x:v>0</x:v>
      </x:c>
      <x:c r="I31" s="93">
        <x:v>0</x:v>
      </x:c>
      <x:c r="J31" s="93">
        <x:v>0</x:v>
      </x:c>
      <x:c r="K31" s="93">
        <x:v>0</x:v>
      </x:c>
      <x:c r="L31" s="93">
        <x:v>0</x:v>
      </x:c>
      <x:c r="M31" s="93">
        <x:v>0</x:v>
      </x:c>
      <x:c r="N31" s="93">
        <x:v>0</x:v>
      </x:c>
      <x:c r="O31" s="93">
        <x:v>0</x:v>
      </x:c>
      <x:c r="P31" s="93">
        <x:v>0</x:v>
      </x:c>
      <x:c r="Q31" s="93">
        <x:v>0</x:v>
      </x:c>
      <x:c r="R31" s="94">
        <x:v>0</x:v>
      </x:c>
    </x:row>
    <x:row r="32" spans="1:18" s="226" customFormat="1" ht="12.75" customHeight="1" x14ac:dyDescent="0.3">
      <x:c r="A32" s="98" t="s">
        <x:v>79</x:v>
      </x:c>
      <x:c r="B32" s="98" t="s">
        <x:v>70</x:v>
      </x:c>
      <x:c r="E32" s="100" t="n">
        <x:v>-688671.4</x:v>
      </x:c>
      <x:c r="F32" s="100">
        <x:v>0</x:v>
      </x:c>
      <x:c r="G32" s="100">
        <x:v>0</x:v>
      </x:c>
      <x:c r="H32" s="100">
        <x:v>0</x:v>
      </x:c>
      <x:c r="I32" s="100">
        <x:v>0</x:v>
      </x:c>
      <x:c r="J32" s="100">
        <x:v>0</x:v>
      </x:c>
      <x:c r="K32" s="100">
        <x:v>0</x:v>
      </x:c>
      <x:c r="L32" s="100">
        <x:v>0</x:v>
      </x:c>
      <x:c r="M32" s="100">
        <x:v>0</x:v>
      </x:c>
      <x:c r="N32" s="100">
        <x:v>0</x:v>
      </x:c>
      <x:c r="O32" s="100">
        <x:v>0</x:v>
      </x:c>
      <x:c r="P32" s="100">
        <x:v>0</x:v>
      </x:c>
      <x:c r="Q32" s="100">
        <x:v>0</x:v>
      </x:c>
      <x:c r="R32" s="226">
        <x:v>0</x:v>
      </x:c>
    </x:row>
    <x:row r="33" spans="1:19" ht="12.75" customHeight="1" x14ac:dyDescent="0.3">
      <x:c r="A33" s="89" t="s">
        <x:v>70</x:v>
      </x:c>
      <x:c r="E33" s="90">
        <x:v>0</x:v>
      </x:c>
      <x:c r="F33" s="90">
        <x:v>0</x:v>
      </x:c>
      <x:c r="G33" s="90">
        <x:v>0</x:v>
      </x:c>
      <x:c r="H33" s="90">
        <x:v>0</x:v>
      </x:c>
      <x:c r="I33" s="90">
        <x:v>0</x:v>
      </x:c>
      <x:c r="J33" s="90">
        <x:v>0</x:v>
      </x:c>
      <x:c r="K33" s="90">
        <x:v>0</x:v>
      </x:c>
      <x:c r="L33" s="90">
        <x:v>0</x:v>
      </x:c>
      <x:c r="M33" s="90">
        <x:v>0</x:v>
      </x:c>
      <x:c r="N33" s="90">
        <x:v>0</x:v>
      </x:c>
      <x:c r="O33" s="90">
        <x:v>0</x:v>
      </x:c>
      <x:c r="P33" s="90">
        <x:v>0</x:v>
      </x:c>
      <x:c r="Q33" s="90">
        <x:v>0</x:v>
      </x:c>
      <x:c r="R33" s="144">
        <x:v>0</x:v>
      </x:c>
    </x:row>
    <x:row r="34" spans="1:19" ht="12.75" customHeight="1" x14ac:dyDescent="0.3">
      <x:c r="A34" s="89"/>
      <x:c r="E34" s="90"/>
      <x:c r="F34" s="90"/>
      <x:c r="G34" s="90"/>
      <x:c r="H34" s="90"/>
      <x:c r="I34" s="90"/>
      <x:c r="J34" s="90"/>
      <x:c r="K34" s="90"/>
      <x:c r="L34" s="90"/>
      <x:c r="M34" s="90"/>
      <x:c r="N34" s="90"/>
      <x:c r="O34" s="90"/>
      <x:c r="P34" s="90"/>
      <x:c r="Q34" s="90"/>
    </x:row>
    <x:row r="35" spans="1:19" ht="12.75" customHeight="1" x14ac:dyDescent="0.3">
      <x:c r="A35" s="89"/>
      <x:c r="E35" s="90"/>
      <x:c r="F35" s="90"/>
      <x:c r="G35" s="90"/>
      <x:c r="H35" s="90"/>
      <x:c r="I35" s="90"/>
      <x:c r="J35" s="90"/>
      <x:c r="K35" s="90"/>
      <x:c r="L35" s="90"/>
      <x:c r="M35" s="90"/>
      <x:c r="N35" s="90"/>
      <x:c r="O35" s="90"/>
      <x:c r="P35" s="90"/>
      <x:c r="Q35" s="90"/>
    </x:row>
    <x:row r="36" spans="1:19" ht="12.75" hidden="1" customHeight="1" x14ac:dyDescent="0.3">
      <x:c r="A36" s="89"/>
      <x:c r="E36" s="90"/>
      <x:c r="F36" s="90"/>
      <x:c r="G36" s="90"/>
      <x:c r="H36" s="90"/>
      <x:c r="I36" s="90"/>
      <x:c r="J36" s="90"/>
      <x:c r="K36" s="90"/>
      <x:c r="L36" s="90"/>
      <x:c r="M36" s="90"/>
      <x:c r="N36" s="90"/>
      <x:c r="O36" s="90"/>
      <x:c r="P36" s="90"/>
      <x:c r="Q36" s="90"/>
    </x:row>
    <x:row r="37" spans="1:19" ht="12.75" hidden="1" customHeight="1" x14ac:dyDescent="0.3">
      <x:c r="A37" s="89"/>
      <x:c r="E37" s="90"/>
      <x:c r="F37" s="90"/>
      <x:c r="G37" s="90"/>
      <x:c r="H37" s="90"/>
      <x:c r="I37" s="90"/>
      <x:c r="J37" s="90"/>
      <x:c r="K37" s="90"/>
      <x:c r="L37" s="90"/>
      <x:c r="M37" s="90"/>
      <x:c r="N37" s="90"/>
      <x:c r="O37" s="90"/>
      <x:c r="P37" s="90"/>
      <x:c r="Q37" s="90"/>
    </x:row>
    <x:row r="38" spans="1:19" ht="12.75" hidden="1" customHeight="1" x14ac:dyDescent="0.3">
      <x:c r="A38" s="89"/>
      <x:c r="E38" s="90"/>
      <x:c r="F38" s="90"/>
      <x:c r="G38" s="90"/>
      <x:c r="H38" s="90"/>
      <x:c r="I38" s="90"/>
      <x:c r="J38" s="90"/>
      <x:c r="K38" s="90"/>
      <x:c r="L38" s="90"/>
      <x:c r="M38" s="90"/>
      <x:c r="N38" s="90"/>
      <x:c r="O38" s="90"/>
      <x:c r="P38" s="90"/>
      <x:c r="Q38" s="90"/>
    </x:row>
    <x:row r="39" spans="1:19" ht="12.75" hidden="1" customHeight="1" x14ac:dyDescent="0.3">
      <x:c r="A39" s="89"/>
      <x:c r="E39" s="90"/>
      <x:c r="F39" s="90"/>
      <x:c r="G39" s="90"/>
      <x:c r="H39" s="90"/>
      <x:c r="I39" s="90"/>
      <x:c r="J39" s="90"/>
      <x:c r="K39" s="90"/>
      <x:c r="L39" s="90"/>
      <x:c r="M39" s="90"/>
      <x:c r="N39" s="90"/>
      <x:c r="O39" s="90"/>
      <x:c r="P39" s="90"/>
      <x:c r="Q39" s="90"/>
    </x:row>
    <x:row r="40" spans="1:19" ht="12.75" hidden="1" customHeight="1" x14ac:dyDescent="0.3">
      <x:c r="A40" s="89"/>
      <x:c r="E40" s="90"/>
      <x:c r="F40" s="90"/>
      <x:c r="G40" s="90"/>
      <x:c r="H40" s="90"/>
      <x:c r="I40" s="90"/>
      <x:c r="J40" s="90"/>
      <x:c r="K40" s="90"/>
      <x:c r="L40" s="90"/>
      <x:c r="M40" s="90"/>
      <x:c r="N40" s="90"/>
      <x:c r="O40" s="90"/>
      <x:c r="P40" s="90"/>
      <x:c r="Q40" s="90"/>
    </x:row>
    <x:row r="41" spans="1:19" ht="12.75" hidden="1" customHeight="1" x14ac:dyDescent="0.3">
      <x:c r="A41" s="89"/>
      <x:c r="E41" s="90"/>
      <x:c r="F41" s="90"/>
      <x:c r="G41" s="90"/>
      <x:c r="H41" s="90"/>
      <x:c r="I41" s="90"/>
      <x:c r="J41" s="90"/>
      <x:c r="K41" s="90"/>
      <x:c r="L41" s="90"/>
      <x:c r="M41" s="90"/>
      <x:c r="N41" s="90"/>
      <x:c r="O41" s="90"/>
      <x:c r="P41" s="90"/>
      <x:c r="Q41" s="90"/>
    </x:row>
    <x:row r="42" spans="1:19" ht="12.75" hidden="1" customHeight="1" x14ac:dyDescent="0.3">
      <x:c r="A42" s="89"/>
      <x:c r="E42" s="90"/>
      <x:c r="F42" s="90"/>
      <x:c r="G42" s="90"/>
      <x:c r="H42" s="90"/>
      <x:c r="I42" s="90"/>
      <x:c r="J42" s="90"/>
      <x:c r="K42" s="90"/>
      <x:c r="L42" s="90"/>
      <x:c r="M42" s="90"/>
      <x:c r="N42" s="90"/>
      <x:c r="O42" s="90"/>
      <x:c r="P42" s="90"/>
      <x:c r="Q42" s="90"/>
    </x:row>
    <x:row r="43" spans="1:19" ht="12.75" hidden="1" customHeight="1" x14ac:dyDescent="0.3">
      <x:c r="A43" s="89"/>
      <x:c r="E43" s="90"/>
      <x:c r="F43" s="90"/>
      <x:c r="G43" s="90"/>
      <x:c r="H43" s="90"/>
      <x:c r="I43" s="90"/>
      <x:c r="J43" s="90"/>
      <x:c r="K43" s="90"/>
      <x:c r="L43" s="90"/>
      <x:c r="M43" s="90"/>
      <x:c r="N43" s="90"/>
      <x:c r="O43" s="90"/>
      <x:c r="P43" s="90"/>
      <x:c r="Q43" s="90"/>
    </x:row>
    <x:row r="44" spans="1:19" ht="12.75" hidden="1" customHeight="1" x14ac:dyDescent="0.3">
      <x:c r="A44" s="89"/>
      <x:c r="E44" s="90"/>
      <x:c r="F44" s="90"/>
      <x:c r="G44" s="90"/>
      <x:c r="H44" s="90"/>
      <x:c r="I44" s="90"/>
      <x:c r="J44" s="90"/>
      <x:c r="K44" s="90"/>
      <x:c r="L44" s="90"/>
      <x:c r="M44" s="90"/>
      <x:c r="N44" s="90"/>
      <x:c r="O44" s="90"/>
      <x:c r="P44" s="90"/>
      <x:c r="Q44" s="90"/>
    </x:row>
    <x:row r="45" spans="1:19" ht="12.75" customHeight="1" x14ac:dyDescent="0.3">
      <x:c r="A45" s="89"/>
      <x:c r="E45" s="90"/>
      <x:c r="F45" s="90"/>
      <x:c r="G45" s="90"/>
      <x:c r="H45" s="90"/>
      <x:c r="I45" s="90"/>
      <x:c r="J45" s="90"/>
      <x:c r="K45" s="90"/>
      <x:c r="L45" s="90"/>
      <x:c r="M45" s="90"/>
      <x:c r="N45" s="90"/>
      <x:c r="O45" s="90"/>
      <x:c r="P45" s="90"/>
      <x:c r="Q45" s="90"/>
    </x:row>
    <x:row r="46" spans="1:19" ht="12.75" customHeight="1" x14ac:dyDescent="0.3">
      <x:c r="A46" s="89"/>
      <x:c r="E46" s="90"/>
      <x:c r="F46" s="90"/>
      <x:c r="G46" s="90"/>
      <x:c r="H46" s="90"/>
      <x:c r="I46" s="90"/>
      <x:c r="J46" s="90"/>
      <x:c r="K46" s="90"/>
      <x:c r="L46" s="90"/>
      <x:c r="M46" s="90"/>
      <x:c r="N46" s="90"/>
      <x:c r="O46" s="90"/>
      <x:c r="P46" s="90"/>
      <x:c r="Q46" s="90"/>
    </x:row>
    <x:row r="47" spans="1:19" ht="12.75" customHeight="1" x14ac:dyDescent="0.3">
      <x:c r="B47" s="777" t="s">
        <x:v>2</x:v>
      </x:c>
      <x:c r="C47" s="775" t="s">
        <x:v>132</x:v>
      </x:c>
      <x:c r="D47" s="98" t="s">
        <x:v>70</x:v>
      </x:c>
      <x:c r="E47" s="100">
        <x:f>E21+E32-K21</x:f>
        <x:v>0</x:v>
      </x:c>
      <x:c r="F47" s="100">
        <x:f>F21</x:f>
        <x:v>0</x:v>
      </x:c>
      <x:c r="G47" s="100">
        <x:f t="shared" ref="G47:S47" si="0">G21</x:f>
        <x:v>0</x:v>
      </x:c>
      <x:c r="H47" s="100">
        <x:f t="shared" si="0"/>
        <x:v>0</x:v>
      </x:c>
      <x:c r="I47" s="100">
        <x:f t="shared" si="0"/>
        <x:v>0</x:v>
      </x:c>
      <x:c r="J47" s="100">
        <x:f t="shared" si="0"/>
        <x:v>0</x:v>
      </x:c>
      <x:c r="K47" s="100">
        <x:f t="shared" si="0"/>
        <x:v>0</x:v>
      </x:c>
      <x:c r="L47" s="100">
        <x:f t="shared" si="0"/>
        <x:v>0</x:v>
      </x:c>
      <x:c r="M47" s="100">
        <x:f t="shared" si="0"/>
        <x:v>0</x:v>
      </x:c>
      <x:c r="N47" s="100">
        <x:f t="shared" si="0"/>
        <x:v>0</x:v>
      </x:c>
      <x:c r="O47" s="100">
        <x:f t="shared" si="0"/>
        <x:v>0</x:v>
      </x:c>
      <x:c r="P47" s="100">
        <x:f t="shared" si="0"/>
        <x:v>0</x:v>
      </x:c>
      <x:c r="Q47" s="100">
        <x:f t="shared" si="0"/>
        <x:v>0</x:v>
      </x:c>
      <x:c r="R47" s="100">
        <x:f t="shared" si="0"/>
        <x:v>0</x:v>
      </x:c>
      <x:c r="S47" s="100">
        <x:f t="shared" si="0"/>
        <x:v>0</x:v>
      </x:c>
    </x:row>
    <x:row r="48" spans="1:19" ht="12.75" customHeight="1" x14ac:dyDescent="0.3">
      <x:c r="B48" s="777"/>
      <x:c r="C48" s="775"/>
      <x:c r="D48" s="98" t="s">
        <x:v>73</x:v>
      </x:c>
      <x:c r="E48" s="100">
        <x:f>E32</x:f>
        <x:v>0</x:v>
      </x:c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  <x:c r="P48" s="90"/>
      <x:c r="Q48" s="90"/>
      <x:c r="R48" s="90"/>
      <x:c r="S48" s="90"/>
    </x:row>
    <x:row r="49" spans="1:19" ht="12.75" customHeight="1" x14ac:dyDescent="0.3">
      <x:c r="A49" s="89"/>
      <x:c r="B49" s="97"/>
      <x:c r="E49" s="371"/>
      <x:c r="F49" s="90"/>
      <x:c r="G49" s="90"/>
      <x:c r="H49" s="90"/>
      <x:c r="I49" s="90"/>
      <x:c r="J49" s="90"/>
      <x:c r="K49" s="90"/>
      <x:c r="L49" s="90"/>
      <x:c r="M49" s="90"/>
      <x:c r="N49" s="90"/>
      <x:c r="O49" s="90"/>
      <x:c r="P49" s="90"/>
      <x:c r="Q49" s="90"/>
      <x:c r="R49" s="90"/>
      <x:c r="S49" s="90"/>
    </x:row>
    <x:row r="50" spans="1:19" ht="12.75" customHeight="1" x14ac:dyDescent="0.3">
      <x:c r="B50" s="777" t="s">
        <x:v>160</x:v>
      </x:c>
      <x:c r="C50" s="775" t="s">
        <x:v>132</x:v>
      </x:c>
      <x:c r="D50" s="223" t="s">
        <x:v>70</x:v>
      </x:c>
      <x:c r="E50" s="225">
        <x:v>0</x:v>
      </x:c>
      <x:c r="F50" s="225">
        <x:v>0</x:v>
      </x:c>
      <x:c r="G50" s="225">
        <x:v>0</x:v>
      </x:c>
      <x:c r="H50" s="225">
        <x:v>0</x:v>
      </x:c>
      <x:c r="I50" s="225">
        <x:v>0</x:v>
      </x:c>
      <x:c r="J50" s="225">
        <x:v>0</x:v>
      </x:c>
      <x:c r="K50" s="225">
        <x:v>0</x:v>
      </x:c>
      <x:c r="L50" s="225">
        <x:v>0</x:v>
      </x:c>
      <x:c r="M50" s="225">
        <x:v>0</x:v>
      </x:c>
      <x:c r="N50" s="225">
        <x:v>0</x:v>
      </x:c>
      <x:c r="O50" s="225">
        <x:v>0</x:v>
      </x:c>
      <x:c r="P50" s="225">
        <x:v>0</x:v>
      </x:c>
      <x:c r="Q50" s="225">
        <x:v>0</x:v>
      </x:c>
      <x:c r="R50" s="225">
        <x:v>0</x:v>
      </x:c>
      <x:c r="S50" s="225">
        <x:v>0</x:v>
      </x:c>
    </x:row>
    <x:row r="51" spans="1:19" ht="12.75" customHeight="1" x14ac:dyDescent="0.3">
      <x:c r="B51" s="777"/>
      <x:c r="C51" s="775"/>
      <x:c r="D51" s="223" t="s">
        <x:v>73</x:v>
      </x:c>
      <x:c r="E51" s="225">
        <x:v>0</x:v>
      </x:c>
      <x:c r="F51" s="90"/>
      <x:c r="G51" s="90"/>
      <x:c r="H51" s="90"/>
      <x:c r="I51" s="90"/>
      <x:c r="J51" s="90"/>
      <x:c r="K51" s="90"/>
      <x:c r="L51" s="90"/>
      <x:c r="M51" s="90"/>
      <x:c r="N51" s="90"/>
      <x:c r="O51" s="90"/>
      <x:c r="P51" s="90"/>
      <x:c r="Q51" s="90"/>
      <x:c r="R51" s="90"/>
      <x:c r="S51" s="90"/>
    </x:row>
    <x:row r="52" spans="1:19" ht="12.75" customHeight="1" x14ac:dyDescent="0.3">
      <x:c r="A52" s="89"/>
      <x:c r="B52" s="97"/>
      <x:c r="E52" s="90"/>
      <x:c r="F52" s="90"/>
      <x:c r="G52" s="90"/>
      <x:c r="H52" s="90"/>
      <x:c r="I52" s="90"/>
      <x:c r="J52" s="90"/>
      <x:c r="K52" s="90"/>
      <x:c r="L52" s="90"/>
      <x:c r="M52" s="90"/>
      <x:c r="N52" s="90"/>
      <x:c r="O52" s="90"/>
      <x:c r="P52" s="90"/>
      <x:c r="Q52" s="90"/>
      <x:c r="R52" s="90"/>
      <x:c r="S52" s="90"/>
    </x:row>
    <x:row r="53" spans="1:19" ht="12.75" customHeight="1" x14ac:dyDescent="0.3">
      <x:c r="B53" s="777" t="s">
        <x:v>155</x:v>
      </x:c>
      <x:c r="C53" s="775" t="s">
        <x:v>132</x:v>
      </x:c>
      <x:c r="D53" s="221" t="s">
        <x:v>70</x:v>
      </x:c>
      <x:c r="E53" s="222">
        <x:f>E24+E10+E6-K6-K10</x:f>
        <x:v>0</x:v>
      </x:c>
      <x:c r="F53" s="222">
        <x:f>F10+F6</x:f>
        <x:v>0</x:v>
      </x:c>
      <x:c r="G53" s="222">
        <x:f t="shared" ref="G53:S53" si="1">G10+G6</x:f>
        <x:v>0</x:v>
      </x:c>
      <x:c r="H53" s="222">
        <x:f t="shared" si="1"/>
        <x:v>0</x:v>
      </x:c>
      <x:c r="I53" s="222">
        <x:f t="shared" si="1"/>
        <x:v>0</x:v>
      </x:c>
      <x:c r="J53" s="222">
        <x:f t="shared" si="1"/>
        <x:v>0</x:v>
      </x:c>
      <x:c r="K53" s="222">
        <x:f t="shared" si="1"/>
        <x:v>0</x:v>
      </x:c>
      <x:c r="L53" s="222">
        <x:f t="shared" si="1"/>
        <x:v>0</x:v>
      </x:c>
      <x:c r="M53" s="222">
        <x:f t="shared" si="1"/>
        <x:v>0</x:v>
      </x:c>
      <x:c r="N53" s="222">
        <x:f t="shared" si="1"/>
        <x:v>0</x:v>
      </x:c>
      <x:c r="O53" s="222">
        <x:f t="shared" si="1"/>
        <x:v>0</x:v>
      </x:c>
      <x:c r="P53" s="222">
        <x:f t="shared" si="1"/>
        <x:v>0</x:v>
      </x:c>
      <x:c r="Q53" s="222">
        <x:f t="shared" si="1"/>
        <x:v>0</x:v>
      </x:c>
      <x:c r="R53" s="222">
        <x:f t="shared" si="1"/>
        <x:v>0</x:v>
      </x:c>
      <x:c r="S53" s="222">
        <x:f t="shared" si="1"/>
        <x:v>0</x:v>
      </x:c>
    </x:row>
    <x:row r="54" spans="1:19" ht="12.75" customHeight="1" x14ac:dyDescent="0.3">
      <x:c r="B54" s="777"/>
      <x:c r="C54" s="775"/>
      <x:c r="D54" s="221" t="s">
        <x:v>73</x:v>
      </x:c>
      <x:c r="E54" s="222">
        <x:f>E24</x:f>
        <x:v>0</x:v>
      </x:c>
      <x:c r="F54" s="90"/>
      <x:c r="G54" s="90"/>
      <x:c r="H54" s="90"/>
      <x:c r="I54" s="90"/>
      <x:c r="J54" s="90"/>
      <x:c r="K54" s="90"/>
      <x:c r="L54" s="90"/>
      <x:c r="M54" s="90"/>
      <x:c r="N54" s="90"/>
      <x:c r="O54" s="90"/>
      <x:c r="P54" s="90"/>
      <x:c r="Q54" s="90"/>
      <x:c r="R54" s="90"/>
      <x:c r="S54" s="90"/>
    </x:row>
    <x:row r="55" spans="1:19" ht="12.75" customHeight="1" x14ac:dyDescent="0.3">
      <x:c r="A55" s="89"/>
      <x:c r="B55" s="97"/>
      <x:c r="E55" s="90"/>
      <x:c r="F55" s="90"/>
      <x:c r="G55" s="90"/>
      <x:c r="H55" s="90"/>
      <x:c r="I55" s="90"/>
      <x:c r="J55" s="90"/>
      <x:c r="K55" s="90"/>
      <x:c r="L55" s="90"/>
      <x:c r="M55" s="90"/>
      <x:c r="N55" s="90"/>
      <x:c r="O55" s="90"/>
      <x:c r="P55" s="90"/>
      <x:c r="Q55" s="90"/>
      <x:c r="R55" s="90"/>
      <x:c r="S55" s="90"/>
    </x:row>
    <x:row r="56" spans="1:19" ht="12.75" customHeight="1" x14ac:dyDescent="0.3">
      <x:c r="B56" s="778" t="s">
        <x:v>326</x:v>
      </x:c>
      <x:c r="C56" s="775" t="s">
        <x:v>132</x:v>
      </x:c>
      <x:c r="D56" s="373" t="s">
        <x:v>70</x:v>
      </x:c>
      <x:c r="E56" s="374">
        <x:v>0</x:v>
      </x:c>
      <x:c r="F56" s="374">
        <x:v>0</x:v>
      </x:c>
      <x:c r="G56" s="374">
        <x:v>0</x:v>
      </x:c>
      <x:c r="H56" s="374">
        <x:v>0</x:v>
      </x:c>
      <x:c r="I56" s="374">
        <x:v>0</x:v>
      </x:c>
      <x:c r="J56" s="374">
        <x:v>0</x:v>
      </x:c>
      <x:c r="K56" s="374">
        <x:v>0</x:v>
      </x:c>
      <x:c r="L56" s="374">
        <x:v>0</x:v>
      </x:c>
      <x:c r="M56" s="374">
        <x:v>0</x:v>
      </x:c>
      <x:c r="N56" s="374">
        <x:v>0</x:v>
      </x:c>
      <x:c r="O56" s="374">
        <x:v>0</x:v>
      </x:c>
      <x:c r="P56" s="374">
        <x:v>0</x:v>
      </x:c>
      <x:c r="Q56" s="374">
        <x:v>0</x:v>
      </x:c>
      <x:c r="R56" s="374">
        <x:v>0</x:v>
      </x:c>
    </x:row>
    <x:row r="57" spans="1:19" ht="12.75" customHeight="1" x14ac:dyDescent="0.3">
      <x:c r="B57" s="778"/>
      <x:c r="C57" s="775"/>
      <x:c r="D57" s="373" t="s">
        <x:v>73</x:v>
      </x:c>
      <x:c r="E57" s="374">
        <x:v>0</x:v>
      </x:c>
      <x:c r="F57" s="90"/>
      <x:c r="G57" s="90"/>
      <x:c r="H57" s="90"/>
      <x:c r="I57" s="90"/>
      <x:c r="J57" s="90"/>
      <x:c r="K57" s="90"/>
      <x:c r="L57" s="90"/>
      <x:c r="M57" s="90"/>
      <x:c r="N57" s="90"/>
      <x:c r="O57" s="90"/>
      <x:c r="P57" s="90"/>
      <x:c r="Q57" s="90"/>
      <x:c r="R57" s="90"/>
    </x:row>
    <x:row r="58" spans="1:19" ht="12.75" customHeight="1" x14ac:dyDescent="0.3">
      <x:c r="A58" s="89"/>
      <x:c r="B58" s="97"/>
      <x:c r="E58" s="90"/>
      <x:c r="F58" s="90"/>
      <x:c r="G58" s="90"/>
      <x:c r="H58" s="90"/>
      <x:c r="I58" s="90"/>
      <x:c r="J58" s="90"/>
      <x:c r="K58" s="90"/>
      <x:c r="L58" s="90"/>
      <x:c r="M58" s="90"/>
      <x:c r="N58" s="90"/>
      <x:c r="O58" s="90"/>
      <x:c r="P58" s="90"/>
      <x:c r="Q58" s="90"/>
      <x:c r="R58" s="90"/>
      <x:c r="S58" s="90"/>
    </x:row>
    <x:row r="59" spans="1:19" ht="12.75" customHeight="1" x14ac:dyDescent="0.3">
      <x:c r="B59" s="777" t="s">
        <x:v>119</x:v>
      </x:c>
      <x:c r="C59" s="775" t="s">
        <x:v>132</x:v>
      </x:c>
      <x:c r="D59" s="101" t="s">
        <x:v>70</x:v>
      </x:c>
      <x:c r="E59" s="93">
        <x:f>E20+E31-K20</x:f>
        <x:v>0</x:v>
      </x:c>
      <x:c r="F59" s="93">
        <x:f>F20</x:f>
        <x:v>0</x:v>
      </x:c>
      <x:c r="G59" s="93">
        <x:f t="shared" ref="G59:S59" si="2">G20</x:f>
        <x:v>0</x:v>
      </x:c>
      <x:c r="H59" s="93">
        <x:f t="shared" si="2"/>
        <x:v>0</x:v>
      </x:c>
      <x:c r="I59" s="93">
        <x:f t="shared" si="2"/>
        <x:v>0</x:v>
      </x:c>
      <x:c r="J59" s="93">
        <x:f t="shared" si="2"/>
        <x:v>0</x:v>
      </x:c>
      <x:c r="K59" s="93">
        <x:f t="shared" si="2"/>
        <x:v>0</x:v>
      </x:c>
      <x:c r="L59" s="93">
        <x:f t="shared" si="2"/>
        <x:v>0</x:v>
      </x:c>
      <x:c r="M59" s="93">
        <x:f t="shared" si="2"/>
        <x:v>0</x:v>
      </x:c>
      <x:c r="N59" s="93">
        <x:f t="shared" si="2"/>
        <x:v>0</x:v>
      </x:c>
      <x:c r="O59" s="93">
        <x:f t="shared" si="2"/>
        <x:v>0</x:v>
      </x:c>
      <x:c r="P59" s="93">
        <x:f t="shared" si="2"/>
        <x:v>0</x:v>
      </x:c>
      <x:c r="Q59" s="93">
        <x:f t="shared" si="2"/>
        <x:v>0</x:v>
      </x:c>
      <x:c r="R59" s="93">
        <x:f t="shared" si="2"/>
        <x:v>0</x:v>
      </x:c>
      <x:c r="S59" s="93">
        <x:f t="shared" si="2"/>
        <x:v>0</x:v>
      </x:c>
    </x:row>
    <x:row r="60" spans="1:19" ht="12.75" customHeight="1" x14ac:dyDescent="0.3">
      <x:c r="B60" s="777"/>
      <x:c r="C60" s="775"/>
      <x:c r="D60" s="101" t="s">
        <x:v>73</x:v>
      </x:c>
      <x:c r="E60" s="93">
        <x:f>E31</x:f>
        <x:v>0</x:v>
      </x:c>
      <x:c r="F60" s="90"/>
      <x:c r="G60" s="90"/>
      <x:c r="H60" s="90"/>
      <x:c r="I60" s="90"/>
      <x:c r="J60" s="90"/>
      <x:c r="K60" s="90"/>
      <x:c r="L60" s="90"/>
      <x:c r="M60" s="90"/>
      <x:c r="N60" s="90"/>
      <x:c r="O60" s="90"/>
      <x:c r="P60" s="90"/>
      <x:c r="Q60" s="90"/>
      <x:c r="R60" s="90"/>
      <x:c r="S60" s="90"/>
    </x:row>
    <x:row r="61" spans="1:19" ht="12.75" customHeight="1" x14ac:dyDescent="0.3">
      <x:c r="A61" s="89"/>
      <x:c r="B61" s="97"/>
      <x:c r="E61" s="90"/>
      <x:c r="F61" s="90"/>
      <x:c r="G61" s="90"/>
      <x:c r="H61" s="90"/>
      <x:c r="I61" s="90"/>
      <x:c r="J61" s="90"/>
      <x:c r="K61" s="90"/>
      <x:c r="L61" s="90"/>
      <x:c r="M61" s="90"/>
      <x:c r="N61" s="90"/>
      <x:c r="O61" s="90"/>
      <x:c r="P61" s="90"/>
      <x:c r="Q61" s="90"/>
      <x:c r="R61" s="90"/>
      <x:c r="S61" s="90"/>
    </x:row>
    <x:row r="62" spans="1:19" ht="12.75" customHeight="1" x14ac:dyDescent="0.3">
      <x:c r="B62" s="776" t="s">
        <x:v>161</x:v>
      </x:c>
      <x:c r="C62" s="775" t="s">
        <x:v>132</x:v>
      </x:c>
      <x:c r="D62" s="231" t="s">
        <x:v>70</x:v>
      </x:c>
      <x:c r="E62" s="232">
        <x:v>0</x:v>
      </x:c>
      <x:c r="F62" s="232">
        <x:v>0</x:v>
      </x:c>
      <x:c r="G62" s="232">
        <x:v>0</x:v>
      </x:c>
      <x:c r="H62" s="232">
        <x:v>0</x:v>
      </x:c>
      <x:c r="I62" s="232">
        <x:v>0</x:v>
      </x:c>
      <x:c r="J62" s="232">
        <x:v>0</x:v>
      </x:c>
      <x:c r="K62" s="232">
        <x:v>0</x:v>
      </x:c>
      <x:c r="L62" s="232">
        <x:v>0</x:v>
      </x:c>
      <x:c r="M62" s="232">
        <x:v>0</x:v>
      </x:c>
      <x:c r="N62" s="232">
        <x:v>0</x:v>
      </x:c>
      <x:c r="O62" s="232">
        <x:v>0</x:v>
      </x:c>
      <x:c r="P62" s="232">
        <x:v>0</x:v>
      </x:c>
      <x:c r="Q62" s="232">
        <x:v>0</x:v>
      </x:c>
      <x:c r="R62" s="232">
        <x:v>0</x:v>
      </x:c>
      <x:c r="S62" s="232">
        <x:v>0</x:v>
      </x:c>
    </x:row>
    <x:row r="63" spans="1:19" ht="12.75" customHeight="1" x14ac:dyDescent="0.3">
      <x:c r="B63" s="776"/>
      <x:c r="C63" s="775"/>
      <x:c r="D63" s="231" t="s">
        <x:v>73</x:v>
      </x:c>
      <x:c r="E63" s="232">
        <x:v>0</x:v>
      </x:c>
      <x:c r="F63" s="90"/>
      <x:c r="G63" s="90"/>
      <x:c r="H63" s="90"/>
      <x:c r="I63" s="90"/>
      <x:c r="J63" s="90"/>
      <x:c r="K63" s="90"/>
      <x:c r="L63" s="90"/>
      <x:c r="M63" s="90"/>
      <x:c r="N63" s="90"/>
      <x:c r="O63" s="90"/>
      <x:c r="P63" s="90"/>
      <x:c r="Q63" s="90"/>
      <x:c r="R63" s="90"/>
    </x:row>
    <x:row r="64" spans="1:19" s="238" customFormat="1" x14ac:dyDescent="0.3"/>
    <x:row r="65" spans="2:18" x14ac:dyDescent="0.3">
      <x:c r="B65" s="97" t="s">
        <x:v>75</x:v>
      </x:c>
    </x:row>
    <x:row r="66" spans="2:18" ht="12.75" customHeight="1" x14ac:dyDescent="0.3">
      <x:c r="E66" s="89" t="s">
        <x:v>70</x:v>
      </x:c>
      <x:c r="F66" s="89" t="s">
        <x:v>64</x:v>
      </x:c>
      <x:c r="G66" s="89" t="s">
        <x:v>65</x:v>
      </x:c>
      <x:c r="H66" s="219" t="s">
        <x:v>164</x:v>
      </x:c>
      <x:c r="I66" s="89" t="s">
        <x:v>69</x:v>
      </x:c>
      <x:c r="J66" s="89" t="s">
        <x:v>68</x:v>
      </x:c>
      <x:c r="K66" s="89" t="s">
        <x:v>83</x:v>
      </x:c>
      <x:c r="L66" s="89" t="s">
        <x:v>66</x:v>
      </x:c>
      <x:c r="M66" s="89" t="s">
        <x:v>63</x:v>
      </x:c>
      <x:c r="N66" s="89" t="s">
        <x:v>61</x:v>
      </x:c>
      <x:c r="O66" s="89" t="s">
        <x:v>62</x:v>
      </x:c>
      <x:c r="P66" s="89" t="s">
        <x:v>67</x:v>
      </x:c>
      <x:c r="Q66" s="89" t="s">
        <x:v>84</x:v>
      </x:c>
      <x:c r="R66" s="384" t="s">
        <x:v>225</x:v>
      </x:c>
    </x:row>
    <x:row r="67" spans="2:18" ht="12.75" customHeight="1" x14ac:dyDescent="0.3">
      <x:c r="D67" s="89" t="s">
        <x:v>72</x:v>
      </x:c>
      <x:c r="E67" s="371">
        <x:v>0</x:v>
      </x:c>
      <x:c r="F67" s="90">
        <x:v>0</x:v>
      </x:c>
      <x:c r="G67" s="90">
        <x:v>0</x:v>
      </x:c>
      <x:c r="H67" s="90">
        <x:v>0</x:v>
      </x:c>
      <x:c r="I67" s="90">
        <x:v>0</x:v>
      </x:c>
      <x:c r="J67" s="90">
        <x:v>0</x:v>
      </x:c>
      <x:c r="K67" s="90">
        <x:v>0</x:v>
      </x:c>
      <x:c r="L67" s="90">
        <x:v>0</x:v>
      </x:c>
      <x:c r="M67" s="90">
        <x:v>0</x:v>
      </x:c>
      <x:c r="N67" s="90">
        <x:v>0</x:v>
      </x:c>
      <x:c r="O67" s="90">
        <x:v>0</x:v>
      </x:c>
      <x:c r="P67" s="90">
        <x:v>0</x:v>
      </x:c>
      <x:c r="Q67" s="90">
        <x:v>0</x:v>
      </x:c>
      <x:c r="R67">
        <x:v>0</x:v>
      </x:c>
    </x:row>
    <x:row r="68" spans="2:18" ht="12.75" customHeight="1" x14ac:dyDescent="0.3">
      <x:c r="D68" t="s">
        <x:v>81</x:v>
      </x:c>
      <x:c r="E68">
        <x:v>0</x:v>
      </x:c>
      <x:c r="F68">
        <x:v>0</x:v>
      </x:c>
      <x:c r="G68">
        <x:v>0</x:v>
      </x:c>
      <x:c r="H68">
        <x:v>0</x:v>
      </x:c>
      <x:c r="I68">
        <x:v>0</x:v>
      </x:c>
      <x:c r="J68">
        <x:v>0</x:v>
      </x:c>
      <x:c r="K68">
        <x:v>0</x:v>
      </x:c>
      <x:c r="L68">
        <x:v>0</x:v>
      </x:c>
      <x:c r="M68">
        <x:v>0</x:v>
      </x:c>
      <x:c r="N68">
        <x:v>0</x:v>
      </x:c>
      <x:c r="O68">
        <x:v>0</x:v>
      </x:c>
      <x:c r="P68">
        <x:v>0</x:v>
      </x:c>
      <x:c r="Q68">
        <x:v>0</x:v>
      </x:c>
      <x:c r="R68">
        <x:v>0</x:v>
      </x:c>
    </x:row>
    <x:row r="69" spans="2:18" ht="12.75" customHeight="1" x14ac:dyDescent="0.3">
      <x:c r="C69" t="s">
        <x:v>332</x:v>
      </x:c>
      <x:c r="D69" s="89" t="s">
        <x:v>70</x:v>
      </x:c>
      <x:c r="E69" s="371">
        <x:v>0</x:v>
      </x:c>
      <x:c r="F69" s="90">
        <x:v>0</x:v>
      </x:c>
      <x:c r="G69" s="90">
        <x:v>0</x:v>
      </x:c>
      <x:c r="H69" s="90">
        <x:v>0</x:v>
      </x:c>
      <x:c r="I69" s="90">
        <x:v>0</x:v>
      </x:c>
      <x:c r="J69" s="90">
        <x:v>0</x:v>
      </x:c>
      <x:c r="K69" s="90">
        <x:v>0</x:v>
      </x:c>
      <x:c r="L69" s="90">
        <x:v>0</x:v>
      </x:c>
      <x:c r="M69" s="90">
        <x:v>0</x:v>
      </x:c>
      <x:c r="N69" s="90">
        <x:v>0</x:v>
      </x:c>
      <x:c r="O69" s="90">
        <x:v>0</x:v>
      </x:c>
      <x:c r="P69" s="90">
        <x:v>0</x:v>
      </x:c>
      <x:c r="Q69" s="90">
        <x:v>0</x:v>
      </x:c>
      <x:c r="R69">
        <x:v>0</x:v>
      </x:c>
    </x:row>
    <x:row r="70" spans="2:18" s="739" customFormat="1" ht="12.75" customHeight="1" x14ac:dyDescent="0.3">
      <x:c r="B70" s="739" t="s">
        <x:v>85</x:v>
      </x:c>
      <x:c r="C70" s="739" t="s">
        <x:v>70</x:v>
      </x:c>
      <x:c r="D70" s="231"/>
      <x:c r="E70" s="740" t="n">
        <x:v>149137.87</x:v>
      </x:c>
      <x:c r="F70" s="232">
        <x:v>0</x:v>
      </x:c>
      <x:c r="G70" s="232">
        <x:v>0</x:v>
      </x:c>
      <x:c r="H70" s="232">
        <x:v>0</x:v>
      </x:c>
      <x:c r="I70" s="232">
        <x:v>0</x:v>
      </x:c>
      <x:c r="J70" s="232">
        <x:v>0</x:v>
      </x:c>
      <x:c r="K70" s="232" t="n">
        <x:v>0</x:v>
      </x:c>
      <x:c r="L70" s="232">
        <x:v>0</x:v>
      </x:c>
      <x:c r="M70" s="232">
        <x:v>0</x:v>
      </x:c>
      <x:c r="N70" s="232">
        <x:v>0</x:v>
      </x:c>
      <x:c r="O70" s="232">
        <x:v>0</x:v>
      </x:c>
      <x:c r="P70" s="232">
        <x:v>0</x:v>
      </x:c>
      <x:c r="Q70" s="232">
        <x:v>0</x:v>
      </x:c>
      <x:c r="R70" s="739">
        <x:v>0</x:v>
      </x:c>
    </x:row>
    <x:row r="71" spans="2:18" ht="12.75" customHeight="1" x14ac:dyDescent="0.3">
      <x:c r="B71" s="142"/>
      <x:c r="D71" s="89" t="s">
        <x:v>72</x:v>
      </x:c>
      <x:c r="E71" s="90">
        <x:v>0</x:v>
      </x:c>
      <x:c r="F71" s="90">
        <x:v>0</x:v>
      </x:c>
      <x:c r="G71" s="90">
        <x:v>0</x:v>
      </x:c>
      <x:c r="H71" s="90">
        <x:v>0</x:v>
      </x:c>
      <x:c r="I71" s="90">
        <x:v>0</x:v>
      </x:c>
      <x:c r="J71" s="90">
        <x:v>0</x:v>
      </x:c>
      <x:c r="K71" s="90">
        <x:v>0</x:v>
      </x:c>
      <x:c r="L71" s="90">
        <x:v>0</x:v>
      </x:c>
      <x:c r="M71" s="90">
        <x:v>0</x:v>
      </x:c>
      <x:c r="N71" s="90">
        <x:v>0</x:v>
      </x:c>
      <x:c r="O71" s="90">
        <x:v>0</x:v>
      </x:c>
      <x:c r="P71" s="90">
        <x:v>0</x:v>
      </x:c>
      <x:c r="Q71" s="90">
        <x:v>0</x:v>
      </x:c>
      <x:c r="R71">
        <x:v>0</x:v>
      </x:c>
    </x:row>
    <x:row r="72" spans="2:18" ht="12.75" customHeight="1" x14ac:dyDescent="0.3">
      <x:c r="B72" s="142"/>
      <x:c r="D72" s="89" t="s">
        <x:v>81</x:v>
      </x:c>
      <x:c r="E72" s="90">
        <x:v>0</x:v>
      </x:c>
      <x:c r="F72" s="90">
        <x:v>0</x:v>
      </x:c>
      <x:c r="G72" s="90">
        <x:v>0</x:v>
      </x:c>
      <x:c r="H72" s="90">
        <x:v>0</x:v>
      </x:c>
      <x:c r="I72" s="90">
        <x:v>0</x:v>
      </x:c>
      <x:c r="J72" s="90">
        <x:v>0</x:v>
      </x:c>
      <x:c r="K72" s="90">
        <x:v>0</x:v>
      </x:c>
      <x:c r="L72" s="90">
        <x:v>0</x:v>
      </x:c>
      <x:c r="M72" s="90">
        <x:v>0</x:v>
      </x:c>
      <x:c r="N72" s="90">
        <x:v>0</x:v>
      </x:c>
      <x:c r="O72" s="90">
        <x:v>0</x:v>
      </x:c>
      <x:c r="P72" s="90">
        <x:v>0</x:v>
      </x:c>
      <x:c r="Q72" s="90">
        <x:v>0</x:v>
      </x:c>
      <x:c r="R72">
        <x:v>0</x:v>
      </x:c>
    </x:row>
    <x:row r="73" spans="2:18" ht="12.75" customHeight="1" x14ac:dyDescent="0.3">
      <x:c r="B73" s="142"/>
      <x:c r="C73" t="s">
        <x:v>156</x:v>
      </x:c>
      <x:c r="D73" s="89" t="s">
        <x:v>70</x:v>
      </x:c>
      <x:c r="E73" s="371">
        <x:v>0</x:v>
      </x:c>
      <x:c r="F73" s="90">
        <x:v>0</x:v>
      </x:c>
      <x:c r="G73" s="90">
        <x:v>0</x:v>
      </x:c>
      <x:c r="H73" s="90">
        <x:v>0</x:v>
      </x:c>
      <x:c r="I73" s="90">
        <x:v>0</x:v>
      </x:c>
      <x:c r="J73" s="90">
        <x:v>0</x:v>
      </x:c>
      <x:c r="K73" s="90">
        <x:v>0</x:v>
      </x:c>
      <x:c r="L73" s="90">
        <x:v>0</x:v>
      </x:c>
      <x:c r="M73" s="90">
        <x:v>0</x:v>
      </x:c>
      <x:c r="N73" s="90">
        <x:v>0</x:v>
      </x:c>
      <x:c r="O73" s="90">
        <x:v>0</x:v>
      </x:c>
      <x:c r="P73" s="90">
        <x:v>0</x:v>
      </x:c>
      <x:c r="Q73" s="90">
        <x:v>0</x:v>
      </x:c>
      <x:c r="R73">
        <x:v>0</x:v>
      </x:c>
    </x:row>
    <x:row r="74" spans="2:18" s="286" customFormat="1" ht="12.75" customHeight="1" x14ac:dyDescent="0.3">
      <x:c r="B74" s="751" t="s">
        <x:v>155</x:v>
      </x:c>
      <x:c r="C74" s="286" t="s">
        <x:v>70</x:v>
      </x:c>
      <x:c r="D74" s="229"/>
      <x:c r="E74" s="752" t="n">
        <x:v>58544042.33</x:v>
      </x:c>
      <x:c r="F74" s="230">
        <x:v>0</x:v>
      </x:c>
      <x:c r="G74" s="230">
        <x:v>0</x:v>
      </x:c>
      <x:c r="H74" s="230">
        <x:v>0</x:v>
      </x:c>
      <x:c r="I74" s="230">
        <x:v>0</x:v>
      </x:c>
      <x:c r="J74" s="230">
        <x:v>0</x:v>
      </x:c>
      <x:c r="K74" s="230" t="n">
        <x:v>70736.95</x:v>
      </x:c>
      <x:c r="L74" s="230">
        <x:v>0</x:v>
      </x:c>
      <x:c r="M74" s="230">
        <x:v>0</x:v>
      </x:c>
      <x:c r="N74" s="230">
        <x:v>0</x:v>
      </x:c>
      <x:c r="O74" s="230">
        <x:v>0</x:v>
      </x:c>
      <x:c r="P74" s="230">
        <x:v>0</x:v>
      </x:c>
      <x:c r="Q74" s="230">
        <x:v>0</x:v>
      </x:c>
      <x:c r="R74" s="286">
        <x:v>0</x:v>
      </x:c>
    </x:row>
    <x:row r="75" spans="2:18" ht="12.65" customHeight="1" x14ac:dyDescent="0.3">
      <x:c r="B75" s="142"/>
      <x:c r="D75" s="89" t="s">
        <x:v>72</x:v>
      </x:c>
      <x:c r="E75" s="371">
        <x:v>0</x:v>
      </x:c>
      <x:c r="F75" s="90">
        <x:v>0</x:v>
      </x:c>
      <x:c r="G75" s="90">
        <x:v>0</x:v>
      </x:c>
      <x:c r="H75" s="90">
        <x:v>0</x:v>
      </x:c>
      <x:c r="I75" s="90">
        <x:v>0</x:v>
      </x:c>
      <x:c r="J75" s="90">
        <x:v>0</x:v>
      </x:c>
      <x:c r="K75" s="90">
        <x:v>0</x:v>
      </x:c>
      <x:c r="L75" s="90">
        <x:v>0</x:v>
      </x:c>
      <x:c r="M75" s="90">
        <x:v>0</x:v>
      </x:c>
      <x:c r="N75" s="90">
        <x:v>0</x:v>
      </x:c>
      <x:c r="O75" s="90">
        <x:v>0</x:v>
      </x:c>
      <x:c r="P75" s="90">
        <x:v>0</x:v>
      </x:c>
      <x:c r="Q75" s="90">
        <x:v>0</x:v>
      </x:c>
      <x:c r="R75">
        <x:v>0</x:v>
      </x:c>
    </x:row>
    <x:row r="76" spans="2:18" ht="12.75" customHeight="1" x14ac:dyDescent="0.3">
      <x:c r="B76" s="142"/>
      <x:c r="D76" s="89" t="s">
        <x:v>81</x:v>
      </x:c>
      <x:c r="E76" s="371">
        <x:v>0</x:v>
      </x:c>
      <x:c r="F76" s="90">
        <x:v>0</x:v>
      </x:c>
      <x:c r="G76" s="90">
        <x:v>0</x:v>
      </x:c>
      <x:c r="H76" s="90">
        <x:v>0</x:v>
      </x:c>
      <x:c r="I76" s="90">
        <x:v>0</x:v>
      </x:c>
      <x:c r="J76" s="90">
        <x:v>0</x:v>
      </x:c>
      <x:c r="K76" s="90">
        <x:v>0</x:v>
      </x:c>
      <x:c r="L76" s="90">
        <x:v>0</x:v>
      </x:c>
      <x:c r="M76" s="90">
        <x:v>0</x:v>
      </x:c>
      <x:c r="N76" s="90">
        <x:v>0</x:v>
      </x:c>
      <x:c r="O76" s="90">
        <x:v>0</x:v>
      </x:c>
      <x:c r="P76" s="90">
        <x:v>0</x:v>
      </x:c>
      <x:c r="Q76" s="90">
        <x:v>0</x:v>
      </x:c>
      <x:c r="R76">
        <x:v>0</x:v>
      </x:c>
    </x:row>
    <x:row r="77" spans="2:18" ht="12.75" customHeight="1" x14ac:dyDescent="0.3">
      <x:c r="B77" s="142"/>
      <x:c r="C77" t="s">
        <x:v>115</x:v>
      </x:c>
      <x:c r="D77" s="89" t="s">
        <x:v>70</x:v>
      </x:c>
      <x:c r="E77" s="90">
        <x:v>0</x:v>
      </x:c>
      <x:c r="F77" s="90">
        <x:v>0</x:v>
      </x:c>
      <x:c r="G77" s="90">
        <x:v>0</x:v>
      </x:c>
      <x:c r="H77" s="90">
        <x:v>0</x:v>
      </x:c>
      <x:c r="I77" s="90">
        <x:v>0</x:v>
      </x:c>
      <x:c r="J77" s="90">
        <x:v>0</x:v>
      </x:c>
      <x:c r="K77" s="90">
        <x:v>0</x:v>
      </x:c>
      <x:c r="L77" s="90">
        <x:v>0</x:v>
      </x:c>
      <x:c r="M77" s="90">
        <x:v>0</x:v>
      </x:c>
      <x:c r="N77" s="90">
        <x:v>0</x:v>
      </x:c>
      <x:c r="O77" s="90">
        <x:v>0</x:v>
      </x:c>
      <x:c r="P77" s="90">
        <x:v>0</x:v>
      </x:c>
      <x:c r="Q77" s="90">
        <x:v>0</x:v>
      </x:c>
      <x:c r="R77">
        <x:v>0</x:v>
      </x:c>
    </x:row>
    <x:row r="78" spans="2:18" ht="12.75" customHeight="1" x14ac:dyDescent="0.3">
      <x:c r="B78" s="142"/>
      <x:c r="C78" s="89"/>
      <x:c r="D78" s="89" t="s">
        <x:v>72</x:v>
      </x:c>
      <x:c r="E78" s="371">
        <x:v>0</x:v>
      </x:c>
      <x:c r="F78" s="90">
        <x:v>0</x:v>
      </x:c>
      <x:c r="G78" s="90">
        <x:v>0</x:v>
      </x:c>
      <x:c r="H78" s="90">
        <x:v>0</x:v>
      </x:c>
      <x:c r="I78" s="90">
        <x:v>0</x:v>
      </x:c>
      <x:c r="J78" s="90">
        <x:v>0</x:v>
      </x:c>
      <x:c r="K78" s="90">
        <x:v>0</x:v>
      </x:c>
      <x:c r="L78" s="90">
        <x:v>0</x:v>
      </x:c>
      <x:c r="M78" s="90">
        <x:v>0</x:v>
      </x:c>
      <x:c r="N78" s="90">
        <x:v>0</x:v>
      </x:c>
      <x:c r="O78" s="90">
        <x:v>0</x:v>
      </x:c>
      <x:c r="P78" s="90">
        <x:v>0</x:v>
      </x:c>
      <x:c r="Q78" s="90">
        <x:v>0</x:v>
      </x:c>
      <x:c r="R78">
        <x:v>0</x:v>
      </x:c>
    </x:row>
    <x:row r="79" spans="2:18" ht="12.75" customHeight="1" x14ac:dyDescent="0.3">
      <x:c r="B79" s="142"/>
      <x:c r="D79" s="89" t="s">
        <x:v>81</x:v>
      </x:c>
      <x:c r="E79" s="371">
        <x:v>0</x:v>
      </x:c>
      <x:c r="F79" s="90">
        <x:v>0</x:v>
      </x:c>
      <x:c r="G79" s="90">
        <x:v>0</x:v>
      </x:c>
      <x:c r="H79" s="90">
        <x:v>0</x:v>
      </x:c>
      <x:c r="I79" s="90">
        <x:v>0</x:v>
      </x:c>
      <x:c r="J79" s="90">
        <x:v>0</x:v>
      </x:c>
      <x:c r="K79" s="90">
        <x:v>0</x:v>
      </x:c>
      <x:c r="L79" s="90">
        <x:v>0</x:v>
      </x:c>
      <x:c r="M79" s="90">
        <x:v>0</x:v>
      </x:c>
      <x:c r="N79" s="90">
        <x:v>0</x:v>
      </x:c>
      <x:c r="O79" s="90">
        <x:v>0</x:v>
      </x:c>
      <x:c r="P79" s="90">
        <x:v>0</x:v>
      </x:c>
      <x:c r="Q79" s="90">
        <x:v>0</x:v>
      </x:c>
      <x:c r="R79">
        <x:v>0</x:v>
      </x:c>
    </x:row>
    <x:row r="80" spans="2:18" ht="12.75" customHeight="1" x14ac:dyDescent="0.3">
      <x:c r="B80" s="142"/>
      <x:c r="C80" s="89" t="s">
        <x:v>116</x:v>
      </x:c>
      <x:c r="D80" s="89" t="s">
        <x:v>70</x:v>
      </x:c>
      <x:c r="E80" s="371">
        <x:v>0</x:v>
      </x:c>
      <x:c r="F80" s="90">
        <x:v>0</x:v>
      </x:c>
      <x:c r="G80" s="90">
        <x:v>0</x:v>
      </x:c>
      <x:c r="H80" s="90">
        <x:v>0</x:v>
      </x:c>
      <x:c r="I80" s="90">
        <x:v>0</x:v>
      </x:c>
      <x:c r="J80" s="90">
        <x:v>0</x:v>
      </x:c>
      <x:c r="K80" s="90">
        <x:v>0</x:v>
      </x:c>
      <x:c r="L80" s="90">
        <x:v>0</x:v>
      </x:c>
      <x:c r="M80" s="90">
        <x:v>0</x:v>
      </x:c>
      <x:c r="N80" s="90">
        <x:v>0</x:v>
      </x:c>
      <x:c r="O80" s="90">
        <x:v>0</x:v>
      </x:c>
      <x:c r="P80" s="90">
        <x:v>0</x:v>
      </x:c>
      <x:c r="Q80" s="90">
        <x:v>0</x:v>
      </x:c>
      <x:c r="R80">
        <x:v>0</x:v>
      </x:c>
    </x:row>
    <x:row r="81" spans="2:18" ht="12.75" customHeight="1" x14ac:dyDescent="0.3">
      <x:c r="B81" s="142"/>
      <x:c r="C81" s="89"/>
      <x:c r="D81" s="89" t="s">
        <x:v>72</x:v>
      </x:c>
      <x:c r="E81" s="371">
        <x:v>0</x:v>
      </x:c>
      <x:c r="F81" s="90">
        <x:v>0</x:v>
      </x:c>
      <x:c r="G81" s="90">
        <x:v>0</x:v>
      </x:c>
      <x:c r="H81" s="90">
        <x:v>0</x:v>
      </x:c>
      <x:c r="I81" s="90">
        <x:v>0</x:v>
      </x:c>
      <x:c r="J81" s="90">
        <x:v>0</x:v>
      </x:c>
      <x:c r="K81" s="90">
        <x:v>0</x:v>
      </x:c>
      <x:c r="L81" s="90">
        <x:v>0</x:v>
      </x:c>
      <x:c r="M81" s="90">
        <x:v>0</x:v>
      </x:c>
      <x:c r="N81" s="90">
        <x:v>0</x:v>
      </x:c>
      <x:c r="O81" s="90">
        <x:v>0</x:v>
      </x:c>
      <x:c r="P81" s="90">
        <x:v>0</x:v>
      </x:c>
      <x:c r="Q81" s="90">
        <x:v>0</x:v>
      </x:c>
      <x:c r="R81">
        <x:v>0</x:v>
      </x:c>
    </x:row>
    <x:row r="82" spans="2:18" ht="12.75" customHeight="1" x14ac:dyDescent="0.3">
      <x:c r="B82" s="142"/>
      <x:c r="C82" s="89"/>
      <x:c r="D82" s="89" t="s">
        <x:v>81</x:v>
      </x:c>
      <x:c r="E82" s="371">
        <x:v>0</x:v>
      </x:c>
      <x:c r="F82" s="90">
        <x:v>0</x:v>
      </x:c>
      <x:c r="G82" s="90">
        <x:v>0</x:v>
      </x:c>
      <x:c r="H82" s="90">
        <x:v>0</x:v>
      </x:c>
      <x:c r="I82" s="90">
        <x:v>0</x:v>
      </x:c>
      <x:c r="J82" s="90">
        <x:v>0</x:v>
      </x:c>
      <x:c r="K82" s="90">
        <x:v>0</x:v>
      </x:c>
      <x:c r="L82" s="90">
        <x:v>0</x:v>
      </x:c>
      <x:c r="M82" s="90">
        <x:v>0</x:v>
      </x:c>
      <x:c r="N82" s="90">
        <x:v>0</x:v>
      </x:c>
      <x:c r="O82" s="90">
        <x:v>0</x:v>
      </x:c>
      <x:c r="P82" s="90">
        <x:v>0</x:v>
      </x:c>
      <x:c r="Q82" s="90">
        <x:v>0</x:v>
      </x:c>
      <x:c r="R82">
        <x:v>0</x:v>
      </x:c>
    </x:row>
    <x:row r="83" spans="2:18" ht="12.75" customHeight="1" x14ac:dyDescent="0.3">
      <x:c r="B83" s="142"/>
      <x:c r="C83" s="773">
        <x:v>3</x:v>
      </x:c>
      <x:c r="D83" s="89" t="s">
        <x:v>70</x:v>
      </x:c>
      <x:c r="E83" s="371">
        <x:v>0</x:v>
      </x:c>
      <x:c r="F83" s="90">
        <x:v>0</x:v>
      </x:c>
      <x:c r="G83" s="90">
        <x:v>0</x:v>
      </x:c>
      <x:c r="H83" s="90">
        <x:v>0</x:v>
      </x:c>
      <x:c r="I83" s="90">
        <x:v>0</x:v>
      </x:c>
      <x:c r="J83" s="90">
        <x:v>0</x:v>
      </x:c>
      <x:c r="K83" s="90">
        <x:v>0</x:v>
      </x:c>
      <x:c r="L83" s="90">
        <x:v>0</x:v>
      </x:c>
      <x:c r="M83" s="90">
        <x:v>0</x:v>
      </x:c>
      <x:c r="N83" s="90">
        <x:v>0</x:v>
      </x:c>
      <x:c r="O83" s="90">
        <x:v>0</x:v>
      </x:c>
      <x:c r="P83" s="90">
        <x:v>0</x:v>
      </x:c>
      <x:c r="Q83" s="90">
        <x:v>0</x:v>
      </x:c>
      <x:c r="R83">
        <x:v>0</x:v>
      </x:c>
    </x:row>
    <x:row r="84" spans="2:18" ht="12.75" customHeight="1" x14ac:dyDescent="0.3">
      <x:c r="B84" s="142"/>
      <x:c r="C84" s="89"/>
      <x:c r="D84" s="89" t="s">
        <x:v>72</x:v>
      </x:c>
      <x:c r="E84" s="371">
        <x:v>0</x:v>
      </x:c>
      <x:c r="F84" s="90">
        <x:v>0</x:v>
      </x:c>
      <x:c r="G84" s="90">
        <x:v>0</x:v>
      </x:c>
      <x:c r="H84" s="90">
        <x:v>0</x:v>
      </x:c>
      <x:c r="I84" s="90">
        <x:v>0</x:v>
      </x:c>
      <x:c r="J84" s="90">
        <x:v>0</x:v>
      </x:c>
      <x:c r="K84" s="90">
        <x:v>0</x:v>
      </x:c>
      <x:c r="L84" s="90">
        <x:v>0</x:v>
      </x:c>
      <x:c r="M84" s="90">
        <x:v>0</x:v>
      </x:c>
      <x:c r="N84" s="90">
        <x:v>0</x:v>
      </x:c>
      <x:c r="O84" s="90">
        <x:v>0</x:v>
      </x:c>
      <x:c r="P84" s="90">
        <x:v>0</x:v>
      </x:c>
      <x:c r="Q84" s="90">
        <x:v>0</x:v>
      </x:c>
      <x:c r="R84">
        <x:v>0</x:v>
      </x:c>
    </x:row>
    <x:row r="85" spans="2:18" ht="12.75" customHeight="1" x14ac:dyDescent="0.3">
      <x:c r="B85" s="142"/>
      <x:c r="C85" s="89"/>
      <x:c r="D85" s="89" t="s">
        <x:v>81</x:v>
      </x:c>
      <x:c r="E85" s="371">
        <x:v>0</x:v>
      </x:c>
      <x:c r="F85" s="90">
        <x:v>0</x:v>
      </x:c>
      <x:c r="G85" s="90">
        <x:v>0</x:v>
      </x:c>
      <x:c r="H85" s="90">
        <x:v>0</x:v>
      </x:c>
      <x:c r="I85" s="90">
        <x:v>0</x:v>
      </x:c>
      <x:c r="J85" s="90">
        <x:v>0</x:v>
      </x:c>
      <x:c r="K85" s="90">
        <x:v>0</x:v>
      </x:c>
      <x:c r="L85" s="90">
        <x:v>0</x:v>
      </x:c>
      <x:c r="M85" s="90">
        <x:v>0</x:v>
      </x:c>
      <x:c r="N85" s="90">
        <x:v>0</x:v>
      </x:c>
      <x:c r="O85" s="90">
        <x:v>0</x:v>
      </x:c>
      <x:c r="P85" s="90">
        <x:v>0</x:v>
      </x:c>
      <x:c r="Q85" s="90">
        <x:v>0</x:v>
      </x:c>
      <x:c r="R85">
        <x:v>0</x:v>
      </x:c>
    </x:row>
    <x:row r="86" spans="2:18" ht="12.75" customHeight="1" x14ac:dyDescent="0.3">
      <x:c r="B86" s="142"/>
      <x:c r="C86" s="89" t="s">
        <x:v>118</x:v>
      </x:c>
      <x:c r="D86" s="89" t="s">
        <x:v>70</x:v>
      </x:c>
      <x:c r="E86" s="371">
        <x:v>0</x:v>
      </x:c>
      <x:c r="F86" s="90">
        <x:v>0</x:v>
      </x:c>
      <x:c r="G86" s="90">
        <x:v>0</x:v>
      </x:c>
      <x:c r="H86" s="90">
        <x:v>0</x:v>
      </x:c>
      <x:c r="I86" s="90">
        <x:v>0</x:v>
      </x:c>
      <x:c r="J86" s="90">
        <x:v>0</x:v>
      </x:c>
      <x:c r="K86" s="90">
        <x:v>0</x:v>
      </x:c>
      <x:c r="L86" s="90">
        <x:v>0</x:v>
      </x:c>
      <x:c r="M86" s="90">
        <x:v>0</x:v>
      </x:c>
      <x:c r="N86" s="90">
        <x:v>0</x:v>
      </x:c>
      <x:c r="O86" s="90">
        <x:v>0</x:v>
      </x:c>
      <x:c r="P86" s="90">
        <x:v>0</x:v>
      </x:c>
      <x:c r="Q86" s="90">
        <x:v>0</x:v>
      </x:c>
      <x:c r="R86">
        <x:v>0</x:v>
      </x:c>
    </x:row>
    <x:row r="87" spans="2:18" ht="12.75" customHeight="1" x14ac:dyDescent="0.3">
      <x:c r="B87" s="142"/>
      <x:c r="C87" s="89"/>
      <x:c r="D87" s="89" t="s">
        <x:v>72</x:v>
      </x:c>
      <x:c r="E87" s="371">
        <x:v>0</x:v>
      </x:c>
      <x:c r="F87" s="90">
        <x:v>0</x:v>
      </x:c>
      <x:c r="G87" s="90">
        <x:v>0</x:v>
      </x:c>
      <x:c r="H87" s="90">
        <x:v>0</x:v>
      </x:c>
      <x:c r="I87" s="90">
        <x:v>0</x:v>
      </x:c>
      <x:c r="J87" s="90">
        <x:v>0</x:v>
      </x:c>
      <x:c r="K87" s="90">
        <x:v>0</x:v>
      </x:c>
      <x:c r="L87" s="90">
        <x:v>0</x:v>
      </x:c>
      <x:c r="M87" s="90">
        <x:v>0</x:v>
      </x:c>
      <x:c r="N87" s="90">
        <x:v>0</x:v>
      </x:c>
      <x:c r="O87" s="90">
        <x:v>0</x:v>
      </x:c>
      <x:c r="P87" s="90">
        <x:v>0</x:v>
      </x:c>
      <x:c r="Q87" s="90">
        <x:v>0</x:v>
      </x:c>
      <x:c r="R87">
        <x:v>0</x:v>
      </x:c>
    </x:row>
    <x:row r="88" spans="2:18" ht="12.75" customHeight="1" x14ac:dyDescent="0.3">
      <x:c r="B88" s="142"/>
      <x:c r="C88" s="89"/>
      <x:c r="D88" s="89" t="s">
        <x:v>81</x:v>
      </x:c>
      <x:c r="E88" s="371">
        <x:v>0</x:v>
      </x:c>
      <x:c r="F88" s="90">
        <x:v>0</x:v>
      </x:c>
      <x:c r="G88" s="90">
        <x:v>0</x:v>
      </x:c>
      <x:c r="H88" s="90">
        <x:v>0</x:v>
      </x:c>
      <x:c r="I88" s="90">
        <x:v>0</x:v>
      </x:c>
      <x:c r="J88" s="90">
        <x:v>0</x:v>
      </x:c>
      <x:c r="K88" s="90">
        <x:v>0</x:v>
      </x:c>
      <x:c r="L88" s="90">
        <x:v>0</x:v>
      </x:c>
      <x:c r="M88" s="90">
        <x:v>0</x:v>
      </x:c>
      <x:c r="N88" s="90">
        <x:v>0</x:v>
      </x:c>
      <x:c r="O88" s="90">
        <x:v>0</x:v>
      </x:c>
      <x:c r="P88" s="90">
        <x:v>0</x:v>
      </x:c>
      <x:c r="Q88" s="90">
        <x:v>0</x:v>
      </x:c>
      <x:c r="R88">
        <x:v>0</x:v>
      </x:c>
    </x:row>
    <x:row r="89" spans="2:18" ht="12.75" customHeight="1" x14ac:dyDescent="0.3">
      <x:c r="B89" s="142"/>
      <x:c r="C89" s="773">
        <x:v>9</x:v>
      </x:c>
      <x:c r="D89" s="89" t="s">
        <x:v>70</x:v>
      </x:c>
      <x:c r="E89" s="371">
        <x:v>0</x:v>
      </x:c>
      <x:c r="F89" s="90">
        <x:v>0</x:v>
      </x:c>
      <x:c r="G89" s="90">
        <x:v>0</x:v>
      </x:c>
      <x:c r="H89" s="90">
        <x:v>0</x:v>
      </x:c>
      <x:c r="I89" s="90">
        <x:v>0</x:v>
      </x:c>
      <x:c r="J89" s="90">
        <x:v>0</x:v>
      </x:c>
      <x:c r="K89" s="90">
        <x:v>0</x:v>
      </x:c>
      <x:c r="L89" s="90">
        <x:v>0</x:v>
      </x:c>
      <x:c r="M89" s="90">
        <x:v>0</x:v>
      </x:c>
      <x:c r="N89" s="90">
        <x:v>0</x:v>
      </x:c>
      <x:c r="O89" s="90">
        <x:v>0</x:v>
      </x:c>
      <x:c r="P89" s="90">
        <x:v>0</x:v>
      </x:c>
      <x:c r="Q89" s="90">
        <x:v>0</x:v>
      </x:c>
      <x:c r="R89">
        <x:v>0</x:v>
      </x:c>
    </x:row>
    <x:row r="90" spans="2:18" s="224" customFormat="1" ht="12.75" customHeight="1" x14ac:dyDescent="0.3">
      <x:c r="B90" s="224" t="s">
        <x:v>120</x:v>
      </x:c>
      <x:c r="C90" s="224" t="s">
        <x:v>70</x:v>
      </x:c>
      <x:c r="E90" s="224" t="n">
        <x:v>16015076.93</x:v>
      </x:c>
      <x:c r="F90" s="224">
        <x:v>0</x:v>
      </x:c>
      <x:c r="G90" s="224">
        <x:v>0</x:v>
      </x:c>
      <x:c r="H90" s="224">
        <x:v>0</x:v>
      </x:c>
      <x:c r="I90" s="224">
        <x:v>0</x:v>
      </x:c>
      <x:c r="J90" s="224">
        <x:v>0</x:v>
      </x:c>
      <x:c r="K90" s="224" t="n">
        <x:v>0</x:v>
      </x:c>
      <x:c r="L90" s="224">
        <x:v>0</x:v>
      </x:c>
      <x:c r="M90" s="224">
        <x:v>0</x:v>
      </x:c>
      <x:c r="N90" s="224">
        <x:v>0</x:v>
      </x:c>
      <x:c r="O90" s="224">
        <x:v>0</x:v>
      </x:c>
      <x:c r="P90" s="224">
        <x:v>0</x:v>
      </x:c>
      <x:c r="Q90" s="224">
        <x:v>0</x:v>
      </x:c>
      <x:c r="R90" s="224">
        <x:v>0</x:v>
      </x:c>
    </x:row>
    <x:row r="91" spans="2:18" ht="12.75" customHeight="1" x14ac:dyDescent="0.3">
      <x:c r="D91" t="s">
        <x:v>72</x:v>
      </x:c>
      <x:c r="E91" s="142">
        <x:v>0</x:v>
      </x:c>
      <x:c r="F91">
        <x:v>0</x:v>
      </x:c>
      <x:c r="G91">
        <x:v>0</x:v>
      </x:c>
      <x:c r="H91">
        <x:v>0</x:v>
      </x:c>
      <x:c r="I91">
        <x:v>0</x:v>
      </x:c>
      <x:c r="J91">
        <x:v>0</x:v>
      </x:c>
      <x:c r="K91">
        <x:v>0</x:v>
      </x:c>
      <x:c r="L91">
        <x:v>0</x:v>
      </x:c>
      <x:c r="M91">
        <x:v>0</x:v>
      </x:c>
      <x:c r="N91">
        <x:v>0</x:v>
      </x:c>
      <x:c r="O91">
        <x:v>0</x:v>
      </x:c>
      <x:c r="P91">
        <x:v>0</x:v>
      </x:c>
      <x:c r="Q91">
        <x:v>0</x:v>
      </x:c>
      <x:c r="R91">
        <x:v>0</x:v>
      </x:c>
    </x:row>
    <x:row r="92" spans="2:18" ht="12.75" customHeight="1" x14ac:dyDescent="0.3">
      <x:c r="D92" t="s">
        <x:v>81</x:v>
      </x:c>
      <x:c r="E92" s="142">
        <x:v>0</x:v>
      </x:c>
      <x:c r="F92">
        <x:v>0</x:v>
      </x:c>
      <x:c r="G92">
        <x:v>0</x:v>
      </x:c>
      <x:c r="H92">
        <x:v>0</x:v>
      </x:c>
      <x:c r="I92">
        <x:v>0</x:v>
      </x:c>
      <x:c r="J92">
        <x:v>0</x:v>
      </x:c>
      <x:c r="K92">
        <x:v>0</x:v>
      </x:c>
      <x:c r="L92">
        <x:v>0</x:v>
      </x:c>
      <x:c r="M92">
        <x:v>0</x:v>
      </x:c>
      <x:c r="N92">
        <x:v>0</x:v>
      </x:c>
      <x:c r="O92">
        <x:v>0</x:v>
      </x:c>
      <x:c r="P92">
        <x:v>0</x:v>
      </x:c>
      <x:c r="Q92">
        <x:v>0</x:v>
      </x:c>
      <x:c r="R92">
        <x:v>0</x:v>
      </x:c>
    </x:row>
    <x:row r="93" spans="2:18" ht="12.75" customHeight="1" x14ac:dyDescent="0.3">
      <x:c r="C93" t="s">
        <x:v>82</x:v>
      </x:c>
      <x:c r="D93" t="s">
        <x:v>70</x:v>
      </x:c>
      <x:c r="E93" s="142">
        <x:v>0</x:v>
      </x:c>
      <x:c r="F93">
        <x:v>0</x:v>
      </x:c>
      <x:c r="G93">
        <x:v>0</x:v>
      </x:c>
      <x:c r="H93">
        <x:v>0</x:v>
      </x:c>
      <x:c r="I93">
        <x:v>0</x:v>
      </x:c>
      <x:c r="J93">
        <x:v>0</x:v>
      </x:c>
      <x:c r="K93">
        <x:v>0</x:v>
      </x:c>
      <x:c r="L93">
        <x:v>0</x:v>
      </x:c>
      <x:c r="M93">
        <x:v>0</x:v>
      </x:c>
      <x:c r="N93">
        <x:v>0</x:v>
      </x:c>
      <x:c r="O93">
        <x:v>0</x:v>
      </x:c>
      <x:c r="P93">
        <x:v>0</x:v>
      </x:c>
      <x:c r="Q93">
        <x:v>0</x:v>
      </x:c>
      <x:c r="R93">
        <x:v>0</x:v>
      </x:c>
    </x:row>
    <x:row r="94" spans="2:18" ht="12.75" customHeight="1" x14ac:dyDescent="0.3">
      <x:c r="D94" t="s">
        <x:v>72</x:v>
      </x:c>
      <x:c r="E94" s="142">
        <x:v>0</x:v>
      </x:c>
      <x:c r="F94">
        <x:v>0</x:v>
      </x:c>
      <x:c r="G94">
        <x:v>0</x:v>
      </x:c>
      <x:c r="H94">
        <x:v>0</x:v>
      </x:c>
      <x:c r="I94">
        <x:v>0</x:v>
      </x:c>
      <x:c r="J94">
        <x:v>0</x:v>
      </x:c>
      <x:c r="K94">
        <x:v>0</x:v>
      </x:c>
      <x:c r="L94">
        <x:v>0</x:v>
      </x:c>
      <x:c r="M94">
        <x:v>0</x:v>
      </x:c>
      <x:c r="N94">
        <x:v>0</x:v>
      </x:c>
      <x:c r="O94">
        <x:v>0</x:v>
      </x:c>
      <x:c r="P94">
        <x:v>0</x:v>
      </x:c>
      <x:c r="Q94">
        <x:v>0</x:v>
      </x:c>
      <x:c r="R94">
        <x:v>0</x:v>
      </x:c>
    </x:row>
    <x:row r="95" spans="2:18" ht="12.75" customHeight="1" x14ac:dyDescent="0.3">
      <x:c r="D95" t="s">
        <x:v>81</x:v>
      </x:c>
      <x:c r="E95" s="142">
        <x:v>0</x:v>
      </x:c>
      <x:c r="F95">
        <x:v>0</x:v>
      </x:c>
      <x:c r="G95">
        <x:v>0</x:v>
      </x:c>
      <x:c r="H95">
        <x:v>0</x:v>
      </x:c>
      <x:c r="I95">
        <x:v>0</x:v>
      </x:c>
      <x:c r="J95">
        <x:v>0</x:v>
      </x:c>
      <x:c r="K95">
        <x:v>0</x:v>
      </x:c>
      <x:c r="L95">
        <x:v>0</x:v>
      </x:c>
      <x:c r="M95">
        <x:v>0</x:v>
      </x:c>
      <x:c r="N95">
        <x:v>0</x:v>
      </x:c>
      <x:c r="O95">
        <x:v>0</x:v>
      </x:c>
      <x:c r="P95">
        <x:v>0</x:v>
      </x:c>
      <x:c r="Q95">
        <x:v>0</x:v>
      </x:c>
      <x:c r="R95">
        <x:v>0</x:v>
      </x:c>
    </x:row>
    <x:row r="96" spans="2:18" ht="12.75" customHeight="1" x14ac:dyDescent="0.3">
      <x:c r="C96" t="s">
        <x:v>86</x:v>
      </x:c>
      <x:c r="D96" t="s">
        <x:v>70</x:v>
      </x:c>
      <x:c r="E96">
        <x:v>0</x:v>
      </x:c>
      <x:c r="F96">
        <x:v>0</x:v>
      </x:c>
      <x:c r="G96">
        <x:v>0</x:v>
      </x:c>
      <x:c r="H96">
        <x:v>0</x:v>
      </x:c>
      <x:c r="I96">
        <x:v>0</x:v>
      </x:c>
      <x:c r="J96">
        <x:v>0</x:v>
      </x:c>
      <x:c r="K96">
        <x:v>0</x:v>
      </x:c>
      <x:c r="L96">
        <x:v>0</x:v>
      </x:c>
      <x:c r="M96">
        <x:v>0</x:v>
      </x:c>
      <x:c r="N96">
        <x:v>0</x:v>
      </x:c>
      <x:c r="O96">
        <x:v>0</x:v>
      </x:c>
      <x:c r="P96">
        <x:v>0</x:v>
      </x:c>
      <x:c r="Q96">
        <x:v>0</x:v>
      </x:c>
      <x:c r="R96">
        <x:v>0</x:v>
      </x:c>
    </x:row>
    <x:row r="97" spans="1:18" ht="12.75" customHeight="1" x14ac:dyDescent="0.3">
      <x:c r="D97" t="s">
        <x:v>72</x:v>
      </x:c>
      <x:c r="E97">
        <x:v>0</x:v>
      </x:c>
      <x:c r="F97">
        <x:v>0</x:v>
      </x:c>
      <x:c r="G97">
        <x:v>0</x:v>
      </x:c>
      <x:c r="H97">
        <x:v>0</x:v>
      </x:c>
      <x:c r="I97">
        <x:v>0</x:v>
      </x:c>
      <x:c r="J97">
        <x:v>0</x:v>
      </x:c>
      <x:c r="K97">
        <x:v>0</x:v>
      </x:c>
      <x:c r="L97">
        <x:v>0</x:v>
      </x:c>
      <x:c r="M97">
        <x:v>0</x:v>
      </x:c>
      <x:c r="N97">
        <x:v>0</x:v>
      </x:c>
      <x:c r="O97">
        <x:v>0</x:v>
      </x:c>
      <x:c r="P97">
        <x:v>0</x:v>
      </x:c>
      <x:c r="Q97">
        <x:v>0</x:v>
      </x:c>
      <x:c r="R97">
        <x:v>0</x:v>
      </x:c>
    </x:row>
    <x:row r="98" spans="1:18" ht="12.75" customHeight="1" x14ac:dyDescent="0.3">
      <x:c r="D98" t="s">
        <x:v>81</x:v>
      </x:c>
      <x:c r="E98" s="142">
        <x:v>0</x:v>
      </x:c>
      <x:c r="F98">
        <x:v>0</x:v>
      </x:c>
      <x:c r="G98">
        <x:v>0</x:v>
      </x:c>
      <x:c r="H98">
        <x:v>0</x:v>
      </x:c>
      <x:c r="I98">
        <x:v>0</x:v>
      </x:c>
      <x:c r="J98">
        <x:v>0</x:v>
      </x:c>
      <x:c r="K98">
        <x:v>0</x:v>
      </x:c>
      <x:c r="L98">
        <x:v>0</x:v>
      </x:c>
      <x:c r="M98">
        <x:v>0</x:v>
      </x:c>
      <x:c r="N98">
        <x:v>0</x:v>
      </x:c>
      <x:c r="O98">
        <x:v>0</x:v>
      </x:c>
      <x:c r="P98">
        <x:v>0</x:v>
      </x:c>
      <x:c r="Q98">
        <x:v>0</x:v>
      </x:c>
      <x:c r="R98">
        <x:v>0</x:v>
      </x:c>
    </x:row>
    <x:row r="99" spans="1:18" ht="12.75" customHeight="1" x14ac:dyDescent="0.3">
      <x:c r="C99" s="89" t="s">
        <x:v>87</x:v>
      </x:c>
      <x:c r="D99" s="89" t="s">
        <x:v>70</x:v>
      </x:c>
      <x:c r="E99" s="90">
        <x:v>0</x:v>
      </x:c>
      <x:c r="F99" s="90">
        <x:v>0</x:v>
      </x:c>
      <x:c r="G99" s="90">
        <x:v>0</x:v>
      </x:c>
      <x:c r="H99" s="90">
        <x:v>0</x:v>
      </x:c>
      <x:c r="I99" s="90">
        <x:v>0</x:v>
      </x:c>
      <x:c r="J99" s="90">
        <x:v>0</x:v>
      </x:c>
      <x:c r="K99" s="90">
        <x:v>0</x:v>
      </x:c>
      <x:c r="L99" s="90">
        <x:v>0</x:v>
      </x:c>
      <x:c r="M99" s="90">
        <x:v>0</x:v>
      </x:c>
      <x:c r="N99" s="90">
        <x:v>0</x:v>
      </x:c>
      <x:c r="O99" s="90">
        <x:v>0</x:v>
      </x:c>
      <x:c r="P99" s="90">
        <x:v>0</x:v>
      </x:c>
      <x:c r="Q99" s="90">
        <x:v>0</x:v>
      </x:c>
      <x:c r="R99">
        <x:v>0</x:v>
      </x:c>
    </x:row>
    <x:row r="100" spans="1:18" s="94" customFormat="1" ht="12.75" customHeight="1" x14ac:dyDescent="0.3">
      <x:c r="B100" s="94" t="s">
        <x:v>119</x:v>
      </x:c>
      <x:c r="C100" s="101" t="s">
        <x:v>70</x:v>
      </x:c>
      <x:c r="D100" s="101"/>
      <x:c r="E100" s="93" t="n">
        <x:v>41702163.54</x:v>
      </x:c>
      <x:c r="F100" s="93">
        <x:v>0</x:v>
      </x:c>
      <x:c r="G100" s="93">
        <x:v>0</x:v>
      </x:c>
      <x:c r="H100" s="93">
        <x:v>0</x:v>
      </x:c>
      <x:c r="I100" s="93">
        <x:v>0</x:v>
      </x:c>
      <x:c r="J100" s="93">
        <x:v>0</x:v>
      </x:c>
      <x:c r="K100" s="93" t="n">
        <x:v>0</x:v>
      </x:c>
      <x:c r="L100" s="93">
        <x:v>0</x:v>
      </x:c>
      <x:c r="M100" s="93">
        <x:v>0</x:v>
      </x:c>
      <x:c r="N100" s="93">
        <x:v>0</x:v>
      </x:c>
      <x:c r="O100" s="93">
        <x:v>0</x:v>
      </x:c>
      <x:c r="P100" s="93">
        <x:v>0</x:v>
      </x:c>
      <x:c r="Q100" s="93">
        <x:v>0</x:v>
      </x:c>
      <x:c r="R100" s="94">
        <x:v>0</x:v>
      </x:c>
    </x:row>
    <x:row r="101" spans="1:18" s="226" customFormat="1" ht="12.75" customHeight="1" x14ac:dyDescent="0.3">
      <x:c r="A101" s="98" t="s">
        <x:v>78</x:v>
      </x:c>
      <x:c r="B101" s="98" t="s">
        <x:v>70</x:v>
      </x:c>
      <x:c r="E101" s="100" t="n">
        <x:v>116410420.67</x:v>
      </x:c>
      <x:c r="F101" s="100">
        <x:v>0</x:v>
      </x:c>
      <x:c r="G101" s="100">
        <x:v>0</x:v>
      </x:c>
      <x:c r="H101" s="100">
        <x:v>0</x:v>
      </x:c>
      <x:c r="I101" s="100">
        <x:v>0</x:v>
      </x:c>
      <x:c r="J101" s="100">
        <x:v>0</x:v>
      </x:c>
      <x:c r="K101" s="100" t="n">
        <x:v>70736.95</x:v>
      </x:c>
      <x:c r="L101" s="100">
        <x:v>0</x:v>
      </x:c>
      <x:c r="M101" s="100">
        <x:v>0</x:v>
      </x:c>
      <x:c r="N101" s="100">
        <x:v>0</x:v>
      </x:c>
      <x:c r="O101" s="100">
        <x:v>0</x:v>
      </x:c>
      <x:c r="P101" s="100">
        <x:v>0</x:v>
      </x:c>
      <x:c r="Q101" s="100">
        <x:v>0</x:v>
      </x:c>
      <x:c r="R101" s="226">
        <x:v>0</x:v>
      </x:c>
    </x:row>
    <x:row r="102" spans="1:18" ht="12.75" customHeight="1" x14ac:dyDescent="0.3">
      <x:c r="C102" s="89"/>
      <x:c r="D102" s="89" t="s">
        <x:v>73</x:v>
      </x:c>
      <x:c r="E102" s="90">
        <x:v>0</x:v>
      </x:c>
      <x:c r="F102" s="90">
        <x:v>0</x:v>
      </x:c>
      <x:c r="G102" s="90">
        <x:v>0</x:v>
      </x:c>
      <x:c r="H102" s="90">
        <x:v>0</x:v>
      </x:c>
      <x:c r="I102" s="90">
        <x:v>0</x:v>
      </x:c>
      <x:c r="J102" s="90">
        <x:v>0</x:v>
      </x:c>
      <x:c r="K102" s="90">
        <x:v>0</x:v>
      </x:c>
      <x:c r="L102" s="90">
        <x:v>0</x:v>
      </x:c>
      <x:c r="M102" s="90">
        <x:v>0</x:v>
      </x:c>
      <x:c r="N102" s="90">
        <x:v>0</x:v>
      </x:c>
      <x:c r="O102" s="90">
        <x:v>0</x:v>
      </x:c>
      <x:c r="P102" s="90">
        <x:v>0</x:v>
      </x:c>
      <x:c r="Q102" s="90">
        <x:v>0</x:v>
      </x:c>
      <x:c r="R102">
        <x:v>0</x:v>
      </x:c>
    </x:row>
    <x:row r="103" spans="1:18" ht="12.75" customHeight="1" x14ac:dyDescent="0.3">
      <x:c r="C103" s="89" t="s">
        <x:v>156</x:v>
      </x:c>
      <x:c r="D103" s="89" t="s">
        <x:v>70</x:v>
      </x:c>
      <x:c r="E103" s="371">
        <x:v>0</x:v>
      </x:c>
      <x:c r="F103" s="90">
        <x:v>0</x:v>
      </x:c>
      <x:c r="G103" s="90">
        <x:v>0</x:v>
      </x:c>
      <x:c r="H103" s="90">
        <x:v>0</x:v>
      </x:c>
      <x:c r="I103" s="90">
        <x:v>0</x:v>
      </x:c>
      <x:c r="J103" s="90">
        <x:v>0</x:v>
      </x:c>
      <x:c r="K103" s="90">
        <x:v>0</x:v>
      </x:c>
      <x:c r="L103" s="90">
        <x:v>0</x:v>
      </x:c>
      <x:c r="M103" s="90">
        <x:v>0</x:v>
      </x:c>
      <x:c r="N103" s="90">
        <x:v>0</x:v>
      </x:c>
      <x:c r="O103" s="90">
        <x:v>0</x:v>
      </x:c>
      <x:c r="P103" s="90">
        <x:v>0</x:v>
      </x:c>
      <x:c r="Q103" s="90">
        <x:v>0</x:v>
      </x:c>
      <x:c r="R103">
        <x:v>0</x:v>
      </x:c>
    </x:row>
    <x:row r="104" spans="1:18" s="286" customFormat="1" ht="12.75" customHeight="1" x14ac:dyDescent="0.3">
      <x:c r="B104" s="286" t="s">
        <x:v>155</x:v>
      </x:c>
      <x:c r="C104" s="229" t="s">
        <x:v>70</x:v>
      </x:c>
      <x:c r="D104" s="229"/>
      <x:c r="E104" s="752" t="n">
        <x:v>-19130403.64</x:v>
      </x:c>
      <x:c r="F104" s="230">
        <x:v>0</x:v>
      </x:c>
      <x:c r="G104" s="230">
        <x:v>0</x:v>
      </x:c>
      <x:c r="H104" s="230">
        <x:v>0</x:v>
      </x:c>
      <x:c r="I104" s="230">
        <x:v>0</x:v>
      </x:c>
      <x:c r="J104" s="230">
        <x:v>0</x:v>
      </x:c>
      <x:c r="K104" s="230">
        <x:v>0</x:v>
      </x:c>
      <x:c r="L104" s="230">
        <x:v>0</x:v>
      </x:c>
      <x:c r="M104" s="230">
        <x:v>0</x:v>
      </x:c>
      <x:c r="N104" s="230">
        <x:v>0</x:v>
      </x:c>
      <x:c r="O104" s="230">
        <x:v>0</x:v>
      </x:c>
      <x:c r="P104" s="230">
        <x:v>0</x:v>
      </x:c>
      <x:c r="Q104" s="230">
        <x:v>0</x:v>
      </x:c>
      <x:c r="R104" s="286">
        <x:v>0</x:v>
      </x:c>
    </x:row>
    <x:row r="105" spans="1:18" ht="12.75" customHeight="1" x14ac:dyDescent="0.3">
      <x:c r="C105" s="89"/>
      <x:c r="D105" s="89" t="s">
        <x:v>73</x:v>
      </x:c>
      <x:c r="E105" s="371">
        <x:v>0</x:v>
      </x:c>
      <x:c r="F105" s="90">
        <x:v>0</x:v>
      </x:c>
      <x:c r="G105" s="90">
        <x:v>0</x:v>
      </x:c>
      <x:c r="H105" s="90">
        <x:v>0</x:v>
      </x:c>
      <x:c r="I105" s="90">
        <x:v>0</x:v>
      </x:c>
      <x:c r="J105" s="90">
        <x:v>0</x:v>
      </x:c>
      <x:c r="K105" s="90">
        <x:v>0</x:v>
      </x:c>
      <x:c r="L105" s="90">
        <x:v>0</x:v>
      </x:c>
      <x:c r="M105" s="90">
        <x:v>0</x:v>
      </x:c>
      <x:c r="N105" s="90">
        <x:v>0</x:v>
      </x:c>
      <x:c r="O105" s="90">
        <x:v>0</x:v>
      </x:c>
      <x:c r="P105" s="90">
        <x:v>0</x:v>
      </x:c>
      <x:c r="Q105" s="90">
        <x:v>0</x:v>
      </x:c>
      <x:c r="R105">
        <x:v>0</x:v>
      </x:c>
    </x:row>
    <x:row r="106" spans="1:18" ht="12.75" customHeight="1" x14ac:dyDescent="0.3">
      <x:c r="C106" s="89" t="s">
        <x:v>115</x:v>
      </x:c>
      <x:c r="D106" s="89" t="s">
        <x:v>70</x:v>
      </x:c>
      <x:c r="E106" s="90">
        <x:v>0</x:v>
      </x:c>
      <x:c r="F106" s="90">
        <x:v>0</x:v>
      </x:c>
      <x:c r="G106" s="90">
        <x:v>0</x:v>
      </x:c>
      <x:c r="H106" s="90">
        <x:v>0</x:v>
      </x:c>
      <x:c r="I106" s="90">
        <x:v>0</x:v>
      </x:c>
      <x:c r="J106" s="90">
        <x:v>0</x:v>
      </x:c>
      <x:c r="K106" s="90">
        <x:v>0</x:v>
      </x:c>
      <x:c r="L106" s="90">
        <x:v>0</x:v>
      </x:c>
      <x:c r="M106" s="90">
        <x:v>0</x:v>
      </x:c>
      <x:c r="N106" s="90">
        <x:v>0</x:v>
      </x:c>
      <x:c r="O106" s="90">
        <x:v>0</x:v>
      </x:c>
      <x:c r="P106" s="90">
        <x:v>0</x:v>
      </x:c>
      <x:c r="Q106" s="90">
        <x:v>0</x:v>
      </x:c>
      <x:c r="R106">
        <x:v>0</x:v>
      </x:c>
    </x:row>
    <x:row r="107" spans="1:18" ht="12.75" customHeight="1" x14ac:dyDescent="0.3">
      <x:c r="C107" s="89"/>
      <x:c r="D107" s="89" t="s">
        <x:v>73</x:v>
      </x:c>
      <x:c r="E107" s="371">
        <x:v>0</x:v>
      </x:c>
      <x:c r="F107" s="90">
        <x:v>0</x:v>
      </x:c>
      <x:c r="G107" s="90">
        <x:v>0</x:v>
      </x:c>
      <x:c r="H107" s="90">
        <x:v>0</x:v>
      </x:c>
      <x:c r="I107" s="90">
        <x:v>0</x:v>
      </x:c>
      <x:c r="J107" s="90">
        <x:v>0</x:v>
      </x:c>
      <x:c r="K107" s="90">
        <x:v>0</x:v>
      </x:c>
      <x:c r="L107" s="90">
        <x:v>0</x:v>
      </x:c>
      <x:c r="M107" s="90">
        <x:v>0</x:v>
      </x:c>
      <x:c r="N107" s="90">
        <x:v>0</x:v>
      </x:c>
      <x:c r="O107" s="90">
        <x:v>0</x:v>
      </x:c>
      <x:c r="P107" s="90">
        <x:v>0</x:v>
      </x:c>
      <x:c r="Q107" s="90">
        <x:v>0</x:v>
      </x:c>
      <x:c r="R107">
        <x:v>0</x:v>
      </x:c>
    </x:row>
    <x:row r="108" spans="1:18" ht="12.75" customHeight="1" x14ac:dyDescent="0.3">
      <x:c r="C108" s="89" t="s">
        <x:v>116</x:v>
      </x:c>
      <x:c r="D108" s="89" t="s">
        <x:v>70</x:v>
      </x:c>
      <x:c r="E108" s="90">
        <x:v>0</x:v>
      </x:c>
      <x:c r="F108" s="90">
        <x:v>0</x:v>
      </x:c>
      <x:c r="G108" s="90">
        <x:v>0</x:v>
      </x:c>
      <x:c r="H108" s="90">
        <x:v>0</x:v>
      </x:c>
      <x:c r="I108" s="90">
        <x:v>0</x:v>
      </x:c>
      <x:c r="J108" s="90">
        <x:v>0</x:v>
      </x:c>
      <x:c r="K108" s="90">
        <x:v>0</x:v>
      </x:c>
      <x:c r="L108" s="90">
        <x:v>0</x:v>
      </x:c>
      <x:c r="M108" s="90">
        <x:v>0</x:v>
      </x:c>
      <x:c r="N108" s="90">
        <x:v>0</x:v>
      </x:c>
      <x:c r="O108" s="90">
        <x:v>0</x:v>
      </x:c>
      <x:c r="P108" s="90">
        <x:v>0</x:v>
      </x:c>
      <x:c r="Q108" s="90">
        <x:v>0</x:v>
      </x:c>
      <x:c r="R108">
        <x:v>0</x:v>
      </x:c>
    </x:row>
    <x:row r="109" spans="1:18" ht="12.75" customHeight="1" x14ac:dyDescent="0.3">
      <x:c r="C109" s="89"/>
      <x:c r="D109" s="89" t="s">
        <x:v>73</x:v>
      </x:c>
      <x:c r="E109" s="371">
        <x:v>0</x:v>
      </x:c>
      <x:c r="F109" s="90">
        <x:v>0</x:v>
      </x:c>
      <x:c r="G109" s="90">
        <x:v>0</x:v>
      </x:c>
      <x:c r="H109" s="90">
        <x:v>0</x:v>
      </x:c>
      <x:c r="I109" s="90">
        <x:v>0</x:v>
      </x:c>
      <x:c r="J109" s="90">
        <x:v>0</x:v>
      </x:c>
      <x:c r="K109" s="90">
        <x:v>0</x:v>
      </x:c>
      <x:c r="L109" s="90">
        <x:v>0</x:v>
      </x:c>
      <x:c r="M109" s="90">
        <x:v>0</x:v>
      </x:c>
      <x:c r="N109" s="90">
        <x:v>0</x:v>
      </x:c>
      <x:c r="O109" s="90">
        <x:v>0</x:v>
      </x:c>
      <x:c r="P109" s="90">
        <x:v>0</x:v>
      </x:c>
      <x:c r="Q109" s="90">
        <x:v>0</x:v>
      </x:c>
      <x:c r="R109">
        <x:v>0</x:v>
      </x:c>
    </x:row>
    <x:row r="110" spans="1:18" ht="12.75" customHeight="1" x14ac:dyDescent="0.3">
      <x:c r="C110" s="773">
        <x:v>3</x:v>
      </x:c>
      <x:c r="D110" s="89" t="s">
        <x:v>70</x:v>
      </x:c>
      <x:c r="E110" s="90">
        <x:v>0</x:v>
      </x:c>
      <x:c r="F110" s="90">
        <x:v>0</x:v>
      </x:c>
      <x:c r="G110" s="90">
        <x:v>0</x:v>
      </x:c>
      <x:c r="H110" s="90">
        <x:v>0</x:v>
      </x:c>
      <x:c r="I110" s="90">
        <x:v>0</x:v>
      </x:c>
      <x:c r="J110" s="90">
        <x:v>0</x:v>
      </x:c>
      <x:c r="K110" s="90">
        <x:v>0</x:v>
      </x:c>
      <x:c r="L110" s="90">
        <x:v>0</x:v>
      </x:c>
      <x:c r="M110" s="90">
        <x:v>0</x:v>
      </x:c>
      <x:c r="N110" s="90">
        <x:v>0</x:v>
      </x:c>
      <x:c r="O110" s="90">
        <x:v>0</x:v>
      </x:c>
      <x:c r="P110" s="90">
        <x:v>0</x:v>
      </x:c>
      <x:c r="Q110" s="90">
        <x:v>0</x:v>
      </x:c>
      <x:c r="R110">
        <x:v>0</x:v>
      </x:c>
    </x:row>
    <x:row r="111" spans="1:18" ht="12.75" customHeight="1" x14ac:dyDescent="0.3">
      <x:c r="C111" s="89"/>
      <x:c r="D111" s="89" t="s">
        <x:v>73</x:v>
      </x:c>
      <x:c r="E111" s="371">
        <x:v>0</x:v>
      </x:c>
      <x:c r="F111" s="90">
        <x:v>0</x:v>
      </x:c>
      <x:c r="G111" s="90">
        <x:v>0</x:v>
      </x:c>
      <x:c r="H111" s="90">
        <x:v>0</x:v>
      </x:c>
      <x:c r="I111" s="90">
        <x:v>0</x:v>
      </x:c>
      <x:c r="J111" s="90">
        <x:v>0</x:v>
      </x:c>
      <x:c r="K111" s="90">
        <x:v>0</x:v>
      </x:c>
      <x:c r="L111" s="90">
        <x:v>0</x:v>
      </x:c>
      <x:c r="M111" s="90">
        <x:v>0</x:v>
      </x:c>
      <x:c r="N111" s="90">
        <x:v>0</x:v>
      </x:c>
      <x:c r="O111" s="90">
        <x:v>0</x:v>
      </x:c>
      <x:c r="P111" s="90">
        <x:v>0</x:v>
      </x:c>
      <x:c r="Q111" s="90">
        <x:v>0</x:v>
      </x:c>
      <x:c r="R111">
        <x:v>0</x:v>
      </x:c>
    </x:row>
    <x:row r="112" spans="1:18" ht="12.75" customHeight="1" x14ac:dyDescent="0.3">
      <x:c r="C112" s="89" t="s">
        <x:v>118</x:v>
      </x:c>
      <x:c r="D112" s="89" t="s">
        <x:v>70</x:v>
      </x:c>
      <x:c r="E112" s="371">
        <x:v>0</x:v>
      </x:c>
      <x:c r="F112" s="90">
        <x:v>0</x:v>
      </x:c>
      <x:c r="G112" s="90">
        <x:v>0</x:v>
      </x:c>
      <x:c r="H112" s="90">
        <x:v>0</x:v>
      </x:c>
      <x:c r="I112" s="90">
        <x:v>0</x:v>
      </x:c>
      <x:c r="J112" s="90">
        <x:v>0</x:v>
      </x:c>
      <x:c r="K112" s="90">
        <x:v>0</x:v>
      </x:c>
      <x:c r="L112" s="90">
        <x:v>0</x:v>
      </x:c>
      <x:c r="M112" s="90">
        <x:v>0</x:v>
      </x:c>
      <x:c r="N112" s="90">
        <x:v>0</x:v>
      </x:c>
      <x:c r="O112" s="90">
        <x:v>0</x:v>
      </x:c>
      <x:c r="P112" s="90">
        <x:v>0</x:v>
      </x:c>
      <x:c r="Q112" s="90">
        <x:v>0</x:v>
      </x:c>
      <x:c r="R112">
        <x:v>0</x:v>
      </x:c>
    </x:row>
    <x:row r="113" spans="1:19" ht="12.75" customHeight="1" x14ac:dyDescent="0.3">
      <x:c r="C113" s="89"/>
      <x:c r="D113" s="89" t="s">
        <x:v>73</x:v>
      </x:c>
      <x:c r="E113" s="371">
        <x:v>0</x:v>
      </x:c>
      <x:c r="F113" s="90">
        <x:v>0</x:v>
      </x:c>
      <x:c r="G113" s="90">
        <x:v>0</x:v>
      </x:c>
      <x:c r="H113" s="90">
        <x:v>0</x:v>
      </x:c>
      <x:c r="I113" s="90">
        <x:v>0</x:v>
      </x:c>
      <x:c r="J113" s="90">
        <x:v>0</x:v>
      </x:c>
      <x:c r="K113" s="90">
        <x:v>0</x:v>
      </x:c>
      <x:c r="L113" s="90">
        <x:v>0</x:v>
      </x:c>
      <x:c r="M113" s="90">
        <x:v>0</x:v>
      </x:c>
      <x:c r="N113" s="90">
        <x:v>0</x:v>
      </x:c>
      <x:c r="O113" s="90">
        <x:v>0</x:v>
      </x:c>
      <x:c r="P113" s="90">
        <x:v>0</x:v>
      </x:c>
      <x:c r="Q113" s="90">
        <x:v>0</x:v>
      </x:c>
      <x:c r="R113">
        <x:v>0</x:v>
      </x:c>
    </x:row>
    <x:row r="114" spans="1:19" ht="12.75" customHeight="1" x14ac:dyDescent="0.3">
      <x:c r="C114" s="773">
        <x:v>9</x:v>
      </x:c>
      <x:c r="D114" s="89" t="s">
        <x:v>70</x:v>
      </x:c>
      <x:c r="E114" s="371">
        <x:v>0</x:v>
      </x:c>
      <x:c r="F114" s="90">
        <x:v>0</x:v>
      </x:c>
      <x:c r="G114" s="90">
        <x:v>0</x:v>
      </x:c>
      <x:c r="H114" s="90">
        <x:v>0</x:v>
      </x:c>
      <x:c r="I114" s="90">
        <x:v>0</x:v>
      </x:c>
      <x:c r="J114" s="90">
        <x:v>0</x:v>
      </x:c>
      <x:c r="K114" s="90">
        <x:v>0</x:v>
      </x:c>
      <x:c r="L114" s="90">
        <x:v>0</x:v>
      </x:c>
      <x:c r="M114" s="90">
        <x:v>0</x:v>
      </x:c>
      <x:c r="N114" s="90">
        <x:v>0</x:v>
      </x:c>
      <x:c r="O114" s="90">
        <x:v>0</x:v>
      </x:c>
      <x:c r="P114" s="90">
        <x:v>0</x:v>
      </x:c>
      <x:c r="Q114" s="90">
        <x:v>0</x:v>
      </x:c>
      <x:c r="R114">
        <x:v>0</x:v>
      </x:c>
    </x:row>
    <x:row r="115" spans="1:19" s="224" customFormat="1" ht="12.75" customHeight="1" x14ac:dyDescent="0.3">
      <x:c r="B115" s="223" t="s">
        <x:v>120</x:v>
      </x:c>
      <x:c r="C115" s="223" t="s">
        <x:v>70</x:v>
      </x:c>
      <x:c r="E115" s="225" t="n">
        <x:v>-4383219.66</x:v>
      </x:c>
      <x:c r="F115" s="225">
        <x:v>0</x:v>
      </x:c>
      <x:c r="G115" s="225">
        <x:v>0</x:v>
      </x:c>
      <x:c r="H115" s="225">
        <x:v>0</x:v>
      </x:c>
      <x:c r="I115" s="225">
        <x:v>0</x:v>
      </x:c>
      <x:c r="J115" s="225">
        <x:v>0</x:v>
      </x:c>
      <x:c r="K115" s="225">
        <x:v>0</x:v>
      </x:c>
      <x:c r="L115" s="225">
        <x:v>0</x:v>
      </x:c>
      <x:c r="M115" s="225">
        <x:v>0</x:v>
      </x:c>
      <x:c r="N115" s="225">
        <x:v>0</x:v>
      </x:c>
      <x:c r="O115" s="225">
        <x:v>0</x:v>
      </x:c>
      <x:c r="P115" s="225">
        <x:v>0</x:v>
      </x:c>
      <x:c r="Q115" s="225">
        <x:v>0</x:v>
      </x:c>
      <x:c r="R115" s="224">
        <x:v>0</x:v>
      </x:c>
    </x:row>
    <x:row r="116" spans="1:19" ht="12.75" customHeight="1" x14ac:dyDescent="0.3">
      <x:c r="D116" s="89" t="s">
        <x:v>73</x:v>
      </x:c>
      <x:c r="E116" s="371">
        <x:v>0</x:v>
      </x:c>
      <x:c r="F116" s="90">
        <x:v>0</x:v>
      </x:c>
      <x:c r="G116" s="90">
        <x:v>0</x:v>
      </x:c>
      <x:c r="H116" s="90">
        <x:v>0</x:v>
      </x:c>
      <x:c r="I116" s="90">
        <x:v>0</x:v>
      </x:c>
      <x:c r="J116" s="90">
        <x:v>0</x:v>
      </x:c>
      <x:c r="K116" s="90">
        <x:v>0</x:v>
      </x:c>
      <x:c r="L116" s="90">
        <x:v>0</x:v>
      </x:c>
      <x:c r="M116" s="90">
        <x:v>0</x:v>
      </x:c>
      <x:c r="N116" s="90">
        <x:v>0</x:v>
      </x:c>
      <x:c r="O116" s="90">
        <x:v>0</x:v>
      </x:c>
      <x:c r="P116" s="90">
        <x:v>0</x:v>
      </x:c>
      <x:c r="Q116" s="90">
        <x:v>0</x:v>
      </x:c>
      <x:c r="R116">
        <x:v>0</x:v>
      </x:c>
    </x:row>
    <x:row r="117" spans="1:19" ht="12.75" customHeight="1" x14ac:dyDescent="0.3">
      <x:c r="C117" t="s">
        <x:v>82</x:v>
      </x:c>
      <x:c r="D117" s="89" t="s">
        <x:v>70</x:v>
      </x:c>
      <x:c r="E117" s="371">
        <x:v>0</x:v>
      </x:c>
      <x:c r="F117" s="90">
        <x:v>0</x:v>
      </x:c>
      <x:c r="G117" s="90">
        <x:v>0</x:v>
      </x:c>
      <x:c r="H117" s="90">
        <x:v>0</x:v>
      </x:c>
      <x:c r="I117" s="90">
        <x:v>0</x:v>
      </x:c>
      <x:c r="J117" s="90">
        <x:v>0</x:v>
      </x:c>
      <x:c r="K117" s="90">
        <x:v>0</x:v>
      </x:c>
      <x:c r="L117" s="90">
        <x:v>0</x:v>
      </x:c>
      <x:c r="M117" s="90">
        <x:v>0</x:v>
      </x:c>
      <x:c r="N117" s="90">
        <x:v>0</x:v>
      </x:c>
      <x:c r="O117" s="90">
        <x:v>0</x:v>
      </x:c>
      <x:c r="P117" s="90">
        <x:v>0</x:v>
      </x:c>
      <x:c r="Q117" s="90">
        <x:v>0</x:v>
      </x:c>
      <x:c r="R117">
        <x:v>0</x:v>
      </x:c>
    </x:row>
    <x:row r="118" spans="1:19" ht="12.75" customHeight="1" x14ac:dyDescent="0.3">
      <x:c r="D118" s="89" t="s">
        <x:v>73</x:v>
      </x:c>
      <x:c r="E118" s="371">
        <x:v>0</x:v>
      </x:c>
      <x:c r="F118" s="90">
        <x:v>0</x:v>
      </x:c>
      <x:c r="G118" s="90">
        <x:v>0</x:v>
      </x:c>
      <x:c r="H118" s="90">
        <x:v>0</x:v>
      </x:c>
      <x:c r="I118" s="90">
        <x:v>0</x:v>
      </x:c>
      <x:c r="J118" s="90">
        <x:v>0</x:v>
      </x:c>
      <x:c r="K118" s="90">
        <x:v>0</x:v>
      </x:c>
      <x:c r="L118" s="90">
        <x:v>0</x:v>
      </x:c>
      <x:c r="M118" s="90">
        <x:v>0</x:v>
      </x:c>
      <x:c r="N118" s="90">
        <x:v>0</x:v>
      </x:c>
      <x:c r="O118" s="90">
        <x:v>0</x:v>
      </x:c>
      <x:c r="P118" s="90">
        <x:v>0</x:v>
      </x:c>
      <x:c r="Q118" s="90">
        <x:v>0</x:v>
      </x:c>
      <x:c r="R118">
        <x:v>0</x:v>
      </x:c>
    </x:row>
    <x:row r="119" spans="1:19" ht="12.75" customHeight="1" x14ac:dyDescent="0.3">
      <x:c r="C119" t="s">
        <x:v>86</x:v>
      </x:c>
      <x:c r="D119" s="89" t="s">
        <x:v>70</x:v>
      </x:c>
      <x:c r="E119" s="371">
        <x:v>0</x:v>
      </x:c>
      <x:c r="F119" s="90">
        <x:v>0</x:v>
      </x:c>
      <x:c r="G119" s="90">
        <x:v>0</x:v>
      </x:c>
      <x:c r="H119" s="90">
        <x:v>0</x:v>
      </x:c>
      <x:c r="I119" s="90">
        <x:v>0</x:v>
      </x:c>
      <x:c r="J119" s="90">
        <x:v>0</x:v>
      </x:c>
      <x:c r="K119" s="90">
        <x:v>0</x:v>
      </x:c>
      <x:c r="L119" s="90">
        <x:v>0</x:v>
      </x:c>
      <x:c r="M119" s="90">
        <x:v>0</x:v>
      </x:c>
      <x:c r="N119" s="90">
        <x:v>0</x:v>
      </x:c>
      <x:c r="O119" s="90">
        <x:v>0</x:v>
      </x:c>
      <x:c r="P119" s="90">
        <x:v>0</x:v>
      </x:c>
      <x:c r="Q119" s="90">
        <x:v>0</x:v>
      </x:c>
      <x:c r="R119">
        <x:v>0</x:v>
      </x:c>
    </x:row>
    <x:row r="120" spans="1:19" ht="12.75" customHeight="1" x14ac:dyDescent="0.3">
      <x:c r="D120" s="89" t="s">
        <x:v>73</x:v>
      </x:c>
      <x:c r="E120" s="371">
        <x:v>0</x:v>
      </x:c>
      <x:c r="F120" s="90">
        <x:v>0</x:v>
      </x:c>
      <x:c r="G120" s="90">
        <x:v>0</x:v>
      </x:c>
      <x:c r="H120" s="90">
        <x:v>0</x:v>
      </x:c>
      <x:c r="I120" s="90">
        <x:v>0</x:v>
      </x:c>
      <x:c r="J120" s="90">
        <x:v>0</x:v>
      </x:c>
      <x:c r="K120" s="90">
        <x:v>0</x:v>
      </x:c>
      <x:c r="L120" s="90">
        <x:v>0</x:v>
      </x:c>
      <x:c r="M120" s="90">
        <x:v>0</x:v>
      </x:c>
      <x:c r="N120" s="90">
        <x:v>0</x:v>
      </x:c>
      <x:c r="O120" s="90">
        <x:v>0</x:v>
      </x:c>
      <x:c r="P120" s="90">
        <x:v>0</x:v>
      </x:c>
      <x:c r="Q120" s="90">
        <x:v>0</x:v>
      </x:c>
      <x:c r="R120">
        <x:v>0</x:v>
      </x:c>
    </x:row>
    <x:row r="121" spans="1:19" ht="12.75" customHeight="1" x14ac:dyDescent="0.3">
      <x:c r="C121" t="s">
        <x:v>87</x:v>
      </x:c>
      <x:c r="D121" s="89" t="s">
        <x:v>70</x:v>
      </x:c>
      <x:c r="E121" s="90">
        <x:v>0</x:v>
      </x:c>
      <x:c r="F121" s="90">
        <x:v>0</x:v>
      </x:c>
      <x:c r="G121" s="90">
        <x:v>0</x:v>
      </x:c>
      <x:c r="H121" s="90">
        <x:v>0</x:v>
      </x:c>
      <x:c r="I121" s="90">
        <x:v>0</x:v>
      </x:c>
      <x:c r="J121" s="90">
        <x:v>0</x:v>
      </x:c>
      <x:c r="K121" s="90">
        <x:v>0</x:v>
      </x:c>
      <x:c r="L121" s="90">
        <x:v>0</x:v>
      </x:c>
      <x:c r="M121" s="90">
        <x:v>0</x:v>
      </x:c>
      <x:c r="N121" s="90">
        <x:v>0</x:v>
      </x:c>
      <x:c r="O121" s="90">
        <x:v>0</x:v>
      </x:c>
      <x:c r="P121" s="90">
        <x:v>0</x:v>
      </x:c>
      <x:c r="Q121" s="90">
        <x:v>0</x:v>
      </x:c>
      <x:c r="R121">
        <x:v>0</x:v>
      </x:c>
    </x:row>
    <x:row r="122" spans="1:19" s="94" customFormat="1" ht="12.75" customHeight="1" x14ac:dyDescent="0.3">
      <x:c r="B122" s="101" t="s">
        <x:v>119</x:v>
      </x:c>
      <x:c r="C122" s="101" t="s">
        <x:v>70</x:v>
      </x:c>
      <x:c r="E122" s="93" t="n">
        <x:v>2827527.77</x:v>
      </x:c>
      <x:c r="F122" s="93">
        <x:v>0</x:v>
      </x:c>
      <x:c r="G122" s="93">
        <x:v>0</x:v>
      </x:c>
      <x:c r="H122" s="93">
        <x:v>0</x:v>
      </x:c>
      <x:c r="I122" s="93">
        <x:v>0</x:v>
      </x:c>
      <x:c r="J122" s="93">
        <x:v>0</x:v>
      </x:c>
      <x:c r="K122" s="93">
        <x:v>0</x:v>
      </x:c>
      <x:c r="L122" s="93">
        <x:v>0</x:v>
      </x:c>
      <x:c r="M122" s="93">
        <x:v>0</x:v>
      </x:c>
      <x:c r="N122" s="93">
        <x:v>0</x:v>
      </x:c>
      <x:c r="O122" s="93">
        <x:v>0</x:v>
      </x:c>
      <x:c r="P122" s="93">
        <x:v>0</x:v>
      </x:c>
      <x:c r="Q122" s="93">
        <x:v>0</x:v>
      </x:c>
      <x:c r="R122" s="94">
        <x:v>0</x:v>
      </x:c>
    </x:row>
    <x:row r="123" spans="1:19" s="226" customFormat="1" ht="12.75" customHeight="1" x14ac:dyDescent="0.3">
      <x:c r="A123" s="98" t="s">
        <x:v>79</x:v>
      </x:c>
      <x:c r="B123" s="98" t="s">
        <x:v>70</x:v>
      </x:c>
      <x:c r="E123" s="100" t="n">
        <x:v>-20704709.4</x:v>
      </x:c>
      <x:c r="F123" s="100">
        <x:v>0</x:v>
      </x:c>
      <x:c r="G123" s="100">
        <x:v>0</x:v>
      </x:c>
      <x:c r="H123" s="100">
        <x:v>0</x:v>
      </x:c>
      <x:c r="I123" s="100">
        <x:v>0</x:v>
      </x:c>
      <x:c r="J123" s="100">
        <x:v>0</x:v>
      </x:c>
      <x:c r="K123" s="100">
        <x:v>0</x:v>
      </x:c>
      <x:c r="L123" s="100">
        <x:v>0</x:v>
      </x:c>
      <x:c r="M123" s="100">
        <x:v>0</x:v>
      </x:c>
      <x:c r="N123" s="100">
        <x:v>0</x:v>
      </x:c>
      <x:c r="O123" s="100">
        <x:v>0</x:v>
      </x:c>
      <x:c r="P123" s="100">
        <x:v>0</x:v>
      </x:c>
      <x:c r="Q123" s="100">
        <x:v>0</x:v>
      </x:c>
      <x:c r="R123" s="226">
        <x:v>0</x:v>
      </x:c>
    </x:row>
    <x:row r="124" spans="1:19" ht="12.75" customHeight="1" x14ac:dyDescent="0.3">
      <x:c r="A124" s="89" t="s">
        <x:v>70</x:v>
      </x:c>
      <x:c r="E124" s="90">
        <x:v>0</x:v>
      </x:c>
      <x:c r="F124" s="90">
        <x:v>0</x:v>
      </x:c>
      <x:c r="G124" s="90">
        <x:v>0</x:v>
      </x:c>
      <x:c r="H124" s="90">
        <x:v>0</x:v>
      </x:c>
      <x:c r="I124" s="90">
        <x:v>0</x:v>
      </x:c>
      <x:c r="J124" s="90">
        <x:v>0</x:v>
      </x:c>
      <x:c r="K124" s="90">
        <x:v>0</x:v>
      </x:c>
      <x:c r="L124" s="90">
        <x:v>0</x:v>
      </x:c>
      <x:c r="M124" s="90">
        <x:v>0</x:v>
      </x:c>
      <x:c r="N124" s="90">
        <x:v>0</x:v>
      </x:c>
      <x:c r="O124" s="90">
        <x:v>0</x:v>
      </x:c>
      <x:c r="P124" s="90">
        <x:v>0</x:v>
      </x:c>
      <x:c r="Q124" s="90">
        <x:v>0</x:v>
      </x:c>
      <x:c r="R124">
        <x:v>0</x:v>
      </x:c>
    </x:row>
    <x:row r="125" spans="1:19" ht="12.75" customHeight="1" x14ac:dyDescent="0.3">
      <x:c r="A125" s="89"/>
      <x:c r="E125" s="90"/>
      <x:c r="F125" s="90"/>
      <x:c r="G125" s="90"/>
      <x:c r="H125" s="90"/>
      <x:c r="I125" s="90"/>
      <x:c r="J125" s="90"/>
      <x:c r="K125" s="90"/>
      <x:c r="L125" s="90"/>
      <x:c r="M125" s="90"/>
      <x:c r="N125" s="90"/>
      <x:c r="O125" s="90"/>
      <x:c r="P125" s="90"/>
      <x:c r="Q125" s="90"/>
      <x:c r="R125" s="90"/>
      <x:c r="S125" s="90"/>
    </x:row>
    <x:row r="126" spans="1:19" ht="12.75" hidden="1" customHeight="1" x14ac:dyDescent="0.3">
      <x:c r="A126" s="89"/>
      <x:c r="E126" s="90"/>
      <x:c r="F126" s="90"/>
      <x:c r="G126" s="90"/>
      <x:c r="H126" s="90"/>
      <x:c r="I126" s="90"/>
      <x:c r="J126" s="90"/>
      <x:c r="K126" s="90"/>
      <x:c r="L126" s="90"/>
      <x:c r="M126" s="90"/>
      <x:c r="N126" s="90"/>
      <x:c r="O126" s="90"/>
      <x:c r="P126" s="90"/>
      <x:c r="Q126" s="90"/>
      <x:c r="R126" s="90"/>
      <x:c r="S126" s="90"/>
    </x:row>
    <x:row r="127" spans="1:19" ht="12.75" hidden="1" customHeight="1" x14ac:dyDescent="0.3">
      <x:c r="A127" s="89"/>
      <x:c r="E127" s="90"/>
      <x:c r="F127" s="90"/>
      <x:c r="G127" s="90"/>
      <x:c r="H127" s="90"/>
      <x:c r="I127" s="90"/>
      <x:c r="J127" s="90"/>
      <x:c r="K127" s="90"/>
      <x:c r="L127" s="90"/>
      <x:c r="M127" s="90"/>
      <x:c r="N127" s="90"/>
      <x:c r="O127" s="90"/>
      <x:c r="P127" s="90"/>
      <x:c r="Q127" s="90"/>
      <x:c r="R127" s="90"/>
      <x:c r="S127" s="90"/>
    </x:row>
    <x:row r="128" spans="1:19" ht="12.75" hidden="1" customHeight="1" x14ac:dyDescent="0.3">
      <x:c r="A128" s="89"/>
      <x:c r="E128" s="90"/>
      <x:c r="F128" s="90"/>
      <x:c r="G128" s="90"/>
      <x:c r="H128" s="90"/>
      <x:c r="I128" s="90"/>
      <x:c r="J128" s="90"/>
      <x:c r="K128" s="90"/>
      <x:c r="L128" s="90"/>
      <x:c r="M128" s="90"/>
      <x:c r="N128" s="90"/>
      <x:c r="O128" s="90"/>
      <x:c r="P128" s="90"/>
      <x:c r="Q128" s="90"/>
      <x:c r="R128" s="90"/>
      <x:c r="S128" s="90"/>
    </x:row>
    <x:row r="129" spans="1:19" ht="12.75" hidden="1" customHeight="1" x14ac:dyDescent="0.3">
      <x:c r="A129" s="89"/>
      <x:c r="E129" s="90"/>
      <x:c r="F129" s="90"/>
      <x:c r="G129" s="90"/>
      <x:c r="H129" s="90"/>
      <x:c r="I129" s="90"/>
      <x:c r="J129" s="90"/>
      <x:c r="K129" s="90"/>
      <x:c r="L129" s="90"/>
      <x:c r="M129" s="90"/>
      <x:c r="N129" s="90"/>
      <x:c r="O129" s="90"/>
      <x:c r="P129" s="90"/>
      <x:c r="Q129" s="90"/>
      <x:c r="R129" s="90"/>
      <x:c r="S129" s="90"/>
    </x:row>
    <x:row r="130" spans="1:19" ht="12.75" hidden="1" customHeight="1" x14ac:dyDescent="0.3">
      <x:c r="A130" s="89"/>
      <x:c r="E130" s="90"/>
      <x:c r="F130" s="90"/>
      <x:c r="G130" s="90"/>
      <x:c r="H130" s="90"/>
      <x:c r="I130" s="90"/>
      <x:c r="J130" s="90"/>
      <x:c r="K130" s="90"/>
      <x:c r="L130" s="90"/>
      <x:c r="M130" s="90"/>
      <x:c r="N130" s="90"/>
      <x:c r="O130" s="90"/>
      <x:c r="P130" s="90"/>
      <x:c r="Q130" s="90"/>
      <x:c r="R130" s="90"/>
      <x:c r="S130" s="90"/>
    </x:row>
    <x:row r="131" spans="1:19" ht="12.75" hidden="1" customHeight="1" x14ac:dyDescent="0.3">
      <x:c r="A131" s="89"/>
      <x:c r="E131" s="90"/>
      <x:c r="F131" s="90"/>
      <x:c r="G131" s="90"/>
      <x:c r="H131" s="90"/>
      <x:c r="I131" s="90"/>
      <x:c r="J131" s="90"/>
      <x:c r="K131" s="90"/>
      <x:c r="L131" s="90"/>
      <x:c r="M131" s="90"/>
      <x:c r="N131" s="90"/>
      <x:c r="O131" s="90"/>
      <x:c r="P131" s="90"/>
      <x:c r="Q131" s="90"/>
      <x:c r="R131" s="90"/>
      <x:c r="S131" s="90"/>
    </x:row>
    <x:row r="132" spans="1:19" ht="12.75" hidden="1" customHeight="1" x14ac:dyDescent="0.3">
      <x:c r="A132" s="89"/>
      <x:c r="E132" s="90"/>
      <x:c r="F132" s="90"/>
      <x:c r="G132" s="90"/>
      <x:c r="H132" s="90"/>
      <x:c r="I132" s="90"/>
      <x:c r="J132" s="90"/>
      <x:c r="K132" s="90"/>
      <x:c r="L132" s="90"/>
      <x:c r="M132" s="90"/>
      <x:c r="N132" s="90"/>
      <x:c r="O132" s="90"/>
      <x:c r="P132" s="90"/>
      <x:c r="Q132" s="90"/>
      <x:c r="R132" s="90"/>
      <x:c r="S132" s="90"/>
    </x:row>
    <x:row r="133" spans="1:19" ht="12.75" hidden="1" customHeight="1" x14ac:dyDescent="0.3">
      <x:c r="A133" s="89"/>
      <x:c r="E133" s="90"/>
      <x:c r="F133" s="90"/>
      <x:c r="G133" s="90"/>
      <x:c r="H133" s="90"/>
      <x:c r="I133" s="90"/>
      <x:c r="J133" s="90"/>
      <x:c r="K133" s="90"/>
      <x:c r="L133" s="90"/>
      <x:c r="M133" s="90"/>
      <x:c r="N133" s="90"/>
      <x:c r="O133" s="90"/>
      <x:c r="P133" s="90"/>
      <x:c r="Q133" s="90"/>
      <x:c r="R133" s="90"/>
      <x:c r="S133" s="90"/>
    </x:row>
    <x:row r="134" spans="1:19" ht="12.75" hidden="1" customHeight="1" x14ac:dyDescent="0.3">
      <x:c r="A134" s="89"/>
      <x:c r="E134" s="90"/>
      <x:c r="F134" s="90"/>
      <x:c r="G134" s="90"/>
      <x:c r="H134" s="90"/>
      <x:c r="I134" s="90"/>
      <x:c r="J134" s="90"/>
      <x:c r="K134" s="90"/>
      <x:c r="L134" s="90"/>
      <x:c r="M134" s="90"/>
      <x:c r="N134" s="90"/>
      <x:c r="O134" s="90"/>
      <x:c r="P134" s="90"/>
      <x:c r="Q134" s="90"/>
      <x:c r="R134" s="90"/>
      <x:c r="S134" s="90"/>
    </x:row>
    <x:row r="135" spans="1:19" ht="12.75" hidden="1" customHeight="1" x14ac:dyDescent="0.3">
      <x:c r="A135" s="89"/>
      <x:c r="E135" s="90"/>
      <x:c r="F135" s="90"/>
      <x:c r="G135" s="90"/>
      <x:c r="H135" s="90"/>
      <x:c r="I135" s="90"/>
      <x:c r="J135" s="90"/>
      <x:c r="K135" s="90"/>
      <x:c r="L135" s="90"/>
      <x:c r="M135" s="90"/>
      <x:c r="N135" s="90"/>
      <x:c r="O135" s="90"/>
      <x:c r="P135" s="90"/>
      <x:c r="Q135" s="90"/>
      <x:c r="R135" s="90"/>
      <x:c r="S135" s="90"/>
    </x:row>
    <x:row r="136" spans="1:19" ht="12.75" hidden="1" customHeight="1" x14ac:dyDescent="0.3">
      <x:c r="A136" s="89"/>
      <x:c r="E136" s="90"/>
      <x:c r="F136" s="90"/>
      <x:c r="G136" s="90"/>
      <x:c r="H136" s="90"/>
      <x:c r="I136" s="90"/>
      <x:c r="J136" s="90"/>
      <x:c r="K136" s="90"/>
      <x:c r="L136" s="90"/>
      <x:c r="M136" s="90"/>
      <x:c r="N136" s="90"/>
      <x:c r="O136" s="90"/>
      <x:c r="P136" s="90"/>
      <x:c r="Q136" s="90"/>
      <x:c r="R136" s="90"/>
      <x:c r="S136" s="90"/>
    </x:row>
    <x:row r="137" spans="1:19" ht="12.75" hidden="1" customHeight="1" x14ac:dyDescent="0.3">
      <x:c r="A137" s="89"/>
      <x:c r="E137" s="90"/>
      <x:c r="F137" s="90"/>
      <x:c r="G137" s="90"/>
      <x:c r="H137" s="90"/>
      <x:c r="I137" s="90"/>
      <x:c r="J137" s="90"/>
      <x:c r="K137" s="90"/>
      <x:c r="L137" s="90"/>
      <x:c r="M137" s="90"/>
      <x:c r="N137" s="90"/>
      <x:c r="O137" s="90"/>
      <x:c r="P137" s="90"/>
      <x:c r="Q137" s="90"/>
      <x:c r="R137" s="90"/>
      <x:c r="S137" s="90"/>
    </x:row>
    <x:row r="138" spans="1:19" ht="12.75" hidden="1" customHeight="1" x14ac:dyDescent="0.3">
      <x:c r="A138" s="89"/>
      <x:c r="E138" s="90"/>
      <x:c r="F138" s="90"/>
      <x:c r="G138" s="90"/>
      <x:c r="H138" s="90"/>
      <x:c r="I138" s="90"/>
      <x:c r="J138" s="90"/>
      <x:c r="K138" s="90"/>
      <x:c r="L138" s="90"/>
      <x:c r="M138" s="90"/>
      <x:c r="N138" s="90"/>
      <x:c r="O138" s="90"/>
      <x:c r="P138" s="90"/>
      <x:c r="Q138" s="90"/>
      <x:c r="R138" s="90"/>
      <x:c r="S138" s="90"/>
    </x:row>
    <x:row r="139" spans="1:19" ht="12.75" hidden="1" customHeight="1" x14ac:dyDescent="0.3">
      <x:c r="A139" s="89"/>
      <x:c r="E139" s="90"/>
      <x:c r="F139" s="90"/>
      <x:c r="G139" s="90"/>
      <x:c r="H139" s="90"/>
      <x:c r="I139" s="90"/>
      <x:c r="J139" s="90"/>
      <x:c r="K139" s="90"/>
      <x:c r="L139" s="90"/>
      <x:c r="M139" s="90"/>
      <x:c r="N139" s="90"/>
      <x:c r="O139" s="90"/>
      <x:c r="P139" s="90"/>
      <x:c r="Q139" s="90"/>
      <x:c r="R139" s="90"/>
      <x:c r="S139" s="90"/>
    </x:row>
    <x:row r="140" spans="1:19" ht="12.75" hidden="1" customHeight="1" x14ac:dyDescent="0.3">
      <x:c r="A140" s="89"/>
      <x:c r="E140" s="90"/>
      <x:c r="F140" s="90"/>
      <x:c r="G140" s="90"/>
      <x:c r="H140" s="90"/>
      <x:c r="I140" s="90"/>
      <x:c r="J140" s="90"/>
      <x:c r="K140" s="90"/>
      <x:c r="L140" s="90"/>
      <x:c r="M140" s="90"/>
      <x:c r="N140" s="90"/>
      <x:c r="O140" s="90"/>
      <x:c r="P140" s="90"/>
      <x:c r="Q140" s="90"/>
      <x:c r="R140" s="90"/>
      <x:c r="S140" s="90"/>
    </x:row>
    <x:row r="141" spans="1:19" ht="12.75" hidden="1" customHeight="1" x14ac:dyDescent="0.3">
      <x:c r="A141" s="89"/>
      <x:c r="E141" s="90"/>
      <x:c r="F141" s="90"/>
      <x:c r="G141" s="90"/>
      <x:c r="H141" s="90"/>
      <x:c r="I141" s="90"/>
      <x:c r="J141" s="90"/>
      <x:c r="K141" s="90"/>
      <x:c r="L141" s="90"/>
      <x:c r="M141" s="90"/>
      <x:c r="N141" s="90"/>
      <x:c r="O141" s="90"/>
      <x:c r="P141" s="90"/>
      <x:c r="Q141" s="90"/>
      <x:c r="R141" s="90"/>
      <x:c r="S141" s="90"/>
    </x:row>
    <x:row r="142" spans="1:19" ht="12.75" hidden="1" customHeight="1" x14ac:dyDescent="0.3">
      <x:c r="A142" s="89"/>
      <x:c r="E142" s="90"/>
      <x:c r="F142" s="90"/>
      <x:c r="G142" s="90"/>
      <x:c r="H142" s="90"/>
      <x:c r="I142" s="90"/>
      <x:c r="J142" s="90"/>
      <x:c r="K142" s="90"/>
      <x:c r="L142" s="90"/>
      <x:c r="M142" s="90"/>
      <x:c r="N142" s="90"/>
      <x:c r="O142" s="90"/>
      <x:c r="P142" s="90"/>
      <x:c r="Q142" s="90"/>
      <x:c r="R142" s="90"/>
      <x:c r="S142" s="90"/>
    </x:row>
    <x:row r="143" spans="1:19" ht="12.75" hidden="1" customHeight="1" x14ac:dyDescent="0.3">
      <x:c r="A143" s="89"/>
      <x:c r="E143" s="90"/>
      <x:c r="F143" s="90"/>
      <x:c r="G143" s="90"/>
      <x:c r="H143" s="90"/>
      <x:c r="I143" s="90"/>
      <x:c r="J143" s="90"/>
      <x:c r="K143" s="90"/>
      <x:c r="L143" s="90"/>
      <x:c r="M143" s="90"/>
      <x:c r="N143" s="90"/>
      <x:c r="O143" s="90"/>
      <x:c r="P143" s="90"/>
      <x:c r="Q143" s="90"/>
      <x:c r="R143" s="90"/>
      <x:c r="S143" s="90"/>
    </x:row>
    <x:row r="144" spans="1:19" ht="12.75" hidden="1" customHeight="1" x14ac:dyDescent="0.3">
      <x:c r="A144" s="89"/>
      <x:c r="E144" s="90"/>
      <x:c r="F144" s="90"/>
      <x:c r="G144" s="90"/>
      <x:c r="H144" s="90"/>
      <x:c r="I144" s="90"/>
      <x:c r="J144" s="90"/>
      <x:c r="K144" s="90"/>
      <x:c r="L144" s="90"/>
      <x:c r="M144" s="90"/>
      <x:c r="N144" s="90"/>
      <x:c r="O144" s="90"/>
      <x:c r="P144" s="90"/>
      <x:c r="Q144" s="90"/>
      <x:c r="R144" s="90"/>
      <x:c r="S144" s="90"/>
    </x:row>
    <x:row r="145" spans="1:19" ht="12.75" hidden="1" customHeight="1" x14ac:dyDescent="0.3">
      <x:c r="A145" s="89"/>
      <x:c r="E145" s="90"/>
      <x:c r="F145" s="90"/>
      <x:c r="G145" s="90"/>
      <x:c r="H145" s="90"/>
      <x:c r="I145" s="90"/>
      <x:c r="J145" s="90"/>
      <x:c r="K145" s="90"/>
      <x:c r="L145" s="90"/>
      <x:c r="M145" s="90"/>
      <x:c r="N145" s="90"/>
      <x:c r="O145" s="90"/>
      <x:c r="P145" s="90"/>
      <x:c r="Q145" s="90"/>
      <x:c r="R145" s="90"/>
      <x:c r="S145" s="90"/>
    </x:row>
    <x:row r="146" spans="1:19" ht="12.75" hidden="1" customHeight="1" x14ac:dyDescent="0.3">
      <x:c r="A146" s="89"/>
      <x:c r="E146" s="90"/>
      <x:c r="F146" s="90"/>
      <x:c r="G146" s="90"/>
      <x:c r="H146" s="90"/>
      <x:c r="I146" s="90"/>
      <x:c r="J146" s="90"/>
      <x:c r="K146" s="90"/>
      <x:c r="L146" s="90"/>
      <x:c r="M146" s="90"/>
      <x:c r="N146" s="90"/>
      <x:c r="O146" s="90"/>
      <x:c r="P146" s="90"/>
      <x:c r="Q146" s="90"/>
      <x:c r="R146" s="90"/>
      <x:c r="S146" s="90"/>
    </x:row>
    <x:row r="147" spans="1:19" ht="12.75" hidden="1" customHeight="1" x14ac:dyDescent="0.3">
      <x:c r="A147" s="89"/>
      <x:c r="E147" s="90"/>
      <x:c r="F147" s="90"/>
      <x:c r="G147" s="90"/>
      <x:c r="H147" s="90"/>
      <x:c r="I147" s="90"/>
      <x:c r="J147" s="90"/>
      <x:c r="K147" s="90"/>
      <x:c r="L147" s="90"/>
      <x:c r="M147" s="90"/>
      <x:c r="N147" s="90"/>
      <x:c r="O147" s="90"/>
      <x:c r="P147" s="90"/>
      <x:c r="Q147" s="90"/>
      <x:c r="R147" s="90"/>
      <x:c r="S147" s="90"/>
    </x:row>
    <x:row r="148" spans="1:19" ht="12.75" hidden="1" customHeight="1" x14ac:dyDescent="0.3">
      <x:c r="A148" s="89"/>
      <x:c r="E148" s="90"/>
      <x:c r="F148" s="90"/>
      <x:c r="G148" s="90"/>
      <x:c r="H148" s="90"/>
      <x:c r="I148" s="90"/>
      <x:c r="J148" s="90"/>
      <x:c r="K148" s="90"/>
      <x:c r="L148" s="90"/>
      <x:c r="M148" s="90"/>
      <x:c r="N148" s="90"/>
      <x:c r="O148" s="90"/>
      <x:c r="P148" s="90"/>
      <x:c r="Q148" s="90"/>
      <x:c r="R148" s="90"/>
      <x:c r="S148" s="90"/>
    </x:row>
    <x:row r="149" spans="1:19" ht="12.75" hidden="1" customHeight="1" x14ac:dyDescent="0.3">
      <x:c r="A149" s="89"/>
      <x:c r="E149" s="90"/>
      <x:c r="F149" s="90"/>
      <x:c r="G149" s="90"/>
      <x:c r="H149" s="90"/>
      <x:c r="I149" s="90"/>
      <x:c r="J149" s="90"/>
      <x:c r="K149" s="90"/>
      <x:c r="L149" s="90"/>
      <x:c r="M149" s="90"/>
      <x:c r="N149" s="90"/>
      <x:c r="O149" s="90"/>
      <x:c r="P149" s="90"/>
      <x:c r="Q149" s="90"/>
      <x:c r="R149" s="90"/>
      <x:c r="S149" s="90"/>
    </x:row>
    <x:row r="150" spans="1:19" ht="12.75" hidden="1" customHeight="1" x14ac:dyDescent="0.3">
      <x:c r="A150" s="89"/>
      <x:c r="E150" s="90"/>
      <x:c r="F150" s="90"/>
      <x:c r="G150" s="90"/>
      <x:c r="H150" s="90"/>
      <x:c r="I150" s="90"/>
      <x:c r="J150" s="90"/>
      <x:c r="K150" s="90"/>
      <x:c r="L150" s="90"/>
      <x:c r="M150" s="90"/>
      <x:c r="N150" s="90"/>
      <x:c r="O150" s="90"/>
      <x:c r="P150" s="90"/>
      <x:c r="Q150" s="90"/>
      <x:c r="R150" s="90"/>
      <x:c r="S150" s="90"/>
    </x:row>
    <x:row r="151" spans="1:19" ht="12.75" hidden="1" customHeight="1" x14ac:dyDescent="0.3">
      <x:c r="A151" s="89"/>
      <x:c r="E151" s="90"/>
      <x:c r="F151" s="90"/>
      <x:c r="G151" s="90"/>
      <x:c r="H151" s="90"/>
      <x:c r="I151" s="90"/>
      <x:c r="J151" s="90"/>
      <x:c r="K151" s="90"/>
      <x:c r="L151" s="90"/>
      <x:c r="M151" s="90"/>
      <x:c r="N151" s="90"/>
      <x:c r="O151" s="90"/>
      <x:c r="P151" s="90"/>
      <x:c r="Q151" s="90"/>
      <x:c r="R151" s="90"/>
      <x:c r="S151" s="90"/>
    </x:row>
    <x:row r="152" spans="1:19" ht="12.75" hidden="1" customHeight="1" x14ac:dyDescent="0.3">
      <x:c r="A152" s="89"/>
      <x:c r="E152" s="90"/>
      <x:c r="F152" s="90"/>
      <x:c r="G152" s="90"/>
      <x:c r="H152" s="90"/>
      <x:c r="I152" s="90"/>
      <x:c r="J152" s="90"/>
      <x:c r="K152" s="90"/>
      <x:c r="L152" s="90"/>
      <x:c r="M152" s="90"/>
      <x:c r="N152" s="90"/>
      <x:c r="O152" s="90"/>
      <x:c r="P152" s="90"/>
      <x:c r="Q152" s="90"/>
      <x:c r="R152" s="90"/>
      <x:c r="S152" s="90"/>
    </x:row>
    <x:row r="153" spans="1:19" ht="12.75" hidden="1" customHeight="1" x14ac:dyDescent="0.3">
      <x:c r="A153" s="89"/>
      <x:c r="E153" s="90"/>
      <x:c r="F153" s="90"/>
      <x:c r="G153" s="90"/>
      <x:c r="H153" s="90"/>
      <x:c r="I153" s="90"/>
      <x:c r="J153" s="90"/>
      <x:c r="K153" s="90"/>
      <x:c r="L153" s="90"/>
      <x:c r="M153" s="90"/>
      <x:c r="N153" s="90"/>
      <x:c r="O153" s="90"/>
      <x:c r="P153" s="90"/>
      <x:c r="Q153" s="90"/>
      <x:c r="R153" s="90"/>
      <x:c r="S153" s="90"/>
    </x:row>
    <x:row r="154" spans="1:19" ht="12.75" customHeight="1" x14ac:dyDescent="0.3">
      <x:c r="A154" s="89"/>
      <x:c r="E154" s="90"/>
      <x:c r="F154" s="90"/>
      <x:c r="G154" s="90"/>
      <x:c r="H154" s="90"/>
      <x:c r="I154" s="90"/>
      <x:c r="J154" s="90"/>
      <x:c r="K154" s="90"/>
      <x:c r="L154" s="90"/>
      <x:c r="M154" s="90"/>
      <x:c r="N154" s="90"/>
      <x:c r="O154" s="90"/>
      <x:c r="P154" s="90"/>
      <x:c r="Q154" s="90"/>
      <x:c r="R154" s="90"/>
      <x:c r="S154" s="90"/>
    </x:row>
    <x:row r="155" spans="1:19" ht="12.75" customHeight="1" x14ac:dyDescent="0.3">
      <x:c r="B155" s="777" t="s">
        <x:v>2</x:v>
      </x:c>
      <x:c r="C155" s="775" t="s">
        <x:v>132</x:v>
      </x:c>
      <x:c r="D155" s="98" t="s">
        <x:v>70</x:v>
      </x:c>
      <x:c r="E155" s="100">
        <x:f>E101+E123-K101</x:f>
        <x:v>0</x:v>
      </x:c>
      <x:c r="F155" s="100">
        <x:f t="shared" ref="F155:R155" si="3">F101</x:f>
        <x:v>0</x:v>
      </x:c>
      <x:c r="G155" s="100">
        <x:f t="shared" si="3"/>
        <x:v>0</x:v>
      </x:c>
      <x:c r="H155" s="100">
        <x:f t="shared" si="3"/>
        <x:v>0</x:v>
      </x:c>
      <x:c r="I155" s="100">
        <x:f t="shared" si="3"/>
        <x:v>0</x:v>
      </x:c>
      <x:c r="J155" s="100">
        <x:f t="shared" si="3"/>
        <x:v>0</x:v>
      </x:c>
      <x:c r="K155" s="100">
        <x:f t="shared" si="3"/>
        <x:v>0</x:v>
      </x:c>
      <x:c r="L155" s="100">
        <x:f t="shared" si="3"/>
        <x:v>0</x:v>
      </x:c>
      <x:c r="M155" s="100">
        <x:f t="shared" si="3"/>
        <x:v>0</x:v>
      </x:c>
      <x:c r="N155" s="100">
        <x:f t="shared" si="3"/>
        <x:v>0</x:v>
      </x:c>
      <x:c r="O155" s="100">
        <x:f t="shared" si="3"/>
        <x:v>0</x:v>
      </x:c>
      <x:c r="P155" s="100">
        <x:f t="shared" si="3"/>
        <x:v>0</x:v>
      </x:c>
      <x:c r="Q155" s="100">
        <x:f t="shared" si="3"/>
        <x:v>0</x:v>
      </x:c>
      <x:c r="R155" s="100">
        <x:f t="shared" si="3"/>
        <x:v>0</x:v>
      </x:c>
    </x:row>
    <x:row r="156" spans="1:19" ht="12.75" customHeight="1" x14ac:dyDescent="0.3">
      <x:c r="B156" s="777"/>
      <x:c r="C156" s="775"/>
      <x:c r="D156" s="98" t="s">
        <x:v>73</x:v>
      </x:c>
      <x:c r="E156" s="100">
        <x:f>E123</x:f>
        <x:v>0</x:v>
      </x:c>
      <x:c r="F156" s="90"/>
      <x:c r="G156" s="90"/>
      <x:c r="H156" s="90"/>
      <x:c r="I156" s="90"/>
      <x:c r="J156" s="90"/>
      <x:c r="K156" s="90"/>
      <x:c r="L156" s="90"/>
      <x:c r="M156" s="90"/>
      <x:c r="N156" s="90"/>
      <x:c r="O156" s="90"/>
      <x:c r="P156" s="90"/>
      <x:c r="Q156" s="90"/>
      <x:c r="R156" s="90"/>
    </x:row>
    <x:row r="157" spans="1:19" ht="12.75" customHeight="1" x14ac:dyDescent="0.3">
      <x:c r="A157" s="89"/>
      <x:c r="B157" s="97"/>
      <x:c r="E157" s="90"/>
      <x:c r="F157" s="90"/>
      <x:c r="G157" s="90"/>
      <x:c r="H157" s="90"/>
      <x:c r="I157" s="90"/>
      <x:c r="J157" s="90"/>
      <x:c r="K157" s="90"/>
      <x:c r="L157" s="90"/>
      <x:c r="M157" s="90"/>
      <x:c r="N157" s="90"/>
      <x:c r="O157" s="90"/>
      <x:c r="P157" s="90"/>
      <x:c r="Q157" s="90"/>
      <x:c r="R157" s="90"/>
    </x:row>
    <x:row r="158" spans="1:19" ht="12.75" customHeight="1" x14ac:dyDescent="0.3">
      <x:c r="B158" s="777" t="s">
        <x:v>160</x:v>
      </x:c>
      <x:c r="C158" s="775" t="s">
        <x:v>132</x:v>
      </x:c>
      <x:c r="D158" s="223" t="s">
        <x:v>70</x:v>
      </x:c>
      <x:c r="E158" s="225">
        <x:f>E115+E90+E70-K70-K90</x:f>
        <x:v>0</x:v>
      </x:c>
      <x:c r="F158" s="225">
        <x:f>F90+F70</x:f>
        <x:v>0</x:v>
      </x:c>
      <x:c r="G158" s="225">
        <x:f t="shared" ref="G158:R158" si="4">G90+G70</x:f>
        <x:v>0</x:v>
      </x:c>
      <x:c r="H158" s="225">
        <x:f t="shared" si="4"/>
        <x:v>0</x:v>
      </x:c>
      <x:c r="I158" s="225">
        <x:f t="shared" si="4"/>
        <x:v>0</x:v>
      </x:c>
      <x:c r="J158" s="225">
        <x:f t="shared" si="4"/>
        <x:v>0</x:v>
      </x:c>
      <x:c r="K158" s="225">
        <x:f t="shared" si="4"/>
        <x:v>0</x:v>
      </x:c>
      <x:c r="L158" s="225">
        <x:f t="shared" si="4"/>
        <x:v>0</x:v>
      </x:c>
      <x:c r="M158" s="225">
        <x:f t="shared" si="4"/>
        <x:v>0</x:v>
      </x:c>
      <x:c r="N158" s="225">
        <x:f t="shared" si="4"/>
        <x:v>0</x:v>
      </x:c>
      <x:c r="O158" s="225">
        <x:f t="shared" si="4"/>
        <x:v>0</x:v>
      </x:c>
      <x:c r="P158" s="225">
        <x:f t="shared" si="4"/>
        <x:v>0</x:v>
      </x:c>
      <x:c r="Q158" s="225">
        <x:f t="shared" si="4"/>
        <x:v>0</x:v>
      </x:c>
      <x:c r="R158" s="225">
        <x:f t="shared" si="4"/>
        <x:v>0</x:v>
      </x:c>
    </x:row>
    <x:row r="159" spans="1:19" ht="12.75" customHeight="1" x14ac:dyDescent="0.3">
      <x:c r="B159" s="777"/>
      <x:c r="C159" s="775"/>
      <x:c r="D159" s="223" t="s">
        <x:v>73</x:v>
      </x:c>
      <x:c r="E159" s="225">
        <x:f>E115</x:f>
        <x:v>0</x:v>
      </x:c>
      <x:c r="F159" s="90"/>
      <x:c r="G159" s="90"/>
      <x:c r="H159" s="90"/>
      <x:c r="I159" s="90"/>
      <x:c r="J159" s="90"/>
      <x:c r="K159" s="90"/>
      <x:c r="L159" s="90"/>
      <x:c r="M159" s="90"/>
      <x:c r="N159" s="90"/>
      <x:c r="O159" s="90"/>
      <x:c r="P159" s="90"/>
      <x:c r="Q159" s="90"/>
      <x:c r="R159" s="90"/>
    </x:row>
    <x:row r="160" spans="1:19" ht="12.65" customHeight="1" x14ac:dyDescent="0.3">
      <x:c r="A160" s="89"/>
      <x:c r="B160" s="97"/>
      <x:c r="E160" s="90"/>
      <x:c r="F160" s="90"/>
      <x:c r="G160" s="90"/>
      <x:c r="H160" s="90"/>
      <x:c r="I160" s="90"/>
      <x:c r="J160" s="90"/>
      <x:c r="K160" s="90"/>
      <x:c r="L160" s="90"/>
      <x:c r="M160" s="90"/>
      <x:c r="N160" s="90"/>
      <x:c r="O160" s="90"/>
      <x:c r="P160" s="90"/>
      <x:c r="Q160" s="90"/>
      <x:c r="R160" s="90"/>
    </x:row>
    <x:row r="161" spans="1:18" ht="12.75" customHeight="1" x14ac:dyDescent="0.3">
      <x:c r="B161" s="777" t="s">
        <x:v>155</x:v>
      </x:c>
      <x:c r="C161" s="775" t="s">
        <x:v>132</x:v>
      </x:c>
      <x:c r="D161" s="221" t="s">
        <x:v>70</x:v>
      </x:c>
      <x:c r="E161" s="222">
        <x:f>E104+E74-K74</x:f>
        <x:v>0</x:v>
      </x:c>
      <x:c r="F161" s="222">
        <x:f t="shared" ref="F161:R161" si="5">F74</x:f>
        <x:v>0</x:v>
      </x:c>
      <x:c r="G161" s="222">
        <x:f t="shared" si="5"/>
        <x:v>0</x:v>
      </x:c>
      <x:c r="H161" s="222">
        <x:f t="shared" si="5"/>
        <x:v>0</x:v>
      </x:c>
      <x:c r="I161" s="222">
        <x:f t="shared" si="5"/>
        <x:v>0</x:v>
      </x:c>
      <x:c r="J161" s="222">
        <x:f t="shared" si="5"/>
        <x:v>0</x:v>
      </x:c>
      <x:c r="K161" s="222">
        <x:f t="shared" si="5"/>
        <x:v>0</x:v>
      </x:c>
      <x:c r="L161" s="222">
        <x:f t="shared" si="5"/>
        <x:v>0</x:v>
      </x:c>
      <x:c r="M161" s="222">
        <x:f t="shared" si="5"/>
        <x:v>0</x:v>
      </x:c>
      <x:c r="N161" s="222">
        <x:f t="shared" si="5"/>
        <x:v>0</x:v>
      </x:c>
      <x:c r="O161" s="222">
        <x:f t="shared" si="5"/>
        <x:v>0</x:v>
      </x:c>
      <x:c r="P161" s="222">
        <x:f t="shared" si="5"/>
        <x:v>0</x:v>
      </x:c>
      <x:c r="Q161" s="222">
        <x:f t="shared" si="5"/>
        <x:v>0</x:v>
      </x:c>
      <x:c r="R161" s="222">
        <x:f t="shared" si="5"/>
        <x:v>0</x:v>
      </x:c>
    </x:row>
    <x:row r="162" spans="1:18" ht="12.75" customHeight="1" x14ac:dyDescent="0.3">
      <x:c r="B162" s="777"/>
      <x:c r="C162" s="775"/>
      <x:c r="D162" s="221" t="s">
        <x:v>73</x:v>
      </x:c>
      <x:c r="E162" s="222">
        <x:f>E104</x:f>
        <x:v>0</x:v>
      </x:c>
      <x:c r="F162" s="90"/>
      <x:c r="G162" s="90"/>
      <x:c r="H162" s="90"/>
      <x:c r="I162" s="90"/>
      <x:c r="J162" s="90"/>
      <x:c r="K162" s="90"/>
      <x:c r="L162" s="90"/>
      <x:c r="M162" s="90"/>
      <x:c r="N162" s="90"/>
      <x:c r="O162" s="90"/>
      <x:c r="P162" s="90"/>
      <x:c r="Q162" s="90"/>
      <x:c r="R162" s="90"/>
    </x:row>
    <x:row r="163" spans="1:18" ht="12.75" customHeight="1" x14ac:dyDescent="0.3">
      <x:c r="A163" s="89"/>
      <x:c r="B163" s="97"/>
      <x:c r="E163" s="90"/>
      <x:c r="F163" s="90"/>
      <x:c r="G163" s="90"/>
      <x:c r="H163" s="90"/>
      <x:c r="I163" s="90"/>
      <x:c r="J163" s="90"/>
      <x:c r="K163" s="90"/>
      <x:c r="L163" s="90"/>
      <x:c r="M163" s="90"/>
      <x:c r="N163" s="90"/>
      <x:c r="O163" s="90"/>
      <x:c r="P163" s="90"/>
      <x:c r="Q163" s="90"/>
      <x:c r="R163" s="90"/>
    </x:row>
    <x:row r="164" spans="1:18" ht="12.75" customHeight="1" x14ac:dyDescent="0.3">
      <x:c r="B164" s="778" t="s">
        <x:v>326</x:v>
      </x:c>
      <x:c r="C164" s="775" t="s">
        <x:v>132</x:v>
      </x:c>
      <x:c r="D164" s="373" t="s">
        <x:v>70</x:v>
      </x:c>
      <x:c r="E164" s="374">
        <x:v>0</x:v>
      </x:c>
      <x:c r="F164" s="374">
        <x:v>0</x:v>
      </x:c>
      <x:c r="G164" s="374">
        <x:v>0</x:v>
      </x:c>
      <x:c r="H164" s="374">
        <x:v>0</x:v>
      </x:c>
      <x:c r="I164" s="374">
        <x:v>0</x:v>
      </x:c>
      <x:c r="J164" s="374">
        <x:v>0</x:v>
      </x:c>
      <x:c r="K164" s="374">
        <x:v>0</x:v>
      </x:c>
      <x:c r="L164" s="374">
        <x:v>0</x:v>
      </x:c>
      <x:c r="M164" s="374">
        <x:v>0</x:v>
      </x:c>
      <x:c r="N164" s="374">
        <x:v>0</x:v>
      </x:c>
      <x:c r="O164" s="374">
        <x:v>0</x:v>
      </x:c>
      <x:c r="P164" s="374">
        <x:v>0</x:v>
      </x:c>
      <x:c r="Q164" s="374">
        <x:v>0</x:v>
      </x:c>
      <x:c r="R164" s="374">
        <x:v>0</x:v>
      </x:c>
    </x:row>
    <x:row r="165" spans="1:18" ht="12.75" customHeight="1" x14ac:dyDescent="0.3">
      <x:c r="B165" s="778"/>
      <x:c r="C165" s="775"/>
      <x:c r="D165" s="373" t="s">
        <x:v>73</x:v>
      </x:c>
      <x:c r="E165" s="374">
        <x:v>0</x:v>
      </x:c>
      <x:c r="F165" s="90"/>
      <x:c r="G165" s="90"/>
      <x:c r="H165" s="90"/>
      <x:c r="I165" s="90"/>
      <x:c r="J165" s="90"/>
      <x:c r="K165" s="90"/>
      <x:c r="L165" s="90"/>
      <x:c r="M165" s="90"/>
      <x:c r="N165" s="90"/>
      <x:c r="O165" s="90"/>
      <x:c r="P165" s="90"/>
      <x:c r="Q165" s="90"/>
      <x:c r="R165" s="90"/>
    </x:row>
    <x:row r="166" spans="1:18" ht="12.75" customHeight="1" x14ac:dyDescent="0.3">
      <x:c r="A166" s="89"/>
      <x:c r="B166" s="97"/>
      <x:c r="E166" s="90"/>
      <x:c r="F166" s="90"/>
      <x:c r="G166" s="90"/>
      <x:c r="H166" s="90"/>
      <x:c r="I166" s="90"/>
      <x:c r="J166" s="90"/>
      <x:c r="K166" s="90"/>
      <x:c r="L166" s="90"/>
      <x:c r="M166" s="90"/>
      <x:c r="N166" s="90"/>
      <x:c r="O166" s="90"/>
      <x:c r="P166" s="90"/>
      <x:c r="Q166" s="90"/>
      <x:c r="R166" s="90"/>
    </x:row>
    <x:row r="167" spans="1:18" ht="12.75" customHeight="1" x14ac:dyDescent="0.3">
      <x:c r="B167" s="777" t="s">
        <x:v>119</x:v>
      </x:c>
      <x:c r="C167" s="775" t="s">
        <x:v>132</x:v>
      </x:c>
      <x:c r="D167" s="101" t="s">
        <x:v>70</x:v>
      </x:c>
      <x:c r="E167" s="93">
        <x:f>E100+E122-K100</x:f>
        <x:v>0</x:v>
      </x:c>
      <x:c r="F167" s="93">
        <x:f t="shared" ref="F167:R167" si="6">F100</x:f>
        <x:v>0</x:v>
      </x:c>
      <x:c r="G167" s="93">
        <x:f t="shared" si="6"/>
        <x:v>0</x:v>
      </x:c>
      <x:c r="H167" s="93">
        <x:f t="shared" si="6"/>
        <x:v>0</x:v>
      </x:c>
      <x:c r="I167" s="93">
        <x:f t="shared" si="6"/>
        <x:v>0</x:v>
      </x:c>
      <x:c r="J167" s="93">
        <x:f t="shared" si="6"/>
        <x:v>0</x:v>
      </x:c>
      <x:c r="K167" s="93">
        <x:f t="shared" si="6"/>
        <x:v>0</x:v>
      </x:c>
      <x:c r="L167" s="93">
        <x:f t="shared" si="6"/>
        <x:v>0</x:v>
      </x:c>
      <x:c r="M167" s="93">
        <x:f t="shared" si="6"/>
        <x:v>0</x:v>
      </x:c>
      <x:c r="N167" s="93">
        <x:f t="shared" si="6"/>
        <x:v>0</x:v>
      </x:c>
      <x:c r="O167" s="93">
        <x:f t="shared" si="6"/>
        <x:v>0</x:v>
      </x:c>
      <x:c r="P167" s="93">
        <x:f t="shared" si="6"/>
        <x:v>0</x:v>
      </x:c>
      <x:c r="Q167" s="93">
        <x:f t="shared" si="6"/>
        <x:v>0</x:v>
      </x:c>
      <x:c r="R167" s="93">
        <x:f t="shared" si="6"/>
        <x:v>0</x:v>
      </x:c>
    </x:row>
    <x:row r="168" spans="1:18" ht="12.75" customHeight="1" x14ac:dyDescent="0.3">
      <x:c r="B168" s="777"/>
      <x:c r="C168" s="775"/>
      <x:c r="D168" s="101" t="s">
        <x:v>73</x:v>
      </x:c>
      <x:c r="E168" s="93">
        <x:f>E122</x:f>
        <x:v>0</x:v>
      </x:c>
      <x:c r="F168" s="90"/>
      <x:c r="G168" s="90"/>
      <x:c r="H168" s="90"/>
      <x:c r="I168" s="90"/>
      <x:c r="J168" s="90"/>
      <x:c r="K168" s="90"/>
      <x:c r="L168" s="90"/>
      <x:c r="M168" s="90"/>
      <x:c r="N168" s="90"/>
      <x:c r="O168" s="90"/>
      <x:c r="P168" s="90"/>
      <x:c r="Q168" s="90"/>
      <x:c r="R168" s="90"/>
    </x:row>
    <x:row r="169" spans="1:18" ht="12.75" customHeight="1" x14ac:dyDescent="0.3">
      <x:c r="A169" s="89"/>
      <x:c r="B169" s="97"/>
      <x:c r="E169" s="90"/>
      <x:c r="F169" s="90"/>
      <x:c r="G169" s="90"/>
      <x:c r="H169" s="90"/>
      <x:c r="I169" s="90"/>
      <x:c r="J169" s="90"/>
      <x:c r="K169" s="90"/>
      <x:c r="L169" s="90"/>
      <x:c r="M169" s="90"/>
      <x:c r="N169" s="90"/>
      <x:c r="O169" s="90"/>
      <x:c r="P169" s="90"/>
      <x:c r="Q169" s="90"/>
      <x:c r="R169" s="90"/>
    </x:row>
    <x:row r="170" spans="1:18" ht="12.75" customHeight="1" x14ac:dyDescent="0.3">
      <x:c r="B170" s="776" t="s">
        <x:v>161</x:v>
      </x:c>
      <x:c r="C170" s="775" t="s">
        <x:v>132</x:v>
      </x:c>
      <x:c r="D170" s="231" t="s">
        <x:v>70</x:v>
      </x:c>
      <x:c r="E170" s="232">
        <x:v>0</x:v>
      </x:c>
      <x:c r="F170" s="232">
        <x:v>0</x:v>
      </x:c>
      <x:c r="G170" s="232">
        <x:v>0</x:v>
      </x:c>
      <x:c r="H170" s="232">
        <x:v>0</x:v>
      </x:c>
      <x:c r="I170" s="232">
        <x:v>0</x:v>
      </x:c>
      <x:c r="J170" s="232">
        <x:v>0</x:v>
      </x:c>
      <x:c r="K170" s="232">
        <x:v>0</x:v>
      </x:c>
      <x:c r="L170" s="232">
        <x:v>0</x:v>
      </x:c>
      <x:c r="M170" s="232">
        <x:v>0</x:v>
      </x:c>
      <x:c r="N170" s="232">
        <x:v>0</x:v>
      </x:c>
      <x:c r="O170" s="232">
        <x:v>0</x:v>
      </x:c>
      <x:c r="P170" s="232">
        <x:v>0</x:v>
      </x:c>
      <x:c r="Q170" s="232">
        <x:v>0</x:v>
      </x:c>
      <x:c r="R170" s="232">
        <x:v>0</x:v>
      </x:c>
    </x:row>
    <x:row r="171" spans="1:18" ht="12.75" customHeight="1" x14ac:dyDescent="0.3">
      <x:c r="B171" s="776"/>
      <x:c r="C171" s="775"/>
      <x:c r="D171" s="231" t="s">
        <x:v>73</x:v>
      </x:c>
      <x:c r="E171" s="232">
        <x:v>0</x:v>
      </x:c>
      <x:c r="F171" s="90"/>
      <x:c r="G171" s="90"/>
      <x:c r="H171" s="90"/>
      <x:c r="I171" s="90"/>
      <x:c r="J171" s="90"/>
      <x:c r="K171" s="90"/>
      <x:c r="L171" s="90"/>
      <x:c r="M171" s="90"/>
      <x:c r="N171" s="90"/>
      <x:c r="O171" s="90"/>
      <x:c r="P171" s="90"/>
      <x:c r="Q171" s="90"/>
      <x:c r="R171" s="90"/>
    </x:row>
    <x:row r="172" spans="1:18" s="238" customFormat="1" x14ac:dyDescent="0.3"/>
    <x:row r="173" spans="1:18" x14ac:dyDescent="0.3">
      <x:c r="B173" s="97" t="s">
        <x:v>76</x:v>
      </x:c>
    </x:row>
    <x:row r="174" spans="1:18" ht="12.65" customHeight="1" x14ac:dyDescent="0.3">
      <x:c r="E174" s="89" t="s">
        <x:v>70</x:v>
      </x:c>
      <x:c r="F174" s="89" t="s">
        <x:v>64</x:v>
      </x:c>
      <x:c r="G174" s="89" t="s">
        <x:v>65</x:v>
      </x:c>
      <x:c r="H174" s="219" t="s">
        <x:v>164</x:v>
      </x:c>
      <x:c r="I174" s="89" t="s">
        <x:v>69</x:v>
      </x:c>
      <x:c r="J174" s="89" t="s">
        <x:v>68</x:v>
      </x:c>
      <x:c r="K174" s="89" t="s">
        <x:v>83</x:v>
      </x:c>
      <x:c r="L174" s="89" t="s">
        <x:v>66</x:v>
      </x:c>
      <x:c r="M174" s="89" t="s">
        <x:v>63</x:v>
      </x:c>
      <x:c r="N174" s="89" t="s">
        <x:v>61</x:v>
      </x:c>
      <x:c r="O174" s="89" t="s">
        <x:v>62</x:v>
      </x:c>
      <x:c r="P174" s="89" t="s">
        <x:v>67</x:v>
      </x:c>
      <x:c r="Q174" s="89" t="s">
        <x:v>84</x:v>
      </x:c>
      <x:c r="R174" s="384" t="s">
        <x:v>225</x:v>
      </x:c>
    </x:row>
    <x:row r="175" spans="1:18" ht="12.75" customHeight="1" x14ac:dyDescent="0.3">
      <x:c r="D175" s="89" t="s">
        <x:v>72</x:v>
      </x:c>
      <x:c r="E175" s="371">
        <x:v>0</x:v>
      </x:c>
      <x:c r="F175" s="90">
        <x:v>0</x:v>
      </x:c>
      <x:c r="G175" s="90">
        <x:v>0</x:v>
      </x:c>
      <x:c r="H175" s="90">
        <x:v>0</x:v>
      </x:c>
      <x:c r="I175" s="90">
        <x:v>0</x:v>
      </x:c>
      <x:c r="J175" s="90">
        <x:v>0</x:v>
      </x:c>
      <x:c r="K175" s="90">
        <x:v>0</x:v>
      </x:c>
      <x:c r="L175" s="90">
        <x:v>0</x:v>
      </x:c>
      <x:c r="M175" s="90">
        <x:v>0</x:v>
      </x:c>
      <x:c r="N175" s="90">
        <x:v>0</x:v>
      </x:c>
      <x:c r="O175" s="90">
        <x:v>0</x:v>
      </x:c>
      <x:c r="P175" s="90">
        <x:v>0</x:v>
      </x:c>
      <x:c r="Q175" s="90">
        <x:v>0</x:v>
      </x:c>
      <x:c r="R175">
        <x:v>0</x:v>
      </x:c>
    </x:row>
    <x:row r="176" spans="1:18" ht="12.75" customHeight="1" x14ac:dyDescent="0.3">
      <x:c r="D176" t="s">
        <x:v>81</x:v>
      </x:c>
      <x:c r="E176">
        <x:v>0</x:v>
      </x:c>
      <x:c r="F176">
        <x:v>0</x:v>
      </x:c>
      <x:c r="G176">
        <x:v>0</x:v>
      </x:c>
      <x:c r="H176">
        <x:v>0</x:v>
      </x:c>
      <x:c r="I176">
        <x:v>0</x:v>
      </x:c>
      <x:c r="J176">
        <x:v>0</x:v>
      </x:c>
      <x:c r="K176">
        <x:v>0</x:v>
      </x:c>
      <x:c r="L176">
        <x:v>0</x:v>
      </x:c>
      <x:c r="M176">
        <x:v>0</x:v>
      </x:c>
      <x:c r="N176">
        <x:v>0</x:v>
      </x:c>
      <x:c r="O176">
        <x:v>0</x:v>
      </x:c>
      <x:c r="P176">
        <x:v>0</x:v>
      </x:c>
      <x:c r="Q176">
        <x:v>0</x:v>
      </x:c>
      <x:c r="R176">
        <x:v>0</x:v>
      </x:c>
    </x:row>
    <x:row r="177" spans="1:18" ht="12.75" customHeight="1" x14ac:dyDescent="0.3">
      <x:c r="C177" t="s">
        <x:v>332</x:v>
      </x:c>
      <x:c r="D177" s="89" t="s">
        <x:v>70</x:v>
      </x:c>
      <x:c r="E177" s="371">
        <x:v>0</x:v>
      </x:c>
      <x:c r="F177" s="90">
        <x:v>0</x:v>
      </x:c>
      <x:c r="G177" s="90">
        <x:v>0</x:v>
      </x:c>
      <x:c r="H177" s="90">
        <x:v>0</x:v>
      </x:c>
      <x:c r="I177" s="90">
        <x:v>0</x:v>
      </x:c>
      <x:c r="J177" s="90">
        <x:v>0</x:v>
      </x:c>
      <x:c r="K177" s="90">
        <x:v>0</x:v>
      </x:c>
      <x:c r="L177" s="90">
        <x:v>0</x:v>
      </x:c>
      <x:c r="M177" s="90">
        <x:v>0</x:v>
      </x:c>
      <x:c r="N177" s="90">
        <x:v>0</x:v>
      </x:c>
      <x:c r="O177" s="90">
        <x:v>0</x:v>
      </x:c>
      <x:c r="P177" s="90">
        <x:v>0</x:v>
      </x:c>
      <x:c r="Q177" s="90">
        <x:v>0</x:v>
      </x:c>
      <x:c r="R177">
        <x:v>0</x:v>
      </x:c>
    </x:row>
    <x:row r="178" spans="1:18" s="739" customFormat="1" ht="12.75" customHeight="1" x14ac:dyDescent="0.3">
      <x:c r="B178" s="739" t="s">
        <x:v>85</x:v>
      </x:c>
      <x:c r="C178" s="739" t="s">
        <x:v>70</x:v>
      </x:c>
      <x:c r="D178" s="231"/>
      <x:c r="E178" s="740">
        <x:v>0</x:v>
      </x:c>
      <x:c r="F178" s="232">
        <x:v>0</x:v>
      </x:c>
      <x:c r="G178" s="232">
        <x:v>0</x:v>
      </x:c>
      <x:c r="H178" s="232">
        <x:v>0</x:v>
      </x:c>
      <x:c r="I178" s="232">
        <x:v>0</x:v>
      </x:c>
      <x:c r="J178" s="232">
        <x:v>0</x:v>
      </x:c>
      <x:c r="K178" s="232">
        <x:v>0</x:v>
      </x:c>
      <x:c r="L178" s="232">
        <x:v>0</x:v>
      </x:c>
      <x:c r="M178" s="232">
        <x:v>0</x:v>
      </x:c>
      <x:c r="N178" s="232">
        <x:v>0</x:v>
      </x:c>
      <x:c r="O178" s="232">
        <x:v>0</x:v>
      </x:c>
      <x:c r="P178" s="232">
        <x:v>0</x:v>
      </x:c>
      <x:c r="Q178" s="232">
        <x:v>0</x:v>
      </x:c>
      <x:c r="R178" s="739">
        <x:v>0</x:v>
      </x:c>
    </x:row>
    <x:row r="179" spans="1:18" ht="12.65" customHeight="1" x14ac:dyDescent="0.3">
      <x:c r="D179" t="s">
        <x:v>72</x:v>
      </x:c>
      <x:c r="E179">
        <x:v>0</x:v>
      </x:c>
      <x:c r="F179">
        <x:v>0</x:v>
      </x:c>
      <x:c r="G179">
        <x:v>0</x:v>
      </x:c>
      <x:c r="H179">
        <x:v>0</x:v>
      </x:c>
      <x:c r="I179">
        <x:v>0</x:v>
      </x:c>
      <x:c r="J179">
        <x:v>0</x:v>
      </x:c>
      <x:c r="K179">
        <x:v>0</x:v>
      </x:c>
      <x:c r="L179">
        <x:v>0</x:v>
      </x:c>
      <x:c r="M179">
        <x:v>0</x:v>
      </x:c>
      <x:c r="N179">
        <x:v>0</x:v>
      </x:c>
      <x:c r="O179">
        <x:v>0</x:v>
      </x:c>
      <x:c r="P179">
        <x:v>0</x:v>
      </x:c>
      <x:c r="Q179">
        <x:v>0</x:v>
      </x:c>
      <x:c r="R179">
        <x:v>0</x:v>
      </x:c>
    </x:row>
    <x:row r="180" spans="1:18" ht="12.75" customHeight="1" x14ac:dyDescent="0.3">
      <x:c r="D180" t="s">
        <x:v>81</x:v>
      </x:c>
      <x:c r="E180">
        <x:v>0</x:v>
      </x:c>
      <x:c r="F180">
        <x:v>0</x:v>
      </x:c>
      <x:c r="G180">
        <x:v>0</x:v>
      </x:c>
      <x:c r="H180">
        <x:v>0</x:v>
      </x:c>
      <x:c r="I180">
        <x:v>0</x:v>
      </x:c>
      <x:c r="J180">
        <x:v>0</x:v>
      </x:c>
      <x:c r="K180">
        <x:v>0</x:v>
      </x:c>
      <x:c r="L180">
        <x:v>0</x:v>
      </x:c>
      <x:c r="M180">
        <x:v>0</x:v>
      </x:c>
      <x:c r="N180">
        <x:v>0</x:v>
      </x:c>
      <x:c r="O180">
        <x:v>0</x:v>
      </x:c>
      <x:c r="P180">
        <x:v>0</x:v>
      </x:c>
      <x:c r="Q180">
        <x:v>0</x:v>
      </x:c>
      <x:c r="R180">
        <x:v>0</x:v>
      </x:c>
    </x:row>
    <x:row r="181" spans="1:18" ht="12.75" customHeight="1" x14ac:dyDescent="0.3">
      <x:c r="C181" t="s">
        <x:v>156</x:v>
      </x:c>
      <x:c r="D181" s="89" t="s">
        <x:v>70</x:v>
      </x:c>
      <x:c r="E181" s="371">
        <x:v>0</x:v>
      </x:c>
      <x:c r="F181" s="90">
        <x:v>0</x:v>
      </x:c>
      <x:c r="G181" s="90">
        <x:v>0</x:v>
      </x:c>
      <x:c r="H181" s="90">
        <x:v>0</x:v>
      </x:c>
      <x:c r="I181" s="90">
        <x:v>0</x:v>
      </x:c>
      <x:c r="J181" s="90">
        <x:v>0</x:v>
      </x:c>
      <x:c r="K181" s="90">
        <x:v>0</x:v>
      </x:c>
      <x:c r="L181" s="90">
        <x:v>0</x:v>
      </x:c>
      <x:c r="M181" s="90">
        <x:v>0</x:v>
      </x:c>
      <x:c r="N181" s="90">
        <x:v>0</x:v>
      </x:c>
      <x:c r="O181" s="90">
        <x:v>0</x:v>
      </x:c>
      <x:c r="P181" s="90">
        <x:v>0</x:v>
      </x:c>
      <x:c r="Q181" s="90">
        <x:v>0</x:v>
      </x:c>
      <x:c r="R181">
        <x:v>0</x:v>
      </x:c>
    </x:row>
    <x:row r="182" spans="1:18" s="656" customFormat="1" ht="12.75" customHeight="1" x14ac:dyDescent="0.3">
      <x:c r="B182" s="656" t="s">
        <x:v>155</x:v>
      </x:c>
      <x:c r="C182" s="656" t="s">
        <x:v>70</x:v>
      </x:c>
      <x:c r="E182" s="741" t="n">
        <x:v>16818069.86</x:v>
      </x:c>
      <x:c r="F182" s="656">
        <x:v>0</x:v>
      </x:c>
      <x:c r="G182" s="656">
        <x:v>0</x:v>
      </x:c>
      <x:c r="H182" s="656">
        <x:v>0</x:v>
      </x:c>
      <x:c r="I182" s="656">
        <x:v>0</x:v>
      </x:c>
      <x:c r="J182" s="656">
        <x:v>0</x:v>
      </x:c>
      <x:c r="K182" s="656" t="n">
        <x:v>16082.29</x:v>
      </x:c>
      <x:c r="L182" s="656">
        <x:v>0</x:v>
      </x:c>
      <x:c r="M182" s="656">
        <x:v>0</x:v>
      </x:c>
      <x:c r="N182" s="656">
        <x:v>0</x:v>
      </x:c>
      <x:c r="O182" s="656">
        <x:v>0</x:v>
      </x:c>
      <x:c r="P182" s="656">
        <x:v>0</x:v>
      </x:c>
      <x:c r="Q182" s="656">
        <x:v>0</x:v>
      </x:c>
      <x:c r="R182" s="656">
        <x:v>0</x:v>
      </x:c>
    </x:row>
    <x:row r="183" spans="1:18" ht="12.75" customHeight="1" x14ac:dyDescent="0.3">
      <x:c r="D183" t="s">
        <x:v>72</x:v>
      </x:c>
      <x:c r="E183" s="142">
        <x:v>0</x:v>
      </x:c>
      <x:c r="F183">
        <x:v>0</x:v>
      </x:c>
      <x:c r="G183">
        <x:v>0</x:v>
      </x:c>
      <x:c r="H183">
        <x:v>0</x:v>
      </x:c>
      <x:c r="I183">
        <x:v>0</x:v>
      </x:c>
      <x:c r="J183">
        <x:v>0</x:v>
      </x:c>
      <x:c r="K183">
        <x:v>0</x:v>
      </x:c>
      <x:c r="L183">
        <x:v>0</x:v>
      </x:c>
      <x:c r="M183">
        <x:v>0</x:v>
      </x:c>
      <x:c r="N183">
        <x:v>0</x:v>
      </x:c>
      <x:c r="O183">
        <x:v>0</x:v>
      </x:c>
      <x:c r="P183">
        <x:v>0</x:v>
      </x:c>
      <x:c r="Q183">
        <x:v>0</x:v>
      </x:c>
      <x:c r="R183">
        <x:v>0</x:v>
      </x:c>
    </x:row>
    <x:row r="184" spans="1:18" ht="12.75" customHeight="1" x14ac:dyDescent="0.3">
      <x:c r="D184" t="s">
        <x:v>81</x:v>
      </x:c>
      <x:c r="E184" s="142">
        <x:v>0</x:v>
      </x:c>
      <x:c r="F184">
        <x:v>0</x:v>
      </x:c>
      <x:c r="G184">
        <x:v>0</x:v>
      </x:c>
      <x:c r="H184">
        <x:v>0</x:v>
      </x:c>
      <x:c r="I184">
        <x:v>0</x:v>
      </x:c>
      <x:c r="J184">
        <x:v>0</x:v>
      </x:c>
      <x:c r="K184">
        <x:v>0</x:v>
      </x:c>
      <x:c r="L184">
        <x:v>0</x:v>
      </x:c>
      <x:c r="M184">
        <x:v>0</x:v>
      </x:c>
      <x:c r="N184">
        <x:v>0</x:v>
      </x:c>
      <x:c r="O184">
        <x:v>0</x:v>
      </x:c>
      <x:c r="P184">
        <x:v>0</x:v>
      </x:c>
      <x:c r="Q184">
        <x:v>0</x:v>
      </x:c>
      <x:c r="R184">
        <x:v>0</x:v>
      </x:c>
    </x:row>
    <x:row r="185" spans="1:18" ht="12.75" customHeight="1" x14ac:dyDescent="0.3">
      <x:c r="C185" t="s">
        <x:v>82</x:v>
      </x:c>
      <x:c r="D185" t="s">
        <x:v>70</x:v>
      </x:c>
      <x:c r="E185" s="142">
        <x:v>0</x:v>
      </x:c>
      <x:c r="F185">
        <x:v>0</x:v>
      </x:c>
      <x:c r="G185">
        <x:v>0</x:v>
      </x:c>
      <x:c r="H185">
        <x:v>0</x:v>
      </x:c>
      <x:c r="I185">
        <x:v>0</x:v>
      </x:c>
      <x:c r="J185">
        <x:v>0</x:v>
      </x:c>
      <x:c r="K185">
        <x:v>0</x:v>
      </x:c>
      <x:c r="L185">
        <x:v>0</x:v>
      </x:c>
      <x:c r="M185">
        <x:v>0</x:v>
      </x:c>
      <x:c r="N185">
        <x:v>0</x:v>
      </x:c>
      <x:c r="O185">
        <x:v>0</x:v>
      </x:c>
      <x:c r="P185">
        <x:v>0</x:v>
      </x:c>
      <x:c r="Q185">
        <x:v>0</x:v>
      </x:c>
      <x:c r="R185">
        <x:v>0</x:v>
      </x:c>
    </x:row>
    <x:row r="186" spans="1:18" ht="12.75" customHeight="1" x14ac:dyDescent="0.3">
      <x:c r="D186" t="s">
        <x:v>72</x:v>
      </x:c>
      <x:c r="E186" s="142">
        <x:v>0</x:v>
      </x:c>
      <x:c r="F186">
        <x:v>0</x:v>
      </x:c>
      <x:c r="G186">
        <x:v>0</x:v>
      </x:c>
      <x:c r="H186">
        <x:v>0</x:v>
      </x:c>
      <x:c r="I186">
        <x:v>0</x:v>
      </x:c>
      <x:c r="J186">
        <x:v>0</x:v>
      </x:c>
      <x:c r="K186">
        <x:v>0</x:v>
      </x:c>
      <x:c r="L186">
        <x:v>0</x:v>
      </x:c>
      <x:c r="M186">
        <x:v>0</x:v>
      </x:c>
      <x:c r="N186">
        <x:v>0</x:v>
      </x:c>
      <x:c r="O186">
        <x:v>0</x:v>
      </x:c>
      <x:c r="P186">
        <x:v>0</x:v>
      </x:c>
      <x:c r="Q186">
        <x:v>0</x:v>
      </x:c>
      <x:c r="R186">
        <x:v>0</x:v>
      </x:c>
    </x:row>
    <x:row r="187" spans="1:18" ht="12.75" customHeight="1" x14ac:dyDescent="0.3">
      <x:c r="D187" t="s">
        <x:v>81</x:v>
      </x:c>
      <x:c r="E187" s="142">
        <x:v>0</x:v>
      </x:c>
      <x:c r="F187">
        <x:v>0</x:v>
      </x:c>
      <x:c r="G187">
        <x:v>0</x:v>
      </x:c>
      <x:c r="H187">
        <x:v>0</x:v>
      </x:c>
      <x:c r="I187">
        <x:v>0</x:v>
      </x:c>
      <x:c r="J187">
        <x:v>0</x:v>
      </x:c>
      <x:c r="K187">
        <x:v>0</x:v>
      </x:c>
      <x:c r="L187">
        <x:v>0</x:v>
      </x:c>
      <x:c r="M187">
        <x:v>0</x:v>
      </x:c>
      <x:c r="N187">
        <x:v>0</x:v>
      </x:c>
      <x:c r="O187">
        <x:v>0</x:v>
      </x:c>
      <x:c r="P187">
        <x:v>0</x:v>
      </x:c>
      <x:c r="Q187">
        <x:v>0</x:v>
      </x:c>
      <x:c r="R187">
        <x:v>0</x:v>
      </x:c>
    </x:row>
    <x:row r="188" spans="1:18" ht="12.75" customHeight="1" x14ac:dyDescent="0.3">
      <x:c r="C188" t="s">
        <x:v>86</x:v>
      </x:c>
      <x:c r="D188" t="s">
        <x:v>70</x:v>
      </x:c>
      <x:c r="E188" s="142">
        <x:v>0</x:v>
      </x:c>
      <x:c r="F188">
        <x:v>0</x:v>
      </x:c>
      <x:c r="G188">
        <x:v>0</x:v>
      </x:c>
      <x:c r="H188">
        <x:v>0</x:v>
      </x:c>
      <x:c r="I188">
        <x:v>0</x:v>
      </x:c>
      <x:c r="J188">
        <x:v>0</x:v>
      </x:c>
      <x:c r="K188">
        <x:v>0</x:v>
      </x:c>
      <x:c r="L188">
        <x:v>0</x:v>
      </x:c>
      <x:c r="M188">
        <x:v>0</x:v>
      </x:c>
      <x:c r="N188">
        <x:v>0</x:v>
      </x:c>
      <x:c r="O188">
        <x:v>0</x:v>
      </x:c>
      <x:c r="P188">
        <x:v>0</x:v>
      </x:c>
      <x:c r="Q188">
        <x:v>0</x:v>
      </x:c>
      <x:c r="R188">
        <x:v>0</x:v>
      </x:c>
    </x:row>
    <x:row r="189" spans="1:18" ht="12.75" customHeight="1" x14ac:dyDescent="0.3">
      <x:c r="D189" t="s">
        <x:v>72</x:v>
      </x:c>
      <x:c r="E189" s="142">
        <x:v>0</x:v>
      </x:c>
      <x:c r="F189">
        <x:v>0</x:v>
      </x:c>
      <x:c r="G189">
        <x:v>0</x:v>
      </x:c>
      <x:c r="H189">
        <x:v>0</x:v>
      </x:c>
      <x:c r="I189">
        <x:v>0</x:v>
      </x:c>
      <x:c r="J189">
        <x:v>0</x:v>
      </x:c>
      <x:c r="K189">
        <x:v>0</x:v>
      </x:c>
      <x:c r="L189">
        <x:v>0</x:v>
      </x:c>
      <x:c r="M189">
        <x:v>0</x:v>
      </x:c>
      <x:c r="N189">
        <x:v>0</x:v>
      </x:c>
      <x:c r="O189">
        <x:v>0</x:v>
      </x:c>
      <x:c r="P189">
        <x:v>0</x:v>
      </x:c>
      <x:c r="Q189">
        <x:v>0</x:v>
      </x:c>
      <x:c r="R189">
        <x:v>0</x:v>
      </x:c>
    </x:row>
    <x:row r="190" spans="1:18" ht="12.75" customHeight="1" x14ac:dyDescent="0.3">
      <x:c r="D190" t="s">
        <x:v>81</x:v>
      </x:c>
      <x:c r="E190" s="142">
        <x:v>0</x:v>
      </x:c>
      <x:c r="F190">
        <x:v>0</x:v>
      </x:c>
      <x:c r="G190">
        <x:v>0</x:v>
      </x:c>
      <x:c r="H190">
        <x:v>0</x:v>
      </x:c>
      <x:c r="I190">
        <x:v>0</x:v>
      </x:c>
      <x:c r="J190">
        <x:v>0</x:v>
      </x:c>
      <x:c r="K190">
        <x:v>0</x:v>
      </x:c>
      <x:c r="L190">
        <x:v>0</x:v>
      </x:c>
      <x:c r="M190">
        <x:v>0</x:v>
      </x:c>
      <x:c r="N190">
        <x:v>0</x:v>
      </x:c>
      <x:c r="O190">
        <x:v>0</x:v>
      </x:c>
      <x:c r="P190">
        <x:v>0</x:v>
      </x:c>
      <x:c r="Q190">
        <x:v>0</x:v>
      </x:c>
      <x:c r="R190">
        <x:v>0</x:v>
      </x:c>
    </x:row>
    <x:row r="191" spans="1:18" ht="12.75" customHeight="1" x14ac:dyDescent="0.3">
      <x:c r="A191" s="89"/>
      <x:c r="B191" s="89"/>
      <x:c r="C191" t="s">
        <x:v>87</x:v>
      </x:c>
      <x:c r="D191" t="s">
        <x:v>70</x:v>
      </x:c>
      <x:c r="E191" s="90">
        <x:v>0</x:v>
      </x:c>
      <x:c r="F191" s="90">
        <x:v>0</x:v>
      </x:c>
      <x:c r="G191" s="90">
        <x:v>0</x:v>
      </x:c>
      <x:c r="H191" s="90">
        <x:v>0</x:v>
      </x:c>
      <x:c r="I191" s="90">
        <x:v>0</x:v>
      </x:c>
      <x:c r="J191" s="90">
        <x:v>0</x:v>
      </x:c>
      <x:c r="K191" s="90">
        <x:v>0</x:v>
      </x:c>
      <x:c r="L191" s="90">
        <x:v>0</x:v>
      </x:c>
      <x:c r="M191" s="90">
        <x:v>0</x:v>
      </x:c>
      <x:c r="N191" s="90">
        <x:v>0</x:v>
      </x:c>
      <x:c r="O191" s="90">
        <x:v>0</x:v>
      </x:c>
      <x:c r="P191" s="90">
        <x:v>0</x:v>
      </x:c>
      <x:c r="Q191" s="90">
        <x:v>0</x:v>
      </x:c>
      <x:c r="R191">
        <x:v>0</x:v>
      </x:c>
    </x:row>
    <x:row r="192" spans="1:18" s="94" customFormat="1" ht="12.75" customHeight="1" x14ac:dyDescent="0.3">
      <x:c r="A192" s="101"/>
      <x:c r="B192" s="101" t="s">
        <x:v>119</x:v>
      </x:c>
      <x:c r="C192" s="94" t="s">
        <x:v>70</x:v>
      </x:c>
      <x:c r="E192" s="93" t="n">
        <x:v>1639770.22</x:v>
      </x:c>
      <x:c r="F192" s="93">
        <x:v>0</x:v>
      </x:c>
      <x:c r="G192" s="93">
        <x:v>0</x:v>
      </x:c>
      <x:c r="H192" s="93">
        <x:v>0</x:v>
      </x:c>
      <x:c r="I192" s="93">
        <x:v>0</x:v>
      </x:c>
      <x:c r="J192" s="93">
        <x:v>0</x:v>
      </x:c>
      <x:c r="K192" s="93" t="n">
        <x:v>0</x:v>
      </x:c>
      <x:c r="L192" s="93">
        <x:v>0</x:v>
      </x:c>
      <x:c r="M192" s="93">
        <x:v>0</x:v>
      </x:c>
      <x:c r="N192" s="93">
        <x:v>0</x:v>
      </x:c>
      <x:c r="O192" s="93">
        <x:v>0</x:v>
      </x:c>
      <x:c r="P192" s="93">
        <x:v>0</x:v>
      </x:c>
      <x:c r="Q192" s="93">
        <x:v>0</x:v>
      </x:c>
      <x:c r="R192" s="94">
        <x:v>0</x:v>
      </x:c>
    </x:row>
    <x:row r="193" spans="1:18" s="226" customFormat="1" ht="12.75" customHeight="1" x14ac:dyDescent="0.3">
      <x:c r="A193" s="226" t="s">
        <x:v>78</x:v>
      </x:c>
      <x:c r="B193" s="226" t="s">
        <x:v>70</x:v>
      </x:c>
      <x:c r="D193" s="98"/>
      <x:c r="E193" s="100" t="n">
        <x:v>18457840.08</x:v>
      </x:c>
      <x:c r="F193" s="100">
        <x:v>0</x:v>
      </x:c>
      <x:c r="G193" s="100">
        <x:v>0</x:v>
      </x:c>
      <x:c r="H193" s="100">
        <x:v>0</x:v>
      </x:c>
      <x:c r="I193" s="100">
        <x:v>0</x:v>
      </x:c>
      <x:c r="J193" s="100">
        <x:v>0</x:v>
      </x:c>
      <x:c r="K193" s="100" t="n">
        <x:v>16082.29</x:v>
      </x:c>
      <x:c r="L193" s="100">
        <x:v>0</x:v>
      </x:c>
      <x:c r="M193" s="100">
        <x:v>0</x:v>
      </x:c>
      <x:c r="N193" s="100">
        <x:v>0</x:v>
      </x:c>
      <x:c r="O193" s="100">
        <x:v>0</x:v>
      </x:c>
      <x:c r="P193" s="100">
        <x:v>0</x:v>
      </x:c>
      <x:c r="Q193" s="100">
        <x:v>0</x:v>
      </x:c>
      <x:c r="R193" s="226">
        <x:v>0</x:v>
      </x:c>
    </x:row>
    <x:row r="194" spans="1:18" ht="12.75" customHeight="1" x14ac:dyDescent="0.3">
      <x:c r="C194" s="89"/>
      <x:c r="D194" s="89" t="s">
        <x:v>73</x:v>
      </x:c>
      <x:c r="E194" s="371">
        <x:v>0</x:v>
      </x:c>
      <x:c r="F194" s="90">
        <x:v>0</x:v>
      </x:c>
      <x:c r="G194" s="90">
        <x:v>0</x:v>
      </x:c>
      <x:c r="H194" s="90">
        <x:v>0</x:v>
      </x:c>
      <x:c r="I194" s="90">
        <x:v>0</x:v>
      </x:c>
      <x:c r="J194" s="90">
        <x:v>0</x:v>
      </x:c>
      <x:c r="K194" s="90">
        <x:v>0</x:v>
      </x:c>
      <x:c r="L194" s="90">
        <x:v>0</x:v>
      </x:c>
      <x:c r="M194" s="90">
        <x:v>0</x:v>
      </x:c>
      <x:c r="N194" s="90">
        <x:v>0</x:v>
      </x:c>
      <x:c r="O194" s="90">
        <x:v>0</x:v>
      </x:c>
      <x:c r="P194" s="90">
        <x:v>0</x:v>
      </x:c>
      <x:c r="Q194" s="90">
        <x:v>0</x:v>
      </x:c>
      <x:c r="R194">
        <x:v>0</x:v>
      </x:c>
    </x:row>
    <x:row r="195" spans="1:18" ht="12.75" customHeight="1" x14ac:dyDescent="0.3">
      <x:c r="C195" s="89" t="s">
        <x:v>156</x:v>
      </x:c>
      <x:c r="D195" s="89" t="s">
        <x:v>70</x:v>
      </x:c>
      <x:c r="E195" s="371">
        <x:v>0</x:v>
      </x:c>
      <x:c r="F195" s="90">
        <x:v>0</x:v>
      </x:c>
      <x:c r="G195" s="90">
        <x:v>0</x:v>
      </x:c>
      <x:c r="H195" s="90">
        <x:v>0</x:v>
      </x:c>
      <x:c r="I195" s="90">
        <x:v>0</x:v>
      </x:c>
      <x:c r="J195" s="90">
        <x:v>0</x:v>
      </x:c>
      <x:c r="K195" s="90">
        <x:v>0</x:v>
      </x:c>
      <x:c r="L195" s="90">
        <x:v>0</x:v>
      </x:c>
      <x:c r="M195" s="90">
        <x:v>0</x:v>
      </x:c>
      <x:c r="N195" s="90">
        <x:v>0</x:v>
      </x:c>
      <x:c r="O195" s="90">
        <x:v>0</x:v>
      </x:c>
      <x:c r="P195" s="90">
        <x:v>0</x:v>
      </x:c>
      <x:c r="Q195" s="90">
        <x:v>0</x:v>
      </x:c>
      <x:c r="R195">
        <x:v>0</x:v>
      </x:c>
    </x:row>
    <x:row r="196" spans="1:18" s="237" customFormat="1" ht="12.75" customHeight="1" x14ac:dyDescent="0.3">
      <x:c r="B196" s="237" t="s">
        <x:v>155</x:v>
      </x:c>
      <x:c r="C196" s="221" t="s">
        <x:v>70</x:v>
      </x:c>
      <x:c r="D196" s="221"/>
      <x:c r="E196" s="566" t="n">
        <x:v>-4432926.82</x:v>
      </x:c>
      <x:c r="F196" s="222">
        <x:v>0</x:v>
      </x:c>
      <x:c r="G196" s="222">
        <x:v>0</x:v>
      </x:c>
      <x:c r="H196" s="222">
        <x:v>0</x:v>
      </x:c>
      <x:c r="I196" s="222">
        <x:v>0</x:v>
      </x:c>
      <x:c r="J196" s="222">
        <x:v>0</x:v>
      </x:c>
      <x:c r="K196" s="222">
        <x:v>0</x:v>
      </x:c>
      <x:c r="L196" s="222">
        <x:v>0</x:v>
      </x:c>
      <x:c r="M196" s="222">
        <x:v>0</x:v>
      </x:c>
      <x:c r="N196" s="222">
        <x:v>0</x:v>
      </x:c>
      <x:c r="O196" s="222">
        <x:v>0</x:v>
      </x:c>
      <x:c r="P196" s="222">
        <x:v>0</x:v>
      </x:c>
      <x:c r="Q196" s="222">
        <x:v>0</x:v>
      </x:c>
      <x:c r="R196" s="237">
        <x:v>0</x:v>
      </x:c>
    </x:row>
    <x:row r="197" spans="1:18" ht="12.75" customHeight="1" x14ac:dyDescent="0.3">
      <x:c r="C197" s="89"/>
      <x:c r="D197" s="89" t="s">
        <x:v>73</x:v>
      </x:c>
      <x:c r="E197" s="371">
        <x:v>0</x:v>
      </x:c>
      <x:c r="F197" s="90">
        <x:v>0</x:v>
      </x:c>
      <x:c r="G197" s="90">
        <x:v>0</x:v>
      </x:c>
      <x:c r="H197" s="90">
        <x:v>0</x:v>
      </x:c>
      <x:c r="I197" s="90">
        <x:v>0</x:v>
      </x:c>
      <x:c r="J197" s="90">
        <x:v>0</x:v>
      </x:c>
      <x:c r="K197" s="90">
        <x:v>0</x:v>
      </x:c>
      <x:c r="L197" s="90">
        <x:v>0</x:v>
      </x:c>
      <x:c r="M197" s="90">
        <x:v>0</x:v>
      </x:c>
      <x:c r="N197" s="90">
        <x:v>0</x:v>
      </x:c>
      <x:c r="O197" s="90">
        <x:v>0</x:v>
      </x:c>
      <x:c r="P197" s="90">
        <x:v>0</x:v>
      </x:c>
      <x:c r="Q197" s="90">
        <x:v>0</x:v>
      </x:c>
      <x:c r="R197">
        <x:v>0</x:v>
      </x:c>
    </x:row>
    <x:row r="198" spans="1:18" ht="12.75" customHeight="1" x14ac:dyDescent="0.3">
      <x:c r="C198" t="s">
        <x:v>82</x:v>
      </x:c>
      <x:c r="D198" t="s">
        <x:v>70</x:v>
      </x:c>
      <x:c r="E198">
        <x:v>0</x:v>
      </x:c>
      <x:c r="F198">
        <x:v>0</x:v>
      </x:c>
      <x:c r="G198">
        <x:v>0</x:v>
      </x:c>
      <x:c r="H198">
        <x:v>0</x:v>
      </x:c>
      <x:c r="I198">
        <x:v>0</x:v>
      </x:c>
      <x:c r="J198">
        <x:v>0</x:v>
      </x:c>
      <x:c r="K198">
        <x:v>0</x:v>
      </x:c>
      <x:c r="L198">
        <x:v>0</x:v>
      </x:c>
      <x:c r="M198">
        <x:v>0</x:v>
      </x:c>
      <x:c r="N198">
        <x:v>0</x:v>
      </x:c>
      <x:c r="O198">
        <x:v>0</x:v>
      </x:c>
      <x:c r="P198">
        <x:v>0</x:v>
      </x:c>
      <x:c r="Q198">
        <x:v>0</x:v>
      </x:c>
      <x:c r="R198">
        <x:v>0</x:v>
      </x:c>
    </x:row>
    <x:row r="199" spans="1:18" ht="12.75" customHeight="1" x14ac:dyDescent="0.3">
      <x:c r="D199" t="s">
        <x:v>73</x:v>
      </x:c>
      <x:c r="E199">
        <x:v>0</x:v>
      </x:c>
      <x:c r="F199">
        <x:v>0</x:v>
      </x:c>
      <x:c r="G199">
        <x:v>0</x:v>
      </x:c>
      <x:c r="H199">
        <x:v>0</x:v>
      </x:c>
      <x:c r="I199">
        <x:v>0</x:v>
      </x:c>
      <x:c r="J199">
        <x:v>0</x:v>
      </x:c>
      <x:c r="K199">
        <x:v>0</x:v>
      </x:c>
      <x:c r="L199">
        <x:v>0</x:v>
      </x:c>
      <x:c r="M199">
        <x:v>0</x:v>
      </x:c>
      <x:c r="N199">
        <x:v>0</x:v>
      </x:c>
      <x:c r="O199">
        <x:v>0</x:v>
      </x:c>
      <x:c r="P199">
        <x:v>0</x:v>
      </x:c>
      <x:c r="Q199">
        <x:v>0</x:v>
      </x:c>
      <x:c r="R199">
        <x:v>0</x:v>
      </x:c>
    </x:row>
    <x:row r="200" spans="1:18" ht="12.75" customHeight="1" x14ac:dyDescent="0.3">
      <x:c r="C200" t="s">
        <x:v>86</x:v>
      </x:c>
      <x:c r="D200" t="s">
        <x:v>70</x:v>
      </x:c>
      <x:c r="E200">
        <x:v>0</x:v>
      </x:c>
      <x:c r="F200">
        <x:v>0</x:v>
      </x:c>
      <x:c r="G200">
        <x:v>0</x:v>
      </x:c>
      <x:c r="H200">
        <x:v>0</x:v>
      </x:c>
      <x:c r="I200">
        <x:v>0</x:v>
      </x:c>
      <x:c r="J200">
        <x:v>0</x:v>
      </x:c>
      <x:c r="K200">
        <x:v>0</x:v>
      </x:c>
      <x:c r="L200">
        <x:v>0</x:v>
      </x:c>
      <x:c r="M200">
        <x:v>0</x:v>
      </x:c>
      <x:c r="N200">
        <x:v>0</x:v>
      </x:c>
      <x:c r="O200">
        <x:v>0</x:v>
      </x:c>
      <x:c r="P200">
        <x:v>0</x:v>
      </x:c>
      <x:c r="Q200">
        <x:v>0</x:v>
      </x:c>
      <x:c r="R200">
        <x:v>0</x:v>
      </x:c>
    </x:row>
    <x:row r="201" spans="1:18" ht="12.75" customHeight="1" x14ac:dyDescent="0.3">
      <x:c r="D201" s="89" t="s">
        <x:v>73</x:v>
      </x:c>
      <x:c r="E201" s="90">
        <x:v>0</x:v>
      </x:c>
      <x:c r="F201" s="90">
        <x:v>0</x:v>
      </x:c>
      <x:c r="G201" s="90">
        <x:v>0</x:v>
      </x:c>
      <x:c r="H201" s="90">
        <x:v>0</x:v>
      </x:c>
      <x:c r="I201" s="90">
        <x:v>0</x:v>
      </x:c>
      <x:c r="J201" s="90">
        <x:v>0</x:v>
      </x:c>
      <x:c r="K201" s="90">
        <x:v>0</x:v>
      </x:c>
      <x:c r="L201" s="90">
        <x:v>0</x:v>
      </x:c>
      <x:c r="M201" s="90">
        <x:v>0</x:v>
      </x:c>
      <x:c r="N201" s="90">
        <x:v>0</x:v>
      </x:c>
      <x:c r="O201" s="90">
        <x:v>0</x:v>
      </x:c>
      <x:c r="P201" s="90">
        <x:v>0</x:v>
      </x:c>
      <x:c r="Q201" s="90">
        <x:v>0</x:v>
      </x:c>
      <x:c r="R201">
        <x:v>0</x:v>
      </x:c>
    </x:row>
    <x:row r="202" spans="1:18" ht="12.75" customHeight="1" x14ac:dyDescent="0.3">
      <x:c r="C202" t="s">
        <x:v>87</x:v>
      </x:c>
      <x:c r="D202" s="89" t="s">
        <x:v>70</x:v>
      </x:c>
      <x:c r="E202" s="90">
        <x:v>0</x:v>
      </x:c>
      <x:c r="F202" s="90">
        <x:v>0</x:v>
      </x:c>
      <x:c r="G202" s="90">
        <x:v>0</x:v>
      </x:c>
      <x:c r="H202" s="90">
        <x:v>0</x:v>
      </x:c>
      <x:c r="I202" s="90">
        <x:v>0</x:v>
      </x:c>
      <x:c r="J202" s="90">
        <x:v>0</x:v>
      </x:c>
      <x:c r="K202" s="90">
        <x:v>0</x:v>
      </x:c>
      <x:c r="L202" s="90">
        <x:v>0</x:v>
      </x:c>
      <x:c r="M202" s="90">
        <x:v>0</x:v>
      </x:c>
      <x:c r="N202" s="90">
        <x:v>0</x:v>
      </x:c>
      <x:c r="O202" s="90">
        <x:v>0</x:v>
      </x:c>
      <x:c r="P202" s="90">
        <x:v>0</x:v>
      </x:c>
      <x:c r="Q202" s="90">
        <x:v>0</x:v>
      </x:c>
      <x:c r="R202">
        <x:v>0</x:v>
      </x:c>
    </x:row>
    <x:row r="203" spans="1:18" s="94" customFormat="1" ht="12.75" customHeight="1" x14ac:dyDescent="0.3">
      <x:c r="B203" s="101" t="s">
        <x:v>119</x:v>
      </x:c>
      <x:c r="C203" s="101" t="s">
        <x:v>70</x:v>
      </x:c>
      <x:c r="E203" s="93" t="n">
        <x:v>565581.06</x:v>
      </x:c>
      <x:c r="F203" s="93">
        <x:v>0</x:v>
      </x:c>
      <x:c r="G203" s="93">
        <x:v>0</x:v>
      </x:c>
      <x:c r="H203" s="93">
        <x:v>0</x:v>
      </x:c>
      <x:c r="I203" s="93">
        <x:v>0</x:v>
      </x:c>
      <x:c r="J203" s="93">
        <x:v>0</x:v>
      </x:c>
      <x:c r="K203" s="93">
        <x:v>0</x:v>
      </x:c>
      <x:c r="L203" s="93">
        <x:v>0</x:v>
      </x:c>
      <x:c r="M203" s="93">
        <x:v>0</x:v>
      </x:c>
      <x:c r="N203" s="93">
        <x:v>0</x:v>
      </x:c>
      <x:c r="O203" s="93">
        <x:v>0</x:v>
      </x:c>
      <x:c r="P203" s="93">
        <x:v>0</x:v>
      </x:c>
      <x:c r="Q203" s="93">
        <x:v>0</x:v>
      </x:c>
      <x:c r="R203" s="94">
        <x:v>0</x:v>
      </x:c>
    </x:row>
    <x:row r="204" spans="1:18" s="226" customFormat="1" ht="12.75" customHeight="1" x14ac:dyDescent="0.3">
      <x:c r="A204" s="98" t="s">
        <x:v>79</x:v>
      </x:c>
      <x:c r="B204" s="98" t="s">
        <x:v>70</x:v>
      </x:c>
      <x:c r="E204" s="100" t="n">
        <x:v>-3867345.76</x:v>
      </x:c>
      <x:c r="F204" s="100">
        <x:v>0</x:v>
      </x:c>
      <x:c r="G204" s="100">
        <x:v>0</x:v>
      </x:c>
      <x:c r="H204" s="100">
        <x:v>0</x:v>
      </x:c>
      <x:c r="I204" s="100">
        <x:v>0</x:v>
      </x:c>
      <x:c r="J204" s="100">
        <x:v>0</x:v>
      </x:c>
      <x:c r="K204" s="100">
        <x:v>0</x:v>
      </x:c>
      <x:c r="L204" s="100">
        <x:v>0</x:v>
      </x:c>
      <x:c r="M204" s="100">
        <x:v>0</x:v>
      </x:c>
      <x:c r="N204" s="100">
        <x:v>0</x:v>
      </x:c>
      <x:c r="O204" s="100">
        <x:v>0</x:v>
      </x:c>
      <x:c r="P204" s="100">
        <x:v>0</x:v>
      </x:c>
      <x:c r="Q204" s="100">
        <x:v>0</x:v>
      </x:c>
      <x:c r="R204" s="226">
        <x:v>0</x:v>
      </x:c>
    </x:row>
    <x:row r="205" spans="1:18" ht="12.75" customHeight="1" x14ac:dyDescent="0.3">
      <x:c r="A205" s="89" t="s">
        <x:v>70</x:v>
      </x:c>
      <x:c r="E205" s="90">
        <x:v>0</x:v>
      </x:c>
      <x:c r="F205" s="90">
        <x:v>0</x:v>
      </x:c>
      <x:c r="G205" s="90">
        <x:v>0</x:v>
      </x:c>
      <x:c r="H205" s="90">
        <x:v>0</x:v>
      </x:c>
      <x:c r="I205" s="90">
        <x:v>0</x:v>
      </x:c>
      <x:c r="J205" s="90">
        <x:v>0</x:v>
      </x:c>
      <x:c r="K205" s="90">
        <x:v>0</x:v>
      </x:c>
      <x:c r="L205" s="90">
        <x:v>0</x:v>
      </x:c>
      <x:c r="M205" s="90">
        <x:v>0</x:v>
      </x:c>
      <x:c r="N205" s="90">
        <x:v>0</x:v>
      </x:c>
      <x:c r="O205" s="90">
        <x:v>0</x:v>
      </x:c>
      <x:c r="P205" s="90">
        <x:v>0</x:v>
      </x:c>
      <x:c r="Q205" s="90">
        <x:v>0</x:v>
      </x:c>
      <x:c r="R205">
        <x:v>0</x:v>
      </x:c>
    </x:row>
    <x:row r="206" spans="1:18" ht="12.75" customHeight="1" x14ac:dyDescent="0.3">
      <x:c r="A206" s="89"/>
      <x:c r="E206" s="90"/>
      <x:c r="F206" s="90"/>
      <x:c r="G206" s="90"/>
      <x:c r="H206" s="90"/>
      <x:c r="I206" s="90"/>
      <x:c r="J206" s="90"/>
      <x:c r="K206" s="90"/>
      <x:c r="L206" s="90"/>
      <x:c r="M206" s="90"/>
      <x:c r="N206" s="90"/>
      <x:c r="O206" s="90"/>
      <x:c r="P206" s="90"/>
      <x:c r="Q206" s="90"/>
    </x:row>
    <x:row r="207" spans="1:18" ht="12.75" hidden="1" customHeight="1" x14ac:dyDescent="0.3">
      <x:c r="A207" s="89"/>
      <x:c r="E207" s="90"/>
      <x:c r="F207" s="90"/>
      <x:c r="G207" s="90"/>
      <x:c r="H207" s="90"/>
      <x:c r="I207" s="90"/>
      <x:c r="J207" s="90"/>
      <x:c r="K207" s="90"/>
      <x:c r="L207" s="90"/>
      <x:c r="M207" s="90"/>
      <x:c r="N207" s="90"/>
      <x:c r="O207" s="90"/>
      <x:c r="P207" s="90"/>
      <x:c r="Q207" s="90"/>
    </x:row>
    <x:row r="208" spans="1:18" ht="12.75" hidden="1" customHeight="1" x14ac:dyDescent="0.3">
      <x:c r="A208" s="89"/>
      <x:c r="E208" s="90"/>
      <x:c r="F208" s="90"/>
      <x:c r="G208" s="90"/>
      <x:c r="H208" s="90"/>
      <x:c r="I208" s="90"/>
      <x:c r="J208" s="90"/>
      <x:c r="K208" s="90"/>
      <x:c r="L208" s="90"/>
      <x:c r="M208" s="90"/>
      <x:c r="N208" s="90"/>
      <x:c r="O208" s="90"/>
      <x:c r="P208" s="90"/>
      <x:c r="Q208" s="90"/>
    </x:row>
    <x:row r="209" spans="1:17" ht="12.75" hidden="1" customHeight="1" x14ac:dyDescent="0.3">
      <x:c r="A209" s="89"/>
      <x:c r="E209" s="90"/>
      <x:c r="F209" s="90"/>
      <x:c r="G209" s="90"/>
      <x:c r="H209" s="90"/>
      <x:c r="I209" s="90"/>
      <x:c r="J209" s="90"/>
      <x:c r="K209" s="90"/>
      <x:c r="L209" s="90"/>
      <x:c r="M209" s="90"/>
      <x:c r="N209" s="90"/>
      <x:c r="O209" s="90"/>
      <x:c r="P209" s="90"/>
      <x:c r="Q209" s="90"/>
    </x:row>
    <x:row r="210" spans="1:17" ht="12.75" hidden="1" customHeight="1" x14ac:dyDescent="0.3">
      <x:c r="A210" s="89"/>
      <x:c r="E210" s="90"/>
      <x:c r="F210" s="90"/>
      <x:c r="G210" s="90"/>
      <x:c r="H210" s="90"/>
      <x:c r="I210" s="90"/>
      <x:c r="J210" s="90"/>
      <x:c r="K210" s="90"/>
      <x:c r="L210" s="90"/>
      <x:c r="M210" s="90"/>
      <x:c r="N210" s="90"/>
      <x:c r="O210" s="90"/>
      <x:c r="P210" s="90"/>
      <x:c r="Q210" s="90"/>
    </x:row>
    <x:row r="211" spans="1:17" ht="12.75" hidden="1" customHeight="1" x14ac:dyDescent="0.3">
      <x:c r="A211" s="89"/>
      <x:c r="E211" s="90"/>
      <x:c r="F211" s="90"/>
      <x:c r="G211" s="90"/>
      <x:c r="H211" s="90"/>
      <x:c r="I211" s="90"/>
      <x:c r="J211" s="90"/>
      <x:c r="K211" s="90"/>
      <x:c r="L211" s="90"/>
      <x:c r="M211" s="90"/>
      <x:c r="N211" s="90"/>
      <x:c r="O211" s="90"/>
      <x:c r="P211" s="90"/>
      <x:c r="Q211" s="90"/>
    </x:row>
    <x:row r="212" spans="1:17" ht="12.75" hidden="1" customHeight="1" x14ac:dyDescent="0.3">
      <x:c r="A212" s="89"/>
      <x:c r="E212" s="90"/>
      <x:c r="F212" s="90"/>
      <x:c r="G212" s="90"/>
      <x:c r="H212" s="90"/>
      <x:c r="I212" s="90"/>
      <x:c r="J212" s="90"/>
      <x:c r="K212" s="90"/>
      <x:c r="L212" s="90"/>
      <x:c r="M212" s="90"/>
      <x:c r="N212" s="90"/>
      <x:c r="O212" s="90"/>
      <x:c r="P212" s="90"/>
      <x:c r="Q212" s="90"/>
    </x:row>
    <x:row r="213" spans="1:17" ht="12.75" hidden="1" customHeight="1" x14ac:dyDescent="0.3">
      <x:c r="A213" s="89"/>
      <x:c r="E213" s="90"/>
      <x:c r="F213" s="90"/>
      <x:c r="G213" s="90"/>
      <x:c r="H213" s="90"/>
      <x:c r="I213" s="90"/>
      <x:c r="J213" s="90"/>
      <x:c r="K213" s="90"/>
      <x:c r="L213" s="90"/>
      <x:c r="M213" s="90"/>
      <x:c r="N213" s="90"/>
      <x:c r="O213" s="90"/>
      <x:c r="P213" s="90"/>
      <x:c r="Q213" s="90"/>
    </x:row>
    <x:row r="214" spans="1:17" ht="12.75" hidden="1" customHeight="1" x14ac:dyDescent="0.3">
      <x:c r="A214" s="89"/>
      <x:c r="E214" s="90"/>
      <x:c r="F214" s="90"/>
      <x:c r="G214" s="90"/>
      <x:c r="H214" s="90"/>
      <x:c r="I214" s="90"/>
      <x:c r="J214" s="90"/>
      <x:c r="K214" s="90"/>
      <x:c r="L214" s="90"/>
      <x:c r="M214" s="90"/>
      <x:c r="N214" s="90"/>
      <x:c r="O214" s="90"/>
      <x:c r="P214" s="90"/>
      <x:c r="Q214" s="90"/>
    </x:row>
    <x:row r="215" spans="1:17" ht="12.75" hidden="1" customHeight="1" x14ac:dyDescent="0.3">
      <x:c r="A215" s="89"/>
      <x:c r="E215" s="90"/>
      <x:c r="F215" s="90"/>
      <x:c r="G215" s="90"/>
      <x:c r="H215" s="90"/>
      <x:c r="I215" s="90"/>
      <x:c r="J215" s="90"/>
      <x:c r="K215" s="90"/>
      <x:c r="L215" s="90"/>
      <x:c r="M215" s="90"/>
      <x:c r="N215" s="90"/>
      <x:c r="O215" s="90"/>
      <x:c r="P215" s="90"/>
      <x:c r="Q215" s="90"/>
    </x:row>
    <x:row r="216" spans="1:17" ht="12.75" hidden="1" customHeight="1" x14ac:dyDescent="0.3">
      <x:c r="A216" s="89"/>
      <x:c r="E216" s="90"/>
      <x:c r="F216" s="90"/>
      <x:c r="G216" s="90"/>
      <x:c r="H216" s="90"/>
      <x:c r="I216" s="90"/>
      <x:c r="J216" s="90"/>
      <x:c r="K216" s="90"/>
      <x:c r="L216" s="90"/>
      <x:c r="M216" s="90"/>
      <x:c r="N216" s="90"/>
      <x:c r="O216" s="90"/>
      <x:c r="P216" s="90"/>
      <x:c r="Q216" s="90"/>
    </x:row>
    <x:row r="217" spans="1:17" ht="12.75" hidden="1" customHeight="1" x14ac:dyDescent="0.3">
      <x:c r="A217" s="89"/>
      <x:c r="E217" s="90"/>
      <x:c r="F217" s="90"/>
      <x:c r="G217" s="90"/>
      <x:c r="H217" s="90"/>
      <x:c r="I217" s="90"/>
      <x:c r="J217" s="90"/>
      <x:c r="K217" s="90"/>
      <x:c r="L217" s="90"/>
      <x:c r="M217" s="90"/>
      <x:c r="N217" s="90"/>
      <x:c r="O217" s="90"/>
      <x:c r="P217" s="90"/>
      <x:c r="Q217" s="90"/>
    </x:row>
    <x:row r="218" spans="1:17" ht="12.75" hidden="1" customHeight="1" x14ac:dyDescent="0.3">
      <x:c r="A218" s="89"/>
      <x:c r="E218" s="90"/>
      <x:c r="F218" s="90"/>
      <x:c r="G218" s="90"/>
      <x:c r="H218" s="90"/>
      <x:c r="I218" s="90"/>
      <x:c r="J218" s="90"/>
      <x:c r="K218" s="90"/>
      <x:c r="L218" s="90"/>
      <x:c r="M218" s="90"/>
      <x:c r="N218" s="90"/>
      <x:c r="O218" s="90"/>
      <x:c r="P218" s="90"/>
      <x:c r="Q218" s="90"/>
    </x:row>
    <x:row r="219" spans="1:17" ht="12.75" hidden="1" customHeight="1" x14ac:dyDescent="0.3">
      <x:c r="A219" s="89"/>
      <x:c r="E219" s="90"/>
      <x:c r="F219" s="90"/>
      <x:c r="G219" s="90"/>
      <x:c r="H219" s="90"/>
      <x:c r="I219" s="90"/>
      <x:c r="J219" s="90"/>
      <x:c r="K219" s="90"/>
      <x:c r="L219" s="90"/>
      <x:c r="M219" s="90"/>
      <x:c r="N219" s="90"/>
      <x:c r="O219" s="90"/>
      <x:c r="P219" s="90"/>
      <x:c r="Q219" s="90"/>
    </x:row>
    <x:row r="220" spans="1:17" ht="12.75" hidden="1" customHeight="1" x14ac:dyDescent="0.3">
      <x:c r="A220" s="89"/>
      <x:c r="E220" s="90"/>
      <x:c r="F220" s="90"/>
      <x:c r="G220" s="90"/>
      <x:c r="H220" s="90"/>
      <x:c r="I220" s="90"/>
      <x:c r="J220" s="90"/>
      <x:c r="K220" s="90"/>
      <x:c r="L220" s="90"/>
      <x:c r="M220" s="90"/>
      <x:c r="N220" s="90"/>
      <x:c r="O220" s="90"/>
      <x:c r="P220" s="90"/>
      <x:c r="Q220" s="90"/>
    </x:row>
    <x:row r="221" spans="1:17" ht="12.75" hidden="1" customHeight="1" x14ac:dyDescent="0.3">
      <x:c r="A221" s="89"/>
      <x:c r="E221" s="90"/>
      <x:c r="F221" s="90"/>
      <x:c r="G221" s="90"/>
      <x:c r="H221" s="90"/>
      <x:c r="I221" s="90"/>
      <x:c r="J221" s="90"/>
      <x:c r="K221" s="90"/>
      <x:c r="L221" s="90"/>
      <x:c r="M221" s="90"/>
      <x:c r="N221" s="90"/>
      <x:c r="O221" s="90"/>
      <x:c r="P221" s="90"/>
      <x:c r="Q221" s="90"/>
    </x:row>
    <x:row r="222" spans="1:17" ht="12.75" hidden="1" customHeight="1" x14ac:dyDescent="0.3">
      <x:c r="A222" s="89"/>
      <x:c r="E222" s="90"/>
      <x:c r="F222" s="90"/>
      <x:c r="G222" s="90"/>
      <x:c r="H222" s="90"/>
      <x:c r="I222" s="90"/>
      <x:c r="J222" s="90"/>
      <x:c r="K222" s="90"/>
      <x:c r="L222" s="90"/>
      <x:c r="M222" s="90"/>
      <x:c r="N222" s="90"/>
      <x:c r="O222" s="90"/>
      <x:c r="P222" s="90"/>
      <x:c r="Q222" s="90"/>
    </x:row>
    <x:row r="223" spans="1:17" ht="12.75" hidden="1" customHeight="1" x14ac:dyDescent="0.3">
      <x:c r="A223" s="89"/>
      <x:c r="E223" s="90"/>
      <x:c r="F223" s="90"/>
      <x:c r="G223" s="90"/>
      <x:c r="H223" s="90"/>
      <x:c r="I223" s="90"/>
      <x:c r="J223" s="90"/>
      <x:c r="K223" s="90"/>
      <x:c r="L223" s="90"/>
      <x:c r="M223" s="90"/>
      <x:c r="N223" s="90"/>
      <x:c r="O223" s="90"/>
      <x:c r="P223" s="90"/>
      <x:c r="Q223" s="90"/>
    </x:row>
    <x:row r="224" spans="1:17" ht="12.75" hidden="1" customHeight="1" x14ac:dyDescent="0.3">
      <x:c r="A224" s="89"/>
      <x:c r="E224" s="90"/>
      <x:c r="F224" s="90"/>
      <x:c r="G224" s="90"/>
      <x:c r="H224" s="90"/>
      <x:c r="I224" s="90"/>
      <x:c r="J224" s="90"/>
      <x:c r="K224" s="90"/>
      <x:c r="L224" s="90"/>
      <x:c r="M224" s="90"/>
      <x:c r="N224" s="90"/>
      <x:c r="O224" s="90"/>
      <x:c r="P224" s="90"/>
      <x:c r="Q224" s="90"/>
    </x:row>
    <x:row r="225" spans="1:18" ht="12.75" hidden="1" customHeight="1" x14ac:dyDescent="0.3">
      <x:c r="A225" s="89"/>
      <x:c r="E225" s="90"/>
      <x:c r="F225" s="90"/>
      <x:c r="G225" s="90"/>
      <x:c r="H225" s="90"/>
      <x:c r="I225" s="90"/>
      <x:c r="J225" s="90"/>
      <x:c r="K225" s="90"/>
      <x:c r="L225" s="90"/>
      <x:c r="M225" s="90"/>
      <x:c r="N225" s="90"/>
      <x:c r="O225" s="90"/>
      <x:c r="P225" s="90"/>
      <x:c r="Q225" s="90"/>
    </x:row>
    <x:row r="226" spans="1:18" ht="12.75" hidden="1" customHeight="1" x14ac:dyDescent="0.3">
      <x:c r="A226" s="89"/>
      <x:c r="E226" s="90"/>
      <x:c r="F226" s="90"/>
      <x:c r="G226" s="90"/>
      <x:c r="H226" s="90"/>
      <x:c r="I226" s="90"/>
      <x:c r="J226" s="90"/>
      <x:c r="K226" s="90"/>
      <x:c r="L226" s="90"/>
      <x:c r="M226" s="90"/>
      <x:c r="N226" s="90"/>
      <x:c r="O226" s="90"/>
      <x:c r="P226" s="90"/>
      <x:c r="Q226" s="90"/>
    </x:row>
    <x:row r="227" spans="1:18" ht="12.75" hidden="1" customHeight="1" x14ac:dyDescent="0.3">
      <x:c r="A227" s="89"/>
      <x:c r="E227" s="90"/>
      <x:c r="F227" s="90"/>
      <x:c r="G227" s="90"/>
      <x:c r="H227" s="90"/>
      <x:c r="I227" s="90"/>
      <x:c r="J227" s="90"/>
      <x:c r="K227" s="90"/>
      <x:c r="L227" s="90"/>
      <x:c r="M227" s="90"/>
      <x:c r="N227" s="90"/>
      <x:c r="O227" s="90"/>
      <x:c r="P227" s="90"/>
      <x:c r="Q227" s="90"/>
    </x:row>
    <x:row r="228" spans="1:18" ht="12.75" hidden="1" customHeight="1" x14ac:dyDescent="0.3">
      <x:c r="A228" s="89"/>
      <x:c r="E228" s="90"/>
      <x:c r="F228" s="90"/>
      <x:c r="G228" s="90"/>
      <x:c r="H228" s="90"/>
      <x:c r="I228" s="90"/>
      <x:c r="J228" s="90"/>
      <x:c r="K228" s="90"/>
      <x:c r="L228" s="90"/>
      <x:c r="M228" s="90"/>
      <x:c r="N228" s="90"/>
      <x:c r="O228" s="90"/>
      <x:c r="P228" s="90"/>
      <x:c r="Q228" s="90"/>
    </x:row>
    <x:row r="229" spans="1:18" ht="12.75" hidden="1" customHeight="1" x14ac:dyDescent="0.3">
      <x:c r="A229" s="89"/>
      <x:c r="E229" s="90"/>
      <x:c r="F229" s="90"/>
      <x:c r="G229" s="90"/>
      <x:c r="H229" s="90"/>
      <x:c r="I229" s="90"/>
      <x:c r="J229" s="90"/>
      <x:c r="K229" s="90"/>
      <x:c r="L229" s="90"/>
      <x:c r="M229" s="90"/>
      <x:c r="N229" s="90"/>
      <x:c r="O229" s="90"/>
      <x:c r="P229" s="90"/>
      <x:c r="Q229" s="90"/>
    </x:row>
    <x:row r="230" spans="1:18" ht="12.75" hidden="1" customHeight="1" x14ac:dyDescent="0.3">
      <x:c r="A230" s="89"/>
      <x:c r="E230" s="90"/>
      <x:c r="F230" s="90"/>
      <x:c r="G230" s="90"/>
      <x:c r="H230" s="90"/>
      <x:c r="I230" s="90"/>
      <x:c r="J230" s="90"/>
      <x:c r="K230" s="90"/>
      <x:c r="L230" s="90"/>
      <x:c r="M230" s="90"/>
      <x:c r="N230" s="90"/>
      <x:c r="O230" s="90"/>
      <x:c r="P230" s="90"/>
      <x:c r="Q230" s="90"/>
    </x:row>
    <x:row r="231" spans="1:18" ht="12.75" hidden="1" customHeight="1" x14ac:dyDescent="0.3">
      <x:c r="A231" s="89"/>
      <x:c r="E231" s="90"/>
      <x:c r="F231" s="90"/>
      <x:c r="G231" s="90"/>
      <x:c r="H231" s="90"/>
      <x:c r="I231" s="90"/>
      <x:c r="J231" s="90"/>
      <x:c r="K231" s="90"/>
      <x:c r="L231" s="90"/>
      <x:c r="M231" s="90"/>
      <x:c r="N231" s="90"/>
      <x:c r="O231" s="90"/>
      <x:c r="P231" s="90"/>
      <x:c r="Q231" s="90"/>
    </x:row>
    <x:row r="232" spans="1:18" ht="12.75" hidden="1" customHeight="1" x14ac:dyDescent="0.3">
      <x:c r="A232" s="89"/>
      <x:c r="E232" s="90"/>
      <x:c r="F232" s="90"/>
      <x:c r="G232" s="90"/>
      <x:c r="H232" s="90"/>
      <x:c r="I232" s="90"/>
      <x:c r="J232" s="90"/>
      <x:c r="K232" s="90"/>
      <x:c r="L232" s="90"/>
      <x:c r="M232" s="90"/>
      <x:c r="N232" s="90"/>
      <x:c r="O232" s="90"/>
      <x:c r="P232" s="90"/>
      <x:c r="Q232" s="90"/>
    </x:row>
    <x:row r="233" spans="1:18" ht="12.75" hidden="1" customHeight="1" x14ac:dyDescent="0.3">
      <x:c r="A233" s="89"/>
      <x:c r="E233" s="90"/>
      <x:c r="F233" s="90"/>
      <x:c r="G233" s="90"/>
      <x:c r="H233" s="90"/>
      <x:c r="I233" s="90"/>
      <x:c r="J233" s="90"/>
      <x:c r="K233" s="90"/>
      <x:c r="L233" s="90"/>
      <x:c r="M233" s="90"/>
      <x:c r="N233" s="90"/>
      <x:c r="O233" s="90"/>
      <x:c r="P233" s="90"/>
      <x:c r="Q233" s="90"/>
    </x:row>
    <x:row r="234" spans="1:18" ht="12.75" hidden="1" customHeight="1" x14ac:dyDescent="0.3">
      <x:c r="A234" s="89"/>
      <x:c r="E234" s="90"/>
      <x:c r="F234" s="90"/>
      <x:c r="G234" s="90"/>
      <x:c r="H234" s="90"/>
      <x:c r="I234" s="90"/>
      <x:c r="J234" s="90"/>
      <x:c r="K234" s="90"/>
      <x:c r="L234" s="90"/>
      <x:c r="M234" s="90"/>
      <x:c r="N234" s="90"/>
      <x:c r="O234" s="90"/>
      <x:c r="P234" s="90"/>
      <x:c r="Q234" s="90"/>
    </x:row>
    <x:row r="235" spans="1:18" ht="12.75" hidden="1" customHeight="1" x14ac:dyDescent="0.3">
      <x:c r="A235" s="89"/>
      <x:c r="E235" s="90"/>
      <x:c r="F235" s="90"/>
      <x:c r="G235" s="90"/>
      <x:c r="H235" s="90"/>
      <x:c r="I235" s="90"/>
      <x:c r="J235" s="90"/>
      <x:c r="K235" s="90"/>
      <x:c r="L235" s="90"/>
      <x:c r="M235" s="90"/>
      <x:c r="N235" s="90"/>
      <x:c r="O235" s="90"/>
      <x:c r="P235" s="90"/>
      <x:c r="Q235" s="90"/>
    </x:row>
    <x:row r="236" spans="1:18" ht="12.75" hidden="1" customHeight="1" x14ac:dyDescent="0.3">
      <x:c r="A236" s="89"/>
      <x:c r="E236" s="90"/>
      <x:c r="F236" s="90"/>
      <x:c r="G236" s="90"/>
      <x:c r="H236" s="90"/>
      <x:c r="I236" s="90"/>
      <x:c r="J236" s="90"/>
      <x:c r="K236" s="90"/>
      <x:c r="L236" s="90"/>
      <x:c r="M236" s="90"/>
      <x:c r="N236" s="90"/>
      <x:c r="O236" s="90"/>
      <x:c r="P236" s="90"/>
      <x:c r="Q236" s="90"/>
    </x:row>
    <x:row r="237" spans="1:18" ht="12.75" customHeight="1" x14ac:dyDescent="0.3">
      <x:c r="C237" s="89"/>
      <x:c r="D237" s="89"/>
      <x:c r="E237" s="90"/>
      <x:c r="F237" s="90"/>
      <x:c r="G237" s="90"/>
      <x:c r="H237" s="90"/>
      <x:c r="I237" s="90"/>
      <x:c r="J237" s="90"/>
      <x:c r="K237" s="90"/>
      <x:c r="L237" s="90"/>
      <x:c r="M237" s="90"/>
      <x:c r="N237" s="90"/>
      <x:c r="O237" s="90"/>
      <x:c r="P237" s="90"/>
      <x:c r="Q237" s="90"/>
      <x:c r="R237" s="90"/>
    </x:row>
    <x:row r="238" spans="1:18" ht="12.75" hidden="1" customHeight="1" x14ac:dyDescent="0.3">
      <x:c r="D238" s="89"/>
      <x:c r="E238" s="90"/>
      <x:c r="F238" s="90"/>
      <x:c r="G238" s="90"/>
      <x:c r="H238" s="90"/>
      <x:c r="I238" s="90"/>
      <x:c r="J238" s="90"/>
      <x:c r="K238" s="90"/>
      <x:c r="L238" s="90"/>
      <x:c r="M238" s="90"/>
      <x:c r="N238" s="90"/>
      <x:c r="O238" s="90"/>
      <x:c r="P238" s="90"/>
      <x:c r="Q238" s="90"/>
      <x:c r="R238" s="90"/>
    </x:row>
    <x:row r="239" spans="1:18" ht="12.75" hidden="1" customHeight="1" x14ac:dyDescent="0.3">
      <x:c r="C239" s="89"/>
      <x:c r="D239" s="89"/>
      <x:c r="E239" s="90"/>
      <x:c r="F239" s="90"/>
      <x:c r="G239" s="90"/>
      <x:c r="H239" s="90"/>
      <x:c r="I239" s="90"/>
      <x:c r="J239" s="90"/>
      <x:c r="K239" s="90"/>
      <x:c r="L239" s="90"/>
      <x:c r="M239" s="90"/>
      <x:c r="N239" s="90"/>
      <x:c r="O239" s="90"/>
      <x:c r="P239" s="90"/>
      <x:c r="Q239" s="90"/>
      <x:c r="R239" s="90"/>
    </x:row>
    <x:row r="240" spans="1:18" ht="12.75" hidden="1" customHeight="1" x14ac:dyDescent="0.3">
      <x:c r="D240" s="89"/>
      <x:c r="E240" s="90"/>
      <x:c r="F240" s="90"/>
      <x:c r="G240" s="90"/>
      <x:c r="H240" s="90"/>
      <x:c r="I240" s="90"/>
      <x:c r="J240" s="90"/>
      <x:c r="K240" s="90"/>
      <x:c r="L240" s="90"/>
      <x:c r="M240" s="90"/>
      <x:c r="N240" s="90"/>
      <x:c r="O240" s="90"/>
      <x:c r="P240" s="90"/>
      <x:c r="Q240" s="90"/>
      <x:c r="R240" s="90"/>
    </x:row>
    <x:row r="241" spans="1:18" ht="12.75" hidden="1" customHeight="1" x14ac:dyDescent="0.3">
      <x:c r="C241" s="89"/>
      <x:c r="D241" s="89"/>
      <x:c r="E241" s="90"/>
      <x:c r="F241" s="90"/>
      <x:c r="G241" s="90"/>
      <x:c r="H241" s="90"/>
      <x:c r="I241" s="90"/>
      <x:c r="J241" s="90"/>
      <x:c r="K241" s="90"/>
      <x:c r="L241" s="90"/>
      <x:c r="M241" s="90"/>
      <x:c r="N241" s="90"/>
      <x:c r="O241" s="90"/>
      <x:c r="P241" s="90"/>
      <x:c r="Q241" s="90"/>
      <x:c r="R241" s="90"/>
    </x:row>
    <x:row r="242" spans="1:18" ht="12.75" hidden="1" customHeight="1" x14ac:dyDescent="0.3">
      <x:c r="B242" s="89"/>
      <x:c r="C242" s="89"/>
      <x:c r="E242" s="90"/>
      <x:c r="F242" s="90"/>
      <x:c r="G242" s="90"/>
      <x:c r="H242" s="90"/>
      <x:c r="I242" s="90"/>
      <x:c r="J242" s="90"/>
      <x:c r="K242" s="90"/>
      <x:c r="L242" s="90"/>
      <x:c r="M242" s="90"/>
      <x:c r="N242" s="90"/>
      <x:c r="O242" s="90"/>
      <x:c r="P242" s="90"/>
      <x:c r="Q242" s="90"/>
      <x:c r="R242" s="90"/>
    </x:row>
    <x:row r="243" spans="1:18" ht="12.75" hidden="1" customHeight="1" x14ac:dyDescent="0.3">
      <x:c r="A243" s="89"/>
      <x:c r="B243" s="89"/>
      <x:c r="E243" s="90"/>
      <x:c r="F243" s="90"/>
      <x:c r="G243" s="90"/>
      <x:c r="H243" s="90"/>
      <x:c r="I243" s="90"/>
      <x:c r="J243" s="90"/>
      <x:c r="K243" s="90"/>
      <x:c r="L243" s="90"/>
      <x:c r="M243" s="90"/>
      <x:c r="N243" s="90"/>
      <x:c r="O243" s="90"/>
      <x:c r="P243" s="90"/>
      <x:c r="Q243" s="90"/>
      <x:c r="R243" s="90"/>
    </x:row>
    <x:row r="244" spans="1:18" ht="12.75" hidden="1" customHeight="1" x14ac:dyDescent="0.3">
      <x:c r="A244" s="89"/>
      <x:c r="E244" s="90"/>
      <x:c r="F244" s="90"/>
      <x:c r="G244" s="90"/>
      <x:c r="H244" s="90"/>
      <x:c r="I244" s="90"/>
      <x:c r="J244" s="90"/>
      <x:c r="K244" s="90"/>
      <x:c r="L244" s="90"/>
      <x:c r="M244" s="90"/>
      <x:c r="N244" s="90"/>
      <x:c r="O244" s="90"/>
      <x:c r="P244" s="90"/>
      <x:c r="Q244" s="90"/>
      <x:c r="R244" s="90"/>
    </x:row>
    <x:row r="245" spans="1:18" ht="12.75" hidden="1" customHeight="1" x14ac:dyDescent="0.3">
      <x:c r="A245" s="89"/>
      <x:c r="E245" s="90"/>
      <x:c r="F245" s="90"/>
      <x:c r="G245" s="90"/>
      <x:c r="H245" s="90"/>
      <x:c r="I245" s="90"/>
      <x:c r="J245" s="90"/>
      <x:c r="K245" s="90"/>
      <x:c r="L245" s="90"/>
      <x:c r="M245" s="90"/>
      <x:c r="N245" s="90"/>
      <x:c r="O245" s="90"/>
      <x:c r="P245" s="90"/>
      <x:c r="Q245" s="90"/>
    </x:row>
    <x:row r="246" spans="1:18" ht="12.75" hidden="1" customHeight="1" x14ac:dyDescent="0.3">
      <x:c r="A246" s="89"/>
      <x:c r="E246" s="90"/>
      <x:c r="F246" s="90"/>
      <x:c r="G246" s="90"/>
      <x:c r="H246" s="90"/>
      <x:c r="I246" s="90"/>
      <x:c r="J246" s="90"/>
      <x:c r="K246" s="90"/>
      <x:c r="L246" s="90"/>
      <x:c r="M246" s="90"/>
      <x:c r="N246" s="90"/>
      <x:c r="O246" s="90"/>
      <x:c r="P246" s="90"/>
      <x:c r="Q246" s="90"/>
    </x:row>
    <x:row r="247" spans="1:18" ht="12.75" hidden="1" customHeight="1" x14ac:dyDescent="0.3">
      <x:c r="A247" s="89"/>
      <x:c r="E247" s="90"/>
      <x:c r="F247" s="90"/>
      <x:c r="G247" s="90"/>
      <x:c r="H247" s="90"/>
      <x:c r="I247" s="90"/>
      <x:c r="J247" s="90"/>
      <x:c r="K247" s="90"/>
      <x:c r="L247" s="90"/>
      <x:c r="M247" s="90"/>
      <x:c r="N247" s="90"/>
      <x:c r="O247" s="90"/>
      <x:c r="P247" s="90"/>
      <x:c r="Q247" s="90"/>
    </x:row>
    <x:row r="248" spans="1:18" ht="12.75" hidden="1" customHeight="1" x14ac:dyDescent="0.3">
      <x:c r="A248" s="89"/>
      <x:c r="E248" s="90"/>
      <x:c r="F248" s="90"/>
      <x:c r="G248" s="90"/>
      <x:c r="H248" s="90"/>
      <x:c r="I248" s="90"/>
      <x:c r="J248" s="90"/>
      <x:c r="K248" s="90"/>
      <x:c r="L248" s="90"/>
      <x:c r="M248" s="90"/>
      <x:c r="N248" s="90"/>
      <x:c r="O248" s="90"/>
      <x:c r="P248" s="90"/>
      <x:c r="Q248" s="90"/>
    </x:row>
    <x:row r="249" spans="1:18" ht="12.75" hidden="1" customHeight="1" x14ac:dyDescent="0.3">
      <x:c r="A249" s="89"/>
      <x:c r="E249" s="90"/>
      <x:c r="F249" s="90"/>
      <x:c r="G249" s="90"/>
      <x:c r="H249" s="90"/>
      <x:c r="I249" s="90"/>
      <x:c r="J249" s="90"/>
      <x:c r="K249" s="90"/>
      <x:c r="L249" s="90"/>
      <x:c r="M249" s="90"/>
      <x:c r="N249" s="90"/>
      <x:c r="O249" s="90"/>
      <x:c r="P249" s="90"/>
      <x:c r="Q249" s="90"/>
    </x:row>
    <x:row r="250" spans="1:18" ht="12.75" hidden="1" customHeight="1" x14ac:dyDescent="0.3">
      <x:c r="A250" s="89"/>
      <x:c r="E250" s="90"/>
      <x:c r="F250" s="90"/>
      <x:c r="G250" s="90"/>
      <x:c r="H250" s="90"/>
      <x:c r="I250" s="90"/>
      <x:c r="J250" s="90"/>
      <x:c r="K250" s="90"/>
      <x:c r="L250" s="90"/>
      <x:c r="M250" s="90"/>
      <x:c r="N250" s="90"/>
      <x:c r="O250" s="90"/>
      <x:c r="P250" s="90"/>
      <x:c r="Q250" s="90"/>
    </x:row>
    <x:row r="251" spans="1:18" ht="12.75" hidden="1" customHeight="1" x14ac:dyDescent="0.3">
      <x:c r="A251" s="89"/>
      <x:c r="E251" s="90"/>
      <x:c r="F251" s="90"/>
      <x:c r="G251" s="90"/>
      <x:c r="H251" s="90"/>
      <x:c r="I251" s="90"/>
      <x:c r="J251" s="90"/>
      <x:c r="K251" s="90"/>
      <x:c r="L251" s="90"/>
      <x:c r="M251" s="90"/>
      <x:c r="N251" s="90"/>
      <x:c r="O251" s="90"/>
      <x:c r="P251" s="90"/>
      <x:c r="Q251" s="90"/>
    </x:row>
    <x:row r="252" spans="1:18" ht="12.75" hidden="1" customHeight="1" x14ac:dyDescent="0.3">
      <x:c r="A252" s="89"/>
      <x:c r="E252" s="90"/>
      <x:c r="F252" s="90"/>
      <x:c r="G252" s="90"/>
      <x:c r="H252" s="90"/>
      <x:c r="I252" s="90"/>
      <x:c r="J252" s="90"/>
      <x:c r="K252" s="90"/>
      <x:c r="L252" s="90"/>
      <x:c r="M252" s="90"/>
      <x:c r="N252" s="90"/>
      <x:c r="O252" s="90"/>
      <x:c r="P252" s="90"/>
      <x:c r="Q252" s="90"/>
    </x:row>
    <x:row r="253" spans="1:18" ht="12.75" hidden="1" customHeight="1" x14ac:dyDescent="0.3">
      <x:c r="A253" s="89"/>
      <x:c r="E253" s="90"/>
      <x:c r="F253" s="90"/>
      <x:c r="G253" s="90"/>
      <x:c r="H253" s="90"/>
      <x:c r="I253" s="90"/>
      <x:c r="J253" s="90"/>
      <x:c r="K253" s="90"/>
      <x:c r="L253" s="90"/>
      <x:c r="M253" s="90"/>
      <x:c r="N253" s="90"/>
      <x:c r="O253" s="90"/>
      <x:c r="P253" s="90"/>
      <x:c r="Q253" s="90"/>
    </x:row>
    <x:row r="254" spans="1:18" ht="12.75" hidden="1" customHeight="1" x14ac:dyDescent="0.3">
      <x:c r="A254" s="89"/>
      <x:c r="E254" s="90"/>
      <x:c r="F254" s="90"/>
      <x:c r="G254" s="90"/>
      <x:c r="H254" s="90"/>
      <x:c r="I254" s="90"/>
      <x:c r="J254" s="90"/>
      <x:c r="K254" s="90"/>
      <x:c r="L254" s="90"/>
      <x:c r="M254" s="90"/>
      <x:c r="N254" s="90"/>
      <x:c r="O254" s="90"/>
      <x:c r="P254" s="90"/>
      <x:c r="Q254" s="90"/>
    </x:row>
    <x:row r="255" spans="1:18" ht="12.75" hidden="1" customHeight="1" x14ac:dyDescent="0.3">
      <x:c r="A255" s="89"/>
      <x:c r="E255" s="90"/>
      <x:c r="F255" s="90"/>
      <x:c r="G255" s="90"/>
      <x:c r="H255" s="90"/>
      <x:c r="I255" s="90"/>
      <x:c r="J255" s="90"/>
      <x:c r="K255" s="90"/>
      <x:c r="L255" s="90"/>
      <x:c r="M255" s="90"/>
      <x:c r="N255" s="90"/>
      <x:c r="O255" s="90"/>
      <x:c r="P255" s="90"/>
      <x:c r="Q255" s="90"/>
    </x:row>
    <x:row r="256" spans="1:18" ht="12.75" hidden="1" customHeight="1" x14ac:dyDescent="0.3">
      <x:c r="A256" s="89"/>
      <x:c r="E256" s="90"/>
      <x:c r="F256" s="90"/>
      <x:c r="G256" s="90"/>
      <x:c r="H256" s="90"/>
      <x:c r="I256" s="90"/>
      <x:c r="J256" s="90"/>
      <x:c r="K256" s="90"/>
      <x:c r="L256" s="90"/>
      <x:c r="M256" s="90"/>
      <x:c r="N256" s="90"/>
      <x:c r="O256" s="90"/>
      <x:c r="P256" s="90"/>
      <x:c r="Q256" s="90"/>
    </x:row>
    <x:row r="257" spans="1:17" ht="12.75" hidden="1" customHeight="1" x14ac:dyDescent="0.3">
      <x:c r="A257" s="89"/>
      <x:c r="E257" s="90"/>
      <x:c r="F257" s="90"/>
      <x:c r="G257" s="90"/>
      <x:c r="H257" s="90"/>
      <x:c r="I257" s="90"/>
      <x:c r="J257" s="90"/>
      <x:c r="K257" s="90"/>
      <x:c r="L257" s="90"/>
      <x:c r="M257" s="90"/>
      <x:c r="N257" s="90"/>
      <x:c r="O257" s="90"/>
      <x:c r="P257" s="90"/>
      <x:c r="Q257" s="90"/>
    </x:row>
    <x:row r="258" spans="1:17" ht="12.75" hidden="1" customHeight="1" x14ac:dyDescent="0.3">
      <x:c r="A258" s="89"/>
      <x:c r="E258" s="90"/>
      <x:c r="F258" s="90"/>
      <x:c r="G258" s="90"/>
      <x:c r="H258" s="90"/>
      <x:c r="I258" s="90"/>
      <x:c r="J258" s="90"/>
      <x:c r="K258" s="90"/>
      <x:c r="L258" s="90"/>
      <x:c r="M258" s="90"/>
      <x:c r="N258" s="90"/>
      <x:c r="O258" s="90"/>
      <x:c r="P258" s="90"/>
      <x:c r="Q258" s="90"/>
    </x:row>
    <x:row r="259" spans="1:17" ht="12.75" hidden="1" customHeight="1" x14ac:dyDescent="0.3">
      <x:c r="A259" s="89"/>
      <x:c r="E259" s="90"/>
      <x:c r="F259" s="90"/>
      <x:c r="G259" s="90"/>
      <x:c r="H259" s="90"/>
      <x:c r="I259" s="90"/>
      <x:c r="J259" s="90"/>
      <x:c r="K259" s="90"/>
      <x:c r="L259" s="90"/>
      <x:c r="M259" s="90"/>
      <x:c r="N259" s="90"/>
      <x:c r="O259" s="90"/>
      <x:c r="P259" s="90"/>
      <x:c r="Q259" s="90"/>
    </x:row>
    <x:row r="260" spans="1:17" ht="12.75" hidden="1" customHeight="1" x14ac:dyDescent="0.3">
      <x:c r="A260" s="89"/>
      <x:c r="E260" s="90"/>
      <x:c r="F260" s="90"/>
      <x:c r="G260" s="90"/>
      <x:c r="H260" s="90"/>
      <x:c r="I260" s="90"/>
      <x:c r="J260" s="90"/>
      <x:c r="K260" s="90"/>
      <x:c r="L260" s="90"/>
      <x:c r="M260" s="90"/>
      <x:c r="N260" s="90"/>
      <x:c r="O260" s="90"/>
      <x:c r="P260" s="90"/>
      <x:c r="Q260" s="90"/>
    </x:row>
    <x:row r="261" spans="1:17" ht="12.75" hidden="1" customHeight="1" x14ac:dyDescent="0.3">
      <x:c r="A261" s="89"/>
      <x:c r="E261" s="90"/>
      <x:c r="F261" s="90"/>
      <x:c r="G261" s="90"/>
      <x:c r="H261" s="90"/>
      <x:c r="I261" s="90"/>
      <x:c r="J261" s="90"/>
      <x:c r="K261" s="90"/>
      <x:c r="L261" s="90"/>
      <x:c r="M261" s="90"/>
      <x:c r="N261" s="90"/>
      <x:c r="O261" s="90"/>
      <x:c r="P261" s="90"/>
      <x:c r="Q261" s="90"/>
    </x:row>
    <x:row r="262" spans="1:17" ht="12.75" hidden="1" customHeight="1" x14ac:dyDescent="0.3">
      <x:c r="A262" s="89"/>
      <x:c r="E262" s="90"/>
      <x:c r="F262" s="90"/>
      <x:c r="G262" s="90"/>
      <x:c r="H262" s="90"/>
      <x:c r="I262" s="90"/>
      <x:c r="J262" s="90"/>
      <x:c r="K262" s="90"/>
      <x:c r="L262" s="90"/>
      <x:c r="M262" s="90"/>
      <x:c r="N262" s="90"/>
      <x:c r="O262" s="90"/>
      <x:c r="P262" s="90"/>
      <x:c r="Q262" s="90"/>
    </x:row>
    <x:row r="263" spans="1:17" ht="12.75" hidden="1" customHeight="1" x14ac:dyDescent="0.3">
      <x:c r="A263" s="89"/>
      <x:c r="E263" s="90"/>
      <x:c r="F263" s="90"/>
      <x:c r="G263" s="90"/>
      <x:c r="H263" s="90"/>
      <x:c r="I263" s="90"/>
      <x:c r="J263" s="90"/>
      <x:c r="K263" s="90"/>
      <x:c r="L263" s="90"/>
      <x:c r="M263" s="90"/>
      <x:c r="N263" s="90"/>
      <x:c r="O263" s="90"/>
      <x:c r="P263" s="90"/>
      <x:c r="Q263" s="90"/>
    </x:row>
    <x:row r="264" spans="1:17" ht="12.75" hidden="1" customHeight="1" x14ac:dyDescent="0.3">
      <x:c r="A264" s="89"/>
      <x:c r="E264" s="90"/>
      <x:c r="F264" s="90"/>
      <x:c r="G264" s="90"/>
      <x:c r="H264" s="90"/>
      <x:c r="I264" s="90"/>
      <x:c r="J264" s="90"/>
      <x:c r="K264" s="90"/>
      <x:c r="L264" s="90"/>
      <x:c r="M264" s="90"/>
      <x:c r="N264" s="90"/>
      <x:c r="O264" s="90"/>
      <x:c r="P264" s="90"/>
      <x:c r="Q264" s="90"/>
    </x:row>
    <x:row r="265" spans="1:17" ht="12.75" hidden="1" customHeight="1" x14ac:dyDescent="0.3">
      <x:c r="A265" s="89"/>
      <x:c r="E265" s="90"/>
      <x:c r="F265" s="90"/>
      <x:c r="G265" s="90"/>
      <x:c r="H265" s="90"/>
      <x:c r="I265" s="90"/>
      <x:c r="J265" s="90"/>
      <x:c r="K265" s="90"/>
      <x:c r="L265" s="90"/>
      <x:c r="M265" s="90"/>
      <x:c r="N265" s="90"/>
      <x:c r="O265" s="90"/>
      <x:c r="P265" s="90"/>
      <x:c r="Q265" s="90"/>
    </x:row>
    <x:row r="266" spans="1:17" ht="12.75" hidden="1" customHeight="1" x14ac:dyDescent="0.3">
      <x:c r="A266" s="89"/>
      <x:c r="E266" s="90"/>
      <x:c r="F266" s="90"/>
      <x:c r="G266" s="90"/>
      <x:c r="H266" s="90"/>
      <x:c r="I266" s="90"/>
      <x:c r="J266" s="90"/>
      <x:c r="K266" s="90"/>
      <x:c r="L266" s="90"/>
      <x:c r="M266" s="90"/>
      <x:c r="N266" s="90"/>
      <x:c r="O266" s="90"/>
      <x:c r="P266" s="90"/>
      <x:c r="Q266" s="90"/>
    </x:row>
    <x:row r="267" spans="1:17" ht="12.75" hidden="1" customHeight="1" x14ac:dyDescent="0.3">
      <x:c r="A267" s="89"/>
      <x:c r="E267" s="90"/>
      <x:c r="F267" s="90"/>
      <x:c r="G267" s="90"/>
      <x:c r="H267" s="90"/>
      <x:c r="I267" s="90"/>
      <x:c r="J267" s="90"/>
      <x:c r="K267" s="90"/>
      <x:c r="L267" s="90"/>
      <x:c r="M267" s="90"/>
      <x:c r="N267" s="90"/>
      <x:c r="O267" s="90"/>
      <x:c r="P267" s="90"/>
      <x:c r="Q267" s="90"/>
    </x:row>
    <x:row r="268" spans="1:17" ht="12.75" hidden="1" customHeight="1" x14ac:dyDescent="0.3">
      <x:c r="A268" s="89"/>
      <x:c r="E268" s="90"/>
      <x:c r="F268" s="90"/>
      <x:c r="G268" s="90"/>
      <x:c r="H268" s="90"/>
      <x:c r="I268" s="90"/>
      <x:c r="J268" s="90"/>
      <x:c r="K268" s="90"/>
      <x:c r="L268" s="90"/>
      <x:c r="M268" s="90"/>
      <x:c r="N268" s="90"/>
      <x:c r="O268" s="90"/>
      <x:c r="P268" s="90"/>
      <x:c r="Q268" s="90"/>
    </x:row>
    <x:row r="269" spans="1:17" ht="12.75" hidden="1" customHeight="1" x14ac:dyDescent="0.3">
      <x:c r="A269" s="89"/>
      <x:c r="E269" s="90"/>
      <x:c r="F269" s="90"/>
      <x:c r="G269" s="90"/>
      <x:c r="H269" s="90"/>
      <x:c r="I269" s="90"/>
      <x:c r="J269" s="90"/>
      <x:c r="K269" s="90"/>
      <x:c r="L269" s="90"/>
      <x:c r="M269" s="90"/>
      <x:c r="N269" s="90"/>
      <x:c r="O269" s="90"/>
      <x:c r="P269" s="90"/>
      <x:c r="Q269" s="90"/>
    </x:row>
    <x:row r="270" spans="1:17" ht="12.75" hidden="1" customHeight="1" x14ac:dyDescent="0.3">
      <x:c r="A270" s="89"/>
      <x:c r="E270" s="90"/>
      <x:c r="F270" s="90"/>
      <x:c r="G270" s="90"/>
      <x:c r="H270" s="90"/>
      <x:c r="I270" s="90"/>
      <x:c r="J270" s="90"/>
      <x:c r="K270" s="90"/>
      <x:c r="L270" s="90"/>
      <x:c r="M270" s="90"/>
      <x:c r="N270" s="90"/>
      <x:c r="O270" s="90"/>
      <x:c r="P270" s="90"/>
      <x:c r="Q270" s="90"/>
    </x:row>
    <x:row r="271" spans="1:17" ht="12.75" hidden="1" customHeight="1" x14ac:dyDescent="0.3">
      <x:c r="A271" s="89"/>
      <x:c r="E271" s="90"/>
      <x:c r="F271" s="90"/>
      <x:c r="G271" s="90"/>
      <x:c r="H271" s="90"/>
      <x:c r="I271" s="90"/>
      <x:c r="J271" s="90"/>
      <x:c r="K271" s="90"/>
      <x:c r="L271" s="90"/>
      <x:c r="M271" s="90"/>
      <x:c r="N271" s="90"/>
      <x:c r="O271" s="90"/>
      <x:c r="P271" s="90"/>
      <x:c r="Q271" s="90"/>
    </x:row>
    <x:row r="272" spans="1:17" ht="12.75" customHeight="1" x14ac:dyDescent="0.3">
      <x:c r="A272" s="89"/>
      <x:c r="E272" s="90"/>
      <x:c r="F272" s="90"/>
      <x:c r="G272" s="90"/>
      <x:c r="H272" s="90"/>
      <x:c r="I272" s="90"/>
      <x:c r="J272" s="90"/>
      <x:c r="K272" s="90"/>
      <x:c r="L272" s="90"/>
      <x:c r="M272" s="90"/>
      <x:c r="N272" s="90"/>
      <x:c r="O272" s="90"/>
      <x:c r="P272" s="90"/>
      <x:c r="Q272" s="90"/>
    </x:row>
    <x:row r="273" spans="1:18" ht="12.75" customHeight="1" x14ac:dyDescent="0.3">
      <x:c r="B273" s="777" t="s">
        <x:v>2</x:v>
      </x:c>
      <x:c r="C273" s="775" t="s">
        <x:v>132</x:v>
      </x:c>
      <x:c r="D273" s="98" t="s">
        <x:v>70</x:v>
      </x:c>
      <x:c r="E273" s="100">
        <x:f>E193+E204-K193</x:f>
        <x:v>0</x:v>
      </x:c>
      <x:c r="F273" s="100">
        <x:f>F193</x:f>
        <x:v>0</x:v>
      </x:c>
      <x:c r="G273" s="100">
        <x:f t="shared" ref="G273:R273" si="7">G193</x:f>
        <x:v>0</x:v>
      </x:c>
      <x:c r="H273" s="100">
        <x:f t="shared" si="7"/>
        <x:v>0</x:v>
      </x:c>
      <x:c r="I273" s="100">
        <x:f t="shared" si="7"/>
        <x:v>0</x:v>
      </x:c>
      <x:c r="J273" s="100">
        <x:f t="shared" si="7"/>
        <x:v>0</x:v>
      </x:c>
      <x:c r="K273" s="100">
        <x:f t="shared" si="7"/>
        <x:v>0</x:v>
      </x:c>
      <x:c r="L273" s="100">
        <x:f t="shared" si="7"/>
        <x:v>0</x:v>
      </x:c>
      <x:c r="M273" s="100">
        <x:f t="shared" si="7"/>
        <x:v>0</x:v>
      </x:c>
      <x:c r="N273" s="100">
        <x:f t="shared" si="7"/>
        <x:v>0</x:v>
      </x:c>
      <x:c r="O273" s="100">
        <x:f t="shared" si="7"/>
        <x:v>0</x:v>
      </x:c>
      <x:c r="P273" s="100">
        <x:f t="shared" si="7"/>
        <x:v>0</x:v>
      </x:c>
      <x:c r="Q273" s="100">
        <x:f t="shared" si="7"/>
        <x:v>0</x:v>
      </x:c>
      <x:c r="R273" s="100">
        <x:f t="shared" si="7"/>
        <x:v>0</x:v>
      </x:c>
    </x:row>
    <x:row r="274" spans="1:18" ht="12.75" customHeight="1" x14ac:dyDescent="0.3">
      <x:c r="B274" s="777"/>
      <x:c r="C274" s="775"/>
      <x:c r="D274" s="98" t="s">
        <x:v>73</x:v>
      </x:c>
      <x:c r="E274" s="100">
        <x:f>E204</x:f>
        <x:v>0</x:v>
      </x:c>
      <x:c r="F274" s="90"/>
      <x:c r="G274" s="90"/>
      <x:c r="H274" s="90"/>
      <x:c r="I274" s="90"/>
      <x:c r="J274" s="90"/>
      <x:c r="K274" s="90"/>
      <x:c r="L274" s="90"/>
      <x:c r="M274" s="90"/>
      <x:c r="N274" s="90"/>
      <x:c r="O274" s="90"/>
      <x:c r="P274" s="90"/>
      <x:c r="Q274" s="90"/>
      <x:c r="R274" s="90"/>
    </x:row>
    <x:row r="275" spans="1:18" ht="12.75" customHeight="1" x14ac:dyDescent="0.3">
      <x:c r="A275" s="89"/>
      <x:c r="B275" s="97"/>
      <x:c r="E275" s="90"/>
      <x:c r="F275" s="90"/>
      <x:c r="G275" s="90"/>
      <x:c r="H275" s="90"/>
      <x:c r="I275" s="90"/>
      <x:c r="J275" s="90"/>
      <x:c r="K275" s="90"/>
      <x:c r="L275" s="90"/>
      <x:c r="M275" s="90"/>
      <x:c r="N275" s="90"/>
      <x:c r="O275" s="90"/>
      <x:c r="P275" s="90"/>
      <x:c r="Q275" s="90"/>
      <x:c r="R275" s="90"/>
    </x:row>
    <x:row r="276" spans="1:18" ht="12.75" customHeight="1" x14ac:dyDescent="0.3">
      <x:c r="B276" s="777" t="s">
        <x:v>160</x:v>
      </x:c>
      <x:c r="C276" s="775" t="s">
        <x:v>132</x:v>
      </x:c>
      <x:c r="D276" s="223" t="s">
        <x:v>70</x:v>
      </x:c>
      <x:c r="E276" s="225">
        <x:v>0</x:v>
      </x:c>
      <x:c r="F276" s="225">
        <x:v>0</x:v>
      </x:c>
      <x:c r="G276" s="225">
        <x:v>0</x:v>
      </x:c>
      <x:c r="H276" s="225">
        <x:v>0</x:v>
      </x:c>
      <x:c r="I276" s="225">
        <x:v>0</x:v>
      </x:c>
      <x:c r="J276" s="225">
        <x:v>0</x:v>
      </x:c>
      <x:c r="K276" s="225">
        <x:v>0</x:v>
      </x:c>
      <x:c r="L276" s="225">
        <x:v>0</x:v>
      </x:c>
      <x:c r="M276" s="225">
        <x:v>0</x:v>
      </x:c>
      <x:c r="N276" s="225">
        <x:v>0</x:v>
      </x:c>
      <x:c r="O276" s="225">
        <x:v>0</x:v>
      </x:c>
      <x:c r="P276" s="225">
        <x:v>0</x:v>
      </x:c>
      <x:c r="Q276" s="225">
        <x:v>0</x:v>
      </x:c>
      <x:c r="R276" s="225">
        <x:v>0</x:v>
      </x:c>
    </x:row>
    <x:row r="277" spans="1:18" ht="12.75" customHeight="1" x14ac:dyDescent="0.3">
      <x:c r="B277" s="777"/>
      <x:c r="C277" s="775"/>
      <x:c r="D277" s="223" t="s">
        <x:v>73</x:v>
      </x:c>
      <x:c r="E277" s="225">
        <x:v>0</x:v>
      </x:c>
      <x:c r="F277" s="90"/>
      <x:c r="G277" s="90"/>
      <x:c r="H277" s="90"/>
      <x:c r="I277" s="90"/>
      <x:c r="J277" s="90"/>
      <x:c r="K277" s="90"/>
      <x:c r="L277" s="90"/>
      <x:c r="M277" s="90"/>
      <x:c r="N277" s="90"/>
      <x:c r="O277" s="90"/>
      <x:c r="P277" s="90"/>
      <x:c r="Q277" s="90"/>
      <x:c r="R277" s="90"/>
    </x:row>
    <x:row r="278" spans="1:18" ht="12.75" customHeight="1" x14ac:dyDescent="0.3">
      <x:c r="A278" s="89"/>
      <x:c r="B278" s="97"/>
      <x:c r="E278" s="90"/>
      <x:c r="F278" s="90"/>
      <x:c r="G278" s="90"/>
      <x:c r="H278" s="90"/>
      <x:c r="I278" s="90"/>
      <x:c r="J278" s="90"/>
      <x:c r="K278" s="90"/>
      <x:c r="L278" s="90"/>
      <x:c r="M278" s="90"/>
      <x:c r="N278" s="90"/>
      <x:c r="O278" s="90"/>
      <x:c r="P278" s="90"/>
      <x:c r="Q278" s="90"/>
      <x:c r="R278" s="90"/>
    </x:row>
    <x:row r="279" spans="1:18" ht="12.75" customHeight="1" x14ac:dyDescent="0.3">
      <x:c r="B279" s="777" t="s">
        <x:v>155</x:v>
      </x:c>
      <x:c r="C279" s="775" t="s">
        <x:v>132</x:v>
      </x:c>
      <x:c r="D279" s="221" t="s">
        <x:v>70</x:v>
      </x:c>
      <x:c r="E279" s="222">
        <x:f>E196+E182+E178-K182-K178</x:f>
        <x:v>0</x:v>
      </x:c>
      <x:c r="F279" s="222">
        <x:f>F178+F182</x:f>
        <x:v>0</x:v>
      </x:c>
      <x:c r="G279" s="222">
        <x:f t="shared" ref="G279:R279" si="8">G178+G182</x:f>
        <x:v>0</x:v>
      </x:c>
      <x:c r="H279" s="222">
        <x:f t="shared" si="8"/>
        <x:v>0</x:v>
      </x:c>
      <x:c r="I279" s="222">
        <x:f t="shared" si="8"/>
        <x:v>0</x:v>
      </x:c>
      <x:c r="J279" s="222">
        <x:f t="shared" si="8"/>
        <x:v>0</x:v>
      </x:c>
      <x:c r="K279" s="222">
        <x:f t="shared" si="8"/>
        <x:v>0</x:v>
      </x:c>
      <x:c r="L279" s="222">
        <x:f t="shared" si="8"/>
        <x:v>0</x:v>
      </x:c>
      <x:c r="M279" s="222">
        <x:f t="shared" si="8"/>
        <x:v>0</x:v>
      </x:c>
      <x:c r="N279" s="222">
        <x:f t="shared" si="8"/>
        <x:v>0</x:v>
      </x:c>
      <x:c r="O279" s="222">
        <x:f t="shared" si="8"/>
        <x:v>0</x:v>
      </x:c>
      <x:c r="P279" s="222">
        <x:f t="shared" si="8"/>
        <x:v>0</x:v>
      </x:c>
      <x:c r="Q279" s="222">
        <x:f t="shared" si="8"/>
        <x:v>0</x:v>
      </x:c>
      <x:c r="R279" s="222">
        <x:f t="shared" si="8"/>
        <x:v>0</x:v>
      </x:c>
    </x:row>
    <x:row r="280" spans="1:18" ht="12.75" customHeight="1" x14ac:dyDescent="0.3">
      <x:c r="B280" s="777"/>
      <x:c r="C280" s="775"/>
      <x:c r="D280" s="221" t="s">
        <x:v>73</x:v>
      </x:c>
      <x:c r="E280" s="222">
        <x:f>E196</x:f>
        <x:v>0</x:v>
      </x:c>
      <x:c r="F280" s="90"/>
      <x:c r="G280" s="90"/>
      <x:c r="H280" s="90"/>
      <x:c r="I280" s="90"/>
      <x:c r="J280" s="90"/>
      <x:c r="K280" s="90"/>
      <x:c r="L280" s="90"/>
      <x:c r="M280" s="90"/>
      <x:c r="N280" s="90"/>
      <x:c r="O280" s="90"/>
      <x:c r="P280" s="90"/>
      <x:c r="Q280" s="90"/>
      <x:c r="R280" s="90"/>
    </x:row>
    <x:row r="281" spans="1:18" ht="12.75" customHeight="1" x14ac:dyDescent="0.3">
      <x:c r="B281" s="719"/>
      <x:c r="C281" s="220"/>
      <x:c r="D281" s="89"/>
      <x:c r="E281" s="90"/>
      <x:c r="F281" s="90"/>
      <x:c r="G281" s="90"/>
      <x:c r="H281" s="90"/>
      <x:c r="I281" s="90"/>
      <x:c r="J281" s="90"/>
      <x:c r="K281" s="90"/>
      <x:c r="L281" s="90"/>
      <x:c r="M281" s="90"/>
      <x:c r="N281" s="90"/>
      <x:c r="O281" s="90"/>
      <x:c r="P281" s="90"/>
      <x:c r="Q281" s="90"/>
      <x:c r="R281" s="90"/>
    </x:row>
    <x:row r="282" spans="1:18" ht="12.75" customHeight="1" x14ac:dyDescent="0.3">
      <x:c r="B282" s="778" t="s">
        <x:v>326</x:v>
      </x:c>
      <x:c r="C282" s="775" t="s">
        <x:v>132</x:v>
      </x:c>
      <x:c r="D282" s="373" t="s">
        <x:v>70</x:v>
      </x:c>
      <x:c r="E282" s="374">
        <x:v>0</x:v>
      </x:c>
      <x:c r="F282" s="374">
        <x:v>0</x:v>
      </x:c>
      <x:c r="G282" s="374">
        <x:v>0</x:v>
      </x:c>
      <x:c r="H282" s="374">
        <x:v>0</x:v>
      </x:c>
      <x:c r="I282" s="374">
        <x:v>0</x:v>
      </x:c>
      <x:c r="J282" s="374">
        <x:v>0</x:v>
      </x:c>
      <x:c r="K282" s="374">
        <x:v>0</x:v>
      </x:c>
      <x:c r="L282" s="374">
        <x:v>0</x:v>
      </x:c>
      <x:c r="M282" s="374">
        <x:v>0</x:v>
      </x:c>
      <x:c r="N282" s="374">
        <x:v>0</x:v>
      </x:c>
      <x:c r="O282" s="374">
        <x:v>0</x:v>
      </x:c>
      <x:c r="P282" s="374">
        <x:v>0</x:v>
      </x:c>
      <x:c r="Q282" s="374">
        <x:v>0</x:v>
      </x:c>
      <x:c r="R282" s="374">
        <x:v>0</x:v>
      </x:c>
    </x:row>
    <x:row r="283" spans="1:18" ht="12.75" customHeight="1" x14ac:dyDescent="0.3">
      <x:c r="B283" s="778"/>
      <x:c r="C283" s="775"/>
      <x:c r="D283" s="373" t="s">
        <x:v>73</x:v>
      </x:c>
      <x:c r="E283" s="374">
        <x:v>0</x:v>
      </x:c>
      <x:c r="F283" s="90"/>
      <x:c r="G283" s="90"/>
      <x:c r="H283" s="90"/>
      <x:c r="I283" s="90"/>
      <x:c r="J283" s="90"/>
      <x:c r="K283" s="90"/>
      <x:c r="L283" s="90"/>
      <x:c r="M283" s="90"/>
      <x:c r="N283" s="90"/>
      <x:c r="O283" s="90"/>
      <x:c r="P283" s="90"/>
      <x:c r="Q283" s="90"/>
      <x:c r="R283" s="90"/>
    </x:row>
    <x:row r="284" spans="1:18" ht="12.75" customHeight="1" x14ac:dyDescent="0.3">
      <x:c r="B284" s="719"/>
      <x:c r="C284" s="220"/>
      <x:c r="D284" s="89"/>
      <x:c r="E284" s="90"/>
      <x:c r="F284" s="90"/>
      <x:c r="G284" s="90"/>
      <x:c r="H284" s="90"/>
      <x:c r="I284" s="90"/>
      <x:c r="J284" s="90"/>
      <x:c r="K284" s="90"/>
      <x:c r="L284" s="90"/>
      <x:c r="M284" s="90"/>
      <x:c r="N284" s="90"/>
      <x:c r="O284" s="90"/>
      <x:c r="P284" s="90"/>
      <x:c r="Q284" s="90"/>
      <x:c r="R284" s="90"/>
    </x:row>
    <x:row r="285" spans="1:18" ht="12.75" customHeight="1" x14ac:dyDescent="0.3">
      <x:c r="B285" s="777" t="s">
        <x:v>119</x:v>
      </x:c>
      <x:c r="C285" s="775" t="s">
        <x:v>132</x:v>
      </x:c>
      <x:c r="D285" s="101" t="s">
        <x:v>70</x:v>
      </x:c>
      <x:c r="E285" s="93">
        <x:f>E192+E203-K192</x:f>
        <x:v>0</x:v>
      </x:c>
      <x:c r="F285" s="93">
        <x:f>F192</x:f>
        <x:v>0</x:v>
      </x:c>
      <x:c r="G285" s="93">
        <x:f t="shared" ref="G285:R285" si="9">G192</x:f>
        <x:v>0</x:v>
      </x:c>
      <x:c r="H285" s="93">
        <x:f t="shared" si="9"/>
        <x:v>0</x:v>
      </x:c>
      <x:c r="I285" s="93">
        <x:f t="shared" si="9"/>
        <x:v>0</x:v>
      </x:c>
      <x:c r="J285" s="93">
        <x:f t="shared" si="9"/>
        <x:v>0</x:v>
      </x:c>
      <x:c r="K285" s="93">
        <x:f t="shared" si="9"/>
        <x:v>0</x:v>
      </x:c>
      <x:c r="L285" s="93">
        <x:f t="shared" si="9"/>
        <x:v>0</x:v>
      </x:c>
      <x:c r="M285" s="93">
        <x:f t="shared" si="9"/>
        <x:v>0</x:v>
      </x:c>
      <x:c r="N285" s="93">
        <x:f t="shared" si="9"/>
        <x:v>0</x:v>
      </x:c>
      <x:c r="O285" s="93">
        <x:f t="shared" si="9"/>
        <x:v>0</x:v>
      </x:c>
      <x:c r="P285" s="93">
        <x:f t="shared" si="9"/>
        <x:v>0</x:v>
      </x:c>
      <x:c r="Q285" s="93">
        <x:f t="shared" si="9"/>
        <x:v>0</x:v>
      </x:c>
      <x:c r="R285" s="93">
        <x:f t="shared" si="9"/>
        <x:v>0</x:v>
      </x:c>
    </x:row>
    <x:row r="286" spans="1:18" ht="12.75" customHeight="1" x14ac:dyDescent="0.3">
      <x:c r="B286" s="777"/>
      <x:c r="C286" s="775"/>
      <x:c r="D286" s="101" t="s">
        <x:v>73</x:v>
      </x:c>
      <x:c r="E286" s="93">
        <x:f>E203</x:f>
        <x:v>0</x:v>
      </x:c>
      <x:c r="F286" s="90"/>
      <x:c r="G286" s="90"/>
      <x:c r="H286" s="90"/>
      <x:c r="I286" s="90"/>
      <x:c r="J286" s="90"/>
      <x:c r="K286" s="90"/>
      <x:c r="L286" s="90"/>
      <x:c r="M286" s="90"/>
      <x:c r="N286" s="90"/>
      <x:c r="O286" s="90"/>
      <x:c r="P286" s="90"/>
      <x:c r="Q286" s="90"/>
      <x:c r="R286" s="90"/>
    </x:row>
    <x:row r="287" spans="1:18" ht="12.75" customHeight="1" x14ac:dyDescent="0.3">
      <x:c r="A287" s="89"/>
      <x:c r="B287" s="97"/>
      <x:c r="E287" s="90"/>
      <x:c r="F287" s="90"/>
      <x:c r="G287" s="90"/>
      <x:c r="H287" s="90"/>
      <x:c r="I287" s="90"/>
      <x:c r="J287" s="90"/>
      <x:c r="K287" s="90"/>
      <x:c r="L287" s="90"/>
      <x:c r="M287" s="90"/>
      <x:c r="N287" s="90"/>
      <x:c r="O287" s="90"/>
      <x:c r="P287" s="90"/>
      <x:c r="Q287" s="90"/>
      <x:c r="R287" s="90"/>
    </x:row>
    <x:row r="288" spans="1:18" ht="12.75" customHeight="1" x14ac:dyDescent="0.3">
      <x:c r="B288" s="776" t="s">
        <x:v>161</x:v>
      </x:c>
      <x:c r="C288" s="775" t="s">
        <x:v>132</x:v>
      </x:c>
      <x:c r="D288" s="231" t="s">
        <x:v>70</x:v>
      </x:c>
      <x:c r="E288" s="232">
        <x:v>0</x:v>
      </x:c>
      <x:c r="F288" s="232">
        <x:v>0</x:v>
      </x:c>
      <x:c r="G288" s="232">
        <x:v>0</x:v>
      </x:c>
      <x:c r="H288" s="232">
        <x:v>0</x:v>
      </x:c>
      <x:c r="I288" s="232">
        <x:v>0</x:v>
      </x:c>
      <x:c r="J288" s="232">
        <x:v>0</x:v>
      </x:c>
      <x:c r="K288" s="232">
        <x:v>0</x:v>
      </x:c>
      <x:c r="L288" s="232">
        <x:v>0</x:v>
      </x:c>
      <x:c r="M288" s="232">
        <x:v>0</x:v>
      </x:c>
      <x:c r="N288" s="232">
        <x:v>0</x:v>
      </x:c>
      <x:c r="O288" s="232">
        <x:v>0</x:v>
      </x:c>
      <x:c r="P288" s="232">
        <x:v>0</x:v>
      </x:c>
      <x:c r="Q288" s="232">
        <x:v>0</x:v>
      </x:c>
      <x:c r="R288" s="232">
        <x:v>0</x:v>
      </x:c>
    </x:row>
    <x:row r="289" spans="2:18" ht="12.75" customHeight="1" x14ac:dyDescent="0.3">
      <x:c r="B289" s="776"/>
      <x:c r="C289" s="775"/>
      <x:c r="D289" s="231" t="s">
        <x:v>73</x:v>
      </x:c>
      <x:c r="E289" s="232">
        <x:v>0</x:v>
      </x:c>
      <x:c r="F289" s="90"/>
      <x:c r="G289" s="90"/>
      <x:c r="H289" s="90"/>
      <x:c r="I289" s="90"/>
      <x:c r="J289" s="90"/>
      <x:c r="K289" s="90"/>
      <x:c r="L289" s="90"/>
      <x:c r="M289" s="90"/>
      <x:c r="N289" s="90"/>
      <x:c r="O289" s="90"/>
      <x:c r="P289" s="90"/>
      <x:c r="Q289" s="90"/>
      <x:c r="R289" s="90"/>
    </x:row>
    <x:row r="290" spans="2:18" s="238" customFormat="1" x14ac:dyDescent="0.3"/>
    <x:row r="291" spans="2:18" ht="15" customHeight="1" x14ac:dyDescent="0.3">
      <x:c r="B291" s="97" t="s">
        <x:v>88</x:v>
      </x:c>
    </x:row>
    <x:row r="292" spans="2:18" ht="11.5" customHeight="1" x14ac:dyDescent="0.3">
      <x:c r="E292" s="89" t="s">
        <x:v>70</x:v>
      </x:c>
      <x:c r="F292" s="89" t="s">
        <x:v>64</x:v>
      </x:c>
      <x:c r="G292" s="89" t="s">
        <x:v>65</x:v>
      </x:c>
      <x:c r="H292" s="219" t="s">
        <x:v>164</x:v>
      </x:c>
      <x:c r="I292" s="89" t="s">
        <x:v>69</x:v>
      </x:c>
      <x:c r="J292" s="89" t="s">
        <x:v>68</x:v>
      </x:c>
      <x:c r="K292" s="89" t="s">
        <x:v>83</x:v>
      </x:c>
      <x:c r="L292" s="89" t="s">
        <x:v>66</x:v>
      </x:c>
      <x:c r="M292" s="89" t="s">
        <x:v>63</x:v>
      </x:c>
      <x:c r="N292" s="89" t="s">
        <x:v>61</x:v>
      </x:c>
      <x:c r="O292" s="89" t="s">
        <x:v>62</x:v>
      </x:c>
      <x:c r="P292" s="89" t="s">
        <x:v>67</x:v>
      </x:c>
      <x:c r="Q292" s="89" t="s">
        <x:v>84</x:v>
      </x:c>
      <x:c r="R292" s="384" t="s">
        <x:v>225</x:v>
      </x:c>
    </x:row>
    <x:row r="293" spans="2:18" ht="11.5" customHeight="1" x14ac:dyDescent="0.3">
      <x:c r="D293" t="s">
        <x:v>72</x:v>
      </x:c>
      <x:c r="E293" s="89">
        <x:v>0</x:v>
      </x:c>
      <x:c r="F293" s="89">
        <x:v>0</x:v>
      </x:c>
      <x:c r="G293" s="89">
        <x:v>0</x:v>
      </x:c>
      <x:c r="H293" s="384">
        <x:v>0</x:v>
      </x:c>
      <x:c r="I293" s="89">
        <x:v>0</x:v>
      </x:c>
      <x:c r="J293" s="89">
        <x:v>0</x:v>
      </x:c>
      <x:c r="K293" s="89">
        <x:v>0</x:v>
      </x:c>
      <x:c r="L293" s="89">
        <x:v>0</x:v>
      </x:c>
      <x:c r="M293" s="89">
        <x:v>0</x:v>
      </x:c>
      <x:c r="N293" s="89">
        <x:v>0</x:v>
      </x:c>
      <x:c r="O293" s="89">
        <x:v>0</x:v>
      </x:c>
      <x:c r="P293" s="89">
        <x:v>0</x:v>
      </x:c>
      <x:c r="Q293" s="89">
        <x:v>0</x:v>
      </x:c>
      <x:c r="R293" s="384">
        <x:v>0</x:v>
      </x:c>
    </x:row>
    <x:row r="294" spans="2:18" ht="12.75" customHeight="1" x14ac:dyDescent="0.3">
      <x:c r="D294" t="s">
        <x:v>81</x:v>
      </x:c>
      <x:c r="E294" s="384">
        <x:v>0</x:v>
      </x:c>
      <x:c r="F294" s="89">
        <x:v>0</x:v>
      </x:c>
      <x:c r="G294" s="89">
        <x:v>0</x:v>
      </x:c>
      <x:c r="H294" s="384">
        <x:v>0</x:v>
      </x:c>
      <x:c r="I294" s="89">
        <x:v>0</x:v>
      </x:c>
      <x:c r="J294" s="89">
        <x:v>0</x:v>
      </x:c>
      <x:c r="K294" s="89">
        <x:v>0</x:v>
      </x:c>
      <x:c r="L294" s="89">
        <x:v>0</x:v>
      </x:c>
      <x:c r="M294" s="89">
        <x:v>0</x:v>
      </x:c>
      <x:c r="N294" s="89">
        <x:v>0</x:v>
      </x:c>
      <x:c r="O294" s="89">
        <x:v>0</x:v>
      </x:c>
      <x:c r="P294" s="89">
        <x:v>0</x:v>
      </x:c>
      <x:c r="Q294" s="89">
        <x:v>0</x:v>
      </x:c>
      <x:c r="R294" s="384">
        <x:v>0</x:v>
      </x:c>
    </x:row>
    <x:row r="295" spans="2:18" ht="11.5" customHeight="1" x14ac:dyDescent="0.3">
      <x:c r="C295" t="s">
        <x:v>332</x:v>
      </x:c>
      <x:c r="D295" t="s">
        <x:v>70</x:v>
      </x:c>
      <x:c r="E295" s="384">
        <x:v>0</x:v>
      </x:c>
      <x:c r="F295" s="89">
        <x:v>0</x:v>
      </x:c>
      <x:c r="G295" s="89">
        <x:v>0</x:v>
      </x:c>
      <x:c r="H295" s="384">
        <x:v>0</x:v>
      </x:c>
      <x:c r="I295" s="89">
        <x:v>0</x:v>
      </x:c>
      <x:c r="J295" s="89">
        <x:v>0</x:v>
      </x:c>
      <x:c r="K295" s="89">
        <x:v>0</x:v>
      </x:c>
      <x:c r="L295" s="89">
        <x:v>0</x:v>
      </x:c>
      <x:c r="M295" s="89">
        <x:v>0</x:v>
      </x:c>
      <x:c r="N295" s="89">
        <x:v>0</x:v>
      </x:c>
      <x:c r="O295" s="89">
        <x:v>0</x:v>
      </x:c>
      <x:c r="P295" s="89">
        <x:v>0</x:v>
      </x:c>
      <x:c r="Q295" s="89">
        <x:v>0</x:v>
      </x:c>
      <x:c r="R295" s="384">
        <x:v>0</x:v>
      </x:c>
    </x:row>
    <x:row r="296" spans="2:18" s="739" customFormat="1" ht="11.5" customHeight="1" x14ac:dyDescent="0.3">
      <x:c r="B296" s="739" t="s">
        <x:v>85</x:v>
      </x:c>
      <x:c r="C296" s="739" t="s">
        <x:v>70</x:v>
      </x:c>
      <x:c r="E296" s="769">
        <x:v>0</x:v>
      </x:c>
      <x:c r="F296" s="231">
        <x:v>0</x:v>
      </x:c>
      <x:c r="G296" s="231">
        <x:v>0</x:v>
      </x:c>
      <x:c r="H296" s="769">
        <x:v>0</x:v>
      </x:c>
      <x:c r="I296" s="231">
        <x:v>0</x:v>
      </x:c>
      <x:c r="J296" s="231">
        <x:v>0</x:v>
      </x:c>
      <x:c r="K296" s="231">
        <x:v>0</x:v>
      </x:c>
      <x:c r="L296" s="231">
        <x:v>0</x:v>
      </x:c>
      <x:c r="M296" s="231">
        <x:v>0</x:v>
      </x:c>
      <x:c r="N296" s="231">
        <x:v>0</x:v>
      </x:c>
      <x:c r="O296" s="231">
        <x:v>0</x:v>
      </x:c>
      <x:c r="P296" s="231">
        <x:v>0</x:v>
      </x:c>
      <x:c r="Q296" s="231">
        <x:v>0</x:v>
      </x:c>
      <x:c r="R296" s="769">
        <x:v>0</x:v>
      </x:c>
    </x:row>
    <x:row r="297" spans="2:18" ht="11.5" customHeight="1" x14ac:dyDescent="0.3">
      <x:c r="D297" t="s">
        <x:v>72</x:v>
      </x:c>
      <x:c r="E297" s="384">
        <x:v>0</x:v>
      </x:c>
      <x:c r="F297" s="89">
        <x:v>0</x:v>
      </x:c>
      <x:c r="G297" s="89">
        <x:v>0</x:v>
      </x:c>
      <x:c r="H297" s="384">
        <x:v>0</x:v>
      </x:c>
      <x:c r="I297" s="89">
        <x:v>0</x:v>
      </x:c>
      <x:c r="J297" s="89">
        <x:v>0</x:v>
      </x:c>
      <x:c r="K297" s="89">
        <x:v>0</x:v>
      </x:c>
      <x:c r="L297" s="89">
        <x:v>0</x:v>
      </x:c>
      <x:c r="M297" s="89">
        <x:v>0</x:v>
      </x:c>
      <x:c r="N297" s="89">
        <x:v>0</x:v>
      </x:c>
      <x:c r="O297" s="89">
        <x:v>0</x:v>
      </x:c>
      <x:c r="P297" s="89">
        <x:v>0</x:v>
      </x:c>
      <x:c r="Q297" s="89">
        <x:v>0</x:v>
      </x:c>
      <x:c r="R297" s="384">
        <x:v>0</x:v>
      </x:c>
    </x:row>
    <x:row r="298" spans="2:18" ht="12.75" customHeight="1" x14ac:dyDescent="0.3">
      <x:c r="D298" t="s">
        <x:v>81</x:v>
      </x:c>
      <x:c r="E298" s="384">
        <x:v>0</x:v>
      </x:c>
      <x:c r="F298" s="89">
        <x:v>0</x:v>
      </x:c>
      <x:c r="G298" s="89">
        <x:v>0</x:v>
      </x:c>
      <x:c r="H298" s="384">
        <x:v>0</x:v>
      </x:c>
      <x:c r="I298" s="89">
        <x:v>0</x:v>
      </x:c>
      <x:c r="J298" s="89">
        <x:v>0</x:v>
      </x:c>
      <x:c r="K298" s="89">
        <x:v>0</x:v>
      </x:c>
      <x:c r="L298" s="89">
        <x:v>0</x:v>
      </x:c>
      <x:c r="M298" s="89">
        <x:v>0</x:v>
      </x:c>
      <x:c r="N298" s="89">
        <x:v>0</x:v>
      </x:c>
      <x:c r="O298" s="89">
        <x:v>0</x:v>
      </x:c>
      <x:c r="P298" s="89">
        <x:v>0</x:v>
      </x:c>
      <x:c r="Q298" s="89">
        <x:v>0</x:v>
      </x:c>
      <x:c r="R298" s="384">
        <x:v>0</x:v>
      </x:c>
    </x:row>
    <x:row r="299" spans="2:18" ht="12.75" customHeight="1" x14ac:dyDescent="0.3">
      <x:c r="C299" t="s">
        <x:v>156</x:v>
      </x:c>
      <x:c r="D299" t="s">
        <x:v>70</x:v>
      </x:c>
      <x:c r="E299" s="384">
        <x:v>0</x:v>
      </x:c>
      <x:c r="F299" s="89">
        <x:v>0</x:v>
      </x:c>
      <x:c r="G299" s="89">
        <x:v>0</x:v>
      </x:c>
      <x:c r="H299" s="384">
        <x:v>0</x:v>
      </x:c>
      <x:c r="I299" s="89">
        <x:v>0</x:v>
      </x:c>
      <x:c r="J299" s="89">
        <x:v>0</x:v>
      </x:c>
      <x:c r="K299" s="89">
        <x:v>0</x:v>
      </x:c>
      <x:c r="L299" s="89">
        <x:v>0</x:v>
      </x:c>
      <x:c r="M299" s="89">
        <x:v>0</x:v>
      </x:c>
      <x:c r="N299" s="89">
        <x:v>0</x:v>
      </x:c>
      <x:c r="O299" s="89">
        <x:v>0</x:v>
      </x:c>
      <x:c r="P299" s="89">
        <x:v>0</x:v>
      </x:c>
      <x:c r="Q299" s="89">
        <x:v>0</x:v>
      </x:c>
      <x:c r="R299">
        <x:v>0</x:v>
      </x:c>
    </x:row>
    <x:row r="300" spans="2:18" s="286" customFormat="1" ht="12.75" customHeight="1" x14ac:dyDescent="0.3">
      <x:c r="B300" s="286" t="s">
        <x:v>155</x:v>
      </x:c>
      <x:c r="C300" s="286" t="s">
        <x:v>70</x:v>
      </x:c>
      <x:c r="E300" s="753" t="n">
        <x:v>23658250.32</x:v>
      </x:c>
      <x:c r="F300" s="229">
        <x:v>0</x:v>
      </x:c>
      <x:c r="G300" s="229">
        <x:v>0</x:v>
      </x:c>
      <x:c r="H300" s="753">
        <x:v>0</x:v>
      </x:c>
      <x:c r="I300" s="229">
        <x:v>0</x:v>
      </x:c>
      <x:c r="J300" s="229">
        <x:v>0</x:v>
      </x:c>
      <x:c r="K300" s="229" t="n">
        <x:v>0</x:v>
      </x:c>
      <x:c r="L300" s="229">
        <x:v>0</x:v>
      </x:c>
      <x:c r="M300" s="229">
        <x:v>0</x:v>
      </x:c>
      <x:c r="N300" s="229">
        <x:v>0</x:v>
      </x:c>
      <x:c r="O300" s="229">
        <x:v>0</x:v>
      </x:c>
      <x:c r="P300" s="229">
        <x:v>0</x:v>
      </x:c>
      <x:c r="Q300" s="229">
        <x:v>0</x:v>
      </x:c>
      <x:c r="R300" s="286">
        <x:v>0</x:v>
      </x:c>
    </x:row>
    <x:row r="301" spans="2:18" ht="12.75" customHeight="1" x14ac:dyDescent="0.3">
      <x:c r="D301" t="s">
        <x:v>72</x:v>
      </x:c>
      <x:c r="E301" s="384">
        <x:v>0</x:v>
      </x:c>
      <x:c r="F301" s="89">
        <x:v>0</x:v>
      </x:c>
      <x:c r="G301" s="89">
        <x:v>0</x:v>
      </x:c>
      <x:c r="H301" s="384">
        <x:v>0</x:v>
      </x:c>
      <x:c r="I301" s="89">
        <x:v>0</x:v>
      </x:c>
      <x:c r="J301" s="89">
        <x:v>0</x:v>
      </x:c>
      <x:c r="K301" s="89">
        <x:v>0</x:v>
      </x:c>
      <x:c r="L301" s="89">
        <x:v>0</x:v>
      </x:c>
      <x:c r="M301" s="89">
        <x:v>0</x:v>
      </x:c>
      <x:c r="N301" s="89">
        <x:v>0</x:v>
      </x:c>
      <x:c r="O301" s="89">
        <x:v>0</x:v>
      </x:c>
      <x:c r="P301" s="89">
        <x:v>0</x:v>
      </x:c>
      <x:c r="Q301" s="89">
        <x:v>0</x:v>
      </x:c>
      <x:c r="R301">
        <x:v>0</x:v>
      </x:c>
    </x:row>
    <x:row r="302" spans="2:18" ht="12.75" customHeight="1" x14ac:dyDescent="0.3">
      <x:c r="D302" t="s">
        <x:v>81</x:v>
      </x:c>
      <x:c r="E302" s="384">
        <x:v>0</x:v>
      </x:c>
      <x:c r="F302" s="89">
        <x:v>0</x:v>
      </x:c>
      <x:c r="G302" s="89">
        <x:v>0</x:v>
      </x:c>
      <x:c r="H302" s="384">
        <x:v>0</x:v>
      </x:c>
      <x:c r="I302" s="89">
        <x:v>0</x:v>
      </x:c>
      <x:c r="J302" s="89">
        <x:v>0</x:v>
      </x:c>
      <x:c r="K302" s="89">
        <x:v>0</x:v>
      </x:c>
      <x:c r="L302" s="89">
        <x:v>0</x:v>
      </x:c>
      <x:c r="M302" s="89">
        <x:v>0</x:v>
      </x:c>
      <x:c r="N302" s="89">
        <x:v>0</x:v>
      </x:c>
      <x:c r="O302" s="89">
        <x:v>0</x:v>
      </x:c>
      <x:c r="P302" s="89">
        <x:v>0</x:v>
      </x:c>
      <x:c r="Q302" s="89">
        <x:v>0</x:v>
      </x:c>
      <x:c r="R302">
        <x:v>0</x:v>
      </x:c>
    </x:row>
    <x:row r="303" spans="2:18" ht="12.75" customHeight="1" x14ac:dyDescent="0.3">
      <x:c r="C303" t="s">
        <x:v>115</x:v>
      </x:c>
      <x:c r="D303" t="s">
        <x:v>70</x:v>
      </x:c>
      <x:c r="E303" s="384">
        <x:v>0</x:v>
      </x:c>
      <x:c r="F303" s="89">
        <x:v>0</x:v>
      </x:c>
      <x:c r="G303" s="89">
        <x:v>0</x:v>
      </x:c>
      <x:c r="H303" s="384">
        <x:v>0</x:v>
      </x:c>
      <x:c r="I303" s="89">
        <x:v>0</x:v>
      </x:c>
      <x:c r="J303" s="89">
        <x:v>0</x:v>
      </x:c>
      <x:c r="K303" s="89">
        <x:v>0</x:v>
      </x:c>
      <x:c r="L303" s="89">
        <x:v>0</x:v>
      </x:c>
      <x:c r="M303" s="89">
        <x:v>0</x:v>
      </x:c>
      <x:c r="N303" s="89">
        <x:v>0</x:v>
      </x:c>
      <x:c r="O303" s="89">
        <x:v>0</x:v>
      </x:c>
      <x:c r="P303" s="89">
        <x:v>0</x:v>
      </x:c>
      <x:c r="Q303" s="89">
        <x:v>0</x:v>
      </x:c>
      <x:c r="R303">
        <x:v>0</x:v>
      </x:c>
    </x:row>
    <x:row r="304" spans="2:18" ht="12.75" customHeight="1" x14ac:dyDescent="0.3">
      <x:c r="D304" t="s">
        <x:v>72</x:v>
      </x:c>
      <x:c r="E304" s="384">
        <x:v>0</x:v>
      </x:c>
      <x:c r="F304" s="89">
        <x:v>0</x:v>
      </x:c>
      <x:c r="G304" s="89">
        <x:v>0</x:v>
      </x:c>
      <x:c r="H304" s="384">
        <x:v>0</x:v>
      </x:c>
      <x:c r="I304" s="89">
        <x:v>0</x:v>
      </x:c>
      <x:c r="J304" s="89">
        <x:v>0</x:v>
      </x:c>
      <x:c r="K304" s="89">
        <x:v>0</x:v>
      </x:c>
      <x:c r="L304" s="89">
        <x:v>0</x:v>
      </x:c>
      <x:c r="M304" s="89">
        <x:v>0</x:v>
      </x:c>
      <x:c r="N304" s="89">
        <x:v>0</x:v>
      </x:c>
      <x:c r="O304" s="89">
        <x:v>0</x:v>
      </x:c>
      <x:c r="P304" s="89">
        <x:v>0</x:v>
      </x:c>
      <x:c r="Q304" s="89">
        <x:v>0</x:v>
      </x:c>
      <x:c r="R304">
        <x:v>0</x:v>
      </x:c>
    </x:row>
    <x:row r="305" spans="2:18" ht="12.75" customHeight="1" x14ac:dyDescent="0.3">
      <x:c r="D305" t="s">
        <x:v>81</x:v>
      </x:c>
      <x:c r="E305" s="384">
        <x:v>0</x:v>
      </x:c>
      <x:c r="F305" s="89">
        <x:v>0</x:v>
      </x:c>
      <x:c r="G305" s="89">
        <x:v>0</x:v>
      </x:c>
      <x:c r="H305" s="384">
        <x:v>0</x:v>
      </x:c>
      <x:c r="I305" s="89">
        <x:v>0</x:v>
      </x:c>
      <x:c r="J305" s="89">
        <x:v>0</x:v>
      </x:c>
      <x:c r="K305" s="89">
        <x:v>0</x:v>
      </x:c>
      <x:c r="L305" s="89">
        <x:v>0</x:v>
      </x:c>
      <x:c r="M305" s="89">
        <x:v>0</x:v>
      </x:c>
      <x:c r="N305" s="89">
        <x:v>0</x:v>
      </x:c>
      <x:c r="O305" s="89">
        <x:v>0</x:v>
      </x:c>
      <x:c r="P305" s="89">
        <x:v>0</x:v>
      </x:c>
      <x:c r="Q305" s="89">
        <x:v>0</x:v>
      </x:c>
      <x:c r="R305">
        <x:v>0</x:v>
      </x:c>
    </x:row>
    <x:row r="306" spans="2:18" ht="12.75" customHeight="1" x14ac:dyDescent="0.3">
      <x:c r="C306" t="s">
        <x:v>116</x:v>
      </x:c>
      <x:c r="D306" t="s">
        <x:v>70</x:v>
      </x:c>
      <x:c r="E306" s="384">
        <x:v>0</x:v>
      </x:c>
      <x:c r="F306" s="89">
        <x:v>0</x:v>
      </x:c>
      <x:c r="G306" s="89">
        <x:v>0</x:v>
      </x:c>
      <x:c r="H306" s="384">
        <x:v>0</x:v>
      </x:c>
      <x:c r="I306" s="89">
        <x:v>0</x:v>
      </x:c>
      <x:c r="J306" s="89">
        <x:v>0</x:v>
      </x:c>
      <x:c r="K306" s="89">
        <x:v>0</x:v>
      </x:c>
      <x:c r="L306" s="89">
        <x:v>0</x:v>
      </x:c>
      <x:c r="M306" s="89">
        <x:v>0</x:v>
      </x:c>
      <x:c r="N306" s="89">
        <x:v>0</x:v>
      </x:c>
      <x:c r="O306" s="89">
        <x:v>0</x:v>
      </x:c>
      <x:c r="P306" s="89">
        <x:v>0</x:v>
      </x:c>
      <x:c r="Q306" s="89">
        <x:v>0</x:v>
      </x:c>
      <x:c r="R306">
        <x:v>0</x:v>
      </x:c>
    </x:row>
    <x:row r="307" spans="2:18" ht="12.75" customHeight="1" x14ac:dyDescent="0.3">
      <x:c r="D307" t="s">
        <x:v>72</x:v>
      </x:c>
      <x:c r="E307" s="384">
        <x:v>0</x:v>
      </x:c>
      <x:c r="F307" s="89">
        <x:v>0</x:v>
      </x:c>
      <x:c r="G307" s="89">
        <x:v>0</x:v>
      </x:c>
      <x:c r="H307" s="384">
        <x:v>0</x:v>
      </x:c>
      <x:c r="I307" s="89">
        <x:v>0</x:v>
      </x:c>
      <x:c r="J307" s="89">
        <x:v>0</x:v>
      </x:c>
      <x:c r="K307" s="89">
        <x:v>0</x:v>
      </x:c>
      <x:c r="L307" s="89">
        <x:v>0</x:v>
      </x:c>
      <x:c r="M307" s="89">
        <x:v>0</x:v>
      </x:c>
      <x:c r="N307" s="89">
        <x:v>0</x:v>
      </x:c>
      <x:c r="O307" s="89">
        <x:v>0</x:v>
      </x:c>
      <x:c r="P307" s="89">
        <x:v>0</x:v>
      </x:c>
      <x:c r="Q307" s="89">
        <x:v>0</x:v>
      </x:c>
      <x:c r="R307">
        <x:v>0</x:v>
      </x:c>
    </x:row>
    <x:row r="308" spans="2:18" ht="12.75" customHeight="1" x14ac:dyDescent="0.3">
      <x:c r="D308" t="s">
        <x:v>81</x:v>
      </x:c>
      <x:c r="E308" s="384">
        <x:v>0</x:v>
      </x:c>
      <x:c r="F308" s="89">
        <x:v>0</x:v>
      </x:c>
      <x:c r="G308" s="89">
        <x:v>0</x:v>
      </x:c>
      <x:c r="H308" s="384">
        <x:v>0</x:v>
      </x:c>
      <x:c r="I308" s="89">
        <x:v>0</x:v>
      </x:c>
      <x:c r="J308" s="89">
        <x:v>0</x:v>
      </x:c>
      <x:c r="K308" s="89">
        <x:v>0</x:v>
      </x:c>
      <x:c r="L308" s="89">
        <x:v>0</x:v>
      </x:c>
      <x:c r="M308" s="89">
        <x:v>0</x:v>
      </x:c>
      <x:c r="N308" s="89">
        <x:v>0</x:v>
      </x:c>
      <x:c r="O308" s="89">
        <x:v>0</x:v>
      </x:c>
      <x:c r="P308" s="89">
        <x:v>0</x:v>
      </x:c>
      <x:c r="Q308" s="89">
        <x:v>0</x:v>
      </x:c>
      <x:c r="R308">
        <x:v>0</x:v>
      </x:c>
    </x:row>
    <x:row r="309" spans="2:18" ht="12.75" customHeight="1" x14ac:dyDescent="0.3">
      <x:c r="C309" s="772">
        <x:v>3</x:v>
      </x:c>
      <x:c r="D309" t="s">
        <x:v>70</x:v>
      </x:c>
      <x:c r="E309" s="384">
        <x:v>0</x:v>
      </x:c>
      <x:c r="F309" s="89">
        <x:v>0</x:v>
      </x:c>
      <x:c r="G309" s="89">
        <x:v>0</x:v>
      </x:c>
      <x:c r="H309" s="384">
        <x:v>0</x:v>
      </x:c>
      <x:c r="I309" s="89">
        <x:v>0</x:v>
      </x:c>
      <x:c r="J309" s="89">
        <x:v>0</x:v>
      </x:c>
      <x:c r="K309" s="89">
        <x:v>0</x:v>
      </x:c>
      <x:c r="L309" s="89">
        <x:v>0</x:v>
      </x:c>
      <x:c r="M309" s="89">
        <x:v>0</x:v>
      </x:c>
      <x:c r="N309" s="89">
        <x:v>0</x:v>
      </x:c>
      <x:c r="O309" s="89">
        <x:v>0</x:v>
      </x:c>
      <x:c r="P309" s="89">
        <x:v>0</x:v>
      </x:c>
      <x:c r="Q309" s="89">
        <x:v>0</x:v>
      </x:c>
      <x:c r="R309">
        <x:v>0</x:v>
      </x:c>
    </x:row>
    <x:row r="310" spans="2:18" ht="12.75" customHeight="1" x14ac:dyDescent="0.3">
      <x:c r="B310" s="89"/>
      <x:c r="C310" s="89"/>
      <x:c r="D310" t="s">
        <x:v>72</x:v>
      </x:c>
      <x:c r="E310" s="371">
        <x:v>0</x:v>
      </x:c>
      <x:c r="F310" s="90">
        <x:v>0</x:v>
      </x:c>
      <x:c r="G310" s="90">
        <x:v>0</x:v>
      </x:c>
      <x:c r="H310" s="90">
        <x:v>0</x:v>
      </x:c>
      <x:c r="I310" s="90">
        <x:v>0</x:v>
      </x:c>
      <x:c r="J310" s="90">
        <x:v>0</x:v>
      </x:c>
      <x:c r="K310" s="90">
        <x:v>0</x:v>
      </x:c>
      <x:c r="L310" s="90">
        <x:v>0</x:v>
      </x:c>
      <x:c r="M310" s="90">
        <x:v>0</x:v>
      </x:c>
      <x:c r="N310" s="90">
        <x:v>0</x:v>
      </x:c>
      <x:c r="O310" s="90">
        <x:v>0</x:v>
      </x:c>
      <x:c r="P310" s="90">
        <x:v>0</x:v>
      </x:c>
      <x:c r="Q310" s="90">
        <x:v>0</x:v>
      </x:c>
      <x:c r="R310">
        <x:v>0</x:v>
      </x:c>
    </x:row>
    <x:row r="311" spans="2:18" ht="12.75" customHeight="1" x14ac:dyDescent="0.3">
      <x:c r="B311" s="89"/>
      <x:c r="C311" s="89"/>
      <x:c r="D311" t="s">
        <x:v>81</x:v>
      </x:c>
      <x:c r="E311" s="371">
        <x:v>0</x:v>
      </x:c>
      <x:c r="F311" s="90">
        <x:v>0</x:v>
      </x:c>
      <x:c r="G311" s="90">
        <x:v>0</x:v>
      </x:c>
      <x:c r="H311" s="90">
        <x:v>0</x:v>
      </x:c>
      <x:c r="I311" s="90">
        <x:v>0</x:v>
      </x:c>
      <x:c r="J311" s="90">
        <x:v>0</x:v>
      </x:c>
      <x:c r="K311" s="90">
        <x:v>0</x:v>
      </x:c>
      <x:c r="L311" s="90">
        <x:v>0</x:v>
      </x:c>
      <x:c r="M311" s="90">
        <x:v>0</x:v>
      </x:c>
      <x:c r="N311" s="90">
        <x:v>0</x:v>
      </x:c>
      <x:c r="O311" s="90">
        <x:v>0</x:v>
      </x:c>
      <x:c r="P311" s="90">
        <x:v>0</x:v>
      </x:c>
      <x:c r="Q311" s="90">
        <x:v>0</x:v>
      </x:c>
      <x:c r="R311">
        <x:v>0</x:v>
      </x:c>
    </x:row>
    <x:row r="312" spans="2:18" ht="12.75" customHeight="1" x14ac:dyDescent="0.3">
      <x:c r="B312" s="89"/>
      <x:c r="C312" s="89" t="s">
        <x:v>118</x:v>
      </x:c>
      <x:c r="D312" t="s">
        <x:v>70</x:v>
      </x:c>
      <x:c r="E312" s="371">
        <x:v>0</x:v>
      </x:c>
      <x:c r="F312" s="90">
        <x:v>0</x:v>
      </x:c>
      <x:c r="G312" s="90">
        <x:v>0</x:v>
      </x:c>
      <x:c r="H312" s="90">
        <x:v>0</x:v>
      </x:c>
      <x:c r="I312" s="90">
        <x:v>0</x:v>
      </x:c>
      <x:c r="J312" s="90">
        <x:v>0</x:v>
      </x:c>
      <x:c r="K312" s="90">
        <x:v>0</x:v>
      </x:c>
      <x:c r="L312" s="90">
        <x:v>0</x:v>
      </x:c>
      <x:c r="M312" s="90">
        <x:v>0</x:v>
      </x:c>
      <x:c r="N312" s="90">
        <x:v>0</x:v>
      </x:c>
      <x:c r="O312" s="90">
        <x:v>0</x:v>
      </x:c>
      <x:c r="P312" s="90">
        <x:v>0</x:v>
      </x:c>
      <x:c r="Q312" s="90">
        <x:v>0</x:v>
      </x:c>
      <x:c r="R312">
        <x:v>0</x:v>
      </x:c>
    </x:row>
    <x:row r="313" spans="2:18" ht="12.75" customHeight="1" x14ac:dyDescent="0.3">
      <x:c r="B313" s="89"/>
      <x:c r="C313" s="89"/>
      <x:c r="D313" t="s">
        <x:v>72</x:v>
      </x:c>
      <x:c r="E313" s="371">
        <x:v>0</x:v>
      </x:c>
      <x:c r="F313" s="90">
        <x:v>0</x:v>
      </x:c>
      <x:c r="G313" s="90">
        <x:v>0</x:v>
      </x:c>
      <x:c r="H313" s="90">
        <x:v>0</x:v>
      </x:c>
      <x:c r="I313" s="90">
        <x:v>0</x:v>
      </x:c>
      <x:c r="J313" s="90">
        <x:v>0</x:v>
      </x:c>
      <x:c r="K313" s="90">
        <x:v>0</x:v>
      </x:c>
      <x:c r="L313" s="90">
        <x:v>0</x:v>
      </x:c>
      <x:c r="M313" s="90">
        <x:v>0</x:v>
      </x:c>
      <x:c r="N313" s="90">
        <x:v>0</x:v>
      </x:c>
      <x:c r="O313" s="90">
        <x:v>0</x:v>
      </x:c>
      <x:c r="P313" s="90">
        <x:v>0</x:v>
      </x:c>
      <x:c r="Q313" s="90">
        <x:v>0</x:v>
      </x:c>
      <x:c r="R313">
        <x:v>0</x:v>
      </x:c>
    </x:row>
    <x:row r="314" spans="2:18" ht="12.75" customHeight="1" x14ac:dyDescent="0.3">
      <x:c r="B314" s="89"/>
      <x:c r="C314" s="89"/>
      <x:c r="D314" t="s">
        <x:v>81</x:v>
      </x:c>
      <x:c r="E314" s="371">
        <x:v>0</x:v>
      </x:c>
      <x:c r="F314" s="90">
        <x:v>0</x:v>
      </x:c>
      <x:c r="G314" s="90">
        <x:v>0</x:v>
      </x:c>
      <x:c r="H314" s="90">
        <x:v>0</x:v>
      </x:c>
      <x:c r="I314" s="90">
        <x:v>0</x:v>
      </x:c>
      <x:c r="J314" s="90">
        <x:v>0</x:v>
      </x:c>
      <x:c r="K314" s="90">
        <x:v>0</x:v>
      </x:c>
      <x:c r="L314" s="90">
        <x:v>0</x:v>
      </x:c>
      <x:c r="M314" s="90">
        <x:v>0</x:v>
      </x:c>
      <x:c r="N314" s="90">
        <x:v>0</x:v>
      </x:c>
      <x:c r="O314" s="90">
        <x:v>0</x:v>
      </x:c>
      <x:c r="P314" s="90">
        <x:v>0</x:v>
      </x:c>
      <x:c r="Q314" s="90">
        <x:v>0</x:v>
      </x:c>
      <x:c r="R314">
        <x:v>0</x:v>
      </x:c>
    </x:row>
    <x:row r="315" spans="2:18" ht="12.75" customHeight="1" x14ac:dyDescent="0.3">
      <x:c r="B315" s="89"/>
      <x:c r="C315" s="773">
        <x:v>9</x:v>
      </x:c>
      <x:c r="D315" t="s">
        <x:v>70</x:v>
      </x:c>
      <x:c r="E315" s="371">
        <x:v>0</x:v>
      </x:c>
      <x:c r="F315" s="90">
        <x:v>0</x:v>
      </x:c>
      <x:c r="G315" s="90">
        <x:v>0</x:v>
      </x:c>
      <x:c r="H315" s="90">
        <x:v>0</x:v>
      </x:c>
      <x:c r="I315" s="90">
        <x:v>0</x:v>
      </x:c>
      <x:c r="J315" s="90">
        <x:v>0</x:v>
      </x:c>
      <x:c r="K315" s="90">
        <x:v>0</x:v>
      </x:c>
      <x:c r="L315" s="90">
        <x:v>0</x:v>
      </x:c>
      <x:c r="M315" s="90">
        <x:v>0</x:v>
      </x:c>
      <x:c r="N315" s="90">
        <x:v>0</x:v>
      </x:c>
      <x:c r="O315" s="90">
        <x:v>0</x:v>
      </x:c>
      <x:c r="P315" s="90">
        <x:v>0</x:v>
      </x:c>
      <x:c r="Q315" s="90">
        <x:v>0</x:v>
      </x:c>
      <x:c r="R315">
        <x:v>0</x:v>
      </x:c>
    </x:row>
    <x:row r="316" spans="2:18" s="224" customFormat="1" ht="12.75" customHeight="1" x14ac:dyDescent="0.3">
      <x:c r="B316" s="224" t="s">
        <x:v>120</x:v>
      </x:c>
      <x:c r="C316" s="223" t="s">
        <x:v>70</x:v>
      </x:c>
      <x:c r="D316" s="223"/>
      <x:c r="E316" s="225" t="n">
        <x:v>2047537.6</x:v>
      </x:c>
      <x:c r="F316" s="225">
        <x:v>0</x:v>
      </x:c>
      <x:c r="G316" s="225">
        <x:v>0</x:v>
      </x:c>
      <x:c r="H316" s="225">
        <x:v>0</x:v>
      </x:c>
      <x:c r="I316" s="225">
        <x:v>0</x:v>
      </x:c>
      <x:c r="J316" s="225">
        <x:v>0</x:v>
      </x:c>
      <x:c r="K316" s="225" t="n">
        <x:v>0</x:v>
      </x:c>
      <x:c r="L316" s="225">
        <x:v>0</x:v>
      </x:c>
      <x:c r="M316" s="225">
        <x:v>0</x:v>
      </x:c>
      <x:c r="N316" s="225">
        <x:v>0</x:v>
      </x:c>
      <x:c r="O316" s="225">
        <x:v>0</x:v>
      </x:c>
      <x:c r="P316" s="225">
        <x:v>0</x:v>
      </x:c>
      <x:c r="Q316" s="225">
        <x:v>0</x:v>
      </x:c>
      <x:c r="R316" s="224">
        <x:v>0</x:v>
      </x:c>
    </x:row>
    <x:row r="317" spans="2:18" ht="12.75" customHeight="1" x14ac:dyDescent="0.3">
      <x:c r="C317" s="89"/>
      <x:c r="D317" s="89" t="s">
        <x:v>72</x:v>
      </x:c>
      <x:c r="E317" s="371">
        <x:v>0</x:v>
      </x:c>
      <x:c r="F317" s="90">
        <x:v>0</x:v>
      </x:c>
      <x:c r="G317" s="90">
        <x:v>0</x:v>
      </x:c>
      <x:c r="H317" s="90">
        <x:v>0</x:v>
      </x:c>
      <x:c r="I317" s="90">
        <x:v>0</x:v>
      </x:c>
      <x:c r="J317" s="90">
        <x:v>0</x:v>
      </x:c>
      <x:c r="K317" s="90">
        <x:v>0</x:v>
      </x:c>
      <x:c r="L317" s="90">
        <x:v>0</x:v>
      </x:c>
      <x:c r="M317" s="90">
        <x:v>0</x:v>
      </x:c>
      <x:c r="N317" s="90">
        <x:v>0</x:v>
      </x:c>
      <x:c r="O317" s="90">
        <x:v>0</x:v>
      </x:c>
      <x:c r="P317" s="90">
        <x:v>0</x:v>
      </x:c>
      <x:c r="Q317" s="90">
        <x:v>0</x:v>
      </x:c>
      <x:c r="R317">
        <x:v>0</x:v>
      </x:c>
    </x:row>
    <x:row r="318" spans="2:18" ht="12.75" customHeight="1" x14ac:dyDescent="0.3">
      <x:c r="C318" s="89"/>
      <x:c r="D318" s="89" t="s">
        <x:v>81</x:v>
      </x:c>
      <x:c r="E318" s="371">
        <x:v>0</x:v>
      </x:c>
      <x:c r="F318" s="90">
        <x:v>0</x:v>
      </x:c>
      <x:c r="G318" s="90">
        <x:v>0</x:v>
      </x:c>
      <x:c r="H318" s="90">
        <x:v>0</x:v>
      </x:c>
      <x:c r="I318" s="90">
        <x:v>0</x:v>
      </x:c>
      <x:c r="J318" s="90">
        <x:v>0</x:v>
      </x:c>
      <x:c r="K318" s="90">
        <x:v>0</x:v>
      </x:c>
      <x:c r="L318" s="90">
        <x:v>0</x:v>
      </x:c>
      <x:c r="M318" s="90">
        <x:v>0</x:v>
      </x:c>
      <x:c r="N318" s="90">
        <x:v>0</x:v>
      </x:c>
      <x:c r="O318" s="90">
        <x:v>0</x:v>
      </x:c>
      <x:c r="P318" s="90">
        <x:v>0</x:v>
      </x:c>
      <x:c r="Q318" s="90">
        <x:v>0</x:v>
      </x:c>
      <x:c r="R318">
        <x:v>0</x:v>
      </x:c>
    </x:row>
    <x:row r="319" spans="2:18" ht="12.75" customHeight="1" x14ac:dyDescent="0.3">
      <x:c r="C319" s="89" t="s">
        <x:v>82</x:v>
      </x:c>
      <x:c r="D319" s="89" t="s">
        <x:v>70</x:v>
      </x:c>
      <x:c r="E319" s="371">
        <x:v>0</x:v>
      </x:c>
      <x:c r="F319" s="90">
        <x:v>0</x:v>
      </x:c>
      <x:c r="G319" s="90">
        <x:v>0</x:v>
      </x:c>
      <x:c r="H319" s="90">
        <x:v>0</x:v>
      </x:c>
      <x:c r="I319" s="90">
        <x:v>0</x:v>
      </x:c>
      <x:c r="J319" s="90">
        <x:v>0</x:v>
      </x:c>
      <x:c r="K319" s="90">
        <x:v>0</x:v>
      </x:c>
      <x:c r="L319" s="90">
        <x:v>0</x:v>
      </x:c>
      <x:c r="M319" s="90">
        <x:v>0</x:v>
      </x:c>
      <x:c r="N319" s="90">
        <x:v>0</x:v>
      </x:c>
      <x:c r="O319" s="90">
        <x:v>0</x:v>
      </x:c>
      <x:c r="P319" s="90">
        <x:v>0</x:v>
      </x:c>
      <x:c r="Q319" s="90">
        <x:v>0</x:v>
      </x:c>
      <x:c r="R319">
        <x:v>0</x:v>
      </x:c>
    </x:row>
    <x:row r="320" spans="2:18" ht="12.75" customHeight="1" x14ac:dyDescent="0.3">
      <x:c r="C320" s="89"/>
      <x:c r="D320" s="89" t="s">
        <x:v>72</x:v>
      </x:c>
      <x:c r="E320" s="371">
        <x:v>0</x:v>
      </x:c>
      <x:c r="F320" s="90">
        <x:v>0</x:v>
      </x:c>
      <x:c r="G320" s="90">
        <x:v>0</x:v>
      </x:c>
      <x:c r="H320" s="90">
        <x:v>0</x:v>
      </x:c>
      <x:c r="I320" s="90">
        <x:v>0</x:v>
      </x:c>
      <x:c r="J320" s="90">
        <x:v>0</x:v>
      </x:c>
      <x:c r="K320" s="90">
        <x:v>0</x:v>
      </x:c>
      <x:c r="L320" s="90">
        <x:v>0</x:v>
      </x:c>
      <x:c r="M320" s="90">
        <x:v>0</x:v>
      </x:c>
      <x:c r="N320" s="90">
        <x:v>0</x:v>
      </x:c>
      <x:c r="O320" s="90">
        <x:v>0</x:v>
      </x:c>
      <x:c r="P320" s="90">
        <x:v>0</x:v>
      </x:c>
      <x:c r="Q320" s="90">
        <x:v>0</x:v>
      </x:c>
      <x:c r="R320">
        <x:v>0</x:v>
      </x:c>
    </x:row>
    <x:row r="321" spans="1:18" ht="12.75" customHeight="1" x14ac:dyDescent="0.3">
      <x:c r="C321" s="89"/>
      <x:c r="D321" s="89" t="s">
        <x:v>81</x:v>
      </x:c>
      <x:c r="E321" s="371">
        <x:v>0</x:v>
      </x:c>
      <x:c r="F321" s="90">
        <x:v>0</x:v>
      </x:c>
      <x:c r="G321" s="90">
        <x:v>0</x:v>
      </x:c>
      <x:c r="H321" s="90">
        <x:v>0</x:v>
      </x:c>
      <x:c r="I321" s="90">
        <x:v>0</x:v>
      </x:c>
      <x:c r="J321" s="90">
        <x:v>0</x:v>
      </x:c>
      <x:c r="K321" s="90">
        <x:v>0</x:v>
      </x:c>
      <x:c r="L321" s="90">
        <x:v>0</x:v>
      </x:c>
      <x:c r="M321" s="90">
        <x:v>0</x:v>
      </x:c>
      <x:c r="N321" s="90">
        <x:v>0</x:v>
      </x:c>
      <x:c r="O321" s="90">
        <x:v>0</x:v>
      </x:c>
      <x:c r="P321" s="90">
        <x:v>0</x:v>
      </x:c>
      <x:c r="Q321" s="90">
        <x:v>0</x:v>
      </x:c>
      <x:c r="R321">
        <x:v>0</x:v>
      </x:c>
    </x:row>
    <x:row r="322" spans="1:18" ht="12.75" customHeight="1" x14ac:dyDescent="0.3">
      <x:c r="C322" s="89" t="s">
        <x:v>86</x:v>
      </x:c>
      <x:c r="D322" s="89" t="s">
        <x:v>70</x:v>
      </x:c>
      <x:c r="E322" s="371">
        <x:v>0</x:v>
      </x:c>
      <x:c r="F322" s="90">
        <x:v>0</x:v>
      </x:c>
      <x:c r="G322" s="90">
        <x:v>0</x:v>
      </x:c>
      <x:c r="H322" s="90">
        <x:v>0</x:v>
      </x:c>
      <x:c r="I322" s="90">
        <x:v>0</x:v>
      </x:c>
      <x:c r="J322" s="90">
        <x:v>0</x:v>
      </x:c>
      <x:c r="K322" s="90">
        <x:v>0</x:v>
      </x:c>
      <x:c r="L322" s="90">
        <x:v>0</x:v>
      </x:c>
      <x:c r="M322" s="90">
        <x:v>0</x:v>
      </x:c>
      <x:c r="N322" s="90">
        <x:v>0</x:v>
      </x:c>
      <x:c r="O322" s="90">
        <x:v>0</x:v>
      </x:c>
      <x:c r="P322" s="90">
        <x:v>0</x:v>
      </x:c>
      <x:c r="Q322" s="90">
        <x:v>0</x:v>
      </x:c>
      <x:c r="R322">
        <x:v>0</x:v>
      </x:c>
    </x:row>
    <x:row r="323" spans="1:18" ht="12.75" customHeight="1" x14ac:dyDescent="0.3">
      <x:c r="C323" s="89"/>
      <x:c r="D323" s="89" t="s">
        <x:v>72</x:v>
      </x:c>
      <x:c r="E323" s="371">
        <x:v>0</x:v>
      </x:c>
      <x:c r="F323" s="90">
        <x:v>0</x:v>
      </x:c>
      <x:c r="G323" s="90">
        <x:v>0</x:v>
      </x:c>
      <x:c r="H323" s="90">
        <x:v>0</x:v>
      </x:c>
      <x:c r="I323" s="90">
        <x:v>0</x:v>
      </x:c>
      <x:c r="J323" s="90">
        <x:v>0</x:v>
      </x:c>
      <x:c r="K323" s="90">
        <x:v>0</x:v>
      </x:c>
      <x:c r="L323" s="90">
        <x:v>0</x:v>
      </x:c>
      <x:c r="M323" s="90">
        <x:v>0</x:v>
      </x:c>
      <x:c r="N323" s="90">
        <x:v>0</x:v>
      </x:c>
      <x:c r="O323" s="90">
        <x:v>0</x:v>
      </x:c>
      <x:c r="P323" s="90">
        <x:v>0</x:v>
      </x:c>
      <x:c r="Q323" s="90">
        <x:v>0</x:v>
      </x:c>
      <x:c r="R323">
        <x:v>0</x:v>
      </x:c>
    </x:row>
    <x:row r="324" spans="1:18" ht="12.75" customHeight="1" x14ac:dyDescent="0.3">
      <x:c r="C324" s="89"/>
      <x:c r="D324" s="89" t="s">
        <x:v>81</x:v>
      </x:c>
      <x:c r="E324" s="371">
        <x:v>0</x:v>
      </x:c>
      <x:c r="F324" s="90">
        <x:v>0</x:v>
      </x:c>
      <x:c r="G324" s="90">
        <x:v>0</x:v>
      </x:c>
      <x:c r="H324" s="90">
        <x:v>0</x:v>
      </x:c>
      <x:c r="I324" s="90">
        <x:v>0</x:v>
      </x:c>
      <x:c r="J324" s="90">
        <x:v>0</x:v>
      </x:c>
      <x:c r="K324" s="90">
        <x:v>0</x:v>
      </x:c>
      <x:c r="L324" s="90">
        <x:v>0</x:v>
      </x:c>
      <x:c r="M324" s="90">
        <x:v>0</x:v>
      </x:c>
      <x:c r="N324" s="90">
        <x:v>0</x:v>
      </x:c>
      <x:c r="O324" s="90">
        <x:v>0</x:v>
      </x:c>
      <x:c r="P324" s="90">
        <x:v>0</x:v>
      </x:c>
      <x:c r="Q324" s="90">
        <x:v>0</x:v>
      </x:c>
      <x:c r="R324">
        <x:v>0</x:v>
      </x:c>
    </x:row>
    <x:row r="325" spans="1:18" ht="12.75" customHeight="1" x14ac:dyDescent="0.3">
      <x:c r="A325" s="89"/>
      <x:c r="B325" s="89"/>
      <x:c r="C325" t="s">
        <x:v>87</x:v>
      </x:c>
      <x:c r="D325" t="s">
        <x:v>70</x:v>
      </x:c>
      <x:c r="E325" s="90">
        <x:v>0</x:v>
      </x:c>
      <x:c r="F325" s="90">
        <x:v>0</x:v>
      </x:c>
      <x:c r="G325" s="90">
        <x:v>0</x:v>
      </x:c>
      <x:c r="H325" s="90">
        <x:v>0</x:v>
      </x:c>
      <x:c r="I325" s="90">
        <x:v>0</x:v>
      </x:c>
      <x:c r="J325" s="90">
        <x:v>0</x:v>
      </x:c>
      <x:c r="K325" s="90">
        <x:v>0</x:v>
      </x:c>
      <x:c r="L325" s="90">
        <x:v>0</x:v>
      </x:c>
      <x:c r="M325" s="90">
        <x:v>0</x:v>
      </x:c>
      <x:c r="N325" s="90">
        <x:v>0</x:v>
      </x:c>
      <x:c r="O325" s="90">
        <x:v>0</x:v>
      </x:c>
      <x:c r="P325" s="90">
        <x:v>0</x:v>
      </x:c>
      <x:c r="Q325" s="90">
        <x:v>0</x:v>
      </x:c>
      <x:c r="R325">
        <x:v>0</x:v>
      </x:c>
    </x:row>
    <x:row r="326" spans="1:18" s="94" customFormat="1" ht="12.75" customHeight="1" x14ac:dyDescent="0.3">
      <x:c r="B326" s="101" t="s">
        <x:v>119</x:v>
      </x:c>
      <x:c r="C326" s="101" t="s">
        <x:v>70</x:v>
      </x:c>
      <x:c r="E326" s="93" t="n">
        <x:v>3117968.95</x:v>
      </x:c>
      <x:c r="F326" s="93">
        <x:v>0</x:v>
      </x:c>
      <x:c r="G326" s="93">
        <x:v>0</x:v>
      </x:c>
      <x:c r="H326" s="93">
        <x:v>0</x:v>
      </x:c>
      <x:c r="I326" s="93">
        <x:v>0</x:v>
      </x:c>
      <x:c r="J326" s="93">
        <x:v>0</x:v>
      </x:c>
      <x:c r="K326" s="93" t="n">
        <x:v>0</x:v>
      </x:c>
      <x:c r="L326" s="93">
        <x:v>0</x:v>
      </x:c>
      <x:c r="M326" s="93">
        <x:v>0</x:v>
      </x:c>
      <x:c r="N326" s="93">
        <x:v>0</x:v>
      </x:c>
      <x:c r="O326" s="93">
        <x:v>0</x:v>
      </x:c>
      <x:c r="P326" s="93">
        <x:v>0</x:v>
      </x:c>
      <x:c r="Q326" s="93">
        <x:v>0</x:v>
      </x:c>
      <x:c r="R326" s="94">
        <x:v>0</x:v>
      </x:c>
    </x:row>
    <x:row r="327" spans="1:18" s="226" customFormat="1" ht="12.75" customHeight="1" x14ac:dyDescent="0.3">
      <x:c r="A327" s="98" t="s">
        <x:v>78</x:v>
      </x:c>
      <x:c r="B327" s="98" t="s">
        <x:v>70</x:v>
      </x:c>
      <x:c r="E327" s="100" t="n">
        <x:v>28823756.87</x:v>
      </x:c>
      <x:c r="F327" s="100">
        <x:v>0</x:v>
      </x:c>
      <x:c r="G327" s="100">
        <x:v>0</x:v>
      </x:c>
      <x:c r="H327" s="100">
        <x:v>0</x:v>
      </x:c>
      <x:c r="I327" s="100">
        <x:v>0</x:v>
      </x:c>
      <x:c r="J327" s="100">
        <x:v>0</x:v>
      </x:c>
      <x:c r="K327" s="100" t="n">
        <x:v>0</x:v>
      </x:c>
      <x:c r="L327" s="100">
        <x:v>0</x:v>
      </x:c>
      <x:c r="M327" s="100">
        <x:v>0</x:v>
      </x:c>
      <x:c r="N327" s="100">
        <x:v>0</x:v>
      </x:c>
      <x:c r="O327" s="100">
        <x:v>0</x:v>
      </x:c>
      <x:c r="P327" s="100">
        <x:v>0</x:v>
      </x:c>
      <x:c r="Q327" s="100">
        <x:v>0</x:v>
      </x:c>
      <x:c r="R327" s="226">
        <x:v>0</x:v>
      </x:c>
    </x:row>
    <x:row r="328" spans="1:18" ht="12.75" customHeight="1" x14ac:dyDescent="0.3">
      <x:c r="B328" s="89"/>
      <x:c r="C328" s="89"/>
      <x:c r="D328" t="s">
        <x:v>73</x:v>
      </x:c>
      <x:c r="E328" s="371">
        <x:v>0</x:v>
      </x:c>
      <x:c r="F328" s="90">
        <x:v>0</x:v>
      </x:c>
      <x:c r="G328" s="90">
        <x:v>0</x:v>
      </x:c>
      <x:c r="H328" s="90">
        <x:v>0</x:v>
      </x:c>
      <x:c r="I328" s="90">
        <x:v>0</x:v>
      </x:c>
      <x:c r="J328" s="90">
        <x:v>0</x:v>
      </x:c>
      <x:c r="K328" s="90">
        <x:v>0</x:v>
      </x:c>
      <x:c r="L328" s="90">
        <x:v>0</x:v>
      </x:c>
      <x:c r="M328" s="90">
        <x:v>0</x:v>
      </x:c>
      <x:c r="N328" s="90">
        <x:v>0</x:v>
      </x:c>
      <x:c r="O328" s="90">
        <x:v>0</x:v>
      </x:c>
      <x:c r="P328" s="90">
        <x:v>0</x:v>
      </x:c>
      <x:c r="Q328" s="90">
        <x:v>0</x:v>
      </x:c>
      <x:c r="R328">
        <x:v>0</x:v>
      </x:c>
    </x:row>
    <x:row r="329" spans="1:18" ht="12.75" customHeight="1" x14ac:dyDescent="0.3">
      <x:c r="B329" s="89"/>
      <x:c r="C329" s="89" t="s">
        <x:v>156</x:v>
      </x:c>
      <x:c r="D329" t="s">
        <x:v>70</x:v>
      </x:c>
      <x:c r="E329" s="371">
        <x:v>0</x:v>
      </x:c>
      <x:c r="F329" s="90">
        <x:v>0</x:v>
      </x:c>
      <x:c r="G329" s="90">
        <x:v>0</x:v>
      </x:c>
      <x:c r="H329" s="90">
        <x:v>0</x:v>
      </x:c>
      <x:c r="I329" s="90">
        <x:v>0</x:v>
      </x:c>
      <x:c r="J329" s="90">
        <x:v>0</x:v>
      </x:c>
      <x:c r="K329" s="90">
        <x:v>0</x:v>
      </x:c>
      <x:c r="L329" s="90">
        <x:v>0</x:v>
      </x:c>
      <x:c r="M329" s="90">
        <x:v>0</x:v>
      </x:c>
      <x:c r="N329" s="90">
        <x:v>0</x:v>
      </x:c>
      <x:c r="O329" s="90">
        <x:v>0</x:v>
      </x:c>
      <x:c r="P329" s="90">
        <x:v>0</x:v>
      </x:c>
      <x:c r="Q329" s="90">
        <x:v>0</x:v>
      </x:c>
      <x:c r="R329">
        <x:v>0</x:v>
      </x:c>
    </x:row>
    <x:row r="330" spans="1:18" s="286" customFormat="1" ht="12.75" customHeight="1" x14ac:dyDescent="0.3">
      <x:c r="B330" s="229" t="s">
        <x:v>155</x:v>
      </x:c>
      <x:c r="C330" s="229" t="s">
        <x:v>70</x:v>
      </x:c>
      <x:c r="E330" s="752" t="n">
        <x:v>84110.96</x:v>
      </x:c>
      <x:c r="F330" s="230">
        <x:v>0</x:v>
      </x:c>
      <x:c r="G330" s="230">
        <x:v>0</x:v>
      </x:c>
      <x:c r="H330" s="230">
        <x:v>0</x:v>
      </x:c>
      <x:c r="I330" s="230">
        <x:v>0</x:v>
      </x:c>
      <x:c r="J330" s="230">
        <x:v>0</x:v>
      </x:c>
      <x:c r="K330" s="230">
        <x:v>0</x:v>
      </x:c>
      <x:c r="L330" s="230">
        <x:v>0</x:v>
      </x:c>
      <x:c r="M330" s="230">
        <x:v>0</x:v>
      </x:c>
      <x:c r="N330" s="230">
        <x:v>0</x:v>
      </x:c>
      <x:c r="O330" s="230">
        <x:v>0</x:v>
      </x:c>
      <x:c r="P330" s="230">
        <x:v>0</x:v>
      </x:c>
      <x:c r="Q330" s="230">
        <x:v>0</x:v>
      </x:c>
      <x:c r="R330" s="286">
        <x:v>0</x:v>
      </x:c>
    </x:row>
    <x:row r="331" spans="1:18" ht="12.75" customHeight="1" x14ac:dyDescent="0.3">
      <x:c r="B331" s="89"/>
      <x:c r="C331" s="89"/>
      <x:c r="D331" t="s">
        <x:v>73</x:v>
      </x:c>
      <x:c r="E331" s="371">
        <x:v>0</x:v>
      </x:c>
      <x:c r="F331" s="90">
        <x:v>0</x:v>
      </x:c>
      <x:c r="G331" s="90">
        <x:v>0</x:v>
      </x:c>
      <x:c r="H331" s="90">
        <x:v>0</x:v>
      </x:c>
      <x:c r="I331" s="90">
        <x:v>0</x:v>
      </x:c>
      <x:c r="J331" s="90">
        <x:v>0</x:v>
      </x:c>
      <x:c r="K331" s="90">
        <x:v>0</x:v>
      </x:c>
      <x:c r="L331" s="90">
        <x:v>0</x:v>
      </x:c>
      <x:c r="M331" s="90">
        <x:v>0</x:v>
      </x:c>
      <x:c r="N331" s="90">
        <x:v>0</x:v>
      </x:c>
      <x:c r="O331" s="90">
        <x:v>0</x:v>
      </x:c>
      <x:c r="P331" s="90">
        <x:v>0</x:v>
      </x:c>
      <x:c r="Q331" s="90">
        <x:v>0</x:v>
      </x:c>
      <x:c r="R331">
        <x:v>0</x:v>
      </x:c>
    </x:row>
    <x:row r="332" spans="1:18" ht="12.75" customHeight="1" x14ac:dyDescent="0.3">
      <x:c r="B332" s="89"/>
      <x:c r="C332" s="89" t="s">
        <x:v>115</x:v>
      </x:c>
      <x:c r="D332" t="s">
        <x:v>70</x:v>
      </x:c>
      <x:c r="E332" s="371">
        <x:v>0</x:v>
      </x:c>
      <x:c r="F332" s="90">
        <x:v>0</x:v>
      </x:c>
      <x:c r="G332" s="90">
        <x:v>0</x:v>
      </x:c>
      <x:c r="H332" s="90">
        <x:v>0</x:v>
      </x:c>
      <x:c r="I332" s="90">
        <x:v>0</x:v>
      </x:c>
      <x:c r="J332" s="90">
        <x:v>0</x:v>
      </x:c>
      <x:c r="K332" s="90">
        <x:v>0</x:v>
      </x:c>
      <x:c r="L332" s="90">
        <x:v>0</x:v>
      </x:c>
      <x:c r="M332" s="90">
        <x:v>0</x:v>
      </x:c>
      <x:c r="N332" s="90">
        <x:v>0</x:v>
      </x:c>
      <x:c r="O332" s="90">
        <x:v>0</x:v>
      </x:c>
      <x:c r="P332" s="90">
        <x:v>0</x:v>
      </x:c>
      <x:c r="Q332" s="90">
        <x:v>0</x:v>
      </x:c>
      <x:c r="R332">
        <x:v>0</x:v>
      </x:c>
    </x:row>
    <x:row r="333" spans="1:18" ht="12.75" customHeight="1" x14ac:dyDescent="0.3">
      <x:c r="B333" s="89"/>
      <x:c r="C333" s="89"/>
      <x:c r="D333" t="s">
        <x:v>73</x:v>
      </x:c>
      <x:c r="E333" s="371">
        <x:v>0</x:v>
      </x:c>
      <x:c r="F333" s="90">
        <x:v>0</x:v>
      </x:c>
      <x:c r="G333" s="90">
        <x:v>0</x:v>
      </x:c>
      <x:c r="H333" s="90">
        <x:v>0</x:v>
      </x:c>
      <x:c r="I333" s="90">
        <x:v>0</x:v>
      </x:c>
      <x:c r="J333" s="90">
        <x:v>0</x:v>
      </x:c>
      <x:c r="K333" s="90">
        <x:v>0</x:v>
      </x:c>
      <x:c r="L333" s="90">
        <x:v>0</x:v>
      </x:c>
      <x:c r="M333" s="90">
        <x:v>0</x:v>
      </x:c>
      <x:c r="N333" s="90">
        <x:v>0</x:v>
      </x:c>
      <x:c r="O333" s="90">
        <x:v>0</x:v>
      </x:c>
      <x:c r="P333" s="90">
        <x:v>0</x:v>
      </x:c>
      <x:c r="Q333" s="90">
        <x:v>0</x:v>
      </x:c>
      <x:c r="R333">
        <x:v>0</x:v>
      </x:c>
    </x:row>
    <x:row r="334" spans="1:18" ht="12.75" customHeight="1" x14ac:dyDescent="0.3">
      <x:c r="B334" s="89"/>
      <x:c r="C334" s="89" t="s">
        <x:v>116</x:v>
      </x:c>
      <x:c r="D334" t="s">
        <x:v>70</x:v>
      </x:c>
      <x:c r="E334" s="371">
        <x:v>0</x:v>
      </x:c>
      <x:c r="F334" s="90">
        <x:v>0</x:v>
      </x:c>
      <x:c r="G334" s="90">
        <x:v>0</x:v>
      </x:c>
      <x:c r="H334" s="90">
        <x:v>0</x:v>
      </x:c>
      <x:c r="I334" s="90">
        <x:v>0</x:v>
      </x:c>
      <x:c r="J334" s="90">
        <x:v>0</x:v>
      </x:c>
      <x:c r="K334" s="90">
        <x:v>0</x:v>
      </x:c>
      <x:c r="L334" s="90">
        <x:v>0</x:v>
      </x:c>
      <x:c r="M334" s="90">
        <x:v>0</x:v>
      </x:c>
      <x:c r="N334" s="90">
        <x:v>0</x:v>
      </x:c>
      <x:c r="O334" s="90">
        <x:v>0</x:v>
      </x:c>
      <x:c r="P334" s="90">
        <x:v>0</x:v>
      </x:c>
      <x:c r="Q334" s="90">
        <x:v>0</x:v>
      </x:c>
      <x:c r="R334">
        <x:v>0</x:v>
      </x:c>
    </x:row>
    <x:row r="335" spans="1:18" ht="12.75" customHeight="1" x14ac:dyDescent="0.3">
      <x:c r="B335" s="89"/>
      <x:c r="C335" s="89"/>
      <x:c r="D335" t="s">
        <x:v>73</x:v>
      </x:c>
      <x:c r="E335" s="371">
        <x:v>0</x:v>
      </x:c>
      <x:c r="F335" s="90">
        <x:v>0</x:v>
      </x:c>
      <x:c r="G335" s="90">
        <x:v>0</x:v>
      </x:c>
      <x:c r="H335" s="90">
        <x:v>0</x:v>
      </x:c>
      <x:c r="I335" s="90">
        <x:v>0</x:v>
      </x:c>
      <x:c r="J335" s="90">
        <x:v>0</x:v>
      </x:c>
      <x:c r="K335" s="90">
        <x:v>0</x:v>
      </x:c>
      <x:c r="L335" s="90">
        <x:v>0</x:v>
      </x:c>
      <x:c r="M335" s="90">
        <x:v>0</x:v>
      </x:c>
      <x:c r="N335" s="90">
        <x:v>0</x:v>
      </x:c>
      <x:c r="O335" s="90">
        <x:v>0</x:v>
      </x:c>
      <x:c r="P335" s="90">
        <x:v>0</x:v>
      </x:c>
      <x:c r="Q335" s="90">
        <x:v>0</x:v>
      </x:c>
      <x:c r="R335">
        <x:v>0</x:v>
      </x:c>
    </x:row>
    <x:row r="336" spans="1:18" ht="12.75" customHeight="1" x14ac:dyDescent="0.3">
      <x:c r="B336" s="89"/>
      <x:c r="C336" s="773">
        <x:v>3</x:v>
      </x:c>
      <x:c r="D336" t="s">
        <x:v>70</x:v>
      </x:c>
      <x:c r="E336" s="371">
        <x:v>0</x:v>
      </x:c>
      <x:c r="F336" s="90">
        <x:v>0</x:v>
      </x:c>
      <x:c r="G336" s="90">
        <x:v>0</x:v>
      </x:c>
      <x:c r="H336" s="90">
        <x:v>0</x:v>
      </x:c>
      <x:c r="I336" s="90">
        <x:v>0</x:v>
      </x:c>
      <x:c r="J336" s="90">
        <x:v>0</x:v>
      </x:c>
      <x:c r="K336" s="90">
        <x:v>0</x:v>
      </x:c>
      <x:c r="L336" s="90">
        <x:v>0</x:v>
      </x:c>
      <x:c r="M336" s="90">
        <x:v>0</x:v>
      </x:c>
      <x:c r="N336" s="90">
        <x:v>0</x:v>
      </x:c>
      <x:c r="O336" s="90">
        <x:v>0</x:v>
      </x:c>
      <x:c r="P336" s="90">
        <x:v>0</x:v>
      </x:c>
      <x:c r="Q336" s="90">
        <x:v>0</x:v>
      </x:c>
      <x:c r="R336">
        <x:v>0</x:v>
      </x:c>
    </x:row>
    <x:row r="337" spans="1:18" ht="12.75" customHeight="1" x14ac:dyDescent="0.3">
      <x:c r="B337" s="89"/>
      <x:c r="C337" s="89"/>
      <x:c r="D337" t="s">
        <x:v>73</x:v>
      </x:c>
      <x:c r="E337" s="371">
        <x:v>0</x:v>
      </x:c>
      <x:c r="F337" s="90">
        <x:v>0</x:v>
      </x:c>
      <x:c r="G337" s="90">
        <x:v>0</x:v>
      </x:c>
      <x:c r="H337" s="90">
        <x:v>0</x:v>
      </x:c>
      <x:c r="I337" s="90">
        <x:v>0</x:v>
      </x:c>
      <x:c r="J337" s="90">
        <x:v>0</x:v>
      </x:c>
      <x:c r="K337" s="90">
        <x:v>0</x:v>
      </x:c>
      <x:c r="L337" s="90">
        <x:v>0</x:v>
      </x:c>
      <x:c r="M337" s="90">
        <x:v>0</x:v>
      </x:c>
      <x:c r="N337" s="90">
        <x:v>0</x:v>
      </x:c>
      <x:c r="O337" s="90">
        <x:v>0</x:v>
      </x:c>
      <x:c r="P337" s="90">
        <x:v>0</x:v>
      </x:c>
      <x:c r="Q337" s="90">
        <x:v>0</x:v>
      </x:c>
      <x:c r="R337">
        <x:v>0</x:v>
      </x:c>
    </x:row>
    <x:row r="338" spans="1:18" ht="12.75" customHeight="1" x14ac:dyDescent="0.3">
      <x:c r="B338" s="89"/>
      <x:c r="C338" s="89" t="s">
        <x:v>118</x:v>
      </x:c>
      <x:c r="D338" t="s">
        <x:v>70</x:v>
      </x:c>
      <x:c r="E338" s="371">
        <x:v>0</x:v>
      </x:c>
      <x:c r="F338" s="90">
        <x:v>0</x:v>
      </x:c>
      <x:c r="G338" s="90">
        <x:v>0</x:v>
      </x:c>
      <x:c r="H338" s="90">
        <x:v>0</x:v>
      </x:c>
      <x:c r="I338" s="90">
        <x:v>0</x:v>
      </x:c>
      <x:c r="J338" s="90">
        <x:v>0</x:v>
      </x:c>
      <x:c r="K338" s="90">
        <x:v>0</x:v>
      </x:c>
      <x:c r="L338" s="90">
        <x:v>0</x:v>
      </x:c>
      <x:c r="M338" s="90">
        <x:v>0</x:v>
      </x:c>
      <x:c r="N338" s="90">
        <x:v>0</x:v>
      </x:c>
      <x:c r="O338" s="90">
        <x:v>0</x:v>
      </x:c>
      <x:c r="P338" s="90">
        <x:v>0</x:v>
      </x:c>
      <x:c r="Q338" s="90">
        <x:v>0</x:v>
      </x:c>
      <x:c r="R338">
        <x:v>0</x:v>
      </x:c>
    </x:row>
    <x:row r="339" spans="1:18" ht="12.75" customHeight="1" x14ac:dyDescent="0.3">
      <x:c r="B339" s="89"/>
      <x:c r="C339" s="89"/>
      <x:c r="D339" t="s">
        <x:v>73</x:v>
      </x:c>
      <x:c r="E339" s="371">
        <x:v>0</x:v>
      </x:c>
      <x:c r="F339" s="90">
        <x:v>0</x:v>
      </x:c>
      <x:c r="G339" s="90">
        <x:v>0</x:v>
      </x:c>
      <x:c r="H339" s="90">
        <x:v>0</x:v>
      </x:c>
      <x:c r="I339" s="90">
        <x:v>0</x:v>
      </x:c>
      <x:c r="J339" s="90">
        <x:v>0</x:v>
      </x:c>
      <x:c r="K339" s="90">
        <x:v>0</x:v>
      </x:c>
      <x:c r="L339" s="90">
        <x:v>0</x:v>
      </x:c>
      <x:c r="M339" s="90">
        <x:v>0</x:v>
      </x:c>
      <x:c r="N339" s="90">
        <x:v>0</x:v>
      </x:c>
      <x:c r="O339" s="90">
        <x:v>0</x:v>
      </x:c>
      <x:c r="P339" s="90">
        <x:v>0</x:v>
      </x:c>
      <x:c r="Q339" s="90">
        <x:v>0</x:v>
      </x:c>
      <x:c r="R339">
        <x:v>0</x:v>
      </x:c>
    </x:row>
    <x:row r="340" spans="1:18" ht="12.75" customHeight="1" x14ac:dyDescent="0.3">
      <x:c r="B340" s="89"/>
      <x:c r="C340" s="773">
        <x:v>9</x:v>
      </x:c>
      <x:c r="D340" t="s">
        <x:v>70</x:v>
      </x:c>
      <x:c r="E340" s="371">
        <x:v>0</x:v>
      </x:c>
      <x:c r="F340" s="90">
        <x:v>0</x:v>
      </x:c>
      <x:c r="G340" s="90">
        <x:v>0</x:v>
      </x:c>
      <x:c r="H340" s="90">
        <x:v>0</x:v>
      </x:c>
      <x:c r="I340" s="90">
        <x:v>0</x:v>
      </x:c>
      <x:c r="J340" s="90">
        <x:v>0</x:v>
      </x:c>
      <x:c r="K340" s="90">
        <x:v>0</x:v>
      </x:c>
      <x:c r="L340" s="90">
        <x:v>0</x:v>
      </x:c>
      <x:c r="M340" s="90">
        <x:v>0</x:v>
      </x:c>
      <x:c r="N340" s="90">
        <x:v>0</x:v>
      </x:c>
      <x:c r="O340" s="90">
        <x:v>0</x:v>
      </x:c>
      <x:c r="P340" s="90">
        <x:v>0</x:v>
      </x:c>
      <x:c r="Q340" s="90">
        <x:v>0</x:v>
      </x:c>
      <x:c r="R340">
        <x:v>0</x:v>
      </x:c>
    </x:row>
    <x:row r="341" spans="1:18" s="224" customFormat="1" ht="12.75" customHeight="1" x14ac:dyDescent="0.3">
      <x:c r="B341" s="224" t="s">
        <x:v>120</x:v>
      </x:c>
      <x:c r="C341" s="224" t="s">
        <x:v>70</x:v>
      </x:c>
      <x:c r="D341" s="223"/>
      <x:c r="E341" s="225" t="n">
        <x:v>41645.74</x:v>
      </x:c>
      <x:c r="F341" s="225">
        <x:v>0</x:v>
      </x:c>
      <x:c r="G341" s="225">
        <x:v>0</x:v>
      </x:c>
      <x:c r="H341" s="225">
        <x:v>0</x:v>
      </x:c>
      <x:c r="I341" s="225">
        <x:v>0</x:v>
      </x:c>
      <x:c r="J341" s="225">
        <x:v>0</x:v>
      </x:c>
      <x:c r="K341" s="225">
        <x:v>0</x:v>
      </x:c>
      <x:c r="L341" s="225">
        <x:v>0</x:v>
      </x:c>
      <x:c r="M341" s="225">
        <x:v>0</x:v>
      </x:c>
      <x:c r="N341" s="225">
        <x:v>0</x:v>
      </x:c>
      <x:c r="O341" s="225">
        <x:v>0</x:v>
      </x:c>
      <x:c r="P341" s="225">
        <x:v>0</x:v>
      </x:c>
      <x:c r="Q341" s="225">
        <x:v>0</x:v>
      </x:c>
      <x:c r="R341" s="224">
        <x:v>0</x:v>
      </x:c>
    </x:row>
    <x:row r="342" spans="1:18" ht="12.75" customHeight="1" x14ac:dyDescent="0.3">
      <x:c r="D342" s="89" t="s">
        <x:v>73</x:v>
      </x:c>
      <x:c r="E342" s="371">
        <x:v>0</x:v>
      </x:c>
      <x:c r="F342" s="90">
        <x:v>0</x:v>
      </x:c>
      <x:c r="G342" s="90">
        <x:v>0</x:v>
      </x:c>
      <x:c r="H342" s="90">
        <x:v>0</x:v>
      </x:c>
      <x:c r="I342" s="90">
        <x:v>0</x:v>
      </x:c>
      <x:c r="J342" s="90">
        <x:v>0</x:v>
      </x:c>
      <x:c r="K342" s="90">
        <x:v>0</x:v>
      </x:c>
      <x:c r="L342" s="90">
        <x:v>0</x:v>
      </x:c>
      <x:c r="M342" s="90">
        <x:v>0</x:v>
      </x:c>
      <x:c r="N342" s="90">
        <x:v>0</x:v>
      </x:c>
      <x:c r="O342" s="90">
        <x:v>0</x:v>
      </x:c>
      <x:c r="P342" s="90">
        <x:v>0</x:v>
      </x:c>
      <x:c r="Q342" s="90">
        <x:v>0</x:v>
      </x:c>
      <x:c r="R342">
        <x:v>0</x:v>
      </x:c>
    </x:row>
    <x:row r="343" spans="1:18" ht="12.75" customHeight="1" x14ac:dyDescent="0.3">
      <x:c r="C343" t="s">
        <x:v>82</x:v>
      </x:c>
      <x:c r="D343" s="89" t="s">
        <x:v>70</x:v>
      </x:c>
      <x:c r="E343" s="371">
        <x:v>0</x:v>
      </x:c>
      <x:c r="F343" s="90">
        <x:v>0</x:v>
      </x:c>
      <x:c r="G343" s="90">
        <x:v>0</x:v>
      </x:c>
      <x:c r="H343" s="90">
        <x:v>0</x:v>
      </x:c>
      <x:c r="I343" s="90">
        <x:v>0</x:v>
      </x:c>
      <x:c r="J343" s="90">
        <x:v>0</x:v>
      </x:c>
      <x:c r="K343" s="90">
        <x:v>0</x:v>
      </x:c>
      <x:c r="L343" s="90">
        <x:v>0</x:v>
      </x:c>
      <x:c r="M343" s="90">
        <x:v>0</x:v>
      </x:c>
      <x:c r="N343" s="90">
        <x:v>0</x:v>
      </x:c>
      <x:c r="O343" s="90">
        <x:v>0</x:v>
      </x:c>
      <x:c r="P343" s="90">
        <x:v>0</x:v>
      </x:c>
      <x:c r="Q343" s="90">
        <x:v>0</x:v>
      </x:c>
      <x:c r="R343">
        <x:v>0</x:v>
      </x:c>
    </x:row>
    <x:row r="344" spans="1:18" ht="12.75" customHeight="1" x14ac:dyDescent="0.3">
      <x:c r="D344" s="89" t="s">
        <x:v>73</x:v>
      </x:c>
      <x:c r="E344" s="371">
        <x:v>0</x:v>
      </x:c>
      <x:c r="F344" s="90">
        <x:v>0</x:v>
      </x:c>
      <x:c r="G344" s="90">
        <x:v>0</x:v>
      </x:c>
      <x:c r="H344" s="90">
        <x:v>0</x:v>
      </x:c>
      <x:c r="I344" s="90">
        <x:v>0</x:v>
      </x:c>
      <x:c r="J344" s="90">
        <x:v>0</x:v>
      </x:c>
      <x:c r="K344" s="90">
        <x:v>0</x:v>
      </x:c>
      <x:c r="L344" s="90">
        <x:v>0</x:v>
      </x:c>
      <x:c r="M344" s="90">
        <x:v>0</x:v>
      </x:c>
      <x:c r="N344" s="90">
        <x:v>0</x:v>
      </x:c>
      <x:c r="O344" s="90">
        <x:v>0</x:v>
      </x:c>
      <x:c r="P344" s="90">
        <x:v>0</x:v>
      </x:c>
      <x:c r="Q344" s="90">
        <x:v>0</x:v>
      </x:c>
      <x:c r="R344">
        <x:v>0</x:v>
      </x:c>
    </x:row>
    <x:row r="345" spans="1:18" ht="12.75" customHeight="1" x14ac:dyDescent="0.3">
      <x:c r="C345" t="s">
        <x:v>86</x:v>
      </x:c>
      <x:c r="D345" s="89" t="s">
        <x:v>70</x:v>
      </x:c>
      <x:c r="E345" s="371">
        <x:v>0</x:v>
      </x:c>
      <x:c r="F345" s="90">
        <x:v>0</x:v>
      </x:c>
      <x:c r="G345" s="90">
        <x:v>0</x:v>
      </x:c>
      <x:c r="H345" s="90">
        <x:v>0</x:v>
      </x:c>
      <x:c r="I345" s="90">
        <x:v>0</x:v>
      </x:c>
      <x:c r="J345" s="90">
        <x:v>0</x:v>
      </x:c>
      <x:c r="K345" s="90">
        <x:v>0</x:v>
      </x:c>
      <x:c r="L345" s="90">
        <x:v>0</x:v>
      </x:c>
      <x:c r="M345" s="90">
        <x:v>0</x:v>
      </x:c>
      <x:c r="N345" s="90">
        <x:v>0</x:v>
      </x:c>
      <x:c r="O345" s="90">
        <x:v>0</x:v>
      </x:c>
      <x:c r="P345" s="90">
        <x:v>0</x:v>
      </x:c>
      <x:c r="Q345" s="90">
        <x:v>0</x:v>
      </x:c>
      <x:c r="R345">
        <x:v>0</x:v>
      </x:c>
    </x:row>
    <x:row r="346" spans="1:18" ht="12.75" customHeight="1" x14ac:dyDescent="0.3">
      <x:c r="C346" s="89"/>
      <x:c r="D346" s="89" t="s">
        <x:v>73</x:v>
      </x:c>
      <x:c r="E346" s="90">
        <x:v>0</x:v>
      </x:c>
      <x:c r="F346" s="90">
        <x:v>0</x:v>
      </x:c>
      <x:c r="G346" s="90">
        <x:v>0</x:v>
      </x:c>
      <x:c r="H346" s="90">
        <x:v>0</x:v>
      </x:c>
      <x:c r="I346" s="90">
        <x:v>0</x:v>
      </x:c>
      <x:c r="J346" s="90">
        <x:v>0</x:v>
      </x:c>
      <x:c r="K346" s="90">
        <x:v>0</x:v>
      </x:c>
      <x:c r="L346" s="90">
        <x:v>0</x:v>
      </x:c>
      <x:c r="M346" s="90">
        <x:v>0</x:v>
      </x:c>
      <x:c r="N346" s="90">
        <x:v>0</x:v>
      </x:c>
      <x:c r="O346" s="90">
        <x:v>0</x:v>
      </x:c>
      <x:c r="P346" s="90">
        <x:v>0</x:v>
      </x:c>
      <x:c r="Q346" s="90">
        <x:v>0</x:v>
      </x:c>
      <x:c r="R346">
        <x:v>0</x:v>
      </x:c>
    </x:row>
    <x:row r="347" spans="1:18" ht="12.75" customHeight="1" x14ac:dyDescent="0.3">
      <x:c r="B347" s="89"/>
      <x:c r="C347" s="89" t="s">
        <x:v>87</x:v>
      </x:c>
      <x:c r="D347" t="s">
        <x:v>70</x:v>
      </x:c>
      <x:c r="E347" s="90">
        <x:v>0</x:v>
      </x:c>
      <x:c r="F347" s="90">
        <x:v>0</x:v>
      </x:c>
      <x:c r="G347" s="90">
        <x:v>0</x:v>
      </x:c>
      <x:c r="H347" s="90">
        <x:v>0</x:v>
      </x:c>
      <x:c r="I347" s="90">
        <x:v>0</x:v>
      </x:c>
      <x:c r="J347" s="90">
        <x:v>0</x:v>
      </x:c>
      <x:c r="K347" s="90">
        <x:v>0</x:v>
      </x:c>
      <x:c r="L347" s="90">
        <x:v>0</x:v>
      </x:c>
      <x:c r="M347" s="90">
        <x:v>0</x:v>
      </x:c>
      <x:c r="N347" s="90">
        <x:v>0</x:v>
      </x:c>
      <x:c r="O347" s="90">
        <x:v>0</x:v>
      </x:c>
      <x:c r="P347" s="90">
        <x:v>0</x:v>
      </x:c>
      <x:c r="Q347" s="90">
        <x:v>0</x:v>
      </x:c>
      <x:c r="R347">
        <x:v>0</x:v>
      </x:c>
    </x:row>
    <x:row r="348" spans="1:18" s="94" customFormat="1" ht="12.75" customHeight="1" x14ac:dyDescent="0.3">
      <x:c r="B348" s="101" t="s">
        <x:v>119</x:v>
      </x:c>
      <x:c r="C348" s="101" t="s">
        <x:v>70</x:v>
      </x:c>
      <x:c r="E348" s="93" t="n">
        <x:v>256843.5</x:v>
      </x:c>
      <x:c r="F348" s="93">
        <x:v>0</x:v>
      </x:c>
      <x:c r="G348" s="93">
        <x:v>0</x:v>
      </x:c>
      <x:c r="H348" s="93">
        <x:v>0</x:v>
      </x:c>
      <x:c r="I348" s="93">
        <x:v>0</x:v>
      </x:c>
      <x:c r="J348" s="93">
        <x:v>0</x:v>
      </x:c>
      <x:c r="K348" s="93">
        <x:v>0</x:v>
      </x:c>
      <x:c r="L348" s="93">
        <x:v>0</x:v>
      </x:c>
      <x:c r="M348" s="93">
        <x:v>0</x:v>
      </x:c>
      <x:c r="N348" s="93">
        <x:v>0</x:v>
      </x:c>
      <x:c r="O348" s="93">
        <x:v>0</x:v>
      </x:c>
      <x:c r="P348" s="93">
        <x:v>0</x:v>
      </x:c>
      <x:c r="Q348" s="93">
        <x:v>0</x:v>
      </x:c>
      <x:c r="R348" s="94">
        <x:v>0</x:v>
      </x:c>
    </x:row>
    <x:row r="349" spans="1:18" s="226" customFormat="1" ht="12.75" customHeight="1" x14ac:dyDescent="0.3">
      <x:c r="A349" s="98" t="s">
        <x:v>79</x:v>
      </x:c>
      <x:c r="B349" s="98" t="s">
        <x:v>70</x:v>
      </x:c>
      <x:c r="E349" s="100" t="n">
        <x:v>382600.2</x:v>
      </x:c>
      <x:c r="F349" s="100">
        <x:v>0</x:v>
      </x:c>
      <x:c r="G349" s="100">
        <x:v>0</x:v>
      </x:c>
      <x:c r="H349" s="100">
        <x:v>0</x:v>
      </x:c>
      <x:c r="I349" s="100">
        <x:v>0</x:v>
      </x:c>
      <x:c r="J349" s="100">
        <x:v>0</x:v>
      </x:c>
      <x:c r="K349" s="100">
        <x:v>0</x:v>
      </x:c>
      <x:c r="L349" s="100">
        <x:v>0</x:v>
      </x:c>
      <x:c r="M349" s="100">
        <x:v>0</x:v>
      </x:c>
      <x:c r="N349" s="100">
        <x:v>0</x:v>
      </x:c>
      <x:c r="O349" s="100">
        <x:v>0</x:v>
      </x:c>
      <x:c r="P349" s="100">
        <x:v>0</x:v>
      </x:c>
      <x:c r="Q349" s="100">
        <x:v>0</x:v>
      </x:c>
      <x:c r="R349" s="226">
        <x:v>0</x:v>
      </x:c>
    </x:row>
    <x:row r="350" spans="1:18" ht="12.75" customHeight="1" x14ac:dyDescent="0.3">
      <x:c r="A350" s="89" t="s">
        <x:v>70</x:v>
      </x:c>
      <x:c r="E350" s="90">
        <x:v>0</x:v>
      </x:c>
      <x:c r="F350" s="90">
        <x:v>0</x:v>
      </x:c>
      <x:c r="G350" s="90">
        <x:v>0</x:v>
      </x:c>
      <x:c r="H350" s="90">
        <x:v>0</x:v>
      </x:c>
      <x:c r="I350" s="90">
        <x:v>0</x:v>
      </x:c>
      <x:c r="J350" s="90">
        <x:v>0</x:v>
      </x:c>
      <x:c r="K350" s="90">
        <x:v>0</x:v>
      </x:c>
      <x:c r="L350" s="90">
        <x:v>0</x:v>
      </x:c>
      <x:c r="M350" s="90">
        <x:v>0</x:v>
      </x:c>
      <x:c r="N350" s="90">
        <x:v>0</x:v>
      </x:c>
      <x:c r="O350" s="90">
        <x:v>0</x:v>
      </x:c>
      <x:c r="P350" s="90">
        <x:v>0</x:v>
      </x:c>
      <x:c r="Q350" s="90">
        <x:v>0</x:v>
      </x:c>
      <x:c r="R350">
        <x:v>0</x:v>
      </x:c>
    </x:row>
    <x:row r="351" spans="1:18" ht="12.75" customHeight="1" x14ac:dyDescent="0.3">
      <x:c r="C351" s="89"/>
      <x:c r="D351" s="89"/>
      <x:c r="E351" s="90"/>
      <x:c r="F351" s="90"/>
      <x:c r="G351" s="90"/>
      <x:c r="H351" s="90"/>
      <x:c r="I351" s="90"/>
      <x:c r="J351" s="90"/>
      <x:c r="K351" s="90"/>
      <x:c r="L351" s="90"/>
      <x:c r="M351" s="90"/>
      <x:c r="N351" s="90"/>
      <x:c r="O351" s="90"/>
      <x:c r="P351" s="90"/>
      <x:c r="Q351" s="90"/>
    </x:row>
    <x:row r="352" spans="1:18" ht="12.75" customHeight="1" x14ac:dyDescent="0.3">
      <x:c r="C352" s="89"/>
      <x:c r="D352" s="89"/>
      <x:c r="E352" s="90"/>
      <x:c r="F352" s="90"/>
      <x:c r="G352" s="90"/>
      <x:c r="H352" s="90"/>
      <x:c r="I352" s="90"/>
      <x:c r="J352" s="90"/>
      <x:c r="K352" s="90"/>
      <x:c r="L352" s="90"/>
      <x:c r="M352" s="90"/>
      <x:c r="N352" s="90"/>
      <x:c r="O352" s="90"/>
      <x:c r="P352" s="90"/>
      <x:c r="Q352" s="90"/>
    </x:row>
    <x:row r="353" spans="3:17" ht="12.75" hidden="1" customHeight="1" x14ac:dyDescent="0.3">
      <x:c r="C353" s="89"/>
      <x:c r="D353" s="89"/>
      <x:c r="E353" s="90"/>
      <x:c r="F353" s="90"/>
      <x:c r="G353" s="90"/>
      <x:c r="H353" s="90"/>
      <x:c r="I353" s="90"/>
      <x:c r="J353" s="90"/>
      <x:c r="K353" s="90"/>
      <x:c r="L353" s="90"/>
      <x:c r="M353" s="90"/>
      <x:c r="N353" s="90"/>
      <x:c r="O353" s="90"/>
      <x:c r="P353" s="90"/>
      <x:c r="Q353" s="90"/>
    </x:row>
    <x:row r="354" spans="3:17" ht="12.75" hidden="1" customHeight="1" x14ac:dyDescent="0.3">
      <x:c r="C354" s="89"/>
      <x:c r="D354" s="89"/>
      <x:c r="E354" s="90"/>
      <x:c r="F354" s="90"/>
      <x:c r="G354" s="90"/>
      <x:c r="H354" s="90"/>
      <x:c r="I354" s="90"/>
      <x:c r="J354" s="90"/>
      <x:c r="K354" s="90"/>
      <x:c r="L354" s="90"/>
      <x:c r="M354" s="90"/>
      <x:c r="N354" s="90"/>
      <x:c r="O354" s="90"/>
      <x:c r="P354" s="90"/>
      <x:c r="Q354" s="90"/>
    </x:row>
    <x:row r="355" spans="3:17" ht="12.75" hidden="1" customHeight="1" x14ac:dyDescent="0.3">
      <x:c r="C355" s="89"/>
      <x:c r="D355" s="89"/>
      <x:c r="E355" s="90"/>
      <x:c r="F355" s="90"/>
      <x:c r="G355" s="90"/>
      <x:c r="H355" s="90"/>
      <x:c r="I355" s="90"/>
      <x:c r="J355" s="90"/>
      <x:c r="K355" s="90"/>
      <x:c r="L355" s="90"/>
      <x:c r="M355" s="90"/>
      <x:c r="N355" s="90"/>
      <x:c r="O355" s="90"/>
      <x:c r="P355" s="90"/>
      <x:c r="Q355" s="90"/>
    </x:row>
    <x:row r="356" spans="3:17" ht="12.75" hidden="1" customHeight="1" x14ac:dyDescent="0.3">
      <x:c r="C356" s="89"/>
      <x:c r="D356" s="89"/>
      <x:c r="E356" s="90"/>
      <x:c r="F356" s="90"/>
      <x:c r="G356" s="90"/>
      <x:c r="H356" s="90"/>
      <x:c r="I356" s="90"/>
      <x:c r="J356" s="90"/>
      <x:c r="K356" s="90"/>
      <x:c r="L356" s="90"/>
      <x:c r="M356" s="90"/>
      <x:c r="N356" s="90"/>
      <x:c r="O356" s="90"/>
      <x:c r="P356" s="90"/>
      <x:c r="Q356" s="90"/>
    </x:row>
    <x:row r="357" spans="3:17" ht="12.75" hidden="1" customHeight="1" x14ac:dyDescent="0.3">
      <x:c r="C357" s="89"/>
      <x:c r="D357" s="89"/>
      <x:c r="E357" s="90"/>
      <x:c r="F357" s="90"/>
      <x:c r="G357" s="90"/>
      <x:c r="H357" s="90"/>
      <x:c r="I357" s="90"/>
      <x:c r="J357" s="90"/>
      <x:c r="K357" s="90"/>
      <x:c r="L357" s="90"/>
      <x:c r="M357" s="90"/>
      <x:c r="N357" s="90"/>
      <x:c r="O357" s="90"/>
      <x:c r="P357" s="90"/>
      <x:c r="Q357" s="90"/>
    </x:row>
    <x:row r="358" spans="3:17" ht="12.75" hidden="1" customHeight="1" x14ac:dyDescent="0.3">
      <x:c r="C358" s="89"/>
      <x:c r="D358" s="89"/>
      <x:c r="E358" s="90"/>
      <x:c r="F358" s="90"/>
      <x:c r="G358" s="90"/>
      <x:c r="H358" s="90"/>
      <x:c r="I358" s="90"/>
      <x:c r="J358" s="90"/>
      <x:c r="K358" s="90"/>
      <x:c r="L358" s="90"/>
      <x:c r="M358" s="90"/>
      <x:c r="N358" s="90"/>
      <x:c r="O358" s="90"/>
      <x:c r="P358" s="90"/>
      <x:c r="Q358" s="90"/>
    </x:row>
    <x:row r="359" spans="3:17" ht="12.75" hidden="1" customHeight="1" x14ac:dyDescent="0.3">
      <x:c r="C359" s="89"/>
      <x:c r="D359" s="89"/>
      <x:c r="E359" s="90"/>
      <x:c r="F359" s="90"/>
      <x:c r="G359" s="90"/>
      <x:c r="H359" s="90"/>
      <x:c r="I359" s="90"/>
      <x:c r="J359" s="90"/>
      <x:c r="K359" s="90"/>
      <x:c r="L359" s="90"/>
      <x:c r="M359" s="90"/>
      <x:c r="N359" s="90"/>
      <x:c r="O359" s="90"/>
      <x:c r="P359" s="90"/>
      <x:c r="Q359" s="90"/>
    </x:row>
    <x:row r="360" spans="3:17" ht="12.75" hidden="1" customHeight="1" x14ac:dyDescent="0.3">
      <x:c r="C360" s="89"/>
      <x:c r="D360" s="89"/>
      <x:c r="E360" s="90"/>
      <x:c r="F360" s="90"/>
      <x:c r="G360" s="90"/>
      <x:c r="H360" s="90"/>
      <x:c r="I360" s="90"/>
      <x:c r="J360" s="90"/>
      <x:c r="K360" s="90"/>
      <x:c r="L360" s="90"/>
      <x:c r="M360" s="90"/>
      <x:c r="N360" s="90"/>
      <x:c r="O360" s="90"/>
      <x:c r="P360" s="90"/>
      <x:c r="Q360" s="90"/>
    </x:row>
    <x:row r="361" spans="3:17" ht="12.75" hidden="1" customHeight="1" x14ac:dyDescent="0.3">
      <x:c r="C361" s="89"/>
      <x:c r="D361" s="89"/>
      <x:c r="E361" s="90"/>
      <x:c r="F361" s="90"/>
      <x:c r="G361" s="90"/>
      <x:c r="H361" s="90"/>
      <x:c r="I361" s="90"/>
      <x:c r="J361" s="90"/>
      <x:c r="K361" s="90"/>
      <x:c r="L361" s="90"/>
      <x:c r="M361" s="90"/>
      <x:c r="N361" s="90"/>
      <x:c r="O361" s="90"/>
      <x:c r="P361" s="90"/>
      <x:c r="Q361" s="90"/>
    </x:row>
    <x:row r="362" spans="3:17" ht="12.75" hidden="1" customHeight="1" x14ac:dyDescent="0.3">
      <x:c r="C362" s="89"/>
      <x:c r="D362" s="89"/>
      <x:c r="E362" s="90"/>
      <x:c r="F362" s="90"/>
      <x:c r="G362" s="90"/>
      <x:c r="H362" s="90"/>
      <x:c r="I362" s="90"/>
      <x:c r="J362" s="90"/>
      <x:c r="K362" s="90"/>
      <x:c r="L362" s="90"/>
      <x:c r="M362" s="90"/>
      <x:c r="N362" s="90"/>
      <x:c r="O362" s="90"/>
      <x:c r="P362" s="90"/>
      <x:c r="Q362" s="90"/>
    </x:row>
    <x:row r="363" spans="3:17" ht="12.75" hidden="1" customHeight="1" x14ac:dyDescent="0.3">
      <x:c r="C363" s="89"/>
      <x:c r="D363" s="89"/>
      <x:c r="E363" s="90"/>
      <x:c r="F363" s="90"/>
      <x:c r="G363" s="90"/>
      <x:c r="H363" s="90"/>
      <x:c r="I363" s="90"/>
      <x:c r="J363" s="90"/>
      <x:c r="K363" s="90"/>
      <x:c r="L363" s="90"/>
      <x:c r="M363" s="90"/>
      <x:c r="N363" s="90"/>
      <x:c r="O363" s="90"/>
      <x:c r="P363" s="90"/>
      <x:c r="Q363" s="90"/>
    </x:row>
    <x:row r="364" spans="3:17" ht="12.75" hidden="1" customHeight="1" x14ac:dyDescent="0.3">
      <x:c r="C364" s="89"/>
      <x:c r="D364" s="89"/>
      <x:c r="E364" s="90"/>
      <x:c r="F364" s="90"/>
      <x:c r="G364" s="90"/>
      <x:c r="H364" s="90"/>
      <x:c r="I364" s="90"/>
      <x:c r="J364" s="90"/>
      <x:c r="K364" s="90"/>
      <x:c r="L364" s="90"/>
      <x:c r="M364" s="90"/>
      <x:c r="N364" s="90"/>
      <x:c r="O364" s="90"/>
      <x:c r="P364" s="90"/>
      <x:c r="Q364" s="90"/>
    </x:row>
    <x:row r="365" spans="3:17" ht="12.75" hidden="1" customHeight="1" x14ac:dyDescent="0.3">
      <x:c r="C365" s="89"/>
      <x:c r="D365" s="89"/>
      <x:c r="E365" s="90"/>
      <x:c r="F365" s="90"/>
      <x:c r="G365" s="90"/>
      <x:c r="H365" s="90"/>
      <x:c r="I365" s="90"/>
      <x:c r="J365" s="90"/>
      <x:c r="K365" s="90"/>
      <x:c r="L365" s="90"/>
      <x:c r="M365" s="90"/>
      <x:c r="N365" s="90"/>
      <x:c r="O365" s="90"/>
      <x:c r="P365" s="90"/>
      <x:c r="Q365" s="90"/>
    </x:row>
    <x:row r="366" spans="3:17" ht="12.75" hidden="1" customHeight="1" x14ac:dyDescent="0.3">
      <x:c r="C366" s="89"/>
      <x:c r="D366" s="89"/>
      <x:c r="E366" s="90"/>
      <x:c r="F366" s="90"/>
      <x:c r="G366" s="90"/>
      <x:c r="H366" s="90"/>
      <x:c r="I366" s="90"/>
      <x:c r="J366" s="90"/>
      <x:c r="K366" s="90"/>
      <x:c r="L366" s="90"/>
      <x:c r="M366" s="90"/>
      <x:c r="N366" s="90"/>
      <x:c r="O366" s="90"/>
      <x:c r="P366" s="90"/>
      <x:c r="Q366" s="90"/>
    </x:row>
    <x:row r="367" spans="3:17" ht="12.75" hidden="1" customHeight="1" x14ac:dyDescent="0.3">
      <x:c r="C367" s="89"/>
      <x:c r="D367" s="89"/>
      <x:c r="E367" s="90"/>
      <x:c r="F367" s="90"/>
      <x:c r="G367" s="90"/>
      <x:c r="H367" s="90"/>
      <x:c r="I367" s="90"/>
      <x:c r="J367" s="90"/>
      <x:c r="K367" s="90"/>
      <x:c r="L367" s="90"/>
      <x:c r="M367" s="90"/>
      <x:c r="N367" s="90"/>
      <x:c r="O367" s="90"/>
      <x:c r="P367" s="90"/>
      <x:c r="Q367" s="90"/>
    </x:row>
    <x:row r="368" spans="3:17" ht="12.75" hidden="1" customHeight="1" x14ac:dyDescent="0.3">
      <x:c r="C368" s="89"/>
      <x:c r="D368" s="89"/>
      <x:c r="E368" s="90"/>
      <x:c r="F368" s="90"/>
      <x:c r="G368" s="90"/>
      <x:c r="H368" s="90"/>
      <x:c r="I368" s="90"/>
      <x:c r="J368" s="90"/>
      <x:c r="K368" s="90"/>
      <x:c r="L368" s="90"/>
      <x:c r="M368" s="90"/>
      <x:c r="N368" s="90"/>
      <x:c r="O368" s="90"/>
      <x:c r="P368" s="90"/>
      <x:c r="Q368" s="90"/>
    </x:row>
    <x:row r="369" spans="2:18" ht="12.75" hidden="1" customHeight="1" x14ac:dyDescent="0.3">
      <x:c r="C369" s="89"/>
      <x:c r="D369" s="89"/>
      <x:c r="E369" s="90"/>
      <x:c r="F369" s="90"/>
      <x:c r="G369" s="90"/>
      <x:c r="H369" s="90"/>
      <x:c r="I369" s="90"/>
      <x:c r="J369" s="90"/>
      <x:c r="K369" s="90"/>
      <x:c r="L369" s="90"/>
      <x:c r="M369" s="90"/>
      <x:c r="N369" s="90"/>
      <x:c r="O369" s="90"/>
      <x:c r="P369" s="90"/>
      <x:c r="Q369" s="90"/>
    </x:row>
    <x:row r="370" spans="2:18" ht="12.75" hidden="1" customHeight="1" x14ac:dyDescent="0.3">
      <x:c r="C370" s="89"/>
      <x:c r="D370" s="89"/>
      <x:c r="E370" s="90"/>
      <x:c r="F370" s="90"/>
      <x:c r="G370" s="90"/>
      <x:c r="H370" s="90"/>
      <x:c r="I370" s="90"/>
      <x:c r="J370" s="90"/>
      <x:c r="K370" s="90"/>
      <x:c r="L370" s="90"/>
      <x:c r="M370" s="90"/>
      <x:c r="N370" s="90"/>
      <x:c r="O370" s="90"/>
      <x:c r="P370" s="90"/>
      <x:c r="Q370" s="90"/>
    </x:row>
    <x:row r="371" spans="2:18" ht="12.75" hidden="1" customHeight="1" x14ac:dyDescent="0.3">
      <x:c r="C371" s="89"/>
      <x:c r="D371" s="89"/>
      <x:c r="E371" s="90"/>
      <x:c r="F371" s="90"/>
      <x:c r="G371" s="90"/>
      <x:c r="H371" s="90"/>
      <x:c r="I371" s="90"/>
      <x:c r="J371" s="90"/>
      <x:c r="K371" s="90"/>
      <x:c r="L371" s="90"/>
      <x:c r="M371" s="90"/>
      <x:c r="N371" s="90"/>
      <x:c r="O371" s="90"/>
      <x:c r="P371" s="90"/>
      <x:c r="Q371" s="90"/>
    </x:row>
    <x:row r="372" spans="2:18" ht="12.75" hidden="1" customHeight="1" x14ac:dyDescent="0.3">
      <x:c r="C372" s="89"/>
      <x:c r="D372" s="89"/>
      <x:c r="E372" s="90"/>
      <x:c r="F372" s="90"/>
      <x:c r="G372" s="90"/>
      <x:c r="H372" s="90"/>
      <x:c r="I372" s="90"/>
      <x:c r="J372" s="90"/>
      <x:c r="K372" s="90"/>
      <x:c r="L372" s="90"/>
      <x:c r="M372" s="90"/>
      <x:c r="N372" s="90"/>
      <x:c r="O372" s="90"/>
      <x:c r="P372" s="90"/>
      <x:c r="Q372" s="90"/>
    </x:row>
    <x:row r="373" spans="2:18" ht="12.75" hidden="1" customHeight="1" x14ac:dyDescent="0.3">
      <x:c r="C373" s="89"/>
      <x:c r="D373" s="89"/>
      <x:c r="E373" s="90"/>
      <x:c r="F373" s="90"/>
      <x:c r="G373" s="90"/>
      <x:c r="H373" s="90"/>
      <x:c r="I373" s="90"/>
      <x:c r="J373" s="90"/>
      <x:c r="K373" s="90"/>
      <x:c r="L373" s="90"/>
      <x:c r="M373" s="90"/>
      <x:c r="N373" s="90"/>
      <x:c r="O373" s="90"/>
      <x:c r="P373" s="90"/>
      <x:c r="Q373" s="90"/>
    </x:row>
    <x:row r="374" spans="2:18" ht="12.75" hidden="1" customHeight="1" x14ac:dyDescent="0.3">
      <x:c r="C374" s="89"/>
      <x:c r="D374" s="89"/>
      <x:c r="E374" s="90"/>
      <x:c r="F374" s="90"/>
      <x:c r="G374" s="90"/>
      <x:c r="H374" s="90"/>
      <x:c r="I374" s="90"/>
      <x:c r="J374" s="90"/>
      <x:c r="K374" s="90"/>
      <x:c r="L374" s="90"/>
      <x:c r="M374" s="90"/>
      <x:c r="N374" s="90"/>
      <x:c r="O374" s="90"/>
      <x:c r="P374" s="90"/>
      <x:c r="Q374" s="90"/>
    </x:row>
    <x:row r="375" spans="2:18" ht="12.75" hidden="1" customHeight="1" x14ac:dyDescent="0.3">
      <x:c r="C375" s="89"/>
      <x:c r="D375" s="89"/>
      <x:c r="E375" s="90"/>
      <x:c r="F375" s="90"/>
      <x:c r="G375" s="90"/>
      <x:c r="H375" s="90"/>
      <x:c r="I375" s="90"/>
      <x:c r="J375" s="90"/>
      <x:c r="K375" s="90"/>
      <x:c r="L375" s="90"/>
      <x:c r="M375" s="90"/>
      <x:c r="N375" s="90"/>
      <x:c r="O375" s="90"/>
      <x:c r="P375" s="90"/>
      <x:c r="Q375" s="90"/>
    </x:row>
    <x:row r="376" spans="2:18" ht="12.75" hidden="1" customHeight="1" x14ac:dyDescent="0.3">
      <x:c r="C376" s="89"/>
      <x:c r="D376" s="89"/>
      <x:c r="E376" s="90"/>
      <x:c r="F376" s="90"/>
      <x:c r="G376" s="90"/>
      <x:c r="H376" s="90"/>
      <x:c r="I376" s="90"/>
      <x:c r="J376" s="90"/>
      <x:c r="K376" s="90"/>
      <x:c r="L376" s="90"/>
      <x:c r="M376" s="90"/>
      <x:c r="N376" s="90"/>
      <x:c r="O376" s="90"/>
      <x:c r="P376" s="90"/>
      <x:c r="Q376" s="90"/>
    </x:row>
    <x:row r="377" spans="2:18" ht="12.75" hidden="1" customHeight="1" x14ac:dyDescent="0.3">
      <x:c r="C377" s="89"/>
      <x:c r="D377" s="89"/>
      <x:c r="E377" s="90"/>
      <x:c r="F377" s="90"/>
      <x:c r="G377" s="90"/>
      <x:c r="H377" s="90"/>
      <x:c r="I377" s="90"/>
      <x:c r="J377" s="90"/>
      <x:c r="K377" s="90"/>
      <x:c r="L377" s="90"/>
      <x:c r="M377" s="90"/>
      <x:c r="N377" s="90"/>
      <x:c r="O377" s="90"/>
      <x:c r="P377" s="90"/>
      <x:c r="Q377" s="90"/>
    </x:row>
    <x:row r="378" spans="2:18" ht="12.75" hidden="1" customHeight="1" x14ac:dyDescent="0.3">
      <x:c r="C378" s="89"/>
      <x:c r="D378" s="89"/>
      <x:c r="E378" s="90"/>
      <x:c r="F378" s="90"/>
      <x:c r="G378" s="90"/>
      <x:c r="H378" s="90"/>
      <x:c r="I378" s="90"/>
      <x:c r="J378" s="90"/>
      <x:c r="K378" s="90"/>
      <x:c r="L378" s="90"/>
      <x:c r="M378" s="90"/>
      <x:c r="N378" s="90"/>
      <x:c r="O378" s="90"/>
      <x:c r="P378" s="90"/>
      <x:c r="Q378" s="90"/>
    </x:row>
    <x:row r="379" spans="2:18" ht="12.75" hidden="1" customHeight="1" x14ac:dyDescent="0.3">
      <x:c r="C379" s="89"/>
      <x:c r="D379" s="89"/>
      <x:c r="E379" s="90"/>
      <x:c r="F379" s="90"/>
      <x:c r="G379" s="90"/>
      <x:c r="H379" s="90"/>
      <x:c r="I379" s="90"/>
      <x:c r="J379" s="90"/>
      <x:c r="K379" s="90"/>
      <x:c r="L379" s="90"/>
      <x:c r="M379" s="90"/>
      <x:c r="N379" s="90"/>
      <x:c r="O379" s="90"/>
      <x:c r="P379" s="90"/>
      <x:c r="Q379" s="90"/>
    </x:row>
    <x:row r="380" spans="2:18" ht="12.75" hidden="1" customHeight="1" x14ac:dyDescent="0.3">
      <x:c r="C380" s="89"/>
      <x:c r="D380" s="89"/>
      <x:c r="E380" s="90"/>
      <x:c r="F380" s="90"/>
      <x:c r="G380" s="90"/>
      <x:c r="H380" s="90"/>
      <x:c r="I380" s="90"/>
      <x:c r="J380" s="90"/>
      <x:c r="K380" s="90"/>
      <x:c r="L380" s="90"/>
      <x:c r="M380" s="90"/>
      <x:c r="N380" s="90"/>
      <x:c r="O380" s="90"/>
      <x:c r="P380" s="90"/>
      <x:c r="Q380" s="90"/>
    </x:row>
    <x:row r="381" spans="2:18" ht="12.75" hidden="1" customHeight="1" x14ac:dyDescent="0.3">
      <x:c r="C381" s="89"/>
      <x:c r="D381" s="89"/>
      <x:c r="E381" s="90"/>
      <x:c r="F381" s="90"/>
      <x:c r="G381" s="90"/>
      <x:c r="H381" s="90"/>
      <x:c r="I381" s="90"/>
      <x:c r="J381" s="90"/>
      <x:c r="K381" s="90"/>
      <x:c r="L381" s="90"/>
      <x:c r="M381" s="90"/>
      <x:c r="N381" s="90"/>
      <x:c r="O381" s="90"/>
      <x:c r="P381" s="90"/>
      <x:c r="Q381" s="90"/>
    </x:row>
    <x:row r="382" spans="2:18" ht="12.75" hidden="1" customHeight="1" x14ac:dyDescent="0.3">
      <x:c r="C382" s="89"/>
      <x:c r="D382" s="89"/>
      <x:c r="E382" s="90"/>
      <x:c r="F382" s="90"/>
      <x:c r="G382" s="90"/>
      <x:c r="H382" s="90"/>
      <x:c r="I382" s="90"/>
      <x:c r="J382" s="90"/>
      <x:c r="K382" s="90"/>
      <x:c r="L382" s="90"/>
      <x:c r="M382" s="90"/>
      <x:c r="N382" s="90"/>
      <x:c r="O382" s="90"/>
      <x:c r="P382" s="90"/>
      <x:c r="Q382" s="90"/>
    </x:row>
    <x:row r="383" spans="2:18" ht="12.75" customHeight="1" x14ac:dyDescent="0.3">
      <x:c r="C383" s="89"/>
      <x:c r="D383" s="89"/>
      <x:c r="E383" s="90"/>
      <x:c r="F383" s="90"/>
      <x:c r="G383" s="90"/>
      <x:c r="H383" s="90"/>
      <x:c r="I383" s="90"/>
      <x:c r="J383" s="90"/>
      <x:c r="K383" s="90"/>
      <x:c r="L383" s="90"/>
      <x:c r="M383" s="90"/>
      <x:c r="N383" s="90"/>
      <x:c r="O383" s="90"/>
      <x:c r="P383" s="90"/>
      <x:c r="Q383" s="90"/>
    </x:row>
    <x:row r="384" spans="2:18" ht="12.75" customHeight="1" x14ac:dyDescent="0.3">
      <x:c r="B384" s="777" t="s">
        <x:v>2</x:v>
      </x:c>
      <x:c r="C384" s="775" t="s">
        <x:v>132</x:v>
      </x:c>
      <x:c r="D384" s="98" t="s">
        <x:v>70</x:v>
      </x:c>
      <x:c r="E384" s="100">
        <x:f>E327+E349-K327</x:f>
        <x:v>0</x:v>
      </x:c>
      <x:c r="F384" s="100">
        <x:f t="shared" ref="F384:R384" si="10">F327</x:f>
        <x:v>0</x:v>
      </x:c>
      <x:c r="G384" s="100">
        <x:f t="shared" si="10"/>
        <x:v>0</x:v>
      </x:c>
      <x:c r="H384" s="100">
        <x:f t="shared" si="10"/>
        <x:v>0</x:v>
      </x:c>
      <x:c r="I384" s="100">
        <x:f t="shared" si="10"/>
        <x:v>0</x:v>
      </x:c>
      <x:c r="J384" s="100">
        <x:f t="shared" si="10"/>
        <x:v>0</x:v>
      </x:c>
      <x:c r="K384" s="100">
        <x:f t="shared" si="10"/>
        <x:v>0</x:v>
      </x:c>
      <x:c r="L384" s="100">
        <x:f t="shared" si="10"/>
        <x:v>0</x:v>
      </x:c>
      <x:c r="M384" s="100">
        <x:f t="shared" si="10"/>
        <x:v>0</x:v>
      </x:c>
      <x:c r="N384" s="100">
        <x:f t="shared" si="10"/>
        <x:v>0</x:v>
      </x:c>
      <x:c r="O384" s="100">
        <x:f t="shared" si="10"/>
        <x:v>0</x:v>
      </x:c>
      <x:c r="P384" s="100">
        <x:f t="shared" si="10"/>
        <x:v>0</x:v>
      </x:c>
      <x:c r="Q384" s="100">
        <x:f t="shared" si="10"/>
        <x:v>0</x:v>
      </x:c>
      <x:c r="R384" s="100">
        <x:f t="shared" si="10"/>
        <x:v>0</x:v>
      </x:c>
    </x:row>
    <x:row r="385" spans="1:18" ht="12.75" customHeight="1" x14ac:dyDescent="0.3">
      <x:c r="B385" s="777"/>
      <x:c r="C385" s="775"/>
      <x:c r="D385" s="98" t="s">
        <x:v>73</x:v>
      </x:c>
      <x:c r="E385" s="100">
        <x:f>E349</x:f>
        <x:v>0</x:v>
      </x:c>
      <x:c r="F385" s="90"/>
      <x:c r="G385" s="90"/>
      <x:c r="H385" s="90"/>
      <x:c r="I385" s="90"/>
      <x:c r="J385" s="90"/>
      <x:c r="K385" s="90"/>
      <x:c r="L385" s="90"/>
      <x:c r="M385" s="90"/>
      <x:c r="N385" s="90"/>
      <x:c r="O385" s="90"/>
      <x:c r="P385" s="90"/>
      <x:c r="Q385" s="90"/>
      <x:c r="R385" s="90"/>
    </x:row>
    <x:row r="386" spans="1:18" ht="12.75" customHeight="1" x14ac:dyDescent="0.3">
      <x:c r="A386" s="89"/>
      <x:c r="B386" s="97"/>
      <x:c r="E386" s="90"/>
      <x:c r="F386" s="90"/>
      <x:c r="G386" s="90"/>
      <x:c r="H386" s="90"/>
      <x:c r="I386" s="90"/>
      <x:c r="J386" s="90"/>
      <x:c r="K386" s="90"/>
      <x:c r="L386" s="90"/>
      <x:c r="M386" s="90"/>
      <x:c r="N386" s="90"/>
      <x:c r="O386" s="90"/>
      <x:c r="P386" s="90"/>
      <x:c r="Q386" s="90"/>
      <x:c r="R386" s="90"/>
    </x:row>
    <x:row r="387" spans="1:18" ht="12.75" customHeight="1" x14ac:dyDescent="0.3">
      <x:c r="B387" s="777" t="s">
        <x:v>160</x:v>
      </x:c>
      <x:c r="C387" s="775" t="s">
        <x:v>132</x:v>
      </x:c>
      <x:c r="D387" s="223" t="s">
        <x:v>70</x:v>
      </x:c>
      <x:c r="E387" s="225">
        <x:f>E341+E316+E296-K296-K316</x:f>
        <x:v>0</x:v>
      </x:c>
      <x:c r="F387" s="225">
        <x:f t="shared" ref="F387:R387" si="11">F316+F296</x:f>
        <x:v>0</x:v>
      </x:c>
      <x:c r="G387" s="225">
        <x:f t="shared" si="11"/>
        <x:v>0</x:v>
      </x:c>
      <x:c r="H387" s="225">
        <x:f t="shared" si="11"/>
        <x:v>0</x:v>
      </x:c>
      <x:c r="I387" s="225">
        <x:f t="shared" si="11"/>
        <x:v>0</x:v>
      </x:c>
      <x:c r="J387" s="225">
        <x:f t="shared" si="11"/>
        <x:v>0</x:v>
      </x:c>
      <x:c r="K387" s="225">
        <x:f t="shared" si="11"/>
        <x:v>0</x:v>
      </x:c>
      <x:c r="L387" s="225">
        <x:f t="shared" si="11"/>
        <x:v>0</x:v>
      </x:c>
      <x:c r="M387" s="225">
        <x:f t="shared" si="11"/>
        <x:v>0</x:v>
      </x:c>
      <x:c r="N387" s="225">
        <x:f t="shared" si="11"/>
        <x:v>0</x:v>
      </x:c>
      <x:c r="O387" s="225">
        <x:f t="shared" si="11"/>
        <x:v>0</x:v>
      </x:c>
      <x:c r="P387" s="225">
        <x:f t="shared" si="11"/>
        <x:v>0</x:v>
      </x:c>
      <x:c r="Q387" s="225">
        <x:f t="shared" si="11"/>
        <x:v>0</x:v>
      </x:c>
      <x:c r="R387" s="225">
        <x:f t="shared" si="11"/>
        <x:v>0</x:v>
      </x:c>
    </x:row>
    <x:row r="388" spans="1:18" ht="12.75" customHeight="1" x14ac:dyDescent="0.3">
      <x:c r="B388" s="777"/>
      <x:c r="C388" s="775"/>
      <x:c r="D388" s="223" t="s">
        <x:v>73</x:v>
      </x:c>
      <x:c r="E388" s="225">
        <x:f>E341</x:f>
        <x:v>0</x:v>
      </x:c>
      <x:c r="F388" s="90"/>
      <x:c r="G388" s="90"/>
      <x:c r="H388" s="90"/>
      <x:c r="I388" s="90"/>
      <x:c r="J388" s="90"/>
      <x:c r="K388" s="90"/>
      <x:c r="L388" s="90"/>
      <x:c r="M388" s="90"/>
      <x:c r="N388" s="90"/>
      <x:c r="O388" s="90"/>
      <x:c r="P388" s="90"/>
      <x:c r="Q388" s="90"/>
      <x:c r="R388" s="90"/>
    </x:row>
    <x:row r="389" spans="1:18" ht="12.75" customHeight="1" x14ac:dyDescent="0.3">
      <x:c r="A389" s="89"/>
      <x:c r="B389" s="97"/>
      <x:c r="E389" s="90"/>
      <x:c r="F389" s="90"/>
      <x:c r="G389" s="90"/>
      <x:c r="H389" s="90"/>
      <x:c r="I389" s="90"/>
      <x:c r="J389" s="90"/>
      <x:c r="K389" s="90"/>
      <x:c r="L389" s="90"/>
      <x:c r="M389" s="90"/>
      <x:c r="N389" s="90"/>
      <x:c r="O389" s="90"/>
      <x:c r="P389" s="90"/>
      <x:c r="Q389" s="90"/>
      <x:c r="R389" s="90"/>
    </x:row>
    <x:row r="390" spans="1:18" ht="12.75" customHeight="1" x14ac:dyDescent="0.3">
      <x:c r="B390" s="777" t="s">
        <x:v>155</x:v>
      </x:c>
      <x:c r="C390" s="775" t="s">
        <x:v>132</x:v>
      </x:c>
      <x:c r="D390" s="221" t="s">
        <x:v>70</x:v>
      </x:c>
      <x:c r="E390" s="222">
        <x:f>E330+E300-K300</x:f>
        <x:v>0</x:v>
      </x:c>
      <x:c r="F390" s="222">
        <x:f t="shared" ref="F390:R390" si="12">F300</x:f>
        <x:v>0</x:v>
      </x:c>
      <x:c r="G390" s="222">
        <x:f t="shared" si="12"/>
        <x:v>0</x:v>
      </x:c>
      <x:c r="H390" s="222">
        <x:f t="shared" si="12"/>
        <x:v>0</x:v>
      </x:c>
      <x:c r="I390" s="222">
        <x:f t="shared" si="12"/>
        <x:v>0</x:v>
      </x:c>
      <x:c r="J390" s="222">
        <x:f t="shared" si="12"/>
        <x:v>0</x:v>
      </x:c>
      <x:c r="K390" s="222">
        <x:f t="shared" si="12"/>
        <x:v>0</x:v>
      </x:c>
      <x:c r="L390" s="222">
        <x:f t="shared" si="12"/>
        <x:v>0</x:v>
      </x:c>
      <x:c r="M390" s="222">
        <x:f t="shared" si="12"/>
        <x:v>0</x:v>
      </x:c>
      <x:c r="N390" s="222">
        <x:f t="shared" si="12"/>
        <x:v>0</x:v>
      </x:c>
      <x:c r="O390" s="222">
        <x:f t="shared" si="12"/>
        <x:v>0</x:v>
      </x:c>
      <x:c r="P390" s="222">
        <x:f t="shared" si="12"/>
        <x:v>0</x:v>
      </x:c>
      <x:c r="Q390" s="222">
        <x:f t="shared" si="12"/>
        <x:v>0</x:v>
      </x:c>
      <x:c r="R390" s="222">
        <x:f t="shared" si="12"/>
        <x:v>0</x:v>
      </x:c>
    </x:row>
    <x:row r="391" spans="1:18" ht="12.75" customHeight="1" x14ac:dyDescent="0.3">
      <x:c r="B391" s="777"/>
      <x:c r="C391" s="775"/>
      <x:c r="D391" s="221" t="s">
        <x:v>73</x:v>
      </x:c>
      <x:c r="E391" s="222">
        <x:f>E330</x:f>
        <x:v>0</x:v>
      </x:c>
      <x:c r="F391" s="90"/>
      <x:c r="G391" s="90"/>
      <x:c r="H391" s="90"/>
      <x:c r="I391" s="90"/>
      <x:c r="J391" s="90"/>
      <x:c r="K391" s="90"/>
      <x:c r="L391" s="90"/>
      <x:c r="M391" s="90"/>
      <x:c r="N391" s="90"/>
      <x:c r="O391" s="90"/>
      <x:c r="P391" s="90"/>
      <x:c r="Q391" s="90"/>
      <x:c r="R391" s="90"/>
    </x:row>
    <x:row r="392" spans="1:18" ht="12.75" customHeight="1" x14ac:dyDescent="0.3">
      <x:c r="A392" s="89"/>
      <x:c r="B392" s="97"/>
      <x:c r="E392" s="90"/>
      <x:c r="F392" s="90"/>
      <x:c r="G392" s="90"/>
      <x:c r="H392" s="90"/>
      <x:c r="I392" s="90"/>
      <x:c r="J392" s="90"/>
      <x:c r="K392" s="90"/>
      <x:c r="L392" s="90"/>
      <x:c r="M392" s="90"/>
      <x:c r="N392" s="90"/>
      <x:c r="O392" s="90"/>
      <x:c r="P392" s="90"/>
      <x:c r="Q392" s="90"/>
      <x:c r="R392" s="90"/>
    </x:row>
    <x:row r="393" spans="1:18" ht="12.75" customHeight="1" x14ac:dyDescent="0.3">
      <x:c r="B393" s="778" t="s">
        <x:v>326</x:v>
      </x:c>
      <x:c r="C393" s="775" t="s">
        <x:v>132</x:v>
      </x:c>
      <x:c r="D393" s="373" t="s">
        <x:v>70</x:v>
      </x:c>
      <x:c r="E393" s="374">
        <x:v>0</x:v>
      </x:c>
      <x:c r="F393" s="374">
        <x:v>0</x:v>
      </x:c>
      <x:c r="G393" s="374">
        <x:v>0</x:v>
      </x:c>
      <x:c r="H393" s="374">
        <x:v>0</x:v>
      </x:c>
      <x:c r="I393" s="374">
        <x:v>0</x:v>
      </x:c>
      <x:c r="J393" s="374">
        <x:v>0</x:v>
      </x:c>
      <x:c r="K393" s="374">
        <x:v>0</x:v>
      </x:c>
      <x:c r="L393" s="374">
        <x:v>0</x:v>
      </x:c>
      <x:c r="M393" s="374">
        <x:v>0</x:v>
      </x:c>
      <x:c r="N393" s="374">
        <x:v>0</x:v>
      </x:c>
      <x:c r="O393" s="374">
        <x:v>0</x:v>
      </x:c>
      <x:c r="P393" s="374">
        <x:v>0</x:v>
      </x:c>
      <x:c r="Q393" s="374">
        <x:v>0</x:v>
      </x:c>
      <x:c r="R393" s="374">
        <x:v>0</x:v>
      </x:c>
    </x:row>
    <x:row r="394" spans="1:18" ht="12.75" customHeight="1" x14ac:dyDescent="0.3">
      <x:c r="B394" s="778"/>
      <x:c r="C394" s="775"/>
      <x:c r="D394" s="373" t="s">
        <x:v>73</x:v>
      </x:c>
      <x:c r="E394" s="374">
        <x:v>0</x:v>
      </x:c>
      <x:c r="F394" s="90"/>
      <x:c r="G394" s="90"/>
      <x:c r="H394" s="90"/>
      <x:c r="I394" s="90"/>
      <x:c r="J394" s="90"/>
      <x:c r="K394" s="90"/>
      <x:c r="L394" s="90"/>
      <x:c r="M394" s="90"/>
      <x:c r="N394" s="90"/>
      <x:c r="O394" s="90"/>
      <x:c r="P394" s="90"/>
      <x:c r="Q394" s="90"/>
      <x:c r="R394" s="90"/>
    </x:row>
    <x:row r="395" spans="1:18" ht="12.75" customHeight="1" x14ac:dyDescent="0.3">
      <x:c r="A395" s="89"/>
      <x:c r="B395" s="97"/>
      <x:c r="E395" s="90"/>
      <x:c r="F395" s="90"/>
      <x:c r="G395" s="90"/>
      <x:c r="H395" s="90"/>
      <x:c r="I395" s="90"/>
      <x:c r="J395" s="90"/>
      <x:c r="K395" s="90"/>
      <x:c r="L395" s="90"/>
      <x:c r="M395" s="90"/>
      <x:c r="N395" s="90"/>
      <x:c r="O395" s="90"/>
      <x:c r="P395" s="90"/>
      <x:c r="Q395" s="90"/>
      <x:c r="R395" s="90"/>
    </x:row>
    <x:row r="396" spans="1:18" ht="12.75" customHeight="1" x14ac:dyDescent="0.3">
      <x:c r="A396" s="142" t="s">
        <x:v>226</x:v>
      </x:c>
      <x:c r="B396" s="777" t="s">
        <x:v>119</x:v>
      </x:c>
      <x:c r="C396" s="775" t="s">
        <x:v>132</x:v>
      </x:c>
      <x:c r="D396" s="101" t="s">
        <x:v>70</x:v>
      </x:c>
      <x:c r="E396" s="93">
        <x:f>E326+E348-K326</x:f>
        <x:v>0</x:v>
      </x:c>
      <x:c r="F396" s="93">
        <x:f t="shared" ref="F396:R396" si="13">F326</x:f>
        <x:v>0</x:v>
      </x:c>
      <x:c r="G396" s="93">
        <x:f t="shared" si="13"/>
        <x:v>0</x:v>
      </x:c>
      <x:c r="H396" s="93">
        <x:f t="shared" si="13"/>
        <x:v>0</x:v>
      </x:c>
      <x:c r="I396" s="93">
        <x:f t="shared" si="13"/>
        <x:v>0</x:v>
      </x:c>
      <x:c r="J396" s="93">
        <x:f t="shared" si="13"/>
        <x:v>0</x:v>
      </x:c>
      <x:c r="K396" s="93">
        <x:f t="shared" si="13"/>
        <x:v>0</x:v>
      </x:c>
      <x:c r="L396" s="93">
        <x:f t="shared" si="13"/>
        <x:v>0</x:v>
      </x:c>
      <x:c r="M396" s="93">
        <x:f t="shared" si="13"/>
        <x:v>0</x:v>
      </x:c>
      <x:c r="N396" s="93">
        <x:f t="shared" si="13"/>
        <x:v>0</x:v>
      </x:c>
      <x:c r="O396" s="93">
        <x:f t="shared" si="13"/>
        <x:v>0</x:v>
      </x:c>
      <x:c r="P396" s="93">
        <x:f t="shared" si="13"/>
        <x:v>0</x:v>
      </x:c>
      <x:c r="Q396" s="93">
        <x:f t="shared" si="13"/>
        <x:v>0</x:v>
      </x:c>
      <x:c r="R396" s="93">
        <x:f t="shared" si="13"/>
        <x:v>0</x:v>
      </x:c>
    </x:row>
    <x:row r="397" spans="1:18" ht="12.75" customHeight="1" x14ac:dyDescent="0.3">
      <x:c r="B397" s="777"/>
      <x:c r="C397" s="775"/>
      <x:c r="D397" s="101" t="s">
        <x:v>73</x:v>
      </x:c>
      <x:c r="E397" s="93">
        <x:f>E348</x:f>
        <x:v>0</x:v>
      </x:c>
      <x:c r="F397" s="90"/>
      <x:c r="G397" s="90"/>
      <x:c r="H397" s="90"/>
      <x:c r="I397" s="90"/>
      <x:c r="J397" s="90"/>
      <x:c r="K397" s="90"/>
      <x:c r="L397" s="90"/>
      <x:c r="M397" s="90"/>
      <x:c r="N397" s="90"/>
      <x:c r="O397" s="90"/>
      <x:c r="P397" s="90"/>
      <x:c r="Q397" s="90"/>
      <x:c r="R397" s="90"/>
    </x:row>
    <x:row r="398" spans="1:18" ht="12.75" customHeight="1" x14ac:dyDescent="0.3">
      <x:c r="A398" s="89"/>
      <x:c r="B398" s="97"/>
      <x:c r="E398" s="90"/>
      <x:c r="F398" s="90"/>
      <x:c r="G398" s="90"/>
      <x:c r="H398" s="90"/>
      <x:c r="I398" s="90"/>
      <x:c r="J398" s="90"/>
      <x:c r="K398" s="90"/>
      <x:c r="L398" s="90"/>
      <x:c r="M398" s="90"/>
      <x:c r="N398" s="90"/>
      <x:c r="O398" s="90"/>
      <x:c r="P398" s="90"/>
      <x:c r="Q398" s="90"/>
      <x:c r="R398" s="90"/>
    </x:row>
    <x:row r="399" spans="1:18" ht="12.75" customHeight="1" x14ac:dyDescent="0.3">
      <x:c r="B399" s="776" t="s">
        <x:v>161</x:v>
      </x:c>
      <x:c r="C399" s="775" t="s">
        <x:v>132</x:v>
      </x:c>
      <x:c r="D399" s="231" t="s">
        <x:v>70</x:v>
      </x:c>
      <x:c r="E399" s="232">
        <x:v>0</x:v>
      </x:c>
      <x:c r="F399" s="232">
        <x:v>0</x:v>
      </x:c>
      <x:c r="G399" s="232">
        <x:v>0</x:v>
      </x:c>
      <x:c r="H399" s="232">
        <x:v>0</x:v>
      </x:c>
      <x:c r="I399" s="232">
        <x:v>0</x:v>
      </x:c>
      <x:c r="J399" s="232">
        <x:v>0</x:v>
      </x:c>
      <x:c r="K399" s="232">
        <x:v>0</x:v>
      </x:c>
      <x:c r="L399" s="232">
        <x:v>0</x:v>
      </x:c>
      <x:c r="M399" s="232">
        <x:v>0</x:v>
      </x:c>
      <x:c r="N399" s="232">
        <x:v>0</x:v>
      </x:c>
      <x:c r="O399" s="232">
        <x:v>0</x:v>
      </x:c>
      <x:c r="P399" s="232">
        <x:v>0</x:v>
      </x:c>
      <x:c r="Q399" s="232">
        <x:v>0</x:v>
      </x:c>
      <x:c r="R399" s="232">
        <x:v>0</x:v>
      </x:c>
    </x:row>
    <x:row r="400" spans="1:18" ht="12.75" customHeight="1" x14ac:dyDescent="0.3">
      <x:c r="B400" s="776"/>
      <x:c r="C400" s="775"/>
      <x:c r="D400" s="231" t="s">
        <x:v>73</x:v>
      </x:c>
      <x:c r="E400" s="232">
        <x:v>0</x:v>
      </x:c>
      <x:c r="F400" s="90"/>
      <x:c r="G400" s="90"/>
      <x:c r="H400" s="90"/>
      <x:c r="I400" s="90"/>
      <x:c r="J400" s="90"/>
      <x:c r="K400" s="90"/>
      <x:c r="L400" s="90"/>
      <x:c r="M400" s="90"/>
      <x:c r="N400" s="90"/>
      <x:c r="O400" s="90"/>
      <x:c r="P400" s="90"/>
      <x:c r="Q400" s="90"/>
      <x:c r="R400" s="90"/>
    </x:row>
    <x:row r="401" spans="2:19" s="238" customFormat="1" x14ac:dyDescent="0.3"/>
    <x:row r="402" spans="2:19" x14ac:dyDescent="0.3">
      <x:c r="B402" s="97" t="s">
        <x:v>93</x:v>
      </x:c>
    </x:row>
    <x:row r="403" spans="2:19" x14ac:dyDescent="0.3">
      <x:c r="E403" s="89" t="s">
        <x:v>70</x:v>
      </x:c>
      <x:c r="F403" s="89" t="s">
        <x:v>64</x:v>
      </x:c>
      <x:c r="G403" s="89" t="s">
        <x:v>65</x:v>
      </x:c>
      <x:c r="H403" s="219" t="s">
        <x:v>164</x:v>
      </x:c>
      <x:c r="I403" s="89" t="s">
        <x:v>69</x:v>
      </x:c>
      <x:c r="J403" s="89" t="s">
        <x:v>68</x:v>
      </x:c>
      <x:c r="K403" s="89" t="s">
        <x:v>83</x:v>
      </x:c>
      <x:c r="L403" s="89" t="s">
        <x:v>66</x:v>
      </x:c>
      <x:c r="M403" s="89" t="s">
        <x:v>63</x:v>
      </x:c>
      <x:c r="N403" s="89" t="s">
        <x:v>61</x:v>
      </x:c>
      <x:c r="O403" s="89" t="s">
        <x:v>62</x:v>
      </x:c>
      <x:c r="P403" s="89" t="s">
        <x:v>67</x:v>
      </x:c>
      <x:c r="Q403" s="89" t="s">
        <x:v>84</x:v>
      </x:c>
      <x:c r="R403" s="384" t="s">
        <x:v>225</x:v>
      </x:c>
    </x:row>
    <x:row r="404" spans="2:19" ht="11.5" customHeight="1" x14ac:dyDescent="0.3">
      <x:c r="D404" t="s">
        <x:v>72</x:v>
      </x:c>
      <x:c r="E404" s="89">
        <x:v>0</x:v>
      </x:c>
      <x:c r="F404" s="89">
        <x:v>0</x:v>
      </x:c>
      <x:c r="G404" s="89">
        <x:v>0</x:v>
      </x:c>
      <x:c r="H404" s="384">
        <x:v>0</x:v>
      </x:c>
      <x:c r="I404" s="89">
        <x:v>0</x:v>
      </x:c>
      <x:c r="J404" s="89">
        <x:v>0</x:v>
      </x:c>
      <x:c r="K404" s="89">
        <x:v>0</x:v>
      </x:c>
      <x:c r="L404" s="89">
        <x:v>0</x:v>
      </x:c>
      <x:c r="M404" s="89">
        <x:v>0</x:v>
      </x:c>
      <x:c r="N404" s="89">
        <x:v>0</x:v>
      </x:c>
      <x:c r="O404" s="89">
        <x:v>0</x:v>
      </x:c>
      <x:c r="P404" s="89">
        <x:v>0</x:v>
      </x:c>
      <x:c r="Q404" s="89">
        <x:v>0</x:v>
      </x:c>
      <x:c r="R404" s="384">
        <x:v>0</x:v>
      </x:c>
    </x:row>
    <x:row r="405" spans="2:19" ht="12.75" customHeight="1" x14ac:dyDescent="0.3">
      <x:c r="D405" t="s">
        <x:v>81</x:v>
      </x:c>
      <x:c r="E405" s="384">
        <x:v>0</x:v>
      </x:c>
      <x:c r="F405" s="89">
        <x:v>0</x:v>
      </x:c>
      <x:c r="G405" s="89">
        <x:v>0</x:v>
      </x:c>
      <x:c r="H405" s="384">
        <x:v>0</x:v>
      </x:c>
      <x:c r="I405" s="89">
        <x:v>0</x:v>
      </x:c>
      <x:c r="J405" s="89">
        <x:v>0</x:v>
      </x:c>
      <x:c r="K405" s="89">
        <x:v>0</x:v>
      </x:c>
      <x:c r="L405" s="89">
        <x:v>0</x:v>
      </x:c>
      <x:c r="M405" s="89">
        <x:v>0</x:v>
      </x:c>
      <x:c r="N405" s="89">
        <x:v>0</x:v>
      </x:c>
      <x:c r="O405" s="89">
        <x:v>0</x:v>
      </x:c>
      <x:c r="P405" s="89">
        <x:v>0</x:v>
      </x:c>
      <x:c r="Q405" s="89">
        <x:v>0</x:v>
      </x:c>
      <x:c r="R405" s="384">
        <x:v>0</x:v>
      </x:c>
    </x:row>
    <x:row r="406" spans="2:19" ht="11.5" customHeight="1" x14ac:dyDescent="0.3">
      <x:c r="C406" t="s">
        <x:v>332</x:v>
      </x:c>
      <x:c r="D406" t="s">
        <x:v>70</x:v>
      </x:c>
      <x:c r="E406" s="384">
        <x:v>0</x:v>
      </x:c>
      <x:c r="F406" s="89">
        <x:v>0</x:v>
      </x:c>
      <x:c r="G406" s="89">
        <x:v>0</x:v>
      </x:c>
      <x:c r="H406" s="384">
        <x:v>0</x:v>
      </x:c>
      <x:c r="I406" s="89">
        <x:v>0</x:v>
      </x:c>
      <x:c r="J406" s="89">
        <x:v>0</x:v>
      </x:c>
      <x:c r="K406" s="89">
        <x:v>0</x:v>
      </x:c>
      <x:c r="L406" s="89">
        <x:v>0</x:v>
      </x:c>
      <x:c r="M406" s="89">
        <x:v>0</x:v>
      </x:c>
      <x:c r="N406" s="89">
        <x:v>0</x:v>
      </x:c>
      <x:c r="O406" s="89">
        <x:v>0</x:v>
      </x:c>
      <x:c r="P406" s="89">
        <x:v>0</x:v>
      </x:c>
      <x:c r="Q406" s="89">
        <x:v>0</x:v>
      </x:c>
      <x:c r="R406" s="384">
        <x:v>0</x:v>
      </x:c>
    </x:row>
    <x:row r="407" spans="2:19" s="739" customFormat="1" ht="11.5" customHeight="1" x14ac:dyDescent="0.3">
      <x:c r="B407" s="739" t="s">
        <x:v>85</x:v>
      </x:c>
      <x:c r="C407" s="739" t="s">
        <x:v>70</x:v>
      </x:c>
      <x:c r="E407" s="769">
        <x:v>0</x:v>
      </x:c>
      <x:c r="F407" s="231">
        <x:v>0</x:v>
      </x:c>
      <x:c r="G407" s="231">
        <x:v>0</x:v>
      </x:c>
      <x:c r="H407" s="769">
        <x:v>0</x:v>
      </x:c>
      <x:c r="I407" s="231">
        <x:v>0</x:v>
      </x:c>
      <x:c r="J407" s="231">
        <x:v>0</x:v>
      </x:c>
      <x:c r="K407" s="231">
        <x:v>0</x:v>
      </x:c>
      <x:c r="L407" s="231">
        <x:v>0</x:v>
      </x:c>
      <x:c r="M407" s="231">
        <x:v>0</x:v>
      </x:c>
      <x:c r="N407" s="231">
        <x:v>0</x:v>
      </x:c>
      <x:c r="O407" s="231">
        <x:v>0</x:v>
      </x:c>
      <x:c r="P407" s="231">
        <x:v>0</x:v>
      </x:c>
      <x:c r="Q407" s="231">
        <x:v>0</x:v>
      </x:c>
      <x:c r="R407" s="769">
        <x:v>0</x:v>
      </x:c>
    </x:row>
    <x:row r="408" spans="2:19" ht="12.75" customHeight="1" x14ac:dyDescent="0.3">
      <x:c r="D408" s="89" t="s">
        <x:v>72</x:v>
      </x:c>
      <x:c r="E408" s="90">
        <x:v>0</x:v>
      </x:c>
      <x:c r="F408" s="90">
        <x:v>0</x:v>
      </x:c>
      <x:c r="G408" s="90">
        <x:v>0</x:v>
      </x:c>
      <x:c r="H408" s="90">
        <x:v>0</x:v>
      </x:c>
      <x:c r="I408" s="90">
        <x:v>0</x:v>
      </x:c>
      <x:c r="J408" s="90">
        <x:v>0</x:v>
      </x:c>
      <x:c r="K408" s="90">
        <x:v>0</x:v>
      </x:c>
      <x:c r="L408" s="90">
        <x:v>0</x:v>
      </x:c>
      <x:c r="M408" s="90">
        <x:v>0</x:v>
      </x:c>
      <x:c r="N408" s="90">
        <x:v>0</x:v>
      </x:c>
      <x:c r="O408" s="90">
        <x:v>0</x:v>
      </x:c>
      <x:c r="P408" s="90">
        <x:v>0</x:v>
      </x:c>
      <x:c r="Q408" s="90">
        <x:v>0</x:v>
      </x:c>
      <x:c r="R408">
        <x:v>0</x:v>
      </x:c>
    </x:row>
    <x:row r="409" spans="2:19" ht="12.75" customHeight="1" x14ac:dyDescent="0.3">
      <x:c r="D409" s="89" t="s">
        <x:v>81</x:v>
      </x:c>
      <x:c r="E409" s="90">
        <x:v>0</x:v>
      </x:c>
      <x:c r="F409" s="90">
        <x:v>0</x:v>
      </x:c>
      <x:c r="G409" s="90">
        <x:v>0</x:v>
      </x:c>
      <x:c r="H409" s="90">
        <x:v>0</x:v>
      </x:c>
      <x:c r="I409" s="90">
        <x:v>0</x:v>
      </x:c>
      <x:c r="J409" s="90">
        <x:v>0</x:v>
      </x:c>
      <x:c r="K409" s="90">
        <x:v>0</x:v>
      </x:c>
      <x:c r="L409" s="90">
        <x:v>0</x:v>
      </x:c>
      <x:c r="M409" s="90">
        <x:v>0</x:v>
      </x:c>
      <x:c r="N409" s="90">
        <x:v>0</x:v>
      </x:c>
      <x:c r="O409" s="90">
        <x:v>0</x:v>
      </x:c>
      <x:c r="P409" s="90">
        <x:v>0</x:v>
      </x:c>
      <x:c r="Q409" s="90">
        <x:v>0</x:v>
      </x:c>
      <x:c r="R409">
        <x:v>0</x:v>
      </x:c>
    </x:row>
    <x:row r="410" spans="2:19" ht="12.75" customHeight="1" x14ac:dyDescent="0.3">
      <x:c r="B410" s="89"/>
      <x:c r="C410" s="89" t="s">
        <x:v>156</x:v>
      </x:c>
      <x:c r="D410" t="s">
        <x:v>70</x:v>
      </x:c>
      <x:c r="E410" s="90">
        <x:v>0</x:v>
      </x:c>
      <x:c r="F410" s="90">
        <x:v>0</x:v>
      </x:c>
      <x:c r="G410" s="90">
        <x:v>0</x:v>
      </x:c>
      <x:c r="H410" s="90">
        <x:v>0</x:v>
      </x:c>
      <x:c r="I410" s="90">
        <x:v>0</x:v>
      </x:c>
      <x:c r="J410" s="90">
        <x:v>0</x:v>
      </x:c>
      <x:c r="K410" s="90">
        <x:v>0</x:v>
      </x:c>
      <x:c r="L410" s="90">
        <x:v>0</x:v>
      </x:c>
      <x:c r="M410" s="90">
        <x:v>0</x:v>
      </x:c>
      <x:c r="N410" s="90">
        <x:v>0</x:v>
      </x:c>
      <x:c r="O410" s="90">
        <x:v>0</x:v>
      </x:c>
      <x:c r="P410" s="90">
        <x:v>0</x:v>
      </x:c>
      <x:c r="Q410" s="90">
        <x:v>0</x:v>
      </x:c>
      <x:c r="R410">
        <x:v>0</x:v>
      </x:c>
    </x:row>
    <x:row r="411" spans="2:19" s="237" customFormat="1" ht="12.75" customHeight="1" x14ac:dyDescent="0.3">
      <x:c r="B411" s="221" t="s">
        <x:v>155</x:v>
      </x:c>
      <x:c r="C411" s="221" t="s">
        <x:v>70</x:v>
      </x:c>
      <x:c r="E411" s="222" t="n">
        <x:v>9143888.56</x:v>
      </x:c>
      <x:c r="F411" s="222">
        <x:v>0</x:v>
      </x:c>
      <x:c r="G411" s="222">
        <x:v>0</x:v>
      </x:c>
      <x:c r="H411" s="222">
        <x:v>0</x:v>
      </x:c>
      <x:c r="I411" s="222">
        <x:v>0</x:v>
      </x:c>
      <x:c r="J411" s="222">
        <x:v>0</x:v>
      </x:c>
      <x:c r="K411" s="222" t="n">
        <x:v>0</x:v>
      </x:c>
      <x:c r="L411" s="222">
        <x:v>0</x:v>
      </x:c>
      <x:c r="M411" s="222">
        <x:v>0</x:v>
      </x:c>
      <x:c r="N411" s="222">
        <x:v>0</x:v>
      </x:c>
      <x:c r="O411" s="222">
        <x:v>0</x:v>
      </x:c>
      <x:c r="P411" s="222">
        <x:v>0</x:v>
      </x:c>
      <x:c r="Q411" s="222">
        <x:v>0</x:v>
      </x:c>
      <x:c r="R411" s="237">
        <x:v>0</x:v>
      </x:c>
    </x:row>
    <x:row r="412" spans="2:19" ht="12.75" customHeight="1" x14ac:dyDescent="0.3">
      <x:c r="D412" t="s">
        <x:v>72</x:v>
      </x:c>
      <x:c r="E412" s="142">
        <x:v>0</x:v>
      </x:c>
      <x:c r="F412">
        <x:v>0</x:v>
      </x:c>
      <x:c r="G412">
        <x:v>0</x:v>
      </x:c>
      <x:c r="H412">
        <x:v>0</x:v>
      </x:c>
      <x:c r="I412">
        <x:v>0</x:v>
      </x:c>
      <x:c r="J412">
        <x:v>0</x:v>
      </x:c>
      <x:c r="K412">
        <x:v>0</x:v>
      </x:c>
      <x:c r="L412">
        <x:v>0</x:v>
      </x:c>
      <x:c r="M412">
        <x:v>0</x:v>
      </x:c>
      <x:c r="N412">
        <x:v>0</x:v>
      </x:c>
      <x:c r="O412">
        <x:v>0</x:v>
      </x:c>
      <x:c r="P412">
        <x:v>0</x:v>
      </x:c>
      <x:c r="Q412">
        <x:v>0</x:v>
      </x:c>
      <x:c r="R412">
        <x:v>0</x:v>
      </x:c>
    </x:row>
    <x:row r="413" spans="2:19" ht="12.75" customHeight="1" x14ac:dyDescent="0.3">
      <x:c r="D413" t="s">
        <x:v>81</x:v>
      </x:c>
      <x:c r="E413" s="142">
        <x:v>0</x:v>
      </x:c>
      <x:c r="F413">
        <x:v>0</x:v>
      </x:c>
      <x:c r="G413">
        <x:v>0</x:v>
      </x:c>
      <x:c r="H413">
        <x:v>0</x:v>
      </x:c>
      <x:c r="I413">
        <x:v>0</x:v>
      </x:c>
      <x:c r="J413">
        <x:v>0</x:v>
      </x:c>
      <x:c r="K413">
        <x:v>0</x:v>
      </x:c>
      <x:c r="L413">
        <x:v>0</x:v>
      </x:c>
      <x:c r="M413">
        <x:v>0</x:v>
      </x:c>
      <x:c r="N413">
        <x:v>0</x:v>
      </x:c>
      <x:c r="O413">
        <x:v>0</x:v>
      </x:c>
      <x:c r="P413">
        <x:v>0</x:v>
      </x:c>
      <x:c r="Q413">
        <x:v>0</x:v>
      </x:c>
      <x:c r="R413">
        <x:v>0</x:v>
      </x:c>
    </x:row>
    <x:row r="414" spans="2:19" ht="12.75" customHeight="1" x14ac:dyDescent="0.3">
      <x:c r="C414" t="s">
        <x:v>156</x:v>
      </x:c>
      <x:c r="D414" t="s">
        <x:v>70</x:v>
      </x:c>
      <x:c r="E414" s="142">
        <x:v>0</x:v>
      </x:c>
      <x:c r="F414">
        <x:v>0</x:v>
      </x:c>
      <x:c r="G414">
        <x:v>0</x:v>
      </x:c>
      <x:c r="H414">
        <x:v>0</x:v>
      </x:c>
      <x:c r="I414">
        <x:v>0</x:v>
      </x:c>
      <x:c r="J414">
        <x:v>0</x:v>
      </x:c>
      <x:c r="K414">
        <x:v>0</x:v>
      </x:c>
      <x:c r="L414">
        <x:v>0</x:v>
      </x:c>
      <x:c r="M414">
        <x:v>0</x:v>
      </x:c>
      <x:c r="N414">
        <x:v>0</x:v>
      </x:c>
      <x:c r="O414">
        <x:v>0</x:v>
      </x:c>
      <x:c r="P414">
        <x:v>0</x:v>
      </x:c>
      <x:c r="Q414">
        <x:v>0</x:v>
      </x:c>
      <x:c r="R414">
        <x:v>0</x:v>
      </x:c>
    </x:row>
    <x:row r="415" spans="2:19" s="739" customFormat="1" ht="12.75" customHeight="1" x14ac:dyDescent="0.3">
      <x:c r="B415" s="739" t="s">
        <x:v>326</x:v>
      </x:c>
      <x:c r="C415" s="739" t="s">
        <x:v>70</x:v>
      </x:c>
      <x:c r="E415" s="231">
        <x:v>0</x:v>
      </x:c>
      <x:c r="F415" s="740">
        <x:v>0</x:v>
      </x:c>
      <x:c r="G415" s="232">
        <x:v>0</x:v>
      </x:c>
      <x:c r="H415" s="232">
        <x:v>0</x:v>
      </x:c>
      <x:c r="I415" s="232">
        <x:v>0</x:v>
      </x:c>
      <x:c r="J415" s="232">
        <x:v>0</x:v>
      </x:c>
      <x:c r="K415" s="232">
        <x:v>0</x:v>
      </x:c>
      <x:c r="L415" s="232">
        <x:v>0</x:v>
      </x:c>
      <x:c r="M415" s="232">
        <x:v>0</x:v>
      </x:c>
      <x:c r="N415" s="232">
        <x:v>0</x:v>
      </x:c>
      <x:c r="O415" s="232">
        <x:v>0</x:v>
      </x:c>
      <x:c r="P415" s="232">
        <x:v>0</x:v>
      </x:c>
      <x:c r="Q415" s="232">
        <x:v>0</x:v>
      </x:c>
      <x:c r="R415" s="232">
        <x:v>0</x:v>
      </x:c>
      <x:c r="S415" s="232"/>
    </x:row>
    <x:row r="416" spans="2:19" ht="12.75" customHeight="1" x14ac:dyDescent="0.3">
      <x:c r="D416" t="s">
        <x:v>72</x:v>
      </x:c>
      <x:c r="E416" s="142">
        <x:v>0</x:v>
      </x:c>
      <x:c r="F416">
        <x:v>0</x:v>
      </x:c>
      <x:c r="G416">
        <x:v>0</x:v>
      </x:c>
      <x:c r="H416">
        <x:v>0</x:v>
      </x:c>
      <x:c r="I416">
        <x:v>0</x:v>
      </x:c>
      <x:c r="J416">
        <x:v>0</x:v>
      </x:c>
      <x:c r="K416">
        <x:v>0</x:v>
      </x:c>
      <x:c r="L416">
        <x:v>0</x:v>
      </x:c>
      <x:c r="M416">
        <x:v>0</x:v>
      </x:c>
      <x:c r="N416">
        <x:v>0</x:v>
      </x:c>
      <x:c r="O416">
        <x:v>0</x:v>
      </x:c>
      <x:c r="P416">
        <x:v>0</x:v>
      </x:c>
      <x:c r="Q416">
        <x:v>0</x:v>
      </x:c>
      <x:c r="R416">
        <x:v>0</x:v>
      </x:c>
    </x:row>
    <x:row r="417" spans="1:19" ht="12.75" customHeight="1" x14ac:dyDescent="0.3">
      <x:c r="D417" t="s">
        <x:v>81</x:v>
      </x:c>
      <x:c r="E417" s="142">
        <x:v>0</x:v>
      </x:c>
      <x:c r="F417">
        <x:v>0</x:v>
      </x:c>
      <x:c r="G417">
        <x:v>0</x:v>
      </x:c>
      <x:c r="H417">
        <x:v>0</x:v>
      </x:c>
      <x:c r="I417">
        <x:v>0</x:v>
      </x:c>
      <x:c r="J417">
        <x:v>0</x:v>
      </x:c>
      <x:c r="K417">
        <x:v>0</x:v>
      </x:c>
      <x:c r="L417">
        <x:v>0</x:v>
      </x:c>
      <x:c r="M417">
        <x:v>0</x:v>
      </x:c>
      <x:c r="N417">
        <x:v>0</x:v>
      </x:c>
      <x:c r="O417">
        <x:v>0</x:v>
      </x:c>
      <x:c r="P417">
        <x:v>0</x:v>
      </x:c>
      <x:c r="Q417">
        <x:v>0</x:v>
      </x:c>
      <x:c r="R417">
        <x:v>0</x:v>
      </x:c>
    </x:row>
    <x:row r="418" spans="1:19" ht="12.75" customHeight="1" x14ac:dyDescent="0.3">
      <x:c r="C418" t="s">
        <x:v>82</x:v>
      </x:c>
      <x:c r="D418" t="s">
        <x:v>70</x:v>
      </x:c>
      <x:c r="E418" s="142">
        <x:v>0</x:v>
      </x:c>
      <x:c r="F418">
        <x:v>0</x:v>
      </x:c>
      <x:c r="G418">
        <x:v>0</x:v>
      </x:c>
      <x:c r="H418">
        <x:v>0</x:v>
      </x:c>
      <x:c r="I418">
        <x:v>0</x:v>
      </x:c>
      <x:c r="J418">
        <x:v>0</x:v>
      </x:c>
      <x:c r="K418">
        <x:v>0</x:v>
      </x:c>
      <x:c r="L418">
        <x:v>0</x:v>
      </x:c>
      <x:c r="M418">
        <x:v>0</x:v>
      </x:c>
      <x:c r="N418">
        <x:v>0</x:v>
      </x:c>
      <x:c r="O418">
        <x:v>0</x:v>
      </x:c>
      <x:c r="P418">
        <x:v>0</x:v>
      </x:c>
      <x:c r="Q418">
        <x:v>0</x:v>
      </x:c>
      <x:c r="R418">
        <x:v>0</x:v>
      </x:c>
    </x:row>
    <x:row r="419" spans="1:19" ht="12.75" customHeight="1" x14ac:dyDescent="0.3">
      <x:c r="D419" t="s">
        <x:v>72</x:v>
      </x:c>
      <x:c r="E419" s="142">
        <x:v>0</x:v>
      </x:c>
      <x:c r="F419">
        <x:v>0</x:v>
      </x:c>
      <x:c r="G419">
        <x:v>0</x:v>
      </x:c>
      <x:c r="H419">
        <x:v>0</x:v>
      </x:c>
      <x:c r="I419">
        <x:v>0</x:v>
      </x:c>
      <x:c r="J419">
        <x:v>0</x:v>
      </x:c>
      <x:c r="K419">
        <x:v>0</x:v>
      </x:c>
      <x:c r="L419">
        <x:v>0</x:v>
      </x:c>
      <x:c r="M419">
        <x:v>0</x:v>
      </x:c>
      <x:c r="N419">
        <x:v>0</x:v>
      </x:c>
      <x:c r="O419">
        <x:v>0</x:v>
      </x:c>
      <x:c r="P419">
        <x:v>0</x:v>
      </x:c>
      <x:c r="Q419">
        <x:v>0</x:v>
      </x:c>
      <x:c r="R419">
        <x:v>0</x:v>
      </x:c>
    </x:row>
    <x:row r="420" spans="1:19" ht="12.75" customHeight="1" x14ac:dyDescent="0.3">
      <x:c r="D420" t="s">
        <x:v>81</x:v>
      </x:c>
      <x:c r="E420" s="142">
        <x:v>0</x:v>
      </x:c>
      <x:c r="F420">
        <x:v>0</x:v>
      </x:c>
      <x:c r="G420">
        <x:v>0</x:v>
      </x:c>
      <x:c r="H420">
        <x:v>0</x:v>
      </x:c>
      <x:c r="I420">
        <x:v>0</x:v>
      </x:c>
      <x:c r="J420">
        <x:v>0</x:v>
      </x:c>
      <x:c r="K420">
        <x:v>0</x:v>
      </x:c>
      <x:c r="L420">
        <x:v>0</x:v>
      </x:c>
      <x:c r="M420">
        <x:v>0</x:v>
      </x:c>
      <x:c r="N420">
        <x:v>0</x:v>
      </x:c>
      <x:c r="O420">
        <x:v>0</x:v>
      </x:c>
      <x:c r="P420">
        <x:v>0</x:v>
      </x:c>
      <x:c r="Q420">
        <x:v>0</x:v>
      </x:c>
      <x:c r="R420">
        <x:v>0</x:v>
      </x:c>
    </x:row>
    <x:row r="421" spans="1:19" ht="12.75" customHeight="1" x14ac:dyDescent="0.3">
      <x:c r="C421" t="s">
        <x:v>86</x:v>
      </x:c>
      <x:c r="D421" t="s">
        <x:v>70</x:v>
      </x:c>
      <x:c r="E421" s="142">
        <x:v>0</x:v>
      </x:c>
      <x:c r="F421">
        <x:v>0</x:v>
      </x:c>
      <x:c r="G421">
        <x:v>0</x:v>
      </x:c>
      <x:c r="H421">
        <x:v>0</x:v>
      </x:c>
      <x:c r="I421">
        <x:v>0</x:v>
      </x:c>
      <x:c r="J421">
        <x:v>0</x:v>
      </x:c>
      <x:c r="K421">
        <x:v>0</x:v>
      </x:c>
      <x:c r="L421">
        <x:v>0</x:v>
      </x:c>
      <x:c r="M421">
        <x:v>0</x:v>
      </x:c>
      <x:c r="N421">
        <x:v>0</x:v>
      </x:c>
      <x:c r="O421">
        <x:v>0</x:v>
      </x:c>
      <x:c r="P421">
        <x:v>0</x:v>
      </x:c>
      <x:c r="Q421">
        <x:v>0</x:v>
      </x:c>
      <x:c r="R421">
        <x:v>0</x:v>
      </x:c>
    </x:row>
    <x:row r="422" spans="1:19" ht="12.75" customHeight="1" x14ac:dyDescent="0.3">
      <x:c r="D422" t="s">
        <x:v>72</x:v>
      </x:c>
      <x:c r="E422" s="142">
        <x:v>0</x:v>
      </x:c>
      <x:c r="F422">
        <x:v>0</x:v>
      </x:c>
      <x:c r="G422">
        <x:v>0</x:v>
      </x:c>
      <x:c r="H422">
        <x:v>0</x:v>
      </x:c>
      <x:c r="I422">
        <x:v>0</x:v>
      </x:c>
      <x:c r="J422">
        <x:v>0</x:v>
      </x:c>
      <x:c r="K422">
        <x:v>0</x:v>
      </x:c>
      <x:c r="L422">
        <x:v>0</x:v>
      </x:c>
      <x:c r="M422">
        <x:v>0</x:v>
      </x:c>
      <x:c r="N422">
        <x:v>0</x:v>
      </x:c>
      <x:c r="O422">
        <x:v>0</x:v>
      </x:c>
      <x:c r="P422">
        <x:v>0</x:v>
      </x:c>
      <x:c r="Q422">
        <x:v>0</x:v>
      </x:c>
      <x:c r="R422">
        <x:v>0</x:v>
      </x:c>
    </x:row>
    <x:row r="423" spans="1:19" ht="12.75" customHeight="1" x14ac:dyDescent="0.3">
      <x:c r="B423" s="142"/>
      <x:c r="D423" t="s">
        <x:v>81</x:v>
      </x:c>
      <x:c r="E423" s="142">
        <x:v>0</x:v>
      </x:c>
      <x:c r="F423">
        <x:v>0</x:v>
      </x:c>
      <x:c r="G423">
        <x:v>0</x:v>
      </x:c>
      <x:c r="H423">
        <x:v>0</x:v>
      </x:c>
      <x:c r="I423">
        <x:v>0</x:v>
      </x:c>
      <x:c r="J423">
        <x:v>0</x:v>
      </x:c>
      <x:c r="K423">
        <x:v>0</x:v>
      </x:c>
      <x:c r="L423">
        <x:v>0</x:v>
      </x:c>
      <x:c r="M423">
        <x:v>0</x:v>
      </x:c>
      <x:c r="N423">
        <x:v>0</x:v>
      </x:c>
      <x:c r="O423">
        <x:v>0</x:v>
      </x:c>
      <x:c r="P423">
        <x:v>0</x:v>
      </x:c>
      <x:c r="Q423">
        <x:v>0</x:v>
      </x:c>
      <x:c r="R423">
        <x:v>0</x:v>
      </x:c>
    </x:row>
    <x:row r="424" spans="1:19" ht="12.75" customHeight="1" x14ac:dyDescent="0.3">
      <x:c r="B424" s="142"/>
      <x:c r="C424" t="s">
        <x:v>87</x:v>
      </x:c>
      <x:c r="D424" t="s">
        <x:v>70</x:v>
      </x:c>
      <x:c r="E424" s="142">
        <x:v>0</x:v>
      </x:c>
      <x:c r="F424">
        <x:v>0</x:v>
      </x:c>
      <x:c r="G424">
        <x:v>0</x:v>
      </x:c>
      <x:c r="H424">
        <x:v>0</x:v>
      </x:c>
      <x:c r="I424">
        <x:v>0</x:v>
      </x:c>
      <x:c r="J424">
        <x:v>0</x:v>
      </x:c>
      <x:c r="K424">
        <x:v>0</x:v>
      </x:c>
      <x:c r="L424">
        <x:v>0</x:v>
      </x:c>
      <x:c r="M424">
        <x:v>0</x:v>
      </x:c>
      <x:c r="N424">
        <x:v>0</x:v>
      </x:c>
      <x:c r="O424">
        <x:v>0</x:v>
      </x:c>
      <x:c r="P424">
        <x:v>0</x:v>
      </x:c>
      <x:c r="Q424">
        <x:v>0</x:v>
      </x:c>
      <x:c r="R424">
        <x:v>0</x:v>
      </x:c>
    </x:row>
    <x:row r="425" spans="1:19" s="94" customFormat="1" ht="12.75" customHeight="1" x14ac:dyDescent="0.3">
      <x:c r="B425" s="101" t="s">
        <x:v>119</x:v>
      </x:c>
      <x:c r="C425" s="101" t="s">
        <x:v>70</x:v>
      </x:c>
      <x:c r="E425" s="93" t="n">
        <x:v>1268977.57</x:v>
      </x:c>
      <x:c r="F425" s="93">
        <x:v>0</x:v>
      </x:c>
      <x:c r="G425" s="93">
        <x:v>0</x:v>
      </x:c>
      <x:c r="H425" s="93">
        <x:v>0</x:v>
      </x:c>
      <x:c r="I425" s="93">
        <x:v>0</x:v>
      </x:c>
      <x:c r="J425" s="93">
        <x:v>0</x:v>
      </x:c>
      <x:c r="K425" s="93" t="n">
        <x:v>0</x:v>
      </x:c>
      <x:c r="L425" s="93">
        <x:v>0</x:v>
      </x:c>
      <x:c r="M425" s="93">
        <x:v>0</x:v>
      </x:c>
      <x:c r="N425" s="93">
        <x:v>0</x:v>
      </x:c>
      <x:c r="O425" s="93">
        <x:v>0</x:v>
      </x:c>
      <x:c r="P425" s="93">
        <x:v>0</x:v>
      </x:c>
      <x:c r="Q425" s="93">
        <x:v>0</x:v>
      </x:c>
      <x:c r="R425" s="94">
        <x:v>0</x:v>
      </x:c>
    </x:row>
    <x:row r="426" spans="1:19" s="226" customFormat="1" ht="12.75" customHeight="1" x14ac:dyDescent="0.3">
      <x:c r="A426" s="98" t="s">
        <x:v>78</x:v>
      </x:c>
      <x:c r="B426" s="98" t="s">
        <x:v>70</x:v>
      </x:c>
      <x:c r="E426" s="100" t="n">
        <x:v>10412866.13</x:v>
      </x:c>
      <x:c r="F426" s="100">
        <x:v>0</x:v>
      </x:c>
      <x:c r="G426" s="100">
        <x:v>0</x:v>
      </x:c>
      <x:c r="H426" s="100">
        <x:v>0</x:v>
      </x:c>
      <x:c r="I426" s="100">
        <x:v>0</x:v>
      </x:c>
      <x:c r="J426" s="100">
        <x:v>0</x:v>
      </x:c>
      <x:c r="K426" s="100" t="n">
        <x:v>0</x:v>
      </x:c>
      <x:c r="L426" s="100">
        <x:v>0</x:v>
      </x:c>
      <x:c r="M426" s="100">
        <x:v>0</x:v>
      </x:c>
      <x:c r="N426" s="100">
        <x:v>0</x:v>
      </x:c>
      <x:c r="O426" s="100">
        <x:v>0</x:v>
      </x:c>
      <x:c r="P426" s="100">
        <x:v>0</x:v>
      </x:c>
      <x:c r="Q426" s="100">
        <x:v>0</x:v>
      </x:c>
      <x:c r="R426" s="226">
        <x:v>0</x:v>
      </x:c>
    </x:row>
    <x:row r="427" spans="1:19" ht="12.75" customHeight="1" x14ac:dyDescent="0.3">
      <x:c r="C427" s="89"/>
      <x:c r="D427" s="89" t="s">
        <x:v>73</x:v>
      </x:c>
      <x:c r="E427" s="90">
        <x:v>0</x:v>
      </x:c>
      <x:c r="F427" s="90">
        <x:v>0</x:v>
      </x:c>
      <x:c r="G427" s="90">
        <x:v>0</x:v>
      </x:c>
      <x:c r="H427" s="90">
        <x:v>0</x:v>
      </x:c>
      <x:c r="I427" s="90">
        <x:v>0</x:v>
      </x:c>
      <x:c r="J427" s="90">
        <x:v>0</x:v>
      </x:c>
      <x:c r="K427" s="90">
        <x:v>0</x:v>
      </x:c>
      <x:c r="L427" s="90">
        <x:v>0</x:v>
      </x:c>
      <x:c r="M427" s="90">
        <x:v>0</x:v>
      </x:c>
      <x:c r="N427" s="90">
        <x:v>0</x:v>
      </x:c>
      <x:c r="O427" s="90">
        <x:v>0</x:v>
      </x:c>
      <x:c r="P427" s="90">
        <x:v>0</x:v>
      </x:c>
      <x:c r="Q427" s="90">
        <x:v>0</x:v>
      </x:c>
      <x:c r="R427">
        <x:v>0</x:v>
      </x:c>
    </x:row>
    <x:row r="428" spans="1:19" ht="12.75" customHeight="1" x14ac:dyDescent="0.3">
      <x:c r="B428" s="89"/>
      <x:c r="C428" s="89" t="s">
        <x:v>156</x:v>
      </x:c>
      <x:c r="D428" t="s">
        <x:v>70</x:v>
      </x:c>
      <x:c r="E428" s="90">
        <x:v>0</x:v>
      </x:c>
      <x:c r="F428" s="90">
        <x:v>0</x:v>
      </x:c>
      <x:c r="G428" s="90">
        <x:v>0</x:v>
      </x:c>
      <x:c r="H428" s="90">
        <x:v>0</x:v>
      </x:c>
      <x:c r="I428" s="90">
        <x:v>0</x:v>
      </x:c>
      <x:c r="J428" s="90">
        <x:v>0</x:v>
      </x:c>
      <x:c r="K428" s="90">
        <x:v>0</x:v>
      </x:c>
      <x:c r="L428" s="90">
        <x:v>0</x:v>
      </x:c>
      <x:c r="M428" s="90">
        <x:v>0</x:v>
      </x:c>
      <x:c r="N428" s="90">
        <x:v>0</x:v>
      </x:c>
      <x:c r="O428" s="90">
        <x:v>0</x:v>
      </x:c>
      <x:c r="P428" s="90">
        <x:v>0</x:v>
      </x:c>
      <x:c r="Q428" s="90">
        <x:v>0</x:v>
      </x:c>
      <x:c r="R428">
        <x:v>0</x:v>
      </x:c>
    </x:row>
    <x:row r="429" spans="1:19" s="237" customFormat="1" ht="12.75" customHeight="1" x14ac:dyDescent="0.3">
      <x:c r="B429" s="221" t="s">
        <x:v>155</x:v>
      </x:c>
      <x:c r="C429" s="221" t="s">
        <x:v>70</x:v>
      </x:c>
      <x:c r="E429" s="222" t="n">
        <x:v>48766.77</x:v>
      </x:c>
      <x:c r="F429" s="222">
        <x:v>0</x:v>
      </x:c>
      <x:c r="G429" s="222">
        <x:v>0</x:v>
      </x:c>
      <x:c r="H429" s="222">
        <x:v>0</x:v>
      </x:c>
      <x:c r="I429" s="222">
        <x:v>0</x:v>
      </x:c>
      <x:c r="J429" s="222">
        <x:v>0</x:v>
      </x:c>
      <x:c r="K429" s="222">
        <x:v>0</x:v>
      </x:c>
      <x:c r="L429" s="222">
        <x:v>0</x:v>
      </x:c>
      <x:c r="M429" s="222">
        <x:v>0</x:v>
      </x:c>
      <x:c r="N429" s="222">
        <x:v>0</x:v>
      </x:c>
      <x:c r="O429" s="222">
        <x:v>0</x:v>
      </x:c>
      <x:c r="P429" s="222">
        <x:v>0</x:v>
      </x:c>
      <x:c r="Q429" s="222">
        <x:v>0</x:v>
      </x:c>
      <x:c r="R429" s="237">
        <x:v>0</x:v>
      </x:c>
    </x:row>
    <x:row r="430" spans="1:19" ht="12.75" customHeight="1" x14ac:dyDescent="0.3">
      <x:c r="B430" s="142"/>
      <x:c r="C430" s="89"/>
      <x:c r="D430" s="89" t="s">
        <x:v>73</x:v>
      </x:c>
      <x:c r="E430" s="371">
        <x:v>0</x:v>
      </x:c>
      <x:c r="F430" s="90">
        <x:v>0</x:v>
      </x:c>
      <x:c r="G430" s="90">
        <x:v>0</x:v>
      </x:c>
      <x:c r="H430" s="90">
        <x:v>0</x:v>
      </x:c>
      <x:c r="I430" s="90">
        <x:v>0</x:v>
      </x:c>
      <x:c r="J430" s="90">
        <x:v>0</x:v>
      </x:c>
      <x:c r="K430" s="90">
        <x:v>0</x:v>
      </x:c>
      <x:c r="L430" s="90">
        <x:v>0</x:v>
      </x:c>
      <x:c r="M430" s="90">
        <x:v>0</x:v>
      </x:c>
      <x:c r="N430" s="90">
        <x:v>0</x:v>
      </x:c>
      <x:c r="O430" s="90">
        <x:v>0</x:v>
      </x:c>
      <x:c r="P430" s="90">
        <x:v>0</x:v>
      </x:c>
      <x:c r="Q430" s="90">
        <x:v>0</x:v>
      </x:c>
      <x:c r="R430">
        <x:v>0</x:v>
      </x:c>
    </x:row>
    <x:row r="431" spans="1:19" ht="12.75" customHeight="1" x14ac:dyDescent="0.3">
      <x:c r="B431" s="142"/>
      <x:c r="C431" s="89" t="s">
        <x:v>156</x:v>
      </x:c>
      <x:c r="D431" s="89" t="s">
        <x:v>70</x:v>
      </x:c>
      <x:c r="E431" s="371">
        <x:v>0</x:v>
      </x:c>
      <x:c r="F431" s="90">
        <x:v>0</x:v>
      </x:c>
      <x:c r="G431" s="90">
        <x:v>0</x:v>
      </x:c>
      <x:c r="H431" s="90">
        <x:v>0</x:v>
      </x:c>
      <x:c r="I431" s="90">
        <x:v>0</x:v>
      </x:c>
      <x:c r="J431" s="90">
        <x:v>0</x:v>
      </x:c>
      <x:c r="K431" s="90">
        <x:v>0</x:v>
      </x:c>
      <x:c r="L431" s="90">
        <x:v>0</x:v>
      </x:c>
      <x:c r="M431" s="90">
        <x:v>0</x:v>
      </x:c>
      <x:c r="N431" s="90">
        <x:v>0</x:v>
      </x:c>
      <x:c r="O431" s="90">
        <x:v>0</x:v>
      </x:c>
      <x:c r="P431" s="90">
        <x:v>0</x:v>
      </x:c>
      <x:c r="Q431" s="90">
        <x:v>0</x:v>
      </x:c>
      <x:c r="R431">
        <x:v>0</x:v>
      </x:c>
    </x:row>
    <x:row r="432" spans="1:19" s="739" customFormat="1" ht="12.75" customHeight="1" x14ac:dyDescent="0.3">
      <x:c r="B432" s="739" t="s">
        <x:v>326</x:v>
      </x:c>
      <x:c r="C432" s="739" t="s">
        <x:v>70</x:v>
      </x:c>
      <x:c r="E432" s="231">
        <x:v>0</x:v>
      </x:c>
      <x:c r="F432" s="740">
        <x:v>0</x:v>
      </x:c>
      <x:c r="G432" s="232">
        <x:v>0</x:v>
      </x:c>
      <x:c r="H432" s="232">
        <x:v>0</x:v>
      </x:c>
      <x:c r="I432" s="232">
        <x:v>0</x:v>
      </x:c>
      <x:c r="J432" s="232">
        <x:v>0</x:v>
      </x:c>
      <x:c r="K432" s="232">
        <x:v>0</x:v>
      </x:c>
      <x:c r="L432" s="232">
        <x:v>0</x:v>
      </x:c>
      <x:c r="M432" s="232">
        <x:v>0</x:v>
      </x:c>
      <x:c r="N432" s="232">
        <x:v>0</x:v>
      </x:c>
      <x:c r="O432" s="232">
        <x:v>0</x:v>
      </x:c>
      <x:c r="P432" s="232">
        <x:v>0</x:v>
      </x:c>
      <x:c r="Q432" s="232">
        <x:v>0</x:v>
      </x:c>
      <x:c r="R432" s="232">
        <x:v>0</x:v>
      </x:c>
      <x:c r="S432" s="232"/>
    </x:row>
    <x:row r="433" spans="1:18" ht="12.75" customHeight="1" x14ac:dyDescent="0.3">
      <x:c r="B433" s="142"/>
      <x:c r="C433" s="89"/>
      <x:c r="D433" s="89" t="s">
        <x:v>73</x:v>
      </x:c>
      <x:c r="E433" s="371">
        <x:v>0</x:v>
      </x:c>
      <x:c r="F433" s="90">
        <x:v>0</x:v>
      </x:c>
      <x:c r="G433" s="90">
        <x:v>0</x:v>
      </x:c>
      <x:c r="H433" s="90">
        <x:v>0</x:v>
      </x:c>
      <x:c r="I433" s="90">
        <x:v>0</x:v>
      </x:c>
      <x:c r="J433" s="90">
        <x:v>0</x:v>
      </x:c>
      <x:c r="K433" s="90">
        <x:v>0</x:v>
      </x:c>
      <x:c r="L433" s="90">
        <x:v>0</x:v>
      </x:c>
      <x:c r="M433" s="90">
        <x:v>0</x:v>
      </x:c>
      <x:c r="N433" s="90">
        <x:v>0</x:v>
      </x:c>
      <x:c r="O433" s="90">
        <x:v>0</x:v>
      </x:c>
      <x:c r="P433" s="90">
        <x:v>0</x:v>
      </x:c>
      <x:c r="Q433" s="90">
        <x:v>0</x:v>
      </x:c>
      <x:c r="R433">
        <x:v>0</x:v>
      </x:c>
    </x:row>
    <x:row r="434" spans="1:18" ht="12.75" customHeight="1" x14ac:dyDescent="0.3">
      <x:c r="B434" s="142"/>
      <x:c r="C434" s="89" t="s">
        <x:v>82</x:v>
      </x:c>
      <x:c r="D434" s="89" t="s">
        <x:v>70</x:v>
      </x:c>
      <x:c r="E434" s="371">
        <x:v>0</x:v>
      </x:c>
      <x:c r="F434" s="90">
        <x:v>0</x:v>
      </x:c>
      <x:c r="G434" s="90">
        <x:v>0</x:v>
      </x:c>
      <x:c r="H434" s="90">
        <x:v>0</x:v>
      </x:c>
      <x:c r="I434" s="90">
        <x:v>0</x:v>
      </x:c>
      <x:c r="J434" s="90">
        <x:v>0</x:v>
      </x:c>
      <x:c r="K434" s="90">
        <x:v>0</x:v>
      </x:c>
      <x:c r="L434" s="90">
        <x:v>0</x:v>
      </x:c>
      <x:c r="M434" s="90">
        <x:v>0</x:v>
      </x:c>
      <x:c r="N434" s="90">
        <x:v>0</x:v>
      </x:c>
      <x:c r="O434" s="90">
        <x:v>0</x:v>
      </x:c>
      <x:c r="P434" s="90">
        <x:v>0</x:v>
      </x:c>
      <x:c r="Q434" s="90">
        <x:v>0</x:v>
      </x:c>
      <x:c r="R434">
        <x:v>0</x:v>
      </x:c>
    </x:row>
    <x:row r="435" spans="1:18" ht="12.75" customHeight="1" x14ac:dyDescent="0.3">
      <x:c r="B435" s="142"/>
      <x:c r="C435" s="89"/>
      <x:c r="D435" s="89" t="s">
        <x:v>73</x:v>
      </x:c>
      <x:c r="E435" s="371">
        <x:v>0</x:v>
      </x:c>
      <x:c r="F435" s="90">
        <x:v>0</x:v>
      </x:c>
      <x:c r="G435" s="90">
        <x:v>0</x:v>
      </x:c>
      <x:c r="H435" s="90">
        <x:v>0</x:v>
      </x:c>
      <x:c r="I435" s="90">
        <x:v>0</x:v>
      </x:c>
      <x:c r="J435" s="90">
        <x:v>0</x:v>
      </x:c>
      <x:c r="K435" s="90">
        <x:v>0</x:v>
      </x:c>
      <x:c r="L435" s="90">
        <x:v>0</x:v>
      </x:c>
      <x:c r="M435" s="90">
        <x:v>0</x:v>
      </x:c>
      <x:c r="N435" s="90">
        <x:v>0</x:v>
      </x:c>
      <x:c r="O435" s="90">
        <x:v>0</x:v>
      </x:c>
      <x:c r="P435" s="90">
        <x:v>0</x:v>
      </x:c>
      <x:c r="Q435" s="90">
        <x:v>0</x:v>
      </x:c>
      <x:c r="R435">
        <x:v>0</x:v>
      </x:c>
    </x:row>
    <x:row r="436" spans="1:18" ht="12.75" customHeight="1" x14ac:dyDescent="0.3">
      <x:c r="B436" s="142"/>
      <x:c r="C436" s="89" t="s">
        <x:v>86</x:v>
      </x:c>
      <x:c r="D436" s="89" t="s">
        <x:v>70</x:v>
      </x:c>
      <x:c r="E436" s="371">
        <x:v>0</x:v>
      </x:c>
      <x:c r="F436" s="90">
        <x:v>0</x:v>
      </x:c>
      <x:c r="G436" s="90">
        <x:v>0</x:v>
      </x:c>
      <x:c r="H436" s="90">
        <x:v>0</x:v>
      </x:c>
      <x:c r="I436" s="90">
        <x:v>0</x:v>
      </x:c>
      <x:c r="J436" s="90">
        <x:v>0</x:v>
      </x:c>
      <x:c r="K436" s="90">
        <x:v>0</x:v>
      </x:c>
      <x:c r="L436" s="90">
        <x:v>0</x:v>
      </x:c>
      <x:c r="M436" s="90">
        <x:v>0</x:v>
      </x:c>
      <x:c r="N436" s="90">
        <x:v>0</x:v>
      </x:c>
      <x:c r="O436" s="90">
        <x:v>0</x:v>
      </x:c>
      <x:c r="P436" s="90">
        <x:v>0</x:v>
      </x:c>
      <x:c r="Q436" s="90">
        <x:v>0</x:v>
      </x:c>
      <x:c r="R436">
        <x:v>0</x:v>
      </x:c>
    </x:row>
    <x:row r="437" spans="1:18" ht="12.75" customHeight="1" x14ac:dyDescent="0.3">
      <x:c r="B437" s="142"/>
      <x:c r="C437" s="89"/>
      <x:c r="D437" s="89" t="s">
        <x:v>73</x:v>
      </x:c>
      <x:c r="E437" s="371">
        <x:v>0</x:v>
      </x:c>
      <x:c r="F437" s="90">
        <x:v>0</x:v>
      </x:c>
      <x:c r="G437" s="90">
        <x:v>0</x:v>
      </x:c>
      <x:c r="H437" s="90">
        <x:v>0</x:v>
      </x:c>
      <x:c r="I437" s="90">
        <x:v>0</x:v>
      </x:c>
      <x:c r="J437" s="90">
        <x:v>0</x:v>
      </x:c>
      <x:c r="K437" s="90">
        <x:v>0</x:v>
      </x:c>
      <x:c r="L437" s="90">
        <x:v>0</x:v>
      </x:c>
      <x:c r="M437" s="90">
        <x:v>0</x:v>
      </x:c>
      <x:c r="N437" s="90">
        <x:v>0</x:v>
      </x:c>
      <x:c r="O437" s="90">
        <x:v>0</x:v>
      </x:c>
      <x:c r="P437" s="90">
        <x:v>0</x:v>
      </x:c>
      <x:c r="Q437" s="90">
        <x:v>0</x:v>
      </x:c>
      <x:c r="R437">
        <x:v>0</x:v>
      </x:c>
    </x:row>
    <x:row r="438" spans="1:18" ht="12.75" customHeight="1" x14ac:dyDescent="0.3">
      <x:c r="B438" s="142"/>
      <x:c r="C438" s="89" t="s">
        <x:v>87</x:v>
      </x:c>
      <x:c r="D438" s="89" t="s">
        <x:v>70</x:v>
      </x:c>
      <x:c r="E438" s="371">
        <x:v>0</x:v>
      </x:c>
      <x:c r="F438" s="90">
        <x:v>0</x:v>
      </x:c>
      <x:c r="G438" s="90">
        <x:v>0</x:v>
      </x:c>
      <x:c r="H438" s="90">
        <x:v>0</x:v>
      </x:c>
      <x:c r="I438" s="90">
        <x:v>0</x:v>
      </x:c>
      <x:c r="J438" s="90">
        <x:v>0</x:v>
      </x:c>
      <x:c r="K438" s="90">
        <x:v>0</x:v>
      </x:c>
      <x:c r="L438" s="90">
        <x:v>0</x:v>
      </x:c>
      <x:c r="M438" s="90">
        <x:v>0</x:v>
      </x:c>
      <x:c r="N438" s="90">
        <x:v>0</x:v>
      </x:c>
      <x:c r="O438" s="90">
        <x:v>0</x:v>
      </x:c>
      <x:c r="P438" s="90">
        <x:v>0</x:v>
      </x:c>
      <x:c r="Q438" s="90">
        <x:v>0</x:v>
      </x:c>
      <x:c r="R438">
        <x:v>0</x:v>
      </x:c>
    </x:row>
    <x:row r="439" spans="1:18" s="94" customFormat="1" ht="12.75" customHeight="1" x14ac:dyDescent="0.3">
      <x:c r="B439" s="101" t="s">
        <x:v>119</x:v>
      </x:c>
      <x:c r="C439" s="101" t="s">
        <x:v>70</x:v>
      </x:c>
      <x:c r="E439" s="93" t="n">
        <x:v>-82090.85</x:v>
      </x:c>
      <x:c r="F439" s="93">
        <x:v>0</x:v>
      </x:c>
      <x:c r="G439" s="93">
        <x:v>0</x:v>
      </x:c>
      <x:c r="H439" s="93">
        <x:v>0</x:v>
      </x:c>
      <x:c r="I439" s="93">
        <x:v>0</x:v>
      </x:c>
      <x:c r="J439" s="93">
        <x:v>0</x:v>
      </x:c>
      <x:c r="K439" s="93">
        <x:v>0</x:v>
      </x:c>
      <x:c r="L439" s="93">
        <x:v>0</x:v>
      </x:c>
      <x:c r="M439" s="93">
        <x:v>0</x:v>
      </x:c>
      <x:c r="N439" s="93">
        <x:v>0</x:v>
      </x:c>
      <x:c r="O439" s="93">
        <x:v>0</x:v>
      </x:c>
      <x:c r="P439" s="93">
        <x:v>0</x:v>
      </x:c>
      <x:c r="Q439" s="93">
        <x:v>0</x:v>
      </x:c>
      <x:c r="R439" s="94">
        <x:v>0</x:v>
      </x:c>
    </x:row>
    <x:row r="440" spans="1:18" s="226" customFormat="1" ht="12.75" customHeight="1" x14ac:dyDescent="0.3">
      <x:c r="A440" s="98" t="s">
        <x:v>79</x:v>
      </x:c>
      <x:c r="B440" s="98" t="s">
        <x:v>70</x:v>
      </x:c>
      <x:c r="E440" s="100" t="n">
        <x:v>-33324.08</x:v>
      </x:c>
      <x:c r="F440" s="100">
        <x:v>0</x:v>
      </x:c>
      <x:c r="G440" s="100">
        <x:v>0</x:v>
      </x:c>
      <x:c r="H440" s="100">
        <x:v>0</x:v>
      </x:c>
      <x:c r="I440" s="100">
        <x:v>0</x:v>
      </x:c>
      <x:c r="J440" s="100">
        <x:v>0</x:v>
      </x:c>
      <x:c r="K440" s="100">
        <x:v>0</x:v>
      </x:c>
      <x:c r="L440" s="100">
        <x:v>0</x:v>
      </x:c>
      <x:c r="M440" s="100">
        <x:v>0</x:v>
      </x:c>
      <x:c r="N440" s="100">
        <x:v>0</x:v>
      </x:c>
      <x:c r="O440" s="100">
        <x:v>0</x:v>
      </x:c>
      <x:c r="P440" s="100">
        <x:v>0</x:v>
      </x:c>
      <x:c r="Q440" s="100">
        <x:v>0</x:v>
      </x:c>
      <x:c r="R440" s="226">
        <x:v>0</x:v>
      </x:c>
    </x:row>
    <x:row r="441" spans="1:18" ht="12.75" customHeight="1" x14ac:dyDescent="0.3">
      <x:c r="A441" s="89" t="s">
        <x:v>70</x:v>
      </x:c>
      <x:c r="E441" s="90">
        <x:v>0</x:v>
      </x:c>
      <x:c r="F441" s="90">
        <x:v>0</x:v>
      </x:c>
      <x:c r="G441" s="90">
        <x:v>0</x:v>
      </x:c>
      <x:c r="H441" s="90">
        <x:v>0</x:v>
      </x:c>
      <x:c r="I441" s="90">
        <x:v>0</x:v>
      </x:c>
      <x:c r="J441" s="90">
        <x:v>0</x:v>
      </x:c>
      <x:c r="K441" s="90">
        <x:v>0</x:v>
      </x:c>
      <x:c r="L441" s="90">
        <x:v>0</x:v>
      </x:c>
      <x:c r="M441" s="90">
        <x:v>0</x:v>
      </x:c>
      <x:c r="N441" s="90">
        <x:v>0</x:v>
      </x:c>
      <x:c r="O441" s="90">
        <x:v>0</x:v>
      </x:c>
      <x:c r="P441" s="90">
        <x:v>0</x:v>
      </x:c>
      <x:c r="Q441" s="90">
        <x:v>0</x:v>
      </x:c>
      <x:c r="R441" s="90">
        <x:v>0</x:v>
      </x:c>
    </x:row>
    <x:row r="442" spans="1:18" ht="12.75" hidden="1" customHeight="1" x14ac:dyDescent="0.3">
      <x:c r="A442" s="89"/>
      <x:c r="E442" s="90"/>
      <x:c r="F442" s="90"/>
      <x:c r="G442" s="90"/>
      <x:c r="H442" s="90"/>
      <x:c r="I442" s="90"/>
      <x:c r="J442" s="90"/>
      <x:c r="K442" s="90"/>
      <x:c r="L442" s="90"/>
      <x:c r="M442" s="90"/>
      <x:c r="N442" s="90"/>
      <x:c r="O442" s="90"/>
      <x:c r="P442" s="90"/>
      <x:c r="Q442" s="90"/>
      <x:c r="R442" s="90"/>
    </x:row>
    <x:row r="443" spans="1:18" ht="12.75" hidden="1" customHeight="1" x14ac:dyDescent="0.3">
      <x:c r="A443" s="89"/>
      <x:c r="E443" s="90"/>
      <x:c r="F443" s="90"/>
      <x:c r="G443" s="90"/>
      <x:c r="H443" s="90"/>
      <x:c r="I443" s="90"/>
      <x:c r="J443" s="90"/>
      <x:c r="K443" s="90"/>
      <x:c r="L443" s="90"/>
      <x:c r="M443" s="90"/>
      <x:c r="N443" s="90"/>
      <x:c r="O443" s="90"/>
      <x:c r="P443" s="90"/>
      <x:c r="Q443" s="90"/>
      <x:c r="R443" s="90"/>
    </x:row>
    <x:row r="444" spans="1:18" ht="12.75" hidden="1" customHeight="1" x14ac:dyDescent="0.3">
      <x:c r="A444" s="89"/>
      <x:c r="E444" s="90"/>
      <x:c r="F444" s="90"/>
      <x:c r="G444" s="90"/>
      <x:c r="H444" s="90"/>
      <x:c r="I444" s="90"/>
      <x:c r="J444" s="90"/>
      <x:c r="K444" s="90"/>
      <x:c r="L444" s="90"/>
      <x:c r="M444" s="90"/>
      <x:c r="N444" s="90"/>
      <x:c r="O444" s="90"/>
      <x:c r="P444" s="90"/>
      <x:c r="Q444" s="90"/>
      <x:c r="R444" s="90"/>
    </x:row>
    <x:row r="445" spans="1:18" ht="12.75" hidden="1" customHeight="1" x14ac:dyDescent="0.3">
      <x:c r="A445" s="89"/>
      <x:c r="E445" s="90"/>
      <x:c r="F445" s="90"/>
      <x:c r="G445" s="90"/>
      <x:c r="H445" s="90"/>
      <x:c r="I445" s="90"/>
      <x:c r="J445" s="90"/>
      <x:c r="K445" s="90"/>
      <x:c r="L445" s="90"/>
      <x:c r="M445" s="90"/>
      <x:c r="N445" s="90"/>
      <x:c r="O445" s="90"/>
      <x:c r="P445" s="90"/>
      <x:c r="Q445" s="90"/>
      <x:c r="R445" s="90"/>
    </x:row>
    <x:row r="446" spans="1:18" ht="12.75" hidden="1" customHeight="1" x14ac:dyDescent="0.3">
      <x:c r="A446" s="89"/>
      <x:c r="E446" s="90"/>
      <x:c r="F446" s="90"/>
      <x:c r="G446" s="90"/>
      <x:c r="H446" s="90"/>
      <x:c r="I446" s="90"/>
      <x:c r="J446" s="90"/>
      <x:c r="K446" s="90"/>
      <x:c r="L446" s="90"/>
      <x:c r="M446" s="90"/>
      <x:c r="N446" s="90"/>
      <x:c r="O446" s="90"/>
      <x:c r="P446" s="90"/>
      <x:c r="Q446" s="90"/>
      <x:c r="R446" s="90"/>
    </x:row>
    <x:row r="447" spans="1:18" ht="12.75" hidden="1" customHeight="1" x14ac:dyDescent="0.3">
      <x:c r="A447" s="89"/>
      <x:c r="E447" s="90"/>
      <x:c r="F447" s="90"/>
      <x:c r="G447" s="90"/>
      <x:c r="H447" s="90"/>
      <x:c r="I447" s="90"/>
      <x:c r="J447" s="90"/>
      <x:c r="K447" s="90"/>
      <x:c r="L447" s="90"/>
      <x:c r="M447" s="90"/>
      <x:c r="N447" s="90"/>
      <x:c r="O447" s="90"/>
      <x:c r="P447" s="90"/>
      <x:c r="Q447" s="90"/>
      <x:c r="R447" s="90"/>
    </x:row>
    <x:row r="448" spans="1:18" ht="12.75" hidden="1" customHeight="1" x14ac:dyDescent="0.3">
      <x:c r="A448" s="89"/>
      <x:c r="E448" s="90"/>
      <x:c r="F448" s="90"/>
      <x:c r="G448" s="90"/>
      <x:c r="H448" s="90"/>
      <x:c r="I448" s="90"/>
      <x:c r="J448" s="90"/>
      <x:c r="K448" s="90"/>
      <x:c r="L448" s="90"/>
      <x:c r="M448" s="90"/>
      <x:c r="N448" s="90"/>
      <x:c r="O448" s="90"/>
      <x:c r="P448" s="90"/>
      <x:c r="Q448" s="90"/>
      <x:c r="R448" s="90"/>
    </x:row>
    <x:row r="449" spans="1:18" ht="12.75" hidden="1" customHeight="1" x14ac:dyDescent="0.3">
      <x:c r="A449" s="89"/>
      <x:c r="E449" s="90"/>
      <x:c r="F449" s="90"/>
      <x:c r="G449" s="90"/>
      <x:c r="H449" s="90"/>
      <x:c r="I449" s="90"/>
      <x:c r="J449" s="90"/>
      <x:c r="K449" s="90"/>
      <x:c r="L449" s="90"/>
      <x:c r="M449" s="90"/>
      <x:c r="N449" s="90"/>
      <x:c r="O449" s="90"/>
      <x:c r="P449" s="90"/>
      <x:c r="Q449" s="90"/>
      <x:c r="R449" s="90"/>
    </x:row>
    <x:row r="450" spans="1:18" ht="12.75" hidden="1" customHeight="1" x14ac:dyDescent="0.3">
      <x:c r="A450" s="89"/>
      <x:c r="E450" s="90"/>
      <x:c r="F450" s="90"/>
      <x:c r="G450" s="90"/>
      <x:c r="H450" s="90"/>
      <x:c r="I450" s="90"/>
      <x:c r="J450" s="90"/>
      <x:c r="K450" s="90"/>
      <x:c r="L450" s="90"/>
      <x:c r="M450" s="90"/>
      <x:c r="N450" s="90"/>
      <x:c r="O450" s="90"/>
      <x:c r="P450" s="90"/>
      <x:c r="Q450" s="90"/>
      <x:c r="R450" s="90"/>
    </x:row>
    <x:row r="451" spans="1:18" ht="12.75" hidden="1" customHeight="1" x14ac:dyDescent="0.3">
      <x:c r="A451" s="89"/>
      <x:c r="E451" s="90"/>
      <x:c r="F451" s="90"/>
      <x:c r="G451" s="90"/>
      <x:c r="H451" s="90"/>
      <x:c r="I451" s="90"/>
      <x:c r="J451" s="90"/>
      <x:c r="K451" s="90"/>
      <x:c r="L451" s="90"/>
      <x:c r="M451" s="90"/>
      <x:c r="N451" s="90"/>
      <x:c r="O451" s="90"/>
      <x:c r="P451" s="90"/>
      <x:c r="Q451" s="90"/>
      <x:c r="R451" s="90"/>
    </x:row>
    <x:row r="452" spans="1:18" ht="12.75" hidden="1" customHeight="1" x14ac:dyDescent="0.3">
      <x:c r="A452" s="89"/>
      <x:c r="E452" s="90"/>
      <x:c r="F452" s="90"/>
      <x:c r="G452" s="90"/>
      <x:c r="H452" s="90"/>
      <x:c r="I452" s="90"/>
      <x:c r="J452" s="90"/>
      <x:c r="K452" s="90"/>
      <x:c r="L452" s="90"/>
      <x:c r="M452" s="90"/>
      <x:c r="N452" s="90"/>
      <x:c r="O452" s="90"/>
      <x:c r="P452" s="90"/>
      <x:c r="Q452" s="90"/>
      <x:c r="R452" s="90"/>
    </x:row>
    <x:row r="453" spans="1:18" ht="12.75" hidden="1" customHeight="1" x14ac:dyDescent="0.3">
      <x:c r="A453" s="89"/>
      <x:c r="E453" s="90"/>
      <x:c r="F453" s="90"/>
      <x:c r="G453" s="90"/>
      <x:c r="H453" s="90"/>
      <x:c r="I453" s="90"/>
      <x:c r="J453" s="90"/>
      <x:c r="K453" s="90"/>
      <x:c r="L453" s="90"/>
      <x:c r="M453" s="90"/>
      <x:c r="N453" s="90"/>
      <x:c r="O453" s="90"/>
      <x:c r="P453" s="90"/>
      <x:c r="Q453" s="90"/>
      <x:c r="R453" s="90"/>
    </x:row>
    <x:row r="454" spans="1:18" ht="12.75" hidden="1" customHeight="1" x14ac:dyDescent="0.3">
      <x:c r="A454" s="89"/>
      <x:c r="E454" s="90"/>
      <x:c r="F454" s="90"/>
      <x:c r="G454" s="90"/>
      <x:c r="H454" s="90"/>
      <x:c r="I454" s="90"/>
      <x:c r="J454" s="90"/>
      <x:c r="K454" s="90"/>
      <x:c r="L454" s="90"/>
      <x:c r="M454" s="90"/>
      <x:c r="N454" s="90"/>
      <x:c r="O454" s="90"/>
      <x:c r="P454" s="90"/>
      <x:c r="Q454" s="90"/>
      <x:c r="R454" s="90"/>
    </x:row>
    <x:row r="455" spans="1:18" ht="12.75" hidden="1" customHeight="1" x14ac:dyDescent="0.3">
      <x:c r="A455" s="89"/>
      <x:c r="E455" s="90"/>
      <x:c r="F455" s="90"/>
      <x:c r="G455" s="90"/>
      <x:c r="H455" s="90"/>
      <x:c r="I455" s="90"/>
      <x:c r="J455" s="90"/>
      <x:c r="K455" s="90"/>
      <x:c r="L455" s="90"/>
      <x:c r="M455" s="90"/>
      <x:c r="N455" s="90"/>
      <x:c r="O455" s="90"/>
      <x:c r="P455" s="90"/>
      <x:c r="Q455" s="90"/>
      <x:c r="R455" s="90"/>
    </x:row>
    <x:row r="456" spans="1:18" ht="12.75" hidden="1" customHeight="1" x14ac:dyDescent="0.3">
      <x:c r="A456" s="89"/>
      <x:c r="E456" s="90"/>
      <x:c r="F456" s="90"/>
      <x:c r="G456" s="90"/>
      <x:c r="H456" s="90"/>
      <x:c r="I456" s="90"/>
      <x:c r="J456" s="90"/>
      <x:c r="K456" s="90"/>
      <x:c r="L456" s="90"/>
      <x:c r="M456" s="90"/>
      <x:c r="N456" s="90"/>
      <x:c r="O456" s="90"/>
      <x:c r="P456" s="90"/>
      <x:c r="Q456" s="90"/>
      <x:c r="R456" s="90"/>
    </x:row>
    <x:row r="457" spans="1:18" ht="12.75" hidden="1" customHeight="1" x14ac:dyDescent="0.3">
      <x:c r="A457" s="89"/>
      <x:c r="E457" s="90"/>
      <x:c r="F457" s="90"/>
      <x:c r="G457" s="90"/>
      <x:c r="H457" s="90"/>
      <x:c r="I457" s="90"/>
      <x:c r="J457" s="90"/>
      <x:c r="K457" s="90"/>
      <x:c r="L457" s="90"/>
      <x:c r="M457" s="90"/>
      <x:c r="N457" s="90"/>
      <x:c r="O457" s="90"/>
      <x:c r="P457" s="90"/>
      <x:c r="Q457" s="90"/>
      <x:c r="R457" s="90"/>
    </x:row>
    <x:row r="458" spans="1:18" ht="12.75" hidden="1" customHeight="1" x14ac:dyDescent="0.3">
      <x:c r="A458" s="89"/>
      <x:c r="E458" s="90"/>
      <x:c r="F458" s="90"/>
      <x:c r="G458" s="90"/>
      <x:c r="H458" s="90"/>
      <x:c r="I458" s="90"/>
      <x:c r="J458" s="90"/>
      <x:c r="K458" s="90"/>
      <x:c r="L458" s="90"/>
      <x:c r="M458" s="90"/>
      <x:c r="N458" s="90"/>
      <x:c r="O458" s="90"/>
      <x:c r="P458" s="90"/>
      <x:c r="Q458" s="90"/>
      <x:c r="R458" s="90"/>
    </x:row>
    <x:row r="459" spans="1:18" ht="12.75" hidden="1" customHeight="1" x14ac:dyDescent="0.3">
      <x:c r="A459" s="89"/>
      <x:c r="E459" s="90"/>
      <x:c r="F459" s="90"/>
      <x:c r="G459" s="90"/>
      <x:c r="H459" s="90"/>
      <x:c r="I459" s="90"/>
      <x:c r="J459" s="90"/>
      <x:c r="K459" s="90"/>
      <x:c r="L459" s="90"/>
      <x:c r="M459" s="90"/>
      <x:c r="N459" s="90"/>
      <x:c r="O459" s="90"/>
      <x:c r="P459" s="90"/>
      <x:c r="Q459" s="90"/>
      <x:c r="R459" s="90"/>
    </x:row>
    <x:row r="460" spans="1:18" ht="12.75" hidden="1" customHeight="1" x14ac:dyDescent="0.3">
      <x:c r="A460" s="89"/>
      <x:c r="E460" s="90"/>
      <x:c r="F460" s="90"/>
      <x:c r="G460" s="90"/>
      <x:c r="H460" s="90"/>
      <x:c r="I460" s="90"/>
      <x:c r="J460" s="90"/>
      <x:c r="K460" s="90"/>
      <x:c r="L460" s="90"/>
      <x:c r="M460" s="90"/>
      <x:c r="N460" s="90"/>
      <x:c r="O460" s="90"/>
      <x:c r="P460" s="90"/>
      <x:c r="Q460" s="90"/>
      <x:c r="R460" s="90"/>
    </x:row>
    <x:row r="461" spans="1:18" ht="12.75" hidden="1" customHeight="1" x14ac:dyDescent="0.3">
      <x:c r="A461" s="89"/>
      <x:c r="E461" s="90"/>
      <x:c r="F461" s="90"/>
      <x:c r="G461" s="90"/>
      <x:c r="H461" s="90"/>
      <x:c r="I461" s="90"/>
      <x:c r="J461" s="90"/>
      <x:c r="K461" s="90"/>
      <x:c r="L461" s="90"/>
      <x:c r="M461" s="90"/>
      <x:c r="N461" s="90"/>
      <x:c r="O461" s="90"/>
      <x:c r="P461" s="90"/>
      <x:c r="Q461" s="90"/>
      <x:c r="R461" s="90"/>
    </x:row>
    <x:row r="462" spans="1:18" ht="12.75" hidden="1" customHeight="1" x14ac:dyDescent="0.3">
      <x:c r="A462" s="89"/>
      <x:c r="E462" s="90"/>
      <x:c r="F462" s="90"/>
      <x:c r="G462" s="90"/>
      <x:c r="H462" s="90"/>
      <x:c r="I462" s="90"/>
      <x:c r="J462" s="90"/>
      <x:c r="K462" s="90"/>
      <x:c r="L462" s="90"/>
      <x:c r="M462" s="90"/>
      <x:c r="N462" s="90"/>
      <x:c r="O462" s="90"/>
      <x:c r="P462" s="90"/>
      <x:c r="Q462" s="90"/>
      <x:c r="R462" s="90"/>
    </x:row>
    <x:row r="463" spans="1:18" ht="12.75" hidden="1" customHeight="1" x14ac:dyDescent="0.3">
      <x:c r="A463" s="89"/>
      <x:c r="E463" s="90"/>
      <x:c r="F463" s="90"/>
      <x:c r="G463" s="90"/>
      <x:c r="H463" s="90"/>
      <x:c r="I463" s="90"/>
      <x:c r="J463" s="90"/>
      <x:c r="K463" s="90"/>
      <x:c r="L463" s="90"/>
      <x:c r="M463" s="90"/>
      <x:c r="N463" s="90"/>
      <x:c r="O463" s="90"/>
      <x:c r="P463" s="90"/>
      <x:c r="Q463" s="90"/>
      <x:c r="R463" s="90"/>
    </x:row>
    <x:row r="464" spans="1:18" ht="12.75" hidden="1" customHeight="1" x14ac:dyDescent="0.3">
      <x:c r="A464" s="89"/>
      <x:c r="E464" s="90"/>
      <x:c r="F464" s="90"/>
      <x:c r="G464" s="90"/>
      <x:c r="H464" s="90"/>
      <x:c r="I464" s="90"/>
      <x:c r="J464" s="90"/>
      <x:c r="K464" s="90"/>
      <x:c r="L464" s="90"/>
      <x:c r="M464" s="90"/>
      <x:c r="N464" s="90"/>
      <x:c r="O464" s="90"/>
      <x:c r="P464" s="90"/>
      <x:c r="Q464" s="90"/>
      <x:c r="R464" s="90"/>
    </x:row>
    <x:row r="465" spans="1:18" ht="12.75" hidden="1" customHeight="1" x14ac:dyDescent="0.3">
      <x:c r="A465" s="89"/>
      <x:c r="E465" s="90"/>
      <x:c r="F465" s="90"/>
      <x:c r="G465" s="90"/>
      <x:c r="H465" s="90"/>
      <x:c r="I465" s="90"/>
      <x:c r="J465" s="90"/>
      <x:c r="K465" s="90"/>
      <x:c r="L465" s="90"/>
      <x:c r="M465" s="90"/>
      <x:c r="N465" s="90"/>
      <x:c r="O465" s="90"/>
      <x:c r="P465" s="90"/>
      <x:c r="Q465" s="90"/>
      <x:c r="R465" s="90"/>
    </x:row>
    <x:row r="466" spans="1:18" ht="12.75" customHeight="1" x14ac:dyDescent="0.3">
      <x:c r="A466" s="89"/>
      <x:c r="E466" s="90"/>
      <x:c r="F466" s="90"/>
      <x:c r="G466" s="90"/>
      <x:c r="H466" s="90"/>
      <x:c r="I466" s="90"/>
      <x:c r="J466" s="90"/>
      <x:c r="K466" s="90"/>
      <x:c r="L466" s="90"/>
      <x:c r="M466" s="90"/>
      <x:c r="N466" s="90"/>
      <x:c r="O466" s="90"/>
      <x:c r="P466" s="90"/>
      <x:c r="Q466" s="90"/>
      <x:c r="R466" s="90"/>
    </x:row>
    <x:row r="467" spans="1:18" ht="12.75" customHeight="1" x14ac:dyDescent="0.3">
      <x:c r="A467" s="89"/>
      <x:c r="E467" s="90"/>
      <x:c r="F467" s="90"/>
      <x:c r="G467" s="90"/>
      <x:c r="H467" s="90"/>
      <x:c r="I467" s="90"/>
      <x:c r="J467" s="90"/>
      <x:c r="K467" s="90"/>
      <x:c r="L467" s="90"/>
      <x:c r="M467" s="90"/>
      <x:c r="N467" s="90"/>
      <x:c r="O467" s="90"/>
      <x:c r="P467" s="90"/>
      <x:c r="Q467" s="90"/>
      <x:c r="R467" s="90"/>
    </x:row>
    <x:row r="468" spans="1:18" ht="12.75" customHeight="1" x14ac:dyDescent="0.3">
      <x:c r="B468" s="777" t="s">
        <x:v>2</x:v>
      </x:c>
      <x:c r="C468" s="775" t="s">
        <x:v>132</x:v>
      </x:c>
      <x:c r="D468" s="98" t="s">
        <x:v>70</x:v>
      </x:c>
      <x:c r="E468" s="100">
        <x:f>E440+E426-K426</x:f>
        <x:v>0</x:v>
      </x:c>
      <x:c r="F468" s="100">
        <x:f>F426</x:f>
        <x:v>0</x:v>
      </x:c>
      <x:c r="G468" s="100">
        <x:f t="shared" ref="G468:R468" si="14">G426</x:f>
        <x:v>0</x:v>
      </x:c>
      <x:c r="H468" s="100">
        <x:f t="shared" si="14"/>
        <x:v>0</x:v>
      </x:c>
      <x:c r="I468" s="100">
        <x:f t="shared" si="14"/>
        <x:v>0</x:v>
      </x:c>
      <x:c r="J468" s="100">
        <x:f t="shared" si="14"/>
        <x:v>0</x:v>
      </x:c>
      <x:c r="K468" s="100">
        <x:f t="shared" si="14"/>
        <x:v>0</x:v>
      </x:c>
      <x:c r="L468" s="100">
        <x:f t="shared" si="14"/>
        <x:v>0</x:v>
      </x:c>
      <x:c r="M468" s="100">
        <x:f t="shared" si="14"/>
        <x:v>0</x:v>
      </x:c>
      <x:c r="N468" s="100">
        <x:f t="shared" si="14"/>
        <x:v>0</x:v>
      </x:c>
      <x:c r="O468" s="100">
        <x:f t="shared" si="14"/>
        <x:v>0</x:v>
      </x:c>
      <x:c r="P468" s="100">
        <x:f>P426</x:f>
        <x:v>0</x:v>
      </x:c>
      <x:c r="Q468" s="100">
        <x:f t="shared" si="14"/>
        <x:v>0</x:v>
      </x:c>
      <x:c r="R468" s="100">
        <x:f t="shared" si="14"/>
        <x:v>0</x:v>
      </x:c>
    </x:row>
    <x:row r="469" spans="1:18" ht="12.75" customHeight="1" x14ac:dyDescent="0.3">
      <x:c r="B469" s="777"/>
      <x:c r="C469" s="775"/>
      <x:c r="D469" s="98" t="s">
        <x:v>73</x:v>
      </x:c>
      <x:c r="E469" s="100">
        <x:f>E440</x:f>
        <x:v>0</x:v>
      </x:c>
      <x:c r="F469" s="90"/>
      <x:c r="G469" s="90"/>
      <x:c r="H469" s="90"/>
      <x:c r="I469" s="90"/>
      <x:c r="J469" s="90"/>
      <x:c r="K469" s="90"/>
      <x:c r="L469" s="90"/>
      <x:c r="M469" s="90"/>
      <x:c r="N469" s="90"/>
      <x:c r="O469" s="90"/>
      <x:c r="P469" s="90"/>
      <x:c r="Q469" s="90"/>
      <x:c r="R469" s="90"/>
    </x:row>
    <x:row r="470" spans="1:18" ht="12.75" customHeight="1" x14ac:dyDescent="0.3">
      <x:c r="A470" s="89"/>
      <x:c r="B470" s="97"/>
      <x:c r="E470" s="90"/>
      <x:c r="F470" s="90"/>
      <x:c r="G470" s="90"/>
      <x:c r="H470" s="90"/>
      <x:c r="I470" s="90"/>
      <x:c r="J470" s="90"/>
      <x:c r="K470" s="90"/>
      <x:c r="L470" s="90"/>
      <x:c r="M470" s="90"/>
      <x:c r="N470" s="90"/>
      <x:c r="O470" s="90"/>
      <x:c r="P470" s="90"/>
      <x:c r="Q470" s="90"/>
      <x:c r="R470" s="90"/>
    </x:row>
    <x:row r="471" spans="1:18" ht="12.75" customHeight="1" x14ac:dyDescent="0.3">
      <x:c r="B471" s="777" t="s">
        <x:v>160</x:v>
      </x:c>
      <x:c r="C471" s="775" t="s">
        <x:v>132</x:v>
      </x:c>
      <x:c r="D471" s="223" t="s">
        <x:v>70</x:v>
      </x:c>
      <x:c r="E471" s="225">
        <x:v>0</x:v>
      </x:c>
      <x:c r="F471" s="225">
        <x:v>0</x:v>
      </x:c>
      <x:c r="G471" s="225">
        <x:v>0</x:v>
      </x:c>
      <x:c r="H471" s="225">
        <x:v>0</x:v>
      </x:c>
      <x:c r="I471" s="225">
        <x:v>0</x:v>
      </x:c>
      <x:c r="J471" s="225">
        <x:v>0</x:v>
      </x:c>
      <x:c r="K471" s="225">
        <x:v>0</x:v>
      </x:c>
      <x:c r="L471" s="225">
        <x:v>0</x:v>
      </x:c>
      <x:c r="M471" s="225">
        <x:v>0</x:v>
      </x:c>
      <x:c r="N471" s="225">
        <x:v>0</x:v>
      </x:c>
      <x:c r="O471" s="225">
        <x:v>0</x:v>
      </x:c>
      <x:c r="P471" s="225">
        <x:v>0</x:v>
      </x:c>
      <x:c r="Q471" s="225">
        <x:v>0</x:v>
      </x:c>
      <x:c r="R471" s="225">
        <x:v>0</x:v>
      </x:c>
    </x:row>
    <x:row r="472" spans="1:18" ht="12.75" customHeight="1" x14ac:dyDescent="0.3">
      <x:c r="B472" s="777"/>
      <x:c r="C472" s="775"/>
      <x:c r="D472" s="223" t="s">
        <x:v>73</x:v>
      </x:c>
      <x:c r="E472" s="225">
        <x:v>0</x:v>
      </x:c>
      <x:c r="F472" s="90"/>
      <x:c r="G472" s="90"/>
      <x:c r="H472" s="90"/>
      <x:c r="I472" s="90"/>
      <x:c r="J472" s="90"/>
      <x:c r="K472" s="90"/>
      <x:c r="L472" s="90"/>
      <x:c r="M472" s="90"/>
      <x:c r="N472" s="90"/>
      <x:c r="O472" s="90"/>
      <x:c r="P472" s="90"/>
      <x:c r="Q472" s="90"/>
      <x:c r="R472" s="90"/>
    </x:row>
    <x:row r="473" spans="1:18" ht="12.75" customHeight="1" x14ac:dyDescent="0.3">
      <x:c r="A473" s="89"/>
      <x:c r="B473" s="97"/>
      <x:c r="E473" s="90"/>
      <x:c r="F473" s="90"/>
      <x:c r="G473" s="90"/>
      <x:c r="H473" s="90"/>
      <x:c r="I473" s="90"/>
      <x:c r="J473" s="90"/>
      <x:c r="K473" s="90"/>
      <x:c r="L473" s="90"/>
      <x:c r="M473" s="90"/>
      <x:c r="N473" s="90"/>
      <x:c r="O473" s="90"/>
      <x:c r="P473" s="90"/>
      <x:c r="Q473" s="90"/>
      <x:c r="R473" s="90"/>
    </x:row>
    <x:row r="474" spans="1:18" ht="12.75" customHeight="1" x14ac:dyDescent="0.3">
      <x:c r="B474" s="777" t="s">
        <x:v>155</x:v>
      </x:c>
      <x:c r="C474" s="775" t="s">
        <x:v>132</x:v>
      </x:c>
      <x:c r="D474" s="221" t="s">
        <x:v>70</x:v>
      </x:c>
      <x:c r="E474" s="222">
        <x:f>E429+E411+E407-K407-K411</x:f>
        <x:v>0</x:v>
      </x:c>
      <x:c r="F474" s="222">
        <x:f>F411+F407</x:f>
        <x:v>0</x:v>
      </x:c>
      <x:c r="G474" s="222">
        <x:f t="shared" ref="G474:R474" si="15">G411+G407</x:f>
        <x:v>0</x:v>
      </x:c>
      <x:c r="H474" s="222">
        <x:f t="shared" si="15"/>
        <x:v>0</x:v>
      </x:c>
      <x:c r="I474" s="222">
        <x:f t="shared" si="15"/>
        <x:v>0</x:v>
      </x:c>
      <x:c r="J474" s="222">
        <x:f t="shared" si="15"/>
        <x:v>0</x:v>
      </x:c>
      <x:c r="K474" s="222">
        <x:f t="shared" si="15"/>
        <x:v>0</x:v>
      </x:c>
      <x:c r="L474" s="222">
        <x:f t="shared" si="15"/>
        <x:v>0</x:v>
      </x:c>
      <x:c r="M474" s="222">
        <x:f t="shared" si="15"/>
        <x:v>0</x:v>
      </x:c>
      <x:c r="N474" s="222">
        <x:f t="shared" si="15"/>
        <x:v>0</x:v>
      </x:c>
      <x:c r="O474" s="222">
        <x:f t="shared" si="15"/>
        <x:v>0</x:v>
      </x:c>
      <x:c r="P474" s="222">
        <x:f t="shared" si="15"/>
        <x:v>0</x:v>
      </x:c>
      <x:c r="Q474" s="222">
        <x:f t="shared" si="15"/>
        <x:v>0</x:v>
      </x:c>
      <x:c r="R474" s="222">
        <x:f t="shared" si="15"/>
        <x:v>0</x:v>
      </x:c>
    </x:row>
    <x:row r="475" spans="1:18" ht="12.75" customHeight="1" x14ac:dyDescent="0.3">
      <x:c r="B475" s="777"/>
      <x:c r="C475" s="775"/>
      <x:c r="D475" s="221" t="s">
        <x:v>73</x:v>
      </x:c>
      <x:c r="E475" s="222">
        <x:f>E429</x:f>
        <x:v>0</x:v>
      </x:c>
      <x:c r="F475" s="90"/>
      <x:c r="G475" s="90"/>
      <x:c r="H475" s="90"/>
      <x:c r="I475" s="90"/>
      <x:c r="J475" s="90"/>
      <x:c r="K475" s="90"/>
      <x:c r="L475" s="90"/>
      <x:c r="M475" s="90"/>
      <x:c r="N475" s="90"/>
      <x:c r="O475" s="90"/>
      <x:c r="P475" s="90"/>
      <x:c r="Q475" s="90"/>
      <x:c r="R475" s="90"/>
    </x:row>
    <x:row r="476" spans="1:18" ht="12.75" customHeight="1" x14ac:dyDescent="0.3">
      <x:c r="A476" s="89"/>
      <x:c r="B476" s="97"/>
      <x:c r="E476" s="90"/>
      <x:c r="F476" s="90"/>
      <x:c r="G476" s="90"/>
      <x:c r="H476" s="90"/>
      <x:c r="I476" s="90"/>
      <x:c r="J476" s="90"/>
      <x:c r="K476" s="90"/>
      <x:c r="L476" s="90"/>
      <x:c r="M476" s="90"/>
      <x:c r="N476" s="90"/>
      <x:c r="O476" s="90"/>
      <x:c r="P476" s="90"/>
      <x:c r="Q476" s="90"/>
      <x:c r="R476" s="90"/>
    </x:row>
    <x:row r="477" spans="1:18" ht="12.75" customHeight="1" x14ac:dyDescent="0.3">
      <x:c r="B477" s="778" t="s">
        <x:v>326</x:v>
      </x:c>
      <x:c r="C477" s="775" t="s">
        <x:v>132</x:v>
      </x:c>
      <x:c r="D477" s="373" t="s">
        <x:v>70</x:v>
      </x:c>
      <x:c r="E477" s="374">
        <x:f>E432+E415-K415</x:f>
        <x:v>0</x:v>
      </x:c>
      <x:c r="F477" s="374">
        <x:f>F415</x:f>
        <x:v>0</x:v>
      </x:c>
      <x:c r="G477" s="374">
        <x:f t="shared" ref="G477:R477" si="16">G415</x:f>
        <x:v>0</x:v>
      </x:c>
      <x:c r="H477" s="374">
        <x:f t="shared" si="16"/>
        <x:v>0</x:v>
      </x:c>
      <x:c r="I477" s="374">
        <x:f t="shared" si="16"/>
        <x:v>0</x:v>
      </x:c>
      <x:c r="J477" s="374">
        <x:f t="shared" si="16"/>
        <x:v>0</x:v>
      </x:c>
      <x:c r="K477" s="374">
        <x:f t="shared" si="16"/>
        <x:v>0</x:v>
      </x:c>
      <x:c r="L477" s="374">
        <x:f t="shared" si="16"/>
        <x:v>0</x:v>
      </x:c>
      <x:c r="M477" s="374">
        <x:f t="shared" si="16"/>
        <x:v>0</x:v>
      </x:c>
      <x:c r="N477" s="374">
        <x:f t="shared" si="16"/>
        <x:v>0</x:v>
      </x:c>
      <x:c r="O477" s="374">
        <x:f t="shared" si="16"/>
        <x:v>0</x:v>
      </x:c>
      <x:c r="P477" s="374">
        <x:f t="shared" si="16"/>
        <x:v>0</x:v>
      </x:c>
      <x:c r="Q477" s="374">
        <x:f t="shared" si="16"/>
        <x:v>0</x:v>
      </x:c>
      <x:c r="R477" s="374">
        <x:f t="shared" si="16"/>
        <x:v>0</x:v>
      </x:c>
    </x:row>
    <x:row r="478" spans="1:18" ht="12.75" customHeight="1" x14ac:dyDescent="0.3">
      <x:c r="B478" s="778"/>
      <x:c r="C478" s="775"/>
      <x:c r="D478" s="373" t="s">
        <x:v>73</x:v>
      </x:c>
      <x:c r="E478" s="374">
        <x:f>E432</x:f>
        <x:v>0</x:v>
      </x:c>
      <x:c r="F478" s="90"/>
      <x:c r="G478" s="90"/>
      <x:c r="H478" s="90"/>
      <x:c r="I478" s="90"/>
      <x:c r="J478" s="90"/>
      <x:c r="K478" s="90"/>
      <x:c r="L478" s="90"/>
      <x:c r="M478" s="90"/>
      <x:c r="N478" s="90"/>
      <x:c r="O478" s="90"/>
      <x:c r="P478" s="90"/>
      <x:c r="Q478" s="90"/>
      <x:c r="R478" s="90"/>
    </x:row>
    <x:row r="479" spans="1:18" ht="12.75" customHeight="1" x14ac:dyDescent="0.3">
      <x:c r="B479" s="719"/>
      <x:c r="C479" s="220"/>
      <x:c r="D479" s="89"/>
      <x:c r="E479" s="90"/>
      <x:c r="F479" s="90"/>
      <x:c r="G479" s="90"/>
      <x:c r="H479" s="90"/>
      <x:c r="I479" s="90"/>
      <x:c r="J479" s="90"/>
      <x:c r="K479" s="90"/>
      <x:c r="L479" s="90"/>
      <x:c r="M479" s="90"/>
      <x:c r="N479" s="90"/>
      <x:c r="O479" s="90"/>
      <x:c r="P479" s="90"/>
      <x:c r="Q479" s="90"/>
      <x:c r="R479" s="90"/>
    </x:row>
    <x:row r="480" spans="1:18" ht="12.75" customHeight="1" x14ac:dyDescent="0.3">
      <x:c r="B480" s="777" t="s">
        <x:v>119</x:v>
      </x:c>
      <x:c r="C480" s="775" t="s">
        <x:v>132</x:v>
      </x:c>
      <x:c r="D480" s="101" t="s">
        <x:v>70</x:v>
      </x:c>
      <x:c r="E480" s="93">
        <x:f>E425+E439-K425</x:f>
        <x:v>0</x:v>
      </x:c>
      <x:c r="F480" s="93">
        <x:f>F425</x:f>
        <x:v>0</x:v>
      </x:c>
      <x:c r="G480" s="93">
        <x:f t="shared" ref="G480:R480" si="17">G425</x:f>
        <x:v>0</x:v>
      </x:c>
      <x:c r="H480" s="93">
        <x:f t="shared" si="17"/>
        <x:v>0</x:v>
      </x:c>
      <x:c r="I480" s="93">
        <x:f t="shared" si="17"/>
        <x:v>0</x:v>
      </x:c>
      <x:c r="J480" s="93">
        <x:f t="shared" si="17"/>
        <x:v>0</x:v>
      </x:c>
      <x:c r="K480" s="93">
        <x:f t="shared" si="17"/>
        <x:v>0</x:v>
      </x:c>
      <x:c r="L480" s="93">
        <x:f t="shared" si="17"/>
        <x:v>0</x:v>
      </x:c>
      <x:c r="M480" s="93">
        <x:f t="shared" si="17"/>
        <x:v>0</x:v>
      </x:c>
      <x:c r="N480" s="93">
        <x:f t="shared" si="17"/>
        <x:v>0</x:v>
      </x:c>
      <x:c r="O480" s="93">
        <x:f t="shared" si="17"/>
        <x:v>0</x:v>
      </x:c>
      <x:c r="P480" s="93">
        <x:f t="shared" si="17"/>
        <x:v>0</x:v>
      </x:c>
      <x:c r="Q480" s="93">
        <x:f t="shared" si="17"/>
        <x:v>0</x:v>
      </x:c>
      <x:c r="R480" s="93">
        <x:f t="shared" si="17"/>
        <x:v>0</x:v>
      </x:c>
    </x:row>
    <x:row r="481" spans="1:18" ht="12.75" customHeight="1" x14ac:dyDescent="0.3">
      <x:c r="B481" s="777"/>
      <x:c r="C481" s="775"/>
      <x:c r="D481" s="101" t="s">
        <x:v>73</x:v>
      </x:c>
      <x:c r="E481" s="93">
        <x:f>E439</x:f>
        <x:v>0</x:v>
      </x:c>
      <x:c r="F481" s="90"/>
      <x:c r="G481" s="90"/>
      <x:c r="H481" s="90"/>
      <x:c r="I481" s="90"/>
      <x:c r="J481" s="90"/>
      <x:c r="K481" s="90"/>
      <x:c r="L481" s="90"/>
      <x:c r="M481" s="90"/>
      <x:c r="N481" s="90"/>
      <x:c r="O481" s="90"/>
      <x:c r="P481" s="90"/>
      <x:c r="Q481" s="90"/>
      <x:c r="R481" s="90"/>
    </x:row>
    <x:row r="482" spans="1:18" ht="12.75" customHeight="1" x14ac:dyDescent="0.3">
      <x:c r="A482" s="89"/>
      <x:c r="B482" s="97"/>
      <x:c r="E482" s="90"/>
      <x:c r="F482" s="90"/>
      <x:c r="G482" s="90"/>
      <x:c r="H482" s="90"/>
      <x:c r="I482" s="90"/>
      <x:c r="J482" s="90"/>
      <x:c r="K482" s="90"/>
      <x:c r="L482" s="90"/>
      <x:c r="M482" s="90"/>
      <x:c r="N482" s="90"/>
      <x:c r="O482" s="90"/>
      <x:c r="P482" s="90"/>
      <x:c r="Q482" s="90"/>
      <x:c r="R482" s="90"/>
    </x:row>
    <x:row r="483" spans="1:18" ht="12.75" customHeight="1" x14ac:dyDescent="0.3">
      <x:c r="B483" s="776" t="s">
        <x:v>161</x:v>
      </x:c>
      <x:c r="C483" s="775" t="s">
        <x:v>132</x:v>
      </x:c>
      <x:c r="D483" s="231" t="s">
        <x:v>70</x:v>
      </x:c>
      <x:c r="E483" s="232">
        <x:v>0</x:v>
      </x:c>
      <x:c r="F483" s="232">
        <x:v>0</x:v>
      </x:c>
      <x:c r="G483" s="232">
        <x:v>0</x:v>
      </x:c>
      <x:c r="H483" s="232">
        <x:v>0</x:v>
      </x:c>
      <x:c r="I483" s="232">
        <x:v>0</x:v>
      </x:c>
      <x:c r="J483" s="232">
        <x:v>0</x:v>
      </x:c>
      <x:c r="K483" s="232">
        <x:v>0</x:v>
      </x:c>
      <x:c r="L483" s="232">
        <x:v>0</x:v>
      </x:c>
      <x:c r="M483" s="232">
        <x:v>0</x:v>
      </x:c>
      <x:c r="N483" s="232">
        <x:v>0</x:v>
      </x:c>
      <x:c r="O483" s="232">
        <x:v>0</x:v>
      </x:c>
      <x:c r="P483" s="232">
        <x:v>0</x:v>
      </x:c>
      <x:c r="Q483" s="232">
        <x:v>0</x:v>
      </x:c>
      <x:c r="R483" s="232">
        <x:v>0</x:v>
      </x:c>
    </x:row>
    <x:row r="484" spans="1:18" ht="12.75" customHeight="1" x14ac:dyDescent="0.3">
      <x:c r="B484" s="776"/>
      <x:c r="C484" s="775"/>
      <x:c r="D484" s="231" t="s">
        <x:v>73</x:v>
      </x:c>
      <x:c r="E484" s="232">
        <x:v>0</x:v>
      </x:c>
      <x:c r="F484" s="90"/>
      <x:c r="G484" s="90"/>
      <x:c r="H484" s="90"/>
      <x:c r="I484" s="90"/>
      <x:c r="J484" s="90"/>
      <x:c r="K484" s="90"/>
      <x:c r="L484" s="90"/>
      <x:c r="M484" s="90"/>
      <x:c r="N484" s="90"/>
      <x:c r="O484" s="90"/>
      <x:c r="P484" s="90"/>
      <x:c r="Q484" s="90"/>
      <x:c r="R484" s="90"/>
    </x:row>
    <x:row r="485" spans="1:18" s="238" customFormat="1" x14ac:dyDescent="0.3"/>
  </x:sheetData>
  <x:mergeCells count="60">
    <x:mergeCell ref="B480:B481"/>
    <x:mergeCell ref="C480:C481"/>
    <x:mergeCell ref="B483:B484"/>
    <x:mergeCell ref="C483:C484"/>
    <x:mergeCell ref="B477:B478"/>
    <x:mergeCell ref="C477:C478"/>
    <x:mergeCell ref="B468:B469"/>
    <x:mergeCell ref="C468:C469"/>
    <x:mergeCell ref="B471:B472"/>
    <x:mergeCell ref="C471:C472"/>
    <x:mergeCell ref="B474:B475"/>
    <x:mergeCell ref="C474:C475"/>
    <x:mergeCell ref="B396:B397"/>
    <x:mergeCell ref="C396:C397"/>
    <x:mergeCell ref="B399:B400"/>
    <x:mergeCell ref="C399:C400"/>
    <x:mergeCell ref="B393:B394"/>
    <x:mergeCell ref="C393:C394"/>
    <x:mergeCell ref="B384:B385"/>
    <x:mergeCell ref="C384:C385"/>
    <x:mergeCell ref="B387:B388"/>
    <x:mergeCell ref="C387:C388"/>
    <x:mergeCell ref="B390:B391"/>
    <x:mergeCell ref="C390:C391"/>
    <x:mergeCell ref="B285:B286"/>
    <x:mergeCell ref="C285:C286"/>
    <x:mergeCell ref="B282:B283"/>
    <x:mergeCell ref="C282:C283"/>
    <x:mergeCell ref="B288:B289"/>
    <x:mergeCell ref="C288:C289"/>
    <x:mergeCell ref="B273:B274"/>
    <x:mergeCell ref="C273:C274"/>
    <x:mergeCell ref="B276:B277"/>
    <x:mergeCell ref="C276:C277"/>
    <x:mergeCell ref="B279:B280"/>
    <x:mergeCell ref="C279:C280"/>
    <x:mergeCell ref="B47:B48"/>
    <x:mergeCell ref="C47:C48"/>
    <x:mergeCell ref="B50:B51"/>
    <x:mergeCell ref="C50:C51"/>
    <x:mergeCell ref="B56:B57"/>
    <x:mergeCell ref="C56:C57"/>
    <x:mergeCell ref="B53:B54"/>
    <x:mergeCell ref="C53:C54"/>
    <x:mergeCell ref="B59:B60"/>
    <x:mergeCell ref="C59:C60"/>
    <x:mergeCell ref="B170:B171"/>
    <x:mergeCell ref="C170:C171"/>
    <x:mergeCell ref="B62:B63"/>
    <x:mergeCell ref="C62:C63"/>
    <x:mergeCell ref="B155:B156"/>
    <x:mergeCell ref="C155:C156"/>
    <x:mergeCell ref="B158:B159"/>
    <x:mergeCell ref="C158:C159"/>
    <x:mergeCell ref="B161:B162"/>
    <x:mergeCell ref="C161:C162"/>
    <x:mergeCell ref="B167:B168"/>
    <x:mergeCell ref="C167:C168"/>
    <x:mergeCell ref="B164:B165"/>
    <x:mergeCell ref="C164:C165"/>
  </x:mergeCells>
  <x:pageMargins left="0.7" right="0.7" top="0.75" bottom="0.75" header="0.3" footer="0.3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R382"/>
  <x:sheetViews>
    <x:sheetView zoomScale="90" zoomScaleNormal="90" workbookViewId="0">
      <x:pane ySplit="2" topLeftCell="A3" activePane="bottomLeft" state="frozen"/>
      <x:selection activeCell="D22" sqref="D22"/>
      <x:selection pane="bottomLeft" activeCell="A3" sqref="A3"/>
    </x:sheetView>
  </x:sheetViews>
  <x:sheetFormatPr baseColWidth="10" defaultColWidth="11.3828125" defaultRowHeight="12.45" x14ac:dyDescent="0.3"/>
  <x:cols>
    <x:col min="1" max="1" width="21.15234375" style="616" customWidth="1"/>
    <x:col min="2" max="2" width="19.84375" style="616" bestFit="1" customWidth="1"/>
    <x:col min="3" max="3" width="24.84375" style="616" bestFit="1" customWidth="1"/>
    <x:col min="4" max="4" width="23.15234375" style="616" bestFit="1" customWidth="1"/>
    <x:col min="5" max="5" width="15.84375" style="616" bestFit="1" customWidth="1"/>
    <x:col min="6" max="6" width="15.3828125" style="616" bestFit="1" customWidth="1"/>
    <x:col min="7" max="7" width="15.3828125" style="616" customWidth="1"/>
    <x:col min="8" max="8" width="16.3828125" style="616" bestFit="1" customWidth="1"/>
    <x:col min="9" max="9" width="18" style="616" bestFit="1" customWidth="1"/>
    <x:col min="10" max="10" width="17" style="616" bestFit="1" customWidth="1"/>
    <x:col min="11" max="11" width="15.53515625" style="616" bestFit="1" customWidth="1"/>
    <x:col min="12" max="13" width="15.84375" style="616" bestFit="1" customWidth="1"/>
    <x:col min="14" max="14" width="21.3828125" style="616" bestFit="1" customWidth="1"/>
    <x:col min="15" max="16" width="20.3828125" style="616" bestFit="1" customWidth="1"/>
    <x:col min="17" max="17" width="20" style="616" bestFit="1" customWidth="1"/>
    <x:col min="18" max="16384" width="11.3828125" style="616"/>
  </x:cols>
  <x:sheetData>
    <x:row r="1" spans="1:18" x14ac:dyDescent="0.3">
      <x:c r="B1" s="617" t="s">
        <x:v>74</x:v>
      </x:c>
    </x:row>
    <x:row r="2" spans="1:18" ht="12.75" customHeight="1" x14ac:dyDescent="0.3">
      <x:c r="D2" s="618" t="s">
        <x:v>70</x:v>
      </x:c>
      <x:c r="E2" s="618" t="s">
        <x:v>64</x:v>
      </x:c>
      <x:c r="F2" s="618" t="s">
        <x:v>65</x:v>
      </x:c>
      <x:c r="G2" s="619" t="s">
        <x:v>164</x:v>
      </x:c>
      <x:c r="H2" s="618" t="s">
        <x:v>69</x:v>
      </x:c>
      <x:c r="I2" s="618" t="s">
        <x:v>68</x:v>
      </x:c>
      <x:c r="J2" s="618" t="s">
        <x:v>66</x:v>
      </x:c>
      <x:c r="K2" s="618" t="s">
        <x:v>63</x:v>
      </x:c>
      <x:c r="L2" s="618" t="s">
        <x:v>61</x:v>
      </x:c>
      <x:c r="M2" s="618" t="s">
        <x:v>62</x:v>
      </x:c>
      <x:c r="N2" s="618" t="s">
        <x:v>67</x:v>
      </x:c>
      <x:c r="O2" s="618" t="s">
        <x:v>77</x:v>
      </x:c>
      <x:c r="P2" s="616" t="s">
        <x:v>71</x:v>
      </x:c>
      <x:c r="Q2" s="618" t="s">
        <x:v>80</x:v>
      </x:c>
      <x:c r="R2" s="616" t="s">
        <x:v>168</x:v>
      </x:c>
    </x:row>
    <x:row r="3" spans="1:18" ht="12.65" customHeight="1" x14ac:dyDescent="0.3">
      <x:c r="C3" s="616" t="s">
        <x:v>72</x:v>
      </x:c>
      <x:c r="D3" s="618">
        <x:v>0</x:v>
      </x:c>
      <x:c r="E3" s="618">
        <x:v>0</x:v>
      </x:c>
      <x:c r="F3" s="618">
        <x:v>0</x:v>
      </x:c>
      <x:c r="G3" s="620">
        <x:v>0</x:v>
      </x:c>
      <x:c r="H3" s="618">
        <x:v>0</x:v>
      </x:c>
      <x:c r="I3" s="618">
        <x:v>0</x:v>
      </x:c>
      <x:c r="J3" s="618">
        <x:v>0</x:v>
      </x:c>
      <x:c r="K3" s="618">
        <x:v>0</x:v>
      </x:c>
      <x:c r="L3" s="618">
        <x:v>0</x:v>
      </x:c>
      <x:c r="M3" s="618">
        <x:v>0</x:v>
      </x:c>
      <x:c r="N3" s="618">
        <x:v>0</x:v>
      </x:c>
      <x:c r="O3" s="618">
        <x:v>0</x:v>
      </x:c>
      <x:c r="P3" s="618">
        <x:v>0</x:v>
      </x:c>
      <x:c r="Q3" s="618">
        <x:v>0</x:v>
      </x:c>
      <x:c r="R3" s="616">
        <x:v>0</x:v>
      </x:c>
    </x:row>
    <x:row r="4" spans="1:18" ht="12.65" customHeight="1" x14ac:dyDescent="0.3">
      <x:c r="C4" s="616" t="s">
        <x:v>81</x:v>
      </x:c>
      <x:c r="D4" s="618">
        <x:v>0</x:v>
      </x:c>
      <x:c r="E4" s="618">
        <x:v>0</x:v>
      </x:c>
      <x:c r="F4" s="618">
        <x:v>0</x:v>
      </x:c>
      <x:c r="G4" s="620">
        <x:v>0</x:v>
      </x:c>
      <x:c r="H4" s="618">
        <x:v>0</x:v>
      </x:c>
      <x:c r="I4" s="618">
        <x:v>0</x:v>
      </x:c>
      <x:c r="J4" s="618">
        <x:v>0</x:v>
      </x:c>
      <x:c r="K4" s="618">
        <x:v>0</x:v>
      </x:c>
      <x:c r="L4" s="618">
        <x:v>0</x:v>
      </x:c>
      <x:c r="M4" s="618">
        <x:v>0</x:v>
      </x:c>
      <x:c r="N4" s="618">
        <x:v>0</x:v>
      </x:c>
      <x:c r="O4" s="618">
        <x:v>0</x:v>
      </x:c>
      <x:c r="P4" s="618">
        <x:v>0</x:v>
      </x:c>
      <x:c r="Q4" s="618">
        <x:v>0</x:v>
      </x:c>
      <x:c r="R4" s="616">
        <x:v>0</x:v>
      </x:c>
    </x:row>
    <x:row r="5" spans="1:18" s="621" customFormat="1" ht="12.75" customHeight="1" x14ac:dyDescent="0.3">
      <x:c r="B5" s="622" t="s">
        <x:v>78</x:v>
      </x:c>
      <x:c r="C5" s="622" t="s">
        <x:v>70</x:v>
      </x:c>
      <x:c r="D5" s="622">
        <x:v>0</x:v>
      </x:c>
      <x:c r="E5" s="622">
        <x:v>0</x:v>
      </x:c>
      <x:c r="F5" s="622">
        <x:v>0</x:v>
      </x:c>
      <x:c r="G5" s="622">
        <x:v>0</x:v>
      </x:c>
      <x:c r="H5" s="622">
        <x:v>0</x:v>
      </x:c>
      <x:c r="I5" s="622">
        <x:v>0</x:v>
      </x:c>
      <x:c r="J5" s="622">
        <x:v>0</x:v>
      </x:c>
      <x:c r="K5" s="622">
        <x:v>0</x:v>
      </x:c>
      <x:c r="L5" s="622">
        <x:v>0</x:v>
      </x:c>
      <x:c r="M5" s="622">
        <x:v>0</x:v>
      </x:c>
      <x:c r="N5" s="622">
        <x:v>0</x:v>
      </x:c>
      <x:c r="O5" s="622">
        <x:v>0</x:v>
      </x:c>
      <x:c r="P5" s="621">
        <x:v>0</x:v>
      </x:c>
      <x:c r="Q5" s="622">
        <x:v>0</x:v>
      </x:c>
      <x:c r="R5" s="622">
        <x:v>0</x:v>
      </x:c>
    </x:row>
    <x:row r="6" spans="1:18" ht="12.75" customHeight="1" x14ac:dyDescent="0.3">
      <x:c r="C6" s="616" t="s">
        <x:v>73</x:v>
      </x:c>
      <x:c r="D6" s="618">
        <x:v>0</x:v>
      </x:c>
      <x:c r="E6" s="618">
        <x:v>0</x:v>
      </x:c>
      <x:c r="F6" s="618">
        <x:v>0</x:v>
      </x:c>
      <x:c r="G6" s="620">
        <x:v>0</x:v>
      </x:c>
      <x:c r="H6" s="618">
        <x:v>0</x:v>
      </x:c>
      <x:c r="I6" s="618">
        <x:v>0</x:v>
      </x:c>
      <x:c r="J6" s="618">
        <x:v>0</x:v>
      </x:c>
      <x:c r="K6" s="618">
        <x:v>0</x:v>
      </x:c>
      <x:c r="L6" s="618">
        <x:v>0</x:v>
      </x:c>
      <x:c r="M6" s="618">
        <x:v>0</x:v>
      </x:c>
      <x:c r="N6" s="618">
        <x:v>0</x:v>
      </x:c>
      <x:c r="O6" s="618">
        <x:v>0</x:v>
      </x:c>
      <x:c r="P6" s="618">
        <x:v>0</x:v>
      </x:c>
      <x:c r="Q6" s="618">
        <x:v>0</x:v>
      </x:c>
      <x:c r="R6" s="616">
        <x:v>0</x:v>
      </x:c>
    </x:row>
    <x:row r="7" spans="1:18" s="623" customFormat="1" ht="12.75" customHeight="1" x14ac:dyDescent="0.3">
      <x:c r="B7" s="624" t="s">
        <x:v>79</x:v>
      </x:c>
      <x:c r="C7" s="624" t="s">
        <x:v>70</x:v>
      </x:c>
      <x:c r="D7" s="624">
        <x:v>0</x:v>
      </x:c>
      <x:c r="E7" s="624">
        <x:v>0</x:v>
      </x:c>
      <x:c r="F7" s="624">
        <x:v>0</x:v>
      </x:c>
      <x:c r="G7" s="624">
        <x:v>0</x:v>
      </x:c>
      <x:c r="H7" s="624">
        <x:v>0</x:v>
      </x:c>
      <x:c r="I7" s="624">
        <x:v>0</x:v>
      </x:c>
      <x:c r="J7" s="624">
        <x:v>0</x:v>
      </x:c>
      <x:c r="K7" s="624">
        <x:v>0</x:v>
      </x:c>
      <x:c r="L7" s="624">
        <x:v>0</x:v>
      </x:c>
      <x:c r="M7" s="624">
        <x:v>0</x:v>
      </x:c>
      <x:c r="N7" s="624">
        <x:v>0</x:v>
      </x:c>
      <x:c r="O7" s="624">
        <x:v>0</x:v>
      </x:c>
      <x:c r="P7" s="623">
        <x:v>0</x:v>
      </x:c>
      <x:c r="Q7" s="624">
        <x:v>0</x:v>
      </x:c>
      <x:c r="R7" s="624">
        <x:v>0</x:v>
      </x:c>
    </x:row>
    <x:row r="8" spans="1:18" s="625" customFormat="1" ht="12.75" customHeight="1" x14ac:dyDescent="0.3">
      <x:c r="A8" s="625" t="s">
        <x:v>155</x:v>
      </x:c>
      <x:c r="B8" s="625" t="s">
        <x:v>70</x:v>
      </x:c>
      <x:c r="D8" s="626" t="n">
        <x:v>-3698870</x:v>
      </x:c>
      <x:c r="E8" s="626">
        <x:v>0</x:v>
      </x:c>
      <x:c r="F8" s="626">
        <x:v>0</x:v>
      </x:c>
      <x:c r="G8" s="627">
        <x:v>0</x:v>
      </x:c>
      <x:c r="H8" s="626">
        <x:v>0</x:v>
      </x:c>
      <x:c r="I8" s="626">
        <x:v>0</x:v>
      </x:c>
      <x:c r="J8" s="626">
        <x:v>0</x:v>
      </x:c>
      <x:c r="K8" s="626">
        <x:v>0</x:v>
      </x:c>
      <x:c r="L8" s="626">
        <x:v>0</x:v>
      </x:c>
      <x:c r="M8" s="626">
        <x:v>0</x:v>
      </x:c>
      <x:c r="N8" s="626">
        <x:v>0</x:v>
      </x:c>
      <x:c r="O8" s="626">
        <x:v>0</x:v>
      </x:c>
      <x:c r="P8" s="626" t="n">
        <x:v>0</x:v>
      </x:c>
      <x:c r="Q8" s="626">
        <x:v>0</x:v>
      </x:c>
      <x:c r="R8" s="625">
        <x:v>0</x:v>
      </x:c>
    </x:row>
    <x:row r="9" spans="1:18" ht="12.75" customHeight="1" x14ac:dyDescent="0.3">
      <x:c r="C9" s="616" t="s">
        <x:v>72</x:v>
      </x:c>
      <x:c r="D9" s="618">
        <x:v>0</x:v>
      </x:c>
      <x:c r="E9" s="618">
        <x:v>0</x:v>
      </x:c>
      <x:c r="F9" s="618">
        <x:v>0</x:v>
      </x:c>
      <x:c r="G9" s="620">
        <x:v>0</x:v>
      </x:c>
      <x:c r="H9" s="618">
        <x:v>0</x:v>
      </x:c>
      <x:c r="I9" s="618">
        <x:v>0</x:v>
      </x:c>
      <x:c r="J9" s="618">
        <x:v>0</x:v>
      </x:c>
      <x:c r="K9" s="618">
        <x:v>0</x:v>
      </x:c>
      <x:c r="L9" s="618">
        <x:v>0</x:v>
      </x:c>
      <x:c r="M9" s="618">
        <x:v>0</x:v>
      </x:c>
      <x:c r="N9" s="618">
        <x:v>0</x:v>
      </x:c>
      <x:c r="O9" s="618">
        <x:v>0</x:v>
      </x:c>
      <x:c r="P9" s="618">
        <x:v>0</x:v>
      </x:c>
      <x:c r="Q9" s="618">
        <x:v>0</x:v>
      </x:c>
      <x:c r="R9" s="616">
        <x:v>0</x:v>
      </x:c>
    </x:row>
    <x:row r="10" spans="1:18" ht="12.65" customHeight="1" x14ac:dyDescent="0.3">
      <x:c r="C10" s="616" t="s">
        <x:v>81</x:v>
      </x:c>
      <x:c r="D10" s="618">
        <x:v>0</x:v>
      </x:c>
      <x:c r="E10" s="618">
        <x:v>0</x:v>
      </x:c>
      <x:c r="F10" s="618">
        <x:v>0</x:v>
      </x:c>
      <x:c r="G10" s="620">
        <x:v>0</x:v>
      </x:c>
      <x:c r="H10" s="618">
        <x:v>0</x:v>
      </x:c>
      <x:c r="I10" s="618">
        <x:v>0</x:v>
      </x:c>
      <x:c r="J10" s="618">
        <x:v>0</x:v>
      </x:c>
      <x:c r="K10" s="618">
        <x:v>0</x:v>
      </x:c>
      <x:c r="L10" s="618">
        <x:v>0</x:v>
      </x:c>
      <x:c r="M10" s="618">
        <x:v>0</x:v>
      </x:c>
      <x:c r="N10" s="618">
        <x:v>0</x:v>
      </x:c>
      <x:c r="O10" s="618">
        <x:v>0</x:v>
      </x:c>
      <x:c r="P10" s="618">
        <x:v>0</x:v>
      </x:c>
      <x:c r="Q10" s="618">
        <x:v>0</x:v>
      </x:c>
      <x:c r="R10" s="616">
        <x:v>0</x:v>
      </x:c>
    </x:row>
    <x:row r="11" spans="1:18" s="621" customFormat="1" ht="12.75" customHeight="1" x14ac:dyDescent="0.3">
      <x:c r="B11" s="622" t="s">
        <x:v>78</x:v>
      </x:c>
      <x:c r="C11" s="622" t="s">
        <x:v>70</x:v>
      </x:c>
      <x:c r="D11" s="622">
        <x:v>0</x:v>
      </x:c>
      <x:c r="E11" s="622">
        <x:v>0</x:v>
      </x:c>
      <x:c r="F11" s="622">
        <x:v>0</x:v>
      </x:c>
      <x:c r="G11" s="622">
        <x:v>0</x:v>
      </x:c>
      <x:c r="H11" s="622">
        <x:v>0</x:v>
      </x:c>
      <x:c r="I11" s="622">
        <x:v>0</x:v>
      </x:c>
      <x:c r="J11" s="622">
        <x:v>0</x:v>
      </x:c>
      <x:c r="K11" s="622">
        <x:v>0</x:v>
      </x:c>
      <x:c r="L11" s="622">
        <x:v>0</x:v>
      </x:c>
      <x:c r="M11" s="622">
        <x:v>0</x:v>
      </x:c>
      <x:c r="N11" s="622">
        <x:v>0</x:v>
      </x:c>
      <x:c r="O11" s="622">
        <x:v>0</x:v>
      </x:c>
      <x:c r="P11" s="621">
        <x:v>0</x:v>
      </x:c>
      <x:c r="Q11" s="622">
        <x:v>0</x:v>
      </x:c>
      <x:c r="R11" s="622">
        <x:v>0</x:v>
      </x:c>
    </x:row>
    <x:row r="12" spans="1:18" ht="12.75" customHeight="1" x14ac:dyDescent="0.3">
      <x:c r="C12" s="616" t="s">
        <x:v>73</x:v>
      </x:c>
      <x:c r="D12" s="618">
        <x:v>0</x:v>
      </x:c>
      <x:c r="E12" s="618">
        <x:v>0</x:v>
      </x:c>
      <x:c r="F12" s="618">
        <x:v>0</x:v>
      </x:c>
      <x:c r="G12" s="620">
        <x:v>0</x:v>
      </x:c>
      <x:c r="H12" s="618">
        <x:v>0</x:v>
      </x:c>
      <x:c r="I12" s="618">
        <x:v>0</x:v>
      </x:c>
      <x:c r="J12" s="618">
        <x:v>0</x:v>
      </x:c>
      <x:c r="K12" s="618">
        <x:v>0</x:v>
      </x:c>
      <x:c r="L12" s="618">
        <x:v>0</x:v>
      </x:c>
      <x:c r="M12" s="618">
        <x:v>0</x:v>
      </x:c>
      <x:c r="N12" s="618">
        <x:v>0</x:v>
      </x:c>
      <x:c r="O12" s="618">
        <x:v>0</x:v>
      </x:c>
      <x:c r="P12" s="618">
        <x:v>0</x:v>
      </x:c>
      <x:c r="Q12" s="618">
        <x:v>0</x:v>
      </x:c>
      <x:c r="R12" s="616">
        <x:v>0</x:v>
      </x:c>
    </x:row>
    <x:row r="13" spans="1:18" s="623" customFormat="1" ht="12.75" customHeight="1" x14ac:dyDescent="0.3">
      <x:c r="B13" s="624" t="s">
        <x:v>79</x:v>
      </x:c>
      <x:c r="C13" s="624" t="s">
        <x:v>70</x:v>
      </x:c>
      <x:c r="D13" s="624">
        <x:v>0</x:v>
      </x:c>
      <x:c r="E13" s="624">
        <x:v>0</x:v>
      </x:c>
      <x:c r="F13" s="624">
        <x:v>0</x:v>
      </x:c>
      <x:c r="G13" s="624">
        <x:v>0</x:v>
      </x:c>
      <x:c r="H13" s="624">
        <x:v>0</x:v>
      </x:c>
      <x:c r="I13" s="624">
        <x:v>0</x:v>
      </x:c>
      <x:c r="J13" s="624">
        <x:v>0</x:v>
      </x:c>
      <x:c r="K13" s="624">
        <x:v>0</x:v>
      </x:c>
      <x:c r="L13" s="624">
        <x:v>0</x:v>
      </x:c>
      <x:c r="M13" s="624">
        <x:v>0</x:v>
      </x:c>
      <x:c r="N13" s="624">
        <x:v>0</x:v>
      </x:c>
      <x:c r="O13" s="624">
        <x:v>0</x:v>
      </x:c>
      <x:c r="P13" s="623">
        <x:v>0</x:v>
      </x:c>
      <x:c r="Q13" s="624">
        <x:v>0</x:v>
      </x:c>
      <x:c r="R13" s="624">
        <x:v>0</x:v>
      </x:c>
    </x:row>
    <x:row r="14" spans="1:18" s="628" customFormat="1" ht="12.75" customHeight="1" x14ac:dyDescent="0.3">
      <x:c r="A14" s="628" t="s">
        <x:v>119</x:v>
      </x:c>
      <x:c r="B14" s="628" t="s">
        <x:v>70</x:v>
      </x:c>
      <x:c r="D14" s="628" t="n">
        <x:v>-134910</x:v>
      </x:c>
      <x:c r="E14" s="628">
        <x:v>0</x:v>
      </x:c>
      <x:c r="F14" s="628">
        <x:v>0</x:v>
      </x:c>
      <x:c r="G14" s="628">
        <x:v>0</x:v>
      </x:c>
      <x:c r="H14" s="628">
        <x:v>0</x:v>
      </x:c>
      <x:c r="I14" s="628">
        <x:v>0</x:v>
      </x:c>
      <x:c r="J14" s="628">
        <x:v>0</x:v>
      </x:c>
      <x:c r="K14" s="628">
        <x:v>0</x:v>
      </x:c>
      <x:c r="L14" s="628">
        <x:v>0</x:v>
      </x:c>
      <x:c r="M14" s="628">
        <x:v>0</x:v>
      </x:c>
      <x:c r="N14" s="628">
        <x:v>0</x:v>
      </x:c>
      <x:c r="O14" s="628">
        <x:v>0</x:v>
      </x:c>
      <x:c r="P14" s="628" t="n">
        <x:v>0</x:v>
      </x:c>
      <x:c r="Q14" s="628">
        <x:v>0</x:v>
      </x:c>
      <x:c r="R14" s="628">
        <x:v>0</x:v>
      </x:c>
    </x:row>
    <x:row r="15" spans="1:18" s="631" customFormat="1" ht="12.75" customHeight="1" x14ac:dyDescent="0.3">
      <x:c r="A15" s="630" t="s">
        <x:v>70</x:v>
      </x:c>
      <x:c r="D15" s="630" t="n">
        <x:v>-3833780</x:v>
      </x:c>
      <x:c r="E15" s="630">
        <x:v>0</x:v>
      </x:c>
      <x:c r="F15" s="630">
        <x:v>0</x:v>
      </x:c>
      <x:c r="G15" s="630">
        <x:v>0</x:v>
      </x:c>
      <x:c r="H15" s="630">
        <x:v>0</x:v>
      </x:c>
      <x:c r="I15" s="630">
        <x:v>0</x:v>
      </x:c>
      <x:c r="J15" s="630">
        <x:v>0</x:v>
      </x:c>
      <x:c r="K15" s="630">
        <x:v>0</x:v>
      </x:c>
      <x:c r="L15" s="630">
        <x:v>0</x:v>
      </x:c>
      <x:c r="M15" s="630">
        <x:v>0</x:v>
      </x:c>
      <x:c r="N15" s="630">
        <x:v>0</x:v>
      </x:c>
      <x:c r="O15" s="630">
        <x:v>0</x:v>
      </x:c>
      <x:c r="P15" s="631" t="n">
        <x:v>0</x:v>
      </x:c>
      <x:c r="Q15" s="630">
        <x:v>0</x:v>
      </x:c>
      <x:c r="R15" s="630">
        <x:v>0</x:v>
      </x:c>
    </x:row>
    <x:row r="16" spans="1:18" ht="12.75" customHeight="1" x14ac:dyDescent="0.3">
      <x:c r="A16" s="618"/>
      <x:c r="D16" s="618"/>
      <x:c r="E16" s="618"/>
      <x:c r="F16" s="618"/>
      <x:c r="G16" s="618"/>
      <x:c r="H16" s="618"/>
      <x:c r="I16" s="618"/>
      <x:c r="J16" s="618"/>
      <x:c r="K16" s="618"/>
      <x:c r="L16" s="618"/>
      <x:c r="M16" s="618"/>
      <x:c r="N16" s="618"/>
      <x:c r="O16" s="618"/>
    </x:row>
    <x:row r="17" spans="1:15" ht="12.75" customHeight="1" x14ac:dyDescent="0.3">
      <x:c r="A17" s="618"/>
      <x:c r="D17" s="618"/>
      <x:c r="E17" s="618"/>
      <x:c r="F17" s="618"/>
      <x:c r="G17" s="618"/>
      <x:c r="H17" s="618"/>
      <x:c r="I17" s="618"/>
      <x:c r="J17" s="618"/>
      <x:c r="K17" s="618"/>
      <x:c r="L17" s="618"/>
      <x:c r="M17" s="618"/>
      <x:c r="N17" s="618"/>
      <x:c r="O17" s="618"/>
    </x:row>
    <x:row r="18" spans="1:15" ht="12.75" hidden="1" customHeight="1" x14ac:dyDescent="0.3">
      <x:c r="A18" s="618"/>
      <x:c r="D18" s="618"/>
      <x:c r="E18" s="618"/>
      <x:c r="F18" s="618"/>
      <x:c r="G18" s="618"/>
      <x:c r="H18" s="618"/>
      <x:c r="I18" s="618"/>
      <x:c r="J18" s="618"/>
      <x:c r="K18" s="618"/>
      <x:c r="L18" s="618"/>
      <x:c r="M18" s="618"/>
      <x:c r="N18" s="618"/>
      <x:c r="O18" s="618"/>
    </x:row>
    <x:row r="19" spans="1:15" ht="12.75" hidden="1" customHeight="1" x14ac:dyDescent="0.3">
      <x:c r="A19" s="618"/>
      <x:c r="D19" s="618"/>
      <x:c r="E19" s="618"/>
      <x:c r="F19" s="618"/>
      <x:c r="G19" s="618"/>
      <x:c r="H19" s="618"/>
      <x:c r="I19" s="618"/>
      <x:c r="J19" s="618"/>
      <x:c r="K19" s="618"/>
      <x:c r="L19" s="618"/>
      <x:c r="M19" s="618"/>
      <x:c r="N19" s="618"/>
      <x:c r="O19" s="618"/>
    </x:row>
    <x:row r="20" spans="1:15" ht="12.75" hidden="1" customHeight="1" x14ac:dyDescent="0.3">
      <x:c r="A20" s="618"/>
      <x:c r="D20" s="618"/>
      <x:c r="E20" s="618"/>
      <x:c r="F20" s="618"/>
      <x:c r="G20" s="618"/>
      <x:c r="H20" s="618"/>
      <x:c r="I20" s="618"/>
      <x:c r="J20" s="618"/>
      <x:c r="K20" s="618"/>
      <x:c r="L20" s="618"/>
      <x:c r="M20" s="618"/>
      <x:c r="N20" s="618"/>
      <x:c r="O20" s="618"/>
    </x:row>
    <x:row r="21" spans="1:15" ht="12.75" hidden="1" customHeight="1" x14ac:dyDescent="0.3">
      <x:c r="A21" s="618"/>
      <x:c r="D21" s="618"/>
      <x:c r="E21" s="618"/>
      <x:c r="F21" s="618"/>
      <x:c r="G21" s="618"/>
      <x:c r="H21" s="618"/>
      <x:c r="I21" s="618"/>
      <x:c r="J21" s="618"/>
      <x:c r="K21" s="618"/>
      <x:c r="L21" s="618"/>
      <x:c r="M21" s="618"/>
      <x:c r="N21" s="618"/>
      <x:c r="O21" s="618"/>
    </x:row>
    <x:row r="22" spans="1:15" ht="12.75" hidden="1" customHeight="1" x14ac:dyDescent="0.3">
      <x:c r="A22" s="618"/>
      <x:c r="D22" s="618"/>
      <x:c r="E22" s="618"/>
      <x:c r="F22" s="618"/>
      <x:c r="G22" s="618"/>
      <x:c r="H22" s="618"/>
      <x:c r="I22" s="618"/>
      <x:c r="J22" s="618"/>
      <x:c r="K22" s="618"/>
      <x:c r="L22" s="618"/>
      <x:c r="M22" s="618"/>
      <x:c r="N22" s="618"/>
      <x:c r="O22" s="618"/>
    </x:row>
    <x:row r="23" spans="1:15" ht="12.75" hidden="1" customHeight="1" x14ac:dyDescent="0.3">
      <x:c r="A23" s="618"/>
      <x:c r="D23" s="618"/>
      <x:c r="E23" s="618"/>
      <x:c r="F23" s="618"/>
      <x:c r="G23" s="618"/>
      <x:c r="H23" s="618"/>
      <x:c r="I23" s="618"/>
      <x:c r="J23" s="618"/>
      <x:c r="K23" s="618"/>
      <x:c r="L23" s="618"/>
      <x:c r="M23" s="618"/>
      <x:c r="N23" s="618"/>
      <x:c r="O23" s="618"/>
    </x:row>
    <x:row r="24" spans="1:15" ht="12.75" hidden="1" customHeight="1" x14ac:dyDescent="0.3">
      <x:c r="A24" s="618"/>
      <x:c r="D24" s="618"/>
      <x:c r="E24" s="618"/>
      <x:c r="F24" s="618"/>
      <x:c r="G24" s="618"/>
      <x:c r="H24" s="618"/>
      <x:c r="I24" s="618"/>
      <x:c r="J24" s="618"/>
      <x:c r="K24" s="618"/>
      <x:c r="L24" s="618"/>
      <x:c r="M24" s="618"/>
      <x:c r="N24" s="618"/>
      <x:c r="O24" s="618"/>
    </x:row>
    <x:row r="25" spans="1:15" ht="12.75" hidden="1" customHeight="1" x14ac:dyDescent="0.3">
      <x:c r="A25" s="618"/>
      <x:c r="D25" s="618"/>
      <x:c r="E25" s="618"/>
      <x:c r="F25" s="618"/>
      <x:c r="G25" s="618"/>
      <x:c r="H25" s="618"/>
      <x:c r="I25" s="618"/>
      <x:c r="J25" s="618"/>
      <x:c r="K25" s="618"/>
      <x:c r="L25" s="618"/>
      <x:c r="M25" s="618"/>
      <x:c r="N25" s="618"/>
      <x:c r="O25" s="618"/>
    </x:row>
    <x:row r="26" spans="1:15" ht="12.75" hidden="1" customHeight="1" x14ac:dyDescent="0.3">
      <x:c r="A26" s="618"/>
      <x:c r="D26" s="618"/>
      <x:c r="E26" s="618"/>
      <x:c r="F26" s="618"/>
      <x:c r="G26" s="618"/>
      <x:c r="H26" s="618"/>
      <x:c r="I26" s="618"/>
      <x:c r="J26" s="618"/>
      <x:c r="K26" s="618"/>
      <x:c r="L26" s="618"/>
      <x:c r="M26" s="618"/>
      <x:c r="N26" s="618"/>
      <x:c r="O26" s="618"/>
    </x:row>
    <x:row r="27" spans="1:15" ht="12.75" hidden="1" customHeight="1" x14ac:dyDescent="0.3">
      <x:c r="A27" s="618"/>
      <x:c r="D27" s="618"/>
      <x:c r="E27" s="618"/>
      <x:c r="F27" s="618"/>
      <x:c r="G27" s="618"/>
      <x:c r="H27" s="618"/>
      <x:c r="I27" s="618"/>
      <x:c r="J27" s="618"/>
      <x:c r="K27" s="618"/>
      <x:c r="L27" s="618"/>
      <x:c r="M27" s="618"/>
      <x:c r="N27" s="618"/>
      <x:c r="O27" s="618"/>
    </x:row>
    <x:row r="28" spans="1:15" ht="12.75" hidden="1" customHeight="1" x14ac:dyDescent="0.3">
      <x:c r="A28" s="618"/>
      <x:c r="D28" s="618"/>
      <x:c r="E28" s="618"/>
      <x:c r="F28" s="618"/>
      <x:c r="G28" s="618"/>
      <x:c r="H28" s="618"/>
      <x:c r="I28" s="618"/>
      <x:c r="J28" s="618"/>
      <x:c r="K28" s="618"/>
      <x:c r="L28" s="618"/>
      <x:c r="M28" s="618"/>
      <x:c r="N28" s="618"/>
      <x:c r="O28" s="618"/>
    </x:row>
    <x:row r="29" spans="1:15" ht="12.75" hidden="1" customHeight="1" x14ac:dyDescent="0.3">
      <x:c r="A29" s="618"/>
      <x:c r="D29" s="618"/>
      <x:c r="E29" s="618"/>
      <x:c r="F29" s="618"/>
      <x:c r="G29" s="618"/>
      <x:c r="H29" s="618"/>
      <x:c r="I29" s="618"/>
      <x:c r="J29" s="618"/>
      <x:c r="K29" s="618"/>
      <x:c r="L29" s="618"/>
      <x:c r="M29" s="618"/>
      <x:c r="N29" s="618"/>
      <x:c r="O29" s="618"/>
    </x:row>
    <x:row r="30" spans="1:15" ht="12.75" hidden="1" customHeight="1" x14ac:dyDescent="0.3">
      <x:c r="A30" s="618"/>
      <x:c r="D30" s="618"/>
      <x:c r="E30" s="618"/>
      <x:c r="F30" s="618"/>
      <x:c r="G30" s="618"/>
      <x:c r="H30" s="618"/>
      <x:c r="I30" s="618"/>
      <x:c r="J30" s="618"/>
      <x:c r="K30" s="618"/>
      <x:c r="L30" s="618"/>
      <x:c r="M30" s="618"/>
      <x:c r="N30" s="618"/>
      <x:c r="O30" s="618"/>
    </x:row>
    <x:row r="31" spans="1:15" ht="12.75" hidden="1" customHeight="1" x14ac:dyDescent="0.3">
      <x:c r="A31" s="618"/>
      <x:c r="D31" s="618"/>
      <x:c r="E31" s="618"/>
      <x:c r="F31" s="618"/>
      <x:c r="G31" s="618"/>
      <x:c r="H31" s="618"/>
      <x:c r="I31" s="618"/>
      <x:c r="J31" s="618"/>
      <x:c r="K31" s="618"/>
      <x:c r="L31" s="618"/>
      <x:c r="M31" s="618"/>
      <x:c r="N31" s="618"/>
      <x:c r="O31" s="618"/>
    </x:row>
    <x:row r="32" spans="1:15" ht="12.75" hidden="1" customHeight="1" x14ac:dyDescent="0.3">
      <x:c r="A32" s="618"/>
      <x:c r="D32" s="618"/>
      <x:c r="E32" s="618"/>
      <x:c r="F32" s="618"/>
      <x:c r="G32" s="618"/>
      <x:c r="H32" s="618"/>
      <x:c r="I32" s="618"/>
      <x:c r="J32" s="618"/>
      <x:c r="K32" s="618"/>
      <x:c r="L32" s="618"/>
      <x:c r="M32" s="618"/>
      <x:c r="N32" s="618"/>
      <x:c r="O32" s="618"/>
    </x:row>
    <x:row r="33" spans="1:15" ht="12.75" hidden="1" customHeight="1" x14ac:dyDescent="0.3">
      <x:c r="A33" s="618"/>
      <x:c r="D33" s="618"/>
      <x:c r="E33" s="618"/>
      <x:c r="F33" s="618"/>
      <x:c r="G33" s="618"/>
      <x:c r="H33" s="618"/>
      <x:c r="I33" s="618"/>
      <x:c r="J33" s="618"/>
      <x:c r="K33" s="618"/>
      <x:c r="L33" s="618"/>
      <x:c r="M33" s="618"/>
      <x:c r="N33" s="618"/>
      <x:c r="O33" s="618"/>
    </x:row>
    <x:row r="34" spans="1:15" ht="12.75" hidden="1" customHeight="1" x14ac:dyDescent="0.3">
      <x:c r="A34" s="618"/>
      <x:c r="D34" s="618"/>
      <x:c r="E34" s="618"/>
      <x:c r="F34" s="618"/>
      <x:c r="G34" s="618"/>
      <x:c r="H34" s="618"/>
      <x:c r="I34" s="618"/>
      <x:c r="J34" s="618"/>
      <x:c r="K34" s="618"/>
      <x:c r="L34" s="618"/>
      <x:c r="M34" s="618"/>
      <x:c r="N34" s="618"/>
      <x:c r="O34" s="618"/>
    </x:row>
    <x:row r="35" spans="1:15" ht="12.75" hidden="1" customHeight="1" x14ac:dyDescent="0.3">
      <x:c r="A35" s="618"/>
      <x:c r="D35" s="618"/>
      <x:c r="E35" s="618"/>
      <x:c r="F35" s="618"/>
      <x:c r="G35" s="618"/>
      <x:c r="H35" s="618"/>
      <x:c r="I35" s="618"/>
      <x:c r="J35" s="618"/>
      <x:c r="K35" s="618"/>
      <x:c r="L35" s="618"/>
      <x:c r="M35" s="618"/>
      <x:c r="N35" s="618"/>
      <x:c r="O35" s="618"/>
    </x:row>
    <x:row r="36" spans="1:15" ht="12.75" hidden="1" customHeight="1" x14ac:dyDescent="0.3">
      <x:c r="A36" s="618"/>
      <x:c r="D36" s="618"/>
      <x:c r="E36" s="618"/>
      <x:c r="F36" s="618"/>
      <x:c r="G36" s="618"/>
      <x:c r="H36" s="618"/>
      <x:c r="I36" s="618"/>
      <x:c r="J36" s="618"/>
      <x:c r="K36" s="618"/>
      <x:c r="L36" s="618"/>
      <x:c r="M36" s="618"/>
      <x:c r="N36" s="618"/>
      <x:c r="O36" s="618"/>
    </x:row>
    <x:row r="37" spans="1:15" ht="12.75" hidden="1" customHeight="1" x14ac:dyDescent="0.3">
      <x:c r="A37" s="618"/>
      <x:c r="D37" s="618"/>
      <x:c r="E37" s="618"/>
      <x:c r="F37" s="618"/>
      <x:c r="G37" s="618"/>
      <x:c r="H37" s="618"/>
      <x:c r="I37" s="618"/>
      <x:c r="J37" s="618"/>
      <x:c r="K37" s="618"/>
      <x:c r="L37" s="618"/>
      <x:c r="M37" s="618"/>
      <x:c r="N37" s="618"/>
      <x:c r="O37" s="618"/>
    </x:row>
    <x:row r="38" spans="1:15" ht="12.75" hidden="1" customHeight="1" x14ac:dyDescent="0.3">
      <x:c r="A38" s="618"/>
      <x:c r="D38" s="618"/>
      <x:c r="E38" s="618"/>
      <x:c r="F38" s="618"/>
      <x:c r="G38" s="618"/>
      <x:c r="H38" s="618"/>
      <x:c r="I38" s="618"/>
      <x:c r="J38" s="618"/>
      <x:c r="K38" s="618"/>
      <x:c r="L38" s="618"/>
      <x:c r="M38" s="618"/>
      <x:c r="N38" s="618"/>
      <x:c r="O38" s="618"/>
    </x:row>
    <x:row r="39" spans="1:15" ht="12.75" hidden="1" customHeight="1" x14ac:dyDescent="0.3">
      <x:c r="A39" s="618"/>
      <x:c r="D39" s="618"/>
      <x:c r="E39" s="618"/>
      <x:c r="F39" s="618"/>
      <x:c r="G39" s="618"/>
      <x:c r="H39" s="618"/>
      <x:c r="I39" s="618"/>
      <x:c r="J39" s="618"/>
      <x:c r="K39" s="618"/>
      <x:c r="L39" s="618"/>
      <x:c r="M39" s="618"/>
      <x:c r="N39" s="618"/>
      <x:c r="O39" s="618"/>
    </x:row>
    <x:row r="40" spans="1:15" ht="12.75" hidden="1" customHeight="1" x14ac:dyDescent="0.3">
      <x:c r="A40" s="618"/>
      <x:c r="D40" s="618"/>
      <x:c r="E40" s="618"/>
      <x:c r="F40" s="618"/>
      <x:c r="G40" s="618"/>
      <x:c r="H40" s="618"/>
      <x:c r="I40" s="618"/>
      <x:c r="J40" s="618"/>
      <x:c r="K40" s="618"/>
      <x:c r="L40" s="618"/>
      <x:c r="M40" s="618"/>
      <x:c r="N40" s="618"/>
      <x:c r="O40" s="618"/>
    </x:row>
    <x:row r="41" spans="1:15" ht="12.75" hidden="1" customHeight="1" x14ac:dyDescent="0.3">
      <x:c r="A41" s="618"/>
      <x:c r="D41" s="618"/>
      <x:c r="E41" s="618"/>
      <x:c r="F41" s="618"/>
      <x:c r="G41" s="618"/>
      <x:c r="H41" s="618"/>
      <x:c r="I41" s="618"/>
      <x:c r="J41" s="618"/>
      <x:c r="K41" s="618"/>
      <x:c r="L41" s="618"/>
      <x:c r="M41" s="618"/>
      <x:c r="N41" s="618"/>
      <x:c r="O41" s="618"/>
    </x:row>
    <x:row r="42" spans="1:15" ht="12.75" hidden="1" customHeight="1" x14ac:dyDescent="0.3">
      <x:c r="A42" s="618"/>
      <x:c r="D42" s="618"/>
      <x:c r="E42" s="618"/>
      <x:c r="F42" s="618"/>
      <x:c r="G42" s="618"/>
      <x:c r="H42" s="618"/>
      <x:c r="I42" s="618"/>
      <x:c r="J42" s="618"/>
      <x:c r="K42" s="618"/>
      <x:c r="L42" s="618"/>
      <x:c r="M42" s="618"/>
      <x:c r="N42" s="618"/>
      <x:c r="O42" s="618"/>
    </x:row>
    <x:row r="43" spans="1:15" ht="12.75" hidden="1" customHeight="1" x14ac:dyDescent="0.3">
      <x:c r="A43" s="618"/>
      <x:c r="D43" s="618"/>
      <x:c r="E43" s="618"/>
      <x:c r="F43" s="618"/>
      <x:c r="G43" s="618"/>
      <x:c r="H43" s="618"/>
      <x:c r="I43" s="618"/>
      <x:c r="J43" s="618"/>
      <x:c r="K43" s="618"/>
      <x:c r="L43" s="618"/>
      <x:c r="M43" s="618"/>
      <x:c r="N43" s="618"/>
      <x:c r="O43" s="618"/>
    </x:row>
    <x:row r="44" spans="1:15" ht="12.75" hidden="1" customHeight="1" x14ac:dyDescent="0.3">
      <x:c r="A44" s="618"/>
      <x:c r="D44" s="618"/>
      <x:c r="E44" s="618"/>
      <x:c r="F44" s="618"/>
      <x:c r="G44" s="618"/>
      <x:c r="H44" s="618"/>
      <x:c r="I44" s="618"/>
      <x:c r="J44" s="618"/>
      <x:c r="K44" s="618"/>
      <x:c r="L44" s="618"/>
      <x:c r="M44" s="618"/>
      <x:c r="N44" s="618"/>
      <x:c r="O44" s="618"/>
    </x:row>
    <x:row r="45" spans="1:15" ht="12.75" hidden="1" customHeight="1" x14ac:dyDescent="0.3">
      <x:c r="A45" s="618"/>
      <x:c r="D45" s="618"/>
      <x:c r="E45" s="618"/>
      <x:c r="F45" s="618"/>
      <x:c r="G45" s="618"/>
      <x:c r="H45" s="618"/>
      <x:c r="I45" s="618"/>
      <x:c r="J45" s="618"/>
      <x:c r="K45" s="618"/>
      <x:c r="L45" s="618"/>
      <x:c r="M45" s="618"/>
      <x:c r="N45" s="618"/>
      <x:c r="O45" s="618"/>
    </x:row>
    <x:row r="46" spans="1:15" ht="12.75" hidden="1" customHeight="1" x14ac:dyDescent="0.3">
      <x:c r="A46" s="618"/>
      <x:c r="D46" s="618"/>
      <x:c r="E46" s="618"/>
      <x:c r="F46" s="618"/>
      <x:c r="G46" s="618"/>
      <x:c r="H46" s="618"/>
      <x:c r="I46" s="618"/>
      <x:c r="J46" s="618"/>
      <x:c r="K46" s="618"/>
      <x:c r="L46" s="618"/>
      <x:c r="M46" s="618"/>
      <x:c r="N46" s="618"/>
      <x:c r="O46" s="618"/>
    </x:row>
    <x:row r="47" spans="1:15" ht="12.75" hidden="1" customHeight="1" x14ac:dyDescent="0.3">
      <x:c r="A47" s="618"/>
      <x:c r="D47" s="618"/>
      <x:c r="E47" s="618"/>
      <x:c r="F47" s="618"/>
      <x:c r="G47" s="618"/>
      <x:c r="H47" s="618"/>
      <x:c r="I47" s="618"/>
      <x:c r="J47" s="618"/>
      <x:c r="K47" s="618"/>
      <x:c r="L47" s="618"/>
      <x:c r="M47" s="618"/>
      <x:c r="N47" s="618"/>
      <x:c r="O47" s="618"/>
    </x:row>
    <x:row r="48" spans="1:15" ht="12.75" hidden="1" customHeight="1" x14ac:dyDescent="0.3">
      <x:c r="A48" s="618"/>
      <x:c r="D48" s="618"/>
      <x:c r="E48" s="618"/>
      <x:c r="F48" s="618"/>
      <x:c r="G48" s="618"/>
      <x:c r="H48" s="618"/>
      <x:c r="I48" s="618"/>
      <x:c r="J48" s="618"/>
      <x:c r="K48" s="618"/>
      <x:c r="L48" s="618"/>
      <x:c r="M48" s="618"/>
      <x:c r="N48" s="618"/>
      <x:c r="O48" s="618"/>
    </x:row>
    <x:row r="49" spans="1:15" ht="12.75" hidden="1" customHeight="1" x14ac:dyDescent="0.3">
      <x:c r="A49" s="618"/>
      <x:c r="D49" s="618"/>
      <x:c r="E49" s="618"/>
      <x:c r="F49" s="618"/>
      <x:c r="G49" s="618"/>
      <x:c r="H49" s="618"/>
      <x:c r="I49" s="618"/>
      <x:c r="J49" s="618"/>
      <x:c r="K49" s="618"/>
      <x:c r="L49" s="618"/>
      <x:c r="M49" s="618"/>
      <x:c r="N49" s="618"/>
      <x:c r="O49" s="618"/>
    </x:row>
    <x:row r="50" spans="1:15" ht="12.75" hidden="1" customHeight="1" x14ac:dyDescent="0.3">
      <x:c r="A50" s="618"/>
      <x:c r="D50" s="618"/>
      <x:c r="E50" s="618"/>
      <x:c r="F50" s="618"/>
      <x:c r="G50" s="618"/>
      <x:c r="H50" s="618"/>
      <x:c r="I50" s="618"/>
      <x:c r="J50" s="618"/>
      <x:c r="K50" s="618"/>
      <x:c r="L50" s="618"/>
      <x:c r="M50" s="618"/>
      <x:c r="N50" s="618"/>
      <x:c r="O50" s="618"/>
    </x:row>
    <x:row r="51" spans="1:15" ht="12.75" hidden="1" customHeight="1" x14ac:dyDescent="0.3">
      <x:c r="A51" s="618"/>
      <x:c r="D51" s="618"/>
      <x:c r="E51" s="618"/>
      <x:c r="F51" s="618"/>
      <x:c r="G51" s="618"/>
      <x:c r="H51" s="618"/>
      <x:c r="I51" s="618"/>
      <x:c r="J51" s="618"/>
      <x:c r="K51" s="618"/>
      <x:c r="L51" s="618"/>
      <x:c r="M51" s="618"/>
      <x:c r="N51" s="618"/>
      <x:c r="O51" s="618"/>
    </x:row>
    <x:row r="52" spans="1:15" ht="12.75" hidden="1" customHeight="1" x14ac:dyDescent="0.3">
      <x:c r="A52" s="618"/>
      <x:c r="D52" s="618"/>
      <x:c r="E52" s="618"/>
      <x:c r="F52" s="618"/>
      <x:c r="G52" s="618"/>
      <x:c r="H52" s="618"/>
      <x:c r="I52" s="618"/>
      <x:c r="J52" s="618"/>
      <x:c r="K52" s="618"/>
      <x:c r="L52" s="618"/>
      <x:c r="M52" s="618"/>
      <x:c r="N52" s="618"/>
      <x:c r="O52" s="618"/>
    </x:row>
    <x:row r="53" spans="1:15" ht="12.75" hidden="1" customHeight="1" x14ac:dyDescent="0.3">
      <x:c r="A53" s="618"/>
      <x:c r="D53" s="618"/>
      <x:c r="E53" s="618"/>
      <x:c r="F53" s="618"/>
      <x:c r="G53" s="618"/>
      <x:c r="H53" s="618"/>
      <x:c r="I53" s="618"/>
      <x:c r="J53" s="618"/>
      <x:c r="K53" s="618"/>
      <x:c r="L53" s="618"/>
      <x:c r="M53" s="618"/>
      <x:c r="N53" s="618"/>
      <x:c r="O53" s="618"/>
    </x:row>
    <x:row r="54" spans="1:15" ht="12.75" hidden="1" customHeight="1" x14ac:dyDescent="0.3">
      <x:c r="A54" s="618"/>
      <x:c r="D54" s="618"/>
      <x:c r="E54" s="618"/>
      <x:c r="F54" s="618"/>
      <x:c r="G54" s="618"/>
      <x:c r="H54" s="618"/>
      <x:c r="I54" s="618"/>
      <x:c r="J54" s="618"/>
      <x:c r="K54" s="618"/>
      <x:c r="L54" s="618"/>
      <x:c r="M54" s="618"/>
      <x:c r="N54" s="618"/>
      <x:c r="O54" s="618"/>
    </x:row>
    <x:row r="55" spans="1:15" ht="12.75" hidden="1" customHeight="1" x14ac:dyDescent="0.3">
      <x:c r="A55" s="618"/>
      <x:c r="D55" s="618"/>
      <x:c r="E55" s="618"/>
      <x:c r="F55" s="618"/>
      <x:c r="G55" s="618"/>
      <x:c r="H55" s="618"/>
      <x:c r="I55" s="618"/>
      <x:c r="J55" s="618"/>
      <x:c r="K55" s="618"/>
      <x:c r="L55" s="618"/>
      <x:c r="M55" s="618"/>
      <x:c r="N55" s="618"/>
      <x:c r="O55" s="618"/>
    </x:row>
    <x:row r="56" spans="1:15" ht="12.75" hidden="1" customHeight="1" x14ac:dyDescent="0.3">
      <x:c r="A56" s="618"/>
      <x:c r="D56" s="618"/>
      <x:c r="E56" s="618"/>
      <x:c r="F56" s="618"/>
      <x:c r="G56" s="618"/>
      <x:c r="H56" s="618"/>
      <x:c r="I56" s="618"/>
      <x:c r="J56" s="618"/>
      <x:c r="K56" s="618"/>
      <x:c r="L56" s="618"/>
      <x:c r="M56" s="618"/>
      <x:c r="N56" s="618"/>
      <x:c r="O56" s="618"/>
    </x:row>
    <x:row r="57" spans="1:15" ht="12.75" hidden="1" customHeight="1" x14ac:dyDescent="0.3">
      <x:c r="A57" s="618"/>
      <x:c r="D57" s="618"/>
      <x:c r="E57" s="618"/>
      <x:c r="F57" s="618"/>
      <x:c r="G57" s="618"/>
      <x:c r="H57" s="618"/>
      <x:c r="I57" s="618"/>
      <x:c r="J57" s="618"/>
      <x:c r="K57" s="618"/>
      <x:c r="L57" s="618"/>
      <x:c r="M57" s="618"/>
      <x:c r="N57" s="618"/>
      <x:c r="O57" s="618"/>
    </x:row>
    <x:row r="58" spans="1:15" ht="12.75" hidden="1" customHeight="1" x14ac:dyDescent="0.3">
      <x:c r="A58" s="618"/>
      <x:c r="D58" s="618"/>
      <x:c r="E58" s="618"/>
      <x:c r="F58" s="618"/>
      <x:c r="G58" s="618"/>
      <x:c r="H58" s="618"/>
      <x:c r="I58" s="618"/>
      <x:c r="J58" s="618"/>
      <x:c r="K58" s="618"/>
      <x:c r="L58" s="618"/>
      <x:c r="M58" s="618"/>
      <x:c r="N58" s="618"/>
      <x:c r="O58" s="618"/>
    </x:row>
    <x:row r="59" spans="1:15" ht="12.75" hidden="1" customHeight="1" x14ac:dyDescent="0.3">
      <x:c r="A59" s="618"/>
      <x:c r="D59" s="618"/>
      <x:c r="E59" s="618"/>
      <x:c r="F59" s="618"/>
      <x:c r="G59" s="618"/>
      <x:c r="H59" s="618"/>
      <x:c r="I59" s="618"/>
      <x:c r="J59" s="618"/>
      <x:c r="K59" s="618"/>
      <x:c r="L59" s="618"/>
      <x:c r="M59" s="618"/>
      <x:c r="N59" s="618"/>
      <x:c r="O59" s="618"/>
    </x:row>
    <x:row r="60" spans="1:15" ht="12.75" hidden="1" customHeight="1" x14ac:dyDescent="0.3">
      <x:c r="A60" s="618"/>
      <x:c r="D60" s="618"/>
      <x:c r="E60" s="618"/>
      <x:c r="F60" s="618"/>
      <x:c r="G60" s="618"/>
      <x:c r="H60" s="618"/>
      <x:c r="I60" s="618"/>
      <x:c r="J60" s="618"/>
      <x:c r="K60" s="618"/>
      <x:c r="L60" s="618"/>
      <x:c r="M60" s="618"/>
      <x:c r="N60" s="618"/>
      <x:c r="O60" s="618"/>
    </x:row>
    <x:row r="61" spans="1:15" ht="12.75" hidden="1" customHeight="1" x14ac:dyDescent="0.3">
      <x:c r="A61" s="618"/>
      <x:c r="D61" s="618"/>
      <x:c r="E61" s="618"/>
      <x:c r="F61" s="618"/>
      <x:c r="G61" s="618"/>
      <x:c r="H61" s="618"/>
      <x:c r="I61" s="618"/>
      <x:c r="J61" s="618"/>
      <x:c r="K61" s="618"/>
      <x:c r="L61" s="618"/>
      <x:c r="M61" s="618"/>
      <x:c r="N61" s="618"/>
      <x:c r="O61" s="618"/>
    </x:row>
    <x:row r="62" spans="1:15" ht="12.75" hidden="1" customHeight="1" x14ac:dyDescent="0.3">
      <x:c r="A62" s="618"/>
      <x:c r="D62" s="618"/>
      <x:c r="E62" s="618"/>
      <x:c r="F62" s="618"/>
      <x:c r="G62" s="618"/>
      <x:c r="H62" s="618"/>
      <x:c r="I62" s="618"/>
      <x:c r="J62" s="618"/>
      <x:c r="K62" s="618"/>
      <x:c r="L62" s="618"/>
      <x:c r="M62" s="618"/>
      <x:c r="N62" s="618"/>
      <x:c r="O62" s="618"/>
    </x:row>
    <x:row r="63" spans="1:15" ht="12.75" hidden="1" customHeight="1" x14ac:dyDescent="0.3">
      <x:c r="A63" s="618"/>
      <x:c r="D63" s="618"/>
      <x:c r="E63" s="618"/>
      <x:c r="F63" s="618"/>
      <x:c r="G63" s="618"/>
      <x:c r="H63" s="618"/>
      <x:c r="I63" s="618"/>
      <x:c r="J63" s="618"/>
      <x:c r="K63" s="618"/>
      <x:c r="L63" s="618"/>
      <x:c r="M63" s="618"/>
      <x:c r="N63" s="618"/>
      <x:c r="O63" s="618"/>
    </x:row>
    <x:row r="64" spans="1:15" ht="12.75" hidden="1" customHeight="1" x14ac:dyDescent="0.3">
      <x:c r="A64" s="618"/>
      <x:c r="D64" s="618"/>
      <x:c r="E64" s="618"/>
      <x:c r="F64" s="618"/>
      <x:c r="G64" s="618"/>
      <x:c r="H64" s="618"/>
      <x:c r="I64" s="618"/>
      <x:c r="J64" s="618"/>
      <x:c r="K64" s="618"/>
      <x:c r="L64" s="618"/>
      <x:c r="M64" s="618"/>
      <x:c r="N64" s="618"/>
      <x:c r="O64" s="618"/>
    </x:row>
    <x:row r="65" spans="1:18" ht="12.75" hidden="1" customHeight="1" x14ac:dyDescent="0.3">
      <x:c r="A65" s="618"/>
      <x:c r="D65" s="618"/>
      <x:c r="E65" s="618"/>
      <x:c r="F65" s="618"/>
      <x:c r="G65" s="618"/>
      <x:c r="H65" s="618"/>
      <x:c r="I65" s="618"/>
      <x:c r="J65" s="618"/>
      <x:c r="K65" s="618"/>
      <x:c r="L65" s="618"/>
      <x:c r="M65" s="618"/>
      <x:c r="N65" s="618"/>
      <x:c r="O65" s="618"/>
    </x:row>
    <x:row r="66" spans="1:18" ht="12.75" hidden="1" customHeight="1" x14ac:dyDescent="0.3">
      <x:c r="A66" s="618"/>
      <x:c r="D66" s="618"/>
      <x:c r="E66" s="618"/>
      <x:c r="F66" s="618"/>
      <x:c r="G66" s="618"/>
      <x:c r="H66" s="618"/>
      <x:c r="I66" s="618"/>
      <x:c r="J66" s="618"/>
      <x:c r="K66" s="618"/>
      <x:c r="L66" s="618"/>
      <x:c r="M66" s="618"/>
      <x:c r="N66" s="618"/>
      <x:c r="O66" s="618"/>
    </x:row>
    <x:row r="67" spans="1:18" ht="12.75" hidden="1" customHeight="1" x14ac:dyDescent="0.3">
      <x:c r="A67" s="618"/>
      <x:c r="D67" s="618"/>
      <x:c r="E67" s="618"/>
      <x:c r="F67" s="618"/>
      <x:c r="G67" s="618"/>
      <x:c r="H67" s="618"/>
      <x:c r="I67" s="618"/>
      <x:c r="J67" s="618"/>
      <x:c r="K67" s="618"/>
      <x:c r="L67" s="618"/>
      <x:c r="M67" s="618"/>
      <x:c r="N67" s="618"/>
      <x:c r="O67" s="618"/>
    </x:row>
    <x:row r="68" spans="1:18" ht="12.75" hidden="1" customHeight="1" x14ac:dyDescent="0.3">
      <x:c r="A68" s="618"/>
      <x:c r="D68" s="618"/>
      <x:c r="E68" s="618"/>
      <x:c r="F68" s="618"/>
      <x:c r="G68" s="618"/>
      <x:c r="H68" s="618"/>
      <x:c r="I68" s="618"/>
      <x:c r="J68" s="618"/>
      <x:c r="K68" s="618"/>
      <x:c r="L68" s="618"/>
      <x:c r="M68" s="618"/>
      <x:c r="N68" s="618"/>
      <x:c r="O68" s="618"/>
    </x:row>
    <x:row r="69" spans="1:18" ht="12.75" hidden="1" customHeight="1" x14ac:dyDescent="0.3">
      <x:c r="A69" s="618"/>
      <x:c r="D69" s="618"/>
      <x:c r="E69" s="618"/>
      <x:c r="F69" s="618"/>
      <x:c r="G69" s="618"/>
      <x:c r="H69" s="618"/>
      <x:c r="I69" s="618"/>
      <x:c r="J69" s="618"/>
      <x:c r="K69" s="618"/>
      <x:c r="L69" s="618"/>
      <x:c r="M69" s="618"/>
      <x:c r="N69" s="618"/>
      <x:c r="O69" s="618"/>
    </x:row>
    <x:row r="70" spans="1:18" ht="12.75" hidden="1" customHeight="1" x14ac:dyDescent="0.3">
      <x:c r="A70" s="618"/>
      <x:c r="D70" s="618"/>
      <x:c r="E70" s="618"/>
      <x:c r="F70" s="618"/>
      <x:c r="G70" s="618"/>
      <x:c r="H70" s="618"/>
      <x:c r="I70" s="618"/>
      <x:c r="J70" s="618"/>
      <x:c r="K70" s="618"/>
      <x:c r="L70" s="618"/>
      <x:c r="M70" s="618"/>
      <x:c r="N70" s="618"/>
      <x:c r="O70" s="618"/>
    </x:row>
    <x:row r="71" spans="1:18" ht="12.75" hidden="1" customHeight="1" x14ac:dyDescent="0.3">
      <x:c r="A71" s="618"/>
      <x:c r="D71" s="618"/>
      <x:c r="E71" s="618"/>
      <x:c r="F71" s="618"/>
      <x:c r="G71" s="618"/>
      <x:c r="H71" s="618"/>
      <x:c r="I71" s="618"/>
      <x:c r="J71" s="618"/>
      <x:c r="K71" s="618"/>
      <x:c r="L71" s="618"/>
      <x:c r="M71" s="618"/>
      <x:c r="N71" s="618"/>
      <x:c r="O71" s="618"/>
    </x:row>
    <x:row r="72" spans="1:18" x14ac:dyDescent="0.3">
      <x:c r="A72" s="618"/>
      <x:c r="D72" s="618"/>
      <x:c r="E72" s="618"/>
      <x:c r="F72" s="618"/>
      <x:c r="G72" s="618"/>
      <x:c r="H72" s="618"/>
      <x:c r="I72" s="618"/>
      <x:c r="J72" s="618"/>
      <x:c r="K72" s="618"/>
      <x:c r="L72" s="618"/>
      <x:c r="M72" s="618"/>
      <x:c r="N72" s="618"/>
      <x:c r="O72" s="618"/>
    </x:row>
    <x:row r="73" spans="1:18" x14ac:dyDescent="0.3">
      <x:c r="A73" s="781" t="s">
        <x:v>2</x:v>
      </x:c>
      <x:c r="B73" s="780" t="s">
        <x:v>132</x:v>
      </x:c>
      <x:c r="C73" s="766" t="s">
        <x:v>70</x:v>
      </x:c>
      <x:c r="D73" s="766">
        <x:f>D15-P15</x:f>
        <x:v>0</x:v>
      </x:c>
      <x:c r="E73" s="766">
        <x:f>E5+E11</x:f>
        <x:v>0</x:v>
      </x:c>
      <x:c r="F73" s="766">
        <x:f t="shared" ref="F73:R73" si="0">F5+F11</x:f>
        <x:v>0</x:v>
      </x:c>
      <x:c r="G73" s="766">
        <x:f t="shared" si="0"/>
        <x:v>0</x:v>
      </x:c>
      <x:c r="H73" s="766">
        <x:f t="shared" si="0"/>
        <x:v>0</x:v>
      </x:c>
      <x:c r="I73" s="766">
        <x:f t="shared" si="0"/>
        <x:v>0</x:v>
      </x:c>
      <x:c r="J73" s="766">
        <x:f t="shared" si="0"/>
        <x:v>0</x:v>
      </x:c>
      <x:c r="K73" s="766">
        <x:f t="shared" si="0"/>
        <x:v>0</x:v>
      </x:c>
      <x:c r="L73" s="766">
        <x:f t="shared" si="0"/>
        <x:v>0</x:v>
      </x:c>
      <x:c r="M73" s="766">
        <x:f t="shared" si="0"/>
        <x:v>0</x:v>
      </x:c>
      <x:c r="N73" s="766">
        <x:f t="shared" si="0"/>
        <x:v>0</x:v>
      </x:c>
      <x:c r="O73" s="766">
        <x:f t="shared" si="0"/>
        <x:v>0</x:v>
      </x:c>
      <x:c r="P73" s="766">
        <x:f t="shared" si="0"/>
        <x:v>0</x:v>
      </x:c>
      <x:c r="Q73" s="766">
        <x:f t="shared" si="0"/>
        <x:v>0</x:v>
      </x:c>
      <x:c r="R73" s="766">
        <x:f t="shared" si="0"/>
        <x:v>0</x:v>
      </x:c>
    </x:row>
    <x:row r="74" spans="1:18" x14ac:dyDescent="0.3">
      <x:c r="A74" s="781"/>
      <x:c r="B74" s="780"/>
      <x:c r="C74" s="766" t="s">
        <x:v>73</x:v>
      </x:c>
      <x:c r="D74" s="766">
        <x:f>D7+D13</x:f>
        <x:v>0</x:v>
      </x:c>
      <x:c r="E74" s="618"/>
      <x:c r="F74" s="618"/>
      <x:c r="G74" s="618"/>
      <x:c r="H74" s="618"/>
      <x:c r="I74" s="618"/>
      <x:c r="J74" s="618"/>
      <x:c r="K74" s="618"/>
      <x:c r="L74" s="618"/>
      <x:c r="M74" s="618"/>
      <x:c r="N74" s="618"/>
      <x:c r="O74" s="618"/>
      <x:c r="P74" s="618"/>
      <x:c r="Q74" s="618"/>
      <x:c r="R74" s="618"/>
    </x:row>
    <x:row r="75" spans="1:18" x14ac:dyDescent="0.3">
      <x:c r="A75" s="617"/>
      <x:c r="D75" s="618"/>
      <x:c r="E75" s="618"/>
      <x:c r="F75" s="618"/>
      <x:c r="G75" s="618"/>
      <x:c r="H75" s="618"/>
      <x:c r="I75" s="618"/>
      <x:c r="J75" s="618"/>
      <x:c r="K75" s="618"/>
      <x:c r="L75" s="618"/>
      <x:c r="M75" s="618"/>
      <x:c r="N75" s="618"/>
      <x:c r="O75" s="618"/>
      <x:c r="P75" s="618"/>
      <x:c r="Q75" s="618"/>
      <x:c r="R75" s="618"/>
    </x:row>
    <x:row r="76" spans="1:18" x14ac:dyDescent="0.3">
      <x:c r="A76" s="781" t="s">
        <x:v>160</x:v>
      </x:c>
      <x:c r="B76" s="780" t="s">
        <x:v>132</x:v>
      </x:c>
      <x:c r="C76" s="632" t="s">
        <x:v>70</x:v>
      </x:c>
      <x:c r="D76" s="632">
        <x:v>0</x:v>
      </x:c>
      <x:c r="E76" s="632">
        <x:v>0</x:v>
      </x:c>
      <x:c r="F76" s="632">
        <x:v>0</x:v>
      </x:c>
      <x:c r="G76" s="632">
        <x:v>0</x:v>
      </x:c>
      <x:c r="H76" s="632">
        <x:v>0</x:v>
      </x:c>
      <x:c r="I76" s="632">
        <x:v>0</x:v>
      </x:c>
      <x:c r="J76" s="632">
        <x:v>0</x:v>
      </x:c>
      <x:c r="K76" s="632">
        <x:v>0</x:v>
      </x:c>
      <x:c r="L76" s="632">
        <x:v>0</x:v>
      </x:c>
      <x:c r="M76" s="632">
        <x:v>0</x:v>
      </x:c>
      <x:c r="N76" s="632">
        <x:v>0</x:v>
      </x:c>
      <x:c r="O76" s="632">
        <x:v>0</x:v>
      </x:c>
      <x:c r="P76" s="632">
        <x:v>0</x:v>
      </x:c>
      <x:c r="Q76" s="632">
        <x:v>0</x:v>
      </x:c>
      <x:c r="R76" s="632">
        <x:v>0</x:v>
      </x:c>
    </x:row>
    <x:row r="77" spans="1:18" x14ac:dyDescent="0.3">
      <x:c r="A77" s="781"/>
      <x:c r="B77" s="780"/>
      <x:c r="C77" s="632" t="s">
        <x:v>73</x:v>
      </x:c>
      <x:c r="D77" s="632">
        <x:v>0</x:v>
      </x:c>
      <x:c r="E77" s="618"/>
      <x:c r="F77" s="618"/>
      <x:c r="G77" s="618"/>
      <x:c r="H77" s="618"/>
      <x:c r="I77" s="618"/>
      <x:c r="J77" s="618"/>
      <x:c r="K77" s="618"/>
      <x:c r="L77" s="618"/>
      <x:c r="M77" s="618"/>
      <x:c r="N77" s="618"/>
      <x:c r="O77" s="618"/>
      <x:c r="P77" s="618"/>
      <x:c r="Q77" s="618"/>
      <x:c r="R77" s="618"/>
    </x:row>
    <x:row r="78" spans="1:18" x14ac:dyDescent="0.3">
      <x:c r="A78" s="617"/>
      <x:c r="D78" s="618"/>
      <x:c r="E78" s="618"/>
      <x:c r="F78" s="618"/>
      <x:c r="G78" s="618"/>
      <x:c r="H78" s="618"/>
      <x:c r="I78" s="618"/>
      <x:c r="J78" s="618"/>
      <x:c r="K78" s="618"/>
      <x:c r="L78" s="618"/>
      <x:c r="M78" s="618"/>
      <x:c r="N78" s="618"/>
      <x:c r="O78" s="618"/>
      <x:c r="P78" s="618"/>
      <x:c r="Q78" s="618"/>
      <x:c r="R78" s="618"/>
    </x:row>
    <x:row r="79" spans="1:18" x14ac:dyDescent="0.3">
      <x:c r="A79" s="781" t="s">
        <x:v>155</x:v>
      </x:c>
      <x:c r="B79" s="780" t="s">
        <x:v>132</x:v>
      </x:c>
      <x:c r="C79" s="633" t="s">
        <x:v>70</x:v>
      </x:c>
      <x:c r="D79" s="633">
        <x:f>D8-P8</x:f>
        <x:v>0</x:v>
      </x:c>
      <x:c r="E79" s="633">
        <x:f>E5</x:f>
        <x:v>0</x:v>
      </x:c>
      <x:c r="F79" s="633">
        <x:f t="shared" ref="F79:R79" si="1">F5</x:f>
        <x:v>0</x:v>
      </x:c>
      <x:c r="G79" s="633">
        <x:f t="shared" si="1"/>
        <x:v>0</x:v>
      </x:c>
      <x:c r="H79" s="633">
        <x:f t="shared" si="1"/>
        <x:v>0</x:v>
      </x:c>
      <x:c r="I79" s="633">
        <x:f t="shared" si="1"/>
        <x:v>0</x:v>
      </x:c>
      <x:c r="J79" s="633">
        <x:f t="shared" si="1"/>
        <x:v>0</x:v>
      </x:c>
      <x:c r="K79" s="633">
        <x:f t="shared" si="1"/>
        <x:v>0</x:v>
      </x:c>
      <x:c r="L79" s="633">
        <x:f t="shared" si="1"/>
        <x:v>0</x:v>
      </x:c>
      <x:c r="M79" s="633">
        <x:f t="shared" si="1"/>
        <x:v>0</x:v>
      </x:c>
      <x:c r="N79" s="633">
        <x:f t="shared" si="1"/>
        <x:v>0</x:v>
      </x:c>
      <x:c r="O79" s="633">
        <x:f t="shared" si="1"/>
        <x:v>0</x:v>
      </x:c>
      <x:c r="P79" s="633">
        <x:f t="shared" si="1"/>
        <x:v>0</x:v>
      </x:c>
      <x:c r="Q79" s="633">
        <x:f t="shared" si="1"/>
        <x:v>0</x:v>
      </x:c>
      <x:c r="R79" s="633">
        <x:f t="shared" si="1"/>
        <x:v>0</x:v>
      </x:c>
    </x:row>
    <x:row r="80" spans="1:18" x14ac:dyDescent="0.3">
      <x:c r="A80" s="781"/>
      <x:c r="B80" s="780"/>
      <x:c r="C80" s="633" t="s">
        <x:v>73</x:v>
      </x:c>
      <x:c r="D80" s="633">
        <x:f>D7</x:f>
        <x:v>0</x:v>
      </x:c>
      <x:c r="E80" s="618"/>
      <x:c r="F80" s="618"/>
      <x:c r="G80" s="618"/>
      <x:c r="H80" s="618"/>
      <x:c r="I80" s="618"/>
      <x:c r="J80" s="618"/>
      <x:c r="K80" s="618"/>
      <x:c r="L80" s="618"/>
      <x:c r="M80" s="618"/>
      <x:c r="N80" s="618"/>
      <x:c r="O80" s="618"/>
      <x:c r="P80" s="618"/>
      <x:c r="Q80" s="618"/>
      <x:c r="R80" s="618"/>
    </x:row>
    <x:row r="81" spans="1:18" x14ac:dyDescent="0.3">
      <x:c r="A81" s="722"/>
      <x:c r="B81" s="721"/>
      <x:c r="C81" s="618"/>
      <x:c r="D81" s="618"/>
      <x:c r="E81" s="618"/>
      <x:c r="F81" s="618"/>
      <x:c r="G81" s="618"/>
      <x:c r="H81" s="618"/>
      <x:c r="I81" s="618"/>
      <x:c r="J81" s="618"/>
      <x:c r="K81" s="618"/>
      <x:c r="L81" s="618"/>
      <x:c r="M81" s="618"/>
      <x:c r="N81" s="618"/>
      <x:c r="O81" s="618"/>
      <x:c r="P81" s="618"/>
      <x:c r="Q81" s="618"/>
      <x:c r="R81" s="618"/>
    </x:row>
    <x:row r="82" spans="1:18" ht="12.75" customHeight="1" x14ac:dyDescent="0.3">
      <x:c r="A82" s="782" t="s">
        <x:v>326</x:v>
      </x:c>
      <x:c r="B82" s="780" t="s">
        <x:v>132</x:v>
      </x:c>
      <x:c r="C82" s="633" t="s">
        <x:v>70</x:v>
      </x:c>
      <x:c r="D82" s="720">
        <x:v>0</x:v>
      </x:c>
      <x:c r="E82" s="720">
        <x:v>0</x:v>
      </x:c>
      <x:c r="F82" s="720">
        <x:v>0</x:v>
      </x:c>
      <x:c r="G82" s="720">
        <x:v>0</x:v>
      </x:c>
      <x:c r="H82" s="720">
        <x:v>0</x:v>
      </x:c>
      <x:c r="I82" s="720">
        <x:v>0</x:v>
      </x:c>
      <x:c r="J82" s="720">
        <x:v>0</x:v>
      </x:c>
      <x:c r="K82" s="720">
        <x:v>0</x:v>
      </x:c>
      <x:c r="L82" s="720">
        <x:v>0</x:v>
      </x:c>
      <x:c r="M82" s="720">
        <x:v>0</x:v>
      </x:c>
      <x:c r="N82" s="720">
        <x:v>0</x:v>
      </x:c>
      <x:c r="O82" s="720">
        <x:v>0</x:v>
      </x:c>
      <x:c r="P82" s="720">
        <x:v>0</x:v>
      </x:c>
      <x:c r="Q82" s="720">
        <x:v>0</x:v>
      </x:c>
      <x:c r="R82" s="720">
        <x:v>0</x:v>
      </x:c>
    </x:row>
    <x:row r="83" spans="1:18" ht="12.75" customHeight="1" x14ac:dyDescent="0.3">
      <x:c r="A83" s="782"/>
      <x:c r="B83" s="780"/>
      <x:c r="C83" s="633" t="s">
        <x:v>73</x:v>
      </x:c>
      <x:c r="D83" s="720">
        <x:v>0</x:v>
      </x:c>
      <x:c r="E83" s="618"/>
      <x:c r="F83" s="618"/>
      <x:c r="G83" s="618"/>
      <x:c r="H83" s="618"/>
      <x:c r="I83" s="618"/>
      <x:c r="J83" s="618"/>
      <x:c r="K83" s="618"/>
      <x:c r="L83" s="618"/>
      <x:c r="M83" s="618"/>
      <x:c r="N83" s="618"/>
      <x:c r="O83" s="618"/>
      <x:c r="P83" s="618"/>
      <x:c r="Q83" s="618"/>
    </x:row>
    <x:row r="84" spans="1:18" x14ac:dyDescent="0.3">
      <x:c r="A84" s="617"/>
      <x:c r="D84" s="618"/>
      <x:c r="E84" s="618"/>
      <x:c r="F84" s="618"/>
      <x:c r="G84" s="618"/>
      <x:c r="H84" s="618"/>
      <x:c r="I84" s="618"/>
      <x:c r="J84" s="618"/>
      <x:c r="K84" s="618"/>
      <x:c r="L84" s="618"/>
      <x:c r="M84" s="618"/>
      <x:c r="N84" s="618"/>
      <x:c r="O84" s="618"/>
      <x:c r="P84" s="618"/>
      <x:c r="Q84" s="618"/>
      <x:c r="R84" s="618"/>
    </x:row>
    <x:row r="85" spans="1:18" x14ac:dyDescent="0.3">
      <x:c r="A85" s="781" t="s">
        <x:v>119</x:v>
      </x:c>
      <x:c r="B85" s="780" t="s">
        <x:v>132</x:v>
      </x:c>
      <x:c r="C85" s="628" t="s">
        <x:v>70</x:v>
      </x:c>
      <x:c r="D85" s="628">
        <x:f>D14-P14</x:f>
        <x:v>0</x:v>
      </x:c>
      <x:c r="E85" s="628">
        <x:f>E11</x:f>
        <x:v>0</x:v>
      </x:c>
      <x:c r="F85" s="628">
        <x:f t="shared" ref="F85:R85" si="2">F11</x:f>
        <x:v>0</x:v>
      </x:c>
      <x:c r="G85" s="628">
        <x:f t="shared" si="2"/>
        <x:v>0</x:v>
      </x:c>
      <x:c r="H85" s="628">
        <x:f t="shared" si="2"/>
        <x:v>0</x:v>
      </x:c>
      <x:c r="I85" s="628">
        <x:f t="shared" si="2"/>
        <x:v>0</x:v>
      </x:c>
      <x:c r="J85" s="628">
        <x:f t="shared" si="2"/>
        <x:v>0</x:v>
      </x:c>
      <x:c r="K85" s="628">
        <x:f t="shared" si="2"/>
        <x:v>0</x:v>
      </x:c>
      <x:c r="L85" s="628">
        <x:f t="shared" si="2"/>
        <x:v>0</x:v>
      </x:c>
      <x:c r="M85" s="628">
        <x:f t="shared" si="2"/>
        <x:v>0</x:v>
      </x:c>
      <x:c r="N85" s="628">
        <x:f t="shared" si="2"/>
        <x:v>0</x:v>
      </x:c>
      <x:c r="O85" s="628">
        <x:f t="shared" si="2"/>
        <x:v>0</x:v>
      </x:c>
      <x:c r="P85" s="628">
        <x:f t="shared" si="2"/>
        <x:v>0</x:v>
      </x:c>
      <x:c r="Q85" s="628">
        <x:f t="shared" si="2"/>
        <x:v>0</x:v>
      </x:c>
      <x:c r="R85" s="628">
        <x:f t="shared" si="2"/>
        <x:v>0</x:v>
      </x:c>
    </x:row>
    <x:row r="86" spans="1:18" ht="12.75" customHeight="1" x14ac:dyDescent="0.3">
      <x:c r="A86" s="781"/>
      <x:c r="B86" s="780"/>
      <x:c r="C86" s="628" t="s">
        <x:v>73</x:v>
      </x:c>
      <x:c r="D86" s="628">
        <x:f>D13</x:f>
        <x:v>0</x:v>
      </x:c>
      <x:c r="E86" s="618"/>
      <x:c r="F86" s="618"/>
      <x:c r="G86" s="618"/>
      <x:c r="H86" s="618"/>
      <x:c r="I86" s="618"/>
      <x:c r="J86" s="618"/>
      <x:c r="K86" s="618"/>
      <x:c r="L86" s="618"/>
      <x:c r="M86" s="618"/>
      <x:c r="N86" s="618"/>
      <x:c r="O86" s="618"/>
      <x:c r="P86" s="618"/>
      <x:c r="Q86" s="618"/>
      <x:c r="R86" s="618"/>
    </x:row>
    <x:row r="87" spans="1:18" ht="12.75" customHeight="1" x14ac:dyDescent="0.3">
      <x:c r="A87" s="617"/>
      <x:c r="D87" s="618"/>
      <x:c r="E87" s="618"/>
      <x:c r="F87" s="618"/>
      <x:c r="G87" s="618"/>
      <x:c r="H87" s="618"/>
      <x:c r="I87" s="618"/>
      <x:c r="J87" s="618"/>
      <x:c r="K87" s="618"/>
      <x:c r="L87" s="618"/>
      <x:c r="M87" s="618"/>
      <x:c r="N87" s="618"/>
      <x:c r="O87" s="618"/>
      <x:c r="P87" s="618"/>
      <x:c r="Q87" s="618"/>
      <x:c r="R87" s="618"/>
    </x:row>
    <x:row r="88" spans="1:18" ht="12.75" customHeight="1" x14ac:dyDescent="0.3">
      <x:c r="A88" s="779" t="s">
        <x:v>161</x:v>
      </x:c>
      <x:c r="B88" s="780" t="s">
        <x:v>132</x:v>
      </x:c>
      <x:c r="C88" s="634" t="s">
        <x:v>70</x:v>
      </x:c>
      <x:c r="D88" s="634">
        <x:v>0</x:v>
      </x:c>
      <x:c r="E88" s="634">
        <x:v>0</x:v>
      </x:c>
      <x:c r="F88" s="634">
        <x:v>0</x:v>
      </x:c>
      <x:c r="G88" s="634">
        <x:v>0</x:v>
      </x:c>
      <x:c r="H88" s="634">
        <x:v>0</x:v>
      </x:c>
      <x:c r="I88" s="634">
        <x:v>0</x:v>
      </x:c>
      <x:c r="J88" s="634">
        <x:v>0</x:v>
      </x:c>
      <x:c r="K88" s="634">
        <x:v>0</x:v>
      </x:c>
      <x:c r="L88" s="634">
        <x:v>0</x:v>
      </x:c>
      <x:c r="M88" s="634">
        <x:v>0</x:v>
      </x:c>
      <x:c r="N88" s="634">
        <x:v>0</x:v>
      </x:c>
      <x:c r="O88" s="634">
        <x:v>0</x:v>
      </x:c>
      <x:c r="P88" s="634">
        <x:v>0</x:v>
      </x:c>
      <x:c r="Q88" s="634">
        <x:v>0</x:v>
      </x:c>
      <x:c r="R88" s="634">
        <x:v>0</x:v>
      </x:c>
    </x:row>
    <x:row r="89" spans="1:18" ht="12.75" customHeight="1" x14ac:dyDescent="0.3">
      <x:c r="A89" s="779"/>
      <x:c r="B89" s="780"/>
      <x:c r="C89" s="634" t="s">
        <x:v>73</x:v>
      </x:c>
      <x:c r="D89" s="634">
        <x:v>0</x:v>
      </x:c>
      <x:c r="E89" s="618"/>
      <x:c r="F89" s="618"/>
      <x:c r="G89" s="618"/>
      <x:c r="H89" s="618"/>
      <x:c r="I89" s="618"/>
      <x:c r="J89" s="618"/>
      <x:c r="K89" s="618"/>
      <x:c r="L89" s="618"/>
      <x:c r="M89" s="618"/>
      <x:c r="N89" s="618"/>
      <x:c r="O89" s="618"/>
      <x:c r="P89" s="618"/>
      <x:c r="Q89" s="618"/>
    </x:row>
    <x:row r="90" spans="1:18" s="635" customFormat="1" x14ac:dyDescent="0.3"/>
    <x:row r="91" spans="1:18" x14ac:dyDescent="0.3">
      <x:c r="B91" s="617" t="s">
        <x:v>75</x:v>
      </x:c>
    </x:row>
    <x:row r="92" spans="1:18" ht="12.65" customHeight="1" x14ac:dyDescent="0.3">
      <x:c r="D92" s="618" t="s">
        <x:v>70</x:v>
      </x:c>
      <x:c r="E92" s="618" t="s">
        <x:v>64</x:v>
      </x:c>
      <x:c r="F92" s="618" t="s">
        <x:v>65</x:v>
      </x:c>
      <x:c r="G92" s="619" t="s">
        <x:v>164</x:v>
      </x:c>
      <x:c r="H92" s="618" t="s">
        <x:v>69</x:v>
      </x:c>
      <x:c r="I92" s="618" t="s">
        <x:v>68</x:v>
      </x:c>
      <x:c r="J92" s="618" t="s">
        <x:v>66</x:v>
      </x:c>
      <x:c r="K92" s="618" t="s">
        <x:v>63</x:v>
      </x:c>
      <x:c r="L92" s="618" t="s">
        <x:v>61</x:v>
      </x:c>
      <x:c r="M92" s="618" t="s">
        <x:v>62</x:v>
      </x:c>
      <x:c r="N92" s="618" t="s">
        <x:v>67</x:v>
      </x:c>
      <x:c r="O92" s="618" t="s">
        <x:v>77</x:v>
      </x:c>
      <x:c r="P92" s="616" t="s">
        <x:v>71</x:v>
      </x:c>
      <x:c r="Q92" s="618" t="s">
        <x:v>80</x:v>
      </x:c>
      <x:c r="R92" s="616" t="s">
        <x:v>168</x:v>
      </x:c>
    </x:row>
    <x:row r="93" spans="1:18" ht="12.75" customHeight="1" x14ac:dyDescent="0.3">
      <x:c r="C93" s="616" t="s">
        <x:v>72</x:v>
      </x:c>
      <x:c r="D93" s="618">
        <x:v>0</x:v>
      </x:c>
      <x:c r="E93" s="618">
        <x:v>0</x:v>
      </x:c>
      <x:c r="F93" s="618">
        <x:v>0</x:v>
      </x:c>
      <x:c r="G93" s="620">
        <x:v>0</x:v>
      </x:c>
      <x:c r="H93" s="618">
        <x:v>0</x:v>
      </x:c>
      <x:c r="I93" s="618">
        <x:v>0</x:v>
      </x:c>
      <x:c r="J93" s="618">
        <x:v>0</x:v>
      </x:c>
      <x:c r="K93" s="618">
        <x:v>0</x:v>
      </x:c>
      <x:c r="L93" s="618">
        <x:v>0</x:v>
      </x:c>
      <x:c r="M93" s="618">
        <x:v>0</x:v>
      </x:c>
      <x:c r="N93" s="618">
        <x:v>0</x:v>
      </x:c>
      <x:c r="O93" s="618">
        <x:v>0</x:v>
      </x:c>
      <x:c r="P93" s="616">
        <x:v>0</x:v>
      </x:c>
      <x:c r="Q93" s="618">
        <x:v>0</x:v>
      </x:c>
      <x:c r="R93" s="616">
        <x:v>0</x:v>
      </x:c>
    </x:row>
    <x:row r="94" spans="1:18" ht="12.75" customHeight="1" x14ac:dyDescent="0.3">
      <x:c r="C94" s="616" t="s">
        <x:v>81</x:v>
      </x:c>
      <x:c r="D94" s="618">
        <x:v>0</x:v>
      </x:c>
      <x:c r="E94" s="618">
        <x:v>0</x:v>
      </x:c>
      <x:c r="F94" s="618">
        <x:v>0</x:v>
      </x:c>
      <x:c r="G94" s="620">
        <x:v>0</x:v>
      </x:c>
      <x:c r="H94" s="618">
        <x:v>0</x:v>
      </x:c>
      <x:c r="I94" s="618">
        <x:v>0</x:v>
      </x:c>
      <x:c r="J94" s="618">
        <x:v>0</x:v>
      </x:c>
      <x:c r="K94" s="618">
        <x:v>0</x:v>
      </x:c>
      <x:c r="L94" s="618">
        <x:v>0</x:v>
      </x:c>
      <x:c r="M94" s="618">
        <x:v>0</x:v>
      </x:c>
      <x:c r="N94" s="618">
        <x:v>0</x:v>
      </x:c>
      <x:c r="O94" s="618">
        <x:v>0</x:v>
      </x:c>
      <x:c r="P94" s="616">
        <x:v>0</x:v>
      </x:c>
      <x:c r="Q94" s="618">
        <x:v>0</x:v>
      </x:c>
      <x:c r="R94" s="616">
        <x:v>0</x:v>
      </x:c>
    </x:row>
    <x:row r="95" spans="1:18" s="621" customFormat="1" ht="12.75" customHeight="1" x14ac:dyDescent="0.3">
      <x:c r="B95" s="622" t="s">
        <x:v>78</x:v>
      </x:c>
      <x:c r="C95" s="622" t="s">
        <x:v>70</x:v>
      </x:c>
      <x:c r="D95" s="622">
        <x:v>0</x:v>
      </x:c>
      <x:c r="E95" s="622">
        <x:v>0</x:v>
      </x:c>
      <x:c r="F95" s="622">
        <x:v>0</x:v>
      </x:c>
      <x:c r="G95" s="622">
        <x:v>0</x:v>
      </x:c>
      <x:c r="H95" s="622">
        <x:v>0</x:v>
      </x:c>
      <x:c r="I95" s="622">
        <x:v>0</x:v>
      </x:c>
      <x:c r="J95" s="622">
        <x:v>0</x:v>
      </x:c>
      <x:c r="K95" s="622">
        <x:v>0</x:v>
      </x:c>
      <x:c r="L95" s="622">
        <x:v>0</x:v>
      </x:c>
      <x:c r="M95" s="622">
        <x:v>0</x:v>
      </x:c>
      <x:c r="N95" s="622">
        <x:v>0</x:v>
      </x:c>
      <x:c r="O95" s="622">
        <x:v>0</x:v>
      </x:c>
      <x:c r="P95" s="621">
        <x:v>0</x:v>
      </x:c>
      <x:c r="Q95" s="622">
        <x:v>0</x:v>
      </x:c>
      <x:c r="R95" s="622">
        <x:v>0</x:v>
      </x:c>
    </x:row>
    <x:row r="96" spans="1:18" ht="12.75" customHeight="1" x14ac:dyDescent="0.3">
      <x:c r="C96" s="616" t="s">
        <x:v>73</x:v>
      </x:c>
      <x:c r="D96" s="618">
        <x:v>0</x:v>
      </x:c>
      <x:c r="E96" s="618">
        <x:v>0</x:v>
      </x:c>
      <x:c r="F96" s="618">
        <x:v>0</x:v>
      </x:c>
      <x:c r="G96" s="620">
        <x:v>0</x:v>
      </x:c>
      <x:c r="H96" s="618">
        <x:v>0</x:v>
      </x:c>
      <x:c r="I96" s="618">
        <x:v>0</x:v>
      </x:c>
      <x:c r="J96" s="618">
        <x:v>0</x:v>
      </x:c>
      <x:c r="K96" s="618">
        <x:v>0</x:v>
      </x:c>
      <x:c r="L96" s="618">
        <x:v>0</x:v>
      </x:c>
      <x:c r="M96" s="618">
        <x:v>0</x:v>
      </x:c>
      <x:c r="N96" s="618">
        <x:v>0</x:v>
      </x:c>
      <x:c r="O96" s="618">
        <x:v>0</x:v>
      </x:c>
      <x:c r="P96" s="616">
        <x:v>0</x:v>
      </x:c>
      <x:c r="Q96" s="618">
        <x:v>0</x:v>
      </x:c>
      <x:c r="R96" s="616">
        <x:v>0</x:v>
      </x:c>
    </x:row>
    <x:row r="97" spans="1:18" s="623" customFormat="1" ht="12.75" customHeight="1" x14ac:dyDescent="0.3">
      <x:c r="B97" s="623" t="s">
        <x:v>79</x:v>
      </x:c>
      <x:c r="C97" s="623" t="s">
        <x:v>70</x:v>
      </x:c>
      <x:c r="D97" s="636">
        <x:v>0</x:v>
      </x:c>
      <x:c r="E97" s="624">
        <x:v>0</x:v>
      </x:c>
      <x:c r="F97" s="624">
        <x:v>0</x:v>
      </x:c>
      <x:c r="G97" s="636">
        <x:v>0</x:v>
      </x:c>
      <x:c r="H97" s="624">
        <x:v>0</x:v>
      </x:c>
      <x:c r="I97" s="624">
        <x:v>0</x:v>
      </x:c>
      <x:c r="J97" s="624">
        <x:v>0</x:v>
      </x:c>
      <x:c r="K97" s="624">
        <x:v>0</x:v>
      </x:c>
      <x:c r="L97" s="624">
        <x:v>0</x:v>
      </x:c>
      <x:c r="M97" s="624">
        <x:v>0</x:v>
      </x:c>
      <x:c r="N97" s="624">
        <x:v>0</x:v>
      </x:c>
      <x:c r="O97" s="624">
        <x:v>0</x:v>
      </x:c>
      <x:c r="P97" s="623">
        <x:v>0</x:v>
      </x:c>
      <x:c r="Q97" s="624">
        <x:v>0</x:v>
      </x:c>
      <x:c r="R97" s="623">
        <x:v>0</x:v>
      </x:c>
    </x:row>
    <x:row r="98" spans="1:18" s="625" customFormat="1" ht="12.75" customHeight="1" x14ac:dyDescent="0.3">
      <x:c r="A98" s="625" t="s">
        <x:v>155</x:v>
      </x:c>
      <x:c r="B98" s="625" t="s">
        <x:v>70</x:v>
      </x:c>
      <x:c r="D98" s="626" t="n">
        <x:v>-20858585.45</x:v>
      </x:c>
      <x:c r="E98" s="626">
        <x:v>0</x:v>
      </x:c>
      <x:c r="F98" s="626">
        <x:v>0</x:v>
      </x:c>
      <x:c r="G98" s="627">
        <x:v>0</x:v>
      </x:c>
      <x:c r="H98" s="626">
        <x:v>0</x:v>
      </x:c>
      <x:c r="I98" s="626">
        <x:v>0</x:v>
      </x:c>
      <x:c r="J98" s="626">
        <x:v>0</x:v>
      </x:c>
      <x:c r="K98" s="626">
        <x:v>0</x:v>
      </x:c>
      <x:c r="L98" s="626">
        <x:v>0</x:v>
      </x:c>
      <x:c r="M98" s="626">
        <x:v>0</x:v>
      </x:c>
      <x:c r="N98" s="626">
        <x:v>0</x:v>
      </x:c>
      <x:c r="O98" s="626">
        <x:v>0</x:v>
      </x:c>
      <x:c r="P98" s="625" t="n">
        <x:v>0</x:v>
      </x:c>
      <x:c r="Q98" s="626">
        <x:v>0</x:v>
      </x:c>
      <x:c r="R98" s="625">
        <x:v>0</x:v>
      </x:c>
    </x:row>
    <x:row r="99" spans="1:18" ht="12.75" customHeight="1" x14ac:dyDescent="0.3">
      <x:c r="C99" s="616" t="s">
        <x:v>72</x:v>
      </x:c>
      <x:c r="D99" s="620">
        <x:v>0</x:v>
      </x:c>
      <x:c r="E99" s="618">
        <x:v>0</x:v>
      </x:c>
      <x:c r="F99" s="618">
        <x:v>0</x:v>
      </x:c>
      <x:c r="G99" s="620">
        <x:v>0</x:v>
      </x:c>
      <x:c r="H99" s="618">
        <x:v>0</x:v>
      </x:c>
      <x:c r="I99" s="618">
        <x:v>0</x:v>
      </x:c>
      <x:c r="J99" s="618">
        <x:v>0</x:v>
      </x:c>
      <x:c r="K99" s="618">
        <x:v>0</x:v>
      </x:c>
      <x:c r="L99" s="618">
        <x:v>0</x:v>
      </x:c>
      <x:c r="M99" s="618">
        <x:v>0</x:v>
      </x:c>
      <x:c r="N99" s="618">
        <x:v>0</x:v>
      </x:c>
      <x:c r="O99" s="618">
        <x:v>0</x:v>
      </x:c>
      <x:c r="P99" s="616">
        <x:v>0</x:v>
      </x:c>
      <x:c r="Q99" s="618">
        <x:v>0</x:v>
      </x:c>
      <x:c r="R99" s="616">
        <x:v>0</x:v>
      </x:c>
    </x:row>
    <x:row r="100" spans="1:18" ht="12.75" customHeight="1" x14ac:dyDescent="0.3">
      <x:c r="C100" s="616" t="s">
        <x:v>81</x:v>
      </x:c>
      <x:c r="D100" s="618">
        <x:v>0</x:v>
      </x:c>
      <x:c r="E100" s="618">
        <x:v>0</x:v>
      </x:c>
      <x:c r="F100" s="618">
        <x:v>0</x:v>
      </x:c>
      <x:c r="G100" s="620">
        <x:v>0</x:v>
      </x:c>
      <x:c r="H100" s="618">
        <x:v>0</x:v>
      </x:c>
      <x:c r="I100" s="618">
        <x:v>0</x:v>
      </x:c>
      <x:c r="J100" s="618">
        <x:v>0</x:v>
      </x:c>
      <x:c r="K100" s="618">
        <x:v>0</x:v>
      </x:c>
      <x:c r="L100" s="618">
        <x:v>0</x:v>
      </x:c>
      <x:c r="M100" s="618">
        <x:v>0</x:v>
      </x:c>
      <x:c r="N100" s="618">
        <x:v>0</x:v>
      </x:c>
      <x:c r="O100" s="618">
        <x:v>0</x:v>
      </x:c>
      <x:c r="P100" s="616">
        <x:v>0</x:v>
      </x:c>
      <x:c r="Q100" s="618">
        <x:v>0</x:v>
      </x:c>
      <x:c r="R100" s="616">
        <x:v>0</x:v>
      </x:c>
    </x:row>
    <x:row r="101" spans="1:18" s="621" customFormat="1" ht="12.75" customHeight="1" x14ac:dyDescent="0.3">
      <x:c r="B101" s="622" t="s">
        <x:v>78</x:v>
      </x:c>
      <x:c r="C101" s="622" t="s">
        <x:v>70</x:v>
      </x:c>
      <x:c r="D101" s="622">
        <x:v>0</x:v>
      </x:c>
      <x:c r="E101" s="622">
        <x:v>0</x:v>
      </x:c>
      <x:c r="F101" s="622">
        <x:v>0</x:v>
      </x:c>
      <x:c r="G101" s="622">
        <x:v>0</x:v>
      </x:c>
      <x:c r="H101" s="622">
        <x:v>0</x:v>
      </x:c>
      <x:c r="I101" s="622">
        <x:v>0</x:v>
      </x:c>
      <x:c r="J101" s="622">
        <x:v>0</x:v>
      </x:c>
      <x:c r="K101" s="622">
        <x:v>0</x:v>
      </x:c>
      <x:c r="L101" s="622">
        <x:v>0</x:v>
      </x:c>
      <x:c r="M101" s="622">
        <x:v>0</x:v>
      </x:c>
      <x:c r="N101" s="622">
        <x:v>0</x:v>
      </x:c>
      <x:c r="O101" s="622">
        <x:v>0</x:v>
      </x:c>
      <x:c r="P101" s="621">
        <x:v>0</x:v>
      </x:c>
      <x:c r="Q101" s="622">
        <x:v>0</x:v>
      </x:c>
      <x:c r="R101" s="622">
        <x:v>0</x:v>
      </x:c>
    </x:row>
    <x:row r="102" spans="1:18" ht="12.75" customHeight="1" x14ac:dyDescent="0.3">
      <x:c r="C102" s="616" t="s">
        <x:v>73</x:v>
      </x:c>
      <x:c r="D102" s="620">
        <x:v>0</x:v>
      </x:c>
      <x:c r="E102" s="618">
        <x:v>0</x:v>
      </x:c>
      <x:c r="F102" s="618">
        <x:v>0</x:v>
      </x:c>
      <x:c r="G102" s="620">
        <x:v>0</x:v>
      </x:c>
      <x:c r="H102" s="618">
        <x:v>0</x:v>
      </x:c>
      <x:c r="I102" s="618">
        <x:v>0</x:v>
      </x:c>
      <x:c r="J102" s="618">
        <x:v>0</x:v>
      </x:c>
      <x:c r="K102" s="618">
        <x:v>0</x:v>
      </x:c>
      <x:c r="L102" s="618">
        <x:v>0</x:v>
      </x:c>
      <x:c r="M102" s="618">
        <x:v>0</x:v>
      </x:c>
      <x:c r="N102" s="618">
        <x:v>0</x:v>
      </x:c>
      <x:c r="O102" s="618">
        <x:v>0</x:v>
      </x:c>
      <x:c r="P102" s="616">
        <x:v>0</x:v>
      </x:c>
      <x:c r="Q102" s="618">
        <x:v>0</x:v>
      </x:c>
      <x:c r="R102" s="616">
        <x:v>0</x:v>
      </x:c>
    </x:row>
    <x:row r="103" spans="1:18" s="623" customFormat="1" ht="12.75" customHeight="1" x14ac:dyDescent="0.3">
      <x:c r="B103" s="623" t="s">
        <x:v>79</x:v>
      </x:c>
      <x:c r="C103" s="623" t="s">
        <x:v>70</x:v>
      </x:c>
      <x:c r="D103" s="636">
        <x:v>0</x:v>
      </x:c>
      <x:c r="E103" s="624">
        <x:v>0</x:v>
      </x:c>
      <x:c r="F103" s="624">
        <x:v>0</x:v>
      </x:c>
      <x:c r="G103" s="636">
        <x:v>0</x:v>
      </x:c>
      <x:c r="H103" s="624">
        <x:v>0</x:v>
      </x:c>
      <x:c r="I103" s="624">
        <x:v>0</x:v>
      </x:c>
      <x:c r="J103" s="624">
        <x:v>0</x:v>
      </x:c>
      <x:c r="K103" s="624">
        <x:v>0</x:v>
      </x:c>
      <x:c r="L103" s="624">
        <x:v>0</x:v>
      </x:c>
      <x:c r="M103" s="624">
        <x:v>0</x:v>
      </x:c>
      <x:c r="N103" s="624">
        <x:v>0</x:v>
      </x:c>
      <x:c r="O103" s="624">
        <x:v>0</x:v>
      </x:c>
      <x:c r="P103" s="623">
        <x:v>0</x:v>
      </x:c>
      <x:c r="Q103" s="624">
        <x:v>0</x:v>
      </x:c>
      <x:c r="R103" s="623">
        <x:v>0</x:v>
      </x:c>
    </x:row>
    <x:row r="104" spans="1:18" s="632" customFormat="1" ht="12.75" customHeight="1" x14ac:dyDescent="0.3">
      <x:c r="A104" s="632" t="s">
        <x:v>120</x:v>
      </x:c>
      <x:c r="B104" s="632" t="s">
        <x:v>70</x:v>
      </x:c>
      <x:c r="D104" s="632">
        <x:v>0</x:v>
      </x:c>
      <x:c r="E104" s="632">
        <x:v>0</x:v>
      </x:c>
      <x:c r="F104" s="632">
        <x:v>0</x:v>
      </x:c>
      <x:c r="G104" s="632">
        <x:v>0</x:v>
      </x:c>
      <x:c r="H104" s="632">
        <x:v>0</x:v>
      </x:c>
      <x:c r="I104" s="632">
        <x:v>0</x:v>
      </x:c>
      <x:c r="J104" s="632">
        <x:v>0</x:v>
      </x:c>
      <x:c r="K104" s="632">
        <x:v>0</x:v>
      </x:c>
      <x:c r="L104" s="632">
        <x:v>0</x:v>
      </x:c>
      <x:c r="M104" s="632">
        <x:v>0</x:v>
      </x:c>
      <x:c r="N104" s="632">
        <x:v>0</x:v>
      </x:c>
      <x:c r="O104" s="632">
        <x:v>0</x:v>
      </x:c>
      <x:c r="P104" s="632">
        <x:v>0</x:v>
      </x:c>
      <x:c r="Q104" s="632">
        <x:v>0</x:v>
      </x:c>
      <x:c r="R104" s="632">
        <x:v>0</x:v>
      </x:c>
    </x:row>
    <x:row r="105" spans="1:18" ht="12.65" customHeight="1" x14ac:dyDescent="0.3">
      <x:c r="C105" s="616" t="s">
        <x:v>72</x:v>
      </x:c>
      <x:c r="D105" s="618">
        <x:v>0</x:v>
      </x:c>
      <x:c r="E105" s="618">
        <x:v>0</x:v>
      </x:c>
      <x:c r="F105" s="618">
        <x:v>0</x:v>
      </x:c>
      <x:c r="G105" s="620">
        <x:v>0</x:v>
      </x:c>
      <x:c r="H105" s="618">
        <x:v>0</x:v>
      </x:c>
      <x:c r="I105" s="618">
        <x:v>0</x:v>
      </x:c>
      <x:c r="J105" s="618">
        <x:v>0</x:v>
      </x:c>
      <x:c r="K105" s="618">
        <x:v>0</x:v>
      </x:c>
      <x:c r="L105" s="618">
        <x:v>0</x:v>
      </x:c>
      <x:c r="M105" s="618">
        <x:v>0</x:v>
      </x:c>
      <x:c r="N105" s="618">
        <x:v>0</x:v>
      </x:c>
      <x:c r="O105" s="618">
        <x:v>0</x:v>
      </x:c>
      <x:c r="P105" s="616">
        <x:v>0</x:v>
      </x:c>
      <x:c r="Q105" s="618">
        <x:v>0</x:v>
      </x:c>
      <x:c r="R105" s="616">
        <x:v>0</x:v>
      </x:c>
    </x:row>
    <x:row r="106" spans="1:18" ht="12.75" customHeight="1" x14ac:dyDescent="0.3">
      <x:c r="C106" s="616" t="s">
        <x:v>81</x:v>
      </x:c>
      <x:c r="D106" s="618">
        <x:v>0</x:v>
      </x:c>
      <x:c r="E106" s="618">
        <x:v>0</x:v>
      </x:c>
      <x:c r="F106" s="618">
        <x:v>0</x:v>
      </x:c>
      <x:c r="G106" s="620">
        <x:v>0</x:v>
      </x:c>
      <x:c r="H106" s="618">
        <x:v>0</x:v>
      </x:c>
      <x:c r="I106" s="618">
        <x:v>0</x:v>
      </x:c>
      <x:c r="J106" s="618">
        <x:v>0</x:v>
      </x:c>
      <x:c r="K106" s="618">
        <x:v>0</x:v>
      </x:c>
      <x:c r="L106" s="618">
        <x:v>0</x:v>
      </x:c>
      <x:c r="M106" s="618">
        <x:v>0</x:v>
      </x:c>
      <x:c r="N106" s="618">
        <x:v>0</x:v>
      </x:c>
      <x:c r="O106" s="618">
        <x:v>0</x:v>
      </x:c>
      <x:c r="P106" s="616">
        <x:v>0</x:v>
      </x:c>
      <x:c r="Q106" s="618">
        <x:v>0</x:v>
      </x:c>
      <x:c r="R106" s="616">
        <x:v>0</x:v>
      </x:c>
    </x:row>
    <x:row r="107" spans="1:18" s="621" customFormat="1" ht="12.75" customHeight="1" x14ac:dyDescent="0.3">
      <x:c r="B107" s="622" t="s">
        <x:v>78</x:v>
      </x:c>
      <x:c r="C107" s="622" t="s">
        <x:v>70</x:v>
      </x:c>
      <x:c r="D107" s="622">
        <x:v>0</x:v>
      </x:c>
      <x:c r="E107" s="622">
        <x:v>0</x:v>
      </x:c>
      <x:c r="F107" s="622">
        <x:v>0</x:v>
      </x:c>
      <x:c r="G107" s="622">
        <x:v>0</x:v>
      </x:c>
      <x:c r="H107" s="622">
        <x:v>0</x:v>
      </x:c>
      <x:c r="I107" s="622">
        <x:v>0</x:v>
      </x:c>
      <x:c r="J107" s="622">
        <x:v>0</x:v>
      </x:c>
      <x:c r="K107" s="622">
        <x:v>0</x:v>
      </x:c>
      <x:c r="L107" s="622">
        <x:v>0</x:v>
      </x:c>
      <x:c r="M107" s="622">
        <x:v>0</x:v>
      </x:c>
      <x:c r="N107" s="622">
        <x:v>0</x:v>
      </x:c>
      <x:c r="O107" s="622">
        <x:v>0</x:v>
      </x:c>
      <x:c r="P107" s="621">
        <x:v>0</x:v>
      </x:c>
      <x:c r="Q107" s="622">
        <x:v>0</x:v>
      </x:c>
      <x:c r="R107" s="622">
        <x:v>0</x:v>
      </x:c>
    </x:row>
    <x:row r="108" spans="1:18" ht="12.75" customHeight="1" x14ac:dyDescent="0.3">
      <x:c r="C108" s="616" t="s">
        <x:v>73</x:v>
      </x:c>
      <x:c r="D108" s="620">
        <x:v>0</x:v>
      </x:c>
      <x:c r="E108" s="618">
        <x:v>0</x:v>
      </x:c>
      <x:c r="F108" s="618">
        <x:v>0</x:v>
      </x:c>
      <x:c r="G108" s="620">
        <x:v>0</x:v>
      </x:c>
      <x:c r="H108" s="618">
        <x:v>0</x:v>
      </x:c>
      <x:c r="I108" s="618">
        <x:v>0</x:v>
      </x:c>
      <x:c r="J108" s="618">
        <x:v>0</x:v>
      </x:c>
      <x:c r="K108" s="618">
        <x:v>0</x:v>
      </x:c>
      <x:c r="L108" s="618">
        <x:v>0</x:v>
      </x:c>
      <x:c r="M108" s="618">
        <x:v>0</x:v>
      </x:c>
      <x:c r="N108" s="618">
        <x:v>0</x:v>
      </x:c>
      <x:c r="O108" s="618">
        <x:v>0</x:v>
      </x:c>
      <x:c r="P108" s="616">
        <x:v>0</x:v>
      </x:c>
      <x:c r="Q108" s="618">
        <x:v>0</x:v>
      </x:c>
      <x:c r="R108" s="616">
        <x:v>0</x:v>
      </x:c>
    </x:row>
    <x:row r="109" spans="1:18" s="623" customFormat="1" ht="12.75" customHeight="1" x14ac:dyDescent="0.3">
      <x:c r="B109" s="623" t="s">
        <x:v>79</x:v>
      </x:c>
      <x:c r="C109" s="623" t="s">
        <x:v>70</x:v>
      </x:c>
      <x:c r="D109" s="636">
        <x:v>0</x:v>
      </x:c>
      <x:c r="E109" s="624">
        <x:v>0</x:v>
      </x:c>
      <x:c r="F109" s="624">
        <x:v>0</x:v>
      </x:c>
      <x:c r="G109" s="636">
        <x:v>0</x:v>
      </x:c>
      <x:c r="H109" s="624">
        <x:v>0</x:v>
      </x:c>
      <x:c r="I109" s="624">
        <x:v>0</x:v>
      </x:c>
      <x:c r="J109" s="624">
        <x:v>0</x:v>
      </x:c>
      <x:c r="K109" s="624">
        <x:v>0</x:v>
      </x:c>
      <x:c r="L109" s="624">
        <x:v>0</x:v>
      </x:c>
      <x:c r="M109" s="624">
        <x:v>0</x:v>
      </x:c>
      <x:c r="N109" s="624">
        <x:v>0</x:v>
      </x:c>
      <x:c r="O109" s="624">
        <x:v>0</x:v>
      </x:c>
      <x:c r="P109" s="623">
        <x:v>0</x:v>
      </x:c>
      <x:c r="Q109" s="624">
        <x:v>0</x:v>
      </x:c>
      <x:c r="R109" s="623">
        <x:v>0</x:v>
      </x:c>
    </x:row>
    <x:row r="110" spans="1:18" s="628" customFormat="1" ht="12.75" customHeight="1" x14ac:dyDescent="0.3">
      <x:c r="A110" s="628" t="s">
        <x:v>119</x:v>
      </x:c>
      <x:c r="B110" s="628" t="s">
        <x:v>70</x:v>
      </x:c>
      <x:c r="D110" s="628" t="n">
        <x:v>-945063</x:v>
      </x:c>
      <x:c r="E110" s="628">
        <x:v>0</x:v>
      </x:c>
      <x:c r="F110" s="628">
        <x:v>0</x:v>
      </x:c>
      <x:c r="G110" s="628">
        <x:v>0</x:v>
      </x:c>
      <x:c r="H110" s="628">
        <x:v>0</x:v>
      </x:c>
      <x:c r="I110" s="628">
        <x:v>0</x:v>
      </x:c>
      <x:c r="J110" s="628">
        <x:v>0</x:v>
      </x:c>
      <x:c r="K110" s="628">
        <x:v>0</x:v>
      </x:c>
      <x:c r="L110" s="628">
        <x:v>0</x:v>
      </x:c>
      <x:c r="M110" s="628">
        <x:v>0</x:v>
      </x:c>
      <x:c r="N110" s="628">
        <x:v>0</x:v>
      </x:c>
      <x:c r="O110" s="628">
        <x:v>0</x:v>
      </x:c>
      <x:c r="P110" s="628" t="n">
        <x:v>0</x:v>
      </x:c>
      <x:c r="Q110" s="628">
        <x:v>0</x:v>
      </x:c>
      <x:c r="R110" s="628">
        <x:v>0</x:v>
      </x:c>
    </x:row>
    <x:row r="111" spans="1:18" s="631" customFormat="1" ht="12.75" customHeight="1" x14ac:dyDescent="0.3">
      <x:c r="A111" s="630" t="s">
        <x:v>70</x:v>
      </x:c>
      <x:c r="D111" s="630" t="n">
        <x:v>-21803648.45</x:v>
      </x:c>
      <x:c r="E111" s="630">
        <x:v>0</x:v>
      </x:c>
      <x:c r="F111" s="630">
        <x:v>0</x:v>
      </x:c>
      <x:c r="G111" s="630">
        <x:v>0</x:v>
      </x:c>
      <x:c r="H111" s="630">
        <x:v>0</x:v>
      </x:c>
      <x:c r="I111" s="630">
        <x:v>0</x:v>
      </x:c>
      <x:c r="J111" s="630">
        <x:v>0</x:v>
      </x:c>
      <x:c r="K111" s="630">
        <x:v>0</x:v>
      </x:c>
      <x:c r="L111" s="630">
        <x:v>0</x:v>
      </x:c>
      <x:c r="M111" s="630">
        <x:v>0</x:v>
      </x:c>
      <x:c r="N111" s="630">
        <x:v>0</x:v>
      </x:c>
      <x:c r="O111" s="630">
        <x:v>0</x:v>
      </x:c>
      <x:c r="P111" s="631" t="n">
        <x:v>0</x:v>
      </x:c>
      <x:c r="Q111" s="630">
        <x:v>0</x:v>
      </x:c>
      <x:c r="R111" s="630">
        <x:v>0</x:v>
      </x:c>
    </x:row>
    <x:row r="112" spans="1:18" ht="12.75" customHeight="1" x14ac:dyDescent="0.3">
      <x:c r="A112" s="618"/>
      <x:c r="D112" s="618"/>
      <x:c r="E112" s="618"/>
      <x:c r="F112" s="618"/>
      <x:c r="G112" s="618"/>
      <x:c r="H112" s="618"/>
      <x:c r="I112" s="618"/>
      <x:c r="J112" s="618"/>
      <x:c r="K112" s="618"/>
      <x:c r="L112" s="618"/>
      <x:c r="M112" s="618"/>
      <x:c r="N112" s="618"/>
      <x:c r="O112" s="618"/>
      <x:c r="P112" s="618"/>
    </x:row>
    <x:row r="113" spans="1:16" ht="12.75" hidden="1" customHeight="1" x14ac:dyDescent="0.3">
      <x:c r="A113" s="618"/>
      <x:c r="D113" s="618"/>
      <x:c r="E113" s="618"/>
      <x:c r="F113" s="618"/>
      <x:c r="G113" s="618"/>
      <x:c r="H113" s="618"/>
      <x:c r="I113" s="618"/>
      <x:c r="J113" s="618"/>
      <x:c r="K113" s="618"/>
      <x:c r="L113" s="618"/>
      <x:c r="M113" s="618"/>
      <x:c r="N113" s="618"/>
      <x:c r="O113" s="618"/>
      <x:c r="P113" s="618"/>
    </x:row>
    <x:row r="114" spans="1:16" ht="12.75" hidden="1" customHeight="1" x14ac:dyDescent="0.3">
      <x:c r="A114" s="618"/>
      <x:c r="D114" s="618"/>
      <x:c r="E114" s="618"/>
      <x:c r="F114" s="618"/>
      <x:c r="G114" s="618"/>
      <x:c r="H114" s="618"/>
      <x:c r="I114" s="618"/>
      <x:c r="J114" s="618"/>
      <x:c r="K114" s="618"/>
      <x:c r="L114" s="618"/>
      <x:c r="M114" s="618"/>
      <x:c r="N114" s="618"/>
      <x:c r="O114" s="618"/>
      <x:c r="P114" s="618"/>
    </x:row>
    <x:row r="115" spans="1:16" ht="12.75" hidden="1" customHeight="1" x14ac:dyDescent="0.3">
      <x:c r="A115" s="618"/>
      <x:c r="D115" s="618"/>
      <x:c r="E115" s="618"/>
      <x:c r="F115" s="618"/>
      <x:c r="G115" s="618"/>
      <x:c r="H115" s="618"/>
      <x:c r="I115" s="618"/>
      <x:c r="J115" s="618"/>
      <x:c r="K115" s="618"/>
      <x:c r="L115" s="618"/>
      <x:c r="M115" s="618"/>
      <x:c r="N115" s="618"/>
      <x:c r="O115" s="618"/>
      <x:c r="P115" s="618"/>
    </x:row>
    <x:row r="116" spans="1:16" ht="12.75" hidden="1" customHeight="1" x14ac:dyDescent="0.3">
      <x:c r="A116" s="618"/>
      <x:c r="D116" s="618"/>
      <x:c r="E116" s="618"/>
      <x:c r="F116" s="618"/>
      <x:c r="G116" s="618"/>
      <x:c r="H116" s="618"/>
      <x:c r="I116" s="618"/>
      <x:c r="J116" s="618"/>
      <x:c r="K116" s="618"/>
      <x:c r="L116" s="618"/>
      <x:c r="M116" s="618"/>
      <x:c r="N116" s="618"/>
      <x:c r="O116" s="618"/>
      <x:c r="P116" s="618"/>
    </x:row>
    <x:row r="117" spans="1:16" ht="12.75" hidden="1" customHeight="1" x14ac:dyDescent="0.3">
      <x:c r="A117" s="618"/>
      <x:c r="D117" s="618"/>
      <x:c r="E117" s="618"/>
      <x:c r="F117" s="618"/>
      <x:c r="G117" s="618"/>
      <x:c r="H117" s="618"/>
      <x:c r="I117" s="618"/>
      <x:c r="J117" s="618"/>
      <x:c r="K117" s="618"/>
      <x:c r="L117" s="618"/>
      <x:c r="M117" s="618"/>
      <x:c r="N117" s="618"/>
      <x:c r="O117" s="618"/>
      <x:c r="P117" s="618"/>
    </x:row>
    <x:row r="118" spans="1:16" ht="12.75" hidden="1" customHeight="1" x14ac:dyDescent="0.3">
      <x:c r="A118" s="618"/>
      <x:c r="D118" s="618"/>
      <x:c r="E118" s="618"/>
      <x:c r="F118" s="618"/>
      <x:c r="G118" s="618"/>
      <x:c r="H118" s="618"/>
      <x:c r="I118" s="618"/>
      <x:c r="J118" s="618"/>
      <x:c r="K118" s="618"/>
      <x:c r="L118" s="618"/>
      <x:c r="M118" s="618"/>
      <x:c r="N118" s="618"/>
      <x:c r="O118" s="618"/>
      <x:c r="P118" s="618"/>
    </x:row>
    <x:row r="119" spans="1:16" ht="12.75" hidden="1" customHeight="1" x14ac:dyDescent="0.3">
      <x:c r="A119" s="618"/>
      <x:c r="D119" s="618"/>
      <x:c r="E119" s="618"/>
      <x:c r="F119" s="618"/>
      <x:c r="G119" s="618"/>
      <x:c r="H119" s="618"/>
      <x:c r="I119" s="618"/>
      <x:c r="J119" s="618"/>
      <x:c r="K119" s="618"/>
      <x:c r="L119" s="618"/>
      <x:c r="M119" s="618"/>
      <x:c r="N119" s="618"/>
      <x:c r="O119" s="618"/>
      <x:c r="P119" s="618"/>
    </x:row>
    <x:row r="120" spans="1:16" ht="12.75" hidden="1" customHeight="1" x14ac:dyDescent="0.3">
      <x:c r="A120" s="618"/>
      <x:c r="D120" s="618"/>
      <x:c r="E120" s="618"/>
      <x:c r="F120" s="618"/>
      <x:c r="G120" s="618"/>
      <x:c r="H120" s="618"/>
      <x:c r="I120" s="618"/>
      <x:c r="J120" s="618"/>
      <x:c r="K120" s="618"/>
      <x:c r="L120" s="618"/>
      <x:c r="M120" s="618"/>
      <x:c r="N120" s="618"/>
      <x:c r="O120" s="618"/>
      <x:c r="P120" s="618"/>
    </x:row>
    <x:row r="121" spans="1:16" ht="12.75" hidden="1" customHeight="1" x14ac:dyDescent="0.3">
      <x:c r="A121" s="618"/>
      <x:c r="D121" s="618"/>
      <x:c r="E121" s="618"/>
      <x:c r="F121" s="618"/>
      <x:c r="G121" s="618"/>
      <x:c r="H121" s="618"/>
      <x:c r="I121" s="618"/>
      <x:c r="J121" s="618"/>
      <x:c r="K121" s="618"/>
      <x:c r="L121" s="618"/>
      <x:c r="M121" s="618"/>
      <x:c r="N121" s="618"/>
      <x:c r="O121" s="618"/>
      <x:c r="P121" s="618"/>
    </x:row>
    <x:row r="122" spans="1:16" ht="12.75" hidden="1" customHeight="1" x14ac:dyDescent="0.3">
      <x:c r="A122" s="618"/>
      <x:c r="D122" s="618"/>
      <x:c r="E122" s="618"/>
      <x:c r="F122" s="618"/>
      <x:c r="G122" s="618"/>
      <x:c r="H122" s="618"/>
      <x:c r="I122" s="618"/>
      <x:c r="J122" s="618"/>
      <x:c r="K122" s="618"/>
      <x:c r="L122" s="618"/>
      <x:c r="M122" s="618"/>
      <x:c r="N122" s="618"/>
      <x:c r="O122" s="618"/>
      <x:c r="P122" s="618"/>
    </x:row>
    <x:row r="123" spans="1:16" ht="12.75" hidden="1" customHeight="1" x14ac:dyDescent="0.3">
      <x:c r="A123" s="618"/>
      <x:c r="D123" s="618"/>
      <x:c r="E123" s="618"/>
      <x:c r="F123" s="618"/>
      <x:c r="G123" s="618"/>
      <x:c r="H123" s="618"/>
      <x:c r="I123" s="618"/>
      <x:c r="J123" s="618"/>
      <x:c r="K123" s="618"/>
      <x:c r="L123" s="618"/>
      <x:c r="M123" s="618"/>
      <x:c r="N123" s="618"/>
      <x:c r="O123" s="618"/>
      <x:c r="P123" s="618"/>
    </x:row>
    <x:row r="124" spans="1:16" ht="12.75" hidden="1" customHeight="1" x14ac:dyDescent="0.3">
      <x:c r="A124" s="618"/>
      <x:c r="D124" s="618"/>
      <x:c r="E124" s="618"/>
      <x:c r="F124" s="618"/>
      <x:c r="G124" s="618"/>
      <x:c r="H124" s="618"/>
      <x:c r="I124" s="618"/>
      <x:c r="J124" s="618"/>
      <x:c r="K124" s="618"/>
      <x:c r="L124" s="618"/>
      <x:c r="M124" s="618"/>
      <x:c r="N124" s="618"/>
      <x:c r="O124" s="618"/>
      <x:c r="P124" s="618"/>
    </x:row>
    <x:row r="125" spans="1:16" ht="12.75" hidden="1" customHeight="1" x14ac:dyDescent="0.3">
      <x:c r="A125" s="618"/>
      <x:c r="D125" s="618"/>
      <x:c r="E125" s="618"/>
      <x:c r="F125" s="618"/>
      <x:c r="G125" s="618"/>
      <x:c r="H125" s="618"/>
      <x:c r="I125" s="618"/>
      <x:c r="J125" s="618"/>
      <x:c r="K125" s="618"/>
      <x:c r="L125" s="618"/>
      <x:c r="M125" s="618"/>
      <x:c r="N125" s="618"/>
      <x:c r="O125" s="618"/>
      <x:c r="P125" s="618"/>
    </x:row>
    <x:row r="126" spans="1:16" ht="12.75" hidden="1" customHeight="1" x14ac:dyDescent="0.3">
      <x:c r="A126" s="618"/>
      <x:c r="D126" s="618"/>
      <x:c r="E126" s="618"/>
      <x:c r="F126" s="618"/>
      <x:c r="G126" s="618"/>
      <x:c r="H126" s="618"/>
      <x:c r="I126" s="618"/>
      <x:c r="J126" s="618"/>
      <x:c r="K126" s="618"/>
      <x:c r="L126" s="618"/>
      <x:c r="M126" s="618"/>
      <x:c r="N126" s="618"/>
      <x:c r="O126" s="618"/>
      <x:c r="P126" s="618"/>
    </x:row>
    <x:row r="127" spans="1:16" ht="12.75" hidden="1" customHeight="1" x14ac:dyDescent="0.3">
      <x:c r="A127" s="618"/>
      <x:c r="D127" s="618"/>
      <x:c r="E127" s="618"/>
      <x:c r="F127" s="618"/>
      <x:c r="G127" s="618"/>
      <x:c r="H127" s="618"/>
      <x:c r="I127" s="618"/>
      <x:c r="J127" s="618"/>
      <x:c r="K127" s="618"/>
      <x:c r="L127" s="618"/>
      <x:c r="M127" s="618"/>
      <x:c r="N127" s="618"/>
      <x:c r="O127" s="618"/>
      <x:c r="P127" s="618"/>
    </x:row>
    <x:row r="128" spans="1:16" ht="12.75" hidden="1" customHeight="1" x14ac:dyDescent="0.3">
      <x:c r="A128" s="618"/>
      <x:c r="D128" s="618"/>
      <x:c r="E128" s="618"/>
      <x:c r="F128" s="618"/>
      <x:c r="G128" s="618"/>
      <x:c r="H128" s="618"/>
      <x:c r="I128" s="618"/>
      <x:c r="J128" s="618"/>
      <x:c r="K128" s="618"/>
      <x:c r="L128" s="618"/>
      <x:c r="M128" s="618"/>
      <x:c r="N128" s="618"/>
      <x:c r="O128" s="618"/>
      <x:c r="P128" s="618"/>
    </x:row>
    <x:row r="129" spans="1:16" ht="12.75" hidden="1" customHeight="1" x14ac:dyDescent="0.3">
      <x:c r="A129" s="618"/>
      <x:c r="D129" s="618"/>
      <x:c r="E129" s="618"/>
      <x:c r="F129" s="618"/>
      <x:c r="G129" s="618"/>
      <x:c r="H129" s="618"/>
      <x:c r="I129" s="618"/>
      <x:c r="J129" s="618"/>
      <x:c r="K129" s="618"/>
      <x:c r="L129" s="618"/>
      <x:c r="M129" s="618"/>
      <x:c r="N129" s="618"/>
      <x:c r="O129" s="618"/>
      <x:c r="P129" s="618"/>
    </x:row>
    <x:row r="130" spans="1:16" ht="12.75" hidden="1" customHeight="1" x14ac:dyDescent="0.3">
      <x:c r="A130" s="618"/>
      <x:c r="D130" s="618"/>
      <x:c r="E130" s="618"/>
      <x:c r="F130" s="618"/>
      <x:c r="G130" s="618"/>
      <x:c r="H130" s="618"/>
      <x:c r="I130" s="618"/>
      <x:c r="J130" s="618"/>
      <x:c r="K130" s="618"/>
      <x:c r="L130" s="618"/>
      <x:c r="M130" s="618"/>
      <x:c r="N130" s="618"/>
      <x:c r="O130" s="618"/>
      <x:c r="P130" s="618"/>
    </x:row>
    <x:row r="131" spans="1:16" ht="12.75" hidden="1" customHeight="1" x14ac:dyDescent="0.3">
      <x:c r="A131" s="618"/>
      <x:c r="D131" s="618"/>
      <x:c r="E131" s="618"/>
      <x:c r="F131" s="618"/>
      <x:c r="G131" s="618"/>
      <x:c r="H131" s="618"/>
      <x:c r="I131" s="618"/>
      <x:c r="J131" s="618"/>
      <x:c r="K131" s="618"/>
      <x:c r="L131" s="618"/>
      <x:c r="M131" s="618"/>
      <x:c r="N131" s="618"/>
      <x:c r="O131" s="618"/>
      <x:c r="P131" s="618"/>
    </x:row>
    <x:row r="132" spans="1:16" ht="12.75" hidden="1" customHeight="1" x14ac:dyDescent="0.3">
      <x:c r="A132" s="618"/>
      <x:c r="D132" s="618"/>
      <x:c r="E132" s="618"/>
      <x:c r="F132" s="618"/>
      <x:c r="G132" s="618"/>
      <x:c r="H132" s="618"/>
      <x:c r="I132" s="618"/>
      <x:c r="J132" s="618"/>
      <x:c r="K132" s="618"/>
      <x:c r="L132" s="618"/>
      <x:c r="M132" s="618"/>
      <x:c r="N132" s="618"/>
      <x:c r="O132" s="618"/>
      <x:c r="P132" s="618"/>
    </x:row>
    <x:row r="133" spans="1:16" ht="12.75" hidden="1" customHeight="1" x14ac:dyDescent="0.3">
      <x:c r="A133" s="618"/>
      <x:c r="D133" s="618"/>
      <x:c r="E133" s="618"/>
      <x:c r="F133" s="618"/>
      <x:c r="G133" s="618"/>
      <x:c r="H133" s="618"/>
      <x:c r="I133" s="618"/>
      <x:c r="J133" s="618"/>
      <x:c r="K133" s="618"/>
      <x:c r="L133" s="618"/>
      <x:c r="M133" s="618"/>
      <x:c r="N133" s="618"/>
      <x:c r="O133" s="618"/>
      <x:c r="P133" s="618"/>
    </x:row>
    <x:row r="134" spans="1:16" ht="12.75" hidden="1" customHeight="1" x14ac:dyDescent="0.3">
      <x:c r="A134" s="618"/>
      <x:c r="D134" s="618"/>
      <x:c r="E134" s="618"/>
      <x:c r="F134" s="618"/>
      <x:c r="G134" s="618"/>
      <x:c r="H134" s="618"/>
      <x:c r="I134" s="618"/>
      <x:c r="J134" s="618"/>
      <x:c r="K134" s="618"/>
      <x:c r="L134" s="618"/>
      <x:c r="M134" s="618"/>
      <x:c r="N134" s="618"/>
      <x:c r="O134" s="618"/>
      <x:c r="P134" s="618"/>
    </x:row>
    <x:row r="135" spans="1:16" ht="12.75" hidden="1" customHeight="1" x14ac:dyDescent="0.3">
      <x:c r="A135" s="618"/>
      <x:c r="D135" s="618"/>
      <x:c r="E135" s="618"/>
      <x:c r="F135" s="618"/>
      <x:c r="G135" s="618"/>
      <x:c r="H135" s="618"/>
      <x:c r="I135" s="618"/>
      <x:c r="J135" s="618"/>
      <x:c r="K135" s="618"/>
      <x:c r="L135" s="618"/>
      <x:c r="M135" s="618"/>
      <x:c r="N135" s="618"/>
      <x:c r="O135" s="618"/>
      <x:c r="P135" s="618"/>
    </x:row>
    <x:row r="136" spans="1:16" ht="12.75" hidden="1" customHeight="1" x14ac:dyDescent="0.3">
      <x:c r="A136" s="618"/>
      <x:c r="D136" s="618"/>
      <x:c r="E136" s="618"/>
      <x:c r="F136" s="618"/>
      <x:c r="G136" s="618"/>
      <x:c r="H136" s="618"/>
      <x:c r="I136" s="618"/>
      <x:c r="J136" s="618"/>
      <x:c r="K136" s="618"/>
      <x:c r="L136" s="618"/>
      <x:c r="M136" s="618"/>
      <x:c r="N136" s="618"/>
      <x:c r="O136" s="618"/>
      <x:c r="P136" s="618"/>
    </x:row>
    <x:row r="137" spans="1:16" ht="12.75" hidden="1" customHeight="1" x14ac:dyDescent="0.3">
      <x:c r="A137" s="618"/>
      <x:c r="D137" s="618"/>
      <x:c r="E137" s="618"/>
      <x:c r="F137" s="618"/>
      <x:c r="G137" s="618"/>
      <x:c r="H137" s="618"/>
      <x:c r="I137" s="618"/>
      <x:c r="J137" s="618"/>
      <x:c r="K137" s="618"/>
      <x:c r="L137" s="618"/>
      <x:c r="M137" s="618"/>
      <x:c r="N137" s="618"/>
      <x:c r="O137" s="618"/>
      <x:c r="P137" s="618"/>
    </x:row>
    <x:row r="138" spans="1:16" ht="12.75" hidden="1" customHeight="1" x14ac:dyDescent="0.3">
      <x:c r="A138" s="618"/>
      <x:c r="D138" s="618"/>
      <x:c r="E138" s="618"/>
      <x:c r="F138" s="618"/>
      <x:c r="G138" s="618"/>
      <x:c r="H138" s="618"/>
      <x:c r="I138" s="618"/>
      <x:c r="J138" s="618"/>
      <x:c r="K138" s="618"/>
      <x:c r="L138" s="618"/>
      <x:c r="M138" s="618"/>
      <x:c r="N138" s="618"/>
      <x:c r="O138" s="618"/>
      <x:c r="P138" s="618"/>
    </x:row>
    <x:row r="139" spans="1:16" ht="12.75" hidden="1" customHeight="1" x14ac:dyDescent="0.3">
      <x:c r="A139" s="618"/>
      <x:c r="D139" s="618"/>
      <x:c r="E139" s="618"/>
      <x:c r="F139" s="618"/>
      <x:c r="G139" s="618"/>
      <x:c r="H139" s="618"/>
      <x:c r="I139" s="618"/>
      <x:c r="J139" s="618"/>
      <x:c r="K139" s="618"/>
      <x:c r="L139" s="618"/>
      <x:c r="M139" s="618"/>
      <x:c r="N139" s="618"/>
      <x:c r="O139" s="618"/>
      <x:c r="P139" s="618"/>
    </x:row>
    <x:row r="140" spans="1:16" ht="12.75" hidden="1" customHeight="1" x14ac:dyDescent="0.3">
      <x:c r="A140" s="618"/>
      <x:c r="D140" s="618"/>
      <x:c r="E140" s="618"/>
      <x:c r="F140" s="618"/>
      <x:c r="G140" s="618"/>
      <x:c r="H140" s="618"/>
      <x:c r="I140" s="618"/>
      <x:c r="J140" s="618"/>
      <x:c r="K140" s="618"/>
      <x:c r="L140" s="618"/>
      <x:c r="M140" s="618"/>
      <x:c r="N140" s="618"/>
      <x:c r="O140" s="618"/>
      <x:c r="P140" s="618"/>
    </x:row>
    <x:row r="141" spans="1:16" ht="12.75" hidden="1" customHeight="1" x14ac:dyDescent="0.3">
      <x:c r="A141" s="618"/>
      <x:c r="D141" s="618"/>
      <x:c r="E141" s="618"/>
      <x:c r="F141" s="618"/>
      <x:c r="G141" s="618"/>
      <x:c r="H141" s="618"/>
      <x:c r="I141" s="618"/>
      <x:c r="J141" s="618"/>
      <x:c r="K141" s="618"/>
      <x:c r="L141" s="618"/>
      <x:c r="M141" s="618"/>
      <x:c r="N141" s="618"/>
      <x:c r="O141" s="618"/>
      <x:c r="P141" s="618"/>
    </x:row>
    <x:row r="142" spans="1:16" ht="12.75" hidden="1" customHeight="1" x14ac:dyDescent="0.3">
      <x:c r="A142" s="618"/>
      <x:c r="D142" s="618"/>
      <x:c r="E142" s="618"/>
      <x:c r="F142" s="618"/>
      <x:c r="G142" s="618"/>
      <x:c r="H142" s="618"/>
      <x:c r="I142" s="618"/>
      <x:c r="J142" s="618"/>
      <x:c r="K142" s="618"/>
      <x:c r="L142" s="618"/>
      <x:c r="M142" s="618"/>
      <x:c r="N142" s="618"/>
      <x:c r="O142" s="618"/>
      <x:c r="P142" s="618"/>
    </x:row>
    <x:row r="143" spans="1:16" ht="12.75" hidden="1" customHeight="1" x14ac:dyDescent="0.3">
      <x:c r="A143" s="618"/>
      <x:c r="D143" s="618"/>
      <x:c r="E143" s="618"/>
      <x:c r="F143" s="618"/>
      <x:c r="G143" s="618"/>
      <x:c r="H143" s="618"/>
      <x:c r="I143" s="618"/>
      <x:c r="J143" s="618"/>
      <x:c r="K143" s="618"/>
      <x:c r="L143" s="618"/>
      <x:c r="M143" s="618"/>
      <x:c r="N143" s="618"/>
      <x:c r="O143" s="618"/>
      <x:c r="P143" s="618"/>
    </x:row>
    <x:row r="144" spans="1:16" ht="12.75" hidden="1" customHeight="1" x14ac:dyDescent="0.3">
      <x:c r="A144" s="618"/>
      <x:c r="D144" s="618"/>
      <x:c r="E144" s="618"/>
      <x:c r="F144" s="618"/>
      <x:c r="G144" s="618"/>
      <x:c r="H144" s="618"/>
      <x:c r="I144" s="618"/>
      <x:c r="J144" s="618"/>
      <x:c r="K144" s="618"/>
      <x:c r="L144" s="618"/>
      <x:c r="M144" s="618"/>
      <x:c r="N144" s="618"/>
      <x:c r="O144" s="618"/>
      <x:c r="P144" s="618"/>
    </x:row>
    <x:row r="145" spans="1:16" ht="12.75" hidden="1" customHeight="1" x14ac:dyDescent="0.3">
      <x:c r="A145" s="618"/>
      <x:c r="D145" s="618"/>
      <x:c r="E145" s="618"/>
      <x:c r="F145" s="618"/>
      <x:c r="G145" s="618"/>
      <x:c r="H145" s="618"/>
      <x:c r="I145" s="618"/>
      <x:c r="J145" s="618"/>
      <x:c r="K145" s="618"/>
      <x:c r="L145" s="618"/>
      <x:c r="M145" s="618"/>
      <x:c r="N145" s="618"/>
      <x:c r="O145" s="618"/>
      <x:c r="P145" s="618"/>
    </x:row>
    <x:row r="146" spans="1:16" ht="12.75" hidden="1" customHeight="1" x14ac:dyDescent="0.3">
      <x:c r="A146" s="618"/>
      <x:c r="D146" s="618"/>
      <x:c r="E146" s="618"/>
      <x:c r="F146" s="618"/>
      <x:c r="G146" s="618"/>
      <x:c r="H146" s="618"/>
      <x:c r="I146" s="618"/>
      <x:c r="J146" s="618"/>
      <x:c r="K146" s="618"/>
      <x:c r="L146" s="618"/>
      <x:c r="M146" s="618"/>
      <x:c r="N146" s="618"/>
      <x:c r="O146" s="618"/>
      <x:c r="P146" s="618"/>
    </x:row>
    <x:row r="147" spans="1:16" ht="12.75" hidden="1" customHeight="1" x14ac:dyDescent="0.3">
      <x:c r="A147" s="618"/>
      <x:c r="D147" s="618"/>
      <x:c r="E147" s="618"/>
      <x:c r="F147" s="618"/>
      <x:c r="G147" s="618"/>
      <x:c r="H147" s="618"/>
      <x:c r="I147" s="618"/>
      <x:c r="J147" s="618"/>
      <x:c r="K147" s="618"/>
      <x:c r="L147" s="618"/>
      <x:c r="M147" s="618"/>
      <x:c r="N147" s="618"/>
      <x:c r="O147" s="618"/>
      <x:c r="P147" s="618"/>
    </x:row>
    <x:row r="148" spans="1:16" ht="12.75" hidden="1" customHeight="1" x14ac:dyDescent="0.3">
      <x:c r="A148" s="618"/>
      <x:c r="D148" s="618"/>
      <x:c r="E148" s="618"/>
      <x:c r="F148" s="618"/>
      <x:c r="G148" s="618"/>
      <x:c r="H148" s="618"/>
      <x:c r="I148" s="618"/>
      <x:c r="J148" s="618"/>
      <x:c r="K148" s="618"/>
      <x:c r="L148" s="618"/>
      <x:c r="M148" s="618"/>
      <x:c r="N148" s="618"/>
      <x:c r="O148" s="618"/>
      <x:c r="P148" s="618"/>
    </x:row>
    <x:row r="149" spans="1:16" ht="12.75" hidden="1" customHeight="1" x14ac:dyDescent="0.3">
      <x:c r="A149" s="618"/>
      <x:c r="D149" s="618"/>
      <x:c r="E149" s="618"/>
      <x:c r="F149" s="618"/>
      <x:c r="G149" s="618"/>
      <x:c r="H149" s="618"/>
      <x:c r="I149" s="618"/>
      <x:c r="J149" s="618"/>
      <x:c r="K149" s="618"/>
      <x:c r="L149" s="618"/>
      <x:c r="M149" s="618"/>
      <x:c r="N149" s="618"/>
      <x:c r="O149" s="618"/>
      <x:c r="P149" s="618"/>
    </x:row>
    <x:row r="150" spans="1:16" ht="12.75" hidden="1" customHeight="1" x14ac:dyDescent="0.3">
      <x:c r="A150" s="618"/>
      <x:c r="D150" s="618"/>
      <x:c r="E150" s="618"/>
      <x:c r="F150" s="618"/>
      <x:c r="G150" s="618"/>
      <x:c r="H150" s="618"/>
      <x:c r="I150" s="618"/>
      <x:c r="J150" s="618"/>
      <x:c r="K150" s="618"/>
      <x:c r="L150" s="618"/>
      <x:c r="M150" s="618"/>
      <x:c r="N150" s="618"/>
      <x:c r="O150" s="618"/>
      <x:c r="P150" s="618"/>
    </x:row>
    <x:row r="151" spans="1:16" ht="12.75" hidden="1" customHeight="1" x14ac:dyDescent="0.3">
      <x:c r="A151" s="618"/>
      <x:c r="D151" s="618"/>
      <x:c r="E151" s="618"/>
      <x:c r="F151" s="618"/>
      <x:c r="G151" s="618"/>
      <x:c r="H151" s="618"/>
      <x:c r="I151" s="618"/>
      <x:c r="J151" s="618"/>
      <x:c r="K151" s="618"/>
      <x:c r="L151" s="618"/>
      <x:c r="M151" s="618"/>
      <x:c r="N151" s="618"/>
      <x:c r="O151" s="618"/>
      <x:c r="P151" s="618"/>
    </x:row>
    <x:row r="152" spans="1:16" ht="12.75" hidden="1" customHeight="1" x14ac:dyDescent="0.3">
      <x:c r="A152" s="618"/>
      <x:c r="D152" s="618"/>
      <x:c r="E152" s="618"/>
      <x:c r="F152" s="618"/>
      <x:c r="G152" s="618"/>
      <x:c r="H152" s="618"/>
      <x:c r="I152" s="618"/>
      <x:c r="J152" s="618"/>
      <x:c r="K152" s="618"/>
      <x:c r="L152" s="618"/>
      <x:c r="M152" s="618"/>
      <x:c r="N152" s="618"/>
      <x:c r="O152" s="618"/>
      <x:c r="P152" s="618"/>
    </x:row>
    <x:row r="153" spans="1:16" ht="12.75" hidden="1" customHeight="1" x14ac:dyDescent="0.3">
      <x:c r="A153" s="618"/>
      <x:c r="D153" s="618"/>
      <x:c r="E153" s="618"/>
      <x:c r="F153" s="618"/>
      <x:c r="G153" s="618"/>
      <x:c r="H153" s="618"/>
      <x:c r="I153" s="618"/>
      <x:c r="J153" s="618"/>
      <x:c r="K153" s="618"/>
      <x:c r="L153" s="618"/>
      <x:c r="M153" s="618"/>
      <x:c r="N153" s="618"/>
      <x:c r="O153" s="618"/>
      <x:c r="P153" s="618"/>
    </x:row>
    <x:row r="154" spans="1:16" ht="12.75" hidden="1" customHeight="1" x14ac:dyDescent="0.3">
      <x:c r="A154" s="618"/>
      <x:c r="D154" s="618"/>
      <x:c r="E154" s="618"/>
      <x:c r="F154" s="618"/>
      <x:c r="G154" s="618"/>
      <x:c r="H154" s="618"/>
      <x:c r="I154" s="618"/>
      <x:c r="J154" s="618"/>
      <x:c r="K154" s="618"/>
      <x:c r="L154" s="618"/>
      <x:c r="M154" s="618"/>
      <x:c r="N154" s="618"/>
      <x:c r="O154" s="618"/>
      <x:c r="P154" s="618"/>
    </x:row>
    <x:row r="155" spans="1:16" ht="12.75" hidden="1" customHeight="1" x14ac:dyDescent="0.3">
      <x:c r="A155" s="618"/>
      <x:c r="D155" s="618"/>
      <x:c r="E155" s="618"/>
      <x:c r="F155" s="618"/>
      <x:c r="G155" s="618"/>
      <x:c r="H155" s="618"/>
      <x:c r="I155" s="618"/>
      <x:c r="J155" s="618"/>
      <x:c r="K155" s="618"/>
      <x:c r="L155" s="618"/>
      <x:c r="M155" s="618"/>
      <x:c r="N155" s="618"/>
      <x:c r="O155" s="618"/>
      <x:c r="P155" s="618"/>
    </x:row>
    <x:row r="156" spans="1:16" ht="12.75" hidden="1" customHeight="1" x14ac:dyDescent="0.3">
      <x:c r="A156" s="618"/>
      <x:c r="D156" s="618"/>
      <x:c r="E156" s="618"/>
      <x:c r="F156" s="618"/>
      <x:c r="G156" s="618"/>
      <x:c r="H156" s="618"/>
      <x:c r="I156" s="618"/>
      <x:c r="J156" s="618"/>
      <x:c r="K156" s="618"/>
      <x:c r="L156" s="618"/>
      <x:c r="M156" s="618"/>
      <x:c r="N156" s="618"/>
      <x:c r="O156" s="618"/>
      <x:c r="P156" s="618"/>
    </x:row>
    <x:row r="157" spans="1:16" ht="12.75" hidden="1" customHeight="1" x14ac:dyDescent="0.3">
      <x:c r="A157" s="618"/>
      <x:c r="D157" s="618"/>
      <x:c r="E157" s="618"/>
      <x:c r="F157" s="618"/>
      <x:c r="G157" s="618"/>
      <x:c r="H157" s="618"/>
      <x:c r="I157" s="618"/>
      <x:c r="J157" s="618"/>
      <x:c r="K157" s="618"/>
      <x:c r="L157" s="618"/>
      <x:c r="M157" s="618"/>
      <x:c r="N157" s="618"/>
      <x:c r="O157" s="618"/>
      <x:c r="P157" s="618"/>
    </x:row>
    <x:row r="158" spans="1:16" ht="12.75" hidden="1" customHeight="1" x14ac:dyDescent="0.3">
      <x:c r="A158" s="618"/>
      <x:c r="D158" s="618"/>
      <x:c r="E158" s="618"/>
      <x:c r="F158" s="618"/>
      <x:c r="G158" s="618"/>
      <x:c r="H158" s="618"/>
      <x:c r="I158" s="618"/>
      <x:c r="J158" s="618"/>
      <x:c r="K158" s="618"/>
      <x:c r="L158" s="618"/>
      <x:c r="M158" s="618"/>
      <x:c r="N158" s="618"/>
      <x:c r="O158" s="618"/>
      <x:c r="P158" s="618"/>
    </x:row>
    <x:row r="159" spans="1:16" ht="12.75" hidden="1" customHeight="1" x14ac:dyDescent="0.3">
      <x:c r="A159" s="618"/>
      <x:c r="D159" s="618"/>
      <x:c r="E159" s="618"/>
      <x:c r="F159" s="618"/>
      <x:c r="G159" s="618"/>
      <x:c r="H159" s="618"/>
      <x:c r="I159" s="618"/>
      <x:c r="J159" s="618"/>
      <x:c r="K159" s="618"/>
      <x:c r="L159" s="618"/>
      <x:c r="M159" s="618"/>
      <x:c r="N159" s="618"/>
      <x:c r="O159" s="618"/>
      <x:c r="P159" s="618"/>
    </x:row>
    <x:row r="160" spans="1:16" ht="12.75" hidden="1" customHeight="1" x14ac:dyDescent="0.3">
      <x:c r="A160" s="618"/>
      <x:c r="D160" s="618"/>
      <x:c r="E160" s="618"/>
      <x:c r="F160" s="618"/>
      <x:c r="G160" s="618"/>
      <x:c r="H160" s="618"/>
      <x:c r="I160" s="618"/>
      <x:c r="J160" s="618"/>
      <x:c r="K160" s="618"/>
      <x:c r="L160" s="618"/>
      <x:c r="M160" s="618"/>
      <x:c r="N160" s="618"/>
      <x:c r="O160" s="618"/>
      <x:c r="P160" s="618"/>
    </x:row>
    <x:row r="161" spans="1:18" ht="12.75" hidden="1" customHeight="1" x14ac:dyDescent="0.3">
      <x:c r="A161" s="618"/>
      <x:c r="D161" s="618"/>
      <x:c r="E161" s="618"/>
      <x:c r="F161" s="618"/>
      <x:c r="G161" s="618"/>
      <x:c r="H161" s="618"/>
      <x:c r="I161" s="618"/>
      <x:c r="J161" s="618"/>
      <x:c r="K161" s="618"/>
      <x:c r="L161" s="618"/>
      <x:c r="M161" s="618"/>
      <x:c r="N161" s="618"/>
      <x:c r="O161" s="618"/>
      <x:c r="P161" s="618"/>
    </x:row>
    <x:row r="162" spans="1:18" ht="12.75" hidden="1" customHeight="1" x14ac:dyDescent="0.3">
      <x:c r="A162" s="618"/>
      <x:c r="D162" s="618"/>
      <x:c r="E162" s="618"/>
      <x:c r="F162" s="618"/>
      <x:c r="G162" s="618"/>
      <x:c r="H162" s="618"/>
      <x:c r="I162" s="618"/>
      <x:c r="J162" s="618"/>
      <x:c r="K162" s="618"/>
      <x:c r="L162" s="618"/>
      <x:c r="M162" s="618"/>
      <x:c r="N162" s="618"/>
      <x:c r="O162" s="618"/>
      <x:c r="P162" s="618"/>
    </x:row>
    <x:row r="163" spans="1:18" ht="12.75" hidden="1" customHeight="1" x14ac:dyDescent="0.3">
      <x:c r="A163" s="618"/>
      <x:c r="D163" s="618"/>
      <x:c r="E163" s="618"/>
      <x:c r="F163" s="618"/>
      <x:c r="G163" s="618"/>
      <x:c r="H163" s="618"/>
      <x:c r="I163" s="618"/>
      <x:c r="J163" s="618"/>
      <x:c r="K163" s="618"/>
      <x:c r="L163" s="618"/>
      <x:c r="M163" s="618"/>
      <x:c r="N163" s="618"/>
      <x:c r="O163" s="618"/>
      <x:c r="P163" s="618"/>
    </x:row>
    <x:row r="164" spans="1:18" ht="12.75" hidden="1" customHeight="1" x14ac:dyDescent="0.3">
      <x:c r="A164" s="618"/>
      <x:c r="D164" s="618"/>
      <x:c r="E164" s="618"/>
      <x:c r="F164" s="618"/>
      <x:c r="G164" s="618"/>
      <x:c r="H164" s="618"/>
      <x:c r="I164" s="618"/>
      <x:c r="J164" s="618"/>
      <x:c r="K164" s="618"/>
      <x:c r="L164" s="618"/>
      <x:c r="M164" s="618"/>
      <x:c r="N164" s="618"/>
      <x:c r="O164" s="618"/>
      <x:c r="P164" s="618"/>
    </x:row>
    <x:row r="165" spans="1:18" ht="12.75" hidden="1" customHeight="1" x14ac:dyDescent="0.3">
      <x:c r="A165" s="618"/>
      <x:c r="D165" s="618"/>
      <x:c r="E165" s="618"/>
      <x:c r="F165" s="618"/>
      <x:c r="G165" s="618"/>
      <x:c r="H165" s="618"/>
      <x:c r="I165" s="618"/>
      <x:c r="J165" s="618"/>
      <x:c r="K165" s="618"/>
      <x:c r="L165" s="618"/>
      <x:c r="M165" s="618"/>
      <x:c r="N165" s="618"/>
      <x:c r="O165" s="618"/>
      <x:c r="P165" s="618"/>
    </x:row>
    <x:row r="166" spans="1:18" ht="12.75" hidden="1" customHeight="1" x14ac:dyDescent="0.3">
      <x:c r="A166" s="618"/>
      <x:c r="D166" s="618"/>
      <x:c r="E166" s="618"/>
      <x:c r="F166" s="618"/>
      <x:c r="G166" s="618"/>
      <x:c r="H166" s="618"/>
      <x:c r="I166" s="618"/>
      <x:c r="J166" s="618"/>
      <x:c r="K166" s="618"/>
      <x:c r="L166" s="618"/>
      <x:c r="M166" s="618"/>
      <x:c r="N166" s="618"/>
      <x:c r="O166" s="618"/>
      <x:c r="P166" s="618"/>
    </x:row>
    <x:row r="167" spans="1:18" ht="12.75" hidden="1" customHeight="1" x14ac:dyDescent="0.3">
      <x:c r="A167" s="618"/>
      <x:c r="D167" s="618"/>
      <x:c r="E167" s="618"/>
      <x:c r="F167" s="618"/>
      <x:c r="G167" s="618"/>
      <x:c r="H167" s="618"/>
      <x:c r="I167" s="618"/>
      <x:c r="J167" s="618"/>
      <x:c r="K167" s="618"/>
      <x:c r="L167" s="618"/>
      <x:c r="M167" s="618"/>
      <x:c r="N167" s="618"/>
      <x:c r="O167" s="618"/>
      <x:c r="P167" s="618"/>
    </x:row>
    <x:row r="168" spans="1:18" ht="12.75" hidden="1" customHeight="1" x14ac:dyDescent="0.3">
      <x:c r="A168" s="618"/>
      <x:c r="D168" s="618"/>
      <x:c r="E168" s="618"/>
      <x:c r="F168" s="618"/>
      <x:c r="G168" s="618"/>
      <x:c r="H168" s="618"/>
      <x:c r="I168" s="618"/>
      <x:c r="J168" s="618"/>
      <x:c r="K168" s="618"/>
      <x:c r="L168" s="618"/>
      <x:c r="M168" s="618"/>
      <x:c r="N168" s="618"/>
      <x:c r="O168" s="618"/>
      <x:c r="P168" s="618"/>
    </x:row>
    <x:row r="169" spans="1:18" ht="12.75" hidden="1" customHeight="1" x14ac:dyDescent="0.3">
      <x:c r="A169" s="618"/>
      <x:c r="D169" s="618"/>
      <x:c r="E169" s="618"/>
      <x:c r="F169" s="618"/>
      <x:c r="G169" s="618"/>
      <x:c r="H169" s="618"/>
      <x:c r="I169" s="618"/>
      <x:c r="J169" s="618"/>
      <x:c r="K169" s="618"/>
      <x:c r="L169" s="618"/>
      <x:c r="M169" s="618"/>
      <x:c r="N169" s="618"/>
      <x:c r="O169" s="618"/>
      <x:c r="P169" s="618"/>
    </x:row>
    <x:row r="170" spans="1:18" ht="12.75" hidden="1" customHeight="1" x14ac:dyDescent="0.3">
      <x:c r="A170" s="618"/>
      <x:c r="D170" s="618"/>
      <x:c r="E170" s="618"/>
      <x:c r="F170" s="618"/>
      <x:c r="G170" s="618"/>
      <x:c r="H170" s="618"/>
      <x:c r="I170" s="618"/>
      <x:c r="J170" s="618"/>
      <x:c r="K170" s="618"/>
      <x:c r="L170" s="618"/>
      <x:c r="M170" s="618"/>
      <x:c r="N170" s="618"/>
      <x:c r="O170" s="618"/>
      <x:c r="P170" s="618"/>
    </x:row>
    <x:row r="171" spans="1:18" ht="12.75" hidden="1" customHeight="1" x14ac:dyDescent="0.3">
      <x:c r="A171" s="618"/>
      <x:c r="D171" s="618"/>
      <x:c r="E171" s="618"/>
      <x:c r="F171" s="618"/>
      <x:c r="G171" s="618"/>
      <x:c r="H171" s="618"/>
      <x:c r="I171" s="618"/>
      <x:c r="J171" s="618"/>
      <x:c r="K171" s="618"/>
      <x:c r="L171" s="618"/>
      <x:c r="M171" s="618"/>
      <x:c r="N171" s="618"/>
      <x:c r="O171" s="618"/>
      <x:c r="P171" s="618"/>
    </x:row>
    <x:row r="172" spans="1:18" ht="12.75" hidden="1" customHeight="1" x14ac:dyDescent="0.3">
      <x:c r="A172" s="618"/>
      <x:c r="D172" s="618"/>
      <x:c r="E172" s="618"/>
      <x:c r="F172" s="618"/>
      <x:c r="G172" s="618"/>
      <x:c r="H172" s="618"/>
      <x:c r="I172" s="618"/>
      <x:c r="J172" s="618"/>
      <x:c r="K172" s="618"/>
      <x:c r="L172" s="618"/>
      <x:c r="M172" s="618"/>
      <x:c r="N172" s="618"/>
      <x:c r="O172" s="618"/>
      <x:c r="P172" s="618"/>
    </x:row>
    <x:row r="173" spans="1:18" ht="12.75" customHeight="1" x14ac:dyDescent="0.3">
      <x:c r="A173" s="618"/>
      <x:c r="D173" s="618"/>
      <x:c r="E173" s="618"/>
      <x:c r="F173" s="618"/>
      <x:c r="G173" s="618"/>
      <x:c r="H173" s="618"/>
      <x:c r="I173" s="618"/>
      <x:c r="J173" s="618"/>
      <x:c r="K173" s="618"/>
      <x:c r="L173" s="618"/>
      <x:c r="M173" s="618"/>
      <x:c r="N173" s="618"/>
      <x:c r="O173" s="618"/>
      <x:c r="P173" s="618"/>
    </x:row>
    <x:row r="174" spans="1:18" ht="12.75" customHeight="1" x14ac:dyDescent="0.3">
      <x:c r="A174" s="781" t="s">
        <x:v>2</x:v>
      </x:c>
      <x:c r="B174" s="780" t="s">
        <x:v>132</x:v>
      </x:c>
      <x:c r="C174" s="766" t="s">
        <x:v>70</x:v>
      </x:c>
      <x:c r="D174" s="766">
        <x:f>D111-P111</x:f>
        <x:v>0</x:v>
      </x:c>
      <x:c r="E174" s="766">
        <x:f>E95+E101+E107</x:f>
        <x:v>0</x:v>
      </x:c>
      <x:c r="F174" s="766">
        <x:f t="shared" ref="F174:R174" si="3">F95+F101+F107</x:f>
        <x:v>0</x:v>
      </x:c>
      <x:c r="G174" s="766">
        <x:f t="shared" si="3"/>
        <x:v>0</x:v>
      </x:c>
      <x:c r="H174" s="766">
        <x:f t="shared" si="3"/>
        <x:v>0</x:v>
      </x:c>
      <x:c r="I174" s="766">
        <x:f t="shared" si="3"/>
        <x:v>0</x:v>
      </x:c>
      <x:c r="J174" s="766">
        <x:f t="shared" si="3"/>
        <x:v>0</x:v>
      </x:c>
      <x:c r="K174" s="766">
        <x:f t="shared" si="3"/>
        <x:v>0</x:v>
      </x:c>
      <x:c r="L174" s="766">
        <x:f t="shared" si="3"/>
        <x:v>0</x:v>
      </x:c>
      <x:c r="M174" s="766">
        <x:f t="shared" si="3"/>
        <x:v>0</x:v>
      </x:c>
      <x:c r="N174" s="766">
        <x:f t="shared" si="3"/>
        <x:v>0</x:v>
      </x:c>
      <x:c r="O174" s="766">
        <x:f t="shared" si="3"/>
        <x:v>0</x:v>
      </x:c>
      <x:c r="P174" s="766">
        <x:f t="shared" si="3"/>
        <x:v>0</x:v>
      </x:c>
      <x:c r="Q174" s="766">
        <x:f t="shared" si="3"/>
        <x:v>0</x:v>
      </x:c>
      <x:c r="R174" s="766">
        <x:f t="shared" si="3"/>
        <x:v>0</x:v>
      </x:c>
    </x:row>
    <x:row r="175" spans="1:18" ht="12.75" customHeight="1" x14ac:dyDescent="0.3">
      <x:c r="A175" s="781"/>
      <x:c r="B175" s="780"/>
      <x:c r="C175" s="766" t="s">
        <x:v>73</x:v>
      </x:c>
      <x:c r="D175" s="766">
        <x:f>D97+D103+D109</x:f>
        <x:v>0</x:v>
      </x:c>
      <x:c r="E175" s="618"/>
      <x:c r="F175" s="618"/>
      <x:c r="G175" s="618"/>
      <x:c r="H175" s="618"/>
      <x:c r="I175" s="618"/>
      <x:c r="J175" s="618"/>
      <x:c r="K175" s="618"/>
      <x:c r="L175" s="618"/>
      <x:c r="M175" s="618"/>
      <x:c r="N175" s="618"/>
      <x:c r="O175" s="618"/>
      <x:c r="P175" s="618"/>
      <x:c r="Q175" s="618"/>
    </x:row>
    <x:row r="176" spans="1:18" ht="12.75" customHeight="1" x14ac:dyDescent="0.3">
      <x:c r="A176" s="617"/>
      <x:c r="D176" s="618"/>
      <x:c r="E176" s="618"/>
      <x:c r="F176" s="618"/>
      <x:c r="G176" s="618"/>
      <x:c r="H176" s="618"/>
      <x:c r="I176" s="618"/>
      <x:c r="J176" s="618"/>
      <x:c r="K176" s="618"/>
      <x:c r="L176" s="618"/>
      <x:c r="M176" s="618"/>
      <x:c r="N176" s="618"/>
      <x:c r="O176" s="618"/>
      <x:c r="P176" s="618"/>
      <x:c r="Q176" s="618"/>
    </x:row>
    <x:row r="177" spans="1:18" ht="12.75" customHeight="1" x14ac:dyDescent="0.3">
      <x:c r="A177" s="781" t="s">
        <x:v>160</x:v>
      </x:c>
      <x:c r="B177" s="780" t="s">
        <x:v>132</x:v>
      </x:c>
      <x:c r="C177" s="632" t="s">
        <x:v>70</x:v>
      </x:c>
      <x:c r="D177" s="632">
        <x:f>D104-P104</x:f>
        <x:v>0</x:v>
      </x:c>
      <x:c r="E177" s="632">
        <x:f>E101</x:f>
        <x:v>0</x:v>
      </x:c>
      <x:c r="F177" s="632">
        <x:f t="shared" ref="F177:R177" si="4">F101</x:f>
        <x:v>0</x:v>
      </x:c>
      <x:c r="G177" s="632">
        <x:f t="shared" si="4"/>
        <x:v>0</x:v>
      </x:c>
      <x:c r="H177" s="632">
        <x:f t="shared" si="4"/>
        <x:v>0</x:v>
      </x:c>
      <x:c r="I177" s="632">
        <x:f t="shared" si="4"/>
        <x:v>0</x:v>
      </x:c>
      <x:c r="J177" s="632">
        <x:f t="shared" si="4"/>
        <x:v>0</x:v>
      </x:c>
      <x:c r="K177" s="632">
        <x:f t="shared" si="4"/>
        <x:v>0</x:v>
      </x:c>
      <x:c r="L177" s="632">
        <x:f t="shared" si="4"/>
        <x:v>0</x:v>
      </x:c>
      <x:c r="M177" s="632">
        <x:f t="shared" si="4"/>
        <x:v>0</x:v>
      </x:c>
      <x:c r="N177" s="632">
        <x:f t="shared" si="4"/>
        <x:v>0</x:v>
      </x:c>
      <x:c r="O177" s="632">
        <x:f t="shared" si="4"/>
        <x:v>0</x:v>
      </x:c>
      <x:c r="P177" s="632">
        <x:f t="shared" si="4"/>
        <x:v>0</x:v>
      </x:c>
      <x:c r="Q177" s="632">
        <x:f t="shared" si="4"/>
        <x:v>0</x:v>
      </x:c>
      <x:c r="R177" s="632">
        <x:f t="shared" si="4"/>
        <x:v>0</x:v>
      </x:c>
    </x:row>
    <x:row r="178" spans="1:18" ht="12.75" customHeight="1" x14ac:dyDescent="0.3">
      <x:c r="A178" s="781"/>
      <x:c r="B178" s="780"/>
      <x:c r="C178" s="632" t="s">
        <x:v>73</x:v>
      </x:c>
      <x:c r="D178" s="632">
        <x:f>D103</x:f>
        <x:v>0</x:v>
      </x:c>
      <x:c r="E178" s="618"/>
      <x:c r="F178" s="618"/>
      <x:c r="G178" s="618"/>
      <x:c r="H178" s="618"/>
      <x:c r="I178" s="618"/>
      <x:c r="J178" s="618"/>
      <x:c r="K178" s="618"/>
      <x:c r="L178" s="618"/>
      <x:c r="M178" s="618"/>
      <x:c r="N178" s="618"/>
      <x:c r="O178" s="618"/>
      <x:c r="P178" s="618"/>
      <x:c r="Q178" s="618"/>
    </x:row>
    <x:row r="179" spans="1:18" ht="12.75" customHeight="1" x14ac:dyDescent="0.3">
      <x:c r="A179" s="617"/>
      <x:c r="D179" s="618"/>
      <x:c r="E179" s="618"/>
      <x:c r="F179" s="618"/>
      <x:c r="G179" s="618"/>
      <x:c r="H179" s="618"/>
      <x:c r="I179" s="618"/>
      <x:c r="J179" s="618"/>
      <x:c r="K179" s="618"/>
      <x:c r="L179" s="618"/>
      <x:c r="M179" s="618"/>
      <x:c r="N179" s="618"/>
      <x:c r="O179" s="618"/>
      <x:c r="P179" s="618"/>
      <x:c r="Q179" s="618"/>
    </x:row>
    <x:row r="180" spans="1:18" ht="12.75" customHeight="1" x14ac:dyDescent="0.3">
      <x:c r="A180" s="781" t="s">
        <x:v>155</x:v>
      </x:c>
      <x:c r="B180" s="780" t="s">
        <x:v>132</x:v>
      </x:c>
      <x:c r="C180" s="633" t="s">
        <x:v>70</x:v>
      </x:c>
      <x:c r="D180" s="633">
        <x:f>D98-P98</x:f>
        <x:v>0</x:v>
      </x:c>
      <x:c r="E180" s="633">
        <x:f>E95</x:f>
        <x:v>0</x:v>
      </x:c>
      <x:c r="F180" s="633">
        <x:f t="shared" ref="F180:R180" si="5">F95</x:f>
        <x:v>0</x:v>
      </x:c>
      <x:c r="G180" s="633">
        <x:f t="shared" si="5"/>
        <x:v>0</x:v>
      </x:c>
      <x:c r="H180" s="633">
        <x:f t="shared" si="5"/>
        <x:v>0</x:v>
      </x:c>
      <x:c r="I180" s="633">
        <x:f t="shared" si="5"/>
        <x:v>0</x:v>
      </x:c>
      <x:c r="J180" s="633">
        <x:f t="shared" si="5"/>
        <x:v>0</x:v>
      </x:c>
      <x:c r="K180" s="633">
        <x:f t="shared" si="5"/>
        <x:v>0</x:v>
      </x:c>
      <x:c r="L180" s="633">
        <x:f t="shared" si="5"/>
        <x:v>0</x:v>
      </x:c>
      <x:c r="M180" s="633">
        <x:f t="shared" si="5"/>
        <x:v>0</x:v>
      </x:c>
      <x:c r="N180" s="633">
        <x:f t="shared" si="5"/>
        <x:v>0</x:v>
      </x:c>
      <x:c r="O180" s="633">
        <x:f t="shared" si="5"/>
        <x:v>0</x:v>
      </x:c>
      <x:c r="P180" s="633">
        <x:f t="shared" si="5"/>
        <x:v>0</x:v>
      </x:c>
      <x:c r="Q180" s="633">
        <x:f t="shared" si="5"/>
        <x:v>0</x:v>
      </x:c>
      <x:c r="R180" s="633">
        <x:f t="shared" si="5"/>
        <x:v>0</x:v>
      </x:c>
    </x:row>
    <x:row r="181" spans="1:18" ht="12.75" customHeight="1" x14ac:dyDescent="0.3">
      <x:c r="A181" s="781"/>
      <x:c r="B181" s="780"/>
      <x:c r="C181" s="633" t="s">
        <x:v>73</x:v>
      </x:c>
      <x:c r="D181" s="633">
        <x:f>D97</x:f>
        <x:v>0</x:v>
      </x:c>
      <x:c r="E181" s="618"/>
      <x:c r="F181" s="618"/>
      <x:c r="G181" s="618"/>
      <x:c r="H181" s="618"/>
      <x:c r="I181" s="618"/>
      <x:c r="J181" s="618"/>
      <x:c r="K181" s="618"/>
      <x:c r="L181" s="618"/>
      <x:c r="M181" s="618"/>
      <x:c r="N181" s="618"/>
      <x:c r="O181" s="618"/>
      <x:c r="P181" s="618"/>
      <x:c r="Q181" s="618"/>
    </x:row>
    <x:row r="182" spans="1:18" ht="12.75" customHeight="1" x14ac:dyDescent="0.3">
      <x:c r="A182" s="722"/>
      <x:c r="B182" s="721"/>
      <x:c r="C182" s="618"/>
      <x:c r="D182" s="618"/>
      <x:c r="E182" s="618"/>
      <x:c r="F182" s="618"/>
      <x:c r="G182" s="618"/>
      <x:c r="H182" s="618"/>
      <x:c r="I182" s="618"/>
      <x:c r="J182" s="618"/>
      <x:c r="K182" s="618"/>
      <x:c r="L182" s="618"/>
      <x:c r="M182" s="618"/>
      <x:c r="N182" s="618"/>
      <x:c r="O182" s="618"/>
      <x:c r="P182" s="618"/>
      <x:c r="Q182" s="618"/>
    </x:row>
    <x:row r="183" spans="1:18" ht="12.75" customHeight="1" x14ac:dyDescent="0.3">
      <x:c r="A183" s="782" t="s">
        <x:v>326</x:v>
      </x:c>
      <x:c r="B183" s="780" t="s">
        <x:v>132</x:v>
      </x:c>
      <x:c r="C183" s="633" t="s">
        <x:v>70</x:v>
      </x:c>
      <x:c r="D183" s="720">
        <x:v>0</x:v>
      </x:c>
      <x:c r="E183" s="720">
        <x:v>0</x:v>
      </x:c>
      <x:c r="F183" s="720">
        <x:v>0</x:v>
      </x:c>
      <x:c r="G183" s="720">
        <x:v>0</x:v>
      </x:c>
      <x:c r="H183" s="720">
        <x:v>0</x:v>
      </x:c>
      <x:c r="I183" s="720">
        <x:v>0</x:v>
      </x:c>
      <x:c r="J183" s="720">
        <x:v>0</x:v>
      </x:c>
      <x:c r="K183" s="720">
        <x:v>0</x:v>
      </x:c>
      <x:c r="L183" s="720">
        <x:v>0</x:v>
      </x:c>
      <x:c r="M183" s="720">
        <x:v>0</x:v>
      </x:c>
      <x:c r="N183" s="720">
        <x:v>0</x:v>
      </x:c>
      <x:c r="O183" s="720">
        <x:v>0</x:v>
      </x:c>
      <x:c r="P183" s="720">
        <x:v>0</x:v>
      </x:c>
      <x:c r="Q183" s="720">
        <x:v>0</x:v>
      </x:c>
      <x:c r="R183" s="720">
        <x:v>0</x:v>
      </x:c>
    </x:row>
    <x:row r="184" spans="1:18" ht="12.75" customHeight="1" x14ac:dyDescent="0.3">
      <x:c r="A184" s="782"/>
      <x:c r="B184" s="780"/>
      <x:c r="C184" s="633" t="s">
        <x:v>73</x:v>
      </x:c>
      <x:c r="D184" s="720">
        <x:v>0</x:v>
      </x:c>
      <x:c r="E184" s="618"/>
      <x:c r="F184" s="618"/>
      <x:c r="G184" s="618"/>
      <x:c r="H184" s="618"/>
      <x:c r="I184" s="618"/>
      <x:c r="J184" s="618"/>
      <x:c r="K184" s="618"/>
      <x:c r="L184" s="618"/>
      <x:c r="M184" s="618"/>
      <x:c r="N184" s="618"/>
      <x:c r="O184" s="618"/>
      <x:c r="P184" s="618"/>
      <x:c r="Q184" s="618"/>
    </x:row>
    <x:row r="185" spans="1:18" ht="12.75" customHeight="1" x14ac:dyDescent="0.3">
      <x:c r="A185" s="617"/>
      <x:c r="D185" s="618"/>
      <x:c r="E185" s="618"/>
      <x:c r="F185" s="618"/>
      <x:c r="G185" s="618"/>
      <x:c r="H185" s="618"/>
      <x:c r="I185" s="618"/>
      <x:c r="J185" s="618"/>
      <x:c r="K185" s="618"/>
      <x:c r="L185" s="618"/>
      <x:c r="M185" s="618"/>
      <x:c r="N185" s="618"/>
      <x:c r="O185" s="618"/>
      <x:c r="P185" s="618"/>
      <x:c r="Q185" s="618"/>
    </x:row>
    <x:row r="186" spans="1:18" ht="12.75" customHeight="1" x14ac:dyDescent="0.3">
      <x:c r="A186" s="781" t="s">
        <x:v>119</x:v>
      </x:c>
      <x:c r="B186" s="780" t="s">
        <x:v>132</x:v>
      </x:c>
      <x:c r="C186" s="628" t="s">
        <x:v>70</x:v>
      </x:c>
      <x:c r="D186" s="628">
        <x:f>D110-P110</x:f>
        <x:v>0</x:v>
      </x:c>
      <x:c r="E186" s="628">
        <x:f>E107</x:f>
        <x:v>0</x:v>
      </x:c>
      <x:c r="F186" s="628">
        <x:f t="shared" ref="F186:R186" si="6">F107</x:f>
        <x:v>0</x:v>
      </x:c>
      <x:c r="G186" s="628">
        <x:f t="shared" si="6"/>
        <x:v>0</x:v>
      </x:c>
      <x:c r="H186" s="628">
        <x:f t="shared" si="6"/>
        <x:v>0</x:v>
      </x:c>
      <x:c r="I186" s="628">
        <x:f t="shared" si="6"/>
        <x:v>0</x:v>
      </x:c>
      <x:c r="J186" s="628">
        <x:f t="shared" si="6"/>
        <x:v>0</x:v>
      </x:c>
      <x:c r="K186" s="628">
        <x:f t="shared" si="6"/>
        <x:v>0</x:v>
      </x:c>
      <x:c r="L186" s="628">
        <x:f t="shared" si="6"/>
        <x:v>0</x:v>
      </x:c>
      <x:c r="M186" s="628">
        <x:f t="shared" si="6"/>
        <x:v>0</x:v>
      </x:c>
      <x:c r="N186" s="628">
        <x:f t="shared" si="6"/>
        <x:v>0</x:v>
      </x:c>
      <x:c r="O186" s="628">
        <x:f t="shared" si="6"/>
        <x:v>0</x:v>
      </x:c>
      <x:c r="P186" s="628">
        <x:f t="shared" si="6"/>
        <x:v>0</x:v>
      </x:c>
      <x:c r="Q186" s="628">
        <x:f t="shared" si="6"/>
        <x:v>0</x:v>
      </x:c>
      <x:c r="R186" s="628">
        <x:f t="shared" si="6"/>
        <x:v>0</x:v>
      </x:c>
    </x:row>
    <x:row r="187" spans="1:18" ht="12.75" customHeight="1" x14ac:dyDescent="0.3">
      <x:c r="A187" s="781"/>
      <x:c r="B187" s="780"/>
      <x:c r="C187" s="628" t="s">
        <x:v>73</x:v>
      </x:c>
      <x:c r="D187" s="628">
        <x:f>D109</x:f>
        <x:v>0</x:v>
      </x:c>
      <x:c r="E187" s="618"/>
      <x:c r="F187" s="618"/>
      <x:c r="G187" s="618"/>
      <x:c r="H187" s="618"/>
      <x:c r="I187" s="618"/>
      <x:c r="J187" s="618"/>
      <x:c r="K187" s="618"/>
      <x:c r="L187" s="618"/>
      <x:c r="M187" s="618"/>
      <x:c r="N187" s="618"/>
      <x:c r="O187" s="618"/>
      <x:c r="P187" s="618"/>
      <x:c r="Q187" s="618"/>
      <x:c r="R187" s="618"/>
    </x:row>
    <x:row r="188" spans="1:18" ht="12.75" customHeight="1" x14ac:dyDescent="0.3">
      <x:c r="A188" s="617"/>
      <x:c r="D188" s="618"/>
      <x:c r="E188" s="618"/>
      <x:c r="F188" s="618"/>
      <x:c r="G188" s="618"/>
      <x:c r="H188" s="618"/>
      <x:c r="I188" s="618"/>
      <x:c r="J188" s="618"/>
      <x:c r="K188" s="618"/>
      <x:c r="L188" s="618"/>
      <x:c r="M188" s="618"/>
      <x:c r="N188" s="618"/>
      <x:c r="O188" s="618"/>
      <x:c r="P188" s="618"/>
      <x:c r="Q188" s="618"/>
      <x:c r="R188" s="618"/>
    </x:row>
    <x:row r="189" spans="1:18" ht="12.75" customHeight="1" x14ac:dyDescent="0.3">
      <x:c r="A189" s="779" t="s">
        <x:v>161</x:v>
      </x:c>
      <x:c r="B189" s="780" t="s">
        <x:v>132</x:v>
      </x:c>
      <x:c r="C189" s="634" t="s">
        <x:v>70</x:v>
      </x:c>
      <x:c r="D189" s="634">
        <x:v>0</x:v>
      </x:c>
      <x:c r="E189" s="634">
        <x:v>0</x:v>
      </x:c>
      <x:c r="F189" s="634">
        <x:v>0</x:v>
      </x:c>
      <x:c r="G189" s="634">
        <x:v>0</x:v>
      </x:c>
      <x:c r="H189" s="634">
        <x:v>0</x:v>
      </x:c>
      <x:c r="I189" s="634">
        <x:v>0</x:v>
      </x:c>
      <x:c r="J189" s="634">
        <x:v>0</x:v>
      </x:c>
      <x:c r="K189" s="634">
        <x:v>0</x:v>
      </x:c>
      <x:c r="L189" s="634">
        <x:v>0</x:v>
      </x:c>
      <x:c r="M189" s="634">
        <x:v>0</x:v>
      </x:c>
      <x:c r="N189" s="634">
        <x:v>0</x:v>
      </x:c>
      <x:c r="O189" s="634">
        <x:v>0</x:v>
      </x:c>
      <x:c r="P189" s="634">
        <x:v>0</x:v>
      </x:c>
      <x:c r="Q189" s="634">
        <x:v>0</x:v>
      </x:c>
      <x:c r="R189" s="634">
        <x:v>0</x:v>
      </x:c>
    </x:row>
    <x:row r="190" spans="1:18" ht="12.75" customHeight="1" x14ac:dyDescent="0.3">
      <x:c r="A190" s="779"/>
      <x:c r="B190" s="780"/>
      <x:c r="C190" s="634" t="s">
        <x:v>73</x:v>
      </x:c>
      <x:c r="D190" s="634">
        <x:v>0</x:v>
      </x:c>
      <x:c r="E190" s="618"/>
      <x:c r="F190" s="618"/>
      <x:c r="G190" s="618"/>
      <x:c r="H190" s="618"/>
      <x:c r="I190" s="618"/>
      <x:c r="J190" s="618"/>
      <x:c r="K190" s="618"/>
      <x:c r="L190" s="618"/>
      <x:c r="M190" s="618"/>
      <x:c r="N190" s="618"/>
      <x:c r="O190" s="618"/>
      <x:c r="P190" s="618"/>
      <x:c r="Q190" s="618"/>
    </x:row>
    <x:row r="191" spans="1:18" s="635" customFormat="1" x14ac:dyDescent="0.3"/>
    <x:row r="192" spans="1:18" x14ac:dyDescent="0.3">
      <x:c r="B192" s="617" t="s">
        <x:v>76</x:v>
      </x:c>
    </x:row>
    <x:row r="193" spans="1:18" x14ac:dyDescent="0.3">
      <x:c r="D193" s="618" t="s">
        <x:v>70</x:v>
      </x:c>
      <x:c r="E193" s="618" t="s">
        <x:v>64</x:v>
      </x:c>
      <x:c r="F193" s="618" t="s">
        <x:v>65</x:v>
      </x:c>
      <x:c r="G193" s="619" t="s">
        <x:v>164</x:v>
      </x:c>
      <x:c r="H193" s="618" t="s">
        <x:v>69</x:v>
      </x:c>
      <x:c r="I193" s="618" t="s">
        <x:v>68</x:v>
      </x:c>
      <x:c r="J193" s="618" t="s">
        <x:v>66</x:v>
      </x:c>
      <x:c r="K193" s="618" t="s">
        <x:v>63</x:v>
      </x:c>
      <x:c r="L193" s="618" t="s">
        <x:v>61</x:v>
      </x:c>
      <x:c r="M193" s="618" t="s">
        <x:v>62</x:v>
      </x:c>
      <x:c r="N193" s="618" t="s">
        <x:v>67</x:v>
      </x:c>
      <x:c r="O193" s="618" t="s">
        <x:v>77</x:v>
      </x:c>
      <x:c r="P193" s="616" t="s">
        <x:v>71</x:v>
      </x:c>
      <x:c r="Q193" s="618" t="s">
        <x:v>80</x:v>
      </x:c>
      <x:c r="R193" s="616" t="s">
        <x:v>168</x:v>
      </x:c>
    </x:row>
    <x:row r="194" spans="1:18" ht="12.75" customHeight="1" x14ac:dyDescent="0.3">
      <x:c r="B194" s="618"/>
      <x:c r="C194" s="618" t="s">
        <x:v>72</x:v>
      </x:c>
      <x:c r="D194" s="618">
        <x:v>0</x:v>
      </x:c>
      <x:c r="E194" s="618">
        <x:v>0</x:v>
      </x:c>
      <x:c r="F194" s="618">
        <x:v>0</x:v>
      </x:c>
      <x:c r="G194" s="618">
        <x:v>0</x:v>
      </x:c>
      <x:c r="H194" s="618">
        <x:v>0</x:v>
      </x:c>
      <x:c r="I194" s="618">
        <x:v>0</x:v>
      </x:c>
      <x:c r="J194" s="618">
        <x:v>0</x:v>
      </x:c>
      <x:c r="K194" s="618">
        <x:v>0</x:v>
      </x:c>
      <x:c r="L194" s="618">
        <x:v>0</x:v>
      </x:c>
      <x:c r="M194" s="618">
        <x:v>0</x:v>
      </x:c>
      <x:c r="N194" s="618">
        <x:v>0</x:v>
      </x:c>
      <x:c r="O194" s="618">
        <x:v>0</x:v>
      </x:c>
      <x:c r="P194" s="616">
        <x:v>0</x:v>
      </x:c>
      <x:c r="Q194" s="618">
        <x:v>0</x:v>
      </x:c>
      <x:c r="R194" s="618">
        <x:v>0</x:v>
      </x:c>
    </x:row>
    <x:row r="195" spans="1:18" ht="12.75" customHeight="1" x14ac:dyDescent="0.3">
      <x:c r="B195" s="618"/>
      <x:c r="C195" s="618" t="s">
        <x:v>81</x:v>
      </x:c>
      <x:c r="D195" s="618">
        <x:v>0</x:v>
      </x:c>
      <x:c r="E195" s="618">
        <x:v>0</x:v>
      </x:c>
      <x:c r="F195" s="618">
        <x:v>0</x:v>
      </x:c>
      <x:c r="G195" s="618">
        <x:v>0</x:v>
      </x:c>
      <x:c r="H195" s="618">
        <x:v>0</x:v>
      </x:c>
      <x:c r="I195" s="618">
        <x:v>0</x:v>
      </x:c>
      <x:c r="J195" s="618">
        <x:v>0</x:v>
      </x:c>
      <x:c r="K195" s="618">
        <x:v>0</x:v>
      </x:c>
      <x:c r="L195" s="618">
        <x:v>0</x:v>
      </x:c>
      <x:c r="M195" s="618">
        <x:v>0</x:v>
      </x:c>
      <x:c r="N195" s="618">
        <x:v>0</x:v>
      </x:c>
      <x:c r="O195" s="618">
        <x:v>0</x:v>
      </x:c>
      <x:c r="P195" s="616">
        <x:v>0</x:v>
      </x:c>
      <x:c r="Q195" s="618">
        <x:v>0</x:v>
      </x:c>
      <x:c r="R195" s="618">
        <x:v>0</x:v>
      </x:c>
    </x:row>
    <x:row r="196" spans="1:18" s="621" customFormat="1" ht="12.75" customHeight="1" x14ac:dyDescent="0.3">
      <x:c r="B196" s="622" t="s">
        <x:v>78</x:v>
      </x:c>
      <x:c r="C196" s="622" t="s">
        <x:v>70</x:v>
      </x:c>
      <x:c r="D196" s="622">
        <x:v>0</x:v>
      </x:c>
      <x:c r="E196" s="622">
        <x:v>0</x:v>
      </x:c>
      <x:c r="F196" s="622">
        <x:v>0</x:v>
      </x:c>
      <x:c r="G196" s="622">
        <x:v>0</x:v>
      </x:c>
      <x:c r="H196" s="622">
        <x:v>0</x:v>
      </x:c>
      <x:c r="I196" s="622">
        <x:v>0</x:v>
      </x:c>
      <x:c r="J196" s="622">
        <x:v>0</x:v>
      </x:c>
      <x:c r="K196" s="622">
        <x:v>0</x:v>
      </x:c>
      <x:c r="L196" s="622">
        <x:v>0</x:v>
      </x:c>
      <x:c r="M196" s="622">
        <x:v>0</x:v>
      </x:c>
      <x:c r="N196" s="622">
        <x:v>0</x:v>
      </x:c>
      <x:c r="O196" s="622">
        <x:v>0</x:v>
      </x:c>
      <x:c r="P196" s="621">
        <x:v>0</x:v>
      </x:c>
      <x:c r="Q196" s="622">
        <x:v>0</x:v>
      </x:c>
      <x:c r="R196" s="622">
        <x:v>0</x:v>
      </x:c>
    </x:row>
    <x:row r="197" spans="1:18" ht="12.75" customHeight="1" x14ac:dyDescent="0.3">
      <x:c r="B197" s="618"/>
      <x:c r="C197" s="618" t="s">
        <x:v>73</x:v>
      </x:c>
      <x:c r="D197" s="618">
        <x:v>0</x:v>
      </x:c>
      <x:c r="E197" s="618">
        <x:v>0</x:v>
      </x:c>
      <x:c r="F197" s="618">
        <x:v>0</x:v>
      </x:c>
      <x:c r="G197" s="618">
        <x:v>0</x:v>
      </x:c>
      <x:c r="H197" s="618">
        <x:v>0</x:v>
      </x:c>
      <x:c r="I197" s="618">
        <x:v>0</x:v>
      </x:c>
      <x:c r="J197" s="618">
        <x:v>0</x:v>
      </x:c>
      <x:c r="K197" s="618">
        <x:v>0</x:v>
      </x:c>
      <x:c r="L197" s="618">
        <x:v>0</x:v>
      </x:c>
      <x:c r="M197" s="618">
        <x:v>0</x:v>
      </x:c>
      <x:c r="N197" s="618">
        <x:v>0</x:v>
      </x:c>
      <x:c r="O197" s="618">
        <x:v>0</x:v>
      </x:c>
      <x:c r="P197" s="616">
        <x:v>0</x:v>
      </x:c>
      <x:c r="Q197" s="618">
        <x:v>0</x:v>
      </x:c>
      <x:c r="R197" s="618">
        <x:v>0</x:v>
      </x:c>
    </x:row>
    <x:row r="198" spans="1:18" s="623" customFormat="1" ht="12.75" customHeight="1" x14ac:dyDescent="0.3">
      <x:c r="B198" s="623" t="s">
        <x:v>79</x:v>
      </x:c>
      <x:c r="C198" s="623" t="s">
        <x:v>70</x:v>
      </x:c>
      <x:c r="D198" s="624">
        <x:v>0</x:v>
      </x:c>
      <x:c r="E198" s="624">
        <x:v>0</x:v>
      </x:c>
      <x:c r="F198" s="624">
        <x:v>0</x:v>
      </x:c>
      <x:c r="G198" s="636">
        <x:v>0</x:v>
      </x:c>
      <x:c r="H198" s="624">
        <x:v>0</x:v>
      </x:c>
      <x:c r="I198" s="624">
        <x:v>0</x:v>
      </x:c>
      <x:c r="J198" s="624">
        <x:v>0</x:v>
      </x:c>
      <x:c r="K198" s="624">
        <x:v>0</x:v>
      </x:c>
      <x:c r="L198" s="624">
        <x:v>0</x:v>
      </x:c>
      <x:c r="M198" s="624">
        <x:v>0</x:v>
      </x:c>
      <x:c r="N198" s="624">
        <x:v>0</x:v>
      </x:c>
      <x:c r="O198" s="624">
        <x:v>0</x:v>
      </x:c>
      <x:c r="P198" s="624">
        <x:v>0</x:v>
      </x:c>
      <x:c r="Q198" s="624">
        <x:v>0</x:v>
      </x:c>
      <x:c r="R198" s="623">
        <x:v>0</x:v>
      </x:c>
    </x:row>
    <x:row r="199" spans="1:18" s="637" customFormat="1" ht="12.75" customHeight="1" x14ac:dyDescent="0.3">
      <x:c r="A199" s="637" t="s">
        <x:v>155</x:v>
      </x:c>
      <x:c r="B199" s="633" t="s">
        <x:v>70</x:v>
      </x:c>
      <x:c r="C199" s="633"/>
      <x:c r="D199" s="633" t="n">
        <x:v>-2259272</x:v>
      </x:c>
      <x:c r="E199" s="633">
        <x:v>0</x:v>
      </x:c>
      <x:c r="F199" s="633">
        <x:v>0</x:v>
      </x:c>
      <x:c r="G199" s="633">
        <x:v>0</x:v>
      </x:c>
      <x:c r="H199" s="633">
        <x:v>0</x:v>
      </x:c>
      <x:c r="I199" s="633">
        <x:v>0</x:v>
      </x:c>
      <x:c r="J199" s="633">
        <x:v>0</x:v>
      </x:c>
      <x:c r="K199" s="633">
        <x:v>0</x:v>
      </x:c>
      <x:c r="L199" s="633">
        <x:v>0</x:v>
      </x:c>
      <x:c r="M199" s="633">
        <x:v>0</x:v>
      </x:c>
      <x:c r="N199" s="633">
        <x:v>0</x:v>
      </x:c>
      <x:c r="O199" s="633">
        <x:v>0</x:v>
      </x:c>
      <x:c r="P199" s="637" t="n">
        <x:v>0</x:v>
      </x:c>
      <x:c r="Q199" s="633">
        <x:v>0</x:v>
      </x:c>
      <x:c r="R199" s="633">
        <x:v>0</x:v>
      </x:c>
    </x:row>
    <x:row r="200" spans="1:18" ht="12.75" customHeight="1" x14ac:dyDescent="0.3">
      <x:c r="C200" s="616" t="s">
        <x:v>72</x:v>
      </x:c>
      <x:c r="D200" s="618">
        <x:v>0</x:v>
      </x:c>
      <x:c r="E200" s="618">
        <x:v>0</x:v>
      </x:c>
      <x:c r="F200" s="618">
        <x:v>0</x:v>
      </x:c>
      <x:c r="G200" s="620">
        <x:v>0</x:v>
      </x:c>
      <x:c r="H200" s="618">
        <x:v>0</x:v>
      </x:c>
      <x:c r="I200" s="618">
        <x:v>0</x:v>
      </x:c>
      <x:c r="J200" s="618">
        <x:v>0</x:v>
      </x:c>
      <x:c r="K200" s="618">
        <x:v>0</x:v>
      </x:c>
      <x:c r="L200" s="618">
        <x:v>0</x:v>
      </x:c>
      <x:c r="M200" s="618">
        <x:v>0</x:v>
      </x:c>
      <x:c r="N200" s="618">
        <x:v>0</x:v>
      </x:c>
      <x:c r="O200" s="618">
        <x:v>0</x:v>
      </x:c>
      <x:c r="P200" s="618">
        <x:v>0</x:v>
      </x:c>
      <x:c r="Q200" s="618">
        <x:v>0</x:v>
      </x:c>
      <x:c r="R200" s="616">
        <x:v>0</x:v>
      </x:c>
    </x:row>
    <x:row r="201" spans="1:18" ht="12.65" customHeight="1" x14ac:dyDescent="0.3">
      <x:c r="C201" s="616" t="s">
        <x:v>81</x:v>
      </x:c>
      <x:c r="D201" s="618">
        <x:v>0</x:v>
      </x:c>
      <x:c r="E201" s="618">
        <x:v>0</x:v>
      </x:c>
      <x:c r="F201" s="618">
        <x:v>0</x:v>
      </x:c>
      <x:c r="G201" s="620">
        <x:v>0</x:v>
      </x:c>
      <x:c r="H201" s="618">
        <x:v>0</x:v>
      </x:c>
      <x:c r="I201" s="618">
        <x:v>0</x:v>
      </x:c>
      <x:c r="J201" s="618">
        <x:v>0</x:v>
      </x:c>
      <x:c r="K201" s="618">
        <x:v>0</x:v>
      </x:c>
      <x:c r="L201" s="618">
        <x:v>0</x:v>
      </x:c>
      <x:c r="M201" s="618">
        <x:v>0</x:v>
      </x:c>
      <x:c r="N201" s="618">
        <x:v>0</x:v>
      </x:c>
      <x:c r="O201" s="618">
        <x:v>0</x:v>
      </x:c>
      <x:c r="P201" s="618">
        <x:v>0</x:v>
      </x:c>
      <x:c r="Q201" s="618">
        <x:v>0</x:v>
      </x:c>
      <x:c r="R201" s="616">
        <x:v>0</x:v>
      </x:c>
    </x:row>
    <x:row r="202" spans="1:18" s="621" customFormat="1" ht="12.75" customHeight="1" x14ac:dyDescent="0.3">
      <x:c r="B202" s="622" t="s">
        <x:v>78</x:v>
      </x:c>
      <x:c r="C202" s="622" t="s">
        <x:v>70</x:v>
      </x:c>
      <x:c r="D202" s="622">
        <x:v>0</x:v>
      </x:c>
      <x:c r="E202" s="622">
        <x:v>0</x:v>
      </x:c>
      <x:c r="F202" s="622">
        <x:v>0</x:v>
      </x:c>
      <x:c r="G202" s="622">
        <x:v>0</x:v>
      </x:c>
      <x:c r="H202" s="622">
        <x:v>0</x:v>
      </x:c>
      <x:c r="I202" s="622">
        <x:v>0</x:v>
      </x:c>
      <x:c r="J202" s="622">
        <x:v>0</x:v>
      </x:c>
      <x:c r="K202" s="622">
        <x:v>0</x:v>
      </x:c>
      <x:c r="L202" s="622">
        <x:v>0</x:v>
      </x:c>
      <x:c r="M202" s="622">
        <x:v>0</x:v>
      </x:c>
      <x:c r="N202" s="622">
        <x:v>0</x:v>
      </x:c>
      <x:c r="O202" s="622">
        <x:v>0</x:v>
      </x:c>
      <x:c r="P202" s="621">
        <x:v>0</x:v>
      </x:c>
      <x:c r="Q202" s="622">
        <x:v>0</x:v>
      </x:c>
      <x:c r="R202" s="622">
        <x:v>0</x:v>
      </x:c>
    </x:row>
    <x:row r="203" spans="1:18" ht="12.75" customHeight="1" x14ac:dyDescent="0.3">
      <x:c r="C203" s="616" t="s">
        <x:v>73</x:v>
      </x:c>
      <x:c r="D203" s="618">
        <x:v>0</x:v>
      </x:c>
      <x:c r="E203" s="618">
        <x:v>0</x:v>
      </x:c>
      <x:c r="F203" s="618">
        <x:v>0</x:v>
      </x:c>
      <x:c r="G203" s="620">
        <x:v>0</x:v>
      </x:c>
      <x:c r="H203" s="618">
        <x:v>0</x:v>
      </x:c>
      <x:c r="I203" s="618">
        <x:v>0</x:v>
      </x:c>
      <x:c r="J203" s="618">
        <x:v>0</x:v>
      </x:c>
      <x:c r="K203" s="618">
        <x:v>0</x:v>
      </x:c>
      <x:c r="L203" s="618">
        <x:v>0</x:v>
      </x:c>
      <x:c r="M203" s="618">
        <x:v>0</x:v>
      </x:c>
      <x:c r="N203" s="618">
        <x:v>0</x:v>
      </x:c>
      <x:c r="O203" s="618">
        <x:v>0</x:v>
      </x:c>
      <x:c r="P203" s="618">
        <x:v>0</x:v>
      </x:c>
      <x:c r="Q203" s="618">
        <x:v>0</x:v>
      </x:c>
      <x:c r="R203" s="616">
        <x:v>0</x:v>
      </x:c>
    </x:row>
    <x:row r="204" spans="1:18" s="623" customFormat="1" ht="12.75" customHeight="1" x14ac:dyDescent="0.3">
      <x:c r="B204" s="624" t="s">
        <x:v>79</x:v>
      </x:c>
      <x:c r="C204" s="624" t="s">
        <x:v>70</x:v>
      </x:c>
      <x:c r="D204" s="624">
        <x:v>0</x:v>
      </x:c>
      <x:c r="E204" s="624">
        <x:v>0</x:v>
      </x:c>
      <x:c r="F204" s="624">
        <x:v>0</x:v>
      </x:c>
      <x:c r="G204" s="624">
        <x:v>0</x:v>
      </x:c>
      <x:c r="H204" s="624">
        <x:v>0</x:v>
      </x:c>
      <x:c r="I204" s="624">
        <x:v>0</x:v>
      </x:c>
      <x:c r="J204" s="624">
        <x:v>0</x:v>
      </x:c>
      <x:c r="K204" s="624">
        <x:v>0</x:v>
      </x:c>
      <x:c r="L204" s="624">
        <x:v>0</x:v>
      </x:c>
      <x:c r="M204" s="624">
        <x:v>0</x:v>
      </x:c>
      <x:c r="N204" s="624">
        <x:v>0</x:v>
      </x:c>
      <x:c r="O204" s="624">
        <x:v>0</x:v>
      </x:c>
      <x:c r="P204" s="623">
        <x:v>0</x:v>
      </x:c>
      <x:c r="Q204" s="624">
        <x:v>0</x:v>
      </x:c>
      <x:c r="R204" s="624">
        <x:v>0</x:v>
      </x:c>
    </x:row>
    <x:row r="205" spans="1:18" s="628" customFormat="1" ht="12.75" customHeight="1" x14ac:dyDescent="0.3">
      <x:c r="A205" s="628" t="s">
        <x:v>119</x:v>
      </x:c>
      <x:c r="B205" s="628" t="s">
        <x:v>70</x:v>
      </x:c>
      <x:c r="D205" s="628">
        <x:v>0</x:v>
      </x:c>
      <x:c r="E205" s="628">
        <x:v>0</x:v>
      </x:c>
      <x:c r="F205" s="628">
        <x:v>0</x:v>
      </x:c>
      <x:c r="G205" s="628">
        <x:v>0</x:v>
      </x:c>
      <x:c r="H205" s="628">
        <x:v>0</x:v>
      </x:c>
      <x:c r="I205" s="628">
        <x:v>0</x:v>
      </x:c>
      <x:c r="J205" s="628">
        <x:v>0</x:v>
      </x:c>
      <x:c r="K205" s="628">
        <x:v>0</x:v>
      </x:c>
      <x:c r="L205" s="628">
        <x:v>0</x:v>
      </x:c>
      <x:c r="M205" s="628">
        <x:v>0</x:v>
      </x:c>
      <x:c r="N205" s="628">
        <x:v>0</x:v>
      </x:c>
      <x:c r="O205" s="628">
        <x:v>0</x:v>
      </x:c>
      <x:c r="P205" s="628">
        <x:v>0</x:v>
      </x:c>
      <x:c r="Q205" s="628">
        <x:v>0</x:v>
      </x:c>
      <x:c r="R205" s="628">
        <x:v>0</x:v>
      </x:c>
    </x:row>
    <x:row r="206" spans="1:18" s="631" customFormat="1" ht="12.75" customHeight="1" x14ac:dyDescent="0.3">
      <x:c r="A206" s="630" t="s">
        <x:v>70</x:v>
      </x:c>
      <x:c r="D206" s="630" t="n">
        <x:v>-2259272</x:v>
      </x:c>
      <x:c r="E206" s="630">
        <x:v>0</x:v>
      </x:c>
      <x:c r="F206" s="630">
        <x:v>0</x:v>
      </x:c>
      <x:c r="G206" s="630">
        <x:v>0</x:v>
      </x:c>
      <x:c r="H206" s="630">
        <x:v>0</x:v>
      </x:c>
      <x:c r="I206" s="630">
        <x:v>0</x:v>
      </x:c>
      <x:c r="J206" s="630">
        <x:v>0</x:v>
      </x:c>
      <x:c r="K206" s="630">
        <x:v>0</x:v>
      </x:c>
      <x:c r="L206" s="630">
        <x:v>0</x:v>
      </x:c>
      <x:c r="M206" s="630">
        <x:v>0</x:v>
      </x:c>
      <x:c r="N206" s="630">
        <x:v>0</x:v>
      </x:c>
      <x:c r="O206" s="630">
        <x:v>0</x:v>
      </x:c>
      <x:c r="P206" s="631" t="n">
        <x:v>0</x:v>
      </x:c>
      <x:c r="Q206" s="631">
        <x:v>0</x:v>
      </x:c>
      <x:c r="R206" s="631">
        <x:v>0</x:v>
      </x:c>
    </x:row>
    <x:row r="207" spans="1:18" ht="12.75" customHeight="1" x14ac:dyDescent="0.3">
      <x:c r="A207" s="618"/>
      <x:c r="D207" s="618"/>
      <x:c r="E207" s="618"/>
      <x:c r="F207" s="618"/>
      <x:c r="G207" s="618"/>
      <x:c r="H207" s="618"/>
      <x:c r="I207" s="618"/>
      <x:c r="J207" s="618"/>
      <x:c r="K207" s="618"/>
      <x:c r="L207" s="618"/>
      <x:c r="M207" s="618"/>
      <x:c r="N207" s="618"/>
      <x:c r="O207" s="618"/>
    </x:row>
    <x:row r="208" spans="1:18" ht="12.75" customHeight="1" x14ac:dyDescent="0.3">
      <x:c r="A208" s="618"/>
      <x:c r="D208" s="618"/>
      <x:c r="E208" s="618"/>
      <x:c r="F208" s="618"/>
      <x:c r="G208" s="618"/>
      <x:c r="H208" s="618"/>
      <x:c r="I208" s="618"/>
      <x:c r="J208" s="618"/>
      <x:c r="K208" s="618"/>
      <x:c r="L208" s="618"/>
      <x:c r="M208" s="618"/>
      <x:c r="N208" s="618"/>
      <x:c r="O208" s="618"/>
    </x:row>
    <x:row r="209" spans="1:18" ht="12.75" customHeight="1" x14ac:dyDescent="0.3">
      <x:c r="A209" s="618"/>
      <x:c r="D209" s="618"/>
      <x:c r="E209" s="618"/>
      <x:c r="F209" s="618"/>
      <x:c r="G209" s="618"/>
      <x:c r="H209" s="618"/>
      <x:c r="I209" s="618"/>
      <x:c r="J209" s="618"/>
      <x:c r="K209" s="618"/>
      <x:c r="L209" s="618"/>
      <x:c r="M209" s="618"/>
      <x:c r="N209" s="618"/>
      <x:c r="O209" s="618"/>
    </x:row>
    <x:row r="210" spans="1:18" ht="12.75" customHeight="1" x14ac:dyDescent="0.3">
      <x:c r="A210" s="618"/>
      <x:c r="D210" s="618"/>
      <x:c r="E210" s="618"/>
      <x:c r="F210" s="618"/>
      <x:c r="G210" s="618"/>
      <x:c r="H210" s="618"/>
      <x:c r="I210" s="618"/>
      <x:c r="J210" s="618"/>
      <x:c r="K210" s="618"/>
      <x:c r="L210" s="618"/>
      <x:c r="M210" s="618"/>
      <x:c r="N210" s="618"/>
      <x:c r="O210" s="618"/>
    </x:row>
    <x:row r="211" spans="1:18" ht="12.75" customHeight="1" x14ac:dyDescent="0.3">
      <x:c r="A211" s="781" t="s">
        <x:v>2</x:v>
      </x:c>
      <x:c r="B211" s="780" t="s">
        <x:v>132</x:v>
      </x:c>
      <x:c r="C211" s="766" t="s">
        <x:v>70</x:v>
      </x:c>
      <x:c r="D211" s="766">
        <x:f>D206-P206</x:f>
        <x:v>0</x:v>
      </x:c>
      <x:c r="E211" s="766">
        <x:f>E196+E202</x:f>
        <x:v>0</x:v>
      </x:c>
      <x:c r="F211" s="766">
        <x:f t="shared" ref="F211:R211" si="7">F196+F202</x:f>
        <x:v>0</x:v>
      </x:c>
      <x:c r="G211" s="766">
        <x:f t="shared" si="7"/>
        <x:v>0</x:v>
      </x:c>
      <x:c r="H211" s="766">
        <x:f t="shared" si="7"/>
        <x:v>0</x:v>
      </x:c>
      <x:c r="I211" s="766">
        <x:f t="shared" si="7"/>
        <x:v>0</x:v>
      </x:c>
      <x:c r="J211" s="766">
        <x:f t="shared" si="7"/>
        <x:v>0</x:v>
      </x:c>
      <x:c r="K211" s="766">
        <x:f t="shared" si="7"/>
        <x:v>0</x:v>
      </x:c>
      <x:c r="L211" s="766">
        <x:f t="shared" si="7"/>
        <x:v>0</x:v>
      </x:c>
      <x:c r="M211" s="766">
        <x:f t="shared" si="7"/>
        <x:v>0</x:v>
      </x:c>
      <x:c r="N211" s="766">
        <x:f t="shared" si="7"/>
        <x:v>0</x:v>
      </x:c>
      <x:c r="O211" s="766">
        <x:f t="shared" si="7"/>
        <x:v>0</x:v>
      </x:c>
      <x:c r="P211" s="766">
        <x:f t="shared" si="7"/>
        <x:v>0</x:v>
      </x:c>
      <x:c r="Q211" s="766">
        <x:f t="shared" si="7"/>
        <x:v>0</x:v>
      </x:c>
      <x:c r="R211" s="766">
        <x:f t="shared" si="7"/>
        <x:v>0</x:v>
      </x:c>
    </x:row>
    <x:row r="212" spans="1:18" ht="12.75" customHeight="1" x14ac:dyDescent="0.3">
      <x:c r="A212" s="781"/>
      <x:c r="B212" s="780"/>
      <x:c r="C212" s="766" t="s">
        <x:v>73</x:v>
      </x:c>
      <x:c r="D212" s="766">
        <x:f>D198+D204</x:f>
        <x:v>0</x:v>
      </x:c>
      <x:c r="E212" s="618"/>
      <x:c r="F212" s="618"/>
      <x:c r="G212" s="618"/>
      <x:c r="H212" s="618"/>
      <x:c r="I212" s="618"/>
      <x:c r="J212" s="618"/>
      <x:c r="K212" s="618"/>
      <x:c r="L212" s="618"/>
      <x:c r="M212" s="618"/>
      <x:c r="N212" s="618"/>
      <x:c r="O212" s="618"/>
      <x:c r="P212" s="618"/>
      <x:c r="Q212" s="618"/>
      <x:c r="R212" s="618"/>
    </x:row>
    <x:row r="213" spans="1:18" ht="12.75" customHeight="1" x14ac:dyDescent="0.3">
      <x:c r="A213" s="617"/>
      <x:c r="D213" s="618"/>
      <x:c r="E213" s="618"/>
      <x:c r="F213" s="618"/>
      <x:c r="G213" s="618"/>
      <x:c r="H213" s="618"/>
      <x:c r="I213" s="618"/>
      <x:c r="J213" s="618"/>
      <x:c r="K213" s="618"/>
      <x:c r="L213" s="618"/>
      <x:c r="M213" s="618"/>
      <x:c r="N213" s="618"/>
      <x:c r="O213" s="618"/>
      <x:c r="P213" s="618"/>
      <x:c r="Q213" s="618"/>
      <x:c r="R213" s="618"/>
    </x:row>
    <x:row r="214" spans="1:18" ht="12.75" customHeight="1" x14ac:dyDescent="0.3">
      <x:c r="A214" s="781" t="s">
        <x:v>160</x:v>
      </x:c>
      <x:c r="B214" s="780" t="s">
        <x:v>132</x:v>
      </x:c>
      <x:c r="C214" s="632" t="s">
        <x:v>70</x:v>
      </x:c>
      <x:c r="D214" s="632">
        <x:v>0</x:v>
      </x:c>
      <x:c r="E214" s="632">
        <x:v>0</x:v>
      </x:c>
      <x:c r="F214" s="632">
        <x:v>0</x:v>
      </x:c>
      <x:c r="G214" s="632">
        <x:v>0</x:v>
      </x:c>
      <x:c r="H214" s="632">
        <x:v>0</x:v>
      </x:c>
      <x:c r="I214" s="632">
        <x:v>0</x:v>
      </x:c>
      <x:c r="J214" s="632">
        <x:v>0</x:v>
      </x:c>
      <x:c r="K214" s="632">
        <x:v>0</x:v>
      </x:c>
      <x:c r="L214" s="632">
        <x:v>0</x:v>
      </x:c>
      <x:c r="M214" s="632">
        <x:v>0</x:v>
      </x:c>
      <x:c r="N214" s="632">
        <x:v>0</x:v>
      </x:c>
      <x:c r="O214" s="632">
        <x:v>0</x:v>
      </x:c>
      <x:c r="P214" s="632">
        <x:v>0</x:v>
      </x:c>
      <x:c r="Q214" s="632">
        <x:v>0</x:v>
      </x:c>
      <x:c r="R214" s="632">
        <x:v>0</x:v>
      </x:c>
    </x:row>
    <x:row r="215" spans="1:18" ht="12.75" customHeight="1" x14ac:dyDescent="0.3">
      <x:c r="A215" s="781"/>
      <x:c r="B215" s="780"/>
      <x:c r="C215" s="632" t="s">
        <x:v>73</x:v>
      </x:c>
      <x:c r="D215" s="632">
        <x:v>0</x:v>
      </x:c>
      <x:c r="E215" s="618"/>
      <x:c r="F215" s="618"/>
      <x:c r="G215" s="618"/>
      <x:c r="H215" s="618"/>
      <x:c r="I215" s="618"/>
      <x:c r="J215" s="618"/>
      <x:c r="K215" s="618"/>
      <x:c r="L215" s="618"/>
      <x:c r="M215" s="618"/>
      <x:c r="N215" s="618"/>
      <x:c r="O215" s="618"/>
      <x:c r="P215" s="618"/>
      <x:c r="Q215" s="618"/>
      <x:c r="R215" s="618"/>
    </x:row>
    <x:row r="216" spans="1:18" ht="12.75" customHeight="1" x14ac:dyDescent="0.3">
      <x:c r="A216" s="617"/>
      <x:c r="D216" s="618"/>
      <x:c r="E216" s="618"/>
      <x:c r="F216" s="618"/>
      <x:c r="G216" s="618"/>
      <x:c r="H216" s="618"/>
      <x:c r="I216" s="618"/>
      <x:c r="J216" s="618"/>
      <x:c r="K216" s="618"/>
      <x:c r="L216" s="618"/>
      <x:c r="M216" s="618"/>
      <x:c r="N216" s="618"/>
      <x:c r="O216" s="618"/>
      <x:c r="P216" s="618"/>
      <x:c r="Q216" s="618"/>
      <x:c r="R216" s="618"/>
    </x:row>
    <x:row r="217" spans="1:18" ht="12.75" customHeight="1" x14ac:dyDescent="0.3">
      <x:c r="A217" s="781" t="s">
        <x:v>155</x:v>
      </x:c>
      <x:c r="B217" s="780" t="s">
        <x:v>132</x:v>
      </x:c>
      <x:c r="C217" s="633" t="s">
        <x:v>70</x:v>
      </x:c>
      <x:c r="D217" s="633">
        <x:f>D199-P199</x:f>
        <x:v>0</x:v>
      </x:c>
      <x:c r="E217" s="633">
        <x:f>E196</x:f>
        <x:v>0</x:v>
      </x:c>
      <x:c r="F217" s="633">
        <x:f t="shared" ref="F217:R217" si="8">F196</x:f>
        <x:v>0</x:v>
      </x:c>
      <x:c r="G217" s="633">
        <x:f t="shared" si="8"/>
        <x:v>0</x:v>
      </x:c>
      <x:c r="H217" s="633">
        <x:f t="shared" si="8"/>
        <x:v>0</x:v>
      </x:c>
      <x:c r="I217" s="633">
        <x:f t="shared" si="8"/>
        <x:v>0</x:v>
      </x:c>
      <x:c r="J217" s="633">
        <x:f t="shared" si="8"/>
        <x:v>0</x:v>
      </x:c>
      <x:c r="K217" s="633">
        <x:f t="shared" si="8"/>
        <x:v>0</x:v>
      </x:c>
      <x:c r="L217" s="633">
        <x:f t="shared" si="8"/>
        <x:v>0</x:v>
      </x:c>
      <x:c r="M217" s="633">
        <x:f t="shared" si="8"/>
        <x:v>0</x:v>
      </x:c>
      <x:c r="N217" s="633">
        <x:f t="shared" si="8"/>
        <x:v>0</x:v>
      </x:c>
      <x:c r="O217" s="633">
        <x:f t="shared" si="8"/>
        <x:v>0</x:v>
      </x:c>
      <x:c r="P217" s="633">
        <x:f t="shared" si="8"/>
        <x:v>0</x:v>
      </x:c>
      <x:c r="Q217" s="633">
        <x:f t="shared" si="8"/>
        <x:v>0</x:v>
      </x:c>
      <x:c r="R217" s="633">
        <x:f t="shared" si="8"/>
        <x:v>0</x:v>
      </x:c>
    </x:row>
    <x:row r="218" spans="1:18" ht="12.75" customHeight="1" x14ac:dyDescent="0.3">
      <x:c r="A218" s="781"/>
      <x:c r="B218" s="780"/>
      <x:c r="C218" s="633" t="s">
        <x:v>73</x:v>
      </x:c>
      <x:c r="D218" s="633">
        <x:f>D198</x:f>
        <x:v>0</x:v>
      </x:c>
      <x:c r="E218" s="618"/>
      <x:c r="F218" s="618"/>
      <x:c r="G218" s="618"/>
      <x:c r="H218" s="618"/>
      <x:c r="I218" s="618"/>
      <x:c r="J218" s="618"/>
      <x:c r="K218" s="618"/>
      <x:c r="L218" s="618"/>
      <x:c r="M218" s="618"/>
      <x:c r="N218" s="618"/>
      <x:c r="O218" s="618"/>
      <x:c r="P218" s="618"/>
      <x:c r="Q218" s="618"/>
      <x:c r="R218" s="618"/>
    </x:row>
    <x:row r="219" spans="1:18" ht="12.75" customHeight="1" x14ac:dyDescent="0.3">
      <x:c r="A219" s="722"/>
      <x:c r="B219" s="721"/>
      <x:c r="C219" s="618"/>
      <x:c r="D219" s="618"/>
      <x:c r="E219" s="618"/>
      <x:c r="F219" s="618"/>
      <x:c r="G219" s="618"/>
      <x:c r="H219" s="618"/>
      <x:c r="I219" s="618"/>
      <x:c r="J219" s="618"/>
      <x:c r="K219" s="618"/>
      <x:c r="L219" s="618"/>
      <x:c r="M219" s="618"/>
      <x:c r="N219" s="618"/>
      <x:c r="O219" s="618"/>
      <x:c r="P219" s="618"/>
      <x:c r="Q219" s="618"/>
      <x:c r="R219" s="618"/>
    </x:row>
    <x:row r="220" spans="1:18" ht="12.75" customHeight="1" x14ac:dyDescent="0.3">
      <x:c r="A220" s="782" t="s">
        <x:v>326</x:v>
      </x:c>
      <x:c r="B220" s="780" t="s">
        <x:v>132</x:v>
      </x:c>
      <x:c r="C220" s="633" t="s">
        <x:v>70</x:v>
      </x:c>
      <x:c r="D220" s="720">
        <x:v>0</x:v>
      </x:c>
      <x:c r="E220" s="720">
        <x:v>0</x:v>
      </x:c>
      <x:c r="F220" s="720">
        <x:v>0</x:v>
      </x:c>
      <x:c r="G220" s="720">
        <x:v>0</x:v>
      </x:c>
      <x:c r="H220" s="720">
        <x:v>0</x:v>
      </x:c>
      <x:c r="I220" s="720">
        <x:v>0</x:v>
      </x:c>
      <x:c r="J220" s="720">
        <x:v>0</x:v>
      </x:c>
      <x:c r="K220" s="720">
        <x:v>0</x:v>
      </x:c>
      <x:c r="L220" s="720">
        <x:v>0</x:v>
      </x:c>
      <x:c r="M220" s="720">
        <x:v>0</x:v>
      </x:c>
      <x:c r="N220" s="720">
        <x:v>0</x:v>
      </x:c>
      <x:c r="O220" s="720">
        <x:v>0</x:v>
      </x:c>
      <x:c r="P220" s="720">
        <x:v>0</x:v>
      </x:c>
      <x:c r="Q220" s="720">
        <x:v>0</x:v>
      </x:c>
      <x:c r="R220" s="720">
        <x:v>0</x:v>
      </x:c>
    </x:row>
    <x:row r="221" spans="1:18" ht="12.75" customHeight="1" x14ac:dyDescent="0.3">
      <x:c r="A221" s="782"/>
      <x:c r="B221" s="780"/>
      <x:c r="C221" s="633" t="s">
        <x:v>73</x:v>
      </x:c>
      <x:c r="D221" s="720">
        <x:v>0</x:v>
      </x:c>
      <x:c r="E221" s="618"/>
      <x:c r="F221" s="618"/>
      <x:c r="G221" s="618"/>
      <x:c r="H221" s="618"/>
      <x:c r="I221" s="618"/>
      <x:c r="J221" s="618"/>
      <x:c r="K221" s="618"/>
      <x:c r="L221" s="618"/>
      <x:c r="M221" s="618"/>
      <x:c r="N221" s="618"/>
      <x:c r="O221" s="618"/>
      <x:c r="P221" s="618"/>
      <x:c r="Q221" s="618"/>
    </x:row>
    <x:row r="222" spans="1:18" ht="12.75" customHeight="1" x14ac:dyDescent="0.3">
      <x:c r="A222" s="617"/>
      <x:c r="D222" s="618"/>
      <x:c r="E222" s="618"/>
      <x:c r="F222" s="618"/>
      <x:c r="G222" s="618"/>
      <x:c r="H222" s="618"/>
      <x:c r="I222" s="618"/>
      <x:c r="J222" s="618"/>
      <x:c r="K222" s="618"/>
      <x:c r="L222" s="618"/>
      <x:c r="M222" s="618"/>
      <x:c r="N222" s="618"/>
      <x:c r="O222" s="618"/>
      <x:c r="P222" s="618"/>
      <x:c r="Q222" s="618"/>
      <x:c r="R222" s="618"/>
    </x:row>
    <x:row r="223" spans="1:18" ht="12.75" customHeight="1" x14ac:dyDescent="0.3">
      <x:c r="A223" s="781" t="s">
        <x:v>119</x:v>
      </x:c>
      <x:c r="B223" s="780" t="s">
        <x:v>132</x:v>
      </x:c>
      <x:c r="C223" s="628" t="s">
        <x:v>70</x:v>
      </x:c>
      <x:c r="D223" s="628">
        <x:f>D205-P205</x:f>
        <x:v>0</x:v>
      </x:c>
      <x:c r="E223" s="628">
        <x:f>E202</x:f>
        <x:v>0</x:v>
      </x:c>
      <x:c r="F223" s="628">
        <x:f t="shared" ref="F223:R223" si="9">F202</x:f>
        <x:v>0</x:v>
      </x:c>
      <x:c r="G223" s="628">
        <x:f t="shared" si="9"/>
        <x:v>0</x:v>
      </x:c>
      <x:c r="H223" s="628">
        <x:f t="shared" si="9"/>
        <x:v>0</x:v>
      </x:c>
      <x:c r="I223" s="628">
        <x:f t="shared" si="9"/>
        <x:v>0</x:v>
      </x:c>
      <x:c r="J223" s="628">
        <x:f t="shared" si="9"/>
        <x:v>0</x:v>
      </x:c>
      <x:c r="K223" s="628">
        <x:f t="shared" si="9"/>
        <x:v>0</x:v>
      </x:c>
      <x:c r="L223" s="628">
        <x:f t="shared" si="9"/>
        <x:v>0</x:v>
      </x:c>
      <x:c r="M223" s="628">
        <x:f t="shared" si="9"/>
        <x:v>0</x:v>
      </x:c>
      <x:c r="N223" s="628">
        <x:f t="shared" si="9"/>
        <x:v>0</x:v>
      </x:c>
      <x:c r="O223" s="628">
        <x:f t="shared" si="9"/>
        <x:v>0</x:v>
      </x:c>
      <x:c r="P223" s="628">
        <x:f t="shared" si="9"/>
        <x:v>0</x:v>
      </x:c>
      <x:c r="Q223" s="628">
        <x:f t="shared" si="9"/>
        <x:v>0</x:v>
      </x:c>
      <x:c r="R223" s="628">
        <x:f t="shared" si="9"/>
        <x:v>0</x:v>
      </x:c>
    </x:row>
    <x:row r="224" spans="1:18" ht="12.75" customHeight="1" x14ac:dyDescent="0.3">
      <x:c r="A224" s="781"/>
      <x:c r="B224" s="780"/>
      <x:c r="C224" s="628" t="s">
        <x:v>73</x:v>
      </x:c>
      <x:c r="D224" s="628">
        <x:f>D204</x:f>
        <x:v>0</x:v>
      </x:c>
      <x:c r="E224" s="618"/>
      <x:c r="F224" s="618"/>
      <x:c r="G224" s="618"/>
      <x:c r="H224" s="618"/>
      <x:c r="I224" s="618"/>
      <x:c r="J224" s="618"/>
      <x:c r="K224" s="618"/>
      <x:c r="L224" s="618"/>
      <x:c r="M224" s="618"/>
      <x:c r="N224" s="618"/>
      <x:c r="O224" s="618"/>
      <x:c r="P224" s="618"/>
      <x:c r="Q224" s="618"/>
      <x:c r="R224" s="618"/>
    </x:row>
    <x:row r="225" spans="1:18" ht="12.75" customHeight="1" x14ac:dyDescent="0.3">
      <x:c r="A225" s="617"/>
      <x:c r="D225" s="618"/>
      <x:c r="E225" s="618"/>
      <x:c r="F225" s="618"/>
      <x:c r="G225" s="618"/>
      <x:c r="H225" s="618"/>
      <x:c r="I225" s="618"/>
      <x:c r="J225" s="618"/>
      <x:c r="K225" s="618"/>
      <x:c r="L225" s="618"/>
      <x:c r="M225" s="618"/>
      <x:c r="N225" s="618"/>
      <x:c r="O225" s="618"/>
      <x:c r="P225" s="618"/>
      <x:c r="Q225" s="618"/>
      <x:c r="R225" s="618"/>
    </x:row>
    <x:row r="226" spans="1:18" ht="12.75" customHeight="1" x14ac:dyDescent="0.3">
      <x:c r="A226" s="779" t="s">
        <x:v>161</x:v>
      </x:c>
      <x:c r="B226" s="780" t="s">
        <x:v>132</x:v>
      </x:c>
      <x:c r="C226" s="634" t="s">
        <x:v>70</x:v>
      </x:c>
      <x:c r="D226" s="634">
        <x:v>0</x:v>
      </x:c>
      <x:c r="E226" s="634">
        <x:v>0</x:v>
      </x:c>
      <x:c r="F226" s="634">
        <x:v>0</x:v>
      </x:c>
      <x:c r="G226" s="634">
        <x:v>0</x:v>
      </x:c>
      <x:c r="H226" s="634">
        <x:v>0</x:v>
      </x:c>
      <x:c r="I226" s="634">
        <x:v>0</x:v>
      </x:c>
      <x:c r="J226" s="634">
        <x:v>0</x:v>
      </x:c>
      <x:c r="K226" s="634">
        <x:v>0</x:v>
      </x:c>
      <x:c r="L226" s="634">
        <x:v>0</x:v>
      </x:c>
      <x:c r="M226" s="634">
        <x:v>0</x:v>
      </x:c>
      <x:c r="N226" s="634">
        <x:v>0</x:v>
      </x:c>
      <x:c r="O226" s="634">
        <x:v>0</x:v>
      </x:c>
      <x:c r="P226" s="634">
        <x:v>0</x:v>
      </x:c>
      <x:c r="Q226" s="634">
        <x:v>0</x:v>
      </x:c>
      <x:c r="R226" s="634">
        <x:v>0</x:v>
      </x:c>
    </x:row>
    <x:row r="227" spans="1:18" ht="12.75" customHeight="1" x14ac:dyDescent="0.3">
      <x:c r="A227" s="779"/>
      <x:c r="B227" s="780"/>
      <x:c r="C227" s="634" t="s">
        <x:v>73</x:v>
      </x:c>
      <x:c r="D227" s="634">
        <x:v>0</x:v>
      </x:c>
      <x:c r="E227" s="618"/>
      <x:c r="F227" s="618"/>
      <x:c r="G227" s="618"/>
      <x:c r="H227" s="618"/>
      <x:c r="I227" s="618"/>
      <x:c r="J227" s="618"/>
      <x:c r="K227" s="618"/>
      <x:c r="L227" s="618"/>
      <x:c r="M227" s="618"/>
      <x:c r="N227" s="618"/>
      <x:c r="O227" s="618"/>
      <x:c r="P227" s="618"/>
      <x:c r="Q227" s="618"/>
    </x:row>
    <x:row r="228" spans="1:18" s="635" customFormat="1" x14ac:dyDescent="0.3"/>
    <x:row r="229" spans="1:18" x14ac:dyDescent="0.3">
      <x:c r="B229" s="617" t="s">
        <x:v>88</x:v>
      </x:c>
    </x:row>
    <x:row r="230" spans="1:18" ht="12.75" customHeight="1" x14ac:dyDescent="0.3">
      <x:c r="D230" s="618" t="s">
        <x:v>70</x:v>
      </x:c>
      <x:c r="E230" s="618" t="s">
        <x:v>64</x:v>
      </x:c>
      <x:c r="F230" s="618" t="s">
        <x:v>65</x:v>
      </x:c>
      <x:c r="G230" s="619" t="s">
        <x:v>164</x:v>
      </x:c>
      <x:c r="H230" s="618" t="s">
        <x:v>69</x:v>
      </x:c>
      <x:c r="I230" s="618" t="s">
        <x:v>68</x:v>
      </x:c>
      <x:c r="J230" s="618" t="s">
        <x:v>66</x:v>
      </x:c>
      <x:c r="K230" s="618" t="s">
        <x:v>63</x:v>
      </x:c>
      <x:c r="L230" s="618" t="s">
        <x:v>61</x:v>
      </x:c>
      <x:c r="M230" s="618" t="s">
        <x:v>62</x:v>
      </x:c>
      <x:c r="N230" s="618" t="s">
        <x:v>67</x:v>
      </x:c>
      <x:c r="O230" s="618" t="s">
        <x:v>77</x:v>
      </x:c>
      <x:c r="P230" s="618" t="s">
        <x:v>71</x:v>
      </x:c>
      <x:c r="Q230" s="618" t="s">
        <x:v>80</x:v>
      </x:c>
      <x:c r="R230" s="616" t="s">
        <x:v>168</x:v>
      </x:c>
    </x:row>
    <x:row r="231" spans="1:18" ht="12.75" customHeight="1" x14ac:dyDescent="0.3">
      <x:c r="C231" s="616" t="s">
        <x:v>72</x:v>
      </x:c>
      <x:c r="D231" s="620">
        <x:v>0</x:v>
      </x:c>
      <x:c r="E231" s="618">
        <x:v>0</x:v>
      </x:c>
      <x:c r="F231" s="618">
        <x:v>0</x:v>
      </x:c>
      <x:c r="G231" s="620">
        <x:v>0</x:v>
      </x:c>
      <x:c r="H231" s="618">
        <x:v>0</x:v>
      </x:c>
      <x:c r="I231" s="618">
        <x:v>0</x:v>
      </x:c>
      <x:c r="J231" s="618">
        <x:v>0</x:v>
      </x:c>
      <x:c r="K231" s="618">
        <x:v>0</x:v>
      </x:c>
      <x:c r="L231" s="618">
        <x:v>0</x:v>
      </x:c>
      <x:c r="M231" s="618">
        <x:v>0</x:v>
      </x:c>
      <x:c r="N231" s="618">
        <x:v>0</x:v>
      </x:c>
      <x:c r="O231" s="618">
        <x:v>0</x:v>
      </x:c>
      <x:c r="P231" s="618">
        <x:v>0</x:v>
      </x:c>
      <x:c r="Q231" s="618">
        <x:v>0</x:v>
      </x:c>
      <x:c r="R231" s="616">
        <x:v>0</x:v>
      </x:c>
    </x:row>
    <x:row r="232" spans="1:18" ht="12.75" customHeight="1" x14ac:dyDescent="0.3">
      <x:c r="C232" s="616" t="s">
        <x:v>81</x:v>
      </x:c>
      <x:c r="D232" s="620">
        <x:v>0</x:v>
      </x:c>
      <x:c r="E232" s="618">
        <x:v>0</x:v>
      </x:c>
      <x:c r="F232" s="618">
        <x:v>0</x:v>
      </x:c>
      <x:c r="G232" s="620">
        <x:v>0</x:v>
      </x:c>
      <x:c r="H232" s="618">
        <x:v>0</x:v>
      </x:c>
      <x:c r="I232" s="618">
        <x:v>0</x:v>
      </x:c>
      <x:c r="J232" s="618">
        <x:v>0</x:v>
      </x:c>
      <x:c r="K232" s="618">
        <x:v>0</x:v>
      </x:c>
      <x:c r="L232" s="618">
        <x:v>0</x:v>
      </x:c>
      <x:c r="M232" s="618">
        <x:v>0</x:v>
      </x:c>
      <x:c r="N232" s="618">
        <x:v>0</x:v>
      </x:c>
      <x:c r="O232" s="618">
        <x:v>0</x:v>
      </x:c>
      <x:c r="P232" s="618">
        <x:v>0</x:v>
      </x:c>
      <x:c r="Q232" s="618">
        <x:v>0</x:v>
      </x:c>
      <x:c r="R232" s="616">
        <x:v>0</x:v>
      </x:c>
    </x:row>
    <x:row r="233" spans="1:18" s="621" customFormat="1" ht="12.75" customHeight="1" x14ac:dyDescent="0.3">
      <x:c r="B233" s="622" t="s">
        <x:v>78</x:v>
      </x:c>
      <x:c r="C233" s="622" t="s">
        <x:v>70</x:v>
      </x:c>
      <x:c r="D233" s="622">
        <x:v>0</x:v>
      </x:c>
      <x:c r="E233" s="622">
        <x:v>0</x:v>
      </x:c>
      <x:c r="F233" s="622">
        <x:v>0</x:v>
      </x:c>
      <x:c r="G233" s="622">
        <x:v>0</x:v>
      </x:c>
      <x:c r="H233" s="622">
        <x:v>0</x:v>
      </x:c>
      <x:c r="I233" s="622">
        <x:v>0</x:v>
      </x:c>
      <x:c r="J233" s="622">
        <x:v>0</x:v>
      </x:c>
      <x:c r="K233" s="622">
        <x:v>0</x:v>
      </x:c>
      <x:c r="L233" s="622">
        <x:v>0</x:v>
      </x:c>
      <x:c r="M233" s="622">
        <x:v>0</x:v>
      </x:c>
      <x:c r="N233" s="622">
        <x:v>0</x:v>
      </x:c>
      <x:c r="O233" s="622">
        <x:v>0</x:v>
      </x:c>
      <x:c r="P233" s="621">
        <x:v>0</x:v>
      </x:c>
      <x:c r="Q233" s="622">
        <x:v>0</x:v>
      </x:c>
      <x:c r="R233" s="622">
        <x:v>0</x:v>
      </x:c>
    </x:row>
    <x:row r="234" spans="1:18" ht="12.75" customHeight="1" x14ac:dyDescent="0.3">
      <x:c r="C234" s="616" t="s">
        <x:v>73</x:v>
      </x:c>
      <x:c r="D234" s="620">
        <x:v>0</x:v>
      </x:c>
      <x:c r="E234" s="618">
        <x:v>0</x:v>
      </x:c>
      <x:c r="F234" s="618">
        <x:v>0</x:v>
      </x:c>
      <x:c r="G234" s="620">
        <x:v>0</x:v>
      </x:c>
      <x:c r="H234" s="618">
        <x:v>0</x:v>
      </x:c>
      <x:c r="I234" s="618">
        <x:v>0</x:v>
      </x:c>
      <x:c r="J234" s="618">
        <x:v>0</x:v>
      </x:c>
      <x:c r="K234" s="618">
        <x:v>0</x:v>
      </x:c>
      <x:c r="L234" s="618">
        <x:v>0</x:v>
      </x:c>
      <x:c r="M234" s="618">
        <x:v>0</x:v>
      </x:c>
      <x:c r="N234" s="618">
        <x:v>0</x:v>
      </x:c>
      <x:c r="O234" s="618">
        <x:v>0</x:v>
      </x:c>
      <x:c r="P234" s="618">
        <x:v>0</x:v>
      </x:c>
      <x:c r="Q234" s="618">
        <x:v>0</x:v>
      </x:c>
      <x:c r="R234" s="616">
        <x:v>0</x:v>
      </x:c>
    </x:row>
    <x:row r="235" spans="1:18" s="623" customFormat="1" ht="12.75" customHeight="1" x14ac:dyDescent="0.3">
      <x:c r="B235" s="624" t="s">
        <x:v>79</x:v>
      </x:c>
      <x:c r="C235" s="624" t="s">
        <x:v>70</x:v>
      </x:c>
      <x:c r="D235" s="624">
        <x:v>0</x:v>
      </x:c>
      <x:c r="E235" s="624">
        <x:v>0</x:v>
      </x:c>
      <x:c r="F235" s="624">
        <x:v>0</x:v>
      </x:c>
      <x:c r="G235" s="624">
        <x:v>0</x:v>
      </x:c>
      <x:c r="H235" s="624">
        <x:v>0</x:v>
      </x:c>
      <x:c r="I235" s="624">
        <x:v>0</x:v>
      </x:c>
      <x:c r="J235" s="624">
        <x:v>0</x:v>
      </x:c>
      <x:c r="K235" s="624">
        <x:v>0</x:v>
      </x:c>
      <x:c r="L235" s="624">
        <x:v>0</x:v>
      </x:c>
      <x:c r="M235" s="624">
        <x:v>0</x:v>
      </x:c>
      <x:c r="N235" s="624">
        <x:v>0</x:v>
      </x:c>
      <x:c r="O235" s="624">
        <x:v>0</x:v>
      </x:c>
      <x:c r="P235" s="623">
        <x:v>0</x:v>
      </x:c>
      <x:c r="Q235" s="624">
        <x:v>0</x:v>
      </x:c>
      <x:c r="R235" s="624">
        <x:v>0</x:v>
      </x:c>
    </x:row>
    <x:row r="236" spans="1:18" s="755" customFormat="1" ht="12.75" customHeight="1" x14ac:dyDescent="0.3">
      <x:c r="A236" s="755" t="s">
        <x:v>155</x:v>
      </x:c>
      <x:c r="B236" s="755" t="s">
        <x:v>70</x:v>
      </x:c>
      <x:c r="D236" s="756" t="n">
        <x:v>-39633253.4</x:v>
      </x:c>
      <x:c r="E236" s="757">
        <x:v>0</x:v>
      </x:c>
      <x:c r="F236" s="757">
        <x:v>0</x:v>
      </x:c>
      <x:c r="G236" s="756">
        <x:v>0</x:v>
      </x:c>
      <x:c r="H236" s="757">
        <x:v>0</x:v>
      </x:c>
      <x:c r="I236" s="757">
        <x:v>0</x:v>
      </x:c>
      <x:c r="J236" s="757">
        <x:v>0</x:v>
      </x:c>
      <x:c r="K236" s="757">
        <x:v>0</x:v>
      </x:c>
      <x:c r="L236" s="757">
        <x:v>0</x:v>
      </x:c>
      <x:c r="M236" s="757">
        <x:v>0</x:v>
      </x:c>
      <x:c r="N236" s="757">
        <x:v>0</x:v>
      </x:c>
      <x:c r="O236" s="757">
        <x:v>0</x:v>
      </x:c>
      <x:c r="P236" s="757" t="n">
        <x:v>0</x:v>
      </x:c>
      <x:c r="Q236" s="757">
        <x:v>0</x:v>
      </x:c>
      <x:c r="R236" s="755">
        <x:v>0</x:v>
      </x:c>
    </x:row>
    <x:row r="237" spans="1:18" ht="12.75" customHeight="1" x14ac:dyDescent="0.3">
      <x:c r="C237" s="616" t="s">
        <x:v>72</x:v>
      </x:c>
      <x:c r="D237" s="620">
        <x:v>0</x:v>
      </x:c>
      <x:c r="E237" s="618">
        <x:v>0</x:v>
      </x:c>
      <x:c r="F237" s="618">
        <x:v>0</x:v>
      </x:c>
      <x:c r="G237" s="620">
        <x:v>0</x:v>
      </x:c>
      <x:c r="H237" s="618">
        <x:v>0</x:v>
      </x:c>
      <x:c r="I237" s="618">
        <x:v>0</x:v>
      </x:c>
      <x:c r="J237" s="618">
        <x:v>0</x:v>
      </x:c>
      <x:c r="K237" s="618">
        <x:v>0</x:v>
      </x:c>
      <x:c r="L237" s="618">
        <x:v>0</x:v>
      </x:c>
      <x:c r="M237" s="618">
        <x:v>0</x:v>
      </x:c>
      <x:c r="N237" s="618">
        <x:v>0</x:v>
      </x:c>
      <x:c r="O237" s="618">
        <x:v>0</x:v>
      </x:c>
      <x:c r="P237" s="618">
        <x:v>0</x:v>
      </x:c>
      <x:c r="Q237" s="618">
        <x:v>0</x:v>
      </x:c>
      <x:c r="R237" s="616">
        <x:v>0</x:v>
      </x:c>
    </x:row>
    <x:row r="238" spans="1:18" ht="12.75" customHeight="1" x14ac:dyDescent="0.3">
      <x:c r="C238" s="616" t="s">
        <x:v>81</x:v>
      </x:c>
      <x:c r="D238" s="620">
        <x:v>0</x:v>
      </x:c>
      <x:c r="E238" s="618">
        <x:v>0</x:v>
      </x:c>
      <x:c r="F238" s="618">
        <x:v>0</x:v>
      </x:c>
      <x:c r="G238" s="620">
        <x:v>0</x:v>
      </x:c>
      <x:c r="H238" s="618">
        <x:v>0</x:v>
      </x:c>
      <x:c r="I238" s="618">
        <x:v>0</x:v>
      </x:c>
      <x:c r="J238" s="618">
        <x:v>0</x:v>
      </x:c>
      <x:c r="K238" s="618">
        <x:v>0</x:v>
      </x:c>
      <x:c r="L238" s="618">
        <x:v>0</x:v>
      </x:c>
      <x:c r="M238" s="618">
        <x:v>0</x:v>
      </x:c>
      <x:c r="N238" s="618">
        <x:v>0</x:v>
      </x:c>
      <x:c r="O238" s="618">
        <x:v>0</x:v>
      </x:c>
      <x:c r="P238" s="618">
        <x:v>0</x:v>
      </x:c>
      <x:c r="Q238" s="618">
        <x:v>0</x:v>
      </x:c>
      <x:c r="R238" s="616">
        <x:v>0</x:v>
      </x:c>
    </x:row>
    <x:row r="239" spans="1:18" s="621" customFormat="1" ht="12.75" customHeight="1" x14ac:dyDescent="0.3">
      <x:c r="B239" s="622" t="s">
        <x:v>78</x:v>
      </x:c>
      <x:c r="C239" s="622" t="s">
        <x:v>70</x:v>
      </x:c>
      <x:c r="D239" s="622">
        <x:v>0</x:v>
      </x:c>
      <x:c r="E239" s="622">
        <x:v>0</x:v>
      </x:c>
      <x:c r="F239" s="622">
        <x:v>0</x:v>
      </x:c>
      <x:c r="G239" s="622">
        <x:v>0</x:v>
      </x:c>
      <x:c r="H239" s="622">
        <x:v>0</x:v>
      </x:c>
      <x:c r="I239" s="622">
        <x:v>0</x:v>
      </x:c>
      <x:c r="J239" s="622">
        <x:v>0</x:v>
      </x:c>
      <x:c r="K239" s="622">
        <x:v>0</x:v>
      </x:c>
      <x:c r="L239" s="622">
        <x:v>0</x:v>
      </x:c>
      <x:c r="M239" s="622">
        <x:v>0</x:v>
      </x:c>
      <x:c r="N239" s="622">
        <x:v>0</x:v>
      </x:c>
      <x:c r="O239" s="622">
        <x:v>0</x:v>
      </x:c>
      <x:c r="P239" s="621">
        <x:v>0</x:v>
      </x:c>
      <x:c r="Q239" s="622">
        <x:v>0</x:v>
      </x:c>
      <x:c r="R239" s="622">
        <x:v>0</x:v>
      </x:c>
    </x:row>
    <x:row r="240" spans="1:18" ht="12.75" customHeight="1" x14ac:dyDescent="0.3">
      <x:c r="C240" s="616" t="s">
        <x:v>73</x:v>
      </x:c>
      <x:c r="D240" s="620">
        <x:v>0</x:v>
      </x:c>
      <x:c r="E240" s="618">
        <x:v>0</x:v>
      </x:c>
      <x:c r="F240" s="618">
        <x:v>0</x:v>
      </x:c>
      <x:c r="G240" s="620">
        <x:v>0</x:v>
      </x:c>
      <x:c r="H240" s="618">
        <x:v>0</x:v>
      </x:c>
      <x:c r="I240" s="618">
        <x:v>0</x:v>
      </x:c>
      <x:c r="J240" s="618">
        <x:v>0</x:v>
      </x:c>
      <x:c r="K240" s="618">
        <x:v>0</x:v>
      </x:c>
      <x:c r="L240" s="618">
        <x:v>0</x:v>
      </x:c>
      <x:c r="M240" s="618">
        <x:v>0</x:v>
      </x:c>
      <x:c r="N240" s="618">
        <x:v>0</x:v>
      </x:c>
      <x:c r="O240" s="618">
        <x:v>0</x:v>
      </x:c>
      <x:c r="P240" s="618">
        <x:v>0</x:v>
      </x:c>
      <x:c r="Q240" s="618">
        <x:v>0</x:v>
      </x:c>
      <x:c r="R240" s="616">
        <x:v>0</x:v>
      </x:c>
    </x:row>
    <x:row r="241" spans="1:18" s="623" customFormat="1" ht="12.75" customHeight="1" x14ac:dyDescent="0.3">
      <x:c r="B241" s="624" t="s">
        <x:v>79</x:v>
      </x:c>
      <x:c r="C241" s="624" t="s">
        <x:v>70</x:v>
      </x:c>
      <x:c r="D241" s="624">
        <x:v>0</x:v>
      </x:c>
      <x:c r="E241" s="624">
        <x:v>0</x:v>
      </x:c>
      <x:c r="F241" s="624">
        <x:v>0</x:v>
      </x:c>
      <x:c r="G241" s="624">
        <x:v>0</x:v>
      </x:c>
      <x:c r="H241" s="624">
        <x:v>0</x:v>
      </x:c>
      <x:c r="I241" s="624">
        <x:v>0</x:v>
      </x:c>
      <x:c r="J241" s="624">
        <x:v>0</x:v>
      </x:c>
      <x:c r="K241" s="624">
        <x:v>0</x:v>
      </x:c>
      <x:c r="L241" s="624">
        <x:v>0</x:v>
      </x:c>
      <x:c r="M241" s="624">
        <x:v>0</x:v>
      </x:c>
      <x:c r="N241" s="624">
        <x:v>0</x:v>
      </x:c>
      <x:c r="O241" s="624">
        <x:v>0</x:v>
      </x:c>
      <x:c r="P241" s="623">
        <x:v>0</x:v>
      </x:c>
      <x:c r="Q241" s="624">
        <x:v>0</x:v>
      </x:c>
      <x:c r="R241" s="624">
        <x:v>0</x:v>
      </x:c>
    </x:row>
    <x:row r="242" spans="1:18" s="763" customFormat="1" ht="12.75" customHeight="1" x14ac:dyDescent="0.3">
      <x:c r="A242" s="763" t="s">
        <x:v>120</x:v>
      </x:c>
      <x:c r="B242" s="763" t="s">
        <x:v>70</x:v>
      </x:c>
      <x:c r="D242" s="765" t="n">
        <x:v>-554080</x:v>
      </x:c>
      <x:c r="E242" s="764">
        <x:v>0</x:v>
      </x:c>
      <x:c r="F242" s="764">
        <x:v>0</x:v>
      </x:c>
      <x:c r="G242" s="765">
        <x:v>0</x:v>
      </x:c>
      <x:c r="H242" s="764">
        <x:v>0</x:v>
      </x:c>
      <x:c r="I242" s="764">
        <x:v>0</x:v>
      </x:c>
      <x:c r="J242" s="764">
        <x:v>0</x:v>
      </x:c>
      <x:c r="K242" s="764">
        <x:v>0</x:v>
      </x:c>
      <x:c r="L242" s="764">
        <x:v>0</x:v>
      </x:c>
      <x:c r="M242" s="764">
        <x:v>0</x:v>
      </x:c>
      <x:c r="N242" s="764">
        <x:v>0</x:v>
      </x:c>
      <x:c r="O242" s="764">
        <x:v>0</x:v>
      </x:c>
      <x:c r="P242" s="764" t="n">
        <x:v>0</x:v>
      </x:c>
      <x:c r="Q242" s="764">
        <x:v>0</x:v>
      </x:c>
      <x:c r="R242" s="763">
        <x:v>0</x:v>
      </x:c>
    </x:row>
    <x:row r="243" spans="1:18" ht="12.75" customHeight="1" x14ac:dyDescent="0.3">
      <x:c r="C243" s="616" t="s">
        <x:v>72</x:v>
      </x:c>
      <x:c r="D243" s="620">
        <x:v>0</x:v>
      </x:c>
      <x:c r="E243" s="618">
        <x:v>0</x:v>
      </x:c>
      <x:c r="F243" s="618">
        <x:v>0</x:v>
      </x:c>
      <x:c r="G243" s="620">
        <x:v>0</x:v>
      </x:c>
      <x:c r="H243" s="618">
        <x:v>0</x:v>
      </x:c>
      <x:c r="I243" s="618">
        <x:v>0</x:v>
      </x:c>
      <x:c r="J243" s="618">
        <x:v>0</x:v>
      </x:c>
      <x:c r="K243" s="618">
        <x:v>0</x:v>
      </x:c>
      <x:c r="L243" s="618">
        <x:v>0</x:v>
      </x:c>
      <x:c r="M243" s="618">
        <x:v>0</x:v>
      </x:c>
      <x:c r="N243" s="618">
        <x:v>0</x:v>
      </x:c>
      <x:c r="O243" s="618">
        <x:v>0</x:v>
      </x:c>
      <x:c r="P243" s="618">
        <x:v>0</x:v>
      </x:c>
      <x:c r="Q243" s="618">
        <x:v>0</x:v>
      </x:c>
      <x:c r="R243" s="616">
        <x:v>0</x:v>
      </x:c>
    </x:row>
    <x:row r="244" spans="1:18" ht="12.75" customHeight="1" x14ac:dyDescent="0.3">
      <x:c r="C244" s="616" t="s">
        <x:v>81</x:v>
      </x:c>
      <x:c r="D244" s="620">
        <x:v>0</x:v>
      </x:c>
      <x:c r="E244" s="618">
        <x:v>0</x:v>
      </x:c>
      <x:c r="F244" s="618">
        <x:v>0</x:v>
      </x:c>
      <x:c r="G244" s="620">
        <x:v>0</x:v>
      </x:c>
      <x:c r="H244" s="618">
        <x:v>0</x:v>
      </x:c>
      <x:c r="I244" s="618">
        <x:v>0</x:v>
      </x:c>
      <x:c r="J244" s="618">
        <x:v>0</x:v>
      </x:c>
      <x:c r="K244" s="618">
        <x:v>0</x:v>
      </x:c>
      <x:c r="L244" s="618">
        <x:v>0</x:v>
      </x:c>
      <x:c r="M244" s="618">
        <x:v>0</x:v>
      </x:c>
      <x:c r="N244" s="618">
        <x:v>0</x:v>
      </x:c>
      <x:c r="O244" s="618">
        <x:v>0</x:v>
      </x:c>
      <x:c r="P244" s="618">
        <x:v>0</x:v>
      </x:c>
      <x:c r="Q244" s="618">
        <x:v>0</x:v>
      </x:c>
      <x:c r="R244" s="616">
        <x:v>0</x:v>
      </x:c>
    </x:row>
    <x:row r="245" spans="1:18" s="621" customFormat="1" ht="12.75" customHeight="1" x14ac:dyDescent="0.3">
      <x:c r="B245" s="622" t="s">
        <x:v>78</x:v>
      </x:c>
      <x:c r="C245" s="622" t="s">
        <x:v>70</x:v>
      </x:c>
      <x:c r="D245" s="622">
        <x:v>0</x:v>
      </x:c>
      <x:c r="E245" s="622">
        <x:v>0</x:v>
      </x:c>
      <x:c r="F245" s="622">
        <x:v>0</x:v>
      </x:c>
      <x:c r="G245" s="622">
        <x:v>0</x:v>
      </x:c>
      <x:c r="H245" s="622">
        <x:v>0</x:v>
      </x:c>
      <x:c r="I245" s="622">
        <x:v>0</x:v>
      </x:c>
      <x:c r="J245" s="622">
        <x:v>0</x:v>
      </x:c>
      <x:c r="K245" s="622">
        <x:v>0</x:v>
      </x:c>
      <x:c r="L245" s="622">
        <x:v>0</x:v>
      </x:c>
      <x:c r="M245" s="622">
        <x:v>0</x:v>
      </x:c>
      <x:c r="N245" s="622">
        <x:v>0</x:v>
      </x:c>
      <x:c r="O245" s="622">
        <x:v>0</x:v>
      </x:c>
      <x:c r="P245" s="621">
        <x:v>0</x:v>
      </x:c>
      <x:c r="Q245" s="622">
        <x:v>0</x:v>
      </x:c>
      <x:c r="R245" s="622">
        <x:v>0</x:v>
      </x:c>
    </x:row>
    <x:row r="246" spans="1:18" ht="12.75" customHeight="1" x14ac:dyDescent="0.3">
      <x:c r="C246" s="616" t="s">
        <x:v>73</x:v>
      </x:c>
      <x:c r="D246" s="618">
        <x:v>0</x:v>
      </x:c>
      <x:c r="E246" s="618">
        <x:v>0</x:v>
      </x:c>
      <x:c r="F246" s="618">
        <x:v>0</x:v>
      </x:c>
      <x:c r="G246" s="620">
        <x:v>0</x:v>
      </x:c>
      <x:c r="H246" s="618">
        <x:v>0</x:v>
      </x:c>
      <x:c r="I246" s="618">
        <x:v>0</x:v>
      </x:c>
      <x:c r="J246" s="618">
        <x:v>0</x:v>
      </x:c>
      <x:c r="K246" s="618">
        <x:v>0</x:v>
      </x:c>
      <x:c r="L246" s="618">
        <x:v>0</x:v>
      </x:c>
      <x:c r="M246" s="618">
        <x:v>0</x:v>
      </x:c>
      <x:c r="N246" s="618">
        <x:v>0</x:v>
      </x:c>
      <x:c r="O246" s="618">
        <x:v>0</x:v>
      </x:c>
      <x:c r="P246" s="618">
        <x:v>0</x:v>
      </x:c>
      <x:c r="Q246" s="618">
        <x:v>0</x:v>
      </x:c>
      <x:c r="R246" s="616">
        <x:v>0</x:v>
      </x:c>
    </x:row>
    <x:row r="247" spans="1:18" s="623" customFormat="1" ht="12.75" customHeight="1" x14ac:dyDescent="0.3">
      <x:c r="B247" s="624" t="s">
        <x:v>79</x:v>
      </x:c>
      <x:c r="C247" s="624" t="s">
        <x:v>70</x:v>
      </x:c>
      <x:c r="D247" s="624">
        <x:v>0</x:v>
      </x:c>
      <x:c r="E247" s="624">
        <x:v>0</x:v>
      </x:c>
      <x:c r="F247" s="624">
        <x:v>0</x:v>
      </x:c>
      <x:c r="G247" s="624">
        <x:v>0</x:v>
      </x:c>
      <x:c r="H247" s="624">
        <x:v>0</x:v>
      </x:c>
      <x:c r="I247" s="624">
        <x:v>0</x:v>
      </x:c>
      <x:c r="J247" s="624">
        <x:v>0</x:v>
      </x:c>
      <x:c r="K247" s="624">
        <x:v>0</x:v>
      </x:c>
      <x:c r="L247" s="624">
        <x:v>0</x:v>
      </x:c>
      <x:c r="M247" s="624">
        <x:v>0</x:v>
      </x:c>
      <x:c r="N247" s="624">
        <x:v>0</x:v>
      </x:c>
      <x:c r="O247" s="624">
        <x:v>0</x:v>
      </x:c>
      <x:c r="P247" s="623">
        <x:v>0</x:v>
      </x:c>
      <x:c r="Q247" s="624">
        <x:v>0</x:v>
      </x:c>
      <x:c r="R247" s="624">
        <x:v>0</x:v>
      </x:c>
    </x:row>
    <x:row r="248" spans="1:18" s="754" customFormat="1" ht="12.75" customHeight="1" x14ac:dyDescent="0.3">
      <x:c r="A248" s="754" t="s">
        <x:v>119</x:v>
      </x:c>
      <x:c r="B248" s="628" t="s">
        <x:v>70</x:v>
      </x:c>
      <x:c r="C248" s="628"/>
      <x:c r="D248" s="628" t="n">
        <x:v>-1371252</x:v>
      </x:c>
      <x:c r="E248" s="628">
        <x:v>0</x:v>
      </x:c>
      <x:c r="F248" s="628">
        <x:v>0</x:v>
      </x:c>
      <x:c r="G248" s="628">
        <x:v>0</x:v>
      </x:c>
      <x:c r="H248" s="628">
        <x:v>0</x:v>
      </x:c>
      <x:c r="I248" s="628">
        <x:v>0</x:v>
      </x:c>
      <x:c r="J248" s="628">
        <x:v>0</x:v>
      </x:c>
      <x:c r="K248" s="628">
        <x:v>0</x:v>
      </x:c>
      <x:c r="L248" s="628">
        <x:v>0</x:v>
      </x:c>
      <x:c r="M248" s="628">
        <x:v>0</x:v>
      </x:c>
      <x:c r="N248" s="628">
        <x:v>0</x:v>
      </x:c>
      <x:c r="O248" s="628">
        <x:v>0</x:v>
      </x:c>
      <x:c r="P248" s="754" t="n">
        <x:v>0</x:v>
      </x:c>
      <x:c r="Q248" s="628">
        <x:v>0</x:v>
      </x:c>
      <x:c r="R248" s="628">
        <x:v>0</x:v>
      </x:c>
    </x:row>
    <x:row r="249" spans="1:18" s="631" customFormat="1" ht="12.75" customHeight="1" x14ac:dyDescent="0.3">
      <x:c r="A249" s="630" t="s">
        <x:v>70</x:v>
      </x:c>
      <x:c r="D249" s="630" t="n">
        <x:v>-41558585.4</x:v>
      </x:c>
      <x:c r="E249" s="630">
        <x:v>0</x:v>
      </x:c>
      <x:c r="F249" s="630">
        <x:v>0</x:v>
      </x:c>
      <x:c r="G249" s="630">
        <x:v>0</x:v>
      </x:c>
      <x:c r="H249" s="630">
        <x:v>0</x:v>
      </x:c>
      <x:c r="I249" s="630">
        <x:v>0</x:v>
      </x:c>
      <x:c r="J249" s="630">
        <x:v>0</x:v>
      </x:c>
      <x:c r="K249" s="630">
        <x:v>0</x:v>
      </x:c>
      <x:c r="L249" s="630">
        <x:v>0</x:v>
      </x:c>
      <x:c r="M249" s="630">
        <x:v>0</x:v>
      </x:c>
      <x:c r="N249" s="630">
        <x:v>0</x:v>
      </x:c>
      <x:c r="O249" s="630">
        <x:v>0</x:v>
      </x:c>
      <x:c r="P249" s="631" t="n">
        <x:v>0</x:v>
      </x:c>
      <x:c r="Q249" s="631">
        <x:v>0</x:v>
      </x:c>
      <x:c r="R249" s="631">
        <x:v>0</x:v>
      </x:c>
    </x:row>
    <x:row r="250" spans="1:18" ht="12.75" customHeight="1" x14ac:dyDescent="0.3">
      <x:c r="A250" s="618"/>
      <x:c r="B250" s="618"/>
      <x:c r="D250" s="618"/>
      <x:c r="E250" s="618"/>
      <x:c r="F250" s="618"/>
      <x:c r="G250" s="618"/>
      <x:c r="H250" s="618"/>
      <x:c r="I250" s="618"/>
      <x:c r="J250" s="618"/>
      <x:c r="K250" s="618"/>
      <x:c r="L250" s="618"/>
      <x:c r="M250" s="618"/>
      <x:c r="N250" s="618"/>
      <x:c r="O250" s="618"/>
    </x:row>
    <x:row r="251" spans="1:18" ht="12.75" customHeight="1" x14ac:dyDescent="0.3">
      <x:c r="A251" s="618"/>
      <x:c r="D251" s="618"/>
      <x:c r="E251" s="618"/>
      <x:c r="F251" s="618"/>
      <x:c r="G251" s="618"/>
      <x:c r="H251" s="618"/>
      <x:c r="I251" s="618"/>
      <x:c r="J251" s="618"/>
      <x:c r="K251" s="618"/>
      <x:c r="L251" s="618"/>
      <x:c r="M251" s="618"/>
      <x:c r="N251" s="618"/>
      <x:c r="O251" s="618"/>
    </x:row>
    <x:row r="252" spans="1:18" ht="12.75" customHeight="1" x14ac:dyDescent="0.3">
      <x:c r="B252" s="618"/>
      <x:c r="C252" s="618"/>
      <x:c r="D252" s="618"/>
      <x:c r="E252" s="618"/>
      <x:c r="F252" s="618"/>
      <x:c r="G252" s="618"/>
      <x:c r="H252" s="618"/>
      <x:c r="I252" s="618"/>
      <x:c r="J252" s="618"/>
      <x:c r="K252" s="618"/>
      <x:c r="L252" s="618"/>
      <x:c r="M252" s="618"/>
      <x:c r="N252" s="618"/>
      <x:c r="O252" s="618"/>
    </x:row>
    <x:row r="253" spans="1:18" ht="12.75" hidden="1" customHeight="1" x14ac:dyDescent="0.3">
      <x:c r="B253" s="618"/>
      <x:c r="C253" s="618"/>
      <x:c r="D253" s="618"/>
      <x:c r="E253" s="618"/>
      <x:c r="F253" s="618"/>
      <x:c r="G253" s="618"/>
      <x:c r="H253" s="618"/>
      <x:c r="I253" s="618"/>
      <x:c r="J253" s="618"/>
      <x:c r="K253" s="618"/>
      <x:c r="L253" s="618"/>
      <x:c r="M253" s="618"/>
      <x:c r="N253" s="618"/>
      <x:c r="O253" s="618"/>
    </x:row>
    <x:row r="254" spans="1:18" ht="12.75" hidden="1" customHeight="1" x14ac:dyDescent="0.3">
      <x:c r="B254" s="618"/>
      <x:c r="C254" s="618"/>
      <x:c r="D254" s="618"/>
      <x:c r="E254" s="618"/>
      <x:c r="F254" s="618"/>
      <x:c r="G254" s="618"/>
      <x:c r="H254" s="618"/>
      <x:c r="I254" s="618"/>
      <x:c r="J254" s="618"/>
      <x:c r="K254" s="618"/>
      <x:c r="L254" s="618"/>
      <x:c r="M254" s="618"/>
      <x:c r="N254" s="618"/>
      <x:c r="O254" s="618"/>
    </x:row>
    <x:row r="255" spans="1:18" ht="12.75" hidden="1" customHeight="1" x14ac:dyDescent="0.3">
      <x:c r="B255" s="618"/>
      <x:c r="C255" s="618"/>
      <x:c r="D255" s="618"/>
      <x:c r="E255" s="618"/>
      <x:c r="F255" s="618"/>
      <x:c r="G255" s="618"/>
      <x:c r="H255" s="618"/>
      <x:c r="I255" s="618"/>
      <x:c r="J255" s="618"/>
      <x:c r="K255" s="618"/>
      <x:c r="L255" s="618"/>
      <x:c r="M255" s="618"/>
      <x:c r="N255" s="618"/>
      <x:c r="O255" s="618"/>
    </x:row>
    <x:row r="256" spans="1:18" ht="12.75" hidden="1" customHeight="1" x14ac:dyDescent="0.3">
      <x:c r="B256" s="618"/>
      <x:c r="C256" s="618"/>
      <x:c r="D256" s="618"/>
      <x:c r="E256" s="618"/>
      <x:c r="F256" s="618"/>
      <x:c r="G256" s="618"/>
      <x:c r="H256" s="618"/>
      <x:c r="I256" s="618"/>
      <x:c r="J256" s="618"/>
      <x:c r="K256" s="618"/>
      <x:c r="L256" s="618"/>
      <x:c r="M256" s="618"/>
      <x:c r="N256" s="618"/>
      <x:c r="O256" s="618"/>
    </x:row>
    <x:row r="257" spans="2:15" ht="12.75" hidden="1" customHeight="1" x14ac:dyDescent="0.3">
      <x:c r="B257" s="618"/>
      <x:c r="C257" s="618"/>
      <x:c r="D257" s="618"/>
      <x:c r="E257" s="618"/>
      <x:c r="F257" s="618"/>
      <x:c r="G257" s="618"/>
      <x:c r="H257" s="618"/>
      <x:c r="I257" s="618"/>
      <x:c r="J257" s="618"/>
      <x:c r="K257" s="618"/>
      <x:c r="L257" s="618"/>
      <x:c r="M257" s="618"/>
      <x:c r="N257" s="618"/>
      <x:c r="O257" s="618"/>
    </x:row>
    <x:row r="258" spans="2:15" ht="12.75" hidden="1" customHeight="1" x14ac:dyDescent="0.3">
      <x:c r="B258" s="618"/>
      <x:c r="C258" s="618"/>
      <x:c r="D258" s="618"/>
      <x:c r="E258" s="618"/>
      <x:c r="F258" s="618"/>
      <x:c r="G258" s="618"/>
      <x:c r="H258" s="618"/>
      <x:c r="I258" s="618"/>
      <x:c r="J258" s="618"/>
      <x:c r="K258" s="618"/>
      <x:c r="L258" s="618"/>
      <x:c r="M258" s="618"/>
      <x:c r="N258" s="618"/>
      <x:c r="O258" s="618"/>
    </x:row>
    <x:row r="259" spans="2:15" ht="12.75" hidden="1" customHeight="1" x14ac:dyDescent="0.3">
      <x:c r="B259" s="618"/>
      <x:c r="C259" s="618"/>
      <x:c r="D259" s="618"/>
      <x:c r="E259" s="618"/>
      <x:c r="F259" s="618"/>
      <x:c r="G259" s="618"/>
      <x:c r="H259" s="618"/>
      <x:c r="I259" s="618"/>
      <x:c r="J259" s="618"/>
      <x:c r="K259" s="618"/>
      <x:c r="L259" s="618"/>
      <x:c r="M259" s="618"/>
      <x:c r="N259" s="618"/>
      <x:c r="O259" s="618"/>
    </x:row>
    <x:row r="260" spans="2:15" ht="12.75" hidden="1" customHeight="1" x14ac:dyDescent="0.3">
      <x:c r="B260" s="618"/>
      <x:c r="C260" s="618"/>
      <x:c r="D260" s="618"/>
      <x:c r="E260" s="618"/>
      <x:c r="F260" s="618"/>
      <x:c r="G260" s="618"/>
      <x:c r="H260" s="618"/>
      <x:c r="I260" s="618"/>
      <x:c r="J260" s="618"/>
      <x:c r="K260" s="618"/>
      <x:c r="L260" s="618"/>
      <x:c r="M260" s="618"/>
      <x:c r="N260" s="618"/>
      <x:c r="O260" s="618"/>
    </x:row>
    <x:row r="261" spans="2:15" ht="12.75" hidden="1" customHeight="1" x14ac:dyDescent="0.3">
      <x:c r="B261" s="618"/>
      <x:c r="C261" s="618"/>
      <x:c r="D261" s="618"/>
      <x:c r="E261" s="618"/>
      <x:c r="F261" s="618"/>
      <x:c r="G261" s="618"/>
      <x:c r="H261" s="618"/>
      <x:c r="I261" s="618"/>
      <x:c r="J261" s="618"/>
      <x:c r="K261" s="618"/>
      <x:c r="L261" s="618"/>
      <x:c r="M261" s="618"/>
      <x:c r="N261" s="618"/>
      <x:c r="O261" s="618"/>
    </x:row>
    <x:row r="262" spans="2:15" ht="12.75" hidden="1" customHeight="1" x14ac:dyDescent="0.3">
      <x:c r="B262" s="618"/>
      <x:c r="C262" s="618"/>
      <x:c r="D262" s="618"/>
      <x:c r="E262" s="618"/>
      <x:c r="F262" s="618"/>
      <x:c r="G262" s="618"/>
      <x:c r="H262" s="618"/>
      <x:c r="I262" s="618"/>
      <x:c r="J262" s="618"/>
      <x:c r="K262" s="618"/>
      <x:c r="L262" s="618"/>
      <x:c r="M262" s="618"/>
      <x:c r="N262" s="618"/>
      <x:c r="O262" s="618"/>
    </x:row>
    <x:row r="263" spans="2:15" ht="12.75" hidden="1" customHeight="1" x14ac:dyDescent="0.3">
      <x:c r="B263" s="618"/>
      <x:c r="C263" s="618"/>
      <x:c r="D263" s="618"/>
      <x:c r="E263" s="618"/>
      <x:c r="F263" s="618"/>
      <x:c r="G263" s="618"/>
      <x:c r="H263" s="618"/>
      <x:c r="I263" s="618"/>
      <x:c r="J263" s="618"/>
      <x:c r="K263" s="618"/>
      <x:c r="L263" s="618"/>
      <x:c r="M263" s="618"/>
      <x:c r="N263" s="618"/>
      <x:c r="O263" s="618"/>
    </x:row>
    <x:row r="264" spans="2:15" ht="12.75" hidden="1" customHeight="1" x14ac:dyDescent="0.3">
      <x:c r="B264" s="618"/>
      <x:c r="C264" s="618"/>
      <x:c r="D264" s="618"/>
      <x:c r="E264" s="618"/>
      <x:c r="F264" s="618"/>
      <x:c r="G264" s="618"/>
      <x:c r="H264" s="618"/>
      <x:c r="I264" s="618"/>
      <x:c r="J264" s="618"/>
      <x:c r="K264" s="618"/>
      <x:c r="L264" s="618"/>
      <x:c r="M264" s="618"/>
      <x:c r="N264" s="618"/>
      <x:c r="O264" s="618"/>
    </x:row>
    <x:row r="265" spans="2:15" ht="12.75" hidden="1" customHeight="1" x14ac:dyDescent="0.3">
      <x:c r="B265" s="618"/>
      <x:c r="C265" s="618"/>
      <x:c r="D265" s="618"/>
      <x:c r="E265" s="618"/>
      <x:c r="F265" s="618"/>
      <x:c r="G265" s="618"/>
      <x:c r="H265" s="618"/>
      <x:c r="I265" s="618"/>
      <x:c r="J265" s="618"/>
      <x:c r="K265" s="618"/>
      <x:c r="L265" s="618"/>
      <x:c r="M265" s="618"/>
      <x:c r="N265" s="618"/>
      <x:c r="O265" s="618"/>
    </x:row>
    <x:row r="266" spans="2:15" ht="12.75" hidden="1" customHeight="1" x14ac:dyDescent="0.3">
      <x:c r="B266" s="618"/>
      <x:c r="C266" s="618"/>
      <x:c r="D266" s="618"/>
      <x:c r="E266" s="618"/>
      <x:c r="F266" s="618"/>
      <x:c r="G266" s="618"/>
      <x:c r="H266" s="618"/>
      <x:c r="I266" s="618"/>
      <x:c r="J266" s="618"/>
      <x:c r="K266" s="618"/>
      <x:c r="L266" s="618"/>
      <x:c r="M266" s="618"/>
      <x:c r="N266" s="618"/>
      <x:c r="O266" s="618"/>
    </x:row>
    <x:row r="267" spans="2:15" ht="12.75" hidden="1" customHeight="1" x14ac:dyDescent="0.3">
      <x:c r="B267" s="618"/>
      <x:c r="C267" s="618"/>
      <x:c r="D267" s="618"/>
      <x:c r="E267" s="618"/>
      <x:c r="F267" s="618"/>
      <x:c r="G267" s="618"/>
      <x:c r="H267" s="618"/>
      <x:c r="I267" s="618"/>
      <x:c r="J267" s="618"/>
      <x:c r="K267" s="618"/>
      <x:c r="L267" s="618"/>
      <x:c r="M267" s="618"/>
      <x:c r="N267" s="618"/>
      <x:c r="O267" s="618"/>
    </x:row>
    <x:row r="268" spans="2:15" ht="12.75" hidden="1" customHeight="1" x14ac:dyDescent="0.3">
      <x:c r="B268" s="618"/>
      <x:c r="C268" s="618"/>
      <x:c r="D268" s="618"/>
      <x:c r="E268" s="618"/>
      <x:c r="F268" s="618"/>
      <x:c r="G268" s="618"/>
      <x:c r="H268" s="618"/>
      <x:c r="I268" s="618"/>
      <x:c r="J268" s="618"/>
      <x:c r="K268" s="618"/>
      <x:c r="L268" s="618"/>
      <x:c r="M268" s="618"/>
      <x:c r="N268" s="618"/>
      <x:c r="O268" s="618"/>
    </x:row>
    <x:row r="269" spans="2:15" ht="12.75" hidden="1" customHeight="1" x14ac:dyDescent="0.3">
      <x:c r="B269" s="618"/>
      <x:c r="C269" s="618"/>
      <x:c r="D269" s="618"/>
      <x:c r="E269" s="618"/>
      <x:c r="F269" s="618"/>
      <x:c r="G269" s="618"/>
      <x:c r="H269" s="618"/>
      <x:c r="I269" s="618"/>
      <x:c r="J269" s="618"/>
      <x:c r="K269" s="618"/>
      <x:c r="L269" s="618"/>
      <x:c r="M269" s="618"/>
      <x:c r="N269" s="618"/>
      <x:c r="O269" s="618"/>
    </x:row>
    <x:row r="270" spans="2:15" ht="12.75" hidden="1" customHeight="1" x14ac:dyDescent="0.3">
      <x:c r="B270" s="618"/>
      <x:c r="C270" s="618"/>
      <x:c r="D270" s="618"/>
      <x:c r="E270" s="618"/>
      <x:c r="F270" s="618"/>
      <x:c r="G270" s="618"/>
      <x:c r="H270" s="618"/>
      <x:c r="I270" s="618"/>
      <x:c r="J270" s="618"/>
      <x:c r="K270" s="618"/>
      <x:c r="L270" s="618"/>
      <x:c r="M270" s="618"/>
      <x:c r="N270" s="618"/>
      <x:c r="O270" s="618"/>
    </x:row>
    <x:row r="271" spans="2:15" ht="12.75" hidden="1" customHeight="1" x14ac:dyDescent="0.3">
      <x:c r="B271" s="618"/>
      <x:c r="C271" s="618"/>
      <x:c r="D271" s="618"/>
      <x:c r="E271" s="618"/>
      <x:c r="F271" s="618"/>
      <x:c r="G271" s="618"/>
      <x:c r="H271" s="618"/>
      <x:c r="I271" s="618"/>
      <x:c r="J271" s="618"/>
      <x:c r="K271" s="618"/>
      <x:c r="L271" s="618"/>
      <x:c r="M271" s="618"/>
      <x:c r="N271" s="618"/>
      <x:c r="O271" s="618"/>
    </x:row>
    <x:row r="272" spans="2:15" ht="12.75" hidden="1" customHeight="1" x14ac:dyDescent="0.3">
      <x:c r="B272" s="618"/>
      <x:c r="C272" s="618"/>
      <x:c r="D272" s="618"/>
      <x:c r="E272" s="618"/>
      <x:c r="F272" s="618"/>
      <x:c r="G272" s="618"/>
      <x:c r="H272" s="618"/>
      <x:c r="I272" s="618"/>
      <x:c r="J272" s="618"/>
      <x:c r="K272" s="618"/>
      <x:c r="L272" s="618"/>
      <x:c r="M272" s="618"/>
      <x:c r="N272" s="618"/>
      <x:c r="O272" s="618"/>
    </x:row>
    <x:row r="273" spans="2:15" ht="12.75" hidden="1" customHeight="1" x14ac:dyDescent="0.3">
      <x:c r="B273" s="618"/>
      <x:c r="C273" s="618"/>
      <x:c r="D273" s="618"/>
      <x:c r="E273" s="618"/>
      <x:c r="F273" s="618"/>
      <x:c r="G273" s="618"/>
      <x:c r="H273" s="618"/>
      <x:c r="I273" s="618"/>
      <x:c r="J273" s="618"/>
      <x:c r="K273" s="618"/>
      <x:c r="L273" s="618"/>
      <x:c r="M273" s="618"/>
      <x:c r="N273" s="618"/>
      <x:c r="O273" s="618"/>
    </x:row>
    <x:row r="274" spans="2:15" ht="12.75" hidden="1" customHeight="1" x14ac:dyDescent="0.3">
      <x:c r="B274" s="618"/>
      <x:c r="C274" s="618"/>
      <x:c r="D274" s="618"/>
      <x:c r="E274" s="618"/>
      <x:c r="F274" s="618"/>
      <x:c r="G274" s="618"/>
      <x:c r="H274" s="618"/>
      <x:c r="I274" s="618"/>
      <x:c r="J274" s="618"/>
      <x:c r="K274" s="618"/>
      <x:c r="L274" s="618"/>
      <x:c r="M274" s="618"/>
      <x:c r="N274" s="618"/>
      <x:c r="O274" s="618"/>
    </x:row>
    <x:row r="275" spans="2:15" ht="12.75" hidden="1" customHeight="1" x14ac:dyDescent="0.3">
      <x:c r="B275" s="618"/>
      <x:c r="C275" s="618"/>
      <x:c r="D275" s="618"/>
      <x:c r="E275" s="618"/>
      <x:c r="F275" s="618"/>
      <x:c r="G275" s="618"/>
      <x:c r="H275" s="618"/>
      <x:c r="I275" s="618"/>
      <x:c r="J275" s="618"/>
      <x:c r="K275" s="618"/>
      <x:c r="L275" s="618"/>
      <x:c r="M275" s="618"/>
      <x:c r="N275" s="618"/>
      <x:c r="O275" s="618"/>
    </x:row>
    <x:row r="276" spans="2:15" ht="12.75" hidden="1" customHeight="1" x14ac:dyDescent="0.3">
      <x:c r="B276" s="618"/>
      <x:c r="C276" s="618"/>
      <x:c r="D276" s="618"/>
      <x:c r="E276" s="618"/>
      <x:c r="F276" s="618"/>
      <x:c r="G276" s="618"/>
      <x:c r="H276" s="618"/>
      <x:c r="I276" s="618"/>
      <x:c r="J276" s="618"/>
      <x:c r="K276" s="618"/>
      <x:c r="L276" s="618"/>
      <x:c r="M276" s="618"/>
      <x:c r="N276" s="618"/>
      <x:c r="O276" s="618"/>
    </x:row>
    <x:row r="277" spans="2:15" ht="12.75" hidden="1" customHeight="1" x14ac:dyDescent="0.3">
      <x:c r="B277" s="618"/>
      <x:c r="C277" s="618"/>
      <x:c r="D277" s="618"/>
      <x:c r="E277" s="618"/>
      <x:c r="F277" s="618"/>
      <x:c r="G277" s="618"/>
      <x:c r="H277" s="618"/>
      <x:c r="I277" s="618"/>
      <x:c r="J277" s="618"/>
      <x:c r="K277" s="618"/>
      <x:c r="L277" s="618"/>
      <x:c r="M277" s="618"/>
      <x:c r="N277" s="618"/>
      <x:c r="O277" s="618"/>
    </x:row>
    <x:row r="278" spans="2:15" ht="12.75" hidden="1" customHeight="1" x14ac:dyDescent="0.3">
      <x:c r="B278" s="618"/>
      <x:c r="C278" s="618"/>
      <x:c r="D278" s="618"/>
      <x:c r="E278" s="618"/>
      <x:c r="F278" s="618"/>
      <x:c r="G278" s="618"/>
      <x:c r="H278" s="618"/>
      <x:c r="I278" s="618"/>
      <x:c r="J278" s="618"/>
      <x:c r="K278" s="618"/>
      <x:c r="L278" s="618"/>
      <x:c r="M278" s="618"/>
      <x:c r="N278" s="618"/>
      <x:c r="O278" s="618"/>
    </x:row>
    <x:row r="279" spans="2:15" ht="12.75" hidden="1" customHeight="1" x14ac:dyDescent="0.3">
      <x:c r="B279" s="618"/>
      <x:c r="C279" s="618"/>
      <x:c r="D279" s="618"/>
      <x:c r="E279" s="618"/>
      <x:c r="F279" s="618"/>
      <x:c r="G279" s="618"/>
      <x:c r="H279" s="618"/>
      <x:c r="I279" s="618"/>
      <x:c r="J279" s="618"/>
      <x:c r="K279" s="618"/>
      <x:c r="L279" s="618"/>
      <x:c r="M279" s="618"/>
      <x:c r="N279" s="618"/>
      <x:c r="O279" s="618"/>
    </x:row>
    <x:row r="280" spans="2:15" ht="12.75" hidden="1" customHeight="1" x14ac:dyDescent="0.3">
      <x:c r="B280" s="618"/>
      <x:c r="C280" s="618"/>
      <x:c r="D280" s="618"/>
      <x:c r="E280" s="618"/>
      <x:c r="F280" s="618"/>
      <x:c r="G280" s="618"/>
      <x:c r="H280" s="618"/>
      <x:c r="I280" s="618"/>
      <x:c r="J280" s="618"/>
      <x:c r="K280" s="618"/>
      <x:c r="L280" s="618"/>
      <x:c r="M280" s="618"/>
      <x:c r="N280" s="618"/>
      <x:c r="O280" s="618"/>
    </x:row>
    <x:row r="281" spans="2:15" ht="12.75" hidden="1" customHeight="1" x14ac:dyDescent="0.3">
      <x:c r="B281" s="618"/>
      <x:c r="C281" s="618"/>
      <x:c r="D281" s="618"/>
      <x:c r="E281" s="618"/>
      <x:c r="F281" s="618"/>
      <x:c r="G281" s="618"/>
      <x:c r="H281" s="618"/>
      <x:c r="I281" s="618"/>
      <x:c r="J281" s="618"/>
      <x:c r="K281" s="618"/>
      <x:c r="L281" s="618"/>
      <x:c r="M281" s="618"/>
      <x:c r="N281" s="618"/>
      <x:c r="O281" s="618"/>
    </x:row>
    <x:row r="282" spans="2:15" ht="12.75" hidden="1" customHeight="1" x14ac:dyDescent="0.3">
      <x:c r="B282" s="618"/>
      <x:c r="C282" s="618"/>
      <x:c r="D282" s="618"/>
      <x:c r="E282" s="618"/>
      <x:c r="F282" s="618"/>
      <x:c r="G282" s="618"/>
      <x:c r="H282" s="618"/>
      <x:c r="I282" s="618"/>
      <x:c r="J282" s="618"/>
      <x:c r="K282" s="618"/>
      <x:c r="L282" s="618"/>
      <x:c r="M282" s="618"/>
      <x:c r="N282" s="618"/>
      <x:c r="O282" s="618"/>
    </x:row>
    <x:row r="283" spans="2:15" ht="12.75" hidden="1" customHeight="1" x14ac:dyDescent="0.3">
      <x:c r="B283" s="618"/>
      <x:c r="C283" s="618"/>
      <x:c r="D283" s="618"/>
      <x:c r="E283" s="618"/>
      <x:c r="F283" s="618"/>
      <x:c r="G283" s="618"/>
      <x:c r="H283" s="618"/>
      <x:c r="I283" s="618"/>
      <x:c r="J283" s="618"/>
      <x:c r="K283" s="618"/>
      <x:c r="L283" s="618"/>
      <x:c r="M283" s="618"/>
      <x:c r="N283" s="618"/>
      <x:c r="O283" s="618"/>
    </x:row>
    <x:row r="284" spans="2:15" ht="12.75" hidden="1" customHeight="1" x14ac:dyDescent="0.3">
      <x:c r="B284" s="618"/>
      <x:c r="C284" s="618"/>
      <x:c r="D284" s="618"/>
      <x:c r="E284" s="618"/>
      <x:c r="F284" s="618"/>
      <x:c r="G284" s="618"/>
      <x:c r="H284" s="618"/>
      <x:c r="I284" s="618"/>
      <x:c r="J284" s="618"/>
      <x:c r="K284" s="618"/>
      <x:c r="L284" s="618"/>
      <x:c r="M284" s="618"/>
      <x:c r="N284" s="618"/>
      <x:c r="O284" s="618"/>
    </x:row>
    <x:row r="285" spans="2:15" ht="12.75" hidden="1" customHeight="1" x14ac:dyDescent="0.3">
      <x:c r="B285" s="618"/>
      <x:c r="C285" s="618"/>
      <x:c r="D285" s="618"/>
      <x:c r="E285" s="618"/>
      <x:c r="F285" s="618"/>
      <x:c r="G285" s="618"/>
      <x:c r="H285" s="618"/>
      <x:c r="I285" s="618"/>
      <x:c r="J285" s="618"/>
      <x:c r="K285" s="618"/>
      <x:c r="L285" s="618"/>
      <x:c r="M285" s="618"/>
      <x:c r="N285" s="618"/>
      <x:c r="O285" s="618"/>
    </x:row>
    <x:row r="286" spans="2:15" ht="12.75" hidden="1" customHeight="1" x14ac:dyDescent="0.3">
      <x:c r="B286" s="618"/>
      <x:c r="C286" s="618"/>
      <x:c r="D286" s="618"/>
      <x:c r="E286" s="618"/>
      <x:c r="F286" s="618"/>
      <x:c r="G286" s="618"/>
      <x:c r="H286" s="618"/>
      <x:c r="I286" s="618"/>
      <x:c r="J286" s="618"/>
      <x:c r="K286" s="618"/>
      <x:c r="L286" s="618"/>
      <x:c r="M286" s="618"/>
      <x:c r="N286" s="618"/>
      <x:c r="O286" s="618"/>
    </x:row>
    <x:row r="287" spans="2:15" ht="12.75" hidden="1" customHeight="1" x14ac:dyDescent="0.3">
      <x:c r="B287" s="618"/>
      <x:c r="C287" s="618"/>
      <x:c r="D287" s="618"/>
      <x:c r="E287" s="618"/>
      <x:c r="F287" s="618"/>
      <x:c r="G287" s="618"/>
      <x:c r="H287" s="618"/>
      <x:c r="I287" s="618"/>
      <x:c r="J287" s="618"/>
      <x:c r="K287" s="618"/>
      <x:c r="L287" s="618"/>
      <x:c r="M287" s="618"/>
      <x:c r="N287" s="618"/>
      <x:c r="O287" s="618"/>
    </x:row>
    <x:row r="288" spans="2:15" ht="12.75" hidden="1" customHeight="1" x14ac:dyDescent="0.3">
      <x:c r="B288" s="618"/>
      <x:c r="C288" s="618"/>
      <x:c r="D288" s="618"/>
      <x:c r="E288" s="618"/>
      <x:c r="F288" s="618"/>
      <x:c r="G288" s="618"/>
      <x:c r="H288" s="618"/>
      <x:c r="I288" s="618"/>
      <x:c r="J288" s="618"/>
      <x:c r="K288" s="618"/>
      <x:c r="L288" s="618"/>
      <x:c r="M288" s="618"/>
      <x:c r="N288" s="618"/>
      <x:c r="O288" s="618"/>
    </x:row>
    <x:row r="289" spans="2:15" ht="12.75" hidden="1" customHeight="1" x14ac:dyDescent="0.3">
      <x:c r="B289" s="618"/>
      <x:c r="C289" s="618"/>
      <x:c r="D289" s="618"/>
      <x:c r="E289" s="618"/>
      <x:c r="F289" s="618"/>
      <x:c r="G289" s="618"/>
      <x:c r="H289" s="618"/>
      <x:c r="I289" s="618"/>
      <x:c r="J289" s="618"/>
      <x:c r="K289" s="618"/>
      <x:c r="L289" s="618"/>
      <x:c r="M289" s="618"/>
      <x:c r="N289" s="618"/>
      <x:c r="O289" s="618"/>
    </x:row>
    <x:row r="290" spans="2:15" ht="12.75" hidden="1" customHeight="1" x14ac:dyDescent="0.3">
      <x:c r="B290" s="618"/>
      <x:c r="C290" s="618"/>
      <x:c r="D290" s="618"/>
      <x:c r="E290" s="618"/>
      <x:c r="F290" s="618"/>
      <x:c r="G290" s="618"/>
      <x:c r="H290" s="618"/>
      <x:c r="I290" s="618"/>
      <x:c r="J290" s="618"/>
      <x:c r="K290" s="618"/>
      <x:c r="L290" s="618"/>
      <x:c r="M290" s="618"/>
      <x:c r="N290" s="618"/>
      <x:c r="O290" s="618"/>
    </x:row>
    <x:row r="291" spans="2:15" ht="12.75" hidden="1" customHeight="1" x14ac:dyDescent="0.3">
      <x:c r="B291" s="618"/>
      <x:c r="C291" s="618"/>
      <x:c r="D291" s="618"/>
      <x:c r="E291" s="618"/>
      <x:c r="F291" s="618"/>
      <x:c r="G291" s="618"/>
      <x:c r="H291" s="618"/>
      <x:c r="I291" s="618"/>
      <x:c r="J291" s="618"/>
      <x:c r="K291" s="618"/>
      <x:c r="L291" s="618"/>
      <x:c r="M291" s="618"/>
      <x:c r="N291" s="618"/>
      <x:c r="O291" s="618"/>
    </x:row>
    <x:row r="292" spans="2:15" ht="12.75" hidden="1" customHeight="1" x14ac:dyDescent="0.3">
      <x:c r="B292" s="618"/>
      <x:c r="C292" s="618"/>
      <x:c r="D292" s="618"/>
      <x:c r="E292" s="618"/>
      <x:c r="F292" s="618"/>
      <x:c r="G292" s="618"/>
      <x:c r="H292" s="618"/>
      <x:c r="I292" s="618"/>
      <x:c r="J292" s="618"/>
      <x:c r="K292" s="618"/>
      <x:c r="L292" s="618"/>
      <x:c r="M292" s="618"/>
      <x:c r="N292" s="618"/>
      <x:c r="O292" s="618"/>
    </x:row>
    <x:row r="293" spans="2:15" ht="12.75" hidden="1" customHeight="1" x14ac:dyDescent="0.3">
      <x:c r="B293" s="618"/>
      <x:c r="C293" s="618"/>
      <x:c r="D293" s="618"/>
      <x:c r="E293" s="618"/>
      <x:c r="F293" s="618"/>
      <x:c r="G293" s="618"/>
      <x:c r="H293" s="618"/>
      <x:c r="I293" s="618"/>
      <x:c r="J293" s="618"/>
      <x:c r="K293" s="618"/>
      <x:c r="L293" s="618"/>
      <x:c r="M293" s="618"/>
      <x:c r="N293" s="618"/>
      <x:c r="O293" s="618"/>
    </x:row>
    <x:row r="294" spans="2:15" ht="12.75" hidden="1" customHeight="1" x14ac:dyDescent="0.3">
      <x:c r="B294" s="618"/>
      <x:c r="C294" s="618"/>
      <x:c r="D294" s="618"/>
      <x:c r="E294" s="618"/>
      <x:c r="F294" s="618"/>
      <x:c r="G294" s="618"/>
      <x:c r="H294" s="618"/>
      <x:c r="I294" s="618"/>
      <x:c r="J294" s="618"/>
      <x:c r="K294" s="618"/>
      <x:c r="L294" s="618"/>
      <x:c r="M294" s="618"/>
      <x:c r="N294" s="618"/>
      <x:c r="O294" s="618"/>
    </x:row>
    <x:row r="295" spans="2:15" ht="12.75" hidden="1" customHeight="1" x14ac:dyDescent="0.3">
      <x:c r="B295" s="618"/>
      <x:c r="C295" s="618"/>
      <x:c r="D295" s="618"/>
      <x:c r="E295" s="618"/>
      <x:c r="F295" s="618"/>
      <x:c r="G295" s="618"/>
      <x:c r="H295" s="618"/>
      <x:c r="I295" s="618"/>
      <x:c r="J295" s="618"/>
      <x:c r="K295" s="618"/>
      <x:c r="L295" s="618"/>
      <x:c r="M295" s="618"/>
      <x:c r="N295" s="618"/>
      <x:c r="O295" s="618"/>
    </x:row>
    <x:row r="296" spans="2:15" ht="12.75" hidden="1" customHeight="1" x14ac:dyDescent="0.3">
      <x:c r="B296" s="618"/>
      <x:c r="C296" s="618"/>
      <x:c r="D296" s="618"/>
      <x:c r="E296" s="618"/>
      <x:c r="F296" s="618"/>
      <x:c r="G296" s="618"/>
      <x:c r="H296" s="618"/>
      <x:c r="I296" s="618"/>
      <x:c r="J296" s="618"/>
      <x:c r="K296" s="618"/>
      <x:c r="L296" s="618"/>
      <x:c r="M296" s="618"/>
      <x:c r="N296" s="618"/>
      <x:c r="O296" s="618"/>
    </x:row>
    <x:row r="297" spans="2:15" ht="12.75" hidden="1" customHeight="1" x14ac:dyDescent="0.3">
      <x:c r="B297" s="618"/>
      <x:c r="C297" s="618"/>
      <x:c r="D297" s="618"/>
      <x:c r="E297" s="618"/>
      <x:c r="F297" s="618"/>
      <x:c r="G297" s="618"/>
      <x:c r="H297" s="618"/>
      <x:c r="I297" s="618"/>
      <x:c r="J297" s="618"/>
      <x:c r="K297" s="618"/>
      <x:c r="L297" s="618"/>
      <x:c r="M297" s="618"/>
      <x:c r="N297" s="618"/>
      <x:c r="O297" s="618"/>
    </x:row>
    <x:row r="298" spans="2:15" ht="12.75" hidden="1" customHeight="1" x14ac:dyDescent="0.3">
      <x:c r="B298" s="618"/>
      <x:c r="C298" s="618"/>
      <x:c r="D298" s="618"/>
      <x:c r="E298" s="618"/>
      <x:c r="F298" s="618"/>
      <x:c r="G298" s="618"/>
      <x:c r="H298" s="618"/>
      <x:c r="I298" s="618"/>
      <x:c r="J298" s="618"/>
      <x:c r="K298" s="618"/>
      <x:c r="L298" s="618"/>
      <x:c r="M298" s="618"/>
      <x:c r="N298" s="618"/>
      <x:c r="O298" s="618"/>
    </x:row>
    <x:row r="299" spans="2:15" ht="12.75" hidden="1" customHeight="1" x14ac:dyDescent="0.3">
      <x:c r="B299" s="618"/>
      <x:c r="C299" s="618"/>
      <x:c r="D299" s="618"/>
      <x:c r="E299" s="618"/>
      <x:c r="F299" s="618"/>
      <x:c r="G299" s="618"/>
      <x:c r="H299" s="618"/>
      <x:c r="I299" s="618"/>
      <x:c r="J299" s="618"/>
      <x:c r="K299" s="618"/>
      <x:c r="L299" s="618"/>
      <x:c r="M299" s="618"/>
      <x:c r="N299" s="618"/>
      <x:c r="O299" s="618"/>
    </x:row>
    <x:row r="300" spans="2:15" ht="12.75" hidden="1" customHeight="1" x14ac:dyDescent="0.3">
      <x:c r="B300" s="618"/>
      <x:c r="C300" s="618"/>
      <x:c r="D300" s="618"/>
      <x:c r="E300" s="618"/>
      <x:c r="F300" s="618"/>
      <x:c r="G300" s="618"/>
      <x:c r="H300" s="618"/>
      <x:c r="I300" s="618"/>
      <x:c r="J300" s="618"/>
      <x:c r="K300" s="618"/>
      <x:c r="L300" s="618"/>
      <x:c r="M300" s="618"/>
      <x:c r="N300" s="618"/>
      <x:c r="O300" s="618"/>
    </x:row>
    <x:row r="301" spans="2:15" ht="12.75" hidden="1" customHeight="1" x14ac:dyDescent="0.3">
      <x:c r="B301" s="618"/>
      <x:c r="C301" s="618"/>
      <x:c r="D301" s="618"/>
      <x:c r="E301" s="618"/>
      <x:c r="F301" s="618"/>
      <x:c r="G301" s="618"/>
      <x:c r="H301" s="618"/>
      <x:c r="I301" s="618"/>
      <x:c r="J301" s="618"/>
      <x:c r="K301" s="618"/>
      <x:c r="L301" s="618"/>
      <x:c r="M301" s="618"/>
      <x:c r="N301" s="618"/>
      <x:c r="O301" s="618"/>
    </x:row>
    <x:row r="302" spans="2:15" ht="12.75" hidden="1" customHeight="1" x14ac:dyDescent="0.3">
      <x:c r="B302" s="618"/>
      <x:c r="C302" s="618"/>
      <x:c r="D302" s="618"/>
      <x:c r="E302" s="618"/>
      <x:c r="F302" s="618"/>
      <x:c r="G302" s="618"/>
      <x:c r="H302" s="618"/>
      <x:c r="I302" s="618"/>
      <x:c r="J302" s="618"/>
      <x:c r="K302" s="618"/>
      <x:c r="L302" s="618"/>
      <x:c r="M302" s="618"/>
      <x:c r="N302" s="618"/>
      <x:c r="O302" s="618"/>
    </x:row>
    <x:row r="303" spans="2:15" ht="12.75" hidden="1" customHeight="1" x14ac:dyDescent="0.3">
      <x:c r="B303" s="618"/>
      <x:c r="C303" s="618"/>
      <x:c r="D303" s="618"/>
      <x:c r="E303" s="618"/>
      <x:c r="F303" s="618"/>
      <x:c r="G303" s="618"/>
      <x:c r="H303" s="618"/>
      <x:c r="I303" s="618"/>
      <x:c r="J303" s="618"/>
      <x:c r="K303" s="618"/>
      <x:c r="L303" s="618"/>
      <x:c r="M303" s="618"/>
      <x:c r="N303" s="618"/>
      <x:c r="O303" s="618"/>
    </x:row>
    <x:row r="304" spans="2:15" ht="12.75" hidden="1" customHeight="1" x14ac:dyDescent="0.3">
      <x:c r="B304" s="618"/>
      <x:c r="C304" s="618"/>
      <x:c r="D304" s="618"/>
      <x:c r="E304" s="618"/>
      <x:c r="F304" s="618"/>
      <x:c r="G304" s="618"/>
      <x:c r="H304" s="618"/>
      <x:c r="I304" s="618"/>
      <x:c r="J304" s="618"/>
      <x:c r="K304" s="618"/>
      <x:c r="L304" s="618"/>
      <x:c r="M304" s="618"/>
      <x:c r="N304" s="618"/>
      <x:c r="O304" s="618"/>
    </x:row>
    <x:row r="305" spans="2:15" ht="12.75" hidden="1" customHeight="1" x14ac:dyDescent="0.3">
      <x:c r="B305" s="618"/>
      <x:c r="C305" s="618"/>
      <x:c r="D305" s="618"/>
      <x:c r="E305" s="618"/>
      <x:c r="F305" s="618"/>
      <x:c r="G305" s="618"/>
      <x:c r="H305" s="618"/>
      <x:c r="I305" s="618"/>
      <x:c r="J305" s="618"/>
      <x:c r="K305" s="618"/>
      <x:c r="L305" s="618"/>
      <x:c r="M305" s="618"/>
      <x:c r="N305" s="618"/>
      <x:c r="O305" s="618"/>
    </x:row>
    <x:row r="306" spans="2:15" ht="12.75" hidden="1" customHeight="1" x14ac:dyDescent="0.3">
      <x:c r="B306" s="618"/>
      <x:c r="C306" s="618"/>
      <x:c r="D306" s="618"/>
      <x:c r="E306" s="618"/>
      <x:c r="F306" s="618"/>
      <x:c r="G306" s="618"/>
      <x:c r="H306" s="618"/>
      <x:c r="I306" s="618"/>
      <x:c r="J306" s="618"/>
      <x:c r="K306" s="618"/>
      <x:c r="L306" s="618"/>
      <x:c r="M306" s="618"/>
      <x:c r="N306" s="618"/>
      <x:c r="O306" s="618"/>
    </x:row>
    <x:row r="307" spans="2:15" ht="12.75" hidden="1" customHeight="1" x14ac:dyDescent="0.3">
      <x:c r="B307" s="618"/>
      <x:c r="C307" s="618"/>
      <x:c r="D307" s="618"/>
      <x:c r="E307" s="618"/>
      <x:c r="F307" s="618"/>
      <x:c r="G307" s="618"/>
      <x:c r="H307" s="618"/>
      <x:c r="I307" s="618"/>
      <x:c r="J307" s="618"/>
      <x:c r="K307" s="618"/>
      <x:c r="L307" s="618"/>
      <x:c r="M307" s="618"/>
      <x:c r="N307" s="618"/>
      <x:c r="O307" s="618"/>
    </x:row>
    <x:row r="308" spans="2:15" ht="12.75" hidden="1" customHeight="1" x14ac:dyDescent="0.3">
      <x:c r="B308" s="618"/>
      <x:c r="C308" s="618"/>
      <x:c r="D308" s="618"/>
      <x:c r="E308" s="618"/>
      <x:c r="F308" s="618"/>
      <x:c r="G308" s="618"/>
      <x:c r="H308" s="618"/>
      <x:c r="I308" s="618"/>
      <x:c r="J308" s="618"/>
      <x:c r="K308" s="618"/>
      <x:c r="L308" s="618"/>
      <x:c r="M308" s="618"/>
      <x:c r="N308" s="618"/>
      <x:c r="O308" s="618"/>
    </x:row>
    <x:row r="309" spans="2:15" ht="12.75" hidden="1" customHeight="1" x14ac:dyDescent="0.3">
      <x:c r="B309" s="618"/>
      <x:c r="C309" s="618"/>
      <x:c r="D309" s="618"/>
      <x:c r="E309" s="618"/>
      <x:c r="F309" s="618"/>
      <x:c r="G309" s="618"/>
      <x:c r="H309" s="618"/>
      <x:c r="I309" s="618"/>
      <x:c r="J309" s="618"/>
      <x:c r="K309" s="618"/>
      <x:c r="L309" s="618"/>
      <x:c r="M309" s="618"/>
      <x:c r="N309" s="618"/>
      <x:c r="O309" s="618"/>
    </x:row>
    <x:row r="310" spans="2:15" ht="12.75" hidden="1" customHeight="1" x14ac:dyDescent="0.3">
      <x:c r="B310" s="618"/>
      <x:c r="C310" s="618"/>
      <x:c r="D310" s="618"/>
      <x:c r="E310" s="618"/>
      <x:c r="F310" s="618"/>
      <x:c r="G310" s="618"/>
      <x:c r="H310" s="618"/>
      <x:c r="I310" s="618"/>
      <x:c r="J310" s="618"/>
      <x:c r="K310" s="618"/>
      <x:c r="L310" s="618"/>
      <x:c r="M310" s="618"/>
      <x:c r="N310" s="618"/>
      <x:c r="O310" s="618"/>
    </x:row>
    <x:row r="311" spans="2:15" ht="12.75" hidden="1" customHeight="1" x14ac:dyDescent="0.3">
      <x:c r="B311" s="618"/>
      <x:c r="C311" s="618"/>
      <x:c r="D311" s="618"/>
      <x:c r="E311" s="618"/>
      <x:c r="F311" s="618"/>
      <x:c r="G311" s="618"/>
      <x:c r="H311" s="618"/>
      <x:c r="I311" s="618"/>
      <x:c r="J311" s="618"/>
      <x:c r="K311" s="618"/>
      <x:c r="L311" s="618"/>
      <x:c r="M311" s="618"/>
      <x:c r="N311" s="618"/>
      <x:c r="O311" s="618"/>
    </x:row>
    <x:row r="312" spans="2:15" ht="12.75" hidden="1" customHeight="1" x14ac:dyDescent="0.3">
      <x:c r="B312" s="618"/>
      <x:c r="C312" s="618"/>
      <x:c r="D312" s="618"/>
      <x:c r="E312" s="618"/>
      <x:c r="F312" s="618"/>
      <x:c r="G312" s="618"/>
      <x:c r="H312" s="618"/>
      <x:c r="I312" s="618"/>
      <x:c r="J312" s="618"/>
      <x:c r="K312" s="618"/>
      <x:c r="L312" s="618"/>
      <x:c r="M312" s="618"/>
      <x:c r="N312" s="618"/>
      <x:c r="O312" s="618"/>
    </x:row>
    <x:row r="313" spans="2:15" ht="12.75" hidden="1" customHeight="1" x14ac:dyDescent="0.3">
      <x:c r="B313" s="618"/>
      <x:c r="C313" s="618"/>
      <x:c r="D313" s="618"/>
      <x:c r="E313" s="618"/>
      <x:c r="F313" s="618"/>
      <x:c r="G313" s="618"/>
      <x:c r="H313" s="618"/>
      <x:c r="I313" s="618"/>
      <x:c r="J313" s="618"/>
      <x:c r="K313" s="618"/>
      <x:c r="L313" s="618"/>
      <x:c r="M313" s="618"/>
      <x:c r="N313" s="618"/>
      <x:c r="O313" s="618"/>
    </x:row>
    <x:row r="314" spans="2:15" ht="12.75" hidden="1" customHeight="1" x14ac:dyDescent="0.3">
      <x:c r="B314" s="618"/>
      <x:c r="C314" s="618"/>
      <x:c r="D314" s="618"/>
      <x:c r="E314" s="618"/>
      <x:c r="F314" s="618"/>
      <x:c r="G314" s="618"/>
      <x:c r="H314" s="618"/>
      <x:c r="I314" s="618"/>
      <x:c r="J314" s="618"/>
      <x:c r="K314" s="618"/>
      <x:c r="L314" s="618"/>
      <x:c r="M314" s="618"/>
      <x:c r="N314" s="618"/>
      <x:c r="O314" s="618"/>
    </x:row>
    <x:row r="315" spans="2:15" ht="12.75" hidden="1" customHeight="1" x14ac:dyDescent="0.3">
      <x:c r="B315" s="618"/>
      <x:c r="C315" s="618"/>
      <x:c r="D315" s="618"/>
      <x:c r="E315" s="618"/>
      <x:c r="F315" s="618"/>
      <x:c r="G315" s="618"/>
      <x:c r="H315" s="618"/>
      <x:c r="I315" s="618"/>
      <x:c r="J315" s="618"/>
      <x:c r="K315" s="618"/>
      <x:c r="L315" s="618"/>
      <x:c r="M315" s="618"/>
      <x:c r="N315" s="618"/>
      <x:c r="O315" s="618"/>
    </x:row>
    <x:row r="316" spans="2:15" ht="12.75" hidden="1" customHeight="1" x14ac:dyDescent="0.3">
      <x:c r="B316" s="618"/>
      <x:c r="C316" s="618"/>
      <x:c r="D316" s="618"/>
      <x:c r="E316" s="618"/>
      <x:c r="F316" s="618"/>
      <x:c r="G316" s="618"/>
      <x:c r="H316" s="618"/>
      <x:c r="I316" s="618"/>
      <x:c r="J316" s="618"/>
      <x:c r="K316" s="618"/>
      <x:c r="L316" s="618"/>
      <x:c r="M316" s="618"/>
      <x:c r="N316" s="618"/>
      <x:c r="O316" s="618"/>
    </x:row>
    <x:row r="317" spans="2:15" ht="12.75" hidden="1" customHeight="1" x14ac:dyDescent="0.3">
      <x:c r="B317" s="618"/>
      <x:c r="C317" s="618"/>
      <x:c r="D317" s="618"/>
      <x:c r="E317" s="618"/>
      <x:c r="F317" s="618"/>
      <x:c r="G317" s="618"/>
      <x:c r="H317" s="618"/>
      <x:c r="I317" s="618"/>
      <x:c r="J317" s="618"/>
      <x:c r="K317" s="618"/>
      <x:c r="L317" s="618"/>
      <x:c r="M317" s="618"/>
      <x:c r="N317" s="618"/>
      <x:c r="O317" s="618"/>
    </x:row>
    <x:row r="318" spans="2:15" ht="12.75" hidden="1" customHeight="1" x14ac:dyDescent="0.3">
      <x:c r="B318" s="618"/>
      <x:c r="C318" s="618"/>
      <x:c r="D318" s="618"/>
      <x:c r="E318" s="618"/>
      <x:c r="F318" s="618"/>
      <x:c r="G318" s="618"/>
      <x:c r="H318" s="618"/>
      <x:c r="I318" s="618"/>
      <x:c r="J318" s="618"/>
      <x:c r="K318" s="618"/>
      <x:c r="L318" s="618"/>
      <x:c r="M318" s="618"/>
      <x:c r="N318" s="618"/>
      <x:c r="O318" s="618"/>
    </x:row>
    <x:row r="319" spans="2:15" ht="12.75" hidden="1" customHeight="1" x14ac:dyDescent="0.3">
      <x:c r="B319" s="618"/>
      <x:c r="C319" s="618"/>
      <x:c r="D319" s="618"/>
      <x:c r="E319" s="618"/>
      <x:c r="F319" s="618"/>
      <x:c r="G319" s="618"/>
      <x:c r="H319" s="618"/>
      <x:c r="I319" s="618"/>
      <x:c r="J319" s="618"/>
      <x:c r="K319" s="618"/>
      <x:c r="L319" s="618"/>
      <x:c r="M319" s="618"/>
      <x:c r="N319" s="618"/>
      <x:c r="O319" s="618"/>
    </x:row>
    <x:row r="320" spans="2:15" ht="12.75" hidden="1" customHeight="1" x14ac:dyDescent="0.3">
      <x:c r="B320" s="618"/>
      <x:c r="C320" s="618"/>
      <x:c r="D320" s="618"/>
      <x:c r="E320" s="618"/>
      <x:c r="F320" s="618"/>
      <x:c r="G320" s="618"/>
      <x:c r="H320" s="618"/>
      <x:c r="I320" s="618"/>
      <x:c r="J320" s="618"/>
      <x:c r="K320" s="618"/>
      <x:c r="L320" s="618"/>
      <x:c r="M320" s="618"/>
      <x:c r="N320" s="618"/>
      <x:c r="O320" s="618"/>
    </x:row>
    <x:row r="321" spans="1:18" ht="12.75" hidden="1" customHeight="1" x14ac:dyDescent="0.3">
      <x:c r="B321" s="618"/>
      <x:c r="C321" s="618"/>
      <x:c r="D321" s="618"/>
      <x:c r="E321" s="618"/>
      <x:c r="F321" s="618"/>
      <x:c r="G321" s="618"/>
      <x:c r="H321" s="618"/>
      <x:c r="I321" s="618"/>
      <x:c r="J321" s="618"/>
      <x:c r="K321" s="618"/>
      <x:c r="L321" s="618"/>
      <x:c r="M321" s="618"/>
      <x:c r="N321" s="618"/>
      <x:c r="O321" s="618"/>
    </x:row>
    <x:row r="322" spans="1:18" ht="12.75" hidden="1" customHeight="1" x14ac:dyDescent="0.3">
      <x:c r="B322" s="618"/>
      <x:c r="C322" s="618"/>
      <x:c r="D322" s="618"/>
      <x:c r="E322" s="618"/>
      <x:c r="F322" s="618"/>
      <x:c r="G322" s="618"/>
      <x:c r="H322" s="618"/>
      <x:c r="I322" s="618"/>
      <x:c r="J322" s="618"/>
      <x:c r="K322" s="618"/>
      <x:c r="L322" s="618"/>
      <x:c r="M322" s="618"/>
      <x:c r="N322" s="618"/>
      <x:c r="O322" s="618"/>
    </x:row>
    <x:row r="323" spans="1:18" ht="12.75" hidden="1" customHeight="1" x14ac:dyDescent="0.3">
      <x:c r="B323" s="618"/>
      <x:c r="C323" s="618"/>
      <x:c r="D323" s="618"/>
      <x:c r="E323" s="618"/>
      <x:c r="F323" s="618"/>
      <x:c r="G323" s="618"/>
      <x:c r="H323" s="618"/>
      <x:c r="I323" s="618"/>
      <x:c r="J323" s="618"/>
      <x:c r="K323" s="618"/>
      <x:c r="L323" s="618"/>
      <x:c r="M323" s="618"/>
      <x:c r="N323" s="618"/>
      <x:c r="O323" s="618"/>
    </x:row>
    <x:row r="324" spans="1:18" ht="12.75" hidden="1" customHeight="1" x14ac:dyDescent="0.3">
      <x:c r="B324" s="618"/>
      <x:c r="C324" s="618"/>
      <x:c r="D324" s="618"/>
      <x:c r="E324" s="618"/>
      <x:c r="F324" s="618"/>
      <x:c r="G324" s="618"/>
      <x:c r="H324" s="618"/>
      <x:c r="I324" s="618"/>
      <x:c r="J324" s="618"/>
      <x:c r="K324" s="618"/>
      <x:c r="L324" s="618"/>
      <x:c r="M324" s="618"/>
      <x:c r="N324" s="618"/>
      <x:c r="O324" s="618"/>
    </x:row>
    <x:row r="325" spans="1:18" ht="12.75" customHeight="1" x14ac:dyDescent="0.3">
      <x:c r="B325" s="618"/>
      <x:c r="C325" s="618"/>
      <x:c r="D325" s="618"/>
      <x:c r="E325" s="618"/>
      <x:c r="F325" s="618"/>
      <x:c r="G325" s="618"/>
      <x:c r="H325" s="618"/>
      <x:c r="I325" s="618"/>
      <x:c r="J325" s="618"/>
      <x:c r="K325" s="618"/>
      <x:c r="L325" s="618"/>
      <x:c r="M325" s="618"/>
      <x:c r="N325" s="618"/>
      <x:c r="O325" s="618"/>
    </x:row>
    <x:row r="326" spans="1:18" ht="12.75" customHeight="1" x14ac:dyDescent="0.3">
      <x:c r="A326" s="781" t="s">
        <x:v>2</x:v>
      </x:c>
      <x:c r="B326" s="780" t="s">
        <x:v>132</x:v>
      </x:c>
      <x:c r="C326" s="766" t="s">
        <x:v>70</x:v>
      </x:c>
      <x:c r="D326" s="766">
        <x:f>D249-P249</x:f>
        <x:v>0</x:v>
      </x:c>
      <x:c r="E326" s="766">
        <x:f>E245+E239+E233</x:f>
        <x:v>0</x:v>
      </x:c>
      <x:c r="F326" s="766">
        <x:f t="shared" ref="F326:R326" si="10">F245+F239+F233</x:f>
        <x:v>0</x:v>
      </x:c>
      <x:c r="G326" s="766">
        <x:f t="shared" si="10"/>
        <x:v>0</x:v>
      </x:c>
      <x:c r="H326" s="766">
        <x:f t="shared" si="10"/>
        <x:v>0</x:v>
      </x:c>
      <x:c r="I326" s="766">
        <x:f t="shared" si="10"/>
        <x:v>0</x:v>
      </x:c>
      <x:c r="J326" s="766">
        <x:f t="shared" si="10"/>
        <x:v>0</x:v>
      </x:c>
      <x:c r="K326" s="766">
        <x:f t="shared" si="10"/>
        <x:v>0</x:v>
      </x:c>
      <x:c r="L326" s="766">
        <x:f t="shared" si="10"/>
        <x:v>0</x:v>
      </x:c>
      <x:c r="M326" s="766">
        <x:f t="shared" si="10"/>
        <x:v>0</x:v>
      </x:c>
      <x:c r="N326" s="766">
        <x:f t="shared" si="10"/>
        <x:v>0</x:v>
      </x:c>
      <x:c r="O326" s="766">
        <x:f t="shared" si="10"/>
        <x:v>0</x:v>
      </x:c>
      <x:c r="P326" s="766">
        <x:f t="shared" si="10"/>
        <x:v>0</x:v>
      </x:c>
      <x:c r="Q326" s="766">
        <x:f t="shared" si="10"/>
        <x:v>0</x:v>
      </x:c>
      <x:c r="R326" s="766">
        <x:f t="shared" si="10"/>
        <x:v>0</x:v>
      </x:c>
    </x:row>
    <x:row r="327" spans="1:18" ht="12.75" customHeight="1" x14ac:dyDescent="0.3">
      <x:c r="A327" s="781"/>
      <x:c r="B327" s="780"/>
      <x:c r="C327" s="766" t="s">
        <x:v>73</x:v>
      </x:c>
      <x:c r="D327" s="766">
        <x:f>D247+D241+D235</x:f>
        <x:v>0</x:v>
      </x:c>
      <x:c r="E327" s="618"/>
      <x:c r="F327" s="618"/>
      <x:c r="G327" s="618"/>
      <x:c r="H327" s="618"/>
      <x:c r="I327" s="618"/>
      <x:c r="J327" s="618"/>
      <x:c r="K327" s="618"/>
      <x:c r="L327" s="618"/>
      <x:c r="M327" s="618"/>
      <x:c r="N327" s="618"/>
      <x:c r="O327" s="618"/>
      <x:c r="P327" s="618"/>
      <x:c r="Q327" s="618"/>
      <x:c r="R327" s="618"/>
    </x:row>
    <x:row r="328" spans="1:18" ht="12.75" customHeight="1" x14ac:dyDescent="0.3">
      <x:c r="A328" s="617"/>
      <x:c r="D328" s="618"/>
      <x:c r="E328" s="618"/>
      <x:c r="F328" s="618"/>
      <x:c r="G328" s="618"/>
      <x:c r="H328" s="618"/>
      <x:c r="I328" s="618"/>
      <x:c r="J328" s="618"/>
      <x:c r="K328" s="618"/>
      <x:c r="L328" s="618"/>
      <x:c r="M328" s="618"/>
      <x:c r="N328" s="618"/>
      <x:c r="O328" s="618"/>
      <x:c r="P328" s="618"/>
      <x:c r="Q328" s="618"/>
      <x:c r="R328" s="618"/>
    </x:row>
    <x:row r="329" spans="1:18" ht="12.75" customHeight="1" x14ac:dyDescent="0.3">
      <x:c r="A329" s="781" t="s">
        <x:v>160</x:v>
      </x:c>
      <x:c r="B329" s="780" t="s">
        <x:v>132</x:v>
      </x:c>
      <x:c r="C329" s="632" t="s">
        <x:v>70</x:v>
      </x:c>
      <x:c r="D329" s="632">
        <x:f>D242-P242</x:f>
        <x:v>0</x:v>
      </x:c>
      <x:c r="E329" s="632">
        <x:f>E239</x:f>
        <x:v>0</x:v>
      </x:c>
      <x:c r="F329" s="632">
        <x:f t="shared" ref="F329:R329" si="11">F239</x:f>
        <x:v>0</x:v>
      </x:c>
      <x:c r="G329" s="632">
        <x:f t="shared" si="11"/>
        <x:v>0</x:v>
      </x:c>
      <x:c r="H329" s="632">
        <x:f t="shared" si="11"/>
        <x:v>0</x:v>
      </x:c>
      <x:c r="I329" s="632">
        <x:f t="shared" si="11"/>
        <x:v>0</x:v>
      </x:c>
      <x:c r="J329" s="632">
        <x:f t="shared" si="11"/>
        <x:v>0</x:v>
      </x:c>
      <x:c r="K329" s="632">
        <x:f t="shared" si="11"/>
        <x:v>0</x:v>
      </x:c>
      <x:c r="L329" s="632">
        <x:f t="shared" si="11"/>
        <x:v>0</x:v>
      </x:c>
      <x:c r="M329" s="632">
        <x:f t="shared" si="11"/>
        <x:v>0</x:v>
      </x:c>
      <x:c r="N329" s="632">
        <x:f t="shared" si="11"/>
        <x:v>0</x:v>
      </x:c>
      <x:c r="O329" s="632">
        <x:f t="shared" si="11"/>
        <x:v>0</x:v>
      </x:c>
      <x:c r="P329" s="632">
        <x:f t="shared" si="11"/>
        <x:v>0</x:v>
      </x:c>
      <x:c r="Q329" s="632">
        <x:f t="shared" si="11"/>
        <x:v>0</x:v>
      </x:c>
      <x:c r="R329" s="632">
        <x:f t="shared" si="11"/>
        <x:v>0</x:v>
      </x:c>
    </x:row>
    <x:row r="330" spans="1:18" ht="12.75" customHeight="1" x14ac:dyDescent="0.3">
      <x:c r="A330" s="781"/>
      <x:c r="B330" s="780"/>
      <x:c r="C330" s="632" t="s">
        <x:v>73</x:v>
      </x:c>
      <x:c r="D330" s="714">
        <x:f>D241</x:f>
        <x:v>0</x:v>
      </x:c>
      <x:c r="E330" s="618"/>
      <x:c r="F330" s="618"/>
      <x:c r="G330" s="618"/>
      <x:c r="H330" s="618"/>
      <x:c r="I330" s="618"/>
      <x:c r="J330" s="618"/>
      <x:c r="K330" s="618"/>
      <x:c r="L330" s="618"/>
      <x:c r="M330" s="618"/>
      <x:c r="N330" s="618"/>
      <x:c r="O330" s="618"/>
      <x:c r="P330" s="618"/>
      <x:c r="Q330" s="618"/>
      <x:c r="R330" s="618"/>
    </x:row>
    <x:row r="331" spans="1:18" ht="12.75" customHeight="1" x14ac:dyDescent="0.3">
      <x:c r="A331" s="617"/>
      <x:c r="D331" s="618"/>
      <x:c r="E331" s="618"/>
      <x:c r="F331" s="618"/>
      <x:c r="G331" s="618"/>
      <x:c r="H331" s="618"/>
      <x:c r="I331" s="618"/>
      <x:c r="J331" s="618"/>
      <x:c r="K331" s="618"/>
      <x:c r="L331" s="618"/>
      <x:c r="M331" s="618"/>
      <x:c r="N331" s="618"/>
      <x:c r="O331" s="618"/>
      <x:c r="P331" s="618"/>
      <x:c r="Q331" s="618"/>
      <x:c r="R331" s="618"/>
    </x:row>
    <x:row r="332" spans="1:18" ht="12.75" customHeight="1" x14ac:dyDescent="0.3">
      <x:c r="A332" s="781" t="s">
        <x:v>155</x:v>
      </x:c>
      <x:c r="B332" s="780" t="s">
        <x:v>132</x:v>
      </x:c>
      <x:c r="C332" s="633" t="s">
        <x:v>70</x:v>
      </x:c>
      <x:c r="D332" s="633">
        <x:f>D236-P236</x:f>
        <x:v>0</x:v>
      </x:c>
      <x:c r="E332" s="633">
        <x:f>E233</x:f>
        <x:v>0</x:v>
      </x:c>
      <x:c r="F332" s="633">
        <x:f t="shared" ref="F332:R332" si="12">F233</x:f>
        <x:v>0</x:v>
      </x:c>
      <x:c r="G332" s="633">
        <x:f t="shared" si="12"/>
        <x:v>0</x:v>
      </x:c>
      <x:c r="H332" s="633">
        <x:f t="shared" si="12"/>
        <x:v>0</x:v>
      </x:c>
      <x:c r="I332" s="633">
        <x:f t="shared" si="12"/>
        <x:v>0</x:v>
      </x:c>
      <x:c r="J332" s="633">
        <x:f t="shared" si="12"/>
        <x:v>0</x:v>
      </x:c>
      <x:c r="K332" s="633">
        <x:f t="shared" si="12"/>
        <x:v>0</x:v>
      </x:c>
      <x:c r="L332" s="633">
        <x:f t="shared" si="12"/>
        <x:v>0</x:v>
      </x:c>
      <x:c r="M332" s="633">
        <x:f t="shared" si="12"/>
        <x:v>0</x:v>
      </x:c>
      <x:c r="N332" s="633">
        <x:f t="shared" si="12"/>
        <x:v>0</x:v>
      </x:c>
      <x:c r="O332" s="633">
        <x:f t="shared" si="12"/>
        <x:v>0</x:v>
      </x:c>
      <x:c r="P332" s="633">
        <x:f t="shared" si="12"/>
        <x:v>0</x:v>
      </x:c>
      <x:c r="Q332" s="633">
        <x:f t="shared" si="12"/>
        <x:v>0</x:v>
      </x:c>
      <x:c r="R332" s="633">
        <x:f t="shared" si="12"/>
        <x:v>0</x:v>
      </x:c>
    </x:row>
    <x:row r="333" spans="1:18" ht="12.75" customHeight="1" x14ac:dyDescent="0.3">
      <x:c r="A333" s="781"/>
      <x:c r="B333" s="780"/>
      <x:c r="C333" s="633" t="s">
        <x:v>73</x:v>
      </x:c>
      <x:c r="D333" s="633">
        <x:f>D235</x:f>
        <x:v>0</x:v>
      </x:c>
      <x:c r="E333" s="618"/>
      <x:c r="F333" s="618"/>
      <x:c r="G333" s="618"/>
      <x:c r="H333" s="618"/>
      <x:c r="I333" s="618"/>
      <x:c r="J333" s="618"/>
      <x:c r="K333" s="618"/>
      <x:c r="L333" s="618"/>
      <x:c r="M333" s="618"/>
      <x:c r="N333" s="618"/>
      <x:c r="O333" s="618"/>
      <x:c r="P333" s="618"/>
      <x:c r="Q333" s="618"/>
      <x:c r="R333" s="618"/>
    </x:row>
    <x:row r="334" spans="1:18" ht="12.75" customHeight="1" x14ac:dyDescent="0.3">
      <x:c r="A334" s="722"/>
      <x:c r="B334" s="721"/>
      <x:c r="C334" s="618"/>
      <x:c r="D334" s="618"/>
      <x:c r="E334" s="618"/>
      <x:c r="F334" s="618"/>
      <x:c r="G334" s="618"/>
      <x:c r="H334" s="618"/>
      <x:c r="I334" s="618"/>
      <x:c r="J334" s="618"/>
      <x:c r="K334" s="618"/>
      <x:c r="L334" s="618"/>
      <x:c r="M334" s="618"/>
      <x:c r="N334" s="618"/>
      <x:c r="O334" s="618"/>
      <x:c r="P334" s="618"/>
      <x:c r="Q334" s="618"/>
      <x:c r="R334" s="618"/>
    </x:row>
    <x:row r="335" spans="1:18" ht="12.75" customHeight="1" x14ac:dyDescent="0.3">
      <x:c r="A335" s="782" t="s">
        <x:v>326</x:v>
      </x:c>
      <x:c r="B335" s="780" t="s">
        <x:v>132</x:v>
      </x:c>
      <x:c r="C335" s="633" t="s">
        <x:v>70</x:v>
      </x:c>
      <x:c r="D335" s="720">
        <x:v>0</x:v>
      </x:c>
      <x:c r="E335" s="720">
        <x:v>0</x:v>
      </x:c>
      <x:c r="F335" s="720">
        <x:v>0</x:v>
      </x:c>
      <x:c r="G335" s="720">
        <x:v>0</x:v>
      </x:c>
      <x:c r="H335" s="720">
        <x:v>0</x:v>
      </x:c>
      <x:c r="I335" s="720">
        <x:v>0</x:v>
      </x:c>
      <x:c r="J335" s="720">
        <x:v>0</x:v>
      </x:c>
      <x:c r="K335" s="720">
        <x:v>0</x:v>
      </x:c>
      <x:c r="L335" s="720">
        <x:v>0</x:v>
      </x:c>
      <x:c r="M335" s="720">
        <x:v>0</x:v>
      </x:c>
      <x:c r="N335" s="720">
        <x:v>0</x:v>
      </x:c>
      <x:c r="O335" s="720">
        <x:v>0</x:v>
      </x:c>
      <x:c r="P335" s="720">
        <x:v>0</x:v>
      </x:c>
      <x:c r="Q335" s="720">
        <x:v>0</x:v>
      </x:c>
      <x:c r="R335" s="720">
        <x:v>0</x:v>
      </x:c>
    </x:row>
    <x:row r="336" spans="1:18" ht="12.75" customHeight="1" x14ac:dyDescent="0.3">
      <x:c r="A336" s="782"/>
      <x:c r="B336" s="780"/>
      <x:c r="C336" s="633" t="s">
        <x:v>73</x:v>
      </x:c>
      <x:c r="D336" s="720">
        <x:v>0</x:v>
      </x:c>
      <x:c r="E336" s="618"/>
      <x:c r="F336" s="618"/>
      <x:c r="G336" s="618"/>
      <x:c r="H336" s="618"/>
      <x:c r="I336" s="618"/>
      <x:c r="J336" s="618"/>
      <x:c r="K336" s="618"/>
      <x:c r="L336" s="618"/>
      <x:c r="M336" s="618"/>
      <x:c r="N336" s="618"/>
      <x:c r="O336" s="618"/>
      <x:c r="P336" s="618"/>
      <x:c r="Q336" s="618"/>
    </x:row>
    <x:row r="337" spans="1:18" ht="12.75" customHeight="1" x14ac:dyDescent="0.3">
      <x:c r="A337" s="617"/>
      <x:c r="D337" s="618"/>
      <x:c r="E337" s="618"/>
      <x:c r="F337" s="618"/>
      <x:c r="G337" s="618"/>
      <x:c r="H337" s="618"/>
      <x:c r="I337" s="618"/>
      <x:c r="J337" s="618"/>
      <x:c r="K337" s="618"/>
      <x:c r="L337" s="618"/>
      <x:c r="M337" s="618"/>
      <x:c r="N337" s="618"/>
      <x:c r="O337" s="618"/>
      <x:c r="P337" s="618"/>
      <x:c r="Q337" s="618"/>
      <x:c r="R337" s="618"/>
    </x:row>
    <x:row r="338" spans="1:18" ht="12.75" customHeight="1" x14ac:dyDescent="0.3">
      <x:c r="A338" s="781" t="s">
        <x:v>119</x:v>
      </x:c>
      <x:c r="B338" s="780" t="s">
        <x:v>132</x:v>
      </x:c>
      <x:c r="C338" s="628" t="s">
        <x:v>70</x:v>
      </x:c>
      <x:c r="D338" s="628">
        <x:f>D248-P248</x:f>
        <x:v>0</x:v>
      </x:c>
      <x:c r="E338" s="628">
        <x:f>E245</x:f>
        <x:v>0</x:v>
      </x:c>
      <x:c r="F338" s="628">
        <x:f t="shared" ref="F338:R338" si="13">F245</x:f>
        <x:v>0</x:v>
      </x:c>
      <x:c r="G338" s="628">
        <x:f t="shared" si="13"/>
        <x:v>0</x:v>
      </x:c>
      <x:c r="H338" s="628">
        <x:f t="shared" si="13"/>
        <x:v>0</x:v>
      </x:c>
      <x:c r="I338" s="628">
        <x:f t="shared" si="13"/>
        <x:v>0</x:v>
      </x:c>
      <x:c r="J338" s="628">
        <x:f t="shared" si="13"/>
        <x:v>0</x:v>
      </x:c>
      <x:c r="K338" s="628">
        <x:f t="shared" si="13"/>
        <x:v>0</x:v>
      </x:c>
      <x:c r="L338" s="628">
        <x:f t="shared" si="13"/>
        <x:v>0</x:v>
      </x:c>
      <x:c r="M338" s="628">
        <x:f t="shared" si="13"/>
        <x:v>0</x:v>
      </x:c>
      <x:c r="N338" s="628">
        <x:f t="shared" si="13"/>
        <x:v>0</x:v>
      </x:c>
      <x:c r="O338" s="628">
        <x:f t="shared" si="13"/>
        <x:v>0</x:v>
      </x:c>
      <x:c r="P338" s="628">
        <x:f t="shared" si="13"/>
        <x:v>0</x:v>
      </x:c>
      <x:c r="Q338" s="628">
        <x:f t="shared" si="13"/>
        <x:v>0</x:v>
      </x:c>
      <x:c r="R338" s="628">
        <x:f t="shared" si="13"/>
        <x:v>0</x:v>
      </x:c>
    </x:row>
    <x:row r="339" spans="1:18" ht="12.75" customHeight="1" x14ac:dyDescent="0.3">
      <x:c r="A339" s="781"/>
      <x:c r="B339" s="780"/>
      <x:c r="C339" s="628" t="s">
        <x:v>73</x:v>
      </x:c>
      <x:c r="D339" s="628">
        <x:f>D247</x:f>
        <x:v>0</x:v>
      </x:c>
      <x:c r="E339" s="618"/>
      <x:c r="F339" s="618"/>
      <x:c r="G339" s="618"/>
      <x:c r="H339" s="618"/>
      <x:c r="I339" s="618"/>
      <x:c r="J339" s="618"/>
      <x:c r="K339" s="618"/>
      <x:c r="L339" s="618"/>
      <x:c r="M339" s="618"/>
      <x:c r="N339" s="618"/>
      <x:c r="O339" s="618"/>
      <x:c r="P339" s="618"/>
      <x:c r="Q339" s="618"/>
      <x:c r="R339" s="618"/>
    </x:row>
    <x:row r="340" spans="1:18" ht="12.75" customHeight="1" x14ac:dyDescent="0.3">
      <x:c r="A340" s="617"/>
      <x:c r="D340" s="618"/>
      <x:c r="E340" s="618"/>
      <x:c r="F340" s="618"/>
      <x:c r="G340" s="618"/>
      <x:c r="H340" s="618"/>
      <x:c r="I340" s="618"/>
      <x:c r="J340" s="618"/>
      <x:c r="K340" s="618"/>
      <x:c r="L340" s="618"/>
      <x:c r="M340" s="618"/>
      <x:c r="N340" s="618"/>
      <x:c r="O340" s="618"/>
      <x:c r="P340" s="618"/>
      <x:c r="Q340" s="618"/>
      <x:c r="R340" s="618"/>
    </x:row>
    <x:row r="341" spans="1:18" ht="12.75" customHeight="1" x14ac:dyDescent="0.3">
      <x:c r="A341" s="779" t="s">
        <x:v>161</x:v>
      </x:c>
      <x:c r="B341" s="780" t="s">
        <x:v>132</x:v>
      </x:c>
      <x:c r="C341" s="634" t="s">
        <x:v>70</x:v>
      </x:c>
      <x:c r="D341" s="634">
        <x:v>0</x:v>
      </x:c>
      <x:c r="E341" s="634">
        <x:v>0</x:v>
      </x:c>
      <x:c r="F341" s="634">
        <x:v>0</x:v>
      </x:c>
      <x:c r="G341" s="634">
        <x:v>0</x:v>
      </x:c>
      <x:c r="H341" s="634">
        <x:v>0</x:v>
      </x:c>
      <x:c r="I341" s="634">
        <x:v>0</x:v>
      </x:c>
      <x:c r="J341" s="634">
        <x:v>0</x:v>
      </x:c>
      <x:c r="K341" s="634">
        <x:v>0</x:v>
      </x:c>
      <x:c r="L341" s="634">
        <x:v>0</x:v>
      </x:c>
      <x:c r="M341" s="634">
        <x:v>0</x:v>
      </x:c>
      <x:c r="N341" s="634">
        <x:v>0</x:v>
      </x:c>
      <x:c r="O341" s="634">
        <x:v>0</x:v>
      </x:c>
      <x:c r="P341" s="634">
        <x:v>0</x:v>
      </x:c>
      <x:c r="Q341" s="634">
        <x:v>0</x:v>
      </x:c>
      <x:c r="R341" s="634">
        <x:v>0</x:v>
      </x:c>
    </x:row>
    <x:row r="342" spans="1:18" ht="12.75" customHeight="1" x14ac:dyDescent="0.3">
      <x:c r="A342" s="779"/>
      <x:c r="B342" s="780"/>
      <x:c r="C342" s="634" t="s">
        <x:v>73</x:v>
      </x:c>
      <x:c r="D342" s="634">
        <x:v>0</x:v>
      </x:c>
      <x:c r="E342" s="618"/>
      <x:c r="F342" s="618"/>
      <x:c r="G342" s="618"/>
      <x:c r="H342" s="618"/>
      <x:c r="I342" s="618"/>
      <x:c r="J342" s="618"/>
      <x:c r="K342" s="618"/>
      <x:c r="L342" s="618"/>
      <x:c r="M342" s="618"/>
      <x:c r="N342" s="618"/>
      <x:c r="O342" s="618"/>
      <x:c r="P342" s="618"/>
      <x:c r="Q342" s="618"/>
    </x:row>
    <x:row r="343" spans="1:18" s="635" customFormat="1" x14ac:dyDescent="0.3"/>
    <x:row r="344" spans="1:18" x14ac:dyDescent="0.3">
      <x:c r="B344" s="617" t="s">
        <x:v>93</x:v>
      </x:c>
    </x:row>
    <x:row r="345" spans="1:18" ht="12.75" customHeight="1" x14ac:dyDescent="0.3">
      <x:c r="D345" s="618" t="s">
        <x:v>70</x:v>
      </x:c>
      <x:c r="E345" s="618" t="s">
        <x:v>64</x:v>
      </x:c>
      <x:c r="F345" s="618" t="s">
        <x:v>65</x:v>
      </x:c>
      <x:c r="G345" s="619" t="s">
        <x:v>164</x:v>
      </x:c>
      <x:c r="H345" s="618" t="s">
        <x:v>69</x:v>
      </x:c>
      <x:c r="I345" s="618" t="s">
        <x:v>68</x:v>
      </x:c>
      <x:c r="J345" s="618" t="s">
        <x:v>66</x:v>
      </x:c>
      <x:c r="K345" s="618" t="s">
        <x:v>63</x:v>
      </x:c>
      <x:c r="L345" s="618" t="s">
        <x:v>61</x:v>
      </x:c>
      <x:c r="M345" s="618" t="s">
        <x:v>62</x:v>
      </x:c>
      <x:c r="N345" s="618" t="s">
        <x:v>67</x:v>
      </x:c>
      <x:c r="O345" s="618" t="s">
        <x:v>77</x:v>
      </x:c>
      <x:c r="P345" s="616" t="s">
        <x:v>71</x:v>
      </x:c>
      <x:c r="Q345" s="618" t="s">
        <x:v>80</x:v>
      </x:c>
      <x:c r="R345" s="616" t="s">
        <x:v>168</x:v>
      </x:c>
    </x:row>
    <x:row r="346" spans="1:18" ht="12" customHeight="1" x14ac:dyDescent="0.3">
      <x:c r="C346" s="618" t="s">
        <x:v>72</x:v>
      </x:c>
      <x:c r="D346" s="618">
        <x:v>0</x:v>
      </x:c>
      <x:c r="E346" s="618">
        <x:v>0</x:v>
      </x:c>
      <x:c r="F346" s="618">
        <x:v>0</x:v>
      </x:c>
      <x:c r="G346" s="618">
        <x:v>0</x:v>
      </x:c>
      <x:c r="H346" s="618">
        <x:v>0</x:v>
      </x:c>
      <x:c r="I346" s="618">
        <x:v>0</x:v>
      </x:c>
      <x:c r="J346" s="618">
        <x:v>0</x:v>
      </x:c>
      <x:c r="K346" s="618">
        <x:v>0</x:v>
      </x:c>
      <x:c r="L346" s="618">
        <x:v>0</x:v>
      </x:c>
      <x:c r="M346" s="618">
        <x:v>0</x:v>
      </x:c>
      <x:c r="N346" s="618">
        <x:v>0</x:v>
      </x:c>
      <x:c r="O346" s="618">
        <x:v>0</x:v>
      </x:c>
      <x:c r="P346" s="616">
        <x:v>0</x:v>
      </x:c>
      <x:c r="Q346" s="618">
        <x:v>0</x:v>
      </x:c>
      <x:c r="R346" s="616">
        <x:v>0</x:v>
      </x:c>
    </x:row>
    <x:row r="347" spans="1:18" ht="12" customHeight="1" x14ac:dyDescent="0.3">
      <x:c r="C347" s="618" t="s">
        <x:v>81</x:v>
      </x:c>
      <x:c r="D347" s="618">
        <x:v>0</x:v>
      </x:c>
      <x:c r="E347" s="618">
        <x:v>0</x:v>
      </x:c>
      <x:c r="F347" s="618">
        <x:v>0</x:v>
      </x:c>
      <x:c r="G347" s="618">
        <x:v>0</x:v>
      </x:c>
      <x:c r="H347" s="618">
        <x:v>0</x:v>
      </x:c>
      <x:c r="I347" s="618">
        <x:v>0</x:v>
      </x:c>
      <x:c r="J347" s="618">
        <x:v>0</x:v>
      </x:c>
      <x:c r="K347" s="618">
        <x:v>0</x:v>
      </x:c>
      <x:c r="L347" s="618">
        <x:v>0</x:v>
      </x:c>
      <x:c r="M347" s="618">
        <x:v>0</x:v>
      </x:c>
      <x:c r="N347" s="618">
        <x:v>0</x:v>
      </x:c>
      <x:c r="O347" s="618">
        <x:v>0</x:v>
      </x:c>
      <x:c r="P347" s="616">
        <x:v>0</x:v>
      </x:c>
      <x:c r="Q347" s="618">
        <x:v>0</x:v>
      </x:c>
      <x:c r="R347" s="616">
        <x:v>0</x:v>
      </x:c>
    </x:row>
    <x:row r="348" spans="1:18" s="621" customFormat="1" ht="12.75" customHeight="1" x14ac:dyDescent="0.3">
      <x:c r="A348" s="622"/>
      <x:c r="B348" s="621" t="s">
        <x:v>78</x:v>
      </x:c>
      <x:c r="C348" s="621" t="s">
        <x:v>70</x:v>
      </x:c>
      <x:c r="D348" s="622">
        <x:v>0</x:v>
      </x:c>
      <x:c r="E348" s="622">
        <x:v>0</x:v>
      </x:c>
      <x:c r="F348" s="622">
        <x:v>0</x:v>
      </x:c>
      <x:c r="G348" s="622">
        <x:v>0</x:v>
      </x:c>
      <x:c r="H348" s="622">
        <x:v>0</x:v>
      </x:c>
      <x:c r="I348" s="622">
        <x:v>0</x:v>
      </x:c>
      <x:c r="J348" s="622">
        <x:v>0</x:v>
      </x:c>
      <x:c r="K348" s="622">
        <x:v>0</x:v>
      </x:c>
      <x:c r="L348" s="622">
        <x:v>0</x:v>
      </x:c>
      <x:c r="M348" s="622">
        <x:v>0</x:v>
      </x:c>
      <x:c r="N348" s="622">
        <x:v>0</x:v>
      </x:c>
      <x:c r="O348" s="622">
        <x:v>0</x:v>
      </x:c>
      <x:c r="P348" s="621">
        <x:v>0</x:v>
      </x:c>
      <x:c r="Q348" s="621">
        <x:v>0</x:v>
      </x:c>
      <x:c r="R348" s="621">
        <x:v>0</x:v>
      </x:c>
    </x:row>
    <x:row r="349" spans="1:18" ht="12" customHeight="1" x14ac:dyDescent="0.3">
      <x:c r="C349" s="618" t="s">
        <x:v>73</x:v>
      </x:c>
      <x:c r="D349" s="618">
        <x:v>0</x:v>
      </x:c>
      <x:c r="E349" s="618">
        <x:v>0</x:v>
      </x:c>
      <x:c r="F349" s="618">
        <x:v>0</x:v>
      </x:c>
      <x:c r="G349" s="618">
        <x:v>0</x:v>
      </x:c>
      <x:c r="H349" s="618">
        <x:v>0</x:v>
      </x:c>
      <x:c r="I349" s="618">
        <x:v>0</x:v>
      </x:c>
      <x:c r="J349" s="618">
        <x:v>0</x:v>
      </x:c>
      <x:c r="K349" s="618">
        <x:v>0</x:v>
      </x:c>
      <x:c r="L349" s="618">
        <x:v>0</x:v>
      </x:c>
      <x:c r="M349" s="618">
        <x:v>0</x:v>
      </x:c>
      <x:c r="N349" s="618">
        <x:v>0</x:v>
      </x:c>
      <x:c r="O349" s="618">
        <x:v>0</x:v>
      </x:c>
      <x:c r="P349" s="616">
        <x:v>0</x:v>
      </x:c>
      <x:c r="Q349" s="618">
        <x:v>0</x:v>
      </x:c>
      <x:c r="R349" s="616">
        <x:v>0</x:v>
      </x:c>
    </x:row>
    <x:row r="350" spans="1:18" s="623" customFormat="1" ht="12.75" customHeight="1" x14ac:dyDescent="0.3">
      <x:c r="A350" s="624"/>
      <x:c r="B350" s="624" t="s">
        <x:v>79</x:v>
      </x:c>
      <x:c r="C350" s="623" t="s">
        <x:v>70</x:v>
      </x:c>
      <x:c r="D350" s="624">
        <x:v>0</x:v>
      </x:c>
      <x:c r="E350" s="624">
        <x:v>0</x:v>
      </x:c>
      <x:c r="F350" s="624">
        <x:v>0</x:v>
      </x:c>
      <x:c r="G350" s="624">
        <x:v>0</x:v>
      </x:c>
      <x:c r="H350" s="624">
        <x:v>0</x:v>
      </x:c>
      <x:c r="I350" s="624">
        <x:v>0</x:v>
      </x:c>
      <x:c r="J350" s="624">
        <x:v>0</x:v>
      </x:c>
      <x:c r="K350" s="624">
        <x:v>0</x:v>
      </x:c>
      <x:c r="L350" s="624">
        <x:v>0</x:v>
      </x:c>
      <x:c r="M350" s="624">
        <x:v>0</x:v>
      </x:c>
      <x:c r="N350" s="624">
        <x:v>0</x:v>
      </x:c>
      <x:c r="O350" s="624">
        <x:v>0</x:v>
      </x:c>
      <x:c r="P350" s="623">
        <x:v>0</x:v>
      </x:c>
      <x:c r="Q350" s="623">
        <x:v>0</x:v>
      </x:c>
      <x:c r="R350" s="623">
        <x:v>0</x:v>
      </x:c>
    </x:row>
    <x:row r="351" spans="1:18" s="625" customFormat="1" ht="12.75" customHeight="1" x14ac:dyDescent="0.3">
      <x:c r="A351" s="625" t="s">
        <x:v>155</x:v>
      </x:c>
      <x:c r="B351" s="625" t="s">
        <x:v>70</x:v>
      </x:c>
      <x:c r="D351" s="626" t="n">
        <x:v>-3964157</x:v>
      </x:c>
      <x:c r="E351" s="626">
        <x:v>0</x:v>
      </x:c>
      <x:c r="F351" s="626">
        <x:v>0</x:v>
      </x:c>
      <x:c r="G351" s="627">
        <x:v>0</x:v>
      </x:c>
      <x:c r="H351" s="626">
        <x:v>0</x:v>
      </x:c>
      <x:c r="I351" s="626">
        <x:v>0</x:v>
      </x:c>
      <x:c r="J351" s="626">
        <x:v>0</x:v>
      </x:c>
      <x:c r="K351" s="626">
        <x:v>0</x:v>
      </x:c>
      <x:c r="L351" s="626">
        <x:v>0</x:v>
      </x:c>
      <x:c r="M351" s="626">
        <x:v>0</x:v>
      </x:c>
      <x:c r="N351" s="626">
        <x:v>0</x:v>
      </x:c>
      <x:c r="O351" s="626">
        <x:v>0</x:v>
      </x:c>
      <x:c r="P351" s="626" t="n">
        <x:v>0</x:v>
      </x:c>
      <x:c r="Q351" s="626">
        <x:v>0</x:v>
      </x:c>
      <x:c r="R351" s="625">
        <x:v>0</x:v>
      </x:c>
    </x:row>
    <x:row r="352" spans="1:18" ht="12.75" customHeight="1" x14ac:dyDescent="0.3">
      <x:c r="C352" s="616" t="s">
        <x:v>72</x:v>
      </x:c>
      <x:c r="D352" s="618">
        <x:v>0</x:v>
      </x:c>
      <x:c r="E352" s="618">
        <x:v>0</x:v>
      </x:c>
      <x:c r="F352" s="618">
        <x:v>0</x:v>
      </x:c>
      <x:c r="G352" s="620">
        <x:v>0</x:v>
      </x:c>
      <x:c r="H352" s="618">
        <x:v>0</x:v>
      </x:c>
      <x:c r="I352" s="618">
        <x:v>0</x:v>
      </x:c>
      <x:c r="J352" s="618">
        <x:v>0</x:v>
      </x:c>
      <x:c r="K352" s="618">
        <x:v>0</x:v>
      </x:c>
      <x:c r="L352" s="618">
        <x:v>0</x:v>
      </x:c>
      <x:c r="M352" s="618">
        <x:v>0</x:v>
      </x:c>
      <x:c r="N352" s="618">
        <x:v>0</x:v>
      </x:c>
      <x:c r="O352" s="618">
        <x:v>0</x:v>
      </x:c>
      <x:c r="P352" s="618">
        <x:v>0</x:v>
      </x:c>
      <x:c r="Q352" s="618">
        <x:v>0</x:v>
      </x:c>
      <x:c r="R352" s="616">
        <x:v>0</x:v>
      </x:c>
    </x:row>
    <x:row r="353" spans="1:18" ht="12.65" customHeight="1" x14ac:dyDescent="0.3">
      <x:c r="C353" s="616" t="s">
        <x:v>81</x:v>
      </x:c>
      <x:c r="D353" s="618">
        <x:v>0</x:v>
      </x:c>
      <x:c r="E353" s="618">
        <x:v>0</x:v>
      </x:c>
      <x:c r="F353" s="618">
        <x:v>0</x:v>
      </x:c>
      <x:c r="G353" s="620">
        <x:v>0</x:v>
      </x:c>
      <x:c r="H353" s="618">
        <x:v>0</x:v>
      </x:c>
      <x:c r="I353" s="618">
        <x:v>0</x:v>
      </x:c>
      <x:c r="J353" s="618">
        <x:v>0</x:v>
      </x:c>
      <x:c r="K353" s="618">
        <x:v>0</x:v>
      </x:c>
      <x:c r="L353" s="618">
        <x:v>0</x:v>
      </x:c>
      <x:c r="M353" s="618">
        <x:v>0</x:v>
      </x:c>
      <x:c r="N353" s="618">
        <x:v>0</x:v>
      </x:c>
      <x:c r="O353" s="618">
        <x:v>0</x:v>
      </x:c>
      <x:c r="P353" s="618">
        <x:v>0</x:v>
      </x:c>
      <x:c r="Q353" s="618">
        <x:v>0</x:v>
      </x:c>
      <x:c r="R353" s="616">
        <x:v>0</x:v>
      </x:c>
    </x:row>
    <x:row r="354" spans="1:18" s="621" customFormat="1" ht="12.75" customHeight="1" x14ac:dyDescent="0.3">
      <x:c r="B354" s="622" t="s">
        <x:v>78</x:v>
      </x:c>
      <x:c r="C354" s="622" t="s">
        <x:v>70</x:v>
      </x:c>
      <x:c r="D354" s="622">
        <x:v>0</x:v>
      </x:c>
      <x:c r="E354" s="622">
        <x:v>0</x:v>
      </x:c>
      <x:c r="F354" s="622">
        <x:v>0</x:v>
      </x:c>
      <x:c r="G354" s="622">
        <x:v>0</x:v>
      </x:c>
      <x:c r="H354" s="622">
        <x:v>0</x:v>
      </x:c>
      <x:c r="I354" s="622">
        <x:v>0</x:v>
      </x:c>
      <x:c r="J354" s="622">
        <x:v>0</x:v>
      </x:c>
      <x:c r="K354" s="622">
        <x:v>0</x:v>
      </x:c>
      <x:c r="L354" s="622">
        <x:v>0</x:v>
      </x:c>
      <x:c r="M354" s="622">
        <x:v>0</x:v>
      </x:c>
      <x:c r="N354" s="622">
        <x:v>0</x:v>
      </x:c>
      <x:c r="O354" s="622">
        <x:v>0</x:v>
      </x:c>
      <x:c r="P354" s="621">
        <x:v>0</x:v>
      </x:c>
      <x:c r="Q354" s="622">
        <x:v>0</x:v>
      </x:c>
      <x:c r="R354" s="622">
        <x:v>0</x:v>
      </x:c>
    </x:row>
    <x:row r="355" spans="1:18" ht="12.75" customHeight="1" x14ac:dyDescent="0.3">
      <x:c r="C355" s="616" t="s">
        <x:v>73</x:v>
      </x:c>
      <x:c r="D355" s="618">
        <x:v>0</x:v>
      </x:c>
      <x:c r="E355" s="618">
        <x:v>0</x:v>
      </x:c>
      <x:c r="F355" s="618">
        <x:v>0</x:v>
      </x:c>
      <x:c r="G355" s="620">
        <x:v>0</x:v>
      </x:c>
      <x:c r="H355" s="618">
        <x:v>0</x:v>
      </x:c>
      <x:c r="I355" s="618">
        <x:v>0</x:v>
      </x:c>
      <x:c r="J355" s="618">
        <x:v>0</x:v>
      </x:c>
      <x:c r="K355" s="618">
        <x:v>0</x:v>
      </x:c>
      <x:c r="L355" s="618">
        <x:v>0</x:v>
      </x:c>
      <x:c r="M355" s="618">
        <x:v>0</x:v>
      </x:c>
      <x:c r="N355" s="618">
        <x:v>0</x:v>
      </x:c>
      <x:c r="O355" s="618">
        <x:v>0</x:v>
      </x:c>
      <x:c r="P355" s="618">
        <x:v>0</x:v>
      </x:c>
      <x:c r="Q355" s="618">
        <x:v>0</x:v>
      </x:c>
      <x:c r="R355" s="616">
        <x:v>0</x:v>
      </x:c>
    </x:row>
    <x:row r="356" spans="1:18" s="623" customFormat="1" ht="12.75" customHeight="1" x14ac:dyDescent="0.3">
      <x:c r="B356" s="624" t="s">
        <x:v>79</x:v>
      </x:c>
      <x:c r="C356" s="624" t="s">
        <x:v>70</x:v>
      </x:c>
      <x:c r="D356" s="624">
        <x:v>0</x:v>
      </x:c>
      <x:c r="E356" s="624">
        <x:v>0</x:v>
      </x:c>
      <x:c r="F356" s="624">
        <x:v>0</x:v>
      </x:c>
      <x:c r="G356" s="624">
        <x:v>0</x:v>
      </x:c>
      <x:c r="H356" s="624">
        <x:v>0</x:v>
      </x:c>
      <x:c r="I356" s="624">
        <x:v>0</x:v>
      </x:c>
      <x:c r="J356" s="624">
        <x:v>0</x:v>
      </x:c>
      <x:c r="K356" s="624">
        <x:v>0</x:v>
      </x:c>
      <x:c r="L356" s="624">
        <x:v>0</x:v>
      </x:c>
      <x:c r="M356" s="624">
        <x:v>0</x:v>
      </x:c>
      <x:c r="N356" s="624">
        <x:v>0</x:v>
      </x:c>
      <x:c r="O356" s="624">
        <x:v>0</x:v>
      </x:c>
      <x:c r="P356" s="623">
        <x:v>0</x:v>
      </x:c>
      <x:c r="Q356" s="624">
        <x:v>0</x:v>
      </x:c>
      <x:c r="R356" s="624">
        <x:v>0</x:v>
      </x:c>
    </x:row>
    <x:row r="357" spans="1:18" s="628" customFormat="1" ht="12.75" customHeight="1" x14ac:dyDescent="0.3">
      <x:c r="A357" s="628" t="s">
        <x:v>119</x:v>
      </x:c>
      <x:c r="B357" s="628" t="s">
        <x:v>70</x:v>
      </x:c>
      <x:c r="D357" s="628">
        <x:v>0</x:v>
      </x:c>
      <x:c r="E357" s="628">
        <x:v>0</x:v>
      </x:c>
      <x:c r="F357" s="628">
        <x:v>0</x:v>
      </x:c>
      <x:c r="G357" s="628">
        <x:v>0</x:v>
      </x:c>
      <x:c r="H357" s="628">
        <x:v>0</x:v>
      </x:c>
      <x:c r="I357" s="628">
        <x:v>0</x:v>
      </x:c>
      <x:c r="J357" s="628">
        <x:v>0</x:v>
      </x:c>
      <x:c r="K357" s="628">
        <x:v>0</x:v>
      </x:c>
      <x:c r="L357" s="628">
        <x:v>0</x:v>
      </x:c>
      <x:c r="M357" s="628">
        <x:v>0</x:v>
      </x:c>
      <x:c r="N357" s="628">
        <x:v>0</x:v>
      </x:c>
      <x:c r="O357" s="628">
        <x:v>0</x:v>
      </x:c>
      <x:c r="P357" s="628">
        <x:v>0</x:v>
      </x:c>
      <x:c r="Q357" s="628">
        <x:v>0</x:v>
      </x:c>
      <x:c r="R357" s="628">
        <x:v>0</x:v>
      </x:c>
    </x:row>
    <x:row r="358" spans="1:18" s="631" customFormat="1" ht="12.75" customHeight="1" x14ac:dyDescent="0.3">
      <x:c r="A358" s="630" t="s">
        <x:v>70</x:v>
      </x:c>
      <x:c r="D358" s="630" t="n">
        <x:v>-3964157</x:v>
      </x:c>
      <x:c r="E358" s="630">
        <x:v>0</x:v>
      </x:c>
      <x:c r="F358" s="630">
        <x:v>0</x:v>
      </x:c>
      <x:c r="G358" s="630">
        <x:v>0</x:v>
      </x:c>
      <x:c r="H358" s="630">
        <x:v>0</x:v>
      </x:c>
      <x:c r="I358" s="630">
        <x:v>0</x:v>
      </x:c>
      <x:c r="J358" s="630">
        <x:v>0</x:v>
      </x:c>
      <x:c r="K358" s="630">
        <x:v>0</x:v>
      </x:c>
      <x:c r="L358" s="630">
        <x:v>0</x:v>
      </x:c>
      <x:c r="M358" s="630">
        <x:v>0</x:v>
      </x:c>
      <x:c r="N358" s="630">
        <x:v>0</x:v>
      </x:c>
      <x:c r="O358" s="630">
        <x:v>0</x:v>
      </x:c>
      <x:c r="P358" s="631" t="n">
        <x:v>0</x:v>
      </x:c>
      <x:c r="Q358" s="631">
        <x:v>0</x:v>
      </x:c>
      <x:c r="R358" s="631">
        <x:v>0</x:v>
      </x:c>
    </x:row>
    <x:row r="359" spans="1:18" ht="12.75" customHeight="1" x14ac:dyDescent="0.3">
      <x:c r="C359" s="618"/>
      <x:c r="D359" s="618"/>
      <x:c r="E359" s="618"/>
      <x:c r="F359" s="618"/>
      <x:c r="G359" s="618"/>
      <x:c r="H359" s="618"/>
      <x:c r="I359" s="618"/>
      <x:c r="J359" s="618"/>
      <x:c r="K359" s="618"/>
      <x:c r="L359" s="618"/>
      <x:c r="M359" s="618"/>
      <x:c r="N359" s="618"/>
      <x:c r="O359" s="618"/>
      <x:c r="Q359" s="618"/>
    </x:row>
    <x:row r="360" spans="1:18" ht="12.75" customHeight="1" x14ac:dyDescent="0.3">
      <x:c r="C360" s="618"/>
      <x:c r="D360" s="618"/>
      <x:c r="E360" s="618"/>
      <x:c r="F360" s="618"/>
      <x:c r="G360" s="618"/>
      <x:c r="H360" s="618"/>
      <x:c r="I360" s="618"/>
      <x:c r="J360" s="618"/>
      <x:c r="K360" s="618"/>
      <x:c r="L360" s="618"/>
      <x:c r="M360" s="618"/>
      <x:c r="N360" s="618"/>
      <x:c r="O360" s="618"/>
      <x:c r="Q360" s="618"/>
    </x:row>
    <x:row r="361" spans="1:18" ht="12.75" customHeight="1" x14ac:dyDescent="0.3">
      <x:c r="A361" s="781" t="s">
        <x:v>2</x:v>
      </x:c>
      <x:c r="B361" s="780" t="s">
        <x:v>132</x:v>
      </x:c>
      <x:c r="C361" s="766" t="s">
        <x:v>70</x:v>
      </x:c>
      <x:c r="D361" s="766">
        <x:f>D358-P358</x:f>
        <x:v>0</x:v>
      </x:c>
      <x:c r="E361" s="766">
        <x:f>E348+E354</x:f>
        <x:v>0</x:v>
      </x:c>
      <x:c r="F361" s="766">
        <x:f t="shared" ref="F361:R361" si="14">F348+F354</x:f>
        <x:v>0</x:v>
      </x:c>
      <x:c r="G361" s="766">
        <x:f t="shared" si="14"/>
        <x:v>0</x:v>
      </x:c>
      <x:c r="H361" s="766">
        <x:f t="shared" si="14"/>
        <x:v>0</x:v>
      </x:c>
      <x:c r="I361" s="766">
        <x:f t="shared" si="14"/>
        <x:v>0</x:v>
      </x:c>
      <x:c r="J361" s="766">
        <x:f t="shared" si="14"/>
        <x:v>0</x:v>
      </x:c>
      <x:c r="K361" s="766">
        <x:f t="shared" si="14"/>
        <x:v>0</x:v>
      </x:c>
      <x:c r="L361" s="766">
        <x:f t="shared" si="14"/>
        <x:v>0</x:v>
      </x:c>
      <x:c r="M361" s="766">
        <x:f t="shared" si="14"/>
        <x:v>0</x:v>
      </x:c>
      <x:c r="N361" s="766">
        <x:f t="shared" si="14"/>
        <x:v>0</x:v>
      </x:c>
      <x:c r="O361" s="766">
        <x:f t="shared" si="14"/>
        <x:v>0</x:v>
      </x:c>
      <x:c r="P361" s="766">
        <x:f t="shared" si="14"/>
        <x:v>0</x:v>
      </x:c>
      <x:c r="Q361" s="766">
        <x:f t="shared" si="14"/>
        <x:v>0</x:v>
      </x:c>
      <x:c r="R361" s="766">
        <x:f t="shared" si="14"/>
        <x:v>0</x:v>
      </x:c>
    </x:row>
    <x:row r="362" spans="1:18" ht="12.75" customHeight="1" x14ac:dyDescent="0.3">
      <x:c r="A362" s="781"/>
      <x:c r="B362" s="780"/>
      <x:c r="C362" s="766" t="s">
        <x:v>73</x:v>
      </x:c>
      <x:c r="D362" s="767">
        <x:f>D350+D356</x:f>
        <x:v>0</x:v>
      </x:c>
      <x:c r="E362" s="618"/>
      <x:c r="F362" s="618"/>
      <x:c r="G362" s="618"/>
      <x:c r="H362" s="618"/>
      <x:c r="I362" s="618"/>
      <x:c r="J362" s="618"/>
      <x:c r="K362" s="618"/>
      <x:c r="L362" s="618"/>
      <x:c r="M362" s="618"/>
      <x:c r="N362" s="618"/>
      <x:c r="O362" s="618"/>
      <x:c r="P362" s="618"/>
      <x:c r="Q362" s="618"/>
      <x:c r="R362" s="618"/>
    </x:row>
    <x:row r="363" spans="1:18" ht="12.75" customHeight="1" x14ac:dyDescent="0.3">
      <x:c r="A363" s="617"/>
      <x:c r="D363" s="618"/>
      <x:c r="E363" s="618"/>
      <x:c r="F363" s="618"/>
      <x:c r="G363" s="618"/>
      <x:c r="H363" s="618"/>
      <x:c r="I363" s="618"/>
      <x:c r="J363" s="618"/>
      <x:c r="K363" s="618"/>
      <x:c r="L363" s="618"/>
      <x:c r="M363" s="618"/>
      <x:c r="N363" s="618"/>
      <x:c r="O363" s="618"/>
      <x:c r="P363" s="618"/>
      <x:c r="Q363" s="618"/>
      <x:c r="R363" s="618"/>
    </x:row>
    <x:row r="364" spans="1:18" ht="12.75" customHeight="1" x14ac:dyDescent="0.3">
      <x:c r="A364" s="781" t="s">
        <x:v>160</x:v>
      </x:c>
      <x:c r="B364" s="780" t="s">
        <x:v>132</x:v>
      </x:c>
      <x:c r="C364" s="632" t="s">
        <x:v>70</x:v>
      </x:c>
      <x:c r="D364" s="632">
        <x:v>0</x:v>
      </x:c>
      <x:c r="E364" s="632">
        <x:v>0</x:v>
      </x:c>
      <x:c r="F364" s="632">
        <x:v>0</x:v>
      </x:c>
      <x:c r="G364" s="632">
        <x:v>0</x:v>
      </x:c>
      <x:c r="H364" s="632">
        <x:v>0</x:v>
      </x:c>
      <x:c r="I364" s="632">
        <x:v>0</x:v>
      </x:c>
      <x:c r="J364" s="632">
        <x:v>0</x:v>
      </x:c>
      <x:c r="K364" s="632">
        <x:v>0</x:v>
      </x:c>
      <x:c r="L364" s="632">
        <x:v>0</x:v>
      </x:c>
      <x:c r="M364" s="632">
        <x:v>0</x:v>
      </x:c>
      <x:c r="N364" s="632">
        <x:v>0</x:v>
      </x:c>
      <x:c r="O364" s="632">
        <x:v>0</x:v>
      </x:c>
      <x:c r="P364" s="632">
        <x:v>0</x:v>
      </x:c>
      <x:c r="Q364" s="632">
        <x:v>0</x:v>
      </x:c>
      <x:c r="R364" s="632">
        <x:v>0</x:v>
      </x:c>
    </x:row>
    <x:row r="365" spans="1:18" ht="12.75" customHeight="1" x14ac:dyDescent="0.3">
      <x:c r="A365" s="781"/>
      <x:c r="B365" s="780"/>
      <x:c r="C365" s="632" t="s">
        <x:v>73</x:v>
      </x:c>
      <x:c r="D365" s="632">
        <x:v>0</x:v>
      </x:c>
      <x:c r="E365" s="618"/>
      <x:c r="F365" s="618"/>
      <x:c r="G365" s="618"/>
      <x:c r="H365" s="618"/>
      <x:c r="I365" s="618"/>
      <x:c r="J365" s="618"/>
      <x:c r="K365" s="618"/>
      <x:c r="L365" s="618"/>
      <x:c r="M365" s="618"/>
      <x:c r="N365" s="618"/>
      <x:c r="O365" s="618"/>
      <x:c r="P365" s="618"/>
      <x:c r="Q365" s="618"/>
      <x:c r="R365" s="618"/>
    </x:row>
    <x:row r="366" spans="1:18" ht="12.75" customHeight="1" x14ac:dyDescent="0.3">
      <x:c r="A366" s="617"/>
      <x:c r="D366" s="618"/>
      <x:c r="E366" s="618"/>
      <x:c r="F366" s="618"/>
      <x:c r="G366" s="618"/>
      <x:c r="H366" s="618"/>
      <x:c r="I366" s="618"/>
      <x:c r="J366" s="618"/>
      <x:c r="K366" s="618"/>
      <x:c r="L366" s="618"/>
      <x:c r="M366" s="618"/>
      <x:c r="N366" s="618"/>
      <x:c r="O366" s="618"/>
      <x:c r="P366" s="618"/>
      <x:c r="Q366" s="618"/>
      <x:c r="R366" s="618"/>
    </x:row>
    <x:row r="367" spans="1:18" ht="12.75" customHeight="1" x14ac:dyDescent="0.3">
      <x:c r="A367" s="781" t="s">
        <x:v>155</x:v>
      </x:c>
      <x:c r="B367" s="780" t="s">
        <x:v>132</x:v>
      </x:c>
      <x:c r="C367" s="633" t="s">
        <x:v>70</x:v>
      </x:c>
      <x:c r="D367" s="633">
        <x:f>D351-P351</x:f>
        <x:v>0</x:v>
      </x:c>
      <x:c r="E367" s="633">
        <x:f>E348</x:f>
        <x:v>0</x:v>
      </x:c>
      <x:c r="F367" s="633">
        <x:f t="shared" ref="F367:R367" si="15">F348</x:f>
        <x:v>0</x:v>
      </x:c>
      <x:c r="G367" s="633">
        <x:f t="shared" si="15"/>
        <x:v>0</x:v>
      </x:c>
      <x:c r="H367" s="633">
        <x:f t="shared" si="15"/>
        <x:v>0</x:v>
      </x:c>
      <x:c r="I367" s="633">
        <x:f t="shared" si="15"/>
        <x:v>0</x:v>
      </x:c>
      <x:c r="J367" s="633">
        <x:f t="shared" si="15"/>
        <x:v>0</x:v>
      </x:c>
      <x:c r="K367" s="633">
        <x:f t="shared" si="15"/>
        <x:v>0</x:v>
      </x:c>
      <x:c r="L367" s="633">
        <x:f t="shared" si="15"/>
        <x:v>0</x:v>
      </x:c>
      <x:c r="M367" s="633">
        <x:f t="shared" si="15"/>
        <x:v>0</x:v>
      </x:c>
      <x:c r="N367" s="633">
        <x:f t="shared" si="15"/>
        <x:v>0</x:v>
      </x:c>
      <x:c r="O367" s="633">
        <x:f t="shared" si="15"/>
        <x:v>0</x:v>
      </x:c>
      <x:c r="P367" s="633">
        <x:f t="shared" si="15"/>
        <x:v>0</x:v>
      </x:c>
      <x:c r="Q367" s="633">
        <x:f t="shared" si="15"/>
        <x:v>0</x:v>
      </x:c>
      <x:c r="R367" s="633">
        <x:f t="shared" si="15"/>
        <x:v>0</x:v>
      </x:c>
    </x:row>
    <x:row r="368" spans="1:18" ht="12.75" customHeight="1" x14ac:dyDescent="0.3">
      <x:c r="A368" s="781"/>
      <x:c r="B368" s="780"/>
      <x:c r="C368" s="633" t="s">
        <x:v>73</x:v>
      </x:c>
      <x:c r="D368" s="633">
        <x:f>D350</x:f>
        <x:v>0</x:v>
      </x:c>
      <x:c r="E368" s="618"/>
      <x:c r="F368" s="618"/>
      <x:c r="G368" s="618"/>
      <x:c r="H368" s="618"/>
      <x:c r="I368" s="618"/>
      <x:c r="J368" s="618"/>
      <x:c r="K368" s="618"/>
      <x:c r="L368" s="618"/>
      <x:c r="M368" s="618"/>
      <x:c r="N368" s="618"/>
      <x:c r="O368" s="618"/>
      <x:c r="P368" s="618"/>
      <x:c r="Q368" s="618"/>
    </x:row>
    <x:row r="369" spans="1:18" ht="12.75" customHeight="1" x14ac:dyDescent="0.3">
      <x:c r="A369" s="617"/>
      <x:c r="D369" s="618"/>
      <x:c r="E369" s="618"/>
      <x:c r="F369" s="618"/>
      <x:c r="G369" s="618"/>
      <x:c r="H369" s="618"/>
      <x:c r="I369" s="618"/>
      <x:c r="J369" s="618"/>
      <x:c r="K369" s="618"/>
      <x:c r="L369" s="618"/>
      <x:c r="M369" s="618"/>
      <x:c r="N369" s="618"/>
      <x:c r="O369" s="618"/>
      <x:c r="P369" s="618"/>
      <x:c r="Q369" s="618"/>
    </x:row>
    <x:row r="370" spans="1:18" ht="12.75" customHeight="1" x14ac:dyDescent="0.3">
      <x:c r="A370" s="782" t="s">
        <x:v>326</x:v>
      </x:c>
      <x:c r="B370" s="780" t="s">
        <x:v>132</x:v>
      </x:c>
      <x:c r="C370" s="633" t="s">
        <x:v>70</x:v>
      </x:c>
      <x:c r="D370" s="720">
        <x:v>0</x:v>
      </x:c>
      <x:c r="E370" s="720">
        <x:v>0</x:v>
      </x:c>
      <x:c r="F370" s="720">
        <x:v>0</x:v>
      </x:c>
      <x:c r="G370" s="720">
        <x:v>0</x:v>
      </x:c>
      <x:c r="H370" s="720">
        <x:v>0</x:v>
      </x:c>
      <x:c r="I370" s="720">
        <x:v>0</x:v>
      </x:c>
      <x:c r="J370" s="720">
        <x:v>0</x:v>
      </x:c>
      <x:c r="K370" s="720">
        <x:v>0</x:v>
      </x:c>
      <x:c r="L370" s="720">
        <x:v>0</x:v>
      </x:c>
      <x:c r="M370" s="720">
        <x:v>0</x:v>
      </x:c>
      <x:c r="N370" s="720">
        <x:v>0</x:v>
      </x:c>
      <x:c r="O370" s="720">
        <x:v>0</x:v>
      </x:c>
      <x:c r="P370" s="720">
        <x:v>0</x:v>
      </x:c>
      <x:c r="Q370" s="720">
        <x:v>0</x:v>
      </x:c>
      <x:c r="R370" s="720">
        <x:v>0</x:v>
      </x:c>
    </x:row>
    <x:row r="371" spans="1:18" ht="12.75" customHeight="1" x14ac:dyDescent="0.3">
      <x:c r="A371" s="782"/>
      <x:c r="B371" s="780"/>
      <x:c r="C371" s="633" t="s">
        <x:v>73</x:v>
      </x:c>
      <x:c r="D371" s="720">
        <x:v>0</x:v>
      </x:c>
      <x:c r="E371" s="618"/>
      <x:c r="F371" s="618"/>
      <x:c r="G371" s="618"/>
      <x:c r="H371" s="618"/>
      <x:c r="I371" s="618"/>
      <x:c r="J371" s="618"/>
      <x:c r="K371" s="618"/>
      <x:c r="L371" s="618"/>
      <x:c r="M371" s="618"/>
      <x:c r="N371" s="618"/>
      <x:c r="O371" s="618"/>
      <x:c r="P371" s="618"/>
      <x:c r="Q371" s="618"/>
    </x:row>
    <x:row r="372" spans="1:18" ht="12.75" customHeight="1" x14ac:dyDescent="0.3">
      <x:c r="A372" s="617"/>
      <x:c r="D372" s="618"/>
      <x:c r="E372" s="618"/>
      <x:c r="F372" s="618"/>
      <x:c r="G372" s="618"/>
      <x:c r="H372" s="618"/>
      <x:c r="I372" s="618"/>
      <x:c r="J372" s="618"/>
      <x:c r="K372" s="618"/>
      <x:c r="L372" s="618"/>
      <x:c r="M372" s="618"/>
      <x:c r="N372" s="618"/>
      <x:c r="O372" s="618"/>
      <x:c r="P372" s="618"/>
      <x:c r="Q372" s="618"/>
    </x:row>
    <x:row r="373" spans="1:18" ht="12.75" customHeight="1" x14ac:dyDescent="0.3">
      <x:c r="A373" s="781" t="s">
        <x:v>119</x:v>
      </x:c>
      <x:c r="B373" s="780" t="s">
        <x:v>132</x:v>
      </x:c>
      <x:c r="C373" s="628" t="s">
        <x:v>70</x:v>
      </x:c>
      <x:c r="D373" s="628">
        <x:f>D357-P357</x:f>
        <x:v>0</x:v>
      </x:c>
      <x:c r="E373" s="628">
        <x:f>E354</x:f>
        <x:v>0</x:v>
      </x:c>
      <x:c r="F373" s="628">
        <x:f t="shared" ref="F373:R373" si="16">F354</x:f>
        <x:v>0</x:v>
      </x:c>
      <x:c r="G373" s="628">
        <x:f t="shared" si="16"/>
        <x:v>0</x:v>
      </x:c>
      <x:c r="H373" s="628">
        <x:f t="shared" si="16"/>
        <x:v>0</x:v>
      </x:c>
      <x:c r="I373" s="628">
        <x:f t="shared" si="16"/>
        <x:v>0</x:v>
      </x:c>
      <x:c r="J373" s="628">
        <x:f t="shared" si="16"/>
        <x:v>0</x:v>
      </x:c>
      <x:c r="K373" s="628">
        <x:f t="shared" si="16"/>
        <x:v>0</x:v>
      </x:c>
      <x:c r="L373" s="628">
        <x:f t="shared" si="16"/>
        <x:v>0</x:v>
      </x:c>
      <x:c r="M373" s="628">
        <x:f t="shared" si="16"/>
        <x:v>0</x:v>
      </x:c>
      <x:c r="N373" s="628">
        <x:f t="shared" si="16"/>
        <x:v>0</x:v>
      </x:c>
      <x:c r="O373" s="628">
        <x:f t="shared" si="16"/>
        <x:v>0</x:v>
      </x:c>
      <x:c r="P373" s="628">
        <x:f t="shared" si="16"/>
        <x:v>0</x:v>
      </x:c>
      <x:c r="Q373" s="628">
        <x:f t="shared" si="16"/>
        <x:v>0</x:v>
      </x:c>
      <x:c r="R373" s="628">
        <x:f t="shared" si="16"/>
        <x:v>0</x:v>
      </x:c>
    </x:row>
    <x:row r="374" spans="1:18" ht="12.75" customHeight="1" x14ac:dyDescent="0.3">
      <x:c r="A374" s="781"/>
      <x:c r="B374" s="780"/>
      <x:c r="C374" s="628" t="s">
        <x:v>73</x:v>
      </x:c>
      <x:c r="D374" s="629">
        <x:f>D356</x:f>
        <x:v>0</x:v>
      </x:c>
      <x:c r="E374" s="618"/>
      <x:c r="F374" s="618"/>
      <x:c r="G374" s="618"/>
      <x:c r="H374" s="618"/>
      <x:c r="I374" s="618"/>
      <x:c r="J374" s="618"/>
      <x:c r="K374" s="618"/>
      <x:c r="L374" s="618"/>
      <x:c r="M374" s="618"/>
      <x:c r="N374" s="618"/>
      <x:c r="O374" s="618"/>
      <x:c r="P374" s="618"/>
      <x:c r="Q374" s="618"/>
    </x:row>
    <x:row r="375" spans="1:18" ht="12.75" customHeight="1" x14ac:dyDescent="0.3">
      <x:c r="A375" s="617"/>
      <x:c r="D375" s="618"/>
      <x:c r="E375" s="618"/>
      <x:c r="F375" s="618"/>
      <x:c r="G375" s="618"/>
      <x:c r="H375" s="618"/>
      <x:c r="I375" s="618"/>
      <x:c r="J375" s="618"/>
      <x:c r="K375" s="618"/>
      <x:c r="L375" s="618"/>
      <x:c r="M375" s="618"/>
      <x:c r="N375" s="618"/>
      <x:c r="O375" s="618"/>
      <x:c r="P375" s="618"/>
      <x:c r="Q375" s="618"/>
    </x:row>
    <x:row r="376" spans="1:18" x14ac:dyDescent="0.3">
      <x:c r="A376" s="779" t="s">
        <x:v>161</x:v>
      </x:c>
      <x:c r="B376" s="780" t="s">
        <x:v>132</x:v>
      </x:c>
      <x:c r="C376" s="634" t="s">
        <x:v>70</x:v>
      </x:c>
      <x:c r="D376" s="634">
        <x:v>0</x:v>
      </x:c>
      <x:c r="E376" s="634">
        <x:v>0</x:v>
      </x:c>
      <x:c r="F376" s="634">
        <x:v>0</x:v>
      </x:c>
      <x:c r="G376" s="634">
        <x:v>0</x:v>
      </x:c>
      <x:c r="H376" s="634">
        <x:v>0</x:v>
      </x:c>
      <x:c r="I376" s="634">
        <x:v>0</x:v>
      </x:c>
      <x:c r="J376" s="634">
        <x:v>0</x:v>
      </x:c>
      <x:c r="K376" s="634">
        <x:v>0</x:v>
      </x:c>
      <x:c r="L376" s="634">
        <x:v>0</x:v>
      </x:c>
      <x:c r="M376" s="634">
        <x:v>0</x:v>
      </x:c>
      <x:c r="N376" s="634">
        <x:v>0</x:v>
      </x:c>
      <x:c r="O376" s="634">
        <x:v>0</x:v>
      </x:c>
      <x:c r="P376" s="634">
        <x:v>0</x:v>
      </x:c>
      <x:c r="Q376" s="634">
        <x:v>0</x:v>
      </x:c>
      <x:c r="R376" s="634">
        <x:v>0</x:v>
      </x:c>
    </x:row>
    <x:row r="377" spans="1:18" x14ac:dyDescent="0.3">
      <x:c r="A377" s="779"/>
      <x:c r="B377" s="780"/>
      <x:c r="C377" s="634" t="s">
        <x:v>73</x:v>
      </x:c>
      <x:c r="D377" s="634">
        <x:v>0</x:v>
      </x:c>
      <x:c r="E377" s="618"/>
      <x:c r="F377" s="618"/>
      <x:c r="G377" s="618"/>
      <x:c r="H377" s="618"/>
      <x:c r="I377" s="618"/>
      <x:c r="J377" s="618"/>
      <x:c r="K377" s="618"/>
      <x:c r="L377" s="618"/>
      <x:c r="M377" s="618"/>
      <x:c r="N377" s="618"/>
      <x:c r="O377" s="618"/>
      <x:c r="P377" s="618"/>
      <x:c r="Q377" s="618"/>
    </x:row>
    <x:row r="378" spans="1:18" s="635" customFormat="1" x14ac:dyDescent="0.3"/>
    <x:row r="381" spans="1:18" x14ac:dyDescent="0.3">
      <x:c r="D381" s="616">
        <x:f t="shared" ref="D381:R381" si="17">D73+D174+D211+D326+D361</x:f>
        <x:v>0</x:v>
      </x:c>
      <x:c r="E381" s="616">
        <x:f t="shared" si="17"/>
        <x:v>0</x:v>
      </x:c>
      <x:c r="F381" s="616">
        <x:f t="shared" si="17"/>
        <x:v>0</x:v>
      </x:c>
      <x:c r="G381" s="616">
        <x:f t="shared" si="17"/>
        <x:v>0</x:v>
      </x:c>
      <x:c r="H381" s="616">
        <x:f t="shared" si="17"/>
        <x:v>0</x:v>
      </x:c>
      <x:c r="I381" s="616">
        <x:f t="shared" si="17"/>
        <x:v>0</x:v>
      </x:c>
      <x:c r="J381" s="616">
        <x:f t="shared" si="17"/>
        <x:v>0</x:v>
      </x:c>
      <x:c r="K381" s="616">
        <x:f t="shared" si="17"/>
        <x:v>0</x:v>
      </x:c>
      <x:c r="L381" s="616">
        <x:f t="shared" si="17"/>
        <x:v>0</x:v>
      </x:c>
      <x:c r="M381" s="616">
        <x:f t="shared" si="17"/>
        <x:v>0</x:v>
      </x:c>
      <x:c r="N381" s="616">
        <x:f t="shared" si="17"/>
        <x:v>0</x:v>
      </x:c>
      <x:c r="O381" s="616">
        <x:f t="shared" si="17"/>
        <x:v>0</x:v>
      </x:c>
      <x:c r="P381" s="616">
        <x:f t="shared" si="17"/>
        <x:v>0</x:v>
      </x:c>
      <x:c r="Q381" s="616">
        <x:f t="shared" si="17"/>
        <x:v>0</x:v>
      </x:c>
      <x:c r="R381" s="616">
        <x:f t="shared" si="17"/>
        <x:v>0</x:v>
      </x:c>
    </x:row>
    <x:row r="382" spans="1:18" x14ac:dyDescent="0.3">
      <x:c r="D382" s="616">
        <x:f>D74+D175+D212+D327+D362</x:f>
        <x:v>0</x:v>
      </x:c>
    </x:row>
  </x:sheetData>
  <x:mergeCells count="60">
    <x:mergeCell ref="A82:A83"/>
    <x:mergeCell ref="B82:B83"/>
    <x:mergeCell ref="A183:A184"/>
    <x:mergeCell ref="B183:B184"/>
    <x:mergeCell ref="A220:A221"/>
    <x:mergeCell ref="B220:B221"/>
    <x:mergeCell ref="A85:A86"/>
    <x:mergeCell ref="B85:B86"/>
    <x:mergeCell ref="A88:A89"/>
    <x:mergeCell ref="B88:B89"/>
    <x:mergeCell ref="A174:A175"/>
    <x:mergeCell ref="B174:B175"/>
    <x:mergeCell ref="A177:A178"/>
    <x:mergeCell ref="B177:B178"/>
    <x:mergeCell ref="A180:A181"/>
    <x:mergeCell ref="B180:B181"/>
    <x:mergeCell ref="A73:A74"/>
    <x:mergeCell ref="B73:B74"/>
    <x:mergeCell ref="A76:A77"/>
    <x:mergeCell ref="B76:B77"/>
    <x:mergeCell ref="A79:A80"/>
    <x:mergeCell ref="B79:B80"/>
    <x:mergeCell ref="A186:A187"/>
    <x:mergeCell ref="B186:B187"/>
    <x:mergeCell ref="A189:A190"/>
    <x:mergeCell ref="B189:B190"/>
    <x:mergeCell ref="A211:A212"/>
    <x:mergeCell ref="B211:B212"/>
    <x:mergeCell ref="A214:A215"/>
    <x:mergeCell ref="B214:B215"/>
    <x:mergeCell ref="A217:A218"/>
    <x:mergeCell ref="B217:B218"/>
    <x:mergeCell ref="A223:A224"/>
    <x:mergeCell ref="B223:B224"/>
    <x:mergeCell ref="A226:A227"/>
    <x:mergeCell ref="B226:B227"/>
    <x:mergeCell ref="A326:A327"/>
    <x:mergeCell ref="B326:B327"/>
    <x:mergeCell ref="A329:A330"/>
    <x:mergeCell ref="B329:B330"/>
    <x:mergeCell ref="A332:A333"/>
    <x:mergeCell ref="B332:B333"/>
    <x:mergeCell ref="A338:A339"/>
    <x:mergeCell ref="B338:B339"/>
    <x:mergeCell ref="A335:A336"/>
    <x:mergeCell ref="B335:B336"/>
    <x:mergeCell ref="A341:A342"/>
    <x:mergeCell ref="B341:B342"/>
    <x:mergeCell ref="A361:A362"/>
    <x:mergeCell ref="B361:B362"/>
    <x:mergeCell ref="A376:A377"/>
    <x:mergeCell ref="B376:B377"/>
    <x:mergeCell ref="A364:A365"/>
    <x:mergeCell ref="B364:B365"/>
    <x:mergeCell ref="A367:A368"/>
    <x:mergeCell ref="B367:B368"/>
    <x:mergeCell ref="A373:A374"/>
    <x:mergeCell ref="B373:B374"/>
    <x:mergeCell ref="A370:A371"/>
    <x:mergeCell ref="B370:B371"/>
  </x:mergeCells>
  <x:conditionalFormatting sqref="D75:D89 D174:D190 D211:D227 D326:D342 D361:D377">
    <x:cfRule type="cellIs" dxfId="82" priority="1" operator="greaterThan">
      <x:formula>1</x:formula>
    </x:cfRule>
  </x:conditionalFormatting>
  <x:pageMargins left="0.7" right="0.7" top="0.75" bottom="0.75" header="0.3" footer="0.3"/>
  <x:pageSetup orientation="portrait" r:id="rId1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P63"/>
  <x:sheetViews>
    <x:sheetView zoomScale="90" zoomScaleNormal="90" workbookViewId="0"/>
  </x:sheetViews>
  <x:sheetFormatPr baseColWidth="10" defaultRowHeight="12.45" x14ac:dyDescent="0.3"/>
  <x:cols>
    <x:col min="2" max="2" width="24.3828125" bestFit="1" customWidth="1"/>
    <x:col min="3" max="3" width="17" style="144" bestFit="1" customWidth="1"/>
    <x:col min="4" max="4" width="23.15234375" bestFit="1" customWidth="1"/>
    <x:col min="5" max="5" width="15.84375" bestFit="1" customWidth="1"/>
    <x:col min="6" max="6" width="16.15234375" customWidth="1"/>
    <x:col min="7" max="7" width="15.3828125" bestFit="1" customWidth="1"/>
    <x:col min="8" max="8" width="15" bestFit="1" customWidth="1"/>
    <x:col min="9" max="9" width="15.15234375" bestFit="1" customWidth="1"/>
    <x:col min="10" max="10" width="17" bestFit="1" customWidth="1"/>
    <x:col min="11" max="12" width="15.53515625" bestFit="1" customWidth="1"/>
    <x:col min="13" max="13" width="15.15234375" bestFit="1" customWidth="1"/>
    <x:col min="14" max="14" width="17.84375" bestFit="1" customWidth="1"/>
    <x:col min="15" max="15" width="15.53515625" customWidth="1"/>
    <x:col min="16" max="16" width="20.3828125" bestFit="1" customWidth="1"/>
  </x:cols>
  <x:sheetData>
    <x:row r="1" spans="1:16" x14ac:dyDescent="0.3">
      <x:c r="B1" s="97" t="s">
        <x:v>74</x:v>
      </x:c>
    </x:row>
    <x:row r="2" spans="1:16" ht="12.75" customHeight="1" x14ac:dyDescent="0.3">
      <x:c r="C2" s="89" t="s">
        <x:v>70</x:v>
      </x:c>
      <x:c r="D2" s="89" t="s">
        <x:v>64</x:v>
      </x:c>
      <x:c r="E2" s="89" t="s">
        <x:v>65</x:v>
      </x:c>
      <x:c r="F2" s="219" t="s">
        <x:v>164</x:v>
      </x:c>
      <x:c r="G2" s="89" t="s">
        <x:v>69</x:v>
      </x:c>
      <x:c r="H2" s="89" t="s">
        <x:v>68</x:v>
      </x:c>
      <x:c r="I2" s="89" t="s">
        <x:v>83</x:v>
      </x:c>
      <x:c r="J2" s="89" t="s">
        <x:v>66</x:v>
      </x:c>
      <x:c r="K2" s="89" t="s">
        <x:v>63</x:v>
      </x:c>
      <x:c r="L2" s="89" t="s">
        <x:v>61</x:v>
      </x:c>
      <x:c r="M2" s="89" t="s">
        <x:v>62</x:v>
      </x:c>
      <x:c r="N2" s="89" t="s">
        <x:v>67</x:v>
      </x:c>
      <x:c r="O2" s="89" t="s">
        <x:v>84</x:v>
      </x:c>
    </x:row>
    <x:row r="3" spans="1:16" ht="12.75" customHeight="1" x14ac:dyDescent="0.3">
      <x:c r="B3" s="89" t="s">
        <x:v>72</x:v>
      </x:c>
      <x:c r="C3" s="90">
        <x:v>0</x:v>
      </x:c>
      <x:c r="D3" s="90">
        <x:v>0</x:v>
      </x:c>
      <x:c r="E3" s="90">
        <x:v>0</x:v>
      </x:c>
      <x:c r="F3" s="90">
        <x:v>0</x:v>
      </x:c>
      <x:c r="G3" s="90">
        <x:v>0</x:v>
      </x:c>
      <x:c r="H3" s="90">
        <x:v>0</x:v>
      </x:c>
      <x:c r="I3" s="90">
        <x:v>0</x:v>
      </x:c>
      <x:c r="J3" s="90">
        <x:v>0</x:v>
      </x:c>
      <x:c r="K3" s="90">
        <x:v>0</x:v>
      </x:c>
      <x:c r="L3" s="90">
        <x:v>0</x:v>
      </x:c>
      <x:c r="M3" s="90">
        <x:v>0</x:v>
      </x:c>
      <x:c r="N3" s="90">
        <x:v>0</x:v>
      </x:c>
      <x:c r="O3" s="90">
        <x:v>0</x:v>
      </x:c>
    </x:row>
    <x:row r="4" spans="1:16" ht="12.75" customHeight="1" x14ac:dyDescent="0.3">
      <x:c r="B4" t="s">
        <x:v>81</x:v>
      </x:c>
      <x:c r="C4" s="89">
        <x:v>0</x:v>
      </x:c>
      <x:c r="D4" s="89">
        <x:v>0</x:v>
      </x:c>
      <x:c r="E4" s="89">
        <x:v>0</x:v>
      </x:c>
      <x:c r="F4" s="384">
        <x:v>0</x:v>
      </x:c>
      <x:c r="G4" s="89">
        <x:v>0</x:v>
      </x:c>
      <x:c r="H4" s="89">
        <x:v>0</x:v>
      </x:c>
      <x:c r="I4" s="89">
        <x:v>0</x:v>
      </x:c>
      <x:c r="J4" s="89">
        <x:v>0</x:v>
      </x:c>
      <x:c r="K4" s="89">
        <x:v>0</x:v>
      </x:c>
      <x:c r="L4" s="89">
        <x:v>0</x:v>
      </x:c>
      <x:c r="M4" s="89">
        <x:v>0</x:v>
      </x:c>
      <x:c r="N4" s="89">
        <x:v>0</x:v>
      </x:c>
      <x:c r="O4" s="89">
        <x:v>0</x:v>
      </x:c>
    </x:row>
    <x:row r="5" spans="1:16" ht="12.75" customHeight="1" x14ac:dyDescent="0.3">
      <x:c r="A5" s="376" t="s">
        <x:v>78</x:v>
      </x:c>
      <x:c r="B5" s="376" t="s">
        <x:v>70</x:v>
      </x:c>
      <x:c r="C5" s="377">
        <x:v>0</x:v>
      </x:c>
      <x:c r="D5" s="377">
        <x:v>0</x:v>
      </x:c>
      <x:c r="E5" s="377">
        <x:v>0</x:v>
      </x:c>
      <x:c r="F5" s="377">
        <x:v>0</x:v>
      </x:c>
      <x:c r="G5" s="377">
        <x:v>0</x:v>
      </x:c>
      <x:c r="H5" s="377">
        <x:v>0</x:v>
      </x:c>
      <x:c r="I5" s="377">
        <x:v>0</x:v>
      </x:c>
      <x:c r="J5" s="377">
        <x:v>0</x:v>
      </x:c>
      <x:c r="K5" s="377">
        <x:v>0</x:v>
      </x:c>
      <x:c r="L5" s="377">
        <x:v>0</x:v>
      </x:c>
      <x:c r="M5" s="377">
        <x:v>0</x:v>
      </x:c>
      <x:c r="N5" s="377">
        <x:v>0</x:v>
      </x:c>
      <x:c r="O5" s="377">
        <x:v>0</x:v>
      </x:c>
      <x:c r="P5" s="378"/>
    </x:row>
    <x:row r="6" spans="1:16" ht="12.75" customHeight="1" x14ac:dyDescent="0.3">
      <x:c r="B6" s="89" t="s">
        <x:v>73</x:v>
      </x:c>
      <x:c r="C6" s="90">
        <x:v>0</x:v>
      </x:c>
      <x:c r="D6" s="90">
        <x:v>0</x:v>
      </x:c>
      <x:c r="E6" s="90">
        <x:v>0</x:v>
      </x:c>
      <x:c r="F6" s="90">
        <x:v>0</x:v>
      </x:c>
      <x:c r="G6" s="90">
        <x:v>0</x:v>
      </x:c>
      <x:c r="H6" s="90">
        <x:v>0</x:v>
      </x:c>
      <x:c r="I6" s="90">
        <x:v>0</x:v>
      </x:c>
      <x:c r="J6" s="90">
        <x:v>0</x:v>
      </x:c>
      <x:c r="K6" s="90">
        <x:v>0</x:v>
      </x:c>
      <x:c r="L6" s="90">
        <x:v>0</x:v>
      </x:c>
      <x:c r="M6" s="90">
        <x:v>0</x:v>
      </x:c>
      <x:c r="N6" s="90">
        <x:v>0</x:v>
      </x:c>
      <x:c r="O6" s="90">
        <x:v>0</x:v>
      </x:c>
    </x:row>
    <x:row r="7" spans="1:16" ht="12.75" customHeight="1" x14ac:dyDescent="0.3">
      <x:c r="A7" s="373" t="s">
        <x:v>79</x:v>
      </x:c>
      <x:c r="B7" s="373" t="s">
        <x:v>70</x:v>
      </x:c>
      <x:c r="C7" s="374">
        <x:v>0</x:v>
      </x:c>
      <x:c r="D7" s="374">
        <x:v>0</x:v>
      </x:c>
      <x:c r="E7" s="374">
        <x:v>0</x:v>
      </x:c>
      <x:c r="F7" s="374">
        <x:v>0</x:v>
      </x:c>
      <x:c r="G7" s="374">
        <x:v>0</x:v>
      </x:c>
      <x:c r="H7" s="374">
        <x:v>0</x:v>
      </x:c>
      <x:c r="I7" s="374">
        <x:v>0</x:v>
      </x:c>
      <x:c r="J7" s="374">
        <x:v>0</x:v>
      </x:c>
      <x:c r="K7" s="374">
        <x:v>0</x:v>
      </x:c>
      <x:c r="L7" s="374">
        <x:v>0</x:v>
      </x:c>
      <x:c r="M7" s="374">
        <x:v>0</x:v>
      </x:c>
      <x:c r="N7" s="374">
        <x:v>0</x:v>
      </x:c>
      <x:c r="O7" s="374">
        <x:v>0</x:v>
      </x:c>
      <x:c r="P7" s="372"/>
    </x:row>
    <x:row r="8" spans="1:16" ht="12.75" customHeight="1" x14ac:dyDescent="0.3">
      <x:c r="A8" s="89" t="s">
        <x:v>70</x:v>
      </x:c>
      <x:c r="C8" s="90">
        <x:v>0</x:v>
      </x:c>
      <x:c r="D8" s="90">
        <x:v>0</x:v>
      </x:c>
      <x:c r="E8" s="90">
        <x:v>0</x:v>
      </x:c>
      <x:c r="F8" s="90">
        <x:v>0</x:v>
      </x:c>
      <x:c r="G8" s="90">
        <x:v>0</x:v>
      </x:c>
      <x:c r="H8" s="90">
        <x:v>0</x:v>
      </x:c>
      <x:c r="I8" s="90">
        <x:v>0</x:v>
      </x:c>
      <x:c r="J8" s="90">
        <x:v>0</x:v>
      </x:c>
      <x:c r="K8" s="90">
        <x:v>0</x:v>
      </x:c>
      <x:c r="L8" s="90">
        <x:v>0</x:v>
      </x:c>
      <x:c r="M8" s="90">
        <x:v>0</x:v>
      </x:c>
      <x:c r="N8" s="90">
        <x:v>0</x:v>
      </x:c>
      <x:c r="O8" s="90">
        <x:v>0</x:v>
      </x:c>
    </x:row>
    <x:row r="9" spans="1:16" ht="12.75" customHeight="1" x14ac:dyDescent="0.3"/>
    <x:row r="10" spans="1:16" ht="12.75" customHeight="1" x14ac:dyDescent="0.3">
      <x:c r="B10" s="145" t="s">
        <x:v>70</x:v>
      </x:c>
      <x:c r="C10" s="99">
        <x:f>C8-I8</x:f>
        <x:v>0</x:v>
      </x:c>
      <x:c r="D10" s="99">
        <x:f>D5</x:f>
        <x:v>0</x:v>
      </x:c>
      <x:c r="E10" s="99">
        <x:f t="shared" ref="E10:P10" si="0">E5</x:f>
        <x:v>0</x:v>
      </x:c>
      <x:c r="F10" s="99">
        <x:f t="shared" si="0"/>
        <x:v>0</x:v>
      </x:c>
      <x:c r="G10" s="99">
        <x:f t="shared" si="0"/>
        <x:v>0</x:v>
      </x:c>
      <x:c r="H10" s="99">
        <x:f t="shared" si="0"/>
        <x:v>0</x:v>
      </x:c>
      <x:c r="I10" s="99">
        <x:f t="shared" si="0"/>
        <x:v>0</x:v>
      </x:c>
      <x:c r="J10" s="99">
        <x:f t="shared" si="0"/>
        <x:v>0</x:v>
      </x:c>
      <x:c r="K10" s="99">
        <x:f t="shared" si="0"/>
        <x:v>0</x:v>
      </x:c>
      <x:c r="L10" s="99">
        <x:f t="shared" si="0"/>
        <x:v>0</x:v>
      </x:c>
      <x:c r="M10" s="99">
        <x:f t="shared" si="0"/>
        <x:v>0</x:v>
      </x:c>
      <x:c r="N10" s="99">
        <x:f t="shared" si="0"/>
        <x:v>0</x:v>
      </x:c>
      <x:c r="O10" s="99">
        <x:f>O5</x:f>
        <x:v>0</x:v>
      </x:c>
      <x:c r="P10" s="99">
        <x:f t="shared" si="0"/>
        <x:v>0</x:v>
      </x:c>
    </x:row>
    <x:row r="11" spans="1:16" ht="12.75" customHeight="1" x14ac:dyDescent="0.3">
      <x:c r="B11" s="145" t="s">
        <x:v>73</x:v>
      </x:c>
      <x:c r="C11" s="99">
        <x:f>C7</x:f>
        <x:v>0</x:v>
      </x:c>
      <x:c r="D11" s="150"/>
    </x:row>
    <x:row r="12" spans="1:16" x14ac:dyDescent="0.3">
      <x:c r="D12" s="150"/>
    </x:row>
    <x:row r="13" spans="1:16" x14ac:dyDescent="0.3">
      <x:c r="A13" s="94"/>
      <x:c r="B13" s="94"/>
      <x:c r="C13" s="146"/>
      <x:c r="D13" s="94"/>
      <x:c r="E13" s="94"/>
      <x:c r="F13" s="94"/>
      <x:c r="G13" s="94"/>
      <x:c r="H13" s="94"/>
      <x:c r="I13" s="94"/>
      <x:c r="J13" s="94"/>
      <x:c r="K13" s="94"/>
      <x:c r="L13" s="94"/>
      <x:c r="M13" s="94"/>
      <x:c r="N13" s="94"/>
      <x:c r="O13" s="94"/>
      <x:c r="P13" s="94"/>
    </x:row>
    <x:row r="14" spans="1:16" x14ac:dyDescent="0.3">
      <x:c r="B14" s="97" t="s">
        <x:v>75</x:v>
      </x:c>
    </x:row>
    <x:row r="15" spans="1:16" ht="12.75" customHeight="1" x14ac:dyDescent="0.3">
      <x:c r="C15" s="89" t="s">
        <x:v>70</x:v>
      </x:c>
      <x:c r="D15" s="89" t="s">
        <x:v>64</x:v>
      </x:c>
      <x:c r="E15" s="89" t="s">
        <x:v>65</x:v>
      </x:c>
      <x:c r="F15" s="219" t="s">
        <x:v>164</x:v>
      </x:c>
      <x:c r="G15" s="89" t="s">
        <x:v>69</x:v>
      </x:c>
      <x:c r="H15" s="89" t="s">
        <x:v>68</x:v>
      </x:c>
      <x:c r="I15" s="89" t="s">
        <x:v>83</x:v>
      </x:c>
      <x:c r="J15" s="89" t="s">
        <x:v>66</x:v>
      </x:c>
      <x:c r="K15" s="89" t="s">
        <x:v>63</x:v>
      </x:c>
      <x:c r="L15" s="89" t="s">
        <x:v>61</x:v>
      </x:c>
      <x:c r="M15" s="89" t="s">
        <x:v>62</x:v>
      </x:c>
      <x:c r="N15" s="89" t="s">
        <x:v>67</x:v>
      </x:c>
      <x:c r="O15" s="89" t="s">
        <x:v>84</x:v>
      </x:c>
    </x:row>
    <x:row r="16" spans="1:16" ht="12.75" customHeight="1" x14ac:dyDescent="0.3">
      <x:c r="B16" t="s">
        <x:v>72</x:v>
      </x:c>
      <x:c r="C16" s="89">
        <x:v>0</x:v>
      </x:c>
      <x:c r="D16" s="89">
        <x:v>0</x:v>
      </x:c>
      <x:c r="E16" s="89">
        <x:v>0</x:v>
      </x:c>
      <x:c r="F16" s="384">
        <x:v>0</x:v>
      </x:c>
      <x:c r="G16" s="89">
        <x:v>0</x:v>
      </x:c>
      <x:c r="H16" s="89">
        <x:v>0</x:v>
      </x:c>
      <x:c r="I16" s="89">
        <x:v>0</x:v>
      </x:c>
      <x:c r="J16" s="89">
        <x:v>0</x:v>
      </x:c>
      <x:c r="K16" s="89">
        <x:v>0</x:v>
      </x:c>
      <x:c r="L16" s="89">
        <x:v>0</x:v>
      </x:c>
      <x:c r="M16" s="89">
        <x:v>0</x:v>
      </x:c>
      <x:c r="N16" s="89">
        <x:v>0</x:v>
      </x:c>
      <x:c r="O16" s="89">
        <x:v>0</x:v>
      </x:c>
    </x:row>
    <x:row r="17" spans="1:16" ht="12.75" customHeight="1" x14ac:dyDescent="0.3">
      <x:c r="B17" t="s">
        <x:v>81</x:v>
      </x:c>
      <x:c r="C17" s="89">
        <x:v>0</x:v>
      </x:c>
      <x:c r="D17" s="89">
        <x:v>0</x:v>
      </x:c>
      <x:c r="E17" s="89">
        <x:v>0</x:v>
      </x:c>
      <x:c r="F17" s="384">
        <x:v>0</x:v>
      </x:c>
      <x:c r="G17" s="89">
        <x:v>0</x:v>
      </x:c>
      <x:c r="H17" s="89">
        <x:v>0</x:v>
      </x:c>
      <x:c r="I17" s="89">
        <x:v>0</x:v>
      </x:c>
      <x:c r="J17" s="89">
        <x:v>0</x:v>
      </x:c>
      <x:c r="K17" s="89">
        <x:v>0</x:v>
      </x:c>
      <x:c r="L17" s="89">
        <x:v>0</x:v>
      </x:c>
      <x:c r="M17" s="89">
        <x:v>0</x:v>
      </x:c>
      <x:c r="N17" s="89">
        <x:v>0</x:v>
      </x:c>
      <x:c r="O17" s="89">
        <x:v>0</x:v>
      </x:c>
    </x:row>
    <x:row r="18" spans="1:16" ht="12.75" customHeight="1" x14ac:dyDescent="0.3">
      <x:c r="A18" s="376" t="s">
        <x:v>78</x:v>
      </x:c>
      <x:c r="B18" s="376" t="s">
        <x:v>70</x:v>
      </x:c>
      <x:c r="C18" s="377">
        <x:v>0</x:v>
      </x:c>
      <x:c r="D18" s="377">
        <x:v>0</x:v>
      </x:c>
      <x:c r="E18" s="377">
        <x:v>0</x:v>
      </x:c>
      <x:c r="F18" s="377">
        <x:v>0</x:v>
      </x:c>
      <x:c r="G18" s="377">
        <x:v>0</x:v>
      </x:c>
      <x:c r="H18" s="377">
        <x:v>0</x:v>
      </x:c>
      <x:c r="I18" s="377">
        <x:v>0</x:v>
      </x:c>
      <x:c r="J18" s="377">
        <x:v>0</x:v>
      </x:c>
      <x:c r="K18" s="377">
        <x:v>0</x:v>
      </x:c>
      <x:c r="L18" s="377">
        <x:v>0</x:v>
      </x:c>
      <x:c r="M18" s="377">
        <x:v>0</x:v>
      </x:c>
      <x:c r="N18" s="377">
        <x:v>0</x:v>
      </x:c>
      <x:c r="O18" s="377">
        <x:v>0</x:v>
      </x:c>
      <x:c r="P18" s="378"/>
    </x:row>
    <x:row r="19" spans="1:16" ht="12.75" customHeight="1" x14ac:dyDescent="0.3">
      <x:c r="B19" s="89" t="s">
        <x:v>73</x:v>
      </x:c>
      <x:c r="C19" s="90">
        <x:v>0</x:v>
      </x:c>
      <x:c r="D19" s="90">
        <x:v>0</x:v>
      </x:c>
      <x:c r="E19" s="90">
        <x:v>0</x:v>
      </x:c>
      <x:c r="F19" s="90">
        <x:v>0</x:v>
      </x:c>
      <x:c r="G19" s="90">
        <x:v>0</x:v>
      </x:c>
      <x:c r="H19" s="90">
        <x:v>0</x:v>
      </x:c>
      <x:c r="I19" s="90">
        <x:v>0</x:v>
      </x:c>
      <x:c r="J19" s="90">
        <x:v>0</x:v>
      </x:c>
      <x:c r="K19" s="90">
        <x:v>0</x:v>
      </x:c>
      <x:c r="L19" s="90">
        <x:v>0</x:v>
      </x:c>
      <x:c r="M19" s="90">
        <x:v>0</x:v>
      </x:c>
      <x:c r="N19" s="90">
        <x:v>0</x:v>
      </x:c>
      <x:c r="O19" s="90">
        <x:v>0</x:v>
      </x:c>
    </x:row>
    <x:row r="20" spans="1:16" ht="12.75" customHeight="1" x14ac:dyDescent="0.3">
      <x:c r="A20" s="373" t="s">
        <x:v>79</x:v>
      </x:c>
      <x:c r="B20" s="373" t="s">
        <x:v>70</x:v>
      </x:c>
      <x:c r="C20" s="374">
        <x:v>0</x:v>
      </x:c>
      <x:c r="D20" s="374">
        <x:v>0</x:v>
      </x:c>
      <x:c r="E20" s="374">
        <x:v>0</x:v>
      </x:c>
      <x:c r="F20" s="374">
        <x:v>0</x:v>
      </x:c>
      <x:c r="G20" s="374">
        <x:v>0</x:v>
      </x:c>
      <x:c r="H20" s="374">
        <x:v>0</x:v>
      </x:c>
      <x:c r="I20" s="374">
        <x:v>0</x:v>
      </x:c>
      <x:c r="J20" s="374">
        <x:v>0</x:v>
      </x:c>
      <x:c r="K20" s="374">
        <x:v>0</x:v>
      </x:c>
      <x:c r="L20" s="374">
        <x:v>0</x:v>
      </x:c>
      <x:c r="M20" s="374">
        <x:v>0</x:v>
      </x:c>
      <x:c r="N20" s="374">
        <x:v>0</x:v>
      </x:c>
      <x:c r="O20" s="374">
        <x:v>0</x:v>
      </x:c>
      <x:c r="P20" s="372"/>
    </x:row>
    <x:row r="21" spans="1:16" ht="12.75" customHeight="1" x14ac:dyDescent="0.3">
      <x:c r="A21" s="89" t="s">
        <x:v>70</x:v>
      </x:c>
      <x:c r="C21" s="90">
        <x:v>0</x:v>
      </x:c>
      <x:c r="D21" s="90">
        <x:v>0</x:v>
      </x:c>
      <x:c r="E21" s="90">
        <x:v>0</x:v>
      </x:c>
      <x:c r="F21" s="90">
        <x:v>0</x:v>
      </x:c>
      <x:c r="G21" s="90">
        <x:v>0</x:v>
      </x:c>
      <x:c r="H21" s="90">
        <x:v>0</x:v>
      </x:c>
      <x:c r="I21" s="90">
        <x:v>0</x:v>
      </x:c>
      <x:c r="J21" s="90">
        <x:v>0</x:v>
      </x:c>
      <x:c r="K21" s="90">
        <x:v>0</x:v>
      </x:c>
      <x:c r="L21" s="90">
        <x:v>0</x:v>
      </x:c>
      <x:c r="M21" s="90">
        <x:v>0</x:v>
      </x:c>
      <x:c r="N21" s="90">
        <x:v>0</x:v>
      </x:c>
      <x:c r="O21" s="90">
        <x:v>0</x:v>
      </x:c>
    </x:row>
    <x:row r="22" spans="1:16" ht="12.75" customHeight="1" x14ac:dyDescent="0.3">
      <x:c r="A22" s="89"/>
      <x:c r="C22" s="90"/>
      <x:c r="D22" s="90"/>
      <x:c r="E22" s="90"/>
      <x:c r="F22" s="90"/>
      <x:c r="G22" s="90"/>
      <x:c r="H22" s="90"/>
      <x:c r="I22" s="90"/>
      <x:c r="J22" s="90"/>
      <x:c r="K22" s="90"/>
      <x:c r="L22" s="90"/>
      <x:c r="M22" s="90"/>
      <x:c r="N22" s="90"/>
      <x:c r="O22" s="90"/>
      <x:c r="P22" s="90"/>
    </x:row>
    <x:row r="23" spans="1:16" ht="12.75" customHeight="1" x14ac:dyDescent="0.3">
      <x:c r="B23" s="145" t="s">
        <x:v>70</x:v>
      </x:c>
      <x:c r="C23" s="99">
        <x:f>C21-I21</x:f>
        <x:v>0</x:v>
      </x:c>
      <x:c r="D23" s="99">
        <x:f>D18</x:f>
        <x:v>0</x:v>
      </x:c>
      <x:c r="E23" s="99">
        <x:f t="shared" ref="E23:P23" si="1">E18</x:f>
        <x:v>0</x:v>
      </x:c>
      <x:c r="F23" s="99">
        <x:f t="shared" si="1"/>
        <x:v>0</x:v>
      </x:c>
      <x:c r="G23" s="99">
        <x:f t="shared" si="1"/>
        <x:v>0</x:v>
      </x:c>
      <x:c r="H23" s="99">
        <x:f t="shared" si="1"/>
        <x:v>0</x:v>
      </x:c>
      <x:c r="I23" s="99">
        <x:f t="shared" si="1"/>
        <x:v>0</x:v>
      </x:c>
      <x:c r="J23" s="99">
        <x:f t="shared" si="1"/>
        <x:v>0</x:v>
      </x:c>
      <x:c r="K23" s="99">
        <x:f t="shared" si="1"/>
        <x:v>0</x:v>
      </x:c>
      <x:c r="L23" s="99">
        <x:f t="shared" si="1"/>
        <x:v>0</x:v>
      </x:c>
      <x:c r="M23" s="99">
        <x:f t="shared" si="1"/>
        <x:v>0</x:v>
      </x:c>
      <x:c r="N23" s="99">
        <x:f t="shared" si="1"/>
        <x:v>0</x:v>
      </x:c>
      <x:c r="O23" s="99">
        <x:f>O18</x:f>
        <x:v>0</x:v>
      </x:c>
      <x:c r="P23" s="99">
        <x:f t="shared" si="1"/>
        <x:v>0</x:v>
      </x:c>
    </x:row>
    <x:row r="24" spans="1:16" ht="12.75" customHeight="1" x14ac:dyDescent="0.3">
      <x:c r="B24" s="145" t="s">
        <x:v>73</x:v>
      </x:c>
      <x:c r="C24" s="99">
        <x:f>C20</x:f>
        <x:v>0</x:v>
      </x:c>
    </x:row>
    <x:row r="26" spans="1:16" x14ac:dyDescent="0.3">
      <x:c r="A26" s="94"/>
      <x:c r="B26" s="94"/>
      <x:c r="C26" s="146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  <x:c r="P26" s="94"/>
    </x:row>
    <x:row r="27" spans="1:16" x14ac:dyDescent="0.3">
      <x:c r="B27" s="97" t="s">
        <x:v>76</x:v>
      </x:c>
    </x:row>
    <x:row r="28" spans="1:16" ht="12.75" customHeight="1" x14ac:dyDescent="0.3">
      <x:c r="C28" s="89" t="s">
        <x:v>70</x:v>
      </x:c>
      <x:c r="D28" s="89" t="s">
        <x:v>64</x:v>
      </x:c>
      <x:c r="E28" s="89" t="s">
        <x:v>65</x:v>
      </x:c>
      <x:c r="F28" s="219" t="s">
        <x:v>164</x:v>
      </x:c>
      <x:c r="G28" s="89" t="s">
        <x:v>69</x:v>
      </x:c>
      <x:c r="H28" s="89" t="s">
        <x:v>68</x:v>
      </x:c>
      <x:c r="I28" s="89" t="s">
        <x:v>83</x:v>
      </x:c>
      <x:c r="J28" s="89" t="s">
        <x:v>66</x:v>
      </x:c>
      <x:c r="K28" s="89" t="s">
        <x:v>63</x:v>
      </x:c>
      <x:c r="L28" s="89" t="s">
        <x:v>61</x:v>
      </x:c>
      <x:c r="M28" s="89" t="s">
        <x:v>62</x:v>
      </x:c>
      <x:c r="N28" s="89" t="s">
        <x:v>67</x:v>
      </x:c>
      <x:c r="O28" s="89" t="s">
        <x:v>84</x:v>
      </x:c>
    </x:row>
    <x:row r="29" spans="1:16" ht="12.75" customHeight="1" x14ac:dyDescent="0.3">
      <x:c r="B29" s="89" t="s">
        <x:v>72</x:v>
      </x:c>
      <x:c r="C29" s="90">
        <x:v>0</x:v>
      </x:c>
      <x:c r="D29" s="90">
        <x:v>0</x:v>
      </x:c>
      <x:c r="E29" s="90">
        <x:v>0</x:v>
      </x:c>
      <x:c r="F29" s="90">
        <x:v>0</x:v>
      </x:c>
      <x:c r="G29" s="90">
        <x:v>0</x:v>
      </x:c>
      <x:c r="H29" s="90">
        <x:v>0</x:v>
      </x:c>
      <x:c r="I29" s="90">
        <x:v>0</x:v>
      </x:c>
      <x:c r="J29" s="90">
        <x:v>0</x:v>
      </x:c>
      <x:c r="K29" s="90">
        <x:v>0</x:v>
      </x:c>
      <x:c r="L29" s="90">
        <x:v>0</x:v>
      </x:c>
      <x:c r="M29" s="90">
        <x:v>0</x:v>
      </x:c>
      <x:c r="N29" s="90">
        <x:v>0</x:v>
      </x:c>
      <x:c r="O29" s="90">
        <x:v>0</x:v>
      </x:c>
    </x:row>
    <x:row r="30" spans="1:16" ht="12.75" customHeight="1" x14ac:dyDescent="0.3">
      <x:c r="B30" t="s">
        <x:v>81</x:v>
      </x:c>
      <x:c r="C30" s="89">
        <x:v>0</x:v>
      </x:c>
      <x:c r="D30" s="89">
        <x:v>0</x:v>
      </x:c>
      <x:c r="E30" s="89">
        <x:v>0</x:v>
      </x:c>
      <x:c r="F30" s="384">
        <x:v>0</x:v>
      </x:c>
      <x:c r="G30" s="89">
        <x:v>0</x:v>
      </x:c>
      <x:c r="H30" s="89">
        <x:v>0</x:v>
      </x:c>
      <x:c r="I30" s="89">
        <x:v>0</x:v>
      </x:c>
      <x:c r="J30" s="89">
        <x:v>0</x:v>
      </x:c>
      <x:c r="K30" s="89">
        <x:v>0</x:v>
      </x:c>
      <x:c r="L30" s="89">
        <x:v>0</x:v>
      </x:c>
      <x:c r="M30" s="89">
        <x:v>0</x:v>
      </x:c>
      <x:c r="N30" s="89">
        <x:v>0</x:v>
      </x:c>
      <x:c r="O30" s="89">
        <x:v>0</x:v>
      </x:c>
    </x:row>
    <x:row r="31" spans="1:16" ht="12.75" customHeight="1" x14ac:dyDescent="0.3">
      <x:c r="A31" s="376" t="s">
        <x:v>78</x:v>
      </x:c>
      <x:c r="B31" s="376" t="s">
        <x:v>70</x:v>
      </x:c>
      <x:c r="C31" s="377">
        <x:v>0</x:v>
      </x:c>
      <x:c r="D31" s="377">
        <x:v>0</x:v>
      </x:c>
      <x:c r="E31" s="377">
        <x:v>0</x:v>
      </x:c>
      <x:c r="F31" s="377">
        <x:v>0</x:v>
      </x:c>
      <x:c r="G31" s="377">
        <x:v>0</x:v>
      </x:c>
      <x:c r="H31" s="377">
        <x:v>0</x:v>
      </x:c>
      <x:c r="I31" s="377">
        <x:v>0</x:v>
      </x:c>
      <x:c r="J31" s="377">
        <x:v>0</x:v>
      </x:c>
      <x:c r="K31" s="377">
        <x:v>0</x:v>
      </x:c>
      <x:c r="L31" s="377">
        <x:v>0</x:v>
      </x:c>
      <x:c r="M31" s="377">
        <x:v>0</x:v>
      </x:c>
      <x:c r="N31" s="377">
        <x:v>0</x:v>
      </x:c>
      <x:c r="O31" s="377">
        <x:v>0</x:v>
      </x:c>
      <x:c r="P31" s="378"/>
    </x:row>
    <x:row r="32" spans="1:16" ht="12.75" customHeight="1" x14ac:dyDescent="0.3">
      <x:c r="B32" s="89" t="s">
        <x:v>73</x:v>
      </x:c>
      <x:c r="C32" s="90">
        <x:v>0</x:v>
      </x:c>
      <x:c r="D32" s="90">
        <x:v>0</x:v>
      </x:c>
      <x:c r="E32" s="90">
        <x:v>0</x:v>
      </x:c>
      <x:c r="F32" s="90">
        <x:v>0</x:v>
      </x:c>
      <x:c r="G32" s="90">
        <x:v>0</x:v>
      </x:c>
      <x:c r="H32" s="90">
        <x:v>0</x:v>
      </x:c>
      <x:c r="I32" s="90">
        <x:v>0</x:v>
      </x:c>
      <x:c r="J32" s="90">
        <x:v>0</x:v>
      </x:c>
      <x:c r="K32" s="90">
        <x:v>0</x:v>
      </x:c>
      <x:c r="L32" s="90">
        <x:v>0</x:v>
      </x:c>
      <x:c r="M32" s="90">
        <x:v>0</x:v>
      </x:c>
      <x:c r="N32" s="90">
        <x:v>0</x:v>
      </x:c>
      <x:c r="O32" s="90">
        <x:v>0</x:v>
      </x:c>
    </x:row>
    <x:row r="33" spans="1:16" ht="12.75" customHeight="1" x14ac:dyDescent="0.3">
      <x:c r="A33" s="373" t="s">
        <x:v>79</x:v>
      </x:c>
      <x:c r="B33" s="373" t="s">
        <x:v>70</x:v>
      </x:c>
      <x:c r="C33" s="374">
        <x:v>0</x:v>
      </x:c>
      <x:c r="D33" s="374">
        <x:v>0</x:v>
      </x:c>
      <x:c r="E33" s="374">
        <x:v>0</x:v>
      </x:c>
      <x:c r="F33" s="374">
        <x:v>0</x:v>
      </x:c>
      <x:c r="G33" s="374">
        <x:v>0</x:v>
      </x:c>
      <x:c r="H33" s="374">
        <x:v>0</x:v>
      </x:c>
      <x:c r="I33" s="374">
        <x:v>0</x:v>
      </x:c>
      <x:c r="J33" s="374">
        <x:v>0</x:v>
      </x:c>
      <x:c r="K33" s="374">
        <x:v>0</x:v>
      </x:c>
      <x:c r="L33" s="374">
        <x:v>0</x:v>
      </x:c>
      <x:c r="M33" s="374">
        <x:v>0</x:v>
      </x:c>
      <x:c r="N33" s="374">
        <x:v>0</x:v>
      </x:c>
      <x:c r="O33" s="374">
        <x:v>0</x:v>
      </x:c>
      <x:c r="P33" s="372"/>
    </x:row>
    <x:row r="34" spans="1:16" ht="12.75" customHeight="1" x14ac:dyDescent="0.3">
      <x:c r="A34" s="89" t="s">
        <x:v>70</x:v>
      </x:c>
      <x:c r="C34" s="90">
        <x:v>0</x:v>
      </x:c>
      <x:c r="D34" s="90">
        <x:v>0</x:v>
      </x:c>
      <x:c r="E34" s="90">
        <x:v>0</x:v>
      </x:c>
      <x:c r="F34" s="90">
        <x:v>0</x:v>
      </x:c>
      <x:c r="G34" s="90">
        <x:v>0</x:v>
      </x:c>
      <x:c r="H34" s="90">
        <x:v>0</x:v>
      </x:c>
      <x:c r="I34" s="90">
        <x:v>0</x:v>
      </x:c>
      <x:c r="J34" s="90">
        <x:v>0</x:v>
      </x:c>
      <x:c r="K34" s="90">
        <x:v>0</x:v>
      </x:c>
      <x:c r="L34" s="90">
        <x:v>0</x:v>
      </x:c>
      <x:c r="M34" s="90">
        <x:v>0</x:v>
      </x:c>
      <x:c r="N34" s="90">
        <x:v>0</x:v>
      </x:c>
      <x:c r="O34" s="90">
        <x:v>0</x:v>
      </x:c>
    </x:row>
    <x:row r="35" spans="1:16" ht="12.75" customHeight="1" x14ac:dyDescent="0.3">
      <x:c r="A35" s="89"/>
      <x:c r="C35" s="90"/>
      <x:c r="D35" s="90"/>
      <x:c r="E35" s="90"/>
      <x:c r="F35" s="90"/>
      <x:c r="G35" s="90"/>
      <x:c r="H35" s="90"/>
      <x:c r="I35" s="90"/>
      <x:c r="J35" s="90"/>
      <x:c r="L35" s="90"/>
      <x:c r="M35" s="90"/>
      <x:c r="N35" s="90"/>
      <x:c r="O35" s="90"/>
      <x:c r="P35" s="90"/>
    </x:row>
    <x:row r="36" spans="1:16" ht="12.75" customHeight="1" x14ac:dyDescent="0.3">
      <x:c r="B36" s="145" t="s">
        <x:v>70</x:v>
      </x:c>
      <x:c r="C36" s="99">
        <x:f>C34-I34</x:f>
        <x:v>0</x:v>
      </x:c>
      <x:c r="D36" s="99">
        <x:f>D31</x:f>
        <x:v>0</x:v>
      </x:c>
      <x:c r="E36" s="99">
        <x:f t="shared" ref="E36:P36" si="2">E31</x:f>
        <x:v>0</x:v>
      </x:c>
      <x:c r="F36" s="99">
        <x:f t="shared" si="2"/>
        <x:v>0</x:v>
      </x:c>
      <x:c r="G36" s="99">
        <x:f t="shared" si="2"/>
        <x:v>0</x:v>
      </x:c>
      <x:c r="H36" s="99">
        <x:f t="shared" si="2"/>
        <x:v>0</x:v>
      </x:c>
      <x:c r="I36" s="99">
        <x:f t="shared" si="2"/>
        <x:v>0</x:v>
      </x:c>
      <x:c r="J36" s="99">
        <x:f t="shared" si="2"/>
        <x:v>0</x:v>
      </x:c>
      <x:c r="K36" s="99">
        <x:f t="shared" si="2"/>
        <x:v>0</x:v>
      </x:c>
      <x:c r="L36" s="99">
        <x:f t="shared" si="2"/>
        <x:v>0</x:v>
      </x:c>
      <x:c r="M36" s="99">
        <x:f t="shared" si="2"/>
        <x:v>0</x:v>
      </x:c>
      <x:c r="N36" s="99">
        <x:f t="shared" si="2"/>
        <x:v>0</x:v>
      </x:c>
      <x:c r="O36" s="99">
        <x:f>O31</x:f>
        <x:v>0</x:v>
      </x:c>
      <x:c r="P36" s="99">
        <x:f t="shared" si="2"/>
        <x:v>0</x:v>
      </x:c>
    </x:row>
    <x:row r="37" spans="1:16" ht="12.75" customHeight="1" x14ac:dyDescent="0.3">
      <x:c r="B37" s="145" t="s">
        <x:v>73</x:v>
      </x:c>
      <x:c r="C37" s="99">
        <x:f>C33</x:f>
        <x:v>0</x:v>
      </x:c>
    </x:row>
    <x:row r="39" spans="1:16" x14ac:dyDescent="0.3">
      <x:c r="A39" s="94"/>
      <x:c r="B39" s="94"/>
      <x:c r="C39" s="146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  <x:c r="P39" s="94"/>
    </x:row>
    <x:row r="40" spans="1:16" x14ac:dyDescent="0.3">
      <x:c r="B40" s="97" t="s">
        <x:v>88</x:v>
      </x:c>
    </x:row>
    <x:row r="41" spans="1:16" ht="12.75" customHeight="1" x14ac:dyDescent="0.3">
      <x:c r="C41" s="89" t="s">
        <x:v>70</x:v>
      </x:c>
      <x:c r="D41" s="89" t="s">
        <x:v>64</x:v>
      </x:c>
      <x:c r="E41" s="89" t="s">
        <x:v>65</x:v>
      </x:c>
      <x:c r="F41" s="219" t="s">
        <x:v>164</x:v>
      </x:c>
      <x:c r="G41" s="89" t="s">
        <x:v>69</x:v>
      </x:c>
      <x:c r="H41" s="89" t="s">
        <x:v>68</x:v>
      </x:c>
      <x:c r="I41" s="89" t="s">
        <x:v>83</x:v>
      </x:c>
      <x:c r="J41" s="89" t="s">
        <x:v>66</x:v>
      </x:c>
      <x:c r="K41" s="89" t="s">
        <x:v>63</x:v>
      </x:c>
      <x:c r="L41" s="89" t="s">
        <x:v>61</x:v>
      </x:c>
      <x:c r="M41" s="89" t="s">
        <x:v>62</x:v>
      </x:c>
      <x:c r="N41" s="89" t="s">
        <x:v>67</x:v>
      </x:c>
      <x:c r="O41" s="89" t="s">
        <x:v>84</x:v>
      </x:c>
    </x:row>
    <x:row r="42" spans="1:16" ht="12.75" customHeight="1" x14ac:dyDescent="0.3">
      <x:c r="B42" t="s">
        <x:v>72</x:v>
      </x:c>
      <x:c r="C42" s="89">
        <x:v>0</x:v>
      </x:c>
      <x:c r="D42" s="89">
        <x:v>0</x:v>
      </x:c>
      <x:c r="E42" s="89">
        <x:v>0</x:v>
      </x:c>
      <x:c r="F42" s="384">
        <x:v>0</x:v>
      </x:c>
      <x:c r="G42" s="89">
        <x:v>0</x:v>
      </x:c>
      <x:c r="H42" s="89">
        <x:v>0</x:v>
      </x:c>
      <x:c r="I42" s="89">
        <x:v>0</x:v>
      </x:c>
      <x:c r="J42" s="89">
        <x:v>0</x:v>
      </x:c>
      <x:c r="K42" s="89">
        <x:v>0</x:v>
      </x:c>
      <x:c r="L42" s="89">
        <x:v>0</x:v>
      </x:c>
      <x:c r="M42" s="89">
        <x:v>0</x:v>
      </x:c>
      <x:c r="N42" s="89">
        <x:v>0</x:v>
      </x:c>
      <x:c r="O42" s="89">
        <x:v>0</x:v>
      </x:c>
    </x:row>
    <x:row r="43" spans="1:16" ht="12.75" customHeight="1" x14ac:dyDescent="0.3">
      <x:c r="B43" s="89" t="s">
        <x:v>81</x:v>
      </x:c>
      <x:c r="C43" s="90">
        <x:v>0</x:v>
      </x:c>
      <x:c r="D43" s="90">
        <x:v>0</x:v>
      </x:c>
      <x:c r="E43" s="90">
        <x:v>0</x:v>
      </x:c>
      <x:c r="F43" s="90">
        <x:v>0</x:v>
      </x:c>
      <x:c r="G43" s="90">
        <x:v>0</x:v>
      </x:c>
      <x:c r="H43" s="90">
        <x:v>0</x:v>
      </x:c>
      <x:c r="I43" s="90">
        <x:v>0</x:v>
      </x:c>
      <x:c r="J43" s="90">
        <x:v>0</x:v>
      </x:c>
      <x:c r="K43" s="90">
        <x:v>0</x:v>
      </x:c>
      <x:c r="L43" s="90">
        <x:v>0</x:v>
      </x:c>
      <x:c r="M43" s="90">
        <x:v>0</x:v>
      </x:c>
      <x:c r="N43" s="90">
        <x:v>0</x:v>
      </x:c>
      <x:c r="O43" s="90">
        <x:v>0</x:v>
      </x:c>
    </x:row>
    <x:row r="44" spans="1:16" ht="12.75" customHeight="1" x14ac:dyDescent="0.3">
      <x:c r="A44" s="376" t="s">
        <x:v>78</x:v>
      </x:c>
      <x:c r="B44" s="376" t="s">
        <x:v>70</x:v>
      </x:c>
      <x:c r="C44" s="377">
        <x:v>0</x:v>
      </x:c>
      <x:c r="D44" s="377">
        <x:v>0</x:v>
      </x:c>
      <x:c r="E44" s="377">
        <x:v>0</x:v>
      </x:c>
      <x:c r="F44" s="377">
        <x:v>0</x:v>
      </x:c>
      <x:c r="G44" s="377">
        <x:v>0</x:v>
      </x:c>
      <x:c r="H44" s="377">
        <x:v>0</x:v>
      </x:c>
      <x:c r="I44" s="377">
        <x:v>0</x:v>
      </x:c>
      <x:c r="J44" s="377">
        <x:v>0</x:v>
      </x:c>
      <x:c r="K44" s="377">
        <x:v>0</x:v>
      </x:c>
      <x:c r="L44" s="377">
        <x:v>0</x:v>
      </x:c>
      <x:c r="M44" s="377">
        <x:v>0</x:v>
      </x:c>
      <x:c r="N44" s="377">
        <x:v>0</x:v>
      </x:c>
      <x:c r="O44" s="377">
        <x:v>0</x:v>
      </x:c>
      <x:c r="P44" s="378"/>
    </x:row>
    <x:row r="45" spans="1:16" ht="12.75" customHeight="1" x14ac:dyDescent="0.3">
      <x:c r="B45" s="89" t="s">
        <x:v>73</x:v>
      </x:c>
      <x:c r="C45" s="90">
        <x:v>0</x:v>
      </x:c>
      <x:c r="D45" s="90">
        <x:v>0</x:v>
      </x:c>
      <x:c r="E45" s="90">
        <x:v>0</x:v>
      </x:c>
      <x:c r="F45" s="90">
        <x:v>0</x:v>
      </x:c>
      <x:c r="G45" s="90">
        <x:v>0</x:v>
      </x:c>
      <x:c r="H45" s="90">
        <x:v>0</x:v>
      </x:c>
      <x:c r="I45" s="90">
        <x:v>0</x:v>
      </x:c>
      <x:c r="J45" s="90">
        <x:v>0</x:v>
      </x:c>
      <x:c r="K45" s="90">
        <x:v>0</x:v>
      </x:c>
      <x:c r="L45" s="90">
        <x:v>0</x:v>
      </x:c>
      <x:c r="M45" s="90">
        <x:v>0</x:v>
      </x:c>
      <x:c r="N45" s="90">
        <x:v>0</x:v>
      </x:c>
      <x:c r="O45" s="90">
        <x:v>0</x:v>
      </x:c>
    </x:row>
    <x:row r="46" spans="1:16" ht="12.75" customHeight="1" x14ac:dyDescent="0.3">
      <x:c r="A46" s="373" t="s">
        <x:v>79</x:v>
      </x:c>
      <x:c r="B46" s="373" t="s">
        <x:v>70</x:v>
      </x:c>
      <x:c r="C46" s="374">
        <x:v>0</x:v>
      </x:c>
      <x:c r="D46" s="374">
        <x:v>0</x:v>
      </x:c>
      <x:c r="E46" s="374">
        <x:v>0</x:v>
      </x:c>
      <x:c r="F46" s="374">
        <x:v>0</x:v>
      </x:c>
      <x:c r="G46" s="374">
        <x:v>0</x:v>
      </x:c>
      <x:c r="H46" s="374">
        <x:v>0</x:v>
      </x:c>
      <x:c r="I46" s="374">
        <x:v>0</x:v>
      </x:c>
      <x:c r="J46" s="374">
        <x:v>0</x:v>
      </x:c>
      <x:c r="K46" s="374">
        <x:v>0</x:v>
      </x:c>
      <x:c r="L46" s="374">
        <x:v>0</x:v>
      </x:c>
      <x:c r="M46" s="374">
        <x:v>0</x:v>
      </x:c>
      <x:c r="N46" s="374">
        <x:v>0</x:v>
      </x:c>
      <x:c r="O46" s="374">
        <x:v>0</x:v>
      </x:c>
      <x:c r="P46" s="372"/>
    </x:row>
    <x:row r="47" spans="1:16" ht="12.75" customHeight="1" x14ac:dyDescent="0.3">
      <x:c r="A47" s="89" t="s">
        <x:v>70</x:v>
      </x:c>
      <x:c r="C47" s="90">
        <x:v>0</x:v>
      </x:c>
      <x:c r="D47" s="90">
        <x:v>0</x:v>
      </x:c>
      <x:c r="E47" s="90">
        <x:v>0</x:v>
      </x:c>
      <x:c r="F47" s="90">
        <x:v>0</x:v>
      </x:c>
      <x:c r="G47" s="90">
        <x:v>0</x:v>
      </x:c>
      <x:c r="H47" s="90">
        <x:v>0</x:v>
      </x:c>
      <x:c r="I47" s="90">
        <x:v>0</x:v>
      </x:c>
      <x:c r="J47" s="90">
        <x:v>0</x:v>
      </x:c>
      <x:c r="K47" s="90">
        <x:v>0</x:v>
      </x:c>
      <x:c r="L47" s="90">
        <x:v>0</x:v>
      </x:c>
      <x:c r="M47" s="90">
        <x:v>0</x:v>
      </x:c>
      <x:c r="N47" s="90">
        <x:v>0</x:v>
      </x:c>
      <x:c r="O47" s="90">
        <x:v>0</x:v>
      </x:c>
    </x:row>
    <x:row r="48" spans="1:16" ht="12.75" customHeight="1" x14ac:dyDescent="0.3">
      <x:c r="A48" s="89"/>
      <x:c r="C48" s="90"/>
      <x:c r="D48" s="90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  <x:c r="P48" s="90"/>
    </x:row>
    <x:row r="49" spans="1:16" ht="12.75" customHeight="1" x14ac:dyDescent="0.3">
      <x:c r="B49" s="145" t="s">
        <x:v>70</x:v>
      </x:c>
      <x:c r="C49" s="99">
        <x:f>C47-I47</x:f>
        <x:v>0</x:v>
      </x:c>
      <x:c r="D49" s="99">
        <x:f>D44</x:f>
        <x:v>0</x:v>
      </x:c>
      <x:c r="E49" s="99">
        <x:f t="shared" ref="E49:P49" si="3">E44</x:f>
        <x:v>0</x:v>
      </x:c>
      <x:c r="F49" s="99">
        <x:f t="shared" si="3"/>
        <x:v>0</x:v>
      </x:c>
      <x:c r="G49" s="99">
        <x:f t="shared" si="3"/>
        <x:v>0</x:v>
      </x:c>
      <x:c r="H49" s="99">
        <x:f t="shared" si="3"/>
        <x:v>0</x:v>
      </x:c>
      <x:c r="I49" s="99">
        <x:f t="shared" si="3"/>
        <x:v>0</x:v>
      </x:c>
      <x:c r="J49" s="99">
        <x:f t="shared" si="3"/>
        <x:v>0</x:v>
      </x:c>
      <x:c r="K49" s="99">
        <x:f t="shared" si="3"/>
        <x:v>0</x:v>
      </x:c>
      <x:c r="L49" s="99">
        <x:f t="shared" si="3"/>
        <x:v>0</x:v>
      </x:c>
      <x:c r="M49" s="99">
        <x:f t="shared" si="3"/>
        <x:v>0</x:v>
      </x:c>
      <x:c r="N49" s="99">
        <x:f t="shared" si="3"/>
        <x:v>0</x:v>
      </x:c>
      <x:c r="O49" s="99">
        <x:f>O44</x:f>
        <x:v>0</x:v>
      </x:c>
      <x:c r="P49" s="99">
        <x:f t="shared" si="3"/>
        <x:v>0</x:v>
      </x:c>
    </x:row>
    <x:row r="50" spans="1:16" ht="12.75" customHeight="1" x14ac:dyDescent="0.3">
      <x:c r="B50" s="145" t="s">
        <x:v>73</x:v>
      </x:c>
      <x:c r="C50" s="99">
        <x:f>C46</x:f>
        <x:v>0</x:v>
      </x:c>
    </x:row>
    <x:row r="52" spans="1:16" x14ac:dyDescent="0.3">
      <x:c r="A52" s="94"/>
      <x:c r="B52" s="94"/>
      <x:c r="C52" s="146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  <x:c r="P52" s="94"/>
    </x:row>
    <x:row r="53" spans="1:16" x14ac:dyDescent="0.3">
      <x:c r="B53" s="97" t="s">
        <x:v>93</x:v>
      </x:c>
    </x:row>
    <x:row r="54" spans="1:16" ht="12.75" customHeight="1" x14ac:dyDescent="0.3">
      <x:c r="C54" s="89" t="s">
        <x:v>70</x:v>
      </x:c>
      <x:c r="D54" s="89" t="s">
        <x:v>64</x:v>
      </x:c>
      <x:c r="E54" s="89" t="s">
        <x:v>65</x:v>
      </x:c>
      <x:c r="F54" s="219" t="s">
        <x:v>164</x:v>
      </x:c>
      <x:c r="G54" s="89" t="s">
        <x:v>69</x:v>
      </x:c>
      <x:c r="H54" s="89" t="s">
        <x:v>68</x:v>
      </x:c>
      <x:c r="I54" t="s">
        <x:v>83</x:v>
      </x:c>
      <x:c r="J54" s="89" t="s">
        <x:v>66</x:v>
      </x:c>
      <x:c r="K54" s="89" t="s">
        <x:v>63</x:v>
      </x:c>
      <x:c r="L54" s="89" t="s">
        <x:v>61</x:v>
      </x:c>
      <x:c r="M54" s="89" t="s">
        <x:v>62</x:v>
      </x:c>
      <x:c r="N54" s="89" t="s">
        <x:v>67</x:v>
      </x:c>
      <x:c r="O54" s="89" t="s">
        <x:v>84</x:v>
      </x:c>
    </x:row>
    <x:row r="55" spans="1:16" ht="12.75" customHeight="1" x14ac:dyDescent="0.3">
      <x:c r="B55" s="89" t="s">
        <x:v>72</x:v>
      </x:c>
      <x:c r="C55" s="90">
        <x:v>0</x:v>
      </x:c>
      <x:c r="D55" s="90">
        <x:v>0</x:v>
      </x:c>
      <x:c r="E55" s="90">
        <x:v>0</x:v>
      </x:c>
      <x:c r="F55" s="90">
        <x:v>0</x:v>
      </x:c>
      <x:c r="G55" s="90">
        <x:v>0</x:v>
      </x:c>
      <x:c r="H55" s="90">
        <x:v>0</x:v>
      </x:c>
      <x:c r="I55">
        <x:v>0</x:v>
      </x:c>
      <x:c r="J55" s="90">
        <x:v>0</x:v>
      </x:c>
      <x:c r="K55" s="90">
        <x:v>0</x:v>
      </x:c>
      <x:c r="L55" s="90">
        <x:v>0</x:v>
      </x:c>
      <x:c r="M55" s="90">
        <x:v>0</x:v>
      </x:c>
      <x:c r="N55" s="90">
        <x:v>0</x:v>
      </x:c>
      <x:c r="O55" s="90">
        <x:v>0</x:v>
      </x:c>
    </x:row>
    <x:row r="56" spans="1:16" ht="12.75" customHeight="1" x14ac:dyDescent="0.3">
      <x:c r="B56" s="89" t="s">
        <x:v>81</x:v>
      </x:c>
      <x:c r="C56" s="90">
        <x:v>0</x:v>
      </x:c>
      <x:c r="D56" s="90">
        <x:v>0</x:v>
      </x:c>
      <x:c r="E56" s="90">
        <x:v>0</x:v>
      </x:c>
      <x:c r="F56" s="90">
        <x:v>0</x:v>
      </x:c>
      <x:c r="G56" s="90">
        <x:v>0</x:v>
      </x:c>
      <x:c r="H56" s="90">
        <x:v>0</x:v>
      </x:c>
      <x:c r="I56">
        <x:v>0</x:v>
      </x:c>
      <x:c r="J56" s="90">
        <x:v>0</x:v>
      </x:c>
      <x:c r="K56" s="90">
        <x:v>0</x:v>
      </x:c>
      <x:c r="L56" s="90">
        <x:v>0</x:v>
      </x:c>
      <x:c r="M56" s="90">
        <x:v>0</x:v>
      </x:c>
      <x:c r="N56" s="90">
        <x:v>0</x:v>
      </x:c>
      <x:c r="O56" s="90">
        <x:v>0</x:v>
      </x:c>
    </x:row>
    <x:row r="57" spans="1:16" ht="12.75" customHeight="1" x14ac:dyDescent="0.3">
      <x:c r="A57" s="376" t="s">
        <x:v>78</x:v>
      </x:c>
      <x:c r="B57" s="376" t="s">
        <x:v>70</x:v>
      </x:c>
      <x:c r="C57" s="377">
        <x:v>0</x:v>
      </x:c>
      <x:c r="D57" s="377">
        <x:v>0</x:v>
      </x:c>
      <x:c r="E57" s="377">
        <x:v>0</x:v>
      </x:c>
      <x:c r="F57" s="377">
        <x:v>0</x:v>
      </x:c>
      <x:c r="G57" s="377">
        <x:v>0</x:v>
      </x:c>
      <x:c r="H57" s="377">
        <x:v>0</x:v>
      </x:c>
      <x:c r="I57" s="378">
        <x:v>0</x:v>
      </x:c>
      <x:c r="J57" s="377">
        <x:v>0</x:v>
      </x:c>
      <x:c r="K57" s="377">
        <x:v>0</x:v>
      </x:c>
      <x:c r="L57" s="377">
        <x:v>0</x:v>
      </x:c>
      <x:c r="M57" s="377">
        <x:v>0</x:v>
      </x:c>
      <x:c r="N57" s="377">
        <x:v>0</x:v>
      </x:c>
      <x:c r="O57" s="377">
        <x:v>0</x:v>
      </x:c>
      <x:c r="P57" s="378"/>
    </x:row>
    <x:row r="58" spans="1:16" ht="12.75" customHeight="1" x14ac:dyDescent="0.3">
      <x:c r="B58" s="89" t="s">
        <x:v>73</x:v>
      </x:c>
      <x:c r="C58" s="90">
        <x:v>0</x:v>
      </x:c>
      <x:c r="D58" s="90">
        <x:v>0</x:v>
      </x:c>
      <x:c r="E58" s="90">
        <x:v>0</x:v>
      </x:c>
      <x:c r="F58" s="90">
        <x:v>0</x:v>
      </x:c>
      <x:c r="G58" s="90">
        <x:v>0</x:v>
      </x:c>
      <x:c r="H58" s="90">
        <x:v>0</x:v>
      </x:c>
      <x:c r="I58">
        <x:v>0</x:v>
      </x:c>
      <x:c r="J58" s="90">
        <x:v>0</x:v>
      </x:c>
      <x:c r="K58" s="90">
        <x:v>0</x:v>
      </x:c>
      <x:c r="L58" s="90">
        <x:v>0</x:v>
      </x:c>
      <x:c r="M58" s="90">
        <x:v>0</x:v>
      </x:c>
      <x:c r="N58" s="90">
        <x:v>0</x:v>
      </x:c>
      <x:c r="O58" s="90">
        <x:v>0</x:v>
      </x:c>
    </x:row>
    <x:row r="59" spans="1:16" ht="12.75" customHeight="1" x14ac:dyDescent="0.3">
      <x:c r="A59" s="373" t="s">
        <x:v>79</x:v>
      </x:c>
      <x:c r="B59" s="373" t="s">
        <x:v>70</x:v>
      </x:c>
      <x:c r="C59" s="374">
        <x:v>0</x:v>
      </x:c>
      <x:c r="D59" s="374">
        <x:v>0</x:v>
      </x:c>
      <x:c r="E59" s="374">
        <x:v>0</x:v>
      </x:c>
      <x:c r="F59" s="374">
        <x:v>0</x:v>
      </x:c>
      <x:c r="G59" s="374">
        <x:v>0</x:v>
      </x:c>
      <x:c r="H59" s="374">
        <x:v>0</x:v>
      </x:c>
      <x:c r="I59" s="372">
        <x:v>0</x:v>
      </x:c>
      <x:c r="J59" s="374">
        <x:v>0</x:v>
      </x:c>
      <x:c r="K59" s="374">
        <x:v>0</x:v>
      </x:c>
      <x:c r="L59" s="374">
        <x:v>0</x:v>
      </x:c>
      <x:c r="M59" s="374">
        <x:v>0</x:v>
      </x:c>
      <x:c r="N59" s="374">
        <x:v>0</x:v>
      </x:c>
      <x:c r="O59" s="374">
        <x:v>0</x:v>
      </x:c>
      <x:c r="P59" s="372"/>
    </x:row>
    <x:row r="60" spans="1:16" ht="12.75" customHeight="1" x14ac:dyDescent="0.3">
      <x:c r="A60" s="89" t="s">
        <x:v>70</x:v>
      </x:c>
      <x:c r="C60" s="90">
        <x:v>0</x:v>
      </x:c>
      <x:c r="D60" s="90">
        <x:v>0</x:v>
      </x:c>
      <x:c r="E60" s="90">
        <x:v>0</x:v>
      </x:c>
      <x:c r="F60" s="90">
        <x:v>0</x:v>
      </x:c>
      <x:c r="G60" s="90">
        <x:v>0</x:v>
      </x:c>
      <x:c r="H60" s="90">
        <x:v>0</x:v>
      </x:c>
      <x:c r="I60">
        <x:v>0</x:v>
      </x:c>
      <x:c r="J60" s="90">
        <x:v>0</x:v>
      </x:c>
      <x:c r="K60" s="90">
        <x:v>0</x:v>
      </x:c>
      <x:c r="L60" s="90">
        <x:v>0</x:v>
      </x:c>
      <x:c r="M60" s="90">
        <x:v>0</x:v>
      </x:c>
      <x:c r="N60" s="90">
        <x:v>0</x:v>
      </x:c>
      <x:c r="O60" s="90">
        <x:v>0</x:v>
      </x:c>
    </x:row>
    <x:row r="62" spans="1:16" ht="12.75" customHeight="1" x14ac:dyDescent="0.3">
      <x:c r="B62" s="145" t="s">
        <x:v>70</x:v>
      </x:c>
      <x:c r="C62" s="99">
        <x:f>C60-I60</x:f>
        <x:v>0</x:v>
      </x:c>
      <x:c r="D62" s="99">
        <x:f>D57</x:f>
        <x:v>0</x:v>
      </x:c>
      <x:c r="E62" s="99">
        <x:f t="shared" ref="E62:P62" si="4">E57</x:f>
        <x:v>0</x:v>
      </x:c>
      <x:c r="F62" s="99">
        <x:f t="shared" si="4"/>
        <x:v>0</x:v>
      </x:c>
      <x:c r="G62" s="99">
        <x:f t="shared" si="4"/>
        <x:v>0</x:v>
      </x:c>
      <x:c r="H62" s="99">
        <x:f t="shared" si="4"/>
        <x:v>0</x:v>
      </x:c>
      <x:c r="I62" s="99">
        <x:f t="shared" si="4"/>
        <x:v>0</x:v>
      </x:c>
      <x:c r="J62" s="99">
        <x:f t="shared" si="4"/>
        <x:v>0</x:v>
      </x:c>
      <x:c r="K62" s="99">
        <x:f t="shared" si="4"/>
        <x:v>0</x:v>
      </x:c>
      <x:c r="L62" s="99">
        <x:f t="shared" si="4"/>
        <x:v>0</x:v>
      </x:c>
      <x:c r="M62" s="99">
        <x:f t="shared" si="4"/>
        <x:v>0</x:v>
      </x:c>
      <x:c r="N62" s="99">
        <x:f t="shared" si="4"/>
        <x:v>0</x:v>
      </x:c>
      <x:c r="O62" s="99">
        <x:f>O57</x:f>
        <x:v>0</x:v>
      </x:c>
      <x:c r="P62" s="99">
        <x:f t="shared" si="4"/>
        <x:v>0</x:v>
      </x:c>
    </x:row>
    <x:row r="63" spans="1:16" ht="12.75" customHeight="1" x14ac:dyDescent="0.3">
      <x:c r="B63" s="145" t="s">
        <x:v>73</x:v>
      </x:c>
      <x:c r="C63" s="99">
        <x:f>C59</x:f>
        <x:v>0</x:v>
      </x:c>
    </x:row>
  </x:sheetData>
  <x:pageMargins left="0.7" right="0.7" top="0.75" bottom="0.75" header="0.3" footer="0.3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dimension ref="A1:O63"/>
  <x:sheetViews>
    <x:sheetView zoomScale="90" zoomScaleNormal="90" workbookViewId="0">
      <x:pane ySplit="2" topLeftCell="A3" activePane="bottomLeft" state="frozen"/>
      <x:selection activeCell="C50" sqref="C50"/>
      <x:selection pane="bottomLeft" activeCell="A3" sqref="A3"/>
    </x:sheetView>
  </x:sheetViews>
  <x:sheetFormatPr baseColWidth="10" defaultRowHeight="12.45" x14ac:dyDescent="0.3"/>
  <x:cols>
    <x:col min="2" max="2" width="24.3828125" bestFit="1" customWidth="1"/>
    <x:col min="3" max="3" width="15.15234375" style="144" bestFit="1" customWidth="1"/>
    <x:col min="4" max="4" width="23.15234375" bestFit="1" customWidth="1"/>
    <x:col min="5" max="5" width="15.84375" bestFit="1" customWidth="1"/>
    <x:col min="6" max="6" width="16.53515625" customWidth="1"/>
    <x:col min="7" max="7" width="15.3828125" bestFit="1" customWidth="1"/>
    <x:col min="8" max="8" width="15" bestFit="1" customWidth="1"/>
    <x:col min="9" max="10" width="15" customWidth="1"/>
    <x:col min="11" max="11" width="15.15234375" bestFit="1" customWidth="1"/>
    <x:col min="12" max="12" width="17" bestFit="1" customWidth="1"/>
    <x:col min="13" max="14" width="15.53515625" bestFit="1" customWidth="1"/>
    <x:col min="15" max="15" width="15.15234375" bestFit="1" customWidth="1"/>
  </x:cols>
  <x:sheetData>
    <x:row r="1" spans="1:15" x14ac:dyDescent="0.3">
      <x:c r="B1" s="97" t="s">
        <x:v>74</x:v>
      </x:c>
    </x:row>
    <x:row r="2" spans="1:15" ht="12.75" customHeight="1" x14ac:dyDescent="0.3">
      <x:c r="C2" s="89" t="s">
        <x:v>70</x:v>
      </x:c>
      <x:c r="D2" s="89" t="s">
        <x:v>64</x:v>
      </x:c>
      <x:c r="E2" s="89" t="s">
        <x:v>65</x:v>
      </x:c>
      <x:c r="F2" s="375" t="s">
        <x:v>164</x:v>
      </x:c>
      <x:c r="G2" s="89" t="s">
        <x:v>69</x:v>
      </x:c>
      <x:c r="H2" s="89" t="s">
        <x:v>68</x:v>
      </x:c>
      <x:c r="I2" s="89" t="s">
        <x:v>83</x:v>
      </x:c>
      <x:c r="J2" s="89" t="s">
        <x:v>66</x:v>
      </x:c>
      <x:c r="K2" s="89" t="s">
        <x:v>63</x:v>
      </x:c>
      <x:c r="L2" s="89" t="s">
        <x:v>61</x:v>
      </x:c>
      <x:c r="M2" s="89" t="s">
        <x:v>62</x:v>
      </x:c>
      <x:c r="N2" s="89" t="s">
        <x:v>67</x:v>
      </x:c>
      <x:c r="O2" s="89" t="s">
        <x:v>84</x:v>
      </x:c>
    </x:row>
    <x:row r="3" spans="1:15" ht="12.75" customHeight="1" x14ac:dyDescent="0.3">
      <x:c r="B3" t="s">
        <x:v>81</x:v>
      </x:c>
      <x:c r="C3" s="89">
        <x:v>0</x:v>
      </x:c>
      <x:c r="D3" s="89">
        <x:v>0</x:v>
      </x:c>
      <x:c r="E3" s="89">
        <x:v>0</x:v>
      </x:c>
      <x:c r="F3" s="89">
        <x:v>0</x:v>
      </x:c>
      <x:c r="G3" s="89">
        <x:v>0</x:v>
      </x:c>
      <x:c r="H3" s="89">
        <x:v>0</x:v>
      </x:c>
      <x:c r="I3" s="89">
        <x:v>0</x:v>
      </x:c>
      <x:c r="J3" s="89">
        <x:v>0</x:v>
      </x:c>
      <x:c r="K3" s="89">
        <x:v>0</x:v>
      </x:c>
      <x:c r="L3" s="89">
        <x:v>0</x:v>
      </x:c>
      <x:c r="M3" s="89">
        <x:v>0</x:v>
      </x:c>
      <x:c r="N3" s="89">
        <x:v>0</x:v>
      </x:c>
      <x:c r="O3" s="89">
        <x:v>0</x:v>
      </x:c>
    </x:row>
    <x:row r="4" spans="1:15" ht="12.75" customHeight="1" x14ac:dyDescent="0.3">
      <x:c r="B4" s="89" t="s">
        <x:v>72</x:v>
      </x:c>
      <x:c r="C4" s="90">
        <x:v>0</x:v>
      </x:c>
      <x:c r="D4" s="90">
        <x:v>0</x:v>
      </x:c>
      <x:c r="E4" s="90">
        <x:v>0</x:v>
      </x:c>
      <x:c r="F4" s="90">
        <x:v>0</x:v>
      </x:c>
      <x:c r="G4" s="90">
        <x:v>0</x:v>
      </x:c>
      <x:c r="H4" s="90">
        <x:v>0</x:v>
      </x:c>
      <x:c r="I4" s="90">
        <x:v>0</x:v>
      </x:c>
      <x:c r="J4" s="90">
        <x:v>0</x:v>
      </x:c>
      <x:c r="K4" s="90">
        <x:v>0</x:v>
      </x:c>
      <x:c r="L4" s="90">
        <x:v>0</x:v>
      </x:c>
      <x:c r="M4" s="90">
        <x:v>0</x:v>
      </x:c>
      <x:c r="N4" s="90">
        <x:v>0</x:v>
      </x:c>
      <x:c r="O4" s="90">
        <x:v>0</x:v>
      </x:c>
    </x:row>
    <x:row r="5" spans="1:15" s="378" customFormat="1" ht="12.75" customHeight="1" x14ac:dyDescent="0.3">
      <x:c r="A5" s="376" t="s">
        <x:v>78</x:v>
      </x:c>
      <x:c r="B5" s="376" t="s">
        <x:v>70</x:v>
      </x:c>
      <x:c r="C5" s="377">
        <x:v>0</x:v>
      </x:c>
      <x:c r="D5" s="377">
        <x:v>0</x:v>
      </x:c>
      <x:c r="E5" s="377">
        <x:v>0</x:v>
      </x:c>
      <x:c r="F5" s="377">
        <x:v>0</x:v>
      </x:c>
      <x:c r="G5" s="377">
        <x:v>0</x:v>
      </x:c>
      <x:c r="H5" s="377">
        <x:v>0</x:v>
      </x:c>
      <x:c r="I5" s="377">
        <x:v>0</x:v>
      </x:c>
      <x:c r="J5" s="377">
        <x:v>0</x:v>
      </x:c>
      <x:c r="K5" s="377">
        <x:v>0</x:v>
      </x:c>
      <x:c r="L5" s="377">
        <x:v>0</x:v>
      </x:c>
      <x:c r="M5" s="377">
        <x:v>0</x:v>
      </x:c>
      <x:c r="N5" s="377">
        <x:v>0</x:v>
      </x:c>
      <x:c r="O5" s="377">
        <x:v>0</x:v>
      </x:c>
    </x:row>
    <x:row r="6" spans="1:15" ht="12.75" customHeight="1" x14ac:dyDescent="0.3">
      <x:c r="B6" s="89" t="s">
        <x:v>73</x:v>
      </x:c>
      <x:c r="C6" s="90">
        <x:v>0</x:v>
      </x:c>
      <x:c r="D6" s="90">
        <x:v>0</x:v>
      </x:c>
      <x:c r="E6" s="90">
        <x:v>0</x:v>
      </x:c>
      <x:c r="F6" s="90">
        <x:v>0</x:v>
      </x:c>
      <x:c r="G6" s="90">
        <x:v>0</x:v>
      </x:c>
      <x:c r="H6" s="90">
        <x:v>0</x:v>
      </x:c>
      <x:c r="I6" s="90">
        <x:v>0</x:v>
      </x:c>
      <x:c r="J6" s="90">
        <x:v>0</x:v>
      </x:c>
      <x:c r="K6" s="90">
        <x:v>0</x:v>
      </x:c>
      <x:c r="L6" s="90">
        <x:v>0</x:v>
      </x:c>
      <x:c r="M6" s="90">
        <x:v>0</x:v>
      </x:c>
      <x:c r="N6" s="90">
        <x:v>0</x:v>
      </x:c>
      <x:c r="O6" s="90">
        <x:v>0</x:v>
      </x:c>
    </x:row>
    <x:row r="7" spans="1:15" s="372" customFormat="1" ht="12.75" customHeight="1" x14ac:dyDescent="0.3">
      <x:c r="A7" s="373" t="s">
        <x:v>79</x:v>
      </x:c>
      <x:c r="B7" s="373" t="s">
        <x:v>70</x:v>
      </x:c>
      <x:c r="C7" s="374">
        <x:v>0</x:v>
      </x:c>
      <x:c r="D7" s="374">
        <x:v>0</x:v>
      </x:c>
      <x:c r="E7" s="374">
        <x:v>0</x:v>
      </x:c>
      <x:c r="F7" s="374">
        <x:v>0</x:v>
      </x:c>
      <x:c r="G7" s="374">
        <x:v>0</x:v>
      </x:c>
      <x:c r="H7" s="374">
        <x:v>0</x:v>
      </x:c>
      <x:c r="I7" s="374">
        <x:v>0</x:v>
      </x:c>
      <x:c r="J7" s="374">
        <x:v>0</x:v>
      </x:c>
      <x:c r="K7" s="374">
        <x:v>0</x:v>
      </x:c>
      <x:c r="L7" s="374">
        <x:v>0</x:v>
      </x:c>
      <x:c r="M7" s="374">
        <x:v>0</x:v>
      </x:c>
      <x:c r="N7" s="374">
        <x:v>0</x:v>
      </x:c>
      <x:c r="O7" s="374">
        <x:v>0</x:v>
      </x:c>
    </x:row>
    <x:row r="8" spans="1:15" ht="12.75" customHeight="1" x14ac:dyDescent="0.3">
      <x:c r="A8" s="89" t="s">
        <x:v>70</x:v>
      </x:c>
      <x:c r="C8" s="90">
        <x:v>0</x:v>
      </x:c>
      <x:c r="D8" s="90">
        <x:v>0</x:v>
      </x:c>
      <x:c r="E8" s="90">
        <x:v>0</x:v>
      </x:c>
      <x:c r="F8" s="90">
        <x:v>0</x:v>
      </x:c>
      <x:c r="G8" s="90">
        <x:v>0</x:v>
      </x:c>
      <x:c r="H8" s="90">
        <x:v>0</x:v>
      </x:c>
      <x:c r="I8" s="90">
        <x:v>0</x:v>
      </x:c>
      <x:c r="J8" s="90">
        <x:v>0</x:v>
      </x:c>
      <x:c r="K8" s="90">
        <x:v>0</x:v>
      </x:c>
      <x:c r="L8" s="90">
        <x:v>0</x:v>
      </x:c>
      <x:c r="M8" s="90">
        <x:v>0</x:v>
      </x:c>
      <x:c r="N8" s="90">
        <x:v>0</x:v>
      </x:c>
      <x:c r="O8" s="90">
        <x:v>0</x:v>
      </x:c>
    </x:row>
    <x:row r="9" spans="1:15" ht="12.75" customHeight="1" x14ac:dyDescent="0.3">
      <x:c r="A9" s="89"/>
      <x:c r="C9" s="90"/>
      <x:c r="D9" s="90"/>
      <x:c r="E9" s="90"/>
      <x:c r="F9" s="90"/>
      <x:c r="G9" s="90"/>
      <x:c r="H9" s="90"/>
      <x:c r="I9" s="90"/>
      <x:c r="J9" s="90"/>
      <x:c r="K9" s="90"/>
      <x:c r="L9" s="90"/>
      <x:c r="M9" s="90"/>
      <x:c r="O9" s="90"/>
    </x:row>
    <x:row r="10" spans="1:15" ht="12.75" customHeight="1" x14ac:dyDescent="0.3">
      <x:c r="B10" s="145" t="s">
        <x:v>70</x:v>
      </x:c>
      <x:c r="C10" s="99">
        <x:f>C8-I8</x:f>
        <x:v>0</x:v>
      </x:c>
      <x:c r="D10" s="99">
        <x:f>D5</x:f>
        <x:v>0</x:v>
      </x:c>
      <x:c r="E10" s="99">
        <x:f t="shared" ref="E10:O10" si="0">E5</x:f>
        <x:v>0</x:v>
      </x:c>
      <x:c r="F10" s="99">
        <x:f t="shared" si="0"/>
        <x:v>0</x:v>
      </x:c>
      <x:c r="G10" s="99">
        <x:f t="shared" si="0"/>
        <x:v>0</x:v>
      </x:c>
      <x:c r="H10" s="99">
        <x:f t="shared" si="0"/>
        <x:v>0</x:v>
      </x:c>
      <x:c r="I10" s="99">
        <x:f t="shared" si="0"/>
        <x:v>0</x:v>
      </x:c>
      <x:c r="J10" s="99">
        <x:f t="shared" si="0"/>
        <x:v>0</x:v>
      </x:c>
      <x:c r="K10" s="99">
        <x:f t="shared" si="0"/>
        <x:v>0</x:v>
      </x:c>
      <x:c r="L10" s="99">
        <x:f t="shared" si="0"/>
        <x:v>0</x:v>
      </x:c>
      <x:c r="M10" s="99">
        <x:f t="shared" si="0"/>
        <x:v>0</x:v>
      </x:c>
      <x:c r="N10" s="99">
        <x:f t="shared" si="0"/>
        <x:v>0</x:v>
      </x:c>
      <x:c r="O10" s="99">
        <x:f t="shared" si="0"/>
        <x:v>0</x:v>
      </x:c>
    </x:row>
    <x:row r="11" spans="1:15" ht="12.75" customHeight="1" x14ac:dyDescent="0.3">
      <x:c r="B11" s="145" t="s">
        <x:v>73</x:v>
      </x:c>
      <x:c r="C11" s="99">
        <x:f>C7</x:f>
        <x:v>0</x:v>
      </x:c>
    </x:row>
    <x:row r="13" spans="1:15" x14ac:dyDescent="0.3">
      <x:c r="A13" s="94"/>
      <x:c r="B13" s="94"/>
      <x:c r="C13" s="146"/>
      <x:c r="D13" s="94"/>
      <x:c r="E13" s="94"/>
      <x:c r="F13" s="94"/>
      <x:c r="G13" s="94"/>
      <x:c r="H13" s="94"/>
      <x:c r="I13" s="94"/>
      <x:c r="J13" s="94"/>
      <x:c r="K13" s="94"/>
      <x:c r="L13" s="94"/>
      <x:c r="M13" s="94"/>
      <x:c r="N13" s="94"/>
      <x:c r="O13" s="94"/>
    </x:row>
    <x:row r="14" spans="1:15" x14ac:dyDescent="0.3">
      <x:c r="B14" s="97" t="s">
        <x:v>75</x:v>
      </x:c>
    </x:row>
    <x:row r="15" spans="1:15" ht="12.75" customHeight="1" x14ac:dyDescent="0.3">
      <x:c r="C15" s="89" t="s">
        <x:v>70</x:v>
      </x:c>
      <x:c r="D15" s="89" t="s">
        <x:v>64</x:v>
      </x:c>
      <x:c r="E15" s="89" t="s">
        <x:v>65</x:v>
      </x:c>
      <x:c r="F15" s="375" t="s">
        <x:v>164</x:v>
      </x:c>
      <x:c r="G15" s="89" t="s">
        <x:v>69</x:v>
      </x:c>
      <x:c r="H15" s="89" t="s">
        <x:v>68</x:v>
      </x:c>
      <x:c r="I15" s="89" t="s">
        <x:v>83</x:v>
      </x:c>
      <x:c r="J15" s="89" t="s">
        <x:v>66</x:v>
      </x:c>
      <x:c r="K15" s="89" t="s">
        <x:v>63</x:v>
      </x:c>
      <x:c r="L15" s="89" t="s">
        <x:v>61</x:v>
      </x:c>
      <x:c r="M15" s="89" t="s">
        <x:v>62</x:v>
      </x:c>
      <x:c r="N15" s="89" t="s">
        <x:v>67</x:v>
      </x:c>
      <x:c r="O15" s="89" t="s">
        <x:v>84</x:v>
      </x:c>
    </x:row>
    <x:row r="16" spans="1:15" ht="12.75" customHeight="1" x14ac:dyDescent="0.3">
      <x:c r="B16" s="89" t="s">
        <x:v>81</x:v>
      </x:c>
      <x:c r="C16" s="90">
        <x:v>0</x:v>
      </x:c>
      <x:c r="D16" s="90">
        <x:v>0</x:v>
      </x:c>
      <x:c r="E16" s="90">
        <x:v>0</x:v>
      </x:c>
      <x:c r="F16" s="90">
        <x:v>0</x:v>
      </x:c>
      <x:c r="G16" s="90">
        <x:v>0</x:v>
      </x:c>
      <x:c r="H16" s="90">
        <x:v>0</x:v>
      </x:c>
      <x:c r="I16">
        <x:v>0</x:v>
      </x:c>
      <x:c r="J16" s="90">
        <x:v>0</x:v>
      </x:c>
      <x:c r="K16" s="90">
        <x:v>0</x:v>
      </x:c>
      <x:c r="L16" s="90">
        <x:v>0</x:v>
      </x:c>
      <x:c r="M16" s="90">
        <x:v>0</x:v>
      </x:c>
      <x:c r="N16" s="90">
        <x:v>0</x:v>
      </x:c>
      <x:c r="O16" s="90">
        <x:v>0</x:v>
      </x:c>
    </x:row>
    <x:row r="17" spans="1:15" ht="12.75" customHeight="1" x14ac:dyDescent="0.3">
      <x:c r="B17" s="89" t="s">
        <x:v>72</x:v>
      </x:c>
      <x:c r="C17" s="90">
        <x:v>0</x:v>
      </x:c>
      <x:c r="D17" s="90">
        <x:v>0</x:v>
      </x:c>
      <x:c r="E17" s="90">
        <x:v>0</x:v>
      </x:c>
      <x:c r="F17" s="90">
        <x:v>0</x:v>
      </x:c>
      <x:c r="G17" s="90">
        <x:v>0</x:v>
      </x:c>
      <x:c r="H17" s="90">
        <x:v>0</x:v>
      </x:c>
      <x:c r="I17">
        <x:v>0</x:v>
      </x:c>
      <x:c r="J17" s="90">
        <x:v>0</x:v>
      </x:c>
      <x:c r="K17" s="90">
        <x:v>0</x:v>
      </x:c>
      <x:c r="L17" s="90">
        <x:v>0</x:v>
      </x:c>
      <x:c r="M17" s="90">
        <x:v>0</x:v>
      </x:c>
      <x:c r="N17" s="90">
        <x:v>0</x:v>
      </x:c>
      <x:c r="O17" s="90">
        <x:v>0</x:v>
      </x:c>
    </x:row>
    <x:row r="18" spans="1:15" s="378" customFormat="1" ht="12.75" customHeight="1" x14ac:dyDescent="0.3">
      <x:c r="A18" s="376" t="s">
        <x:v>78</x:v>
      </x:c>
      <x:c r="B18" s="376" t="s">
        <x:v>70</x:v>
      </x:c>
      <x:c r="C18" s="377">
        <x:v>0</x:v>
      </x:c>
      <x:c r="D18" s="377">
        <x:v>0</x:v>
      </x:c>
      <x:c r="E18" s="377">
        <x:v>0</x:v>
      </x:c>
      <x:c r="F18" s="377">
        <x:v>0</x:v>
      </x:c>
      <x:c r="G18" s="377">
        <x:v>0</x:v>
      </x:c>
      <x:c r="H18" s="377">
        <x:v>0</x:v>
      </x:c>
      <x:c r="I18" s="378">
        <x:v>0</x:v>
      </x:c>
      <x:c r="J18" s="377">
        <x:v>0</x:v>
      </x:c>
      <x:c r="K18" s="377">
        <x:v>0</x:v>
      </x:c>
      <x:c r="L18" s="377">
        <x:v>0</x:v>
      </x:c>
      <x:c r="M18" s="377">
        <x:v>0</x:v>
      </x:c>
      <x:c r="N18" s="377">
        <x:v>0</x:v>
      </x:c>
      <x:c r="O18" s="377">
        <x:v>0</x:v>
      </x:c>
    </x:row>
    <x:row r="19" spans="1:15" ht="12.75" customHeight="1" x14ac:dyDescent="0.3">
      <x:c r="B19" s="89" t="s">
        <x:v>73</x:v>
      </x:c>
      <x:c r="C19" s="90">
        <x:v>0</x:v>
      </x:c>
      <x:c r="D19" s="90">
        <x:v>0</x:v>
      </x:c>
      <x:c r="E19" s="90">
        <x:v>0</x:v>
      </x:c>
      <x:c r="F19" s="90">
        <x:v>0</x:v>
      </x:c>
      <x:c r="G19" s="90">
        <x:v>0</x:v>
      </x:c>
      <x:c r="H19" s="90">
        <x:v>0</x:v>
      </x:c>
      <x:c r="I19">
        <x:v>0</x:v>
      </x:c>
      <x:c r="J19" s="90">
        <x:v>0</x:v>
      </x:c>
      <x:c r="K19" s="90">
        <x:v>0</x:v>
      </x:c>
      <x:c r="L19" s="90">
        <x:v>0</x:v>
      </x:c>
      <x:c r="M19" s="90">
        <x:v>0</x:v>
      </x:c>
      <x:c r="N19" s="90">
        <x:v>0</x:v>
      </x:c>
      <x:c r="O19" s="90">
        <x:v>0</x:v>
      </x:c>
    </x:row>
    <x:row r="20" spans="1:15" s="372" customFormat="1" ht="12.75" customHeight="1" x14ac:dyDescent="0.3">
      <x:c r="A20" s="373" t="s">
        <x:v>79</x:v>
      </x:c>
      <x:c r="B20" s="373" t="s">
        <x:v>70</x:v>
      </x:c>
      <x:c r="C20" s="374">
        <x:v>0</x:v>
      </x:c>
      <x:c r="D20" s="374">
        <x:v>0</x:v>
      </x:c>
      <x:c r="E20" s="374">
        <x:v>0</x:v>
      </x:c>
      <x:c r="F20" s="374">
        <x:v>0</x:v>
      </x:c>
      <x:c r="G20" s="374">
        <x:v>0</x:v>
      </x:c>
      <x:c r="H20" s="374">
        <x:v>0</x:v>
      </x:c>
      <x:c r="I20" s="372">
        <x:v>0</x:v>
      </x:c>
      <x:c r="J20" s="374">
        <x:v>0</x:v>
      </x:c>
      <x:c r="K20" s="374">
        <x:v>0</x:v>
      </x:c>
      <x:c r="L20" s="374">
        <x:v>0</x:v>
      </x:c>
      <x:c r="M20" s="374">
        <x:v>0</x:v>
      </x:c>
      <x:c r="N20" s="374">
        <x:v>0</x:v>
      </x:c>
      <x:c r="O20" s="374">
        <x:v>0</x:v>
      </x:c>
    </x:row>
    <x:row r="21" spans="1:15" ht="12.75" customHeight="1" x14ac:dyDescent="0.3">
      <x:c r="A21" s="89" t="s">
        <x:v>70</x:v>
      </x:c>
      <x:c r="C21" s="90">
        <x:v>0</x:v>
      </x:c>
      <x:c r="D21" s="90">
        <x:v>0</x:v>
      </x:c>
      <x:c r="E21" s="90">
        <x:v>0</x:v>
      </x:c>
      <x:c r="F21" s="90">
        <x:v>0</x:v>
      </x:c>
      <x:c r="G21" s="90">
        <x:v>0</x:v>
      </x:c>
      <x:c r="H21" s="90">
        <x:v>0</x:v>
      </x:c>
      <x:c r="I21">
        <x:v>0</x:v>
      </x:c>
      <x:c r="J21" s="90">
        <x:v>0</x:v>
      </x:c>
      <x:c r="K21" s="90">
        <x:v>0</x:v>
      </x:c>
      <x:c r="L21" s="90">
        <x:v>0</x:v>
      </x:c>
      <x:c r="M21" s="90">
        <x:v>0</x:v>
      </x:c>
      <x:c r="N21" s="90">
        <x:v>0</x:v>
      </x:c>
      <x:c r="O21" s="90">
        <x:v>0</x:v>
      </x:c>
    </x:row>
    <x:row r="22" spans="1:15" ht="12.75" customHeight="1" x14ac:dyDescent="0.3">
      <x:c r="A22" s="89"/>
      <x:c r="C22" s="90"/>
      <x:c r="D22" s="90"/>
      <x:c r="E22" s="90"/>
      <x:c r="F22" s="90"/>
      <x:c r="G22" s="90"/>
      <x:c r="H22" s="90"/>
      <x:c r="J22" s="90"/>
      <x:c r="K22" s="90"/>
      <x:c r="L22" s="90"/>
      <x:c r="M22" s="90"/>
      <x:c r="N22" s="90"/>
    </x:row>
    <x:row r="23" spans="1:15" ht="12.75" customHeight="1" x14ac:dyDescent="0.3">
      <x:c r="B23" s="145" t="s">
        <x:v>70</x:v>
      </x:c>
      <x:c r="C23" s="99">
        <x:f>C21-I21</x:f>
        <x:v>0</x:v>
      </x:c>
      <x:c r="D23" s="99">
        <x:f>D18</x:f>
        <x:v>0</x:v>
      </x:c>
      <x:c r="E23" s="99">
        <x:f t="shared" ref="E23:O23" si="1">E18</x:f>
        <x:v>0</x:v>
      </x:c>
      <x:c r="F23" s="99">
        <x:f t="shared" si="1"/>
        <x:v>0</x:v>
      </x:c>
      <x:c r="G23" s="99">
        <x:f t="shared" si="1"/>
        <x:v>0</x:v>
      </x:c>
      <x:c r="H23" s="99">
        <x:f t="shared" si="1"/>
        <x:v>0</x:v>
      </x:c>
      <x:c r="I23" s="99">
        <x:f t="shared" si="1"/>
        <x:v>0</x:v>
      </x:c>
      <x:c r="J23" s="99">
        <x:f t="shared" si="1"/>
        <x:v>0</x:v>
      </x:c>
      <x:c r="K23" s="99">
        <x:f t="shared" si="1"/>
        <x:v>0</x:v>
      </x:c>
      <x:c r="L23" s="99">
        <x:f t="shared" si="1"/>
        <x:v>0</x:v>
      </x:c>
      <x:c r="M23" s="99">
        <x:f t="shared" si="1"/>
        <x:v>0</x:v>
      </x:c>
      <x:c r="N23" s="99">
        <x:f t="shared" si="1"/>
        <x:v>0</x:v>
      </x:c>
      <x:c r="O23" s="99">
        <x:f t="shared" si="1"/>
        <x:v>0</x:v>
      </x:c>
    </x:row>
    <x:row r="24" spans="1:15" ht="12.75" customHeight="1" x14ac:dyDescent="0.3">
      <x:c r="B24" s="145" t="s">
        <x:v>73</x:v>
      </x:c>
      <x:c r="C24" s="99">
        <x:f>C20</x:f>
        <x:v>0</x:v>
      </x:c>
    </x:row>
    <x:row r="26" spans="1:15" x14ac:dyDescent="0.3">
      <x:c r="A26" s="94"/>
      <x:c r="B26" s="94"/>
      <x:c r="C26" s="146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</x:row>
    <x:row r="27" spans="1:15" x14ac:dyDescent="0.3">
      <x:c r="B27" s="97" t="s">
        <x:v>76</x:v>
      </x:c>
    </x:row>
    <x:row r="28" spans="1:15" ht="12.75" customHeight="1" x14ac:dyDescent="0.3">
      <x:c r="C28" s="89" t="s">
        <x:v>70</x:v>
      </x:c>
      <x:c r="D28" s="89" t="s">
        <x:v>64</x:v>
      </x:c>
      <x:c r="E28" s="89" t="s">
        <x:v>65</x:v>
      </x:c>
      <x:c r="F28" s="375" t="s">
        <x:v>164</x:v>
      </x:c>
      <x:c r="G28" s="89" t="s">
        <x:v>69</x:v>
      </x:c>
      <x:c r="H28" s="89" t="s">
        <x:v>68</x:v>
      </x:c>
      <x:c r="I28" s="89" t="s">
        <x:v>83</x:v>
      </x:c>
      <x:c r="J28" s="89" t="s">
        <x:v>66</x:v>
      </x:c>
      <x:c r="K28" s="89" t="s">
        <x:v>63</x:v>
      </x:c>
      <x:c r="L28" s="89" t="s">
        <x:v>61</x:v>
      </x:c>
      <x:c r="M28" s="89" t="s">
        <x:v>62</x:v>
      </x:c>
      <x:c r="N28" s="89" t="s">
        <x:v>67</x:v>
      </x:c>
      <x:c r="O28" s="89" t="s">
        <x:v>84</x:v>
      </x:c>
    </x:row>
    <x:row r="29" spans="1:15" ht="12.75" customHeight="1" x14ac:dyDescent="0.3">
      <x:c r="B29" t="s">
        <x:v>81</x:v>
      </x:c>
      <x:c r="C29" s="89">
        <x:v>0</x:v>
      </x:c>
      <x:c r="D29" s="89">
        <x:v>0</x:v>
      </x:c>
      <x:c r="E29" s="89">
        <x:v>0</x:v>
      </x:c>
      <x:c r="F29" s="89">
        <x:v>0</x:v>
      </x:c>
      <x:c r="G29" s="89">
        <x:v>0</x:v>
      </x:c>
      <x:c r="H29" s="89">
        <x:v>0</x:v>
      </x:c>
      <x:c r="I29" s="89">
        <x:v>0</x:v>
      </x:c>
      <x:c r="J29" s="89">
        <x:v>0</x:v>
      </x:c>
      <x:c r="K29" s="89">
        <x:v>0</x:v>
      </x:c>
      <x:c r="L29" s="89">
        <x:v>0</x:v>
      </x:c>
      <x:c r="M29" s="89">
        <x:v>0</x:v>
      </x:c>
      <x:c r="N29" s="89">
        <x:v>0</x:v>
      </x:c>
      <x:c r="O29" s="89">
        <x:v>0</x:v>
      </x:c>
    </x:row>
    <x:row r="30" spans="1:15" ht="12.75" customHeight="1" x14ac:dyDescent="0.3">
      <x:c r="B30" s="89" t="s">
        <x:v>72</x:v>
      </x:c>
      <x:c r="C30" s="90">
        <x:v>0</x:v>
      </x:c>
      <x:c r="D30" s="90">
        <x:v>0</x:v>
      </x:c>
      <x:c r="E30" s="90">
        <x:v>0</x:v>
      </x:c>
      <x:c r="F30" s="90">
        <x:v>0</x:v>
      </x:c>
      <x:c r="G30" s="90">
        <x:v>0</x:v>
      </x:c>
      <x:c r="H30" s="90">
        <x:v>0</x:v>
      </x:c>
      <x:c r="I30" s="90">
        <x:v>0</x:v>
      </x:c>
      <x:c r="J30" s="90">
        <x:v>0</x:v>
      </x:c>
      <x:c r="K30" s="90">
        <x:v>0</x:v>
      </x:c>
      <x:c r="L30" s="90">
        <x:v>0</x:v>
      </x:c>
      <x:c r="M30" s="90">
        <x:v>0</x:v>
      </x:c>
      <x:c r="N30" s="90">
        <x:v>0</x:v>
      </x:c>
      <x:c r="O30" s="90">
        <x:v>0</x:v>
      </x:c>
    </x:row>
    <x:row r="31" spans="1:15" s="378" customFormat="1" ht="12.75" customHeight="1" x14ac:dyDescent="0.3">
      <x:c r="A31" s="376" t="s">
        <x:v>78</x:v>
      </x:c>
      <x:c r="B31" s="376" t="s">
        <x:v>70</x:v>
      </x:c>
      <x:c r="C31" s="377">
        <x:v>0</x:v>
      </x:c>
      <x:c r="D31" s="377">
        <x:v>0</x:v>
      </x:c>
      <x:c r="E31" s="377">
        <x:v>0</x:v>
      </x:c>
      <x:c r="F31" s="377">
        <x:v>0</x:v>
      </x:c>
      <x:c r="G31" s="377">
        <x:v>0</x:v>
      </x:c>
      <x:c r="H31" s="377">
        <x:v>0</x:v>
      </x:c>
      <x:c r="I31" s="377">
        <x:v>0</x:v>
      </x:c>
      <x:c r="J31" s="377">
        <x:v>0</x:v>
      </x:c>
      <x:c r="K31" s="377">
        <x:v>0</x:v>
      </x:c>
      <x:c r="L31" s="377">
        <x:v>0</x:v>
      </x:c>
      <x:c r="M31" s="377">
        <x:v>0</x:v>
      </x:c>
      <x:c r="N31" s="377">
        <x:v>0</x:v>
      </x:c>
      <x:c r="O31" s="377">
        <x:v>0</x:v>
      </x:c>
    </x:row>
    <x:row r="32" spans="1:15" ht="12.75" customHeight="1" x14ac:dyDescent="0.3">
      <x:c r="B32" s="89" t="s">
        <x:v>73</x:v>
      </x:c>
      <x:c r="C32" s="90">
        <x:v>0</x:v>
      </x:c>
      <x:c r="D32" s="90">
        <x:v>0</x:v>
      </x:c>
      <x:c r="E32" s="90">
        <x:v>0</x:v>
      </x:c>
      <x:c r="F32" s="90">
        <x:v>0</x:v>
      </x:c>
      <x:c r="G32" s="90">
        <x:v>0</x:v>
      </x:c>
      <x:c r="H32" s="90">
        <x:v>0</x:v>
      </x:c>
      <x:c r="I32" s="90">
        <x:v>0</x:v>
      </x:c>
      <x:c r="J32" s="90">
        <x:v>0</x:v>
      </x:c>
      <x:c r="K32" s="90">
        <x:v>0</x:v>
      </x:c>
      <x:c r="L32" s="90">
        <x:v>0</x:v>
      </x:c>
      <x:c r="M32" s="90">
        <x:v>0</x:v>
      </x:c>
      <x:c r="N32" s="90">
        <x:v>0</x:v>
      </x:c>
      <x:c r="O32" s="90">
        <x:v>0</x:v>
      </x:c>
    </x:row>
    <x:row r="33" spans="1:15" s="372" customFormat="1" ht="12.75" customHeight="1" x14ac:dyDescent="0.3">
      <x:c r="A33" s="373" t="s">
        <x:v>79</x:v>
      </x:c>
      <x:c r="B33" s="373" t="s">
        <x:v>70</x:v>
      </x:c>
      <x:c r="C33" s="374">
        <x:v>0</x:v>
      </x:c>
      <x:c r="D33" s="374">
        <x:v>0</x:v>
      </x:c>
      <x:c r="E33" s="374">
        <x:v>0</x:v>
      </x:c>
      <x:c r="F33" s="374">
        <x:v>0</x:v>
      </x:c>
      <x:c r="G33" s="374">
        <x:v>0</x:v>
      </x:c>
      <x:c r="H33" s="374">
        <x:v>0</x:v>
      </x:c>
      <x:c r="I33" s="374">
        <x:v>0</x:v>
      </x:c>
      <x:c r="J33" s="374">
        <x:v>0</x:v>
      </x:c>
      <x:c r="K33" s="374">
        <x:v>0</x:v>
      </x:c>
      <x:c r="L33" s="374">
        <x:v>0</x:v>
      </x:c>
      <x:c r="M33" s="374">
        <x:v>0</x:v>
      </x:c>
      <x:c r="N33" s="374">
        <x:v>0</x:v>
      </x:c>
      <x:c r="O33" s="374">
        <x:v>0</x:v>
      </x:c>
    </x:row>
    <x:row r="34" spans="1:15" ht="12.75" customHeight="1" x14ac:dyDescent="0.3">
      <x:c r="A34" s="89" t="s">
        <x:v>70</x:v>
      </x:c>
      <x:c r="C34" s="90">
        <x:v>0</x:v>
      </x:c>
      <x:c r="D34" s="90">
        <x:v>0</x:v>
      </x:c>
      <x:c r="E34" s="90">
        <x:v>0</x:v>
      </x:c>
      <x:c r="F34" s="90">
        <x:v>0</x:v>
      </x:c>
      <x:c r="G34" s="90">
        <x:v>0</x:v>
      </x:c>
      <x:c r="H34" s="90">
        <x:v>0</x:v>
      </x:c>
      <x:c r="I34" s="90">
        <x:v>0</x:v>
      </x:c>
      <x:c r="J34" s="90">
        <x:v>0</x:v>
      </x:c>
      <x:c r="K34" s="90">
        <x:v>0</x:v>
      </x:c>
      <x:c r="L34" s="90">
        <x:v>0</x:v>
      </x:c>
      <x:c r="M34" s="90">
        <x:v>0</x:v>
      </x:c>
      <x:c r="N34" s="90">
        <x:v>0</x:v>
      </x:c>
      <x:c r="O34" s="90">
        <x:v>0</x:v>
      </x:c>
    </x:row>
    <x:row r="35" spans="1:15" ht="12.75" customHeight="1" x14ac:dyDescent="0.3">
      <x:c r="A35" s="89"/>
      <x:c r="C35" s="90"/>
      <x:c r="D35" s="90"/>
      <x:c r="E35" s="90"/>
      <x:c r="F35" s="90"/>
      <x:c r="G35" s="90"/>
      <x:c r="H35" s="90"/>
      <x:c r="I35" s="90"/>
      <x:c r="J35" s="90"/>
      <x:c r="K35" s="90"/>
      <x:c r="L35" s="90"/>
      <x:c r="M35" s="90"/>
      <x:c r="O35" s="90"/>
    </x:row>
    <x:row r="36" spans="1:15" ht="12.75" customHeight="1" x14ac:dyDescent="0.3">
      <x:c r="B36" s="145" t="s">
        <x:v>70</x:v>
      </x:c>
      <x:c r="C36" s="99">
        <x:f>C34-I34</x:f>
        <x:v>0</x:v>
      </x:c>
      <x:c r="D36" s="99">
        <x:f>D31</x:f>
        <x:v>0</x:v>
      </x:c>
      <x:c r="E36" s="99">
        <x:f t="shared" ref="E36:O36" si="2">E31</x:f>
        <x:v>0</x:v>
      </x:c>
      <x:c r="F36" s="99">
        <x:f t="shared" si="2"/>
        <x:v>0</x:v>
      </x:c>
      <x:c r="G36" s="99">
        <x:f t="shared" si="2"/>
        <x:v>0</x:v>
      </x:c>
      <x:c r="H36" s="99">
        <x:f t="shared" si="2"/>
        <x:v>0</x:v>
      </x:c>
      <x:c r="I36" s="99">
        <x:f t="shared" si="2"/>
        <x:v>0</x:v>
      </x:c>
      <x:c r="J36" s="99">
        <x:f t="shared" si="2"/>
        <x:v>0</x:v>
      </x:c>
      <x:c r="K36" s="99">
        <x:f t="shared" si="2"/>
        <x:v>0</x:v>
      </x:c>
      <x:c r="L36" s="99">
        <x:f t="shared" si="2"/>
        <x:v>0</x:v>
      </x:c>
      <x:c r="M36" s="99">
        <x:f t="shared" si="2"/>
        <x:v>0</x:v>
      </x:c>
      <x:c r="N36" s="99">
        <x:f t="shared" si="2"/>
        <x:v>0</x:v>
      </x:c>
      <x:c r="O36" s="99">
        <x:f t="shared" si="2"/>
        <x:v>0</x:v>
      </x:c>
    </x:row>
    <x:row r="37" spans="1:15" ht="12.75" customHeight="1" x14ac:dyDescent="0.3">
      <x:c r="B37" s="145" t="s">
        <x:v>73</x:v>
      </x:c>
      <x:c r="C37" s="99">
        <x:f>C33</x:f>
        <x:v>0</x:v>
      </x:c>
    </x:row>
    <x:row r="39" spans="1:15" x14ac:dyDescent="0.3">
      <x:c r="A39" s="94"/>
      <x:c r="B39" s="94"/>
      <x:c r="C39" s="146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</x:row>
    <x:row r="40" spans="1:15" x14ac:dyDescent="0.3">
      <x:c r="B40" s="97" t="s">
        <x:v>88</x:v>
      </x:c>
    </x:row>
    <x:row r="41" spans="1:15" ht="12.75" customHeight="1" x14ac:dyDescent="0.3">
      <x:c r="C41" s="89" t="s">
        <x:v>70</x:v>
      </x:c>
      <x:c r="D41" s="89" t="s">
        <x:v>64</x:v>
      </x:c>
      <x:c r="E41" s="89" t="s">
        <x:v>65</x:v>
      </x:c>
      <x:c r="F41" s="375" t="s">
        <x:v>164</x:v>
      </x:c>
      <x:c r="G41" s="89" t="s">
        <x:v>69</x:v>
      </x:c>
      <x:c r="H41" s="89" t="s">
        <x:v>68</x:v>
      </x:c>
      <x:c r="I41" s="89" t="s">
        <x:v>83</x:v>
      </x:c>
      <x:c r="J41" s="89" t="s">
        <x:v>66</x:v>
      </x:c>
      <x:c r="K41" s="89" t="s">
        <x:v>63</x:v>
      </x:c>
      <x:c r="L41" s="89" t="s">
        <x:v>61</x:v>
      </x:c>
      <x:c r="M41" s="89" t="s">
        <x:v>62</x:v>
      </x:c>
      <x:c r="N41" s="89" t="s">
        <x:v>67</x:v>
      </x:c>
      <x:c r="O41" s="89" t="s">
        <x:v>84</x:v>
      </x:c>
    </x:row>
    <x:row r="42" spans="1:15" ht="12.75" customHeight="1" x14ac:dyDescent="0.3">
      <x:c r="B42" t="s">
        <x:v>81</x:v>
      </x:c>
      <x:c r="C42" s="89">
        <x:v>0</x:v>
      </x:c>
      <x:c r="D42" s="89">
        <x:v>0</x:v>
      </x:c>
      <x:c r="E42" s="89">
        <x:v>0</x:v>
      </x:c>
      <x:c r="F42" s="89">
        <x:v>0</x:v>
      </x:c>
      <x:c r="G42" s="89">
        <x:v>0</x:v>
      </x:c>
      <x:c r="H42" s="89">
        <x:v>0</x:v>
      </x:c>
      <x:c r="I42" s="89">
        <x:v>0</x:v>
      </x:c>
      <x:c r="J42" s="89">
        <x:v>0</x:v>
      </x:c>
      <x:c r="K42" s="89">
        <x:v>0</x:v>
      </x:c>
      <x:c r="L42" s="89">
        <x:v>0</x:v>
      </x:c>
      <x:c r="M42" s="89">
        <x:v>0</x:v>
      </x:c>
      <x:c r="N42" s="89">
        <x:v>0</x:v>
      </x:c>
      <x:c r="O42" s="89">
        <x:v>0</x:v>
      </x:c>
    </x:row>
    <x:row r="43" spans="1:15" ht="12.75" customHeight="1" x14ac:dyDescent="0.3">
      <x:c r="A43" s="89"/>
      <x:c r="B43" s="89" t="s">
        <x:v>72</x:v>
      </x:c>
      <x:c r="C43" s="90">
        <x:v>0</x:v>
      </x:c>
      <x:c r="D43" s="90">
        <x:v>0</x:v>
      </x:c>
      <x:c r="E43" s="90">
        <x:v>0</x:v>
      </x:c>
      <x:c r="F43" s="90">
        <x:v>0</x:v>
      </x:c>
      <x:c r="G43" s="90">
        <x:v>0</x:v>
      </x:c>
      <x:c r="H43" s="90">
        <x:v>0</x:v>
      </x:c>
      <x:c r="I43" s="90">
        <x:v>0</x:v>
      </x:c>
      <x:c r="J43" s="90">
        <x:v>0</x:v>
      </x:c>
      <x:c r="K43" s="90">
        <x:v>0</x:v>
      </x:c>
      <x:c r="L43" s="90">
        <x:v>0</x:v>
      </x:c>
      <x:c r="M43" s="90">
        <x:v>0</x:v>
      </x:c>
      <x:c r="N43" s="90">
        <x:v>0</x:v>
      </x:c>
      <x:c r="O43" s="90">
        <x:v>0</x:v>
      </x:c>
    </x:row>
    <x:row r="44" spans="1:15" s="378" customFormat="1" ht="12.75" customHeight="1" x14ac:dyDescent="0.3">
      <x:c r="A44" s="376" t="s">
        <x:v>78</x:v>
      </x:c>
      <x:c r="B44" s="376" t="s">
        <x:v>70</x:v>
      </x:c>
      <x:c r="C44" s="377">
        <x:v>0</x:v>
      </x:c>
      <x:c r="D44" s="377">
        <x:v>0</x:v>
      </x:c>
      <x:c r="E44" s="377">
        <x:v>0</x:v>
      </x:c>
      <x:c r="F44" s="377">
        <x:v>0</x:v>
      </x:c>
      <x:c r="G44" s="377">
        <x:v>0</x:v>
      </x:c>
      <x:c r="H44" s="377">
        <x:v>0</x:v>
      </x:c>
      <x:c r="I44" s="377">
        <x:v>0</x:v>
      </x:c>
      <x:c r="J44" s="377">
        <x:v>0</x:v>
      </x:c>
      <x:c r="K44" s="377">
        <x:v>0</x:v>
      </x:c>
      <x:c r="L44" s="377">
        <x:v>0</x:v>
      </x:c>
      <x:c r="M44" s="377">
        <x:v>0</x:v>
      </x:c>
      <x:c r="N44" s="377">
        <x:v>0</x:v>
      </x:c>
      <x:c r="O44" s="377">
        <x:v>0</x:v>
      </x:c>
    </x:row>
    <x:row r="45" spans="1:15" ht="12.75" customHeight="1" x14ac:dyDescent="0.3">
      <x:c r="A45" s="89"/>
      <x:c r="B45" s="89" t="s">
        <x:v>73</x:v>
      </x:c>
      <x:c r="C45" s="90">
        <x:v>0</x:v>
      </x:c>
      <x:c r="D45" s="90">
        <x:v>0</x:v>
      </x:c>
      <x:c r="E45" s="90">
        <x:v>0</x:v>
      </x:c>
      <x:c r="F45" s="90">
        <x:v>0</x:v>
      </x:c>
      <x:c r="G45" s="90">
        <x:v>0</x:v>
      </x:c>
      <x:c r="H45" s="90">
        <x:v>0</x:v>
      </x:c>
      <x:c r="I45" s="90">
        <x:v>0</x:v>
      </x:c>
      <x:c r="J45" s="90">
        <x:v>0</x:v>
      </x:c>
      <x:c r="K45" s="90">
        <x:v>0</x:v>
      </x:c>
      <x:c r="L45" s="90">
        <x:v>0</x:v>
      </x:c>
      <x:c r="M45" s="90">
        <x:v>0</x:v>
      </x:c>
      <x:c r="N45" s="90">
        <x:v>0</x:v>
      </x:c>
      <x:c r="O45" s="90">
        <x:v>0</x:v>
      </x:c>
    </x:row>
    <x:row r="46" spans="1:15" s="372" customFormat="1" ht="12.75" customHeight="1" x14ac:dyDescent="0.3">
      <x:c r="A46" s="373" t="s">
        <x:v>79</x:v>
      </x:c>
      <x:c r="B46" s="373" t="s">
        <x:v>70</x:v>
      </x:c>
      <x:c r="C46" s="374">
        <x:v>0</x:v>
      </x:c>
      <x:c r="D46" s="374">
        <x:v>0</x:v>
      </x:c>
      <x:c r="E46" s="374">
        <x:v>0</x:v>
      </x:c>
      <x:c r="F46" s="374">
        <x:v>0</x:v>
      </x:c>
      <x:c r="G46" s="374">
        <x:v>0</x:v>
      </x:c>
      <x:c r="H46" s="374">
        <x:v>0</x:v>
      </x:c>
      <x:c r="I46" s="374">
        <x:v>0</x:v>
      </x:c>
      <x:c r="J46" s="374">
        <x:v>0</x:v>
      </x:c>
      <x:c r="K46" s="374">
        <x:v>0</x:v>
      </x:c>
      <x:c r="L46" s="374">
        <x:v>0</x:v>
      </x:c>
      <x:c r="M46" s="374">
        <x:v>0</x:v>
      </x:c>
      <x:c r="N46" s="374">
        <x:v>0</x:v>
      </x:c>
      <x:c r="O46" s="374">
        <x:v>0</x:v>
      </x:c>
    </x:row>
    <x:row r="47" spans="1:15" ht="12.75" customHeight="1" x14ac:dyDescent="0.3">
      <x:c r="A47" s="89" t="s">
        <x:v>70</x:v>
      </x:c>
      <x:c r="C47" s="90">
        <x:v>0</x:v>
      </x:c>
      <x:c r="D47" s="90">
        <x:v>0</x:v>
      </x:c>
      <x:c r="E47" s="90">
        <x:v>0</x:v>
      </x:c>
      <x:c r="F47" s="90">
        <x:v>0</x:v>
      </x:c>
      <x:c r="G47" s="90">
        <x:v>0</x:v>
      </x:c>
      <x:c r="H47" s="90">
        <x:v>0</x:v>
      </x:c>
      <x:c r="I47" s="90">
        <x:v>0</x:v>
      </x:c>
      <x:c r="J47" s="90">
        <x:v>0</x:v>
      </x:c>
      <x:c r="K47" s="90">
        <x:v>0</x:v>
      </x:c>
      <x:c r="L47" s="90">
        <x:v>0</x:v>
      </x:c>
      <x:c r="M47" s="90">
        <x:v>0</x:v>
      </x:c>
      <x:c r="N47" s="90">
        <x:v>0</x:v>
      </x:c>
      <x:c r="O47" s="90">
        <x:v>0</x:v>
      </x:c>
    </x:row>
    <x:row r="48" spans="1:15" ht="12.75" customHeight="1" x14ac:dyDescent="0.3">
      <x:c r="A48" s="89"/>
      <x:c r="C48" s="90"/>
      <x:c r="D48" s="90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</x:row>
    <x:row r="49" spans="1:15" ht="12.75" customHeight="1" x14ac:dyDescent="0.3">
      <x:c r="B49" s="145" t="s">
        <x:v>70</x:v>
      </x:c>
      <x:c r="C49" s="99">
        <x:f>C47-I47</x:f>
        <x:v>0</x:v>
      </x:c>
      <x:c r="D49" s="99">
        <x:f>D44</x:f>
        <x:v>0</x:v>
      </x:c>
      <x:c r="E49" s="99">
        <x:f t="shared" ref="E49:O49" si="3">E44</x:f>
        <x:v>0</x:v>
      </x:c>
      <x:c r="F49" s="99">
        <x:f t="shared" si="3"/>
        <x:v>0</x:v>
      </x:c>
      <x:c r="G49" s="99">
        <x:f t="shared" si="3"/>
        <x:v>0</x:v>
      </x:c>
      <x:c r="H49" s="99">
        <x:f t="shared" si="3"/>
        <x:v>0</x:v>
      </x:c>
      <x:c r="I49" s="99">
        <x:f t="shared" si="3"/>
        <x:v>0</x:v>
      </x:c>
      <x:c r="J49" s="99">
        <x:f t="shared" si="3"/>
        <x:v>0</x:v>
      </x:c>
      <x:c r="K49" s="99">
        <x:f t="shared" si="3"/>
        <x:v>0</x:v>
      </x:c>
      <x:c r="L49" s="99">
        <x:f t="shared" si="3"/>
        <x:v>0</x:v>
      </x:c>
      <x:c r="M49" s="99">
        <x:f t="shared" si="3"/>
        <x:v>0</x:v>
      </x:c>
      <x:c r="N49" s="99">
        <x:f t="shared" si="3"/>
        <x:v>0</x:v>
      </x:c>
      <x:c r="O49" s="99">
        <x:f t="shared" si="3"/>
        <x:v>0</x:v>
      </x:c>
    </x:row>
    <x:row r="50" spans="1:15" ht="12.75" customHeight="1" x14ac:dyDescent="0.3">
      <x:c r="B50" s="145" t="s">
        <x:v>73</x:v>
      </x:c>
      <x:c r="C50" s="99">
        <x:f>C46</x:f>
        <x:v>0</x:v>
      </x:c>
    </x:row>
    <x:row r="52" spans="1:15" x14ac:dyDescent="0.3">
      <x:c r="A52" s="94"/>
      <x:c r="B52" s="94"/>
      <x:c r="C52" s="146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</x:row>
    <x:row r="53" spans="1:15" x14ac:dyDescent="0.3">
      <x:c r="B53" s="97" t="s">
        <x:v>93</x:v>
      </x:c>
    </x:row>
    <x:row r="54" spans="1:15" ht="12.75" customHeight="1" x14ac:dyDescent="0.3">
      <x:c r="C54" s="89" t="s">
        <x:v>70</x:v>
      </x:c>
      <x:c r="D54" s="89" t="s">
        <x:v>64</x:v>
      </x:c>
      <x:c r="E54" s="89" t="s">
        <x:v>65</x:v>
      </x:c>
      <x:c r="F54" s="375" t="s">
        <x:v>164</x:v>
      </x:c>
      <x:c r="G54" s="89" t="s">
        <x:v>69</x:v>
      </x:c>
      <x:c r="H54" s="89" t="s">
        <x:v>68</x:v>
      </x:c>
      <x:c r="I54" s="89" t="s">
        <x:v>83</x:v>
      </x:c>
      <x:c r="J54" s="89" t="s">
        <x:v>66</x:v>
      </x:c>
      <x:c r="K54" s="89" t="s">
        <x:v>63</x:v>
      </x:c>
      <x:c r="L54" s="89" t="s">
        <x:v>61</x:v>
      </x:c>
      <x:c r="M54" s="89" t="s">
        <x:v>62</x:v>
      </x:c>
      <x:c r="N54" s="89" t="s">
        <x:v>67</x:v>
      </x:c>
      <x:c r="O54" s="89" t="s">
        <x:v>84</x:v>
      </x:c>
    </x:row>
    <x:row r="55" spans="1:15" ht="12.75" customHeight="1" x14ac:dyDescent="0.3">
      <x:c r="B55" t="s">
        <x:v>81</x:v>
      </x:c>
      <x:c r="C55" s="89">
        <x:v>0</x:v>
      </x:c>
      <x:c r="D55" s="89">
        <x:v>0</x:v>
      </x:c>
      <x:c r="E55" s="89">
        <x:v>0</x:v>
      </x:c>
      <x:c r="F55" s="89">
        <x:v>0</x:v>
      </x:c>
      <x:c r="G55" s="89">
        <x:v>0</x:v>
      </x:c>
      <x:c r="H55" s="89">
        <x:v>0</x:v>
      </x:c>
      <x:c r="I55" s="89">
        <x:v>0</x:v>
      </x:c>
      <x:c r="J55" s="89">
        <x:v>0</x:v>
      </x:c>
      <x:c r="K55" s="89">
        <x:v>0</x:v>
      </x:c>
      <x:c r="L55" s="89">
        <x:v>0</x:v>
      </x:c>
      <x:c r="M55" s="89">
        <x:v>0</x:v>
      </x:c>
      <x:c r="N55" s="89">
        <x:v>0</x:v>
      </x:c>
      <x:c r="O55" s="89">
        <x:v>0</x:v>
      </x:c>
    </x:row>
    <x:row r="56" spans="1:15" ht="12.75" customHeight="1" x14ac:dyDescent="0.3">
      <x:c r="B56" s="89" t="s">
        <x:v>72</x:v>
      </x:c>
      <x:c r="C56" s="90">
        <x:v>0</x:v>
      </x:c>
      <x:c r="D56" s="90">
        <x:v>0</x:v>
      </x:c>
      <x:c r="E56" s="90">
        <x:v>0</x:v>
      </x:c>
      <x:c r="F56" s="90">
        <x:v>0</x:v>
      </x:c>
      <x:c r="G56" s="90">
        <x:v>0</x:v>
      </x:c>
      <x:c r="H56" s="90">
        <x:v>0</x:v>
      </x:c>
      <x:c r="I56">
        <x:v>0</x:v>
      </x:c>
      <x:c r="J56" s="90">
        <x:v>0</x:v>
      </x:c>
      <x:c r="K56" s="90">
        <x:v>0</x:v>
      </x:c>
      <x:c r="L56" s="90">
        <x:v>0</x:v>
      </x:c>
      <x:c r="M56" s="90">
        <x:v>0</x:v>
      </x:c>
      <x:c r="N56" s="90">
        <x:v>0</x:v>
      </x:c>
      <x:c r="O56" s="90">
        <x:v>0</x:v>
      </x:c>
    </x:row>
    <x:row r="57" spans="1:15" s="378" customFormat="1" ht="12.75" customHeight="1" x14ac:dyDescent="0.3">
      <x:c r="A57" s="376" t="s">
        <x:v>78</x:v>
      </x:c>
      <x:c r="B57" s="376" t="s">
        <x:v>70</x:v>
      </x:c>
      <x:c r="C57" s="377">
        <x:v>0</x:v>
      </x:c>
      <x:c r="D57" s="377">
        <x:v>0</x:v>
      </x:c>
      <x:c r="E57" s="377">
        <x:v>0</x:v>
      </x:c>
      <x:c r="F57" s="377">
        <x:v>0</x:v>
      </x:c>
      <x:c r="G57" s="377">
        <x:v>0</x:v>
      </x:c>
      <x:c r="H57" s="377">
        <x:v>0</x:v>
      </x:c>
      <x:c r="I57" s="378">
        <x:v>0</x:v>
      </x:c>
      <x:c r="J57" s="377">
        <x:v>0</x:v>
      </x:c>
      <x:c r="K57" s="377">
        <x:v>0</x:v>
      </x:c>
      <x:c r="L57" s="377">
        <x:v>0</x:v>
      </x:c>
      <x:c r="M57" s="377">
        <x:v>0</x:v>
      </x:c>
      <x:c r="N57" s="377">
        <x:v>0</x:v>
      </x:c>
      <x:c r="O57" s="377">
        <x:v>0</x:v>
      </x:c>
    </x:row>
    <x:row r="58" spans="1:15" ht="12.75" customHeight="1" x14ac:dyDescent="0.3">
      <x:c r="B58" s="89" t="s">
        <x:v>73</x:v>
      </x:c>
      <x:c r="C58" s="90">
        <x:v>0</x:v>
      </x:c>
      <x:c r="D58" s="90">
        <x:v>0</x:v>
      </x:c>
      <x:c r="E58" s="90">
        <x:v>0</x:v>
      </x:c>
      <x:c r="F58" s="90">
        <x:v>0</x:v>
      </x:c>
      <x:c r="G58" s="90">
        <x:v>0</x:v>
      </x:c>
      <x:c r="H58" s="90">
        <x:v>0</x:v>
      </x:c>
      <x:c r="I58">
        <x:v>0</x:v>
      </x:c>
      <x:c r="J58" s="90">
        <x:v>0</x:v>
      </x:c>
      <x:c r="K58" s="90">
        <x:v>0</x:v>
      </x:c>
      <x:c r="L58" s="90">
        <x:v>0</x:v>
      </x:c>
      <x:c r="M58" s="90">
        <x:v>0</x:v>
      </x:c>
      <x:c r="N58" s="90">
        <x:v>0</x:v>
      </x:c>
      <x:c r="O58" s="90">
        <x:v>0</x:v>
      </x:c>
    </x:row>
    <x:row r="59" spans="1:15" s="372" customFormat="1" ht="12.75" customHeight="1" x14ac:dyDescent="0.3">
      <x:c r="A59" s="373" t="s">
        <x:v>79</x:v>
      </x:c>
      <x:c r="B59" s="373" t="s">
        <x:v>70</x:v>
      </x:c>
      <x:c r="C59" s="374">
        <x:v>0</x:v>
      </x:c>
      <x:c r="D59" s="374">
        <x:v>0</x:v>
      </x:c>
      <x:c r="E59" s="374">
        <x:v>0</x:v>
      </x:c>
      <x:c r="F59" s="374">
        <x:v>0</x:v>
      </x:c>
      <x:c r="G59" s="374">
        <x:v>0</x:v>
      </x:c>
      <x:c r="H59" s="374">
        <x:v>0</x:v>
      </x:c>
      <x:c r="I59" s="372">
        <x:v>0</x:v>
      </x:c>
      <x:c r="J59" s="374">
        <x:v>0</x:v>
      </x:c>
      <x:c r="K59" s="374">
        <x:v>0</x:v>
      </x:c>
      <x:c r="L59" s="374">
        <x:v>0</x:v>
      </x:c>
      <x:c r="M59" s="374">
        <x:v>0</x:v>
      </x:c>
      <x:c r="N59" s="374">
        <x:v>0</x:v>
      </x:c>
      <x:c r="O59" s="374">
        <x:v>0</x:v>
      </x:c>
    </x:row>
    <x:row r="60" spans="1:15" ht="12.75" customHeight="1" x14ac:dyDescent="0.3">
      <x:c r="A60" s="89" t="s">
        <x:v>70</x:v>
      </x:c>
      <x:c r="C60" s="90">
        <x:v>0</x:v>
      </x:c>
      <x:c r="D60" s="90">
        <x:v>0</x:v>
      </x:c>
      <x:c r="E60" s="90">
        <x:v>0</x:v>
      </x:c>
      <x:c r="F60" s="90">
        <x:v>0</x:v>
      </x:c>
      <x:c r="G60" s="90">
        <x:v>0</x:v>
      </x:c>
      <x:c r="H60" s="90">
        <x:v>0</x:v>
      </x:c>
      <x:c r="I60">
        <x:v>0</x:v>
      </x:c>
      <x:c r="J60" s="90">
        <x:v>0</x:v>
      </x:c>
      <x:c r="K60" s="90">
        <x:v>0</x:v>
      </x:c>
      <x:c r="L60" s="90">
        <x:v>0</x:v>
      </x:c>
      <x:c r="M60" s="90">
        <x:v>0</x:v>
      </x:c>
      <x:c r="N60" s="90">
        <x:v>0</x:v>
      </x:c>
      <x:c r="O60" s="90">
        <x:v>0</x:v>
      </x:c>
    </x:row>
    <x:row r="62" spans="1:15" ht="12.75" customHeight="1" x14ac:dyDescent="0.3">
      <x:c r="B62" s="145" t="s">
        <x:v>70</x:v>
      </x:c>
      <x:c r="C62" s="99">
        <x:f>C60-I60</x:f>
        <x:v>0</x:v>
      </x:c>
      <x:c r="D62" s="99">
        <x:f>D57</x:f>
        <x:v>0</x:v>
      </x:c>
      <x:c r="E62" s="99">
        <x:f t="shared" ref="E62:O62" si="4">E57</x:f>
        <x:v>0</x:v>
      </x:c>
      <x:c r="F62" s="99">
        <x:f t="shared" si="4"/>
        <x:v>0</x:v>
      </x:c>
      <x:c r="G62" s="99">
        <x:f t="shared" si="4"/>
        <x:v>0</x:v>
      </x:c>
      <x:c r="H62" s="99">
        <x:f t="shared" si="4"/>
        <x:v>0</x:v>
      </x:c>
      <x:c r="I62" s="99">
        <x:f t="shared" si="4"/>
        <x:v>0</x:v>
      </x:c>
      <x:c r="J62" s="99">
        <x:f t="shared" si="4"/>
        <x:v>0</x:v>
      </x:c>
      <x:c r="K62" s="99">
        <x:f t="shared" si="4"/>
        <x:v>0</x:v>
      </x:c>
      <x:c r="L62" s="99">
        <x:f t="shared" si="4"/>
        <x:v>0</x:v>
      </x:c>
      <x:c r="M62" s="99">
        <x:f t="shared" si="4"/>
        <x:v>0</x:v>
      </x:c>
      <x:c r="N62" s="99">
        <x:f t="shared" si="4"/>
        <x:v>0</x:v>
      </x:c>
      <x:c r="O62" s="99">
        <x:f t="shared" si="4"/>
        <x:v>0</x:v>
      </x:c>
    </x:row>
    <x:row r="63" spans="1:15" ht="12.75" customHeight="1" x14ac:dyDescent="0.3">
      <x:c r="B63" s="145" t="s">
        <x:v>73</x:v>
      </x:c>
      <x:c r="C63" s="99">
        <x:f>C59</x:f>
        <x:v>0</x:v>
      </x:c>
    </x:row>
  </x:sheetData>
  <x:pageMargins left="0.7" right="0.7" top="0.75" bottom="0.75" header="0.3" footer="0.3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dimension ref="A1:AH58"/>
  <x:sheetViews>
    <x:sheetView topLeftCell="T1" zoomScaleNormal="100" workbookViewId="0">
      <x:selection activeCell="AA10" sqref="AA10"/>
    </x:sheetView>
  </x:sheetViews>
  <x:sheetFormatPr baseColWidth="10" defaultColWidth="11.3828125" defaultRowHeight="11.6" x14ac:dyDescent="0.3"/>
  <x:cols>
    <x:col min="1" max="1" width="3" style="1" customWidth="1"/>
    <x:col min="2" max="2" width="4.3828125" style="1" bestFit="1" customWidth="1"/>
    <x:col min="3" max="3" width="36.84375" style="1" customWidth="1"/>
    <x:col min="4" max="4" width="15.15234375" style="1" customWidth="1"/>
    <x:col min="5" max="5" width="16" style="1" customWidth="1"/>
    <x:col min="6" max="7" width="14.84375" style="1" customWidth="1"/>
    <x:col min="8" max="8" width="16.15234375" style="1" customWidth="1"/>
    <x:col min="9" max="9" width="20.15234375" style="1" bestFit="1" customWidth="1"/>
    <x:col min="10" max="10" width="15.53515625" style="1" customWidth="1"/>
    <x:col min="11" max="11" width="17.53515625" style="1" customWidth="1"/>
    <x:col min="12" max="12" width="17" style="1" bestFit="1" customWidth="1"/>
    <x:col min="13" max="13" width="19.84375" style="1" customWidth="1"/>
    <x:col min="14" max="14" width="19.15234375" style="1" bestFit="1" customWidth="1"/>
    <x:col min="15" max="15" width="16.84375" style="1" customWidth="1"/>
    <x:col min="16" max="16" width="3.84375" style="1" customWidth="1"/>
    <x:col min="17" max="17" width="2.84375" style="1" customWidth="1"/>
    <x:col min="18" max="18" width="4.53515625" style="1" customWidth="1"/>
    <x:col min="19" max="19" width="11.15234375" style="1" customWidth="1"/>
    <x:col min="20" max="20" width="37.53515625" style="1" bestFit="1" customWidth="1"/>
    <x:col min="21" max="21" width="19.15234375" style="1" customWidth="1"/>
    <x:col min="22" max="22" width="17.84375" style="1" customWidth="1"/>
    <x:col min="23" max="23" width="16.3828125" style="1" customWidth="1"/>
    <x:col min="24" max="24" width="17.15234375" style="1" customWidth="1"/>
    <x:col min="25" max="25" width="15.84375" style="1" customWidth="1"/>
    <x:col min="26" max="26" width="16" style="1" customWidth="1"/>
    <x:col min="27" max="27" width="15" style="1" customWidth="1"/>
    <x:col min="28" max="28" width="16.84375" style="1" customWidth="1"/>
    <x:col min="29" max="30" width="15.84375" style="1" bestFit="1" customWidth="1"/>
    <x:col min="31" max="31" width="16.15234375" style="1" customWidth="1"/>
    <x:col min="32" max="32" width="18.15234375" style="1" customWidth="1"/>
    <x:col min="33" max="33" width="13.84375" style="1" customWidth="1"/>
    <x:col min="34" max="34" width="3.3828125" style="1" customWidth="1"/>
    <x:col min="35" max="35" width="13.84375" style="1" bestFit="1" customWidth="1"/>
    <x:col min="36" max="16384" width="11.3828125" style="1"/>
  </x:cols>
  <x:sheetData>
    <x:row r="1" spans="1:34" ht="12" thickBot="1" x14ac:dyDescent="0.35">
      <x:c r="A1" s="1" t="s">
        <x:v>1</x:v>
      </x:c>
      <x:c r="Q1" s="4"/>
      <x:c r="AH1" s="4"/>
    </x:row>
    <x:row r="2" spans="1:34" x14ac:dyDescent="0.3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7"/>
      <x:c r="AF2" s="2"/>
      <x:c r="AH2" s="4"/>
    </x:row>
    <x:row r="3" spans="1:34" ht="14.15" x14ac:dyDescent="0.3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2026101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C3" s="84">
        <x:f>N3</x:f>
        <x:v>2026101</x:v>
      </x:c>
      <x:c r="AD3" s="84"/>
      <x:c r="AE3" s="48"/>
      <x:c r="AF3" s="2"/>
      <x:c r="AH3" s="4"/>
    </x:row>
    <x:row r="4" spans="1:34" ht="15.45" x14ac:dyDescent="0.4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10" t="s">
        <x:v>1</x:v>
      </x:c>
      <x:c r="AF4" s="2"/>
      <x:c r="AH4" s="4"/>
    </x:row>
    <x:row r="5" spans="1:34" ht="14.15" x14ac:dyDescent="0.3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E5" s="44"/>
      <x:c r="AF5" s="2"/>
      <x:c r="AH5" s="4"/>
    </x:row>
    <x:row r="6" spans="1:34" ht="15.45" x14ac:dyDescent="0.4">
      <x:c r="B6" s="8"/>
      <x:c r="C6" s="2" t="s">
        <x:v>17</x:v>
      </x:c>
      <x:c r="D6" s="9">
        <x:f>'CONSOLIDADO_TOTAL RECAUDO'!D6</x:f>
        <x:v>46297</x:v>
      </x:c>
      <x:c r="F6" s="41" t="s">
        <x:v>123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tr">
        <x:f>+F6</x:f>
        <x:v xml:space="preserve">SALDOS A FAVOR POR NOTA </x:v>
      </x:c>
      <x:c r="V6" s="2"/>
      <x:c r="X6" s="2"/>
      <x:c r="Y6" s="2"/>
      <x:c r="AE6" s="48"/>
      <x:c r="AF6" s="2"/>
      <x:c r="AH6" s="4"/>
    </x:row>
    <x:row r="7" spans="1:34" ht="12" thickBot="1" x14ac:dyDescent="0.35">
      <x:c r="B7" s="8"/>
      <x:c r="C7" s="2" t="s">
        <x:v>0</x:v>
      </x:c>
      <x:c r="D7" s="241">
        <x:f>'CONSOLIDADO_TOTAL RECAUDO'!D7</x:f>
        <x:v>0.58333333333333337</x:v>
      </x:c>
      <x:c r="F7" s="2" t="s">
        <x:v>27</x:v>
      </x:c>
      <x:c r="G7" s="2"/>
      <x:c r="H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H7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E7" s="48"/>
      <x:c r="AF7" s="2"/>
      <x:c r="AH7" s="4"/>
    </x:row>
    <x:row r="8" spans="1:34" ht="72" customHeight="1" thickBot="1" x14ac:dyDescent="0.3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380" t="s">
        <x:v>46</x:v>
      </x:c>
      <x:c r="AB8" s="65" t="s">
        <x:v>7</x:v>
      </x:c>
      <x:c r="AC8" s="121" t="s">
        <x:v>107</x:v>
      </x:c>
      <x:c r="AD8" s="121" t="s">
        <x:v>106</x:v>
      </x:c>
      <x:c r="AE8" s="39" t="s">
        <x:v>23</x:v>
      </x:c>
      <x:c r="AF8" s="13"/>
      <x:c r="AH8" s="4"/>
    </x:row>
    <x:row r="9" spans="1:34" x14ac:dyDescent="0.3">
      <x:c r="B9" s="14">
        <x:v>1</x:v>
      </x:c>
      <x:c r="C9" s="61" t="s">
        <x:v>10</x:v>
      </x:c>
      <x:c r="D9" s="66">
        <x:f>'SALDOS POR NOTA'!C10</x:f>
        <x:v>0</x:v>
      </x:c>
      <x:c r="E9" s="66">
        <x:f>'SALDOS POR NOTA'!D10</x:f>
        <x:v>0</x:v>
      </x:c>
      <x:c r="F9" s="66">
        <x:f>'SALDOS POR NOTA'!E10</x:f>
        <x:v>0</x:v>
      </x:c>
      <x:c r="G9" s="66">
        <x:f>'SALDOS POR NOTA'!F10</x:f>
        <x:v>0</x:v>
      </x:c>
      <x:c r="H9" s="66">
        <x:f>'SALDOS POR NOTA'!G10</x:f>
        <x:v>0</x:v>
      </x:c>
      <x:c r="I9" s="66">
        <x:f>'SALDOS POR NOTA'!H10</x:f>
        <x:v>0</x:v>
      </x:c>
      <x:c r="J9" s="66">
        <x:v>0</x:v>
      </x:c>
      <x:c r="K9" s="30">
        <x:f>D9-E9-F9-G9-H9-I9-J9</x:f>
        <x:v>0</x:v>
      </x:c>
      <x:c r="L9" s="37">
        <x:v>0</x:v>
      </x:c>
      <x:c r="M9" s="30">
        <x:f>K9-L9</x:f>
        <x:v>0</x:v>
      </x:c>
      <x:c r="N9" s="37">
        <x:f>'SALDOS POR NOTA'!I10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'SALDOS POR NOTA'!J10</x:f>
        <x:v>0</x:v>
      </x:c>
      <x:c r="V9" s="66">
        <x:f>'SALDOS POR NOTA'!K10</x:f>
        <x:v>0</x:v>
      </x:c>
      <x:c r="W9" s="66">
        <x:f>'SALDOS POR NOTA'!L10</x:f>
        <x:v>0</x:v>
      </x:c>
      <x:c r="X9" s="66">
        <x:f>'SALDOS POR NOTA'!M10</x:f>
        <x:v>0</x:v>
      </x:c>
      <x:c r="Y9" s="66">
        <x:f>'SALDOS POR NOTA'!N10</x:f>
        <x:v>0</x:v>
      </x:c>
      <x:c r="Z9" s="379">
        <x:f>L9*-1</x:f>
        <x:v>0</x:v>
      </x:c>
      <x:c r="AA9" s="75">
        <x:f>'SALDOS POR NOTA'!O10</x:f>
        <x:v>0</x:v>
      </x:c>
      <x:c r="AB9" s="37">
        <x:f>N9</x:f>
        <x:v>0</x:v>
      </x:c>
      <x:c r="AC9" s="66">
        <x:f>-J9+AD9</x:f>
        <x:v>0</x:v>
      </x:c>
      <x:c r="AD9" s="66">
        <x:f>'SALDOS POR NOTA'!C11</x:f>
        <x:v>0</x:v>
      </x:c>
      <x:c r="AE9" s="115">
        <x:f>SUM(U9:AC9)</x:f>
        <x:v>0</x:v>
      </x:c>
      <x:c r="AF9" s="117">
        <x:f>(AE9-O9)</x:f>
        <x:v>0</x:v>
      </x:c>
      <x:c r="AG9" s="1" t="b">
        <x:f>AF9=0</x:f>
        <x:v>1</x:v>
      </x:c>
      <x:c r="AH9" s="4"/>
    </x:row>
    <x:row r="10" spans="1:34" x14ac:dyDescent="0.3">
      <x:c r="B10" s="16">
        <x:v>2</x:v>
      </x:c>
      <x:c r="C10" s="62" t="s">
        <x:v>11</x:v>
      </x:c>
      <x:c r="D10" s="66">
        <x:f>'SALDOS POR NOTA'!C23</x:f>
        <x:v>0</x:v>
      </x:c>
      <x:c r="E10" s="66">
        <x:f>'SALDOS POR NOTA'!D23</x:f>
        <x:v>0</x:v>
      </x:c>
      <x:c r="F10" s="66">
        <x:f>'SALDOS POR NOTA'!E23</x:f>
        <x:v>0</x:v>
      </x:c>
      <x:c r="G10" s="66">
        <x:f>'SALDOS POR NOTA'!F23</x:f>
        <x:v>0</x:v>
      </x:c>
      <x:c r="H10" s="66">
        <x:f>'SALDOS POR NOTA'!G23</x:f>
        <x:v>0</x:v>
      </x:c>
      <x:c r="I10" s="66">
        <x:f>'SALDOS POR NOTA'!H23</x:f>
        <x:v>0</x:v>
      </x:c>
      <x:c r="J10" s="66">
        <x:v>0</x:v>
      </x:c>
      <x:c r="K10" s="31">
        <x:f t="shared" ref="K10:K13" si="0">D10-E10-F10-G10-H10-I10-J10</x:f>
        <x:v>0</x:v>
      </x:c>
      <x:c r="L10" s="38">
        <x:v>0</x:v>
      </x:c>
      <x:c r="M10" s="31">
        <x:f>K10-L10</x:f>
        <x:v>0</x:v>
      </x:c>
      <x:c r="N10" s="37">
        <x:f>'SALDOS POR NOTA'!I23</x:f>
        <x:v>0</x:v>
      </x:c>
      <x:c r="O10" s="31">
        <x:f t="shared" ref="O10:O12" si="1">M10+N10</x:f>
        <x:v>0</x:v>
      </x:c>
      <x:c r="Q10" s="4"/>
      <x:c r="S10" s="16">
        <x:v>2</x:v>
      </x:c>
      <x:c r="T10" s="62" t="s">
        <x:v>11</x:v>
      </x:c>
      <x:c r="U10" s="66">
        <x:f>'SALDOS POR NOTA'!J23</x:f>
        <x:v>0</x:v>
      </x:c>
      <x:c r="V10" s="66">
        <x:f>'SALDOS POR NOTA'!K23</x:f>
        <x:v>0</x:v>
      </x:c>
      <x:c r="W10" s="66">
        <x:f>'SALDOS POR NOTA'!L23</x:f>
        <x:v>0</x:v>
      </x:c>
      <x:c r="X10" s="66">
        <x:f>'SALDOS POR NOTA'!M23</x:f>
        <x:v>0</x:v>
      </x:c>
      <x:c r="Y10" s="66">
        <x:f>'SALDOS POR NOTA'!N23</x:f>
        <x:v>0</x:v>
      </x:c>
      <x:c r="Z10" s="38">
        <x:f>L10*-1</x:f>
        <x:v>0</x:v>
      </x:c>
      <x:c r="AA10" s="382">
        <x:f>'SALDOS POR NOTA'!O23</x:f>
        <x:v>0</x:v>
      </x:c>
      <x:c r="AB10" s="37">
        <x:f>N10</x:f>
        <x:v>0</x:v>
      </x:c>
      <x:c r="AC10" s="66">
        <x:f t="shared" ref="AC10:AC13" si="2">-J10+AD10</x:f>
        <x:v>0</x:v>
      </x:c>
      <x:c r="AD10" s="66">
        <x:f>'SALDOS POR NOTA'!C24</x:f>
        <x:v>0</x:v>
      </x:c>
      <x:c r="AE10" s="116">
        <x:f>SUM(U10:AC10)</x:f>
        <x:v>0</x:v>
      </x:c>
      <x:c r="AF10" s="118">
        <x:f>(AE10-O10)</x:f>
        <x:v>0</x:v>
      </x:c>
      <x:c r="AG10" s="1" t="b">
        <x:f t="shared" ref="AG10:AG14" si="3">AF10=0</x:f>
        <x:v>1</x:v>
      </x:c>
      <x:c r="AH10" s="4"/>
    </x:row>
    <x:row r="11" spans="1:34" x14ac:dyDescent="0.3">
      <x:c r="B11" s="16">
        <x:v>3</x:v>
      </x:c>
      <x:c r="C11" s="62" t="s">
        <x:v>12</x:v>
      </x:c>
      <x:c r="D11" s="66">
        <x:f>'SALDOS POR NOTA'!C36</x:f>
        <x:v>0</x:v>
      </x:c>
      <x:c r="E11" s="66">
        <x:f>'SALDOS POR NOTA'!D36</x:f>
        <x:v>0</x:v>
      </x:c>
      <x:c r="F11" s="66">
        <x:f>'SALDOS POR NOTA'!E36</x:f>
        <x:v>0</x:v>
      </x:c>
      <x:c r="G11" s="66">
        <x:f>'SALDOS POR NOTA'!F36</x:f>
        <x:v>0</x:v>
      </x:c>
      <x:c r="H11" s="66">
        <x:f>'SALDOS POR NOTA'!G36</x:f>
        <x:v>0</x:v>
      </x:c>
      <x:c r="I11" s="66">
        <x:f>'SALDOS POR NOTA'!H36</x:f>
        <x:v>0</x:v>
      </x:c>
      <x:c r="J11" s="66">
        <x:v>0</x:v>
      </x:c>
      <x:c r="K11" s="31">
        <x:f t="shared" si="0"/>
        <x:v>0</x:v>
      </x:c>
      <x:c r="L11" s="38">
        <x:v>0</x:v>
      </x:c>
      <x:c r="M11" s="31">
        <x:f>K11-L11</x:f>
        <x:v>0</x:v>
      </x:c>
      <x:c r="N11" s="37">
        <x:f>'SALDOS POR NOTA'!I36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'SALDOS POR NOTA'!J36</x:f>
        <x:v>0</x:v>
      </x:c>
      <x:c r="V11" s="66">
        <x:f>'SALDOS POR NOTA'!K36</x:f>
        <x:v>0</x:v>
      </x:c>
      <x:c r="W11" s="66">
        <x:f>'SALDOS POR NOTA'!L36</x:f>
        <x:v>0</x:v>
      </x:c>
      <x:c r="X11" s="66">
        <x:f>'SALDOS POR NOTA'!M36</x:f>
        <x:v>0</x:v>
      </x:c>
      <x:c r="Y11" s="66">
        <x:f>'SALDOS POR NOTA'!N36</x:f>
        <x:v>0</x:v>
      </x:c>
      <x:c r="Z11" s="38">
        <x:f>L11*-1</x:f>
        <x:v>0</x:v>
      </x:c>
      <x:c r="AA11" s="382">
        <x:f>'SALDOS POR NOTA'!O36</x:f>
        <x:v>0</x:v>
      </x:c>
      <x:c r="AB11" s="37">
        <x:f>N11</x:f>
        <x:v>0</x:v>
      </x:c>
      <x:c r="AC11" s="66">
        <x:f t="shared" si="2"/>
        <x:v>0</x:v>
      </x:c>
      <x:c r="AD11" s="66">
        <x:f>'SALDOS POR NOTA'!C37</x:f>
        <x:v>0</x:v>
      </x:c>
      <x:c r="AE11" s="116">
        <x:f>SUM(U11:AC11)</x:f>
        <x:v>0</x:v>
      </x:c>
      <x:c r="AF11" s="118">
        <x:f>(AE11-O11)</x:f>
        <x:v>0</x:v>
      </x:c>
      <x:c r="AG11" s="1" t="b">
        <x:f t="shared" si="3"/>
        <x:v>1</x:v>
      </x:c>
      <x:c r="AH11" s="4"/>
    </x:row>
    <x:row r="12" spans="1:34" x14ac:dyDescent="0.3">
      <x:c r="B12" s="16">
        <x:v>4</x:v>
      </x:c>
      <x:c r="C12" s="62" t="s">
        <x:v>13</x:v>
      </x:c>
      <x:c r="D12" s="66">
        <x:f>'SALDOS POR NOTA'!C49</x:f>
        <x:v>0</x:v>
      </x:c>
      <x:c r="E12" s="66">
        <x:f>'SALDOS POR NOTA'!D49</x:f>
        <x:v>0</x:v>
      </x:c>
      <x:c r="F12" s="66">
        <x:f>'SALDOS POR NOTA'!E49</x:f>
        <x:v>0</x:v>
      </x:c>
      <x:c r="G12" s="66">
        <x:f>'SALDOS POR NOTA'!F49</x:f>
        <x:v>0</x:v>
      </x:c>
      <x:c r="H12" s="66">
        <x:f>'SALDOS POR NOTA'!G49</x:f>
        <x:v>0</x:v>
      </x:c>
      <x:c r="I12" s="66">
        <x:f>'SALDOS POR NOTA'!H49</x:f>
        <x:v>0</x:v>
      </x:c>
      <x:c r="J12" s="66">
        <x:v>0</x:v>
      </x:c>
      <x:c r="K12" s="31">
        <x:f t="shared" si="0"/>
        <x:v>0</x:v>
      </x:c>
      <x:c r="L12" s="38">
        <x:v>0</x:v>
      </x:c>
      <x:c r="M12" s="31">
        <x:f>K12-L12</x:f>
        <x:v>0</x:v>
      </x:c>
      <x:c r="N12" s="37">
        <x:f>'SALDOS POR NOTA'!I49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'SALDOS POR NOTA'!J49</x:f>
        <x:v>0</x:v>
      </x:c>
      <x:c r="V12" s="66">
        <x:f>'SALDOS POR NOTA'!K49</x:f>
        <x:v>0</x:v>
      </x:c>
      <x:c r="W12" s="66">
        <x:f>'SALDOS POR NOTA'!L49</x:f>
        <x:v>0</x:v>
      </x:c>
      <x:c r="X12" s="66">
        <x:f>'SALDOS POR NOTA'!M49</x:f>
        <x:v>0</x:v>
      </x:c>
      <x:c r="Y12" s="66">
        <x:f>'SALDOS POR NOTA'!N49</x:f>
        <x:v>0</x:v>
      </x:c>
      <x:c r="Z12" s="38">
        <x:f>L12*-1</x:f>
        <x:v>0</x:v>
      </x:c>
      <x:c r="AA12" s="382">
        <x:f>'SALDOS POR NOTA'!O49</x:f>
        <x:v>0</x:v>
      </x:c>
      <x:c r="AB12" s="37">
        <x:f>N12</x:f>
        <x:v>0</x:v>
      </x:c>
      <x:c r="AC12" s="66">
        <x:f t="shared" si="2"/>
        <x:v>0</x:v>
      </x:c>
      <x:c r="AD12" s="66">
        <x:f>'SALDOS POR NOTA'!C50</x:f>
        <x:v>0</x:v>
      </x:c>
      <x:c r="AE12" s="116">
        <x:f>SUM(U12:AC12)</x:f>
        <x:v>0</x:v>
      </x:c>
      <x:c r="AF12" s="118">
        <x:f>(AE12-O12)</x:f>
        <x:v>0</x:v>
      </x:c>
      <x:c r="AG12" s="1" t="b">
        <x:f t="shared" si="3"/>
        <x:v>1</x:v>
      </x:c>
      <x:c r="AH12" s="4"/>
    </x:row>
    <x:row r="13" spans="1:34" ht="12" thickBot="1" x14ac:dyDescent="0.35">
      <x:c r="B13" s="19">
        <x:v>5</x:v>
      </x:c>
      <x:c r="C13" s="63" t="s">
        <x:v>14</x:v>
      </x:c>
      <x:c r="D13" s="66">
        <x:f>'SALDOS POR NOTA'!C62</x:f>
        <x:v>0</x:v>
      </x:c>
      <x:c r="E13" s="66">
        <x:f>'SALDOS POR NOTA'!D62</x:f>
        <x:v>0</x:v>
      </x:c>
      <x:c r="F13" s="66">
        <x:f>'SALDOS POR NOTA'!E62</x:f>
        <x:v>0</x:v>
      </x:c>
      <x:c r="G13" s="66">
        <x:f>'SALDOS POR NOTA'!F62</x:f>
        <x:v>0</x:v>
      </x:c>
      <x:c r="H13" s="66">
        <x:f>'SALDOS POR NOTA'!G62</x:f>
        <x:v>0</x:v>
      </x:c>
      <x:c r="I13" s="66">
        <x:f>'SALDOS POR NOTA'!H62</x:f>
        <x:v>0</x:v>
      </x:c>
      <x:c r="J13" s="66">
        <x:v>0</x:v>
      </x:c>
      <x:c r="K13" s="31">
        <x:f t="shared" si="0"/>
        <x:v>0</x:v>
      </x:c>
      <x:c r="L13" s="38">
        <x:v>0</x:v>
      </x:c>
      <x:c r="M13" s="40">
        <x:f>K13-L13</x:f>
        <x:v>0</x:v>
      </x:c>
      <x:c r="N13" s="37">
        <x:f>'SALDOS POR NOTA'!I62</x:f>
        <x:v>0</x:v>
      </x:c>
      <x:c r="O13" s="40">
        <x:f>M13+N13</x:f>
        <x:v>0</x:v>
      </x:c>
      <x:c r="Q13" s="4"/>
      <x:c r="S13" s="19">
        <x:v>5</x:v>
      </x:c>
      <x:c r="T13" s="63" t="s">
        <x:v>14</x:v>
      </x:c>
      <x:c r="U13" s="66">
        <x:f>'SALDOS POR NOTA'!J62</x:f>
        <x:v>0</x:v>
      </x:c>
      <x:c r="V13" s="66">
        <x:f>'SALDOS POR NOTA'!K62</x:f>
        <x:v>0</x:v>
      </x:c>
      <x:c r="W13" s="66">
        <x:f>'SALDOS POR NOTA'!L62</x:f>
        <x:v>0</x:v>
      </x:c>
      <x:c r="X13" s="66">
        <x:f>'SALDOS POR NOTA'!M62</x:f>
        <x:v>0</x:v>
      </x:c>
      <x:c r="Y13" s="66">
        <x:f>'SALDOS POR NOTA'!N62</x:f>
        <x:v>0</x:v>
      </x:c>
      <x:c r="Z13" s="38">
        <x:f>L13*-1</x:f>
        <x:v>0</x:v>
      </x:c>
      <x:c r="AA13" s="383">
        <x:f>'SALDOS POR NOTA'!O62</x:f>
        <x:v>0</x:v>
      </x:c>
      <x:c r="AB13" s="37">
        <x:f>N13</x:f>
        <x:v>0</x:v>
      </x:c>
      <x:c r="AC13" s="66">
        <x:f t="shared" si="2"/>
        <x:v>0</x:v>
      </x:c>
      <x:c r="AD13" s="66">
        <x:f>'SALDOS POR NOTA'!C63</x:f>
        <x:v>0</x:v>
      </x:c>
      <x:c r="AE13" s="116">
        <x:f>SUM(U13:AC13)</x:f>
        <x:v>0</x:v>
      </x:c>
      <x:c r="AF13" s="119">
        <x:f>(AE13-O13)</x:f>
        <x:v>0</x:v>
      </x:c>
      <x:c r="AG13" s="1" t="b">
        <x:f t="shared" si="3"/>
        <x:v>1</x:v>
      </x:c>
      <x:c r="AH13" s="4"/>
    </x:row>
    <x:row r="14" spans="1:34" ht="12.9" thickBot="1" x14ac:dyDescent="0.35">
      <x:c r="B14" s="21"/>
      <x:c r="C14" s="22" t="s">
        <x:v>2</x:v>
      </x:c>
      <x:c r="D14" s="43">
        <x:f>SUM(D9:D13)</x:f>
        <x:v>0</x:v>
      </x:c>
      <x:c r="E14" s="43">
        <x:f t="shared" ref="E14:N14" si="4">SUM(E9:E13)</x:f>
        <x:v>0</x:v>
      </x:c>
      <x:c r="F14" s="43">
        <x:f t="shared" si="4"/>
        <x:v>0</x:v>
      </x:c>
      <x:c r="G14" s="43">
        <x:f t="shared" si="4"/>
        <x:v>0</x:v>
      </x:c>
      <x:c r="H14" s="43">
        <x:f t="shared" si="4"/>
        <x:v>0</x:v>
      </x:c>
      <x:c r="I14" s="43">
        <x:f t="shared" si="4"/>
        <x:v>0</x:v>
      </x:c>
      <x:c r="J14" s="43">
        <x:f t="shared" si="4"/>
        <x:v>0</x:v>
      </x:c>
      <x:c r="K14" s="32">
        <x:f t="shared" si="4"/>
        <x:v>0</x:v>
      </x:c>
      <x:c r="L14" s="23">
        <x:f t="shared" si="4"/>
        <x:v>0</x:v>
      </x:c>
      <x:c r="M14" s="76">
        <x:f t="shared" si="4"/>
        <x:v>0</x:v>
      </x:c>
      <x:c r="N14" s="23">
        <x:f t="shared" si="4"/>
        <x:v>0</x:v>
      </x:c>
      <x:c r="O14" s="76">
        <x:f>SUM(O9:O13)</x:f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B14" si="5">SUM(V9:V13)</x:f>
        <x:v>0</x:v>
      </x:c>
      <x:c r="W14" s="43">
        <x:f t="shared" si="5"/>
        <x:v>0</x:v>
      </x:c>
      <x:c r="X14" s="43">
        <x:f t="shared" si="5"/>
        <x:v>0</x:v>
      </x:c>
      <x:c r="Y14" s="43">
        <x:f t="shared" si="5"/>
        <x:v>0</x:v>
      </x:c>
      <x:c r="Z14" s="43">
        <x:f t="shared" si="5"/>
        <x:v>0</x:v>
      </x:c>
      <x:c r="AA14" s="381">
        <x:f>SUM(AA9:AA13)</x:f>
        <x:v>0</x:v>
      </x:c>
      <x:c r="AB14" s="43">
        <x:f t="shared" si="5"/>
        <x:v>0</x:v>
      </x:c>
      <x:c r="AC14" s="43">
        <x:f>SUM(AC9:AC13)</x:f>
        <x:v>0</x:v>
      </x:c>
      <x:c r="AD14" s="43">
        <x:f>SUM(AD9:AD13)</x:f>
        <x:v>0</x:v>
      </x:c>
      <x:c r="AE14" s="68">
        <x:f>SUM(AE9:AE13)</x:f>
        <x:v>0</x:v>
      </x:c>
      <x:c r="AF14" s="120">
        <x:f>SUM(AF9:AF13)</x:f>
        <x:v>0</x:v>
      </x:c>
      <x:c r="AG14" s="1" t="b">
        <x:f t="shared" si="3"/>
        <x:v>1</x:v>
      </x:c>
      <x:c r="AH14" s="4"/>
    </x:row>
    <x:row r="15" spans="1:34" ht="12" thickBot="1" x14ac:dyDescent="0.3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E15" s="24"/>
      <x:c r="AH15" s="4"/>
    </x:row>
    <x:row r="16" spans="1:34" ht="12" thickBot="1" x14ac:dyDescent="0.3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C16" s="1" t="s">
        <x:v>1</x:v>
      </x:c>
      <x:c r="AE16" s="1" t="s">
        <x:v>1</x:v>
      </x:c>
      <x:c r="AH16" s="4"/>
    </x:row>
    <x:row r="17" spans="1:34" ht="12" thickBot="1" x14ac:dyDescent="0.3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/>
      <x:c r="M17" s="24"/>
      <x:c r="N17" s="24"/>
      <x:c r="O17" s="24"/>
      <x:c r="Q17" s="4"/>
      <x:c r="AH17" s="4"/>
    </x:row>
    <x:row r="18" spans="1:34" x14ac:dyDescent="0.3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H18" s="4"/>
    </x:row>
    <x:row r="19" spans="1:34" x14ac:dyDescent="0.3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</x:row>
    <x:row r="20" spans="1:34" ht="12" thickBot="1" x14ac:dyDescent="0.35">
      <x:c r="Q20" s="4"/>
      <x:c r="AH20" s="4"/>
    </x:row>
    <x:row r="21" spans="1:34" x14ac:dyDescent="0.3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7"/>
      <x:c r="AF21" s="2"/>
      <x:c r="AH21" s="4"/>
    </x:row>
    <x:row r="22" spans="1:34" ht="14.15" x14ac:dyDescent="0.3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2026101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C22" s="84">
        <x:f>N22</x:f>
        <x:v>2026101</x:v>
      </x:c>
      <x:c r="AD22" s="84"/>
      <x:c r="AE22" s="48"/>
      <x:c r="AF22" s="2"/>
      <x:c r="AH22" s="4"/>
    </x:row>
    <x:row r="23" spans="1:34" ht="15.45" x14ac:dyDescent="0.4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10" t="s">
        <x:v>1</x:v>
      </x:c>
      <x:c r="AF23" s="2"/>
      <x:c r="AH23" s="4"/>
    </x:row>
    <x:row r="24" spans="1:34" ht="14.15" x14ac:dyDescent="0.3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E24" s="44"/>
      <x:c r="AF24" s="2"/>
      <x:c r="AH24" s="4"/>
    </x:row>
    <x:row r="25" spans="1:34" ht="15.45" x14ac:dyDescent="0.4">
      <x:c r="B25" s="8"/>
      <x:c r="C25" s="2" t="s">
        <x:v>17</x:v>
      </x:c>
      <x:c r="D25" s="9">
        <x:f>D6</x:f>
        <x:v>46297</x:v>
      </x:c>
      <x:c r="F25" s="41" t="s">
        <x:v>124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tr">
        <x:f>+F25</x:f>
        <x:v>RETRIBUCION NEGATIVA</x:v>
      </x:c>
      <x:c r="V25" s="2"/>
      <x:c r="X25" s="2"/>
      <x:c r="Y25" s="2"/>
      <x:c r="AE25" s="48"/>
      <x:c r="AF25" s="2"/>
      <x:c r="AH25" s="4"/>
    </x:row>
    <x:row r="26" spans="1:34" ht="12" thickBot="1" x14ac:dyDescent="0.35">
      <x:c r="B26" s="8"/>
      <x:c r="C26" s="2" t="s">
        <x:v>0</x:v>
      </x:c>
      <x:c r="D26" s="241">
        <x:f>D7</x:f>
        <x:v>0.58333333333333337</x:v>
      </x:c>
      <x:c r="F26" s="2" t="s">
        <x:v>27</x:v>
      </x:c>
      <x:c r="G26" s="2"/>
      <x:c r="H26" s="9">
        <x:f>H7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H26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E26" s="48"/>
      <x:c r="AF26" s="2"/>
      <x:c r="AH26" s="4"/>
    </x:row>
    <x:row r="27" spans="1:34" ht="72" customHeight="1" thickBot="1" x14ac:dyDescent="0.3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12" t="s">
        <x:v>6</x:v>
      </x:c>
      <x:c r="G27" s="27" t="s">
        <x:v>159</x:v>
      </x:c>
      <x:c r="H27" s="12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80" t="s">
        <x:v>39</x:v>
      </x:c>
      <x:c r="V27" s="51" t="s">
        <x:v>40</x:v>
      </x:c>
      <x:c r="W27" s="51" t="s">
        <x:v>41</x:v>
      </x:c>
      <x:c r="X27" s="51" t="s">
        <x:v>42</x:v>
      </x:c>
      <x:c r="Y27" s="81" t="s">
        <x:v>43</x:v>
      </x:c>
      <x:c r="Z27" s="85" t="s">
        <x:v>21</x:v>
      </x:c>
      <x:c r="AA27" s="65" t="s">
        <x:v>46</x:v>
      </x:c>
      <x:c r="AB27" s="65" t="s">
        <x:v>7</x:v>
      </x:c>
      <x:c r="AC27" s="121" t="s">
        <x:v>107</x:v>
      </x:c>
      <x:c r="AD27" s="121" t="s">
        <x:v>106</x:v>
      </x:c>
      <x:c r="AE27" s="39" t="s">
        <x:v>23</x:v>
      </x:c>
      <x:c r="AF27" s="13"/>
      <x:c r="AH27" s="4"/>
    </x:row>
    <x:row r="28" spans="1:34" s="305" customFormat="1" x14ac:dyDescent="0.3">
      <x:c r="B28" s="303">
        <x:v>1</x:v>
      </x:c>
      <x:c r="C28" s="304" t="s">
        <x:v>10</x:v>
      </x:c>
      <x:c r="D28" s="291">
        <x:f>'RETRIBUCION NEGATIVA'!C10</x:f>
        <x:v>0</x:v>
      </x:c>
      <x:c r="E28" s="292">
        <x:f>'RETRIBUCION NEGATIVA'!D10</x:f>
        <x:v>0</x:v>
      </x:c>
      <x:c r="F28" s="292">
        <x:f>'RETRIBUCION NEGATIVA'!E10</x:f>
        <x:v>0</x:v>
      </x:c>
      <x:c r="G28" s="292">
        <x:f>'RETRIBUCION NEGATIVA'!F10</x:f>
        <x:v>0</x:v>
      </x:c>
      <x:c r="H28" s="292">
        <x:f>'RETRIBUCION NEGATIVA'!G10</x:f>
        <x:v>0</x:v>
      </x:c>
      <x:c r="I28" s="292">
        <x:f>'RETRIBUCION NEGATIVA'!H10</x:f>
        <x:v>0</x:v>
      </x:c>
      <x:c r="J28" s="288">
        <x:v>0</x:v>
      </x:c>
      <x:c r="K28" s="293">
        <x:f>D28-E28-F28-H28-I28-J28-G28</x:f>
        <x:v>0</x:v>
      </x:c>
      <x:c r="L28" s="294">
        <x:v>0</x:v>
      </x:c>
      <x:c r="M28" s="293">
        <x:f>K28-L28</x:f>
        <x:v>0</x:v>
      </x:c>
      <x:c r="N28" s="294">
        <x:f>'RETRIBUCION NEGATIVA'!I10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291">
        <x:f>'RETRIBUCION NEGATIVA'!J10</x:f>
        <x:v>0</x:v>
      </x:c>
      <x:c r="V28" s="291">
        <x:f>'RETRIBUCION NEGATIVA'!K10</x:f>
        <x:v>0</x:v>
      </x:c>
      <x:c r="W28" s="291">
        <x:f>'RETRIBUCION NEGATIVA'!L10</x:f>
        <x:v>0</x:v>
      </x:c>
      <x:c r="X28" s="291">
        <x:f>'RETRIBUCION NEGATIVA'!M10</x:f>
        <x:v>0</x:v>
      </x:c>
      <x:c r="Y28" s="291">
        <x:f>'RETRIBUCION NEGATIVA'!N10</x:f>
        <x:v>0</x:v>
      </x:c>
      <x:c r="Z28" s="310">
        <x:f>L28*-1</x:f>
        <x:v>0</x:v>
      </x:c>
      <x:c r="AA28" s="312">
        <x:f>'RETRIBUCION NEGATIVA'!O10</x:f>
        <x:v>0</x:v>
      </x:c>
      <x:c r="AB28" s="294">
        <x:f>N28</x:f>
        <x:v>0</x:v>
      </x:c>
      <x:c r="AC28" s="291">
        <x:f>-J28+AD28</x:f>
        <x:v>0</x:v>
      </x:c>
      <x:c r="AD28" s="291">
        <x:f>'RETRIBUCION NEGATIVA'!C11</x:f>
        <x:v>0</x:v>
      </x:c>
      <x:c r="AE28" s="363">
        <x:f>SUM(U28:AC28)</x:f>
        <x:v>0</x:v>
      </x:c>
      <x:c r="AF28" s="311">
        <x:f>(AE28-O28)</x:f>
        <x:v>0</x:v>
      </x:c>
      <x:c r="AG28" s="305" t="b">
        <x:f>AF28=0</x:f>
        <x:v>1</x:v>
      </x:c>
      <x:c r="AH28" s="306"/>
    </x:row>
    <x:row r="29" spans="1:34" s="305" customFormat="1" x14ac:dyDescent="0.3">
      <x:c r="B29" s="314">
        <x:v>2</x:v>
      </x:c>
      <x:c r="C29" s="315" t="s">
        <x:v>11</x:v>
      </x:c>
      <x:c r="D29" s="291">
        <x:f>'RETRIBUCION NEGATIVA'!C23</x:f>
        <x:v>0</x:v>
      </x:c>
      <x:c r="E29" s="292">
        <x:f>'RETRIBUCION NEGATIVA'!D23</x:f>
        <x:v>0</x:v>
      </x:c>
      <x:c r="F29" s="292">
        <x:f>'RETRIBUCION NEGATIVA'!E23</x:f>
        <x:v>0</x:v>
      </x:c>
      <x:c r="G29" s="292">
        <x:f>'RETRIBUCION NEGATIVA'!F23</x:f>
        <x:v>0</x:v>
      </x:c>
      <x:c r="H29" s="292">
        <x:f>'RETRIBUCION NEGATIVA'!G23</x:f>
        <x:v>0</x:v>
      </x:c>
      <x:c r="I29" s="292">
        <x:f>'RETRIBUCION NEGATIVA'!H23</x:f>
        <x:v>0</x:v>
      </x:c>
      <x:c r="J29" s="288">
        <x:v>0</x:v>
      </x:c>
      <x:c r="K29" s="295">
        <x:f t="shared" ref="K29:K32" si="6">D29-E29-F29-H29-I29-J29-G29</x:f>
        <x:v>0</x:v>
      </x:c>
      <x:c r="L29" s="299">
        <x:v>0</x:v>
      </x:c>
      <x:c r="M29" s="295">
        <x:f>K29-L29</x:f>
        <x:v>0</x:v>
      </x:c>
      <x:c r="N29" s="294">
        <x:f>'RETRIBUCION NEGATIVA'!I23</x:f>
        <x:v>0</x:v>
      </x:c>
      <x:c r="O29" s="295">
        <x:f t="shared" ref="O29:O32" si="7">M29+N29</x:f>
        <x:v>0</x:v>
      </x:c>
      <x:c r="Q29" s="306"/>
      <x:c r="S29" s="314">
        <x:v>2</x:v>
      </x:c>
      <x:c r="T29" s="315" t="s">
        <x:v>11</x:v>
      </x:c>
      <x:c r="U29" s="316">
        <x:f>'RETRIBUCION NEGATIVA'!J23</x:f>
        <x:v>0</x:v>
      </x:c>
      <x:c r="V29" s="316">
        <x:f>'RETRIBUCION NEGATIVA'!K23</x:f>
        <x:v>0</x:v>
      </x:c>
      <x:c r="W29" s="316">
        <x:f>'RETRIBUCION NEGATIVA'!L23</x:f>
        <x:v>0</x:v>
      </x:c>
      <x:c r="X29" s="316">
        <x:f>'RETRIBUCION NEGATIVA'!M23</x:f>
        <x:v>0</x:v>
      </x:c>
      <x:c r="Y29" s="316">
        <x:f>'RETRIBUCION NEGATIVA'!N23</x:f>
        <x:v>0</x:v>
      </x:c>
      <x:c r="Z29" s="319">
        <x:f>L29*-1</x:f>
        <x:v>0</x:v>
      </x:c>
      <x:c r="AA29" s="320">
        <x:f>'RETRIBUCION NEGATIVA'!O23</x:f>
        <x:v>0</x:v>
      </x:c>
      <x:c r="AB29" s="294">
        <x:f>N29</x:f>
        <x:v>0</x:v>
      </x:c>
      <x:c r="AC29" s="291">
        <x:f>-J29+AD29</x:f>
        <x:v>0</x:v>
      </x:c>
      <x:c r="AD29" s="291">
        <x:f>'RETRIBUCION NEGATIVA'!C24</x:f>
        <x:v>0</x:v>
      </x:c>
      <x:c r="AE29" s="365">
        <x:f>SUM(U29:AC29)</x:f>
        <x:v>0</x:v>
      </x:c>
      <x:c r="AF29" s="323">
        <x:f>(AE29-O29)</x:f>
        <x:v>0</x:v>
      </x:c>
      <x:c r="AG29" s="305" t="b">
        <x:f t="shared" ref="AG29:AG33" si="8">AF29=0</x:f>
        <x:v>1</x:v>
      </x:c>
      <x:c r="AH29" s="306"/>
    </x:row>
    <x:row r="30" spans="1:34" s="305" customFormat="1" x14ac:dyDescent="0.3">
      <x:c r="B30" s="314">
        <x:v>3</x:v>
      </x:c>
      <x:c r="C30" s="315" t="s">
        <x:v>12</x:v>
      </x:c>
      <x:c r="D30" s="291">
        <x:f>'RETRIBUCION NEGATIVA'!C36</x:f>
        <x:v>0</x:v>
      </x:c>
      <x:c r="E30" s="292">
        <x:f>'RETRIBUCION NEGATIVA'!D36</x:f>
        <x:v>0</x:v>
      </x:c>
      <x:c r="F30" s="292">
        <x:f>'RETRIBUCION NEGATIVA'!E36</x:f>
        <x:v>0</x:v>
      </x:c>
      <x:c r="G30" s="292">
        <x:f>'RETRIBUCION NEGATIVA'!F36</x:f>
        <x:v>0</x:v>
      </x:c>
      <x:c r="H30" s="292">
        <x:f>'RETRIBUCION NEGATIVA'!G36</x:f>
        <x:v>0</x:v>
      </x:c>
      <x:c r="I30" s="292">
        <x:f>'RETRIBUCION NEGATIVA'!H36</x:f>
        <x:v>0</x:v>
      </x:c>
      <x:c r="J30" s="288">
        <x:v>0</x:v>
      </x:c>
      <x:c r="K30" s="295">
        <x:f t="shared" si="6"/>
        <x:v>0</x:v>
      </x:c>
      <x:c r="L30" s="299">
        <x:v>0</x:v>
      </x:c>
      <x:c r="M30" s="295">
        <x:f>K30-L30</x:f>
        <x:v>0</x:v>
      </x:c>
      <x:c r="N30" s="294">
        <x:f>'RETRIBUCION NEGATIVA'!I36</x:f>
        <x:v>0</x:v>
      </x:c>
      <x:c r="O30" s="295">
        <x:f t="shared" si="7"/>
        <x:v>0</x:v>
      </x:c>
      <x:c r="Q30" s="306"/>
      <x:c r="S30" s="314">
        <x:v>3</x:v>
      </x:c>
      <x:c r="T30" s="315" t="s">
        <x:v>12</x:v>
      </x:c>
      <x:c r="U30" s="316">
        <x:f>'RETRIBUCION NEGATIVA'!J36</x:f>
        <x:v>0</x:v>
      </x:c>
      <x:c r="V30" s="316">
        <x:f>'RETRIBUCION NEGATIVA'!K36</x:f>
        <x:v>0</x:v>
      </x:c>
      <x:c r="W30" s="316">
        <x:f>'RETRIBUCION NEGATIVA'!L36</x:f>
        <x:v>0</x:v>
      </x:c>
      <x:c r="X30" s="316">
        <x:f>'RETRIBUCION NEGATIVA'!M36</x:f>
        <x:v>0</x:v>
      </x:c>
      <x:c r="Y30" s="316">
        <x:f>'RETRIBUCION NEGATIVA'!N36</x:f>
        <x:v>0</x:v>
      </x:c>
      <x:c r="Z30" s="319">
        <x:f>L30*-1</x:f>
        <x:v>0</x:v>
      </x:c>
      <x:c r="AA30" s="320">
        <x:f>'RETRIBUCION NEGATIVA'!O36</x:f>
        <x:v>0</x:v>
      </x:c>
      <x:c r="AB30" s="294">
        <x:f>N30</x:f>
        <x:v>0</x:v>
      </x:c>
      <x:c r="AC30" s="291">
        <x:f t="shared" ref="AC30:AC32" si="9">-J30+AD30</x:f>
        <x:v>0</x:v>
      </x:c>
      <x:c r="AD30" s="291">
        <x:f>'RETRIBUCION NEGATIVA'!C37</x:f>
        <x:v>0</x:v>
      </x:c>
      <x:c r="AE30" s="365">
        <x:f>SUM(U30:AC30)</x:f>
        <x:v>0</x:v>
      </x:c>
      <x:c r="AF30" s="323">
        <x:f t="shared" ref="AF30:AF31" si="10">(AE30-O30)</x:f>
        <x:v>0</x:v>
      </x:c>
      <x:c r="AG30" s="305" t="b">
        <x:f t="shared" si="8"/>
        <x:v>1</x:v>
      </x:c>
      <x:c r="AH30" s="306"/>
    </x:row>
    <x:row r="31" spans="1:34" s="305" customFormat="1" x14ac:dyDescent="0.3">
      <x:c r="B31" s="314">
        <x:v>4</x:v>
      </x:c>
      <x:c r="C31" s="315" t="s">
        <x:v>13</x:v>
      </x:c>
      <x:c r="D31" s="291">
        <x:f>'RETRIBUCION NEGATIVA'!C49</x:f>
        <x:v>0</x:v>
      </x:c>
      <x:c r="E31" s="292">
        <x:f>'RETRIBUCION NEGATIVA'!D49</x:f>
        <x:v>0</x:v>
      </x:c>
      <x:c r="F31" s="292">
        <x:f>'RETRIBUCION NEGATIVA'!E49</x:f>
        <x:v>0</x:v>
      </x:c>
      <x:c r="G31" s="292">
        <x:f>'RETRIBUCION NEGATIVA'!F49</x:f>
        <x:v>0</x:v>
      </x:c>
      <x:c r="H31" s="292">
        <x:f>'RETRIBUCION NEGATIVA'!G49</x:f>
        <x:v>0</x:v>
      </x:c>
      <x:c r="I31" s="292">
        <x:f>'RETRIBUCION NEGATIVA'!H49</x:f>
        <x:v>0</x:v>
      </x:c>
      <x:c r="J31" s="288">
        <x:v>0</x:v>
      </x:c>
      <x:c r="K31" s="295">
        <x:f t="shared" si="6"/>
        <x:v>0</x:v>
      </x:c>
      <x:c r="L31" s="299">
        <x:v>0</x:v>
      </x:c>
      <x:c r="M31" s="295">
        <x:f>K31-L31</x:f>
        <x:v>0</x:v>
      </x:c>
      <x:c r="N31" s="294">
        <x:f>'RETRIBUCION NEGATIVA'!I49</x:f>
        <x:v>0</x:v>
      </x:c>
      <x:c r="O31" s="295">
        <x:f t="shared" si="7"/>
        <x:v>0</x:v>
      </x:c>
      <x:c r="Q31" s="306"/>
      <x:c r="S31" s="314">
        <x:v>4</x:v>
      </x:c>
      <x:c r="T31" s="315" t="s">
        <x:v>13</x:v>
      </x:c>
      <x:c r="U31" s="316">
        <x:f>'RETRIBUCION NEGATIVA'!J49</x:f>
        <x:v>0</x:v>
      </x:c>
      <x:c r="V31" s="316">
        <x:f>'RETRIBUCION NEGATIVA'!K49</x:f>
        <x:v>0</x:v>
      </x:c>
      <x:c r="W31" s="316">
        <x:f>'RETRIBUCION NEGATIVA'!L49</x:f>
        <x:v>0</x:v>
      </x:c>
      <x:c r="X31" s="316">
        <x:f>'RETRIBUCION NEGATIVA'!M49</x:f>
        <x:v>0</x:v>
      </x:c>
      <x:c r="Y31" s="316">
        <x:f>'RETRIBUCION NEGATIVA'!N49</x:f>
        <x:v>0</x:v>
      </x:c>
      <x:c r="Z31" s="319">
        <x:f>L31*-1</x:f>
        <x:v>0</x:v>
      </x:c>
      <x:c r="AA31" s="320">
        <x:f>'RETRIBUCION NEGATIVA'!O49</x:f>
        <x:v>0</x:v>
      </x:c>
      <x:c r="AB31" s="294">
        <x:f>N31</x:f>
        <x:v>0</x:v>
      </x:c>
      <x:c r="AC31" s="291">
        <x:f t="shared" si="9"/>
        <x:v>0</x:v>
      </x:c>
      <x:c r="AD31" s="291">
        <x:f>'RETRIBUCION NEGATIVA'!C50</x:f>
        <x:v>0</x:v>
      </x:c>
      <x:c r="AE31" s="365">
        <x:f>SUM(U31:AC31)</x:f>
        <x:v>0</x:v>
      </x:c>
      <x:c r="AF31" s="323">
        <x:f t="shared" si="10"/>
        <x:v>0</x:v>
      </x:c>
      <x:c r="AG31" s="305" t="b">
        <x:f t="shared" si="8"/>
        <x:v>1</x:v>
      </x:c>
      <x:c r="AH31" s="306"/>
    </x:row>
    <x:row r="32" spans="1:34" s="305" customFormat="1" ht="12" thickBot="1" x14ac:dyDescent="0.35">
      <x:c r="B32" s="324">
        <x:v>5</x:v>
      </x:c>
      <x:c r="C32" s="325" t="s">
        <x:v>14</x:v>
      </x:c>
      <x:c r="D32" s="296">
        <x:f>'RETRIBUCION NEGATIVA'!C62</x:f>
        <x:v>0</x:v>
      </x:c>
      <x:c r="E32" s="297">
        <x:f>'RETRIBUCION NEGATIVA'!D62</x:f>
        <x:v>0</x:v>
      </x:c>
      <x:c r="F32" s="297">
        <x:f>'RETRIBUCION NEGATIVA'!E62</x:f>
        <x:v>0</x:v>
      </x:c>
      <x:c r="G32" s="297">
        <x:f>'RETRIBUCION NEGATIVA'!F62</x:f>
        <x:v>0</x:v>
      </x:c>
      <x:c r="H32" s="297">
        <x:f>'RETRIBUCION NEGATIVA'!G62</x:f>
        <x:v>0</x:v>
      </x:c>
      <x:c r="I32" s="297">
        <x:f>'RETRIBUCION NEGATIVA'!H62</x:f>
        <x:v>0</x:v>
      </x:c>
      <x:c r="J32" s="289">
        <x:v>0</x:v>
      </x:c>
      <x:c r="K32" s="295">
        <x:f t="shared" si="6"/>
        <x:v>0</x:v>
      </x:c>
      <x:c r="L32" s="299">
        <x:v>0</x:v>
      </x:c>
      <x:c r="M32" s="298">
        <x:f>K32-L32</x:f>
        <x:v>0</x:v>
      </x:c>
      <x:c r="N32" s="299">
        <x:f>'RETRIBUCION NEGATIVA'!I62</x:f>
        <x:v>0</x:v>
      </x:c>
      <x:c r="O32" s="298">
        <x:f t="shared" si="7"/>
        <x:v>0</x:v>
      </x:c>
      <x:c r="Q32" s="306"/>
      <x:c r="S32" s="324">
        <x:v>5</x:v>
      </x:c>
      <x:c r="T32" s="325" t="s">
        <x:v>14</x:v>
      </x:c>
      <x:c r="U32" s="296">
        <x:f>'RETRIBUCION NEGATIVA'!J62</x:f>
        <x:v>0</x:v>
      </x:c>
      <x:c r="V32" s="296">
        <x:f>'RETRIBUCION NEGATIVA'!K62</x:f>
        <x:v>0</x:v>
      </x:c>
      <x:c r="W32" s="296">
        <x:f>'RETRIBUCION NEGATIVA'!L62</x:f>
        <x:v>0</x:v>
      </x:c>
      <x:c r="X32" s="296">
        <x:f>'RETRIBUCION NEGATIVA'!M62</x:f>
        <x:v>0</x:v>
      </x:c>
      <x:c r="Y32" s="296">
        <x:f>'RETRIBUCION NEGATIVA'!N62</x:f>
        <x:v>0</x:v>
      </x:c>
      <x:c r="Z32" s="319">
        <x:f>L32*-1</x:f>
        <x:v>0</x:v>
      </x:c>
      <x:c r="AA32" s="320">
        <x:f>'RETRIBUCION NEGATIVA'!O62</x:f>
        <x:v>0</x:v>
      </x:c>
      <x:c r="AB32" s="294">
        <x:f>N32</x:f>
        <x:v>0</x:v>
      </x:c>
      <x:c r="AC32" s="291">
        <x:f t="shared" si="9"/>
        <x:v>0</x:v>
      </x:c>
      <x:c r="AD32" s="291">
        <x:f>'RETRIBUCION NEGATIVA'!C63</x:f>
        <x:v>0</x:v>
      </x:c>
      <x:c r="AE32" s="365">
        <x:f>SUM(U32:AC32)</x:f>
        <x:v>0</x:v>
      </x:c>
      <x:c r="AF32" s="326">
        <x:f>(AE32-O32)</x:f>
        <x:v>0</x:v>
      </x:c>
      <x:c r="AG32" s="305" t="b">
        <x:f t="shared" si="8"/>
        <x:v>1</x:v>
      </x:c>
      <x:c r="AH32" s="306"/>
    </x:row>
    <x:row r="33" spans="1:34" s="305" customFormat="1" ht="12.9" thickBot="1" x14ac:dyDescent="0.35">
      <x:c r="B33" s="327"/>
      <x:c r="C33" s="328" t="s">
        <x:v>2</x:v>
      </x:c>
      <x:c r="D33" s="290">
        <x:f>SUM(D28:D32)</x:f>
        <x:v>0</x:v>
      </x:c>
      <x:c r="E33" s="290">
        <x:f t="shared" ref="E33:O33" si="11">SUM(E28:E32)</x:f>
        <x:v>0</x:v>
      </x:c>
      <x:c r="F33" s="290">
        <x:f t="shared" si="11"/>
        <x:v>0</x:v>
      </x:c>
      <x:c r="G33" s="290">
        <x:f>SUM(G28:G32)</x:f>
        <x:v>0</x:v>
      </x:c>
      <x:c r="H33" s="290">
        <x:f t="shared" si="11"/>
        <x:v>0</x:v>
      </x:c>
      <x:c r="I33" s="290">
        <x:f t="shared" si="11"/>
        <x:v>0</x:v>
      </x:c>
      <x:c r="J33" s="290">
        <x:f t="shared" si="11"/>
        <x:v>0</x:v>
      </x:c>
      <x:c r="K33" s="300">
        <x:f t="shared" si="11"/>
        <x:v>0</x:v>
      </x:c>
      <x:c r="L33" s="301">
        <x:f t="shared" si="11"/>
        <x:v>0</x:v>
      </x:c>
      <x:c r="M33" s="302">
        <x:f t="shared" si="11"/>
        <x:v>0</x:v>
      </x:c>
      <x:c r="N33" s="301">
        <x:f t="shared" si="11"/>
        <x:v>0</x:v>
      </x:c>
      <x:c r="O33" s="302">
        <x:f t="shared" si="11"/>
        <x:v>0</x:v>
      </x:c>
      <x:c r="P33" s="329"/>
      <x:c r="Q33" s="306"/>
      <x:c r="S33" s="327"/>
      <x:c r="T33" s="328" t="s">
        <x:v>2</x:v>
      </x:c>
      <x:c r="U33" s="290">
        <x:f>SUM(U28:U32)</x:f>
        <x:v>0</x:v>
      </x:c>
      <x:c r="V33" s="290">
        <x:f t="shared" ref="V33:AF33" si="12">SUM(V28:V32)</x:f>
        <x:v>0</x:v>
      </x:c>
      <x:c r="W33" s="290">
        <x:f t="shared" si="12"/>
        <x:v>0</x:v>
      </x:c>
      <x:c r="X33" s="290">
        <x:f t="shared" si="12"/>
        <x:v>0</x:v>
      </x:c>
      <x:c r="Y33" s="290">
        <x:f t="shared" si="12"/>
        <x:v>0</x:v>
      </x:c>
      <x:c r="Z33" s="290">
        <x:f t="shared" si="12"/>
        <x:v>0</x:v>
      </x:c>
      <x:c r="AA33" s="290">
        <x:f t="shared" si="12"/>
        <x:v>0</x:v>
      </x:c>
      <x:c r="AB33" s="290">
        <x:f t="shared" si="12"/>
        <x:v>0</x:v>
      </x:c>
      <x:c r="AC33" s="290">
        <x:f>SUM(AC28:AC32)</x:f>
        <x:v>0</x:v>
      </x:c>
      <x:c r="AD33" s="290">
        <x:f>SUM(AD28:AD32)</x:f>
        <x:v>0</x:v>
      </x:c>
      <x:c r="AE33" s="331">
        <x:f t="shared" si="12"/>
        <x:v>0</x:v>
      </x:c>
      <x:c r="AF33" s="332">
        <x:f t="shared" si="12"/>
        <x:v>0</x:v>
      </x:c>
      <x:c r="AG33" s="305" t="b">
        <x:f t="shared" si="8"/>
        <x:v>1</x:v>
      </x:c>
      <x:c r="AH33" s="306"/>
    </x:row>
    <x:row r="34" spans="1:34" ht="12" thickBot="1" x14ac:dyDescent="0.3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E34" s="24"/>
      <x:c r="AH34" s="4"/>
    </x:row>
    <x:row r="35" spans="1:34" ht="13.5" customHeight="1" thickBot="1" x14ac:dyDescent="0.35">
      <x:c r="B35" s="2"/>
      <x:c r="C35" s="2"/>
      <x:c r="D35" s="24" t="s">
        <x:v>1</x:v>
      </x:c>
      <x:c r="E35" s="24"/>
      <x:c r="F35" s="24"/>
      <x:c r="G35" s="24"/>
      <x:c r="H35" s="24"/>
      <x:c r="I35" s="24"/>
      <x:c r="J35" s="1" t="s">
        <x:v>265</x:v>
      </x:c>
      <x:c r="M35" s="639" t="b">
        <x:f>IF(MAX(D28:O32,U28:AE32)&gt;0.9,"ERROR",TRUE)</x:f>
        <x:v>1</x:v>
      </x:c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C35" s="1" t="s">
        <x:v>1</x:v>
      </x:c>
      <x:c r="AE35" s="1" t="s">
        <x:v>1</x:v>
      </x:c>
      <x:c r="AH35" s="4"/>
    </x:row>
    <x:row r="36" spans="1:34" ht="12" thickBot="1" x14ac:dyDescent="0.35">
      <x:c r="B36" s="2"/>
      <x:c r="C36" s="2"/>
      <x:c r="D36" s="24" t="s">
        <x:v>1</x:v>
      </x:c>
      <x:c r="E36" s="33"/>
      <x:c r="F36" s="33"/>
      <x:c r="G36" s="33"/>
      <x:c r="H36" s="33"/>
      <x:c r="I36" s="24"/>
      <x:c r="O36" s="24"/>
      <x:c r="Q36" s="4"/>
      <x:c r="AH36" s="4"/>
    </x:row>
    <x:row r="37" spans="1:34" x14ac:dyDescent="0.3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H37" s="4"/>
    </x:row>
    <x:row r="38" spans="1:34" x14ac:dyDescent="0.3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</x:row>
    <x:row r="39" spans="1:34" ht="12" thickBot="1" x14ac:dyDescent="0.35">
      <x:c r="Q39" s="4"/>
      <x:c r="AH39" s="4"/>
    </x:row>
    <x:row r="40" spans="1:34" x14ac:dyDescent="0.3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7"/>
      <x:c r="AF40" s="2"/>
      <x:c r="AH40" s="4"/>
    </x:row>
    <x:row r="41" spans="1:34" ht="14.15" x14ac:dyDescent="0.3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2026101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C41" s="84">
        <x:f>N41</x:f>
        <x:v>2026101</x:v>
      </x:c>
      <x:c r="AD41" s="84"/>
      <x:c r="AE41" s="48"/>
      <x:c r="AF41" s="2"/>
      <x:c r="AH41" s="4"/>
    </x:row>
    <x:row r="42" spans="1:34" ht="15.45" x14ac:dyDescent="0.4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10" t="s">
        <x:v>1</x:v>
      </x:c>
      <x:c r="AF42" s="2"/>
      <x:c r="AH42" s="4"/>
    </x:row>
    <x:row r="43" spans="1:34" ht="14.15" x14ac:dyDescent="0.3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E43" s="44"/>
      <x:c r="AF43" s="2"/>
      <x:c r="AH43" s="4"/>
    </x:row>
    <x:row r="44" spans="1:34" ht="15.45" x14ac:dyDescent="0.4">
      <x:c r="B44" s="8"/>
      <x:c r="C44" s="2" t="s">
        <x:v>17</x:v>
      </x:c>
      <x:c r="D44" s="9">
        <x:f>D6</x:f>
        <x:v>46297</x:v>
      </x:c>
      <x:c r="F44" s="41" t="s">
        <x:v>125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tr">
        <x:f>+F44</x:f>
        <x:v>CONSOLIDADO SALDOS A FAVOR</x:v>
      </x:c>
      <x:c r="V44" s="2"/>
      <x:c r="X44" s="2"/>
      <x:c r="Y44" s="2"/>
      <x:c r="AE44" s="48"/>
      <x:c r="AF44" s="2"/>
      <x:c r="AH44" s="4"/>
    </x:row>
    <x:row r="45" spans="1:34" ht="12" thickBot="1" x14ac:dyDescent="0.35">
      <x:c r="B45" s="8"/>
      <x:c r="C45" s="2" t="s">
        <x:v>0</x:v>
      </x:c>
      <x:c r="D45" s="241">
        <x:f>D7</x:f>
        <x:v>0.58333333333333337</x:v>
      </x:c>
      <x:c r="F45" s="2" t="s">
        <x:v>27</x:v>
      </x:c>
      <x:c r="G45" s="2"/>
      <x:c r="H45" s="9">
        <x:f>H7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H45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E45" s="48"/>
      <x:c r="AF45" s="2"/>
      <x:c r="AH45" s="4"/>
    </x:row>
    <x:row r="46" spans="1:34" ht="72" customHeight="1" thickBot="1" x14ac:dyDescent="0.3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12" t="s">
        <x:v>6</x:v>
      </x:c>
      <x:c r="G46" s="27" t="s">
        <x:v>159</x:v>
      </x:c>
      <x:c r="H46" s="12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80" t="s">
        <x:v>39</x:v>
      </x:c>
      <x:c r="V46" s="51" t="s">
        <x:v>40</x:v>
      </x:c>
      <x:c r="W46" s="51" t="s">
        <x:v>41</x:v>
      </x:c>
      <x:c r="X46" s="51" t="s">
        <x:v>42</x:v>
      </x:c>
      <x:c r="Y46" s="81" t="s">
        <x:v>43</x:v>
      </x:c>
      <x:c r="Z46" s="85" t="s">
        <x:v>21</x:v>
      </x:c>
      <x:c r="AA46" s="65" t="s">
        <x:v>46</x:v>
      </x:c>
      <x:c r="AB46" s="65" t="s">
        <x:v>7</x:v>
      </x:c>
      <x:c r="AC46" s="121" t="s">
        <x:v>107</x:v>
      </x:c>
      <x:c r="AD46" s="121" t="s">
        <x:v>106</x:v>
      </x:c>
      <x:c r="AE46" s="39" t="s">
        <x:v>23</x:v>
      </x:c>
      <x:c r="AF46" s="13"/>
      <x:c r="AH46" s="4"/>
    </x:row>
    <x:row r="47" spans="1:34" x14ac:dyDescent="0.3">
      <x:c r="B47" s="14">
        <x:v>1</x:v>
      </x:c>
      <x:c r="C47" s="61" t="s">
        <x:v>10</x:v>
      </x:c>
      <x:c r="D47" s="66">
        <x:f>D9+D28</x:f>
        <x:v>0</x:v>
      </x:c>
      <x:c r="E47" s="66">
        <x:f t="shared" ref="E47:F47" si="13">E9+E28</x:f>
        <x:v>0</x:v>
      </x:c>
      <x:c r="F47" s="66">
        <x:f t="shared" si="13"/>
        <x:v>0</x:v>
      </x:c>
      <x:c r="G47" s="66">
        <x:f t="shared" ref="G47" si="14">G9+G28</x:f>
        <x:v>0</x:v>
      </x:c>
      <x:c r="H47" s="66">
        <x:f t="shared" ref="H47:J51" si="15">H9+H28</x:f>
        <x:v>0</x:v>
      </x:c>
      <x:c r="I47" s="66">
        <x:f t="shared" si="15"/>
        <x:v>0</x:v>
      </x:c>
      <x:c r="J47" s="66">
        <x:f>J9+J28</x:f>
        <x:v>0</x:v>
      </x:c>
      <x:c r="K47" s="30">
        <x:f>D47-E47-F47-G47-H47-I47-J47</x:f>
        <x:v>0</x:v>
      </x:c>
      <x:c r="L47" s="37">
        <x:v>0</x:v>
      </x:c>
      <x:c r="M47" s="30">
        <x:f>K47-L47</x:f>
        <x:v>0</x:v>
      </x:c>
      <x:c r="N47" s="66">
        <x:f>N9+N28</x:f>
        <x:v>0</x:v>
      </x:c>
      <x:c r="O47" s="30">
        <x:f>M47+N47</x:f>
        <x:v>0</x:v>
      </x:c>
      <x:c r="Q47" s="4"/>
      <x:c r="S47" s="14">
        <x:v>1</x:v>
      </x:c>
      <x:c r="T47" s="61" t="s">
        <x:v>10</x:v>
      </x:c>
      <x:c r="U47" s="140">
        <x:f t="shared" ref="U47:Y51" si="16">U9+U28</x:f>
        <x:v>0</x:v>
      </x:c>
      <x:c r="V47" s="140">
        <x:f t="shared" si="16"/>
        <x:v>0</x:v>
      </x:c>
      <x:c r="W47" s="140">
        <x:f t="shared" si="16"/>
        <x:v>0</x:v>
      </x:c>
      <x:c r="X47" s="140">
        <x:f t="shared" si="16"/>
        <x:v>0</x:v>
      </x:c>
      <x:c r="Y47" s="140">
        <x:f t="shared" si="16"/>
        <x:v>0</x:v>
      </x:c>
      <x:c r="Z47" s="87">
        <x:f>-L47</x:f>
        <x:v>0</x:v>
      </x:c>
      <x:c r="AA47" s="75">
        <x:f t="shared" ref="AA47:AD51" si="17">AA9+AA28</x:f>
        <x:v>0</x:v>
      </x:c>
      <x:c r="AB47" s="75">
        <x:f>AB9+AB28</x:f>
        <x:v>0</x:v>
      </x:c>
      <x:c r="AC47" s="75">
        <x:f t="shared" si="17"/>
        <x:v>0</x:v>
      </x:c>
      <x:c r="AD47" s="75">
        <x:f t="shared" si="17"/>
        <x:v>0</x:v>
      </x:c>
      <x:c r="AE47" s="69">
        <x:f>SUM(U47:AC47)</x:f>
        <x:v>0</x:v>
      </x:c>
      <x:c r="AF47" s="117">
        <x:f>(AE47-O47)</x:f>
        <x:v>0</x:v>
      </x:c>
      <x:c r="AG47" s="1" t="b">
        <x:f>AF47=0</x:f>
        <x:v>1</x:v>
      </x:c>
      <x:c r="AH47" s="4"/>
    </x:row>
    <x:row r="48" spans="1:34" x14ac:dyDescent="0.3">
      <x:c r="B48" s="16">
        <x:v>2</x:v>
      </x:c>
      <x:c r="C48" s="62" t="s">
        <x:v>11</x:v>
      </x:c>
      <x:c r="D48" s="66">
        <x:f t="shared" ref="D48:F51" si="18">D10+D29</x:f>
        <x:v>0</x:v>
      </x:c>
      <x:c r="E48" s="66">
        <x:f t="shared" si="18"/>
        <x:v>0</x:v>
      </x:c>
      <x:c r="F48" s="66">
        <x:f t="shared" si="18"/>
        <x:v>0</x:v>
      </x:c>
      <x:c r="G48" s="66">
        <x:f t="shared" ref="G48" si="19">G10+G29</x:f>
        <x:v>0</x:v>
      </x:c>
      <x:c r="H48" s="66">
        <x:f t="shared" si="15"/>
        <x:v>0</x:v>
      </x:c>
      <x:c r="I48" s="66">
        <x:f t="shared" si="15"/>
        <x:v>0</x:v>
      </x:c>
      <x:c r="J48" s="66">
        <x:f t="shared" si="15"/>
        <x:v>0</x:v>
      </x:c>
      <x:c r="K48" s="31">
        <x:f>D48-E48-F48-G48-H48-I48-J48</x:f>
        <x:v>0</x:v>
      </x:c>
      <x:c r="L48" s="38">
        <x:v>0</x:v>
      </x:c>
      <x:c r="M48" s="31">
        <x:f>K48-L48</x:f>
        <x:v>0</x:v>
      </x:c>
      <x:c r="N48" s="66">
        <x:f>N10+N29</x:f>
        <x:v>0</x:v>
      </x:c>
      <x:c r="O48" s="31">
        <x:f t="shared" ref="O48:O51" si="20">M48+N48</x:f>
        <x:v>0</x:v>
      </x:c>
      <x:c r="Q48" s="4"/>
      <x:c r="S48" s="16">
        <x:v>2</x:v>
      </x:c>
      <x:c r="T48" s="62" t="s">
        <x:v>11</x:v>
      </x:c>
      <x:c r="U48" s="82">
        <x:f t="shared" si="16"/>
        <x:v>0</x:v>
      </x:c>
      <x:c r="V48" s="82">
        <x:f t="shared" si="16"/>
        <x:v>0</x:v>
      </x:c>
      <x:c r="W48" s="82">
        <x:f t="shared" si="16"/>
        <x:v>0</x:v>
      </x:c>
      <x:c r="X48" s="82">
        <x:f t="shared" si="16"/>
        <x:v>0</x:v>
      </x:c>
      <x:c r="Y48" s="82">
        <x:f t="shared" si="16"/>
        <x:v>0</x:v>
      </x:c>
      <x:c r="Z48" s="88">
        <x:f>-L48</x:f>
        <x:v>0</x:v>
      </x:c>
      <x:c r="AA48" s="67">
        <x:f>AA10+AA29</x:f>
        <x:v>0</x:v>
      </x:c>
      <x:c r="AB48" s="67">
        <x:f>AB10+AB29</x:f>
        <x:v>0</x:v>
      </x:c>
      <x:c r="AC48" s="67">
        <x:f t="shared" si="17"/>
        <x:v>0</x:v>
      </x:c>
      <x:c r="AD48" s="67">
        <x:f t="shared" si="17"/>
        <x:v>0</x:v>
      </x:c>
      <x:c r="AE48" s="70">
        <x:f>SUM(U48:AC48)</x:f>
        <x:v>0</x:v>
      </x:c>
      <x:c r="AF48" s="118">
        <x:f>(AE48-O48)</x:f>
        <x:v>0</x:v>
      </x:c>
      <x:c r="AG48" s="1" t="b">
        <x:f t="shared" ref="AG48:AG52" si="21">AF48=0</x:f>
        <x:v>1</x:v>
      </x:c>
      <x:c r="AH48" s="4"/>
    </x:row>
    <x:row r="49" spans="1:34" x14ac:dyDescent="0.3">
      <x:c r="B49" s="16">
        <x:v>3</x:v>
      </x:c>
      <x:c r="C49" s="62" t="s">
        <x:v>12</x:v>
      </x:c>
      <x:c r="D49" s="66">
        <x:f t="shared" si="18"/>
        <x:v>0</x:v>
      </x:c>
      <x:c r="E49" s="66">
        <x:f t="shared" si="18"/>
        <x:v>0</x:v>
      </x:c>
      <x:c r="F49" s="66">
        <x:f t="shared" si="18"/>
        <x:v>0</x:v>
      </x:c>
      <x:c r="G49" s="66">
        <x:f t="shared" ref="G49" si="22">G11+G30</x:f>
        <x:v>0</x:v>
      </x:c>
      <x:c r="H49" s="66">
        <x:f t="shared" si="15"/>
        <x:v>0</x:v>
      </x:c>
      <x:c r="I49" s="66">
        <x:f t="shared" si="15"/>
        <x:v>0</x:v>
      </x:c>
      <x:c r="J49" s="66">
        <x:f t="shared" si="15"/>
        <x:v>0</x:v>
      </x:c>
      <x:c r="K49" s="31">
        <x:f t="shared" ref="K49:K51" si="23">D49-E49-F49-G49-H49-I49-J49</x:f>
        <x:v>0</x:v>
      </x:c>
      <x:c r="L49" s="38">
        <x:v>0</x:v>
      </x:c>
      <x:c r="M49" s="31">
        <x:f>K49-L49</x:f>
        <x:v>0</x:v>
      </x:c>
      <x:c r="N49" s="66">
        <x:f>N11+N30</x:f>
        <x:v>0</x:v>
      </x:c>
      <x:c r="O49" s="31">
        <x:f t="shared" si="20"/>
        <x:v>0</x:v>
      </x:c>
      <x:c r="Q49" s="4"/>
      <x:c r="S49" s="16">
        <x:v>3</x:v>
      </x:c>
      <x:c r="T49" s="62" t="s">
        <x:v>12</x:v>
      </x:c>
      <x:c r="U49" s="82">
        <x:f t="shared" si="16"/>
        <x:v>0</x:v>
      </x:c>
      <x:c r="V49" s="82">
        <x:f t="shared" si="16"/>
        <x:v>0</x:v>
      </x:c>
      <x:c r="W49" s="82">
        <x:f t="shared" si="16"/>
        <x:v>0</x:v>
      </x:c>
      <x:c r="X49" s="82">
        <x:f t="shared" si="16"/>
        <x:v>0</x:v>
      </x:c>
      <x:c r="Y49" s="82">
        <x:f t="shared" si="16"/>
        <x:v>0</x:v>
      </x:c>
      <x:c r="Z49" s="88">
        <x:f>-L49</x:f>
        <x:v>0</x:v>
      </x:c>
      <x:c r="AA49" s="67">
        <x:f t="shared" si="17"/>
        <x:v>0</x:v>
      </x:c>
      <x:c r="AB49" s="67">
        <x:f>AB11+AB30</x:f>
        <x:v>0</x:v>
      </x:c>
      <x:c r="AC49" s="67">
        <x:f t="shared" si="17"/>
        <x:v>0</x:v>
      </x:c>
      <x:c r="AD49" s="67">
        <x:f t="shared" si="17"/>
        <x:v>0</x:v>
      </x:c>
      <x:c r="AE49" s="70">
        <x:f t="shared" ref="AE49:AE51" si="24">SUM(U49:AC49)</x:f>
        <x:v>0</x:v>
      </x:c>
      <x:c r="AF49" s="118">
        <x:f>(AE49-O49)</x:f>
        <x:v>0</x:v>
      </x:c>
      <x:c r="AG49" s="1" t="b">
        <x:f t="shared" si="21"/>
        <x:v>1</x:v>
      </x:c>
      <x:c r="AH49" s="4"/>
    </x:row>
    <x:row r="50" spans="1:34" x14ac:dyDescent="0.3">
      <x:c r="B50" s="16">
        <x:v>4</x:v>
      </x:c>
      <x:c r="C50" s="62" t="s">
        <x:v>13</x:v>
      </x:c>
      <x:c r="D50" s="66">
        <x:f t="shared" si="18"/>
        <x:v>0</x:v>
      </x:c>
      <x:c r="E50" s="66">
        <x:f t="shared" si="18"/>
        <x:v>0</x:v>
      </x:c>
      <x:c r="F50" s="66">
        <x:f t="shared" si="18"/>
        <x:v>0</x:v>
      </x:c>
      <x:c r="G50" s="66">
        <x:f t="shared" ref="G50" si="25">G12+G31</x:f>
        <x:v>0</x:v>
      </x:c>
      <x:c r="H50" s="66">
        <x:f t="shared" si="15"/>
        <x:v>0</x:v>
      </x:c>
      <x:c r="I50" s="66">
        <x:f t="shared" si="15"/>
        <x:v>0</x:v>
      </x:c>
      <x:c r="J50" s="66">
        <x:f t="shared" si="15"/>
        <x:v>0</x:v>
      </x:c>
      <x:c r="K50" s="31">
        <x:f t="shared" si="23"/>
        <x:v>0</x:v>
      </x:c>
      <x:c r="L50" s="38">
        <x:v>0</x:v>
      </x:c>
      <x:c r="M50" s="31">
        <x:f>K50-L50</x:f>
        <x:v>0</x:v>
      </x:c>
      <x:c r="N50" s="66">
        <x:f>N12+N31</x:f>
        <x:v>0</x:v>
      </x:c>
      <x:c r="O50" s="31">
        <x:f t="shared" si="20"/>
        <x:v>0</x:v>
      </x:c>
      <x:c r="Q50" s="4"/>
      <x:c r="S50" s="16">
        <x:v>4</x:v>
      </x:c>
      <x:c r="T50" s="62" t="s">
        <x:v>13</x:v>
      </x:c>
      <x:c r="U50" s="82">
        <x:f t="shared" si="16"/>
        <x:v>0</x:v>
      </x:c>
      <x:c r="V50" s="82">
        <x:f t="shared" si="16"/>
        <x:v>0</x:v>
      </x:c>
      <x:c r="W50" s="82">
        <x:f t="shared" si="16"/>
        <x:v>0</x:v>
      </x:c>
      <x:c r="X50" s="82">
        <x:f t="shared" si="16"/>
        <x:v>0</x:v>
      </x:c>
      <x:c r="Y50" s="82">
        <x:f t="shared" si="16"/>
        <x:v>0</x:v>
      </x:c>
      <x:c r="Z50" s="88">
        <x:f>-L50</x:f>
        <x:v>0</x:v>
      </x:c>
      <x:c r="AA50" s="67">
        <x:f>AA12+AA31</x:f>
        <x:v>0</x:v>
      </x:c>
      <x:c r="AB50" s="67">
        <x:f t="shared" si="17"/>
        <x:v>0</x:v>
      </x:c>
      <x:c r="AC50" s="67">
        <x:f t="shared" si="17"/>
        <x:v>0</x:v>
      </x:c>
      <x:c r="AD50" s="67">
        <x:f t="shared" si="17"/>
        <x:v>0</x:v>
      </x:c>
      <x:c r="AE50" s="70">
        <x:f t="shared" si="24"/>
        <x:v>0</x:v>
      </x:c>
      <x:c r="AF50" s="118">
        <x:f>(AE50-O50)</x:f>
        <x:v>0</x:v>
      </x:c>
      <x:c r="AG50" s="1" t="b">
        <x:f t="shared" si="21"/>
        <x:v>1</x:v>
      </x:c>
      <x:c r="AH50" s="4"/>
    </x:row>
    <x:row r="51" spans="1:34" ht="12" thickBot="1" x14ac:dyDescent="0.35">
      <x:c r="B51" s="19">
        <x:v>5</x:v>
      </x:c>
      <x:c r="C51" s="63" t="s">
        <x:v>14</x:v>
      </x:c>
      <x:c r="D51" s="66">
        <x:f t="shared" si="18"/>
        <x:v>0</x:v>
      </x:c>
      <x:c r="E51" s="66">
        <x:f t="shared" si="18"/>
        <x:v>0</x:v>
      </x:c>
      <x:c r="F51" s="66">
        <x:f t="shared" si="18"/>
        <x:v>0</x:v>
      </x:c>
      <x:c r="G51" s="66">
        <x:f t="shared" ref="G51" si="26">G13+G32</x:f>
        <x:v>0</x:v>
      </x:c>
      <x:c r="H51" s="66">
        <x:f t="shared" si="15"/>
        <x:v>0</x:v>
      </x:c>
      <x:c r="I51" s="66">
        <x:f t="shared" si="15"/>
        <x:v>0</x:v>
      </x:c>
      <x:c r="J51" s="66">
        <x:f t="shared" si="15"/>
        <x:v>0</x:v>
      </x:c>
      <x:c r="K51" s="31">
        <x:f t="shared" si="23"/>
        <x:v>0</x:v>
      </x:c>
      <x:c r="L51" s="38">
        <x:v>0</x:v>
      </x:c>
      <x:c r="M51" s="40">
        <x:f>K51-L51</x:f>
        <x:v>0</x:v>
      </x:c>
      <x:c r="N51" s="66">
        <x:f>N13+N32</x:f>
        <x:v>0</x:v>
      </x:c>
      <x:c r="O51" s="40">
        <x:f t="shared" si="20"/>
        <x:v>0</x:v>
      </x:c>
      <x:c r="Q51" s="4"/>
      <x:c r="S51" s="19">
        <x:v>5</x:v>
      </x:c>
      <x:c r="T51" s="63" t="s">
        <x:v>14</x:v>
      </x:c>
      <x:c r="U51" s="77">
        <x:f t="shared" si="16"/>
        <x:v>0</x:v>
      </x:c>
      <x:c r="V51" s="77">
        <x:f t="shared" si="16"/>
        <x:v>0</x:v>
      </x:c>
      <x:c r="W51" s="77">
        <x:f t="shared" si="16"/>
        <x:v>0</x:v>
      </x:c>
      <x:c r="X51" s="77">
        <x:f t="shared" si="16"/>
        <x:v>0</x:v>
      </x:c>
      <x:c r="Y51" s="77">
        <x:f t="shared" si="16"/>
        <x:v>0</x:v>
      </x:c>
      <x:c r="Z51" s="88">
        <x:f>-L51</x:f>
        <x:v>0</x:v>
      </x:c>
      <x:c r="AA51" s="67">
        <x:f>AA13+AA32</x:f>
        <x:v>0</x:v>
      </x:c>
      <x:c r="AB51" s="67">
        <x:f t="shared" si="17"/>
        <x:v>0</x:v>
      </x:c>
      <x:c r="AC51" s="67">
        <x:f t="shared" si="17"/>
        <x:v>0</x:v>
      </x:c>
      <x:c r="AD51" s="67">
        <x:f t="shared" si="17"/>
        <x:v>0</x:v>
      </x:c>
      <x:c r="AE51" s="70">
        <x:f t="shared" si="24"/>
        <x:v>0</x:v>
      </x:c>
      <x:c r="AF51" s="119">
        <x:f>(AE51-O51)</x:f>
        <x:v>0</x:v>
      </x:c>
      <x:c r="AG51" s="1" t="b">
        <x:f t="shared" si="21"/>
        <x:v>1</x:v>
      </x:c>
      <x:c r="AH51" s="4"/>
    </x:row>
    <x:row r="52" spans="1:34" ht="12.9" thickBot="1" x14ac:dyDescent="0.35">
      <x:c r="B52" s="21"/>
      <x:c r="C52" s="22" t="s">
        <x:v>2</x:v>
      </x:c>
      <x:c r="D52" s="43">
        <x:f t="shared" ref="D52:O52" si="27">SUM(D47:D51)</x:f>
        <x:v>0</x:v>
      </x:c>
      <x:c r="E52" s="43">
        <x:f t="shared" si="27"/>
        <x:v>0</x:v>
      </x:c>
      <x:c r="F52" s="43">
        <x:f t="shared" si="27"/>
        <x:v>0</x:v>
      </x:c>
      <x:c r="G52" s="43">
        <x:f t="shared" si="27"/>
        <x:v>0</x:v>
      </x:c>
      <x:c r="H52" s="43">
        <x:f t="shared" si="27"/>
        <x:v>0</x:v>
      </x:c>
      <x:c r="I52" s="43">
        <x:f t="shared" si="27"/>
        <x:v>0</x:v>
      </x:c>
      <x:c r="J52" s="43">
        <x:f t="shared" si="27"/>
        <x:v>0</x:v>
      </x:c>
      <x:c r="K52" s="32">
        <x:f t="shared" si="27"/>
        <x:v>0</x:v>
      </x:c>
      <x:c r="L52" s="23">
        <x:f t="shared" si="27"/>
        <x:v>0</x:v>
      </x:c>
      <x:c r="M52" s="76">
        <x:f t="shared" si="27"/>
        <x:v>0</x:v>
      </x:c>
      <x:c r="N52" s="23">
        <x:f t="shared" si="27"/>
        <x:v>0</x:v>
      </x:c>
      <x:c r="O52" s="76">
        <x:f t="shared" si="27"/>
        <x:v>0</x:v>
      </x:c>
      <x:c r="P52" s="2"/>
      <x:c r="Q52" s="4"/>
      <x:c r="S52" s="21"/>
      <x:c r="T52" s="22" t="s">
        <x:v>2</x:v>
      </x:c>
      <x:c r="U52" s="43">
        <x:f>SUM(U47:U51)</x:f>
        <x:v>0</x:v>
      </x:c>
      <x:c r="V52" s="43">
        <x:f t="shared" ref="V52:AE52" si="28">SUM(V47:V51)</x:f>
        <x:v>0</x:v>
      </x:c>
      <x:c r="W52" s="43">
        <x:f t="shared" si="28"/>
        <x:v>0</x:v>
      </x:c>
      <x:c r="X52" s="43">
        <x:f t="shared" si="28"/>
        <x:v>0</x:v>
      </x:c>
      <x:c r="Y52" s="43">
        <x:f t="shared" si="28"/>
        <x:v>0</x:v>
      </x:c>
      <x:c r="Z52" s="43">
        <x:f t="shared" si="28"/>
        <x:v>0</x:v>
      </x:c>
      <x:c r="AA52" s="43">
        <x:f>SUM(AA47:AA51)</x:f>
        <x:v>0</x:v>
      </x:c>
      <x:c r="AB52" s="43">
        <x:f t="shared" si="28"/>
        <x:v>0</x:v>
      </x:c>
      <x:c r="AC52" s="43">
        <x:f>SUM(AC47:AC51)</x:f>
        <x:v>0</x:v>
      </x:c>
      <x:c r="AD52" s="43">
        <x:f>SUM(AD47:AD51)</x:f>
        <x:v>0</x:v>
      </x:c>
      <x:c r="AE52" s="68">
        <x:f t="shared" si="28"/>
        <x:v>0</x:v>
      </x:c>
      <x:c r="AF52" s="120">
        <x:f>SUM(AF47:AF51)</x:f>
        <x:v>0</x:v>
      </x:c>
      <x:c r="AG52" s="1" t="b">
        <x:f t="shared" si="21"/>
        <x:v>1</x:v>
      </x:c>
      <x:c r="AH52" s="4"/>
    </x:row>
    <x:row r="53" spans="1:34" ht="12" thickBot="1" x14ac:dyDescent="0.3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E53" s="24"/>
      <x:c r="AH53" s="4"/>
    </x:row>
    <x:row r="54" spans="1:34" ht="12" thickBot="1" x14ac:dyDescent="0.3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C54" s="1" t="s">
        <x:v>1</x:v>
      </x:c>
      <x:c r="AE54" s="1" t="s">
        <x:v>1</x:v>
      </x:c>
      <x:c r="AH54" s="4"/>
    </x:row>
    <x:row r="55" spans="1:34" ht="12" thickBot="1" x14ac:dyDescent="0.3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H55" s="4"/>
    </x:row>
    <x:row r="56" spans="1:34" x14ac:dyDescent="0.3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H56" s="4"/>
    </x:row>
    <x:row r="57" spans="1:34" x14ac:dyDescent="0.3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</x:row>
    <x:row r="58" spans="1:34" x14ac:dyDescent="0.3">
      <x:c r="Q58" s="24"/>
    </x:row>
  </x:sheetData>
  <x:conditionalFormatting sqref="D28:O32 U28:AF32">
    <x:cfRule type="cellIs" dxfId="81" priority="3" operator="greaterThan">
      <x:formula>0.9</x:formula>
    </x:cfRule>
  </x:conditionalFormatting>
  <x:conditionalFormatting sqref="M35">
    <x:cfRule type="cellIs" dxfId="80" priority="1" operator="equal">
      <x:formula>"ERROR"</x:formula>
    </x:cfRule>
    <x:cfRule type="cellIs" dxfId="79" priority="2" operator="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1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325E32B-7BC1-40ED-A0D9-589FC2F0FE5A}" mc:Ignorable="x14ac xr xr2 xr3">
  <x:sheetPr>
    <x:pageSetUpPr fitToPage="1"/>
  </x:sheetPr>
  <x:dimension ref="B1:S44"/>
  <x:sheetViews>
    <x:sheetView topLeftCell="I10" zoomScaleNormal="100" workbookViewId="0">
      <x:selection activeCell="R26" sqref="R26"/>
    </x:sheetView>
  </x:sheetViews>
  <x:sheetFormatPr baseColWidth="10" defaultRowHeight="12.9" x14ac:dyDescent="0.35"/>
  <x:cols>
    <x:col min="1" max="1" width="2.84375" customWidth="1"/>
    <x:col min="2" max="2" width="17.3828125" bestFit="1" customWidth="1"/>
    <x:col min="3" max="3" width="4.84375" style="151" bestFit="1" customWidth="1"/>
    <x:col min="4" max="4" width="42.84375" style="151" bestFit="1" customWidth="1"/>
    <x:col min="5" max="5" width="9" customWidth="1"/>
    <x:col min="6" max="6" width="15.84375" customWidth="1"/>
    <x:col min="7" max="7" width="17.3828125" bestFit="1" customWidth="1"/>
    <x:col min="8" max="8" width="14.15234375" customWidth="1"/>
    <x:col min="9" max="9" width="16.15234375" bestFit="1" customWidth="1"/>
    <x:col min="10" max="10" width="16.84375" customWidth="1"/>
    <x:col min="11" max="11" width="17.53515625" customWidth="1"/>
    <x:col min="12" max="12" width="15.53515625" bestFit="1" customWidth="1"/>
    <x:col min="13" max="13" width="15.84375" bestFit="1" customWidth="1"/>
    <x:col min="14" max="14" width="17" customWidth="1"/>
    <x:col min="15" max="15" width="17.84375" customWidth="1"/>
    <x:col min="16" max="16" width="16.84375" customWidth="1"/>
    <x:col min="17" max="17" width="18" customWidth="1"/>
    <x:col min="18" max="18" width="14.15234375" bestFit="1" customWidth="1"/>
    <x:col min="19" max="19" width="15.84375" bestFit="1" customWidth="1"/>
    <x:col min="20" max="20" width="14.15234375" bestFit="1" customWidth="1"/>
  </x:cols>
  <x:sheetData>
    <x:row r="1" spans="2:19" ht="13.3" thickBot="1" x14ac:dyDescent="0.4"/>
    <x:row r="2" spans="2:19" s="151" customFormat="1" ht="13.3" thickBot="1" x14ac:dyDescent="0.4">
      <x:c r="B2" s="665"/>
      <x:c r="E2" s="151" t="s">
        <x:v>1</x:v>
      </x:c>
      <x:c r="F2" s="581" t="s">
        <x:v>275</x:v>
      </x:c>
      <x:c r="G2" s="582" t="s">
        <x:v>276</x:v>
      </x:c>
      <x:c r="H2" s="583" t="s">
        <x:v>277</x:v>
      </x:c>
      <x:c r="I2" s="583" t="s">
        <x:v>278</x:v>
      </x:c>
      <x:c r="J2" s="583" t="s">
        <x:v>279</x:v>
      </x:c>
      <x:c r="K2" s="582" t="s">
        <x:v>280</x:v>
      </x:c>
      <x:c r="L2" s="582" t="s">
        <x:v>281</x:v>
      </x:c>
      <x:c r="M2" s="583" t="s">
        <x:v>282</x:v>
      </x:c>
      <x:c r="N2" s="583" t="s">
        <x:v>283</x:v>
      </x:c>
      <x:c r="O2" s="583" t="s">
        <x:v>284</x:v>
      </x:c>
      <x:c r="P2" s="761" t="s">
        <x:v>285</x:v>
      </x:c>
      <x:c r="Q2" s="583" t="s">
        <x:v>286</x:v>
      </x:c>
    </x:row>
    <x:row r="3" spans="2:19" s="151" customFormat="1" ht="26.15" thickBot="1" x14ac:dyDescent="0.4">
      <x:c r="B3" s="666" t="s">
        <x:v>134</x:v>
      </x:c>
      <x:c r="C3" s="152" t="s">
        <x:v>3</x:v>
      </x:c>
      <x:c r="D3" s="153" t="s">
        <x:v>9</x:v>
      </x:c>
      <x:c r="E3" s="560" t="s">
        <x:v>108</x:v>
      </x:c>
      <x:c r="F3" s="584" t="s">
        <x:v>287</x:v>
      </x:c>
      <x:c r="G3" s="585" t="s">
        <x:v>288</x:v>
      </x:c>
      <x:c r="H3" s="586" t="s">
        <x:v>289</x:v>
      </x:c>
      <x:c r="I3" s="587" t="s">
        <x:v>290</x:v>
      </x:c>
      <x:c r="J3" s="584" t="s">
        <x:v>291</x:v>
      </x:c>
      <x:c r="K3" s="585" t="s">
        <x:v>292</x:v>
      </x:c>
      <x:c r="L3" s="586" t="s">
        <x:v>293</x:v>
      </x:c>
      <x:c r="M3" s="587" t="s">
        <x:v>294</x:v>
      </x:c>
      <x:c r="N3" s="584" t="s">
        <x:v>295</x:v>
      </x:c>
      <x:c r="O3" s="585" t="s">
        <x:v>296</x:v>
      </x:c>
      <x:c r="P3" s="586" t="s">
        <x:v>297</x:v>
      </x:c>
      <x:c r="Q3" s="587" t="s">
        <x:v>298</x:v>
      </x:c>
    </x:row>
    <x:row r="4" spans="2:19" s="151" customFormat="1" x14ac:dyDescent="0.35">
      <x:c r="B4" s="667">
        <x:v>378371975</x:v>
      </x:c>
      <x:c r="C4" s="561">
        <x:v>1</x:v>
      </x:c>
      <x:c r="D4" s="161" t="s">
        <x:v>10</x:v>
      </x:c>
      <x:c r="E4" s="668">
        <x:v>0.22</x:v>
      </x:c>
      <x:c r="F4" s="669">
        <x:v>189185988</x:v>
      </x:c>
      <x:c r="G4" s="670">
        <x:v>189185987</x:v>
      </x:c>
      <x:c r="H4" s="671">
        <x:v>189185988</x:v>
      </x:c>
      <x:c r="I4" s="672">
        <x:v>189185987</x:v>
      </x:c>
      <x:c r="J4" s="669">
        <x:v>189185988</x:v>
      </x:c>
      <x:c r="K4" s="670">
        <x:v>189185987</x:v>
      </x:c>
      <x:c r="L4" s="671">
        <x:v>189185988</x:v>
      </x:c>
      <x:c r="M4" s="672">
        <x:v>189185987</x:v>
      </x:c>
      <x:c r="N4" s="669">
        <x:v>189185988</x:v>
      </x:c>
      <x:c r="O4" s="670">
        <x:v>189185987</x:v>
      </x:c>
      <x:c r="P4" s="671">
        <x:v>189185988</x:v>
      </x:c>
      <x:c r="Q4" s="672">
        <x:v>189185987</x:v>
      </x:c>
      <x:c r="S4" s="762"/>
    </x:row>
    <x:row r="5" spans="2:19" s="151" customFormat="1" x14ac:dyDescent="0.35">
      <x:c r="B5" s="667">
        <x:v>533160511</x:v>
      </x:c>
      <x:c r="C5" s="562">
        <x:v>2</x:v>
      </x:c>
      <x:c r="D5" s="156" t="s">
        <x:v>11</x:v>
      </x:c>
      <x:c r="E5" s="673">
        <x:v>0.31</x:v>
      </x:c>
      <x:c r="F5" s="674">
        <x:v>266580256</x:v>
      </x:c>
      <x:c r="G5" s="675">
        <x:v>266580255</x:v>
      </x:c>
      <x:c r="H5" s="676">
        <x:v>266580256</x:v>
      </x:c>
      <x:c r="I5" s="672">
        <x:v>266580255</x:v>
      </x:c>
      <x:c r="J5" s="674">
        <x:v>266580256</x:v>
      </x:c>
      <x:c r="K5" s="675">
        <x:v>266580255</x:v>
      </x:c>
      <x:c r="L5" s="676">
        <x:v>266580256</x:v>
      </x:c>
      <x:c r="M5" s="672">
        <x:v>266580255</x:v>
      </x:c>
      <x:c r="N5" s="674">
        <x:v>266580256</x:v>
      </x:c>
      <x:c r="O5" s="675">
        <x:v>266580255</x:v>
      </x:c>
      <x:c r="P5" s="676">
        <x:v>266580256</x:v>
      </x:c>
      <x:c r="Q5" s="672">
        <x:v>266580255</x:v>
      </x:c>
      <x:c r="S5" s="762"/>
    </x:row>
    <x:row r="6" spans="2:19" s="151" customFormat="1" x14ac:dyDescent="0.35">
      <x:c r="B6" s="667">
        <x:v>309577071</x:v>
      </x:c>
      <x:c r="C6" s="562">
        <x:v>3</x:v>
      </x:c>
      <x:c r="D6" s="156" t="s">
        <x:v>12</x:v>
      </x:c>
      <x:c r="E6" s="673">
        <x:v>0.18</x:v>
      </x:c>
      <x:c r="F6" s="674">
        <x:v>154788536</x:v>
      </x:c>
      <x:c r="G6" s="675">
        <x:v>154788535</x:v>
      </x:c>
      <x:c r="H6" s="676">
        <x:v>154788536</x:v>
      </x:c>
      <x:c r="I6" s="672">
        <x:v>154788535</x:v>
      </x:c>
      <x:c r="J6" s="674">
        <x:v>154788536</x:v>
      </x:c>
      <x:c r="K6" s="675">
        <x:v>154788535</x:v>
      </x:c>
      <x:c r="L6" s="676">
        <x:v>154788536</x:v>
      </x:c>
      <x:c r="M6" s="672">
        <x:v>154788535</x:v>
      </x:c>
      <x:c r="N6" s="674">
        <x:v>154788536</x:v>
      </x:c>
      <x:c r="O6" s="675">
        <x:v>154788535</x:v>
      </x:c>
      <x:c r="P6" s="676">
        <x:v>154788536</x:v>
      </x:c>
      <x:c r="Q6" s="672">
        <x:v>154788535</x:v>
      </x:c>
      <x:c r="S6" s="762"/>
    </x:row>
    <x:row r="7" spans="2:19" s="151" customFormat="1" x14ac:dyDescent="0.35">
      <x:c r="B7" s="667">
        <x:v>240782166</x:v>
      </x:c>
      <x:c r="C7" s="562">
        <x:v>4</x:v>
      </x:c>
      <x:c r="D7" s="156" t="s">
        <x:v>13</x:v>
      </x:c>
      <x:c r="E7" s="673">
        <x:v>0.14000000000000001</x:v>
      </x:c>
      <x:c r="F7" s="674">
        <x:v>120391083</x:v>
      </x:c>
      <x:c r="G7" s="675">
        <x:v>120391083</x:v>
      </x:c>
      <x:c r="H7" s="676">
        <x:v>120391083</x:v>
      </x:c>
      <x:c r="I7" s="672">
        <x:v>120391083</x:v>
      </x:c>
      <x:c r="J7" s="674">
        <x:v>120391083</x:v>
      </x:c>
      <x:c r="K7" s="675">
        <x:v>120391083</x:v>
      </x:c>
      <x:c r="L7" s="676">
        <x:v>120391083</x:v>
      </x:c>
      <x:c r="M7" s="672">
        <x:v>120391083</x:v>
      </x:c>
      <x:c r="N7" s="674">
        <x:v>120391083</x:v>
      </x:c>
      <x:c r="O7" s="675">
        <x:v>120391083</x:v>
      </x:c>
      <x:c r="P7" s="676">
        <x:v>120391083</x:v>
      </x:c>
      <x:c r="Q7" s="672">
        <x:v>120391083</x:v>
      </x:c>
      <x:c r="S7" s="762"/>
    </x:row>
    <x:row r="8" spans="2:19" s="151" customFormat="1" ht="13.3" thickBot="1" x14ac:dyDescent="0.4">
      <x:c r="B8" s="667">
        <x:v>257980891</x:v>
      </x:c>
      <x:c r="C8" s="563">
        <x:v>5</x:v>
      </x:c>
      <x:c r="D8" s="158" t="s">
        <x:v>14</x:v>
      </x:c>
      <x:c r="E8" s="677">
        <x:v>0.15</x:v>
      </x:c>
      <x:c r="F8" s="678">
        <x:v>128990446</x:v>
      </x:c>
      <x:c r="G8" s="679">
        <x:v>128990445</x:v>
      </x:c>
      <x:c r="H8" s="680">
        <x:v>128990446</x:v>
      </x:c>
      <x:c r="I8" s="681">
        <x:v>128990445</x:v>
      </x:c>
      <x:c r="J8" s="678">
        <x:v>128990446</x:v>
      </x:c>
      <x:c r="K8" s="679">
        <x:v>128990445</x:v>
      </x:c>
      <x:c r="L8" s="680">
        <x:v>128990446</x:v>
      </x:c>
      <x:c r="M8" s="681">
        <x:v>128990445</x:v>
      </x:c>
      <x:c r="N8" s="678">
        <x:v>128990446</x:v>
      </x:c>
      <x:c r="O8" s="679">
        <x:v>128990445</x:v>
      </x:c>
      <x:c r="P8" s="680">
        <x:v>128990446</x:v>
      </x:c>
      <x:c r="Q8" s="681">
        <x:v>128990445</x:v>
      </x:c>
      <x:c r="S8" s="762"/>
    </x:row>
    <x:row r="9" spans="2:19" s="151" customFormat="1" ht="13.3" thickBot="1" x14ac:dyDescent="0.4">
      <x:c r="B9" s="682">
        <x:v>1719872614</x:v>
      </x:c>
      <x:c r="C9" s="159"/>
      <x:c r="D9" s="160" t="s">
        <x:v>2</x:v>
      </x:c>
      <x:c r="E9" s="564">
        <x:v>1</x:v>
      </x:c>
      <x:c r="F9" s="683">
        <x:v>859936309</x:v>
      </x:c>
      <x:c r="G9" s="683">
        <x:v>859936305</x:v>
      </x:c>
      <x:c r="H9" s="684">
        <x:v>859936309</x:v>
      </x:c>
      <x:c r="I9" s="684">
        <x:v>859936305</x:v>
      </x:c>
      <x:c r="J9" s="683">
        <x:v>859936309</x:v>
      </x:c>
      <x:c r="K9" s="683">
        <x:v>859936305</x:v>
      </x:c>
      <x:c r="L9" s="684">
        <x:v>859936309</x:v>
      </x:c>
      <x:c r="M9" s="684">
        <x:v>859936305</x:v>
      </x:c>
      <x:c r="N9" s="683">
        <x:v>859936309</x:v>
      </x:c>
      <x:c r="O9" s="683">
        <x:v>859936305</x:v>
      </x:c>
      <x:c r="P9" s="684">
        <x:v>859936309</x:v>
      </x:c>
      <x:c r="Q9" s="684">
        <x:v>859936305</x:v>
      </x:c>
      <x:c r="S9" s="762"/>
    </x:row>
    <x:row r="10" spans="2:19" s="151" customFormat="1" ht="15.75" customHeight="1" thickBot="1" x14ac:dyDescent="0.4">
      <x:c r="B10" s="665"/>
      <x:c r="F10" s="783">
        <x:f>SUM(F9:G9)</x:f>
        <x:v>1719872614</x:v>
      </x:c>
      <x:c r="G10" s="784"/>
      <x:c r="H10" s="783">
        <x:f>SUM(H9:I9)</x:f>
        <x:v>1719872614</x:v>
      </x:c>
      <x:c r="I10" s="784"/>
      <x:c r="J10" s="783">
        <x:f>SUM(J9:K9)</x:f>
        <x:v>1719872614</x:v>
      </x:c>
      <x:c r="K10" s="784"/>
      <x:c r="L10" s="783">
        <x:f>SUM(L9:M9)</x:f>
        <x:v>1719872614</x:v>
      </x:c>
      <x:c r="M10" s="784"/>
      <x:c r="N10" s="783">
        <x:f>SUM(N9:O9)</x:f>
        <x:v>1719872614</x:v>
      </x:c>
      <x:c r="O10" s="784"/>
      <x:c r="P10" s="783">
        <x:f>SUM(P9:Q9)</x:f>
        <x:v>1719872614</x:v>
      </x:c>
      <x:c r="Q10" s="784"/>
    </x:row>
    <x:row r="12" spans="2:19" ht="13.3" thickBot="1" x14ac:dyDescent="0.4"/>
    <x:row r="13" spans="2:19" s="151" customFormat="1" ht="13.3" thickBot="1" x14ac:dyDescent="0.4">
      <x:c r="B13" s="665"/>
      <x:c r="E13" s="151" t="s">
        <x:v>1</x:v>
      </x:c>
      <x:c r="F13" s="581" t="s">
        <x:v>299</x:v>
      </x:c>
      <x:c r="G13" s="582" t="s">
        <x:v>300</x:v>
      </x:c>
      <x:c r="H13" s="768" t="s">
        <x:v>301</x:v>
      </x:c>
      <x:c r="I13" s="583" t="s">
        <x:v>302</x:v>
      </x:c>
      <x:c r="J13" s="583" t="s">
        <x:v>303</x:v>
      </x:c>
      <x:c r="K13" s="582" t="s">
        <x:v>304</x:v>
      </x:c>
      <x:c r="L13" s="582" t="s">
        <x:v>305</x:v>
      </x:c>
      <x:c r="M13" s="583" t="s">
        <x:v>306</x:v>
      </x:c>
      <x:c r="N13" s="583" t="s">
        <x:v>307</x:v>
      </x:c>
      <x:c r="O13" s="582" t="s">
        <x:v>308</x:v>
      </x:c>
      <x:c r="P13" s="582" t="s">
        <x:v>309</x:v>
      </x:c>
      <x:c r="Q13" s="583" t="s">
        <x:v>310</x:v>
      </x:c>
    </x:row>
    <x:row r="14" spans="2:19" s="151" customFormat="1" ht="26.15" thickBot="1" x14ac:dyDescent="0.4">
      <x:c r="B14" s="665"/>
      <x:c r="C14" s="152" t="s">
        <x:v>3</x:v>
      </x:c>
      <x:c r="D14" s="153" t="s">
        <x:v>9</x:v>
      </x:c>
      <x:c r="E14" s="560" t="s">
        <x:v>108</x:v>
      </x:c>
      <x:c r="F14" s="584" t="s">
        <x:v>311</x:v>
      </x:c>
      <x:c r="G14" s="585" t="s">
        <x:v>312</x:v>
      </x:c>
      <x:c r="H14" s="586" t="s">
        <x:v>313</x:v>
      </x:c>
      <x:c r="I14" s="587" t="s">
        <x:v>314</x:v>
      </x:c>
      <x:c r="J14" s="584" t="s">
        <x:v>315</x:v>
      </x:c>
      <x:c r="K14" s="585" t="s">
        <x:v>316</x:v>
      </x:c>
      <x:c r="L14" s="586" t="s">
        <x:v>317</x:v>
      </x:c>
      <x:c r="M14" s="587" t="s">
        <x:v>318</x:v>
      </x:c>
      <x:c r="N14" s="584" t="s">
        <x:v>319</x:v>
      </x:c>
      <x:c r="O14" s="585" t="s">
        <x:v>320</x:v>
      </x:c>
      <x:c r="P14" s="586" t="s">
        <x:v>321</x:v>
      </x:c>
      <x:c r="Q14" s="587" t="s">
        <x:v>322</x:v>
      </x:c>
    </x:row>
    <x:row r="15" spans="2:19" s="151" customFormat="1" x14ac:dyDescent="0.35">
      <x:c r="B15" s="665"/>
      <x:c r="C15" s="154">
        <x:v>1</x:v>
      </x:c>
      <x:c r="D15" s="161" t="s">
        <x:v>10</x:v>
      </x:c>
      <x:c r="E15" s="685">
        <x:v>0.22</x:v>
      </x:c>
      <x:c r="F15" s="669">
        <x:v>189185988</x:v>
      </x:c>
      <x:c r="G15" s="670">
        <x:v>189185987</x:v>
      </x:c>
      <x:c r="H15" s="671">
        <x:v>189185988</x:v>
      </x:c>
      <x:c r="I15" s="672">
        <x:v>189185987</x:v>
      </x:c>
      <x:c r="J15" s="669">
        <x:v>189185988</x:v>
      </x:c>
      <x:c r="K15" s="670">
        <x:v>189185987</x:v>
      </x:c>
      <x:c r="L15" s="671">
        <x:v>189185988</x:v>
      </x:c>
      <x:c r="M15" s="672">
        <x:v>189185987</x:v>
      </x:c>
      <x:c r="N15" s="669">
        <x:v>189185988</x:v>
      </x:c>
      <x:c r="O15" s="670">
        <x:v>189185987</x:v>
      </x:c>
      <x:c r="P15" s="671">
        <x:v>189185988</x:v>
      </x:c>
      <x:c r="Q15" s="672">
        <x:v>189185987</x:v>
      </x:c>
    </x:row>
    <x:row r="16" spans="2:19" s="151" customFormat="1" x14ac:dyDescent="0.35">
      <x:c r="B16" s="665"/>
      <x:c r="C16" s="155">
        <x:v>2</x:v>
      </x:c>
      <x:c r="D16" s="156" t="s">
        <x:v>11</x:v>
      </x:c>
      <x:c r="E16" s="686">
        <x:v>0.31</x:v>
      </x:c>
      <x:c r="F16" s="674">
        <x:v>266580256</x:v>
      </x:c>
      <x:c r="G16" s="675">
        <x:v>266580255</x:v>
      </x:c>
      <x:c r="H16" s="676">
        <x:v>266580256</x:v>
      </x:c>
      <x:c r="I16" s="672">
        <x:v>266580255</x:v>
      </x:c>
      <x:c r="J16" s="674">
        <x:v>266580256</x:v>
      </x:c>
      <x:c r="K16" s="675">
        <x:v>266580255</x:v>
      </x:c>
      <x:c r="L16" s="676">
        <x:v>266580256</x:v>
      </x:c>
      <x:c r="M16" s="672">
        <x:v>266580255</x:v>
      </x:c>
      <x:c r="N16" s="674">
        <x:v>266580256</x:v>
      </x:c>
      <x:c r="O16" s="675">
        <x:v>266580255</x:v>
      </x:c>
      <x:c r="P16" s="676">
        <x:v>266580256</x:v>
      </x:c>
      <x:c r="Q16" s="672">
        <x:v>266580255</x:v>
      </x:c>
    </x:row>
    <x:row r="17" spans="2:19" s="151" customFormat="1" x14ac:dyDescent="0.35">
      <x:c r="B17" s="665"/>
      <x:c r="C17" s="155">
        <x:v>3</x:v>
      </x:c>
      <x:c r="D17" s="156" t="s">
        <x:v>12</x:v>
      </x:c>
      <x:c r="E17" s="686">
        <x:v>0.18</x:v>
      </x:c>
      <x:c r="F17" s="674">
        <x:v>154788536</x:v>
      </x:c>
      <x:c r="G17" s="675">
        <x:v>154788535</x:v>
      </x:c>
      <x:c r="H17" s="676">
        <x:v>154788536</x:v>
      </x:c>
      <x:c r="I17" s="672">
        <x:v>154788535</x:v>
      </x:c>
      <x:c r="J17" s="674">
        <x:v>154788536</x:v>
      </x:c>
      <x:c r="K17" s="675">
        <x:v>154788535</x:v>
      </x:c>
      <x:c r="L17" s="676">
        <x:v>154788536</x:v>
      </x:c>
      <x:c r="M17" s="672">
        <x:v>154788535</x:v>
      </x:c>
      <x:c r="N17" s="674">
        <x:v>154788536</x:v>
      </x:c>
      <x:c r="O17" s="675">
        <x:v>154788535</x:v>
      </x:c>
      <x:c r="P17" s="676">
        <x:v>154788536</x:v>
      </x:c>
      <x:c r="Q17" s="672">
        <x:v>154788535</x:v>
      </x:c>
    </x:row>
    <x:row r="18" spans="2:19" s="151" customFormat="1" x14ac:dyDescent="0.35">
      <x:c r="B18" s="665"/>
      <x:c r="C18" s="155">
        <x:v>4</x:v>
      </x:c>
      <x:c r="D18" s="156" t="s">
        <x:v>13</x:v>
      </x:c>
      <x:c r="E18" s="686">
        <x:v>0.14000000000000001</x:v>
      </x:c>
      <x:c r="F18" s="674">
        <x:v>120391083</x:v>
      </x:c>
      <x:c r="G18" s="675">
        <x:v>120391083</x:v>
      </x:c>
      <x:c r="H18" s="676">
        <x:v>120391083</x:v>
      </x:c>
      <x:c r="I18" s="672">
        <x:v>120391083</x:v>
      </x:c>
      <x:c r="J18" s="674">
        <x:v>120391083</x:v>
      </x:c>
      <x:c r="K18" s="675">
        <x:v>120391083</x:v>
      </x:c>
      <x:c r="L18" s="676">
        <x:v>120391083</x:v>
      </x:c>
      <x:c r="M18" s="672">
        <x:v>120391083</x:v>
      </x:c>
      <x:c r="N18" s="674">
        <x:v>120391083</x:v>
      </x:c>
      <x:c r="O18" s="675">
        <x:v>120391083</x:v>
      </x:c>
      <x:c r="P18" s="676">
        <x:v>120391083</x:v>
      </x:c>
      <x:c r="Q18" s="672">
        <x:v>120391083</x:v>
      </x:c>
    </x:row>
    <x:row r="19" spans="2:19" s="151" customFormat="1" ht="13.3" thickBot="1" x14ac:dyDescent="0.4">
      <x:c r="B19" s="665"/>
      <x:c r="C19" s="157">
        <x:v>5</x:v>
      </x:c>
      <x:c r="D19" s="158" t="s">
        <x:v>14</x:v>
      </x:c>
      <x:c r="E19" s="687">
        <x:v>0.15</x:v>
      </x:c>
      <x:c r="F19" s="678">
        <x:v>128990446</x:v>
      </x:c>
      <x:c r="G19" s="679">
        <x:v>128990445</x:v>
      </x:c>
      <x:c r="H19" s="680">
        <x:v>128990446</x:v>
      </x:c>
      <x:c r="I19" s="681">
        <x:v>128990445</x:v>
      </x:c>
      <x:c r="J19" s="678">
        <x:v>128990446</x:v>
      </x:c>
      <x:c r="K19" s="679">
        <x:v>128990445</x:v>
      </x:c>
      <x:c r="L19" s="680">
        <x:v>128990446</x:v>
      </x:c>
      <x:c r="M19" s="681">
        <x:v>128990445</x:v>
      </x:c>
      <x:c r="N19" s="678">
        <x:v>128990446</x:v>
      </x:c>
      <x:c r="O19" s="679">
        <x:v>128990445</x:v>
      </x:c>
      <x:c r="P19" s="680">
        <x:v>128990446</x:v>
      </x:c>
      <x:c r="Q19" s="681">
        <x:v>128990445</x:v>
      </x:c>
    </x:row>
    <x:row r="20" spans="2:19" s="151" customFormat="1" ht="13.3" thickBot="1" x14ac:dyDescent="0.4">
      <x:c r="B20" s="665"/>
      <x:c r="C20" s="159"/>
      <x:c r="D20" s="160" t="s">
        <x:v>2</x:v>
      </x:c>
      <x:c r="E20" s="565">
        <x:v>1</x:v>
      </x:c>
      <x:c r="F20" s="683">
        <x:v>859936309</x:v>
      </x:c>
      <x:c r="G20" s="683">
        <x:v>859936305</x:v>
      </x:c>
      <x:c r="H20" s="684">
        <x:v>859936309</x:v>
      </x:c>
      <x:c r="I20" s="684">
        <x:v>859936305</x:v>
      </x:c>
      <x:c r="J20" s="683">
        <x:v>859936309</x:v>
      </x:c>
      <x:c r="K20" s="683">
        <x:v>859936305</x:v>
      </x:c>
      <x:c r="L20" s="684">
        <x:v>859936309</x:v>
      </x:c>
      <x:c r="M20" s="684">
        <x:v>859936305</x:v>
      </x:c>
      <x:c r="N20" s="683">
        <x:v>859936309</x:v>
      </x:c>
      <x:c r="O20" s="683">
        <x:v>859936305</x:v>
      </x:c>
      <x:c r="P20" s="684">
        <x:v>859936309</x:v>
      </x:c>
      <x:c r="Q20" s="684">
        <x:v>859936305</x:v>
      </x:c>
    </x:row>
    <x:row r="21" spans="2:19" s="151" customFormat="1" ht="13.3" thickBot="1" x14ac:dyDescent="0.4">
      <x:c r="B21" s="665"/>
      <x:c r="F21" s="783">
        <x:f>SUM(F20:G20)</x:f>
        <x:v>1719872614</x:v>
      </x:c>
      <x:c r="G21" s="784">
        <x:v>1191383498</x:v>
      </x:c>
      <x:c r="H21" s="783">
        <x:f>SUM(H20:I20)</x:f>
        <x:v>1719872614</x:v>
      </x:c>
      <x:c r="I21" s="784">
        <x:v>1191383498</x:v>
      </x:c>
      <x:c r="J21" s="783">
        <x:f>SUM(J20:K20)</x:f>
        <x:v>1719872614</x:v>
      </x:c>
      <x:c r="K21" s="784">
        <x:v>1191383498</x:v>
      </x:c>
      <x:c r="L21" s="783">
        <x:f>SUM(L20:M20)</x:f>
        <x:v>1719872614</x:v>
      </x:c>
      <x:c r="M21" s="784">
        <x:v>1191383498</x:v>
      </x:c>
      <x:c r="N21" s="783">
        <x:f>SUM(N20:O20)</x:f>
        <x:v>1719872614</x:v>
      </x:c>
      <x:c r="O21" s="784">
        <x:v>1191383498</x:v>
      </x:c>
      <x:c r="P21" s="783">
        <x:f>SUM(P20:Q20)</x:f>
        <x:v>1719872614</x:v>
      </x:c>
      <x:c r="Q21" s="784">
        <x:v>1191383498</x:v>
      </x:c>
    </x:row>
    <x:row r="24" spans="2:19" ht="13.3" thickBot="1" x14ac:dyDescent="0.4">
      <x:c r="B24" s="238"/>
      <x:c r="C24" s="519"/>
      <x:c r="D24" s="519"/>
      <x:c r="E24" s="238"/>
      <x:c r="F24" s="238"/>
      <x:c r="G24" s="238"/>
      <x:c r="H24" s="238"/>
      <x:c r="I24" s="238"/>
      <x:c r="J24" s="238"/>
      <x:c r="K24" s="238"/>
      <x:c r="L24" s="238"/>
      <x:c r="M24" s="238"/>
      <x:c r="N24" s="238"/>
      <x:c r="O24" s="238"/>
      <x:c r="P24" s="238"/>
      <x:c r="Q24" s="238"/>
      <x:c r="R24" s="238"/>
    </x:row>
    <x:row r="25" spans="2:19" ht="24.75" customHeight="1" thickBot="1" x14ac:dyDescent="0.4">
      <x:c r="K25" s="718" t="s">
        <x:v>268</x:v>
      </x:c>
      <x:c r="L25" s="152" t="s">
        <x:v>3</x:v>
      </x:c>
      <x:c r="M25" s="644" t="s">
        <x:v>266</x:v>
      </x:c>
      <x:c r="N25" s="644" t="s">
        <x:v>267</x:v>
      </x:c>
      <x:c r="Q25" s="520" t="s">
        <x:v>1</x:v>
      </x:c>
      <x:c r="R25" s="29" t="s">
        <x:v>201</x:v>
      </x:c>
    </x:row>
    <x:row r="26" spans="2:19" x14ac:dyDescent="0.35">
      <x:c r="G26" s="212"/>
      <x:c r="H26" s="212"/>
      <x:c r="I26" s="212"/>
      <x:c r="J26" s="643"/>
      <x:c r="K26" s="688">
        <x:v>378371975</x:v>
      </x:c>
      <x:c r="L26" s="154">
        <x:v>1</x:v>
      </x:c>
      <x:c r="M26" s="716">
        <x:v>189185988</x:v>
      </x:c>
      <x:c r="N26" s="180">
        <x:v>189185987</x:v>
      </x:c>
      <x:c r="O26" s="167" t="b">
        <x:f>M26=R26</x:f>
        <x:v>1</x:v>
      </x:c>
      <x:c r="P26" s="167"/>
      <x:c r="Q26" s="717">
        <x:f>'CONSOLIDADO_TOTAL RECAUDO'!L104</x:f>
        <x:v>189185988</x:v>
      </x:c>
      <x:c r="R26" s="696">
        <x:f t="shared" ref="R26:R31" si="0">N26</x:f>
        <x:v>189185988</x:v>
      </x:c>
      <x:c r="S26" t="b">
        <x:f>Q26=R26</x:f>
        <x:v>1</x:v>
      </x:c>
    </x:row>
    <x:row r="27" spans="2:19" x14ac:dyDescent="0.35">
      <x:c r="G27" s="212"/>
      <x:c r="H27" s="212"/>
      <x:c r="I27" s="212"/>
      <x:c r="J27" s="643"/>
      <x:c r="K27" s="689">
        <x:v>533160511</x:v>
      </x:c>
      <x:c r="L27" s="155">
        <x:v>2</x:v>
      </x:c>
      <x:c r="M27" s="716">
        <x:v>266580256</x:v>
      </x:c>
      <x:c r="N27" s="180">
        <x:v>266580255</x:v>
      </x:c>
      <x:c r="O27" s="167" t="b">
        <x:f t="shared" ref="O27:O31" si="1">M27=R27</x:f>
        <x:v>1</x:v>
      </x:c>
      <x:c r="P27" s="167"/>
      <x:c r="Q27" s="717">
        <x:f>'CONSOLIDADO_TOTAL RECAUDO'!L105</x:f>
        <x:v>266580256</x:v>
      </x:c>
      <x:c r="R27" s="696">
        <x:f t="shared" si="0"/>
        <x:v>266580256</x:v>
      </x:c>
      <x:c r="S27" t="b">
        <x:f>Q27=R27</x:f>
        <x:v>1</x:v>
      </x:c>
    </x:row>
    <x:row r="28" spans="2:19" x14ac:dyDescent="0.35">
      <x:c r="G28" s="167"/>
      <x:c r="H28" s="212"/>
      <x:c r="I28" s="212"/>
      <x:c r="J28" s="643"/>
      <x:c r="K28" s="689">
        <x:v>309577071</x:v>
      </x:c>
      <x:c r="L28" s="155">
        <x:v>3</x:v>
      </x:c>
      <x:c r="M28" s="716">
        <x:v>154788536</x:v>
      </x:c>
      <x:c r="N28" s="180">
        <x:v>154788535</x:v>
      </x:c>
      <x:c r="O28" s="167" t="b">
        <x:f t="shared" si="1"/>
        <x:v>1</x:v>
      </x:c>
      <x:c r="P28" s="167"/>
      <x:c r="Q28" s="717">
        <x:f>'CONSOLIDADO_TOTAL RECAUDO'!L106</x:f>
        <x:v>154788536</x:v>
      </x:c>
      <x:c r="R28" s="696">
        <x:f t="shared" si="0"/>
        <x:v>154788536</x:v>
      </x:c>
      <x:c r="S28" t="b">
        <x:f t="shared" ref="S28:S31" si="2">Q28=R28</x:f>
        <x:v>1</x:v>
      </x:c>
    </x:row>
    <x:row r="29" spans="2:19" x14ac:dyDescent="0.35">
      <x:c r="G29" s="601"/>
      <x:c r="H29" s="212"/>
      <x:c r="I29" s="212"/>
      <x:c r="J29" s="643"/>
      <x:c r="K29" s="689">
        <x:v>240782166</x:v>
      </x:c>
      <x:c r="L29" s="155">
        <x:v>4</x:v>
      </x:c>
      <x:c r="M29" s="716">
        <x:v>120391083</x:v>
      </x:c>
      <x:c r="N29" s="690">
        <x:v>120391083</x:v>
      </x:c>
      <x:c r="O29" s="167" t="b">
        <x:f t="shared" si="1"/>
        <x:v>1</x:v>
      </x:c>
      <x:c r="P29" s="167"/>
      <x:c r="Q29" s="717">
        <x:f>'CONSOLIDADO_TOTAL RECAUDO'!L107</x:f>
        <x:v>120391083</x:v>
      </x:c>
      <x:c r="R29" s="696">
        <x:f t="shared" si="0"/>
        <x:v>120391083</x:v>
      </x:c>
      <x:c r="S29" t="b">
        <x:f t="shared" si="2"/>
        <x:v>1</x:v>
      </x:c>
    </x:row>
    <x:row r="30" spans="2:19" ht="13.3" thickBot="1" x14ac:dyDescent="0.4">
      <x:c r="G30" s="601"/>
      <x:c r="H30" s="212"/>
      <x:c r="I30" s="212"/>
      <x:c r="J30" s="643"/>
      <x:c r="K30" s="691">
        <x:v>257980891</x:v>
      </x:c>
      <x:c r="L30" s="157">
        <x:v>5</x:v>
      </x:c>
      <x:c r="M30" s="716">
        <x:v>128990446</x:v>
      </x:c>
      <x:c r="N30" s="692">
        <x:v>128990445</x:v>
      </x:c>
      <x:c r="O30" s="167" t="b">
        <x:f t="shared" si="1"/>
        <x:v>1</x:v>
      </x:c>
      <x:c r="P30" s="167"/>
      <x:c r="Q30" s="717">
        <x:f>'CONSOLIDADO_TOTAL RECAUDO'!L108</x:f>
        <x:v>128990446</x:v>
      </x:c>
      <x:c r="R30" s="696">
        <x:f t="shared" si="0"/>
        <x:v>128990446</x:v>
      </x:c>
      <x:c r="S30" t="b">
        <x:f t="shared" si="2"/>
        <x:v>1</x:v>
      </x:c>
    </x:row>
    <x:row r="31" spans="2:19" ht="13.3" thickBot="1" x14ac:dyDescent="0.4">
      <x:c r="G31" s="601"/>
      <x:c r="H31" s="167"/>
      <x:c r="I31" s="167"/>
      <x:c r="J31" s="270"/>
      <x:c r="K31" s="693">
        <x:f>SUM(K26:K30)</x:f>
        <x:v>1719872614</x:v>
      </x:c>
      <x:c r="L31" s="159"/>
      <x:c r="M31" s="694">
        <x:f>SUM(M26:M30)</x:f>
        <x:v>859936309</x:v>
      </x:c>
      <x:c r="N31" s="694">
        <x:f>SUM(N26:N30)</x:f>
        <x:v>859936305</x:v>
      </x:c>
      <x:c r="O31" s="167" t="b">
        <x:f t="shared" si="1"/>
        <x:v>1</x:v>
      </x:c>
      <x:c r="P31" s="167"/>
      <x:c r="Q31" s="717">
        <x:f>'CONSOLIDADO_TOTAL RECAUDO'!L109</x:f>
        <x:v>859936309</x:v>
      </x:c>
      <x:c r="R31" s="696">
        <x:f t="shared" si="0"/>
        <x:v>859936309</x:v>
      </x:c>
      <x:c r="S31" t="b">
        <x:f t="shared" si="2"/>
        <x:v>1</x:v>
      </x:c>
    </x:row>
    <x:row r="32" spans="2:19" x14ac:dyDescent="0.35">
      <x:c r="G32" s="601"/>
      <x:c r="H32" s="167"/>
      <x:c r="I32" s="167"/>
      <x:c r="K32" s="645">
        <x:f>SUM(M31:N31)</x:f>
        <x:v>1719872614</x:v>
      </x:c>
      <x:c r="L32" s="270"/>
    </x:row>
    <x:row r="33" spans="7:17" x14ac:dyDescent="0.35">
      <x:c r="G33" s="601"/>
      <x:c r="H33" s="167"/>
      <x:c r="J33" s="270"/>
      <x:c r="K33" s="270"/>
      <x:c r="Q33" s="212"/>
    </x:row>
    <x:row r="34" spans="7:17" x14ac:dyDescent="0.35">
      <x:c r="G34" s="601"/>
      <x:c r="H34" s="167"/>
      <x:c r="Q34" s="212"/>
    </x:row>
    <x:row r="35" spans="7:17" x14ac:dyDescent="0.35">
      <x:c r="H35" s="167"/>
      <x:c r="K35" s="695"/>
      <x:c r="Q35" s="212"/>
    </x:row>
    <x:row r="36" spans="7:17" x14ac:dyDescent="0.35">
      <x:c r="H36" s="167"/>
      <x:c r="K36" s="695"/>
      <x:c r="Q36" s="212"/>
    </x:row>
    <x:row r="37" spans="7:17" x14ac:dyDescent="0.35">
      <x:c r="H37" s="167"/>
      <x:c r="K37" s="695"/>
      <x:c r="Q37" s="212"/>
    </x:row>
    <x:row r="38" spans="7:17" x14ac:dyDescent="0.35">
      <x:c r="H38" s="167"/>
      <x:c r="K38" s="695"/>
      <x:c r="Q38" s="212"/>
    </x:row>
    <x:row r="39" spans="7:17" x14ac:dyDescent="0.35">
      <x:c r="H39" s="167"/>
      <x:c r="K39" s="695"/>
    </x:row>
    <x:row r="40" spans="7:17" x14ac:dyDescent="0.35">
      <x:c r="H40" s="167"/>
      <x:c r="K40" s="695"/>
    </x:row>
    <x:row r="41" spans="7:17" x14ac:dyDescent="0.35">
      <x:c r="H41" s="167"/>
    </x:row>
    <x:row r="42" spans="7:17" x14ac:dyDescent="0.35">
      <x:c r="H42" s="167"/>
    </x:row>
    <x:row r="43" spans="7:17" x14ac:dyDescent="0.35">
      <x:c r="H43" s="167"/>
    </x:row>
    <x:row r="44" spans="7:17" x14ac:dyDescent="0.35">
      <x:c r="H44" s="167"/>
    </x:row>
  </x:sheetData>
  <x:mergeCells count="12">
    <x:mergeCell ref="P21:Q21"/>
    <x:mergeCell ref="F10:G10"/>
    <x:mergeCell ref="H10:I10"/>
    <x:mergeCell ref="J10:K10"/>
    <x:mergeCell ref="L10:M10"/>
    <x:mergeCell ref="N10:O10"/>
    <x:mergeCell ref="P10:Q10"/>
    <x:mergeCell ref="F21:G21"/>
    <x:mergeCell ref="H21:I21"/>
    <x:mergeCell ref="J21:K21"/>
    <x:mergeCell ref="L21:M21"/>
    <x:mergeCell ref="N21:O21"/>
  </x:mergeCells>
  <x:conditionalFormatting sqref="R26:R31">
    <x:cfRule type="cellIs" dxfId="78" priority="1" operator="notEqual">
      <x:formula>TRUE</x:formula>
    </x:cfRule>
  </x:conditionalFormatting>
  <x:printOptions horizontalCentered="1" verticalCentered="1"/>
  <x:pageMargins left="0.11811023622047245" right="0.70866141732283472" top="0" bottom="0" header="0.31496062992125984" footer="0.31496062992125984"/>
  <x:pageSetup scale="52" orientation="landscape" r:id="rId1"/>
  <x:legacyDrawing r:id="rId2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tabColor rgb="FFFFFF00"/>
  </x:sheetPr>
  <x:dimension ref="A1:AB25"/>
  <x:sheetViews>
    <x:sheetView zoomScale="106" zoomScaleNormal="106" workbookViewId="0">
      <x:selection activeCell="F28" sqref="F28"/>
    </x:sheetView>
  </x:sheetViews>
  <x:sheetFormatPr baseColWidth="10" defaultColWidth="11.3828125" defaultRowHeight="11.6" x14ac:dyDescent="0.3"/>
  <x:cols>
    <x:col min="1" max="1" width="3" style="389" customWidth="1"/>
    <x:col min="2" max="2" width="4.3828125" style="389" bestFit="1" customWidth="1"/>
    <x:col min="3" max="3" width="38.15234375" style="389" customWidth="1"/>
    <x:col min="4" max="4" width="15.15234375" style="389" customWidth="1"/>
    <x:col min="5" max="5" width="16" style="389" customWidth="1"/>
    <x:col min="6" max="7" width="14.84375" style="389" customWidth="1"/>
    <x:col min="8" max="9" width="16" style="389" customWidth="1"/>
    <x:col min="10" max="10" width="17.53515625" style="389" customWidth="1"/>
    <x:col min="11" max="11" width="3.84375" style="389" customWidth="1"/>
    <x:col min="12" max="12" width="2.84375" style="389" customWidth="1"/>
    <x:col min="13" max="13" width="4.53515625" style="389" customWidth="1"/>
    <x:col min="14" max="14" width="11.15234375" style="389" customWidth="1"/>
    <x:col min="15" max="15" width="37.53515625" style="389" bestFit="1" customWidth="1"/>
    <x:col min="16" max="16" width="19.15234375" style="389" customWidth="1"/>
    <x:col min="17" max="17" width="17.84375" style="389" customWidth="1"/>
    <x:col min="18" max="18" width="16.3828125" style="389" customWidth="1"/>
    <x:col min="19" max="19" width="17.15234375" style="389" customWidth="1"/>
    <x:col min="20" max="20" width="15.84375" style="389" customWidth="1"/>
    <x:col min="21" max="21" width="16.15234375" style="389" customWidth="1"/>
    <x:col min="22" max="22" width="13.15234375" style="391" customWidth="1"/>
    <x:col min="23" max="23" width="13.84375" style="389" customWidth="1"/>
    <x:col min="24" max="24" width="3.3828125" style="389" customWidth="1"/>
    <x:col min="25" max="25" width="13.84375" style="389" bestFit="1" customWidth="1"/>
    <x:col min="26" max="27" width="11.3828125" style="389"/>
    <x:col min="28" max="28" width="15.84375" style="389" bestFit="1" customWidth="1"/>
    <x:col min="29" max="16384" width="11.3828125" style="389"/>
  </x:cols>
  <x:sheetData>
    <x:row r="1" spans="2:28" x14ac:dyDescent="0.3">
      <x:c r="L1" s="390"/>
      <x:c r="X1" s="390"/>
    </x:row>
    <x:row r="2" spans="2:28" x14ac:dyDescent="0.3">
      <x:c r="L2" s="390"/>
      <x:c r="X2" s="390"/>
    </x:row>
    <x:row r="3" spans="2:28" ht="12" thickBot="1" x14ac:dyDescent="0.35">
      <x:c r="L3" s="390"/>
      <x:c r="X3" s="390"/>
    </x:row>
    <x:row r="4" spans="2:28" x14ac:dyDescent="0.3">
      <x:c r="B4" s="392"/>
      <x:c r="C4" s="393" t="s">
        <x:v>1</x:v>
      </x:c>
      <x:c r="D4" s="394" t="s">
        <x:v>1</x:v>
      </x:c>
      <x:c r="E4" s="393"/>
      <x:c r="F4" s="395"/>
      <x:c r="G4" s="393"/>
      <x:c r="H4" s="393" t="s">
        <x:v>1</x:v>
      </x:c>
      <x:c r="I4" s="393"/>
      <x:c r="J4" s="396"/>
      <x:c r="K4" s="397"/>
      <x:c r="L4" s="390"/>
      <x:c r="N4" s="392"/>
      <x:c r="O4" s="393" t="s">
        <x:v>1</x:v>
      </x:c>
      <x:c r="P4" s="394" t="s">
        <x:v>1</x:v>
      </x:c>
      <x:c r="Q4" s="393"/>
      <x:c r="R4" s="393"/>
      <x:c r="S4" s="393" t="s">
        <x:v>1</x:v>
      </x:c>
      <x:c r="T4" s="393"/>
      <x:c r="U4" s="396"/>
      <x:c r="V4" s="398"/>
      <x:c r="X4" s="390"/>
    </x:row>
    <x:row r="5" spans="2:28" ht="15.45" x14ac:dyDescent="0.4">
      <x:c r="B5" s="399"/>
      <x:c r="D5" s="400" t="s">
        <x:v>8</x:v>
      </x:c>
      <x:c r="E5" s="401"/>
      <x:c r="G5" s="401"/>
      <x:c r="I5" s="401" t="s">
        <x:v>16</x:v>
      </x:c>
      <x:c r="J5" s="402"/>
      <x:c r="K5" s="397"/>
      <x:c r="L5" s="390"/>
      <x:c r="N5" s="399"/>
      <x:c r="P5" s="400" t="s">
        <x:v>8</x:v>
      </x:c>
      <x:c r="R5" s="401"/>
      <x:c r="T5" s="401" t="s">
        <x:v>16</x:v>
      </x:c>
      <x:c r="U5" s="403"/>
      <x:c r="V5" s="398"/>
      <x:c r="X5" s="390"/>
    </x:row>
    <x:row r="6" spans="2:28" ht="15.45" x14ac:dyDescent="0.4">
      <x:c r="B6" s="399"/>
      <x:c r="D6" s="404" t="s">
        <x:v>185</x:v>
      </x:c>
      <x:c r="E6" s="405"/>
      <x:c r="G6" s="405"/>
      <x:c r="J6" s="402"/>
      <x:c r="K6" s="397"/>
      <x:c r="L6" s="390"/>
      <x:c r="N6" s="399"/>
      <x:c r="O6" s="401" t="s">
        <x:v>1</x:v>
      </x:c>
      <x:c r="P6" s="404" t="s">
        <x:v>174</x:v>
      </x:c>
      <x:c r="R6" s="405"/>
      <x:c r="U6" s="406" t="s">
        <x:v>1</x:v>
      </x:c>
      <x:c r="V6" s="398"/>
      <x:c r="X6" s="390"/>
    </x:row>
    <x:row r="7" spans="2:28" ht="15.45" x14ac:dyDescent="0.4">
      <x:c r="B7" s="399"/>
      <x:c r="D7" s="404" t="s">
        <x:v>175</x:v>
      </x:c>
      <x:c r="E7" s="405"/>
      <x:c r="G7" s="405"/>
      <x:c r="J7" s="402"/>
      <x:c r="K7" s="397"/>
      <x:c r="L7" s="390"/>
      <x:c r="N7" s="399"/>
      <x:c r="O7" s="401"/>
      <x:c r="P7" s="404" t="s">
        <x:v>175</x:v>
      </x:c>
      <x:c r="R7" s="405"/>
      <x:c r="U7" s="406"/>
      <x:c r="V7" s="398"/>
      <x:c r="X7" s="390"/>
    </x:row>
    <x:row r="8" spans="2:28" ht="15.45" x14ac:dyDescent="0.4">
      <x:c r="B8" s="399"/>
      <x:c r="D8" s="404" t="s">
        <x:v>176</x:v>
      </x:c>
      <x:c r="E8" s="405"/>
      <x:c r="G8" s="397"/>
      <x:c r="J8" s="402"/>
      <x:c r="K8" s="397"/>
      <x:c r="L8" s="390"/>
      <x:c r="N8" s="399"/>
      <x:c r="O8" s="407" t="s">
        <x:v>1</x:v>
      </x:c>
      <x:c r="P8" s="404" t="s">
        <x:v>176</x:v>
      </x:c>
      <x:c r="R8" s="397"/>
      <x:c r="U8" s="402"/>
      <x:c r="V8" s="398"/>
      <x:c r="X8" s="390"/>
    </x:row>
    <x:row r="9" spans="2:28" ht="15.45" x14ac:dyDescent="0.4">
      <x:c r="B9" s="399"/>
      <x:c r="C9" s="397"/>
      <x:c r="D9" s="408"/>
      <x:c r="E9" s="409"/>
      <x:c r="G9" s="409"/>
      <x:c r="H9" s="397"/>
      <x:c r="J9" s="402"/>
      <x:c r="K9" s="397"/>
      <x:c r="L9" s="390"/>
      <x:c r="N9" s="399"/>
      <x:c r="O9" s="409" t="s">
        <x:v>1</x:v>
      </x:c>
      <x:c r="P9" s="409"/>
      <x:c r="R9" s="409"/>
      <x:c r="S9" s="397"/>
      <x:c r="U9" s="403"/>
      <x:c r="V9" s="398"/>
      <x:c r="X9" s="390"/>
    </x:row>
    <x:row r="10" spans="2:28" ht="18.45" thickBot="1" x14ac:dyDescent="0.6">
      <x:c r="B10" s="399"/>
      <x:c r="C10" s="397"/>
      <x:c r="D10" s="410"/>
      <x:c r="E10" s="397" t="s">
        <x:v>27</x:v>
      </x:c>
      <x:c r="F10" s="457">
        <x:f>'CONSOLIDADO_TOTAL RECAUDO'!G102</x:f>
        <x:v>46281</x:v>
      </x:c>
      <x:c r="G10" s="408"/>
      <x:c r="H10" s="397" t="s">
        <x:v>28</x:v>
      </x:c>
      <x:c r="I10" s="457">
        <x:f>'CONSOLIDADO_TOTAL RECAUDO'!K102</x:f>
        <x:v>46295</x:v>
      </x:c>
      <x:c r="J10" s="403"/>
      <x:c r="K10" s="397"/>
      <x:c r="L10" s="390"/>
      <x:c r="N10" s="399"/>
      <x:c r="Q10" s="408"/>
      <x:c r="R10" s="389" t="s">
        <x:v>1</x:v>
      </x:c>
      <x:c r="T10" s="408"/>
      <x:c r="U10" s="403"/>
      <x:c r="V10" s="398"/>
      <x:c r="X10" s="390"/>
      <x:c r="Y10" s="411" t="s">
        <x:v>1</x:v>
      </x:c>
    </x:row>
    <x:row r="11" spans="2:28" ht="69.900000000000006" thickBot="1" x14ac:dyDescent="0.35">
      <x:c r="B11" s="412" t="s">
        <x:v>3</x:v>
      </x:c>
      <x:c r="C11" s="413" t="s">
        <x:v>9</x:v>
      </x:c>
      <x:c r="D11" s="412" t="s">
        <x:v>177</x:v>
      </x:c>
      <x:c r="E11" s="414" t="s">
        <x:v>178</x:v>
      </x:c>
      <x:c r="F11" s="413" t="s">
        <x:v>179</x:v>
      </x:c>
      <x:c r="G11" s="415" t="s">
        <x:v>180</x:v>
      </x:c>
      <x:c r="H11" s="413" t="s">
        <x:v>181</x:v>
      </x:c>
      <x:c r="I11" s="414" t="s">
        <x:v>182</x:v>
      </x:c>
      <x:c r="J11" s="416" t="s">
        <x:v>183</x:v>
      </x:c>
      <x:c r="K11" s="417"/>
      <x:c r="L11" s="390"/>
      <x:c r="N11" s="412" t="s">
        <x:v>3</x:v>
      </x:c>
      <x:c r="O11" s="413" t="s">
        <x:v>9</x:v>
      </x:c>
      <x:c r="P11" s="418" t="s">
        <x:v>39</x:v>
      </x:c>
      <x:c r="Q11" s="419" t="s">
        <x:v>40</x:v>
      </x:c>
      <x:c r="R11" s="419" t="s">
        <x:v>41</x:v>
      </x:c>
      <x:c r="S11" s="419" t="s">
        <x:v>42</x:v>
      </x:c>
      <x:c r="T11" s="420" t="s">
        <x:v>184</x:v>
      </x:c>
      <x:c r="U11" s="461" t="s">
        <x:v>183</x:v>
      </x:c>
      <x:c r="V11" s="421"/>
      <x:c r="X11" s="390"/>
    </x:row>
    <x:row r="12" spans="2:28" s="427" customFormat="1" x14ac:dyDescent="0.3">
      <x:c r="B12" s="422">
        <x:v>1</x:v>
      </x:c>
      <x:c r="C12" s="423" t="s">
        <x:v>10</x:v>
      </x:c>
      <x:c r="D12" s="424">
        <x:f>'Reporte Componentes R1'!F105*$D$24</x:f>
        <x:v>0</x:v>
      </x:c>
      <x:c r="E12" s="424">
        <x:f>'Reporte Componentes R1'!G105*$D$24</x:f>
        <x:v>0</x:v>
      </x:c>
      <x:c r="F12" s="425">
        <x:f>'Reporte Componentes R1'!H105*$D$24</x:f>
        <x:v>0</x:v>
      </x:c>
      <x:c r="G12" s="425">
        <x:f>'Reporte Componentes R1'!I105*$D$24</x:f>
        <x:v>0</x:v>
      </x:c>
      <x:c r="H12" s="425">
        <x:f>'Reporte Componentes R1'!J105*$D$24</x:f>
        <x:v>0</x:v>
      </x:c>
      <x:c r="I12" s="425">
        <x:f>'Reporte Componentes R1'!K105*$D$24</x:f>
        <x:v>0</x:v>
      </x:c>
      <x:c r="J12" s="426">
        <x:f t="shared" ref="J12:J16" si="0">D12-E12-F12-G12-H12-I12</x:f>
        <x:v>0</x:v>
      </x:c>
      <x:c r="L12" s="428"/>
      <x:c r="N12" s="422">
        <x:v>1</x:v>
      </x:c>
      <x:c r="O12" s="423" t="s">
        <x:v>10</x:v>
      </x:c>
      <x:c r="P12" s="429">
        <x:f>'Reporte Componentes R1'!M105*$P$24</x:f>
        <x:v>0</x:v>
      </x:c>
      <x:c r="Q12" s="430">
        <x:f>'Reporte Componentes R1'!N105*$P$24</x:f>
        <x:v>0</x:v>
      </x:c>
      <x:c r="R12" s="430">
        <x:f>'Reporte Componentes R1'!O105*$P$24</x:f>
        <x:v>0</x:v>
      </x:c>
      <x:c r="S12" s="430">
        <x:f>'Reporte Componentes R1'!P105*$P$24</x:f>
        <x:v>0</x:v>
      </x:c>
      <x:c r="T12" s="430">
        <x:f>'Reporte Componentes R1'!Q105*$P$24</x:f>
        <x:v>0</x:v>
      </x:c>
      <x:c r="U12" s="464">
        <x:f>SUM(P12:T12)</x:f>
        <x:v>0</x:v>
      </x:c>
      <x:c r="V12" s="465">
        <x:f>J12-U12</x:f>
        <x:v>0</x:v>
      </x:c>
      <x:c r="W12" s="427" t="b">
        <x:f t="shared" ref="W12:W17" si="1">V12=0</x:f>
        <x:v>1</x:v>
      </x:c>
      <x:c r="X12" s="428"/>
      <x:c r="AB12" s="431"/>
    </x:row>
    <x:row r="13" spans="2:28" s="427" customFormat="1" x14ac:dyDescent="0.3">
      <x:c r="B13" s="432">
        <x:v>2</x:v>
      </x:c>
      <x:c r="C13" s="433" t="s">
        <x:v>11</x:v>
      </x:c>
      <x:c r="D13" s="424">
        <x:f>'Reporte Componentes R1'!F284*$D$24</x:f>
        <x:v>0</x:v>
      </x:c>
      <x:c r="E13" s="425">
        <x:f>'Reporte Componentes R1'!G284*$D$24</x:f>
        <x:v>0</x:v>
      </x:c>
      <x:c r="F13" s="425">
        <x:f>'Reporte Componentes R1'!H284*$D$24</x:f>
        <x:v>0</x:v>
      </x:c>
      <x:c r="G13" s="425">
        <x:f>'Reporte Componentes R1'!I284*$D$24</x:f>
        <x:v>0</x:v>
      </x:c>
      <x:c r="H13" s="425">
        <x:f>'Reporte Componentes R1'!J284*$D$24</x:f>
        <x:v>0</x:v>
      </x:c>
      <x:c r="I13" s="425">
        <x:f>'Reporte Componentes R1'!K284*$D$24</x:f>
        <x:v>0</x:v>
      </x:c>
      <x:c r="J13" s="426">
        <x:f t="shared" si="0"/>
        <x:v>0</x:v>
      </x:c>
      <x:c r="L13" s="428"/>
      <x:c r="N13" s="432">
        <x:v>2</x:v>
      </x:c>
      <x:c r="O13" s="433" t="s">
        <x:v>11</x:v>
      </x:c>
      <x:c r="P13" s="434">
        <x:f>'Reporte Componentes R1'!M284*$P$24</x:f>
        <x:v>0</x:v>
      </x:c>
      <x:c r="Q13" s="435">
        <x:f>'Reporte Componentes R1'!N284*$P$24</x:f>
        <x:v>0</x:v>
      </x:c>
      <x:c r="R13" s="435">
        <x:f>'Reporte Componentes R1'!O284*$P$24</x:f>
        <x:v>0</x:v>
      </x:c>
      <x:c r="S13" s="435">
        <x:f>'Reporte Componentes R1'!P284*$P$24</x:f>
        <x:v>0</x:v>
      </x:c>
      <x:c r="T13" s="435">
        <x:f>'Reporte Componentes R1'!Q284*$P$24</x:f>
        <x:v>0</x:v>
      </x:c>
      <x:c r="U13" s="463">
        <x:f>SUM(P13:T13)</x:f>
        <x:v>0</x:v>
      </x:c>
      <x:c r="V13" s="466">
        <x:f t="shared" ref="V13:V16" si="2">J13-U13</x:f>
        <x:v>0</x:v>
      </x:c>
      <x:c r="W13" s="427" t="b">
        <x:f t="shared" si="1"/>
        <x:v>1</x:v>
      </x:c>
      <x:c r="X13" s="428"/>
      <x:c r="AB13" s="431"/>
    </x:row>
    <x:row r="14" spans="2:28" s="427" customFormat="1" x14ac:dyDescent="0.3">
      <x:c r="B14" s="432">
        <x:v>3</x:v>
      </x:c>
      <x:c r="C14" s="433" t="s">
        <x:v>12</x:v>
      </x:c>
      <x:c r="D14" s="424">
        <x:f>'Reporte Componentes R1'!F445*$D$24</x:f>
        <x:v>0</x:v>
      </x:c>
      <x:c r="E14" s="424">
        <x:f>'Reporte Componentes R1'!G445*$D$24</x:f>
        <x:v>0</x:v>
      </x:c>
      <x:c r="F14" s="424">
        <x:f>'Reporte Componentes R1'!H445*$D$24</x:f>
        <x:v>0</x:v>
      </x:c>
      <x:c r="G14" s="424">
        <x:f>'Reporte Componentes R1'!I445*$D$24</x:f>
        <x:v>0</x:v>
      </x:c>
      <x:c r="H14" s="424">
        <x:f>'Reporte Componentes R1'!J445*$D$24</x:f>
        <x:v>0</x:v>
      </x:c>
      <x:c r="I14" s="424">
        <x:f>'Reporte Componentes R1'!K445*$D$24</x:f>
        <x:v>0</x:v>
      </x:c>
      <x:c r="J14" s="426">
        <x:f t="shared" si="0"/>
        <x:v>0</x:v>
      </x:c>
      <x:c r="L14" s="428"/>
      <x:c r="N14" s="432">
        <x:v>3</x:v>
      </x:c>
      <x:c r="O14" s="433" t="s">
        <x:v>12</x:v>
      </x:c>
      <x:c r="P14" s="434">
        <x:f>'Reporte Componentes R1'!M445*$P$24</x:f>
        <x:v>0</x:v>
      </x:c>
      <x:c r="Q14" s="435">
        <x:f>'Reporte Componentes R1'!N445*$P$24</x:f>
        <x:v>0</x:v>
      </x:c>
      <x:c r="R14" s="435">
        <x:f>'Reporte Componentes R1'!O445*$P$24</x:f>
        <x:v>0</x:v>
      </x:c>
      <x:c r="S14" s="435">
        <x:f>'Reporte Componentes R1'!P445*$P$24</x:f>
        <x:v>0</x:v>
      </x:c>
      <x:c r="T14" s="435">
        <x:f>'Reporte Componentes R1'!Q445*$P$24</x:f>
        <x:v>0</x:v>
      </x:c>
      <x:c r="U14" s="463">
        <x:f>SUM(P14:T14)</x:f>
        <x:v>0</x:v>
      </x:c>
      <x:c r="V14" s="466">
        <x:f t="shared" si="2"/>
        <x:v>0</x:v>
      </x:c>
      <x:c r="W14" s="427" t="b">
        <x:f t="shared" si="1"/>
        <x:v>1</x:v>
      </x:c>
      <x:c r="X14" s="428"/>
      <x:c r="AB14" s="431"/>
    </x:row>
    <x:row r="15" spans="2:28" s="427" customFormat="1" x14ac:dyDescent="0.3">
      <x:c r="B15" s="432">
        <x:v>4</x:v>
      </x:c>
      <x:c r="C15" s="433" t="s">
        <x:v>13</x:v>
      </x:c>
      <x:c r="D15" s="424">
        <x:f>'Reporte Componentes R1'!F598*$D$24</x:f>
        <x:v>0</x:v>
      </x:c>
      <x:c r="E15" s="425">
        <x:f>'Reporte Componentes R1'!G598*$D$24</x:f>
        <x:v>0</x:v>
      </x:c>
      <x:c r="F15" s="425">
        <x:f>'Reporte Componentes R1'!H598*$D$24</x:f>
        <x:v>0</x:v>
      </x:c>
      <x:c r="G15" s="425">
        <x:f>'Reporte Componentes R1'!I598*$D$24</x:f>
        <x:v>0</x:v>
      </x:c>
      <x:c r="H15" s="425">
        <x:f>'Reporte Componentes R1'!J598*$D$24</x:f>
        <x:v>0</x:v>
      </x:c>
      <x:c r="I15" s="425">
        <x:f>'Reporte Componentes R1'!K598*$D$24</x:f>
        <x:v>0</x:v>
      </x:c>
      <x:c r="J15" s="426">
        <x:f t="shared" si="0"/>
        <x:v>0</x:v>
      </x:c>
      <x:c r="L15" s="428"/>
      <x:c r="N15" s="432">
        <x:v>4</x:v>
      </x:c>
      <x:c r="O15" s="433" t="s">
        <x:v>13</x:v>
      </x:c>
      <x:c r="P15" s="434">
        <x:f>'Reporte Componentes R1'!M598*$P$24</x:f>
        <x:v>0</x:v>
      </x:c>
      <x:c r="Q15" s="435">
        <x:f>'Reporte Componentes R1'!N598*$P$24</x:f>
        <x:v>0</x:v>
      </x:c>
      <x:c r="R15" s="435">
        <x:f>'Reporte Componentes R1'!O598*$P$24</x:f>
        <x:v>0</x:v>
      </x:c>
      <x:c r="S15" s="435">
        <x:f>'Reporte Componentes R1'!P598*$P$24</x:f>
        <x:v>0</x:v>
      </x:c>
      <x:c r="T15" s="435">
        <x:f>'Reporte Componentes R1'!Q598*$P$24</x:f>
        <x:v>0</x:v>
      </x:c>
      <x:c r="U15" s="463">
        <x:f>SUM(P15:T15)</x:f>
        <x:v>0</x:v>
      </x:c>
      <x:c r="V15" s="466">
        <x:f t="shared" si="2"/>
        <x:v>0</x:v>
      </x:c>
      <x:c r="W15" s="427" t="b">
        <x:f t="shared" si="1"/>
        <x:v>1</x:v>
      </x:c>
      <x:c r="X15" s="428"/>
      <x:c r="AB15" s="431"/>
    </x:row>
    <x:row r="16" spans="2:28" s="427" customFormat="1" ht="12" thickBot="1" x14ac:dyDescent="0.35">
      <x:c r="B16" s="436">
        <x:v>5</x:v>
      </x:c>
      <x:c r="C16" s="437" t="s">
        <x:v>14</x:v>
      </x:c>
      <x:c r="D16" s="438">
        <x:f>'Reporte Componentes R1'!F710*$D$24</x:f>
        <x:v>0</x:v>
      </x:c>
      <x:c r="E16" s="439">
        <x:f>'Reporte Componentes R1'!G710*$D$24</x:f>
        <x:v>0</x:v>
      </x:c>
      <x:c r="F16" s="439">
        <x:f>'Reporte Componentes R1'!H710*$D$24</x:f>
        <x:v>0</x:v>
      </x:c>
      <x:c r="G16" s="439">
        <x:f>'Reporte Componentes R1'!I710*$D$24</x:f>
        <x:v>0</x:v>
      </x:c>
      <x:c r="H16" s="439">
        <x:f>'Reporte Componentes R1'!J710*$D$24</x:f>
        <x:v>0</x:v>
      </x:c>
      <x:c r="I16" s="439">
        <x:f>'Reporte Componentes R1'!K710*$D$24</x:f>
        <x:v>0</x:v>
      </x:c>
      <x:c r="J16" s="426">
        <x:f t="shared" si="0"/>
        <x:v>0</x:v>
      </x:c>
      <x:c r="L16" s="428"/>
      <x:c r="N16" s="436">
        <x:v>5</x:v>
      </x:c>
      <x:c r="O16" s="437" t="s">
        <x:v>14</x:v>
      </x:c>
      <x:c r="P16" s="438">
        <x:f>'Reporte Componentes R1'!M710*$P$24</x:f>
        <x:v>0</x:v>
      </x:c>
      <x:c r="Q16" s="439">
        <x:f>'Reporte Componentes R1'!N710*$P$24</x:f>
        <x:v>0</x:v>
      </x:c>
      <x:c r="R16" s="439">
        <x:f>'Reporte Componentes R1'!O710*$P$24</x:f>
        <x:v>0</x:v>
      </x:c>
      <x:c r="S16" s="439">
        <x:f>'Reporte Componentes R1'!P710*$P$24</x:f>
        <x:v>0</x:v>
      </x:c>
      <x:c r="T16" s="439">
        <x:f>'Reporte Componentes R1'!Q710*$P$24</x:f>
        <x:v>0</x:v>
      </x:c>
      <x:c r="U16" s="467">
        <x:f>SUM(P16:T16)</x:f>
        <x:v>0</x:v>
      </x:c>
      <x:c r="V16" s="468">
        <x:f t="shared" si="2"/>
        <x:v>0</x:v>
      </x:c>
      <x:c r="W16" s="427" t="b">
        <x:f t="shared" si="1"/>
        <x:v>1</x:v>
      </x:c>
      <x:c r="X16" s="428"/>
      <x:c r="AB16" s="431"/>
    </x:row>
    <x:row r="17" spans="1:28" s="427" customFormat="1" ht="12" thickBot="1" x14ac:dyDescent="0.35">
      <x:c r="B17" s="440"/>
      <x:c r="C17" s="441" t="s">
        <x:v>2</x:v>
      </x:c>
      <x:c r="D17" s="442">
        <x:f t="shared" ref="D17:J17" si="3">SUM(D12:D16)</x:f>
        <x:v>0</x:v>
      </x:c>
      <x:c r="E17" s="442">
        <x:f t="shared" si="3"/>
        <x:v>0</x:v>
      </x:c>
      <x:c r="F17" s="442">
        <x:f t="shared" si="3"/>
        <x:v>0</x:v>
      </x:c>
      <x:c r="G17" s="442">
        <x:f t="shared" si="3"/>
        <x:v>0</x:v>
      </x:c>
      <x:c r="H17" s="442">
        <x:f t="shared" si="3"/>
        <x:v>0</x:v>
      </x:c>
      <x:c r="I17" s="442">
        <x:f t="shared" si="3"/>
        <x:v>0</x:v>
      </x:c>
      <x:c r="J17" s="443">
        <x:f t="shared" si="3"/>
        <x:v>0</x:v>
      </x:c>
      <x:c r="K17" s="444"/>
      <x:c r="L17" s="428"/>
      <x:c r="N17" s="440"/>
      <x:c r="O17" s="441" t="s">
        <x:v>2</x:v>
      </x:c>
      <x:c r="P17" s="445">
        <x:f>SUM(P12:P16)</x:f>
        <x:v>0</x:v>
      </x:c>
      <x:c r="Q17" s="445">
        <x:f t="shared" ref="Q17:U17" si="4">SUM(Q12:Q16)</x:f>
        <x:v>0</x:v>
      </x:c>
      <x:c r="R17" s="445">
        <x:f t="shared" si="4"/>
        <x:v>0</x:v>
      </x:c>
      <x:c r="S17" s="445">
        <x:f t="shared" si="4"/>
        <x:v>0</x:v>
      </x:c>
      <x:c r="T17" s="445">
        <x:f t="shared" si="4"/>
        <x:v>0</x:v>
      </x:c>
      <x:c r="U17" s="462">
        <x:f t="shared" si="4"/>
        <x:v>0</x:v>
      </x:c>
      <x:c r="V17" s="446">
        <x:f>SUM(V12:V16)</x:f>
        <x:v>0</x:v>
      </x:c>
      <x:c r="W17" s="427" t="b">
        <x:f t="shared" si="1"/>
        <x:v>1</x:v>
      </x:c>
      <x:c r="X17" s="428"/>
      <x:c r="AB17" s="431"/>
    </x:row>
    <x:row r="18" spans="1:28" ht="12" thickBot="1" x14ac:dyDescent="0.35">
      <x:c r="B18" s="397"/>
      <x:c r="C18" s="397"/>
      <x:c r="D18" s="447"/>
      <x:c r="E18" s="448"/>
      <x:c r="F18" s="448"/>
      <x:c r="G18" s="448"/>
      <x:c r="H18" s="448"/>
      <x:c r="I18" s="448"/>
      <x:c r="J18" s="448"/>
      <x:c r="L18" s="390"/>
      <x:c r="N18" s="397"/>
      <x:c r="O18" s="397"/>
      <x:c r="P18" s="448"/>
      <x:c r="Q18" s="448"/>
      <x:c r="R18" s="448"/>
      <x:c r="S18" s="448"/>
      <x:c r="T18" s="448"/>
      <x:c r="U18" s="448"/>
      <x:c r="X18" s="390"/>
    </x:row>
    <x:row r="19" spans="1:28" ht="12" thickBot="1" x14ac:dyDescent="0.35">
      <x:c r="B19" s="397"/>
      <x:c r="C19" s="397"/>
      <x:c r="D19" s="448"/>
      <x:c r="E19" s="448"/>
      <x:c r="F19" s="448"/>
      <x:c r="G19" s="448"/>
      <x:c r="H19" s="448"/>
      <x:c r="I19" s="448"/>
      <x:c r="J19" s="448"/>
      <x:c r="L19" s="390"/>
      <x:c r="T19" s="449">
        <x:f>SUM(P17:T17)</x:f>
        <x:v>0</x:v>
      </x:c>
      <x:c r="U19" s="389" t="s">
        <x:v>1</x:v>
      </x:c>
      <x:c r="X19" s="390"/>
    </x:row>
    <x:row r="20" spans="1:28" ht="12" thickBot="1" x14ac:dyDescent="0.35">
      <x:c r="B20" s="397"/>
      <x:c r="C20" s="397"/>
      <x:c r="D20" s="448" t="s">
        <x:v>1</x:v>
      </x:c>
      <x:c r="E20" s="450"/>
      <x:c r="F20" s="450"/>
      <x:c r="G20" s="450"/>
      <x:c r="H20" s="450"/>
      <x:c r="I20" s="448"/>
      <x:c r="J20" s="640" t="b">
        <x:f>+IF(MAX(J12:J17)&gt;500000,"VALIDAR",TRUE)</x:f>
        <x:v>1</x:v>
      </x:c>
      <x:c r="L20" s="390"/>
      <x:c r="U20" s="451"/>
      <x:c r="X20" s="390"/>
    </x:row>
    <x:row r="21" spans="1:28" x14ac:dyDescent="0.3">
      <x:c r="B21" s="397"/>
      <x:c r="C21" s="397"/>
      <x:c r="D21" s="448" t="s">
        <x:v>1</x:v>
      </x:c>
      <x:c r="E21" s="448" t="s">
        <x:v>1</x:v>
      </x:c>
      <x:c r="F21" s="448" t="s">
        <x:v>25</x:v>
      </x:c>
      <x:c r="G21" s="448"/>
      <x:c r="H21" s="448"/>
      <x:c r="I21" s="448"/>
      <x:c r="J21" s="448"/>
      <x:c r="L21" s="390"/>
      <x:c r="X21" s="390"/>
    </x:row>
    <x:row r="22" spans="1:28" x14ac:dyDescent="0.3">
      <x:c r="A22" s="452"/>
      <x:c r="B22" s="453"/>
      <x:c r="C22" s="453"/>
      <x:c r="D22" s="454"/>
      <x:c r="E22" s="454"/>
      <x:c r="F22" s="454"/>
      <x:c r="G22" s="454"/>
      <x:c r="H22" s="454"/>
      <x:c r="I22" s="454"/>
      <x:c r="J22" s="454"/>
      <x:c r="K22" s="452"/>
      <x:c r="L22" s="452"/>
      <x:c r="M22" s="452"/>
      <x:c r="N22" s="452"/>
      <x:c r="O22" s="452"/>
      <x:c r="P22" s="452"/>
      <x:c r="Q22" s="452"/>
      <x:c r="R22" s="452"/>
      <x:c r="S22" s="452"/>
      <x:c r="T22" s="452"/>
      <x:c r="U22" s="452"/>
      <x:c r="V22" s="455"/>
      <x:c r="W22" s="452"/>
      <x:c r="X22" s="452"/>
    </x:row>
    <x:row r="24" spans="1:28" x14ac:dyDescent="0.3">
      <x:c r="D24" s="456">
        <x:v>-1</x:v>
      </x:c>
      <x:c r="P24" s="456">
        <x:v>-1</x:v>
      </x:c>
    </x:row>
    <x:row r="25" spans="1:28" ht="15.45" x14ac:dyDescent="0.4">
      <x:c r="E25" s="405"/>
    </x:row>
  </x:sheetData>
  <x:conditionalFormatting sqref="J20">
    <x:cfRule type="cellIs" dxfId="77" priority="1" operator="equal">
      <x:formula>TRUE</x:formula>
    </x:cfRule>
    <x:cfRule type="cellIs" dxfId="76" priority="2" operator="equal">
      <x:formula>"VALIDAR"</x:formula>
    </x:cfRule>
  </x:conditionalFormatting>
  <x:pageMargins left="0.7" right="0.7" top="0.75" bottom="0.75" header="0.3" footer="0.3"/>
  <x:pageSetup orientation="portrait" horizontalDpi="4294967293" verticalDpi="0" r:id="rId1"/>
  <x:drawing r:id="rId2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tabColor rgb="FF00FF00"/>
    <x:pageSetUpPr fitToPage="1"/>
  </x:sheetPr>
  <x:dimension ref="A1:AM167"/>
  <x:sheetViews>
    <x:sheetView topLeftCell="B94" zoomScaleNormal="100" workbookViewId="0">
      <x:selection activeCell="E111" sqref="E111"/>
    </x:sheetView>
  </x:sheetViews>
  <x:sheetFormatPr baseColWidth="10" defaultColWidth="11.3828125" defaultRowHeight="11.6" x14ac:dyDescent="0.3"/>
  <x:cols>
    <x:col min="1" max="1" width="3" style="1" customWidth="1"/>
    <x:col min="2" max="2" width="4.3828125" style="1" bestFit="1" customWidth="1"/>
    <x:col min="3" max="3" width="37.84375" style="1" customWidth="1"/>
    <x:col min="4" max="4" width="15.15234375" style="1" customWidth="1"/>
    <x:col min="5" max="5" width="16" style="1" customWidth="1"/>
    <x:col min="6" max="7" width="14.84375" style="1" customWidth="1"/>
    <x:col min="8" max="9" width="16" style="1" customWidth="1"/>
    <x:col min="10" max="10" width="15.53515625" style="1" customWidth="1"/>
    <x:col min="11" max="11" width="17.53515625" style="1" customWidth="1"/>
    <x:col min="12" max="12" width="17.84375" style="1" customWidth="1"/>
    <x:col min="13" max="13" width="20" style="1" customWidth="1"/>
    <x:col min="14" max="14" width="15.15234375" style="1" customWidth="1"/>
    <x:col min="15" max="15" width="16.84375" style="1" customWidth="1"/>
    <x:col min="16" max="16" width="3.84375" style="1" customWidth="1"/>
    <x:col min="17" max="17" width="2.84375" style="1" customWidth="1"/>
    <x:col min="18" max="18" width="4.53515625" style="1" customWidth="1"/>
    <x:col min="19" max="19" width="11.15234375" style="1" customWidth="1"/>
    <x:col min="20" max="20" width="37.53515625" style="1" bestFit="1" customWidth="1"/>
    <x:col min="21" max="21" width="19.15234375" style="1" customWidth="1"/>
    <x:col min="22" max="22" width="17.84375" style="1" customWidth="1"/>
    <x:col min="23" max="23" width="16.3828125" style="1" customWidth="1"/>
    <x:col min="24" max="24" width="17.15234375" style="1" customWidth="1"/>
    <x:col min="25" max="25" width="15.84375" style="1" customWidth="1"/>
    <x:col min="26" max="26" width="16" style="1" customWidth="1"/>
    <x:col min="27" max="27" width="15" style="1" customWidth="1"/>
    <x:col min="28" max="29" width="16.84375" style="1" customWidth="1"/>
    <x:col min="30" max="31" width="15.3828125" style="1" customWidth="1"/>
    <x:col min="32" max="32" width="16.15234375" style="1" customWidth="1"/>
    <x:col min="33" max="33" width="14.84375" style="271" bestFit="1" customWidth="1"/>
    <x:col min="34" max="34" width="13.84375" style="1" customWidth="1"/>
    <x:col min="35" max="35" width="3.3828125" style="1" customWidth="1"/>
    <x:col min="36" max="36" width="13.84375" style="1" bestFit="1" customWidth="1"/>
    <x:col min="37" max="38" width="11.3828125" style="1"/>
    <x:col min="39" max="39" width="15.84375" style="1" bestFit="1" customWidth="1"/>
    <x:col min="40" max="16384" width="11.3828125" style="1"/>
  </x:cols>
  <x:sheetData>
    <x:row r="1" spans="2:35" ht="12" thickBot="1" x14ac:dyDescent="0.35">
      <x:c r="Q1" s="4"/>
      <x:c r="AI1" s="4"/>
    </x:row>
    <x:row r="2" spans="2:35" x14ac:dyDescent="0.3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72"/>
      <x:c r="AI2" s="4"/>
    </x:row>
    <x:row r="3" spans="2:35" ht="14.15" x14ac:dyDescent="0.3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v>2026101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2026101</x:v>
      </x:c>
      <x:c r="AE3" s="84"/>
      <x:c r="AF3" s="48"/>
      <x:c r="AG3" s="272"/>
      <x:c r="AI3" s="4"/>
    </x:row>
    <x:row r="4" spans="2:35" ht="15.45" x14ac:dyDescent="0.4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72"/>
      <x:c r="AI4" s="4"/>
    </x:row>
    <x:row r="5" spans="2:35" ht="14.15" x14ac:dyDescent="0.3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72"/>
      <x:c r="AI5" s="4"/>
    </x:row>
    <x:row r="6" spans="2:35" ht="15.45" x14ac:dyDescent="0.4">
      <x:c r="B6" s="8"/>
      <x:c r="C6" s="598" t="s">
        <x:v>17</x:v>
      </x:c>
      <x:c r="D6" s="9"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72"/>
      <x:c r="AI6" s="4"/>
    </x:row>
    <x:row r="7" spans="2:35" ht="12" thickBot="1" x14ac:dyDescent="0.35">
      <x:c r="B7" s="8"/>
      <x:c r="C7" s="598" t="s">
        <x:v>0</x:v>
      </x:c>
      <x:c r="D7" s="241">
        <x:v>0.58333333333333337</x:v>
      </x:c>
      <x:c r="F7" s="2" t="s">
        <x:v>27</x:v>
      </x:c>
      <x:c r="G7" s="9" t="n">
        <x:v>46296</x:v>
      </x:c>
      <x:c r="J7" s="2" t="s">
        <x:v>28</x:v>
      </x:c>
      <x:c r="K7" s="9" t="n">
        <x:v>46310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72"/>
      <x:c r="AI7" s="4"/>
    </x:row>
    <x:row r="8" spans="2:35" ht="72" customHeight="1" thickBot="1" x14ac:dyDescent="0.3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273"/>
      <x:c r="AI8" s="4"/>
    </x:row>
    <x:row r="9" spans="2:35" s="305" customFormat="1" x14ac:dyDescent="0.3">
      <x:c r="B9" s="303">
        <x:v>1</x:v>
      </x:c>
      <x:c r="C9" s="304" t="s">
        <x:v>10</x:v>
      </x:c>
      <x:c r="D9" s="386">
        <x:f>'Reporte Componentes R1'!F75</x:f>
        <x:v>0</x:v>
      </x:c>
      <x:c r="E9" s="292">
        <x:f>'Reporte Componentes R1'!G75</x:f>
        <x:v>0</x:v>
      </x:c>
      <x:c r="F9" s="292">
        <x:f>'Reporte Componentes R1'!H75</x:f>
        <x:v>0</x:v>
      </x:c>
      <x:c r="G9" s="292">
        <x:f>'Reporte Componentes R1'!I75</x:f>
        <x:v>0</x:v>
      </x:c>
      <x:c r="H9" s="292">
        <x:f>'Reporte Componentes R1'!J75</x:f>
        <x:v>0</x:v>
      </x:c>
      <x:c r="I9" s="292">
        <x:f>'Reporte Componentes R1'!K75</x:f>
        <x:v>0</x:v>
      </x:c>
      <x:c r="J9" s="288">
        <x:f>'BCE SC POR FACT.'!F3</x:f>
        <x:v>0</x:v>
      </x:c>
      <x:c r="K9" s="293">
        <x:f>D9-E9-F9-G9-H9-I9-J9</x:f>
        <x:v>0</x:v>
      </x:c>
      <x:c r="L9" s="294">
        <x:f>INTERVENTORIA!N26</x:f>
        <x:v>189185987</x:v>
      </x:c>
      <x:c r="M9" s="293">
        <x:f>K9-L9</x:f>
        <x:v>-189185988</x:v>
      </x:c>
      <x:c r="N9" s="387">
        <x:f>'Reporte Componentes R1'!L75</x:f>
        <x:v>0</x:v>
      </x:c>
      <x:c r="O9" s="293">
        <x:f>M9+N9</x:f>
        <x:v>-189185988</x:v>
      </x:c>
      <x:c r="Q9" s="306"/>
      <x:c r="S9" s="303">
        <x:v>1</x:v>
      </x:c>
      <x:c r="T9" s="304" t="s">
        <x:v>10</x:v>
      </x:c>
      <x:c r="U9" s="307">
        <x:f>'Reporte Componentes R1'!M75</x:f>
        <x:v>0</x:v>
      </x:c>
      <x:c r="V9" s="308">
        <x:f>'Reporte Componentes R1'!N75</x:f>
        <x:v>0</x:v>
      </x:c>
      <x:c r="W9" s="308">
        <x:f>'Reporte Componentes R1'!O75</x:f>
        <x:v>0</x:v>
      </x:c>
      <x:c r="X9" s="308">
        <x:f>'Reporte Componentes R1'!P75</x:f>
        <x:v>0</x:v>
      </x:c>
      <x:c r="Y9" s="309">
        <x:f>'Reporte Componentes R1'!Q75</x:f>
        <x:v>0</x:v>
      </x:c>
      <x:c r="Z9" s="310">
        <x:f>L9*-1</x:f>
        <x:v>-189185988</x:v>
      </x:c>
      <x:c r="AA9" s="311">
        <x:f>'Reporte Componentes R1'!R75+'Reporte Componentes R1'!U75+'Reporte Componentes R1'!V75</x:f>
        <x:v>0</x:v>
      </x:c>
      <x:c r="AB9" s="312">
        <x:f>N9</x:f>
        <x:v>0</x:v>
      </x:c>
      <x:c r="AC9" s="320">
        <x:f>'Reporte Componentes R1'!T75+'Reporte Componentes R1'!W75+'Reporte Componentes R1'!X75+'Reporte Componentes R1'!Y75+'Reporte Componentes R1'!Z75+'Reporte Componentes R1'!S75</x:f>
        <x:v>0</x:v>
      </x:c>
      <x:c r="AD9" s="291">
        <x:f>-J9+AE9</x:f>
        <x:v>0</x:v>
      </x:c>
      <x:c r="AE9" s="291">
        <x:f>'Reporte Componentes R1'!F76</x:f>
        <x:v>0</x:v>
      </x:c>
      <x:c r="AF9" s="313">
        <x:f>SUM(U9:AD9)</x:f>
        <x:v>-189185988</x:v>
      </x:c>
      <x:c r="AG9" s="521">
        <x:f>(AF9-O9)</x:f>
        <x:v>0</x:v>
      </x:c>
      <x:c r="AH9" s="305" t="b">
        <x:f>INT(AG9)=0</x:f>
        <x:v>1</x:v>
      </x:c>
      <x:c r="AI9" s="306"/>
    </x:row>
    <x:row r="10" spans="2:35" s="305" customFormat="1" x14ac:dyDescent="0.3">
      <x:c r="B10" s="314">
        <x:v>2</x:v>
      </x:c>
      <x:c r="C10" s="315" t="s">
        <x:v>11</x:v>
      </x:c>
      <x:c r="D10" s="291">
        <x:f>'Reporte Componentes R1'!F254</x:f>
        <x:v>0</x:v>
      </x:c>
      <x:c r="E10" s="292">
        <x:f>'Reporte Componentes R1'!G254</x:f>
        <x:v>0</x:v>
      </x:c>
      <x:c r="F10" s="292">
        <x:f>'Reporte Componentes R1'!H254</x:f>
        <x:v>0</x:v>
      </x:c>
      <x:c r="G10" s="292">
        <x:f>'Reporte Componentes R1'!I254</x:f>
        <x:v>0</x:v>
      </x:c>
      <x:c r="H10" s="292">
        <x:f>'Reporte Componentes R1'!J254</x:f>
        <x:v>0</x:v>
      </x:c>
      <x:c r="I10" s="292">
        <x:f>'Reporte Componentes R1'!K254</x:f>
        <x:v>0</x:v>
      </x:c>
      <x:c r="J10" s="288">
        <x:f>'BCE SC POR FACT.'!F4</x:f>
        <x:v>0</x:v>
      </x:c>
      <x:c r="K10" s="295">
        <x:f>D10-E10-F10-G10-H10-I10-J10</x:f>
        <x:v>0</x:v>
      </x:c>
      <x:c r="L10" s="294">
        <x:f>INTERVENTORIA!N27</x:f>
        <x:v>266580255</x:v>
      </x:c>
      <x:c r="M10" s="295">
        <x:f>K10-L10</x:f>
        <x:v>-266580256</x:v>
      </x:c>
      <x:c r="N10" s="294">
        <x:f>'Reporte Componentes R1'!L254</x:f>
        <x:v>0</x:v>
      </x:c>
      <x:c r="O10" s="295">
        <x:f>M10+N10</x:f>
        <x:v>-266580256</x:v>
      </x:c>
      <x:c r="Q10" s="306"/>
      <x:c r="S10" s="314">
        <x:v>2</x:v>
      </x:c>
      <x:c r="T10" s="315" t="s">
        <x:v>11</x:v>
      </x:c>
      <x:c r="U10" s="316">
        <x:f>'Reporte Componentes R1'!M254</x:f>
        <x:v>0</x:v>
      </x:c>
      <x:c r="V10" s="317">
        <x:f>'Reporte Componentes R1'!N254</x:f>
        <x:v>0</x:v>
      </x:c>
      <x:c r="W10" s="317">
        <x:f>'Reporte Componentes R1'!O254</x:f>
        <x:v>0</x:v>
      </x:c>
      <x:c r="X10" s="317">
        <x:f>'Reporte Componentes R1'!P254</x:f>
        <x:v>0</x:v>
      </x:c>
      <x:c r="Y10" s="318">
        <x:f>'Reporte Componentes R1'!Q254</x:f>
        <x:v>0</x:v>
      </x:c>
      <x:c r="Z10" s="319">
        <x:f>L10*-1</x:f>
        <x:v>-266580256</x:v>
      </x:c>
      <x:c r="AA10" s="320">
        <x:f>'Reporte Componentes R1'!R254+'Reporte Componentes R1'!U254+'Reporte Componentes R1'!V254</x:f>
        <x:v>0</x:v>
      </x:c>
      <x:c r="AB10" s="321">
        <x:f>N10</x:f>
        <x:v>0</x:v>
      </x:c>
      <x:c r="AC10" s="320">
        <x:f>'Reporte Componentes R1'!T254+'Reporte Componentes R1'!W254+'Reporte Componentes R1'!X254+'Reporte Componentes R1'!Y254+'Reporte Componentes R1'!Z254+'Reporte Componentes R1'!S254</x:f>
        <x:v>0</x:v>
      </x:c>
      <x:c r="AD10" s="291">
        <x:f t="shared" ref="AD10:AD13" si="0">-J10+AE10</x:f>
        <x:v>0</x:v>
      </x:c>
      <x:c r="AE10" s="291">
        <x:f>'Reporte Componentes R1'!F255</x:f>
        <x:v>0</x:v>
      </x:c>
      <x:c r="AF10" s="322">
        <x:f>SUM(U10:AD10)</x:f>
        <x:v>-266580256</x:v>
      </x:c>
      <x:c r="AG10" s="522">
        <x:f>(AF10-O10)</x:f>
        <x:v>0</x:v>
      </x:c>
      <x:c r="AH10" s="305" t="b">
        <x:f t="shared" ref="AH10:AH13" si="1">INT(AG10)=0</x:f>
        <x:v>1</x:v>
      </x:c>
      <x:c r="AI10" s="306"/>
    </x:row>
    <x:row r="11" spans="2:35" s="305" customFormat="1" x14ac:dyDescent="0.3">
      <x:c r="B11" s="314">
        <x:v>3</x:v>
      </x:c>
      <x:c r="C11" s="315" t="s">
        <x:v>12</x:v>
      </x:c>
      <x:c r="D11" s="291">
        <x:f>'Reporte Componentes R1'!F415</x:f>
        <x:v>0</x:v>
      </x:c>
      <x:c r="E11" s="292">
        <x:f>'Reporte Componentes R1'!G415</x:f>
        <x:v>0</x:v>
      </x:c>
      <x:c r="F11" s="292">
        <x:f>'Reporte Componentes R1'!H415</x:f>
        <x:v>0</x:v>
      </x:c>
      <x:c r="G11" s="292">
        <x:f>'Reporte Componentes R1'!I415</x:f>
        <x:v>0</x:v>
      </x:c>
      <x:c r="H11" s="292">
        <x:f>'Reporte Componentes R1'!J415</x:f>
        <x:v>0</x:v>
      </x:c>
      <x:c r="I11" s="292">
        <x:f>'Reporte Componentes R1'!K415</x:f>
        <x:v>0</x:v>
      </x:c>
      <x:c r="J11" s="288">
        <x:f>'BCE SC POR FACT.'!F5</x:f>
        <x:v>0</x:v>
      </x:c>
      <x:c r="K11" s="295">
        <x:f>D11-E11-F11-G11-H11-I11-J11</x:f>
        <x:v>0</x:v>
      </x:c>
      <x:c r="L11" s="294">
        <x:f>INTERVENTORIA!N28</x:f>
        <x:v>154788535</x:v>
      </x:c>
      <x:c r="M11" s="295">
        <x:f>K11-L11</x:f>
        <x:v>-154788536</x:v>
      </x:c>
      <x:c r="N11" s="294">
        <x:f>'Reporte Componentes R1'!L415</x:f>
        <x:v>0</x:v>
      </x:c>
      <x:c r="O11" s="295">
        <x:f>M11+N11</x:f>
        <x:v>-154788536</x:v>
      </x:c>
      <x:c r="Q11" s="306"/>
      <x:c r="S11" s="314">
        <x:v>3</x:v>
      </x:c>
      <x:c r="T11" s="315" t="s">
        <x:v>12</x:v>
      </x:c>
      <x:c r="U11" s="316">
        <x:f>'Reporte Componentes R1'!M415</x:f>
        <x:v>0</x:v>
      </x:c>
      <x:c r="V11" s="317">
        <x:f>'Reporte Componentes R1'!N415</x:f>
        <x:v>0</x:v>
      </x:c>
      <x:c r="W11" s="317">
        <x:f>'Reporte Componentes R1'!O415</x:f>
        <x:v>0</x:v>
      </x:c>
      <x:c r="X11" s="317">
        <x:f>'Reporte Componentes R1'!P415</x:f>
        <x:v>0</x:v>
      </x:c>
      <x:c r="Y11" s="318">
        <x:f>'Reporte Componentes R1'!Q415</x:f>
        <x:v>0</x:v>
      </x:c>
      <x:c r="Z11" s="319">
        <x:f>L11*-1</x:f>
        <x:v>-154788536</x:v>
      </x:c>
      <x:c r="AA11" s="320">
        <x:f>'Reporte Componentes R1'!R415+'Reporte Componentes R1'!U415+'Reporte Componentes R1'!V415</x:f>
        <x:v>0</x:v>
      </x:c>
      <x:c r="AB11" s="321">
        <x:f>N11</x:f>
        <x:v>0</x:v>
      </x:c>
      <x:c r="AC11" s="320">
        <x:f>'Reporte Componentes R1'!T415+'Reporte Componentes R1'!W415+'Reporte Componentes R1'!X415+'Reporte Componentes R1'!Y415+'Reporte Componentes R1'!Z415+'Reporte Componentes R1'!S415</x:f>
        <x:v>0</x:v>
      </x:c>
      <x:c r="AD11" s="291">
        <x:f t="shared" si="0"/>
        <x:v>0</x:v>
      </x:c>
      <x:c r="AE11" s="291">
        <x:f>'Reporte Componentes R1'!F416</x:f>
        <x:v>0</x:v>
      </x:c>
      <x:c r="AF11" s="322">
        <x:f t="shared" ref="AF11:AF13" si="2">SUM(U11:AD11)</x:f>
        <x:v>-154788536</x:v>
      </x:c>
      <x:c r="AG11" s="522">
        <x:f>(AF11-O11)</x:f>
        <x:v>0</x:v>
      </x:c>
      <x:c r="AH11" s="305" t="b">
        <x:f t="shared" si="1"/>
        <x:v>1</x:v>
      </x:c>
      <x:c r="AI11" s="306"/>
    </x:row>
    <x:row r="12" spans="2:35" s="305" customFormat="1" x14ac:dyDescent="0.3">
      <x:c r="B12" s="314">
        <x:v>4</x:v>
      </x:c>
      <x:c r="C12" s="315" t="s">
        <x:v>13</x:v>
      </x:c>
      <x:c r="D12" s="291">
        <x:f>'Reporte Componentes R1'!F568</x:f>
        <x:v>0</x:v>
      </x:c>
      <x:c r="E12" s="292">
        <x:f>'Reporte Componentes R1'!G568</x:f>
        <x:v>0</x:v>
      </x:c>
      <x:c r="F12" s="292">
        <x:f>'Reporte Componentes R1'!H568</x:f>
        <x:v>0</x:v>
      </x:c>
      <x:c r="G12" s="292">
        <x:f>'Reporte Componentes R1'!I568</x:f>
        <x:v>0</x:v>
      </x:c>
      <x:c r="H12" s="292">
        <x:f>'Reporte Componentes R1'!J568</x:f>
        <x:v>0</x:v>
      </x:c>
      <x:c r="I12" s="292">
        <x:f>'Reporte Componentes R1'!K568</x:f>
        <x:v>0</x:v>
      </x:c>
      <x:c r="J12" s="288">
        <x:f>'BCE SC POR FACT.'!F6</x:f>
        <x:v>0</x:v>
      </x:c>
      <x:c r="K12" s="295">
        <x:f>D12-E12-F12-G12-H12-I12-J12</x:f>
        <x:v>0</x:v>
      </x:c>
      <x:c r="L12" s="294">
        <x:f>INTERVENTORIA!N29</x:f>
        <x:v>120391083</x:v>
      </x:c>
      <x:c r="M12" s="295">
        <x:f>K12-L12</x:f>
        <x:v>-120391083</x:v>
      </x:c>
      <x:c r="N12" s="294">
        <x:f>'Reporte Componentes R1'!L568</x:f>
        <x:v>0</x:v>
      </x:c>
      <x:c r="O12" s="295">
        <x:f>M12+N12</x:f>
        <x:v>-120391083</x:v>
      </x:c>
      <x:c r="Q12" s="306"/>
      <x:c r="S12" s="314">
        <x:v>4</x:v>
      </x:c>
      <x:c r="T12" s="315" t="s">
        <x:v>13</x:v>
      </x:c>
      <x:c r="U12" s="316">
        <x:f>'Reporte Componentes R1'!M568</x:f>
        <x:v>0</x:v>
      </x:c>
      <x:c r="V12" s="317">
        <x:f>'Reporte Componentes R1'!N568</x:f>
        <x:v>0</x:v>
      </x:c>
      <x:c r="W12" s="317">
        <x:f>'Reporte Componentes R1'!O568</x:f>
        <x:v>0</x:v>
      </x:c>
      <x:c r="X12" s="317">
        <x:f>'Reporte Componentes R1'!P568</x:f>
        <x:v>0</x:v>
      </x:c>
      <x:c r="Y12" s="318">
        <x:f>'Reporte Componentes R1'!Q568</x:f>
        <x:v>0</x:v>
      </x:c>
      <x:c r="Z12" s="319">
        <x:f>L12*-1</x:f>
        <x:v>-120391083</x:v>
      </x:c>
      <x:c r="AA12" s="320">
        <x:f>'Reporte Componentes R1'!R568+'Reporte Componentes R1'!U568+'Reporte Componentes R1'!V568</x:f>
        <x:v>0</x:v>
      </x:c>
      <x:c r="AB12" s="321">
        <x:f>N12</x:f>
        <x:v>0</x:v>
      </x:c>
      <x:c r="AC12" s="320">
        <x:f>'Reporte Componentes R1'!T568+'Reporte Componentes R1'!W568+'Reporte Componentes R1'!X568+'Reporte Componentes R1'!Y568+'Reporte Componentes R1'!Z568+'Reporte Componentes R1'!S568</x:f>
        <x:v>0</x:v>
      </x:c>
      <x:c r="AD12" s="291">
        <x:f t="shared" si="0"/>
        <x:v>0</x:v>
      </x:c>
      <x:c r="AE12" s="291">
        <x:f>'Reporte Componentes R1'!F569</x:f>
        <x:v>0</x:v>
      </x:c>
      <x:c r="AF12" s="322">
        <x:f t="shared" si="2"/>
        <x:v>-120391083</x:v>
      </x:c>
      <x:c r="AG12" s="522">
        <x:f>(AF12-O12)</x:f>
        <x:v>0</x:v>
      </x:c>
      <x:c r="AH12" s="305" t="b">
        <x:f t="shared" si="1"/>
        <x:v>1</x:v>
      </x:c>
      <x:c r="AI12" s="306"/>
    </x:row>
    <x:row r="13" spans="2:35" s="305" customFormat="1" ht="12" thickBot="1" x14ac:dyDescent="0.35">
      <x:c r="B13" s="324">
        <x:v>5</x:v>
      </x:c>
      <x:c r="C13" s="325" t="s">
        <x:v>14</x:v>
      </x:c>
      <x:c r="D13" s="296">
        <x:f>'Reporte Componentes R1'!F680</x:f>
        <x:v>0</x:v>
      </x:c>
      <x:c r="E13" s="297">
        <x:f>'Reporte Componentes R1'!G680</x:f>
        <x:v>0</x:v>
      </x:c>
      <x:c r="F13" s="297">
        <x:f>'Reporte Componentes R1'!H680</x:f>
        <x:v>0</x:v>
      </x:c>
      <x:c r="G13" s="297">
        <x:f>'Reporte Componentes R1'!I680</x:f>
        <x:v>0</x:v>
      </x:c>
      <x:c r="H13" s="297">
        <x:f>'Reporte Componentes R1'!J680</x:f>
        <x:v>0</x:v>
      </x:c>
      <x:c r="I13" s="297">
        <x:f>'Reporte Componentes R1'!K680</x:f>
        <x:v>0</x:v>
      </x:c>
      <x:c r="J13" s="289">
        <x:f>'BCE SC POR FACT.'!F7</x:f>
        <x:v>0</x:v>
      </x:c>
      <x:c r="K13" s="295">
        <x:f>D13-E13-F13-G13-H13-I13-J13</x:f>
        <x:v>0</x:v>
      </x:c>
      <x:c r="L13" s="294">
        <x:f>INTERVENTORIA!N30</x:f>
        <x:v>128990445</x:v>
      </x:c>
      <x:c r="M13" s="298">
        <x:f>K13-L13</x:f>
        <x:v>-128990446</x:v>
      </x:c>
      <x:c r="N13" s="299">
        <x:f>'Reporte Componentes R1'!L680</x:f>
        <x:v>0</x:v>
      </x:c>
      <x:c r="O13" s="298">
        <x:f>M13+N13</x:f>
        <x:v>-128990446</x:v>
      </x:c>
      <x:c r="Q13" s="306"/>
      <x:c r="S13" s="324">
        <x:v>5</x:v>
      </x:c>
      <x:c r="T13" s="325" t="s">
        <x:v>14</x:v>
      </x:c>
      <x:c r="U13" s="296">
        <x:f>'Reporte Componentes R1'!M680</x:f>
        <x:v>0</x:v>
      </x:c>
      <x:c r="V13" s="297">
        <x:f>'Reporte Componentes R1'!N680</x:f>
        <x:v>0</x:v>
      </x:c>
      <x:c r="W13" s="297">
        <x:f>'Reporte Componentes R1'!O680</x:f>
        <x:v>0</x:v>
      </x:c>
      <x:c r="X13" s="297">
        <x:f>'Reporte Componentes R1'!P680</x:f>
        <x:v>0</x:v>
      </x:c>
      <x:c r="Y13" s="289">
        <x:f>'Reporte Componentes R1'!Q680</x:f>
        <x:v>0</x:v>
      </x:c>
      <x:c r="Z13" s="319">
        <x:f>L13*-1</x:f>
        <x:v>-128990446</x:v>
      </x:c>
      <x:c r="AA13" s="320">
        <x:f>'Reporte Componentes R1'!R680+'Reporte Componentes R1'!U680+'Reporte Componentes R1'!V680</x:f>
        <x:v>0</x:v>
      </x:c>
      <x:c r="AB13" s="321">
        <x:f>N13</x:f>
        <x:v>0</x:v>
      </x:c>
      <x:c r="AC13" s="320">
        <x:f>'Reporte Componentes R1'!T680+'Reporte Componentes R1'!W680+'Reporte Componentes R1'!X680+'Reporte Componentes R1'!Y680+'Reporte Componentes R1'!Z680+'Reporte Componentes R1'!S680</x:f>
        <x:v>0</x:v>
      </x:c>
      <x:c r="AD13" s="291">
        <x:f t="shared" si="0"/>
        <x:v>0</x:v>
      </x:c>
      <x:c r="AE13" s="291">
        <x:f>'Reporte Componentes R1'!F681</x:f>
        <x:v>0</x:v>
      </x:c>
      <x:c r="AF13" s="322">
        <x:f t="shared" si="2"/>
        <x:v>-128990446</x:v>
      </x:c>
      <x:c r="AG13" s="523">
        <x:f>(AF13-O13)</x:f>
        <x:v>0</x:v>
      </x:c>
      <x:c r="AH13" s="305" t="b">
        <x:f t="shared" si="1"/>
        <x:v>1</x:v>
      </x:c>
      <x:c r="AI13" s="306"/>
    </x:row>
    <x:row r="14" spans="2:35" s="305" customFormat="1" ht="12.9" thickBot="1" x14ac:dyDescent="0.35">
      <x:c r="B14" s="327"/>
      <x:c r="C14" s="328" t="s">
        <x:v>2</x:v>
      </x:c>
      <x:c r="D14" s="290">
        <x:f>SUM(D9:D13)</x:f>
        <x:v>0</x:v>
      </x:c>
      <x:c r="E14" s="290">
        <x:f t="shared" ref="E14:O14" si="3">SUM(E9:E13)</x:f>
        <x:v>0</x:v>
      </x:c>
      <x:c r="F14" s="290">
        <x:f t="shared" si="3"/>
        <x:v>0</x:v>
      </x:c>
      <x:c r="G14" s="290">
        <x:f t="shared" ref="G14" si="4">SUM(G9:G13)</x:f>
        <x:v>0</x:v>
      </x:c>
      <x:c r="H14" s="290">
        <x:f t="shared" si="3"/>
        <x:v>0</x:v>
      </x:c>
      <x:c r="I14" s="290">
        <x:f t="shared" si="3"/>
        <x:v>0</x:v>
      </x:c>
      <x:c r="J14" s="290">
        <x:f t="shared" si="3"/>
        <x:v>0</x:v>
      </x:c>
      <x:c r="K14" s="300">
        <x:f>SUM(K9:K13)</x:f>
        <x:v>0</x:v>
      </x:c>
      <x:c r="L14" s="301">
        <x:f>SUM(L9:L13)</x:f>
        <x:v>859936309</x:v>
      </x:c>
      <x:c r="M14" s="302">
        <x:f t="shared" si="3"/>
        <x:v>-859936309</x:v>
      </x:c>
      <x:c r="N14" s="301">
        <x:f t="shared" si="3"/>
        <x:v>0</x:v>
      </x:c>
      <x:c r="O14" s="302">
        <x:f t="shared" si="3"/>
        <x:v>-859936309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5">SUM(V9:V13)</x:f>
        <x:v>0</x:v>
      </x:c>
      <x:c r="W14" s="330">
        <x:f t="shared" si="5"/>
        <x:v>0</x:v>
      </x:c>
      <x:c r="X14" s="330">
        <x:f t="shared" si="5"/>
        <x:v>0</x:v>
      </x:c>
      <x:c r="Y14" s="330">
        <x:f t="shared" si="5"/>
        <x:v>0</x:v>
      </x:c>
      <x:c r="Z14" s="290">
        <x:f t="shared" si="5"/>
        <x:v>-859936309</x:v>
      </x:c>
      <x:c r="AA14" s="290">
        <x:f t="shared" si="5"/>
        <x:v>0</x:v>
      </x:c>
      <x:c r="AB14" s="290">
        <x:f t="shared" si="5"/>
        <x:v>0</x:v>
      </x:c>
      <x:c r="AC14" s="290">
        <x:f>SUM(AC9:AC13)</x:f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5"/>
        <x:v>-859936309</x:v>
      </x:c>
      <x:c r="AG14" s="524">
        <x:f>SUM(AG9:AG13)</x:f>
        <x:v>0</x:v>
      </x:c>
      <x:c r="AH14" s="305" t="b">
        <x:f>INT(AG14)=0</x:f>
        <x:v>1</x:v>
      </x:c>
      <x:c r="AI14" s="306"/>
    </x:row>
    <x:row r="15" spans="2:35" ht="12" thickBot="1" x14ac:dyDescent="0.3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" thickBot="1" x14ac:dyDescent="0.35">
      <x:c r="B16" s="2"/>
      <x:c r="C16" s="2"/>
      <x:c r="D16" s="24"/>
      <x:c r="E16" s="24"/>
      <x:c r="F16" s="24" t="s">
        <x:v>1</x:v>
      </x:c>
      <x:c r="G16" s="24"/>
      <x:c r="H16" s="24" t="s">
        <x:v>1</x:v>
      </x:c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" thickBot="1" x14ac:dyDescent="0.35">
      <x:c r="B17" s="2"/>
      <x:c r="C17" s="2"/>
      <x:c r="D17" s="24"/>
      <x:c r="E17" s="24"/>
      <x:c r="F17" s="33"/>
      <x:c r="G17" s="33"/>
      <x:c r="H17" s="33"/>
      <x:c r="I17" s="24"/>
      <x:c r="K17" s="24"/>
      <x:c r="L17" s="24" t="s">
        <x:v>1</x:v>
      </x:c>
      <x:c r="M17" s="24"/>
      <x:c r="N17" s="24"/>
      <x:c r="O17" s="713"/>
      <x:c r="Q17" s="4"/>
      <x:c r="AI17" s="4"/>
    </x:row>
    <x:row r="18" spans="1:35" x14ac:dyDescent="0.3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3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274"/>
      <x:c r="AH19" s="4"/>
      <x:c r="AI19" s="4"/>
    </x:row>
    <x:row r="20" spans="1:35" ht="12" thickBot="1" x14ac:dyDescent="0.35">
      <x:c r="Q20" s="4"/>
      <x:c r="AI20" s="4"/>
    </x:row>
    <x:row r="21" spans="1:35" x14ac:dyDescent="0.3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72"/>
      <x:c r="AI21" s="4"/>
    </x:row>
    <x:row r="22" spans="1:35" ht="14.15" x14ac:dyDescent="0.3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2026101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2026101</x:v>
      </x:c>
      <x:c r="AE22" s="84"/>
      <x:c r="AF22" s="48"/>
      <x:c r="AG22" s="272"/>
      <x:c r="AI22" s="4"/>
    </x:row>
    <x:row r="23" spans="1:35" ht="15.45" x14ac:dyDescent="0.4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72"/>
      <x:c r="AI23" s="4"/>
    </x:row>
    <x:row r="24" spans="1:35" ht="14.15" x14ac:dyDescent="0.3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72"/>
      <x:c r="AI24" s="4"/>
    </x:row>
    <x:row r="25" spans="1:35" ht="15.45" x14ac:dyDescent="0.4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72"/>
      <x:c r="AI25" s="4"/>
    </x:row>
    <x:row r="26" spans="1:35" ht="12" thickBot="1" x14ac:dyDescent="0.3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72"/>
      <x:c r="AI26" s="4"/>
    </x:row>
    <x:row r="27" spans="1:35" ht="72" customHeight="1" thickBot="1" x14ac:dyDescent="0.3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273"/>
      <x:c r="AI27" s="4"/>
    </x:row>
    <x:row r="28" spans="1:35" s="305" customFormat="1" x14ac:dyDescent="0.3">
      <x:c r="B28" s="303">
        <x:v>1</x:v>
      </x:c>
      <x:c r="C28" s="304" t="s">
        <x:v>10</x:v>
      </x:c>
      <x:c r="D28" s="291">
        <x:f>'Rem. Anticipos R2'!E47</x:f>
        <x:v>0</x:v>
      </x:c>
      <x:c r="E28" s="292">
        <x:f>'Rem. Anticipos R2'!F47</x:f>
        <x:v>0</x:v>
      </x:c>
      <x:c r="F28" s="292">
        <x:f>'Rem. Anticipos R2'!G47</x:f>
        <x:v>0</x:v>
      </x:c>
      <x:c r="G28" s="292">
        <x:f>'Rem. Anticipos R2'!H47</x:f>
        <x:v>0</x:v>
      </x:c>
      <x:c r="H28" s="292">
        <x:f>'Rem. Anticipos R2'!I47</x:f>
        <x:v>0</x:v>
      </x:c>
      <x:c r="I28" s="292">
        <x:f>'Rem. Anticipos R2'!J47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R2'!K47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R2'!L47</x:f>
        <x:v>0</x:v>
      </x:c>
      <x:c r="V28" s="308">
        <x:f>'Rem. Anticipos R2'!M47</x:f>
        <x:v>0</x:v>
      </x:c>
      <x:c r="W28" s="308">
        <x:f>'Rem. Anticipos R2'!N47</x:f>
        <x:v>0</x:v>
      </x:c>
      <x:c r="X28" s="308">
        <x:f>'Rem. Anticipos R2'!O47</x:f>
        <x:v>0</x:v>
      </x:c>
      <x:c r="Y28" s="308">
        <x:f>'Rem. Anticipos R2'!P47</x:f>
        <x:v>0</x:v>
      </x:c>
      <x:c r="Z28" s="310">
        <x:f>L28*-1</x:f>
        <x:v>0</x:v>
      </x:c>
      <x:c r="AA28" s="311">
        <x:f>'Rem. Anticipos R2'!Q47</x:f>
        <x:v>0</x:v>
      </x:c>
      <x:c r="AB28" s="294">
        <x:f>N28</x:f>
        <x:v>0</x:v>
      </x:c>
      <x:c r="AC28" s="311">
        <x:f>'Rem. Anticipos R2'!R47</x:f>
        <x:v>0</x:v>
      </x:c>
      <x:c r="AD28" s="291">
        <x:f>-J28+AE28</x:f>
        <x:v>0</x:v>
      </x:c>
      <x:c r="AE28" s="291">
        <x:f>'Rem. Anticipos R2'!E48</x:f>
        <x:v>0</x:v>
      </x:c>
      <x:c r="AF28" s="313">
        <x:f>SUM(U28:AD28)</x:f>
        <x:v>0</x:v>
      </x:c>
      <x:c r="AG28" s="521">
        <x:f>(AF28-O28)</x:f>
        <x:v>0</x:v>
      </x:c>
      <x:c r="AH28" s="305" t="b">
        <x:f>INT(AG28)=0</x:f>
        <x:v>1</x:v>
      </x:c>
      <x:c r="AI28" s="306"/>
    </x:row>
    <x:row r="29" spans="1:35" s="305" customFormat="1" x14ac:dyDescent="0.3">
      <x:c r="B29" s="314">
        <x:v>2</x:v>
      </x:c>
      <x:c r="C29" s="315" t="s">
        <x:v>11</x:v>
      </x:c>
      <x:c r="D29" s="291">
        <x:f>'Rem. Anticipos R2'!E155</x:f>
        <x:v>0</x:v>
      </x:c>
      <x:c r="E29" s="292">
        <x:f>'Rem. Anticipos R2'!F155</x:f>
        <x:v>0</x:v>
      </x:c>
      <x:c r="F29" s="292">
        <x:f>'Rem. Anticipos R2'!G155</x:f>
        <x:v>0</x:v>
      </x:c>
      <x:c r="G29" s="292">
        <x:f>'Rem. Anticipos R2'!H155</x:f>
        <x:v>0</x:v>
      </x:c>
      <x:c r="H29" s="292">
        <x:f>'Rem. Anticipos R2'!I155</x:f>
        <x:v>0</x:v>
      </x:c>
      <x:c r="I29" s="292">
        <x:f>'Rem. Anticipos R2'!J155</x:f>
        <x:v>0</x:v>
      </x:c>
      <x:c r="J29" s="288">
        <x:v>0</x:v>
      </x:c>
      <x:c r="K29" s="295">
        <x:f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R2'!K155</x:f>
        <x:v>0</x:v>
      </x:c>
      <x:c r="O29" s="295">
        <x:f t="shared" ref="O29:O32" si="6">M29+N29</x:f>
        <x:v>0</x:v>
      </x:c>
      <x:c r="Q29" s="306"/>
      <x:c r="S29" s="314">
        <x:v>2</x:v>
      </x:c>
      <x:c r="T29" s="315" t="s">
        <x:v>11</x:v>
      </x:c>
      <x:c r="U29" s="316">
        <x:f>'Rem. Anticipos R2'!L155</x:f>
        <x:v>0</x:v>
      </x:c>
      <x:c r="V29" s="317">
        <x:f>'Rem. Anticipos R2'!M155</x:f>
        <x:v>0</x:v>
      </x:c>
      <x:c r="W29" s="317">
        <x:f>'Rem. Anticipos R2'!N155</x:f>
        <x:v>0</x:v>
      </x:c>
      <x:c r="X29" s="317">
        <x:f>'Rem. Anticipos R2'!O155</x:f>
        <x:v>0</x:v>
      </x:c>
      <x:c r="Y29" s="318">
        <x:f>'Rem. Anticipos R2'!P155</x:f>
        <x:v>0</x:v>
      </x:c>
      <x:c r="Z29" s="319">
        <x:f>L29*-1</x:f>
        <x:v>0</x:v>
      </x:c>
      <x:c r="AA29" s="320">
        <x:f>'Rem. Anticipos R2'!Q155</x:f>
        <x:v>0</x:v>
      </x:c>
      <x:c r="AB29" s="294">
        <x:f>N29</x:f>
        <x:v>0</x:v>
      </x:c>
      <x:c r="AC29" s="320">
        <x:f>'Rem. Anticipos R2'!R155</x:f>
        <x:v>0</x:v>
      </x:c>
      <x:c r="AD29" s="291">
        <x:f>-J29+AE29</x:f>
        <x:v>0</x:v>
      </x:c>
      <x:c r="AE29" s="291">
        <x:f>'Rem. Anticipos R2'!E156</x:f>
        <x:v>0</x:v>
      </x:c>
      <x:c r="AF29" s="322">
        <x:f>SUM(U29:AD29)</x:f>
        <x:v>0</x:v>
      </x:c>
      <x:c r="AG29" s="522">
        <x:f>(AF29-O29)</x:f>
        <x:v>0</x:v>
      </x:c>
      <x:c r="AH29" s="305" t="b">
        <x:f t="shared" ref="AH29:AH32" si="7">INT(AG29)=0</x:f>
        <x:v>1</x:v>
      </x:c>
      <x:c r="AI29" s="306"/>
    </x:row>
    <x:row r="30" spans="1:35" s="305" customFormat="1" x14ac:dyDescent="0.3">
      <x:c r="B30" s="314">
        <x:v>3</x:v>
      </x:c>
      <x:c r="C30" s="315" t="s">
        <x:v>12</x:v>
      </x:c>
      <x:c r="D30" s="291">
        <x:f>'Rem. Anticipos R2'!E273</x:f>
        <x:v>0</x:v>
      </x:c>
      <x:c r="E30" s="292">
        <x:f>'Rem. Anticipos R2'!F273</x:f>
        <x:v>0</x:v>
      </x:c>
      <x:c r="F30" s="292">
        <x:f>'Rem. Anticipos R2'!G273</x:f>
        <x:v>0</x:v>
      </x:c>
      <x:c r="G30" s="292">
        <x:f>'Rem. Anticipos R2'!H273</x:f>
        <x:v>0</x:v>
      </x:c>
      <x:c r="H30" s="292">
        <x:f>'Rem. Anticipos R2'!I273</x:f>
        <x:v>0</x:v>
      </x:c>
      <x:c r="I30" s="292">
        <x:f>'Rem. Anticipos R2'!J273</x:f>
        <x:v>0</x:v>
      </x:c>
      <x:c r="J30" s="288">
        <x:v>0</x:v>
      </x:c>
      <x:c r="K30" s="295">
        <x:f t="shared" ref="K30:K31" si="8">D30-E30-F30-G30-H30-I30-J30</x:f>
        <x:v>0</x:v>
      </x:c>
      <x:c r="L30" s="294">
        <x:v>0</x:v>
      </x:c>
      <x:c r="M30" s="295">
        <x:f>K30-L30</x:f>
        <x:v>0</x:v>
      </x:c>
      <x:c r="N30" s="294">
        <x:f>'Rem. Anticipos R2'!K273</x:f>
        <x:v>0</x:v>
      </x:c>
      <x:c r="O30" s="295">
        <x:f t="shared" si="6"/>
        <x:v>0</x:v>
      </x:c>
      <x:c r="Q30" s="306"/>
      <x:c r="S30" s="314">
        <x:v>3</x:v>
      </x:c>
      <x:c r="T30" s="315" t="s">
        <x:v>12</x:v>
      </x:c>
      <x:c r="U30" s="316">
        <x:f>'Rem. Anticipos R2'!L273</x:f>
        <x:v>0</x:v>
      </x:c>
      <x:c r="V30" s="317">
        <x:f>'Rem. Anticipos R2'!M273</x:f>
        <x:v>0</x:v>
      </x:c>
      <x:c r="W30" s="317">
        <x:f>'Rem. Anticipos R2'!N273</x:f>
        <x:v>0</x:v>
      </x:c>
      <x:c r="X30" s="317">
        <x:f>'Rem. Anticipos R2'!O273</x:f>
        <x:v>0</x:v>
      </x:c>
      <x:c r="Y30" s="318">
        <x:f>'Rem. Anticipos R2'!P273</x:f>
        <x:v>0</x:v>
      </x:c>
      <x:c r="Z30" s="319">
        <x:f>L30*-1</x:f>
        <x:v>0</x:v>
      </x:c>
      <x:c r="AA30" s="320">
        <x:f>'Rem. Anticipos R2'!Q273</x:f>
        <x:v>0</x:v>
      </x:c>
      <x:c r="AB30" s="294">
        <x:f>N30</x:f>
        <x:v>0</x:v>
      </x:c>
      <x:c r="AC30" s="320">
        <x:f>'Rem. Anticipos R2'!R273</x:f>
        <x:v>0</x:v>
      </x:c>
      <x:c r="AD30" s="291">
        <x:f t="shared" ref="AD30:AD32" si="9">-J30+AE30</x:f>
        <x:v>0</x:v>
      </x:c>
      <x:c r="AE30" s="291">
        <x:f>'Rem. Anticipos R2'!E274</x:f>
        <x:v>0</x:v>
      </x:c>
      <x:c r="AF30" s="322">
        <x:f>SUM(U30:AD30)</x:f>
        <x:v>0</x:v>
      </x:c>
      <x:c r="AG30" s="522">
        <x:f t="shared" ref="AG30:AG31" si="10">(AF30-O30)</x:f>
        <x:v>0</x:v>
      </x:c>
      <x:c r="AH30" s="305" t="b">
        <x:f t="shared" si="7"/>
        <x:v>1</x:v>
      </x:c>
      <x:c r="AI30" s="306"/>
    </x:row>
    <x:row r="31" spans="1:35" s="305" customFormat="1" x14ac:dyDescent="0.3">
      <x:c r="B31" s="314">
        <x:v>4</x:v>
      </x:c>
      <x:c r="C31" s="315" t="s">
        <x:v>13</x:v>
      </x:c>
      <x:c r="D31" s="291">
        <x:f>'Rem. Anticipos R2'!E384</x:f>
        <x:v>0</x:v>
      </x:c>
      <x:c r="E31" s="292">
        <x:f>'Rem. Anticipos R2'!F384</x:f>
        <x:v>0</x:v>
      </x:c>
      <x:c r="F31" s="292">
        <x:f>'Rem. Anticipos R2'!G384</x:f>
        <x:v>0</x:v>
      </x:c>
      <x:c r="G31" s="292">
        <x:f>'Rem. Anticipos R2'!H384</x:f>
        <x:v>0</x:v>
      </x:c>
      <x:c r="H31" s="292">
        <x:f>'Rem. Anticipos R2'!I384</x:f>
        <x:v>0</x:v>
      </x:c>
      <x:c r="I31" s="292">
        <x:f>'Rem. Anticipos R2'!J384</x:f>
        <x:v>0</x:v>
      </x:c>
      <x:c r="J31" s="288">
        <x:v>0</x:v>
      </x:c>
      <x:c r="K31" s="295">
        <x:f t="shared" si="8"/>
        <x:v>0</x:v>
      </x:c>
      <x:c r="L31" s="294">
        <x:v>0</x:v>
      </x:c>
      <x:c r="M31" s="295">
        <x:f>K31-L31</x:f>
        <x:v>0</x:v>
      </x:c>
      <x:c r="N31" s="294">
        <x:f>'Rem. Anticipos R2'!K384</x:f>
        <x:v>0</x:v>
      </x:c>
      <x:c r="O31" s="295">
        <x:f t="shared" si="6"/>
        <x:v>0</x:v>
      </x:c>
      <x:c r="Q31" s="306"/>
      <x:c r="S31" s="314">
        <x:v>4</x:v>
      </x:c>
      <x:c r="T31" s="315" t="s">
        <x:v>13</x:v>
      </x:c>
      <x:c r="U31" s="316">
        <x:f>'Rem. Anticipos R2'!L384</x:f>
        <x:v>0</x:v>
      </x:c>
      <x:c r="V31" s="317">
        <x:f>'Rem. Anticipos R2'!M384</x:f>
        <x:v>0</x:v>
      </x:c>
      <x:c r="W31" s="317">
        <x:f>'Rem. Anticipos R2'!N384</x:f>
        <x:v>0</x:v>
      </x:c>
      <x:c r="X31" s="317">
        <x:f>'Rem. Anticipos R2'!O384</x:f>
        <x:v>0</x:v>
      </x:c>
      <x:c r="Y31" s="318">
        <x:f>'Rem. Anticipos R2'!P384</x:f>
        <x:v>0</x:v>
      </x:c>
      <x:c r="Z31" s="319">
        <x:f>L31*-1</x:f>
        <x:v>0</x:v>
      </x:c>
      <x:c r="AA31" s="320">
        <x:f>'Rem. Anticipos R2'!Q384</x:f>
        <x:v>0</x:v>
      </x:c>
      <x:c r="AB31" s="294">
        <x:f>N31</x:f>
        <x:v>0</x:v>
      </x:c>
      <x:c r="AC31" s="320">
        <x:f>'Rem. Anticipos R2'!R384</x:f>
        <x:v>0</x:v>
      </x:c>
      <x:c r="AD31" s="291">
        <x:f t="shared" si="9"/>
        <x:v>0</x:v>
      </x:c>
      <x:c r="AE31" s="291">
        <x:f>'Rem. Anticipos R2'!E385</x:f>
        <x:v>0</x:v>
      </x:c>
      <x:c r="AF31" s="322">
        <x:f>SUM(U31:AD31)</x:f>
        <x:v>0</x:v>
      </x:c>
      <x:c r="AG31" s="522">
        <x:f t="shared" si="10"/>
        <x:v>0</x:v>
      </x:c>
      <x:c r="AH31" s="305" t="b">
        <x:f t="shared" si="7"/>
        <x:v>1</x:v>
      </x:c>
      <x:c r="AI31" s="306"/>
    </x:row>
    <x:row r="32" spans="1:35" s="305" customFormat="1" ht="12" thickBot="1" x14ac:dyDescent="0.35">
      <x:c r="B32" s="324">
        <x:v>5</x:v>
      </x:c>
      <x:c r="C32" s="325" t="s">
        <x:v>14</x:v>
      </x:c>
      <x:c r="D32" s="296">
        <x:f>'Rem. Anticipos R2'!E468</x:f>
        <x:v>0</x:v>
      </x:c>
      <x:c r="E32" s="297">
        <x:f>'Rem. Anticipos R2'!F468</x:f>
        <x:v>0</x:v>
      </x:c>
      <x:c r="F32" s="297">
        <x:f>'Rem. Anticipos R2'!G468</x:f>
        <x:v>0</x:v>
      </x:c>
      <x:c r="G32" s="297">
        <x:f>'Rem. Anticipos R2'!H468</x:f>
        <x:v>0</x:v>
      </x:c>
      <x:c r="H32" s="297">
        <x:f>'Rem. Anticipos R2'!I468</x:f>
        <x:v>0</x:v>
      </x:c>
      <x:c r="I32" s="297">
        <x:f>'Rem. Anticipos R2'!J468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R2'!K468</x:f>
        <x:v>0</x:v>
      </x:c>
      <x:c r="O32" s="298">
        <x:f t="shared" si="6"/>
        <x:v>0</x:v>
      </x:c>
      <x:c r="Q32" s="306"/>
      <x:c r="S32" s="324">
        <x:v>5</x:v>
      </x:c>
      <x:c r="T32" s="325" t="s">
        <x:v>14</x:v>
      </x:c>
      <x:c r="U32" s="296">
        <x:f>'Rem. Anticipos R2'!L468</x:f>
        <x:v>0</x:v>
      </x:c>
      <x:c r="V32" s="297">
        <x:f>'Rem. Anticipos R2'!M468</x:f>
        <x:v>0</x:v>
      </x:c>
      <x:c r="W32" s="297">
        <x:f>'Rem. Anticipos R2'!N468</x:f>
        <x:v>0</x:v>
      </x:c>
      <x:c r="X32" s="297">
        <x:f>'Rem. Anticipos R2'!O468</x:f>
        <x:v>0</x:v>
      </x:c>
      <x:c r="Y32" s="289">
        <x:f>'Rem. Anticipos R2'!P468</x:f>
        <x:v>0</x:v>
      </x:c>
      <x:c r="Z32" s="319">
        <x:f>L32*-1</x:f>
        <x:v>0</x:v>
      </x:c>
      <x:c r="AA32" s="320">
        <x:f>'Rem. Anticipos R2'!Q468</x:f>
        <x:v>0</x:v>
      </x:c>
      <x:c r="AB32" s="294">
        <x:f>N32</x:f>
        <x:v>0</x:v>
      </x:c>
      <x:c r="AC32" s="320">
        <x:f>'Rem. Anticipos R2'!R468</x:f>
        <x:v>0</x:v>
      </x:c>
      <x:c r="AD32" s="291">
        <x:f t="shared" si="9"/>
        <x:v>0</x:v>
      </x:c>
      <x:c r="AE32" s="291">
        <x:f>'Rem. Anticipos R2'!E469</x:f>
        <x:v>0</x:v>
      </x:c>
      <x:c r="AF32" s="322">
        <x:f>SUM(U32:AD32)</x:f>
        <x:v>0</x:v>
      </x:c>
      <x:c r="AG32" s="523">
        <x:f>(AF32-O32)</x:f>
        <x:v>0</x:v>
      </x:c>
      <x:c r="AH32" s="305" t="b">
        <x:f t="shared" si="7"/>
        <x:v>1</x:v>
      </x:c>
      <x:c r="AI32" s="306"/>
    </x:row>
    <x:row r="33" spans="1:35" s="305" customFormat="1" ht="12.9" thickBot="1" x14ac:dyDescent="0.3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1">SUM(F28:F32)</x:f>
        <x:v>0</x:v>
      </x:c>
      <x:c r="G33" s="290">
        <x:f t="shared" ref="G33" si="12">SUM(G28:G32)</x:f>
        <x:v>0</x:v>
      </x:c>
      <x:c r="H33" s="290">
        <x:f t="shared" si="11"/>
        <x:v>0</x:v>
      </x:c>
      <x:c r="I33" s="290">
        <x:f t="shared" si="11"/>
        <x:v>0</x:v>
      </x:c>
      <x:c r="J33" s="290">
        <x:f t="shared" si="11"/>
        <x:v>0</x:v>
      </x:c>
      <x:c r="K33" s="300">
        <x:f t="shared" si="11"/>
        <x:v>0</x:v>
      </x:c>
      <x:c r="L33" s="301">
        <x:f t="shared" si="11"/>
        <x:v>0</x:v>
      </x:c>
      <x:c r="M33" s="302">
        <x:f t="shared" si="11"/>
        <x:v>0</x:v>
      </x:c>
      <x:c r="N33" s="301">
        <x:f t="shared" si="11"/>
        <x:v>0</x:v>
      </x:c>
      <x:c r="O33" s="302">
        <x:f t="shared" si="11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F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524">
        <x:f t="shared" ref="AG33" si="15">SUM(AG28:AG32)</x:f>
        <x:v>0</x:v>
      </x:c>
      <x:c r="AH33" s="305" t="b">
        <x:f>INT(AG33)=0</x:f>
        <x:v>1</x:v>
      </x:c>
      <x:c r="AI33" s="306"/>
    </x:row>
    <x:row r="34" spans="1:35" ht="12" thickBot="1" x14ac:dyDescent="0.3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" thickBot="1" x14ac:dyDescent="0.3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" thickBot="1" x14ac:dyDescent="0.3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3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3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274"/>
      <x:c r="AH38" s="4"/>
      <x:c r="AI38" s="4"/>
    </x:row>
    <x:row r="39" spans="1:35" ht="12" thickBot="1" x14ac:dyDescent="0.35">
      <x:c r="Q39" s="4"/>
      <x:c r="AI39" s="4"/>
    </x:row>
    <x:row r="40" spans="1:35" x14ac:dyDescent="0.3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72"/>
      <x:c r="AI40" s="4"/>
    </x:row>
    <x:row r="41" spans="1:35" ht="14.15" x14ac:dyDescent="0.3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2026101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2026101</x:v>
      </x:c>
      <x:c r="AE41" s="84"/>
      <x:c r="AF41" s="48"/>
      <x:c r="AG41" s="272"/>
      <x:c r="AI41" s="4"/>
    </x:row>
    <x:row r="42" spans="1:35" ht="15.45" x14ac:dyDescent="0.4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72"/>
      <x:c r="AI42" s="4"/>
    </x:row>
    <x:row r="43" spans="1:35" ht="14.15" x14ac:dyDescent="0.3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72"/>
      <x:c r="AI43" s="4"/>
    </x:row>
    <x:row r="44" spans="1:35" ht="15.45" x14ac:dyDescent="0.4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72"/>
      <x:c r="AI44" s="4"/>
    </x:row>
    <x:row r="45" spans="1:35" ht="12" thickBot="1" x14ac:dyDescent="0.3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72"/>
      <x:c r="AI45" s="4"/>
    </x:row>
    <x:row r="46" spans="1:35" ht="72" customHeight="1" thickBot="1" x14ac:dyDescent="0.3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273"/>
      <x:c r="AI46" s="4"/>
    </x:row>
    <x:row r="47" spans="1:35" s="305" customFormat="1" x14ac:dyDescent="0.3">
      <x:c r="B47" s="303">
        <x:v>1</x:v>
      </x:c>
      <x:c r="C47" s="304" t="s">
        <x:v>10</x:v>
      </x:c>
      <x:c r="D47" s="291">
        <x:f>'Reporte Componentes R1'!F77</x:f>
        <x:v>0</x:v>
      </x:c>
      <x:c r="E47" s="292">
        <x:f>'Reporte Componentes R1'!G77</x:f>
        <x:v>0</x:v>
      </x:c>
      <x:c r="F47" s="292">
        <x:f>'Reporte Componentes R1'!H77</x:f>
        <x:v>0</x:v>
      </x:c>
      <x:c r="G47" s="292">
        <x:f>'Reporte Componentes R1'!I77</x:f>
        <x:v>0</x:v>
      </x:c>
      <x:c r="H47" s="292">
        <x:f>'Reporte Componentes R1'!J77</x:f>
        <x:v>0</x:v>
      </x:c>
      <x:c r="I47" s="292">
        <x:f>'Reporte Componentes R1'!K77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R1'!L77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R1'!M77</x:f>
        <x:v>0</x:v>
      </x:c>
      <x:c r="V47" s="308">
        <x:f>'Reporte Componentes R1'!N77</x:f>
        <x:v>0</x:v>
      </x:c>
      <x:c r="W47" s="308">
        <x:f>'Reporte Componentes R1'!O77</x:f>
        <x:v>0</x:v>
      </x:c>
      <x:c r="X47" s="308">
        <x:f>'Reporte Componentes R1'!P77</x:f>
        <x:v>0</x:v>
      </x:c>
      <x:c r="Y47" s="309">
        <x:f>'Reporte Componentes R1'!Q77</x:f>
        <x:v>0</x:v>
      </x:c>
      <x:c r="Z47" s="310">
        <x:f>-L47</x:f>
        <x:v>0</x:v>
      </x:c>
      <x:c r="AA47" s="320">
        <x:f>'Reporte Componentes R1'!R77+'Reporte Componentes R1'!V77+'Reporte Componentes R1'!U77</x:f>
        <x:v>0</x:v>
      </x:c>
      <x:c r="AB47" s="294">
        <x:f>N47</x:f>
        <x:v>0</x:v>
      </x:c>
      <x:c r="AC47" s="311">
        <x:f>'Reporte Componentes R1'!T77+'Reporte Componentes R1'!W77+'Reporte Componentes R1'!X77+'Reporte Componentes R1'!Y77+'Reporte Componentes R1'!Z77+'Reporte Componentes R1'!S77</x:f>
        <x:v>0</x:v>
      </x:c>
      <x:c r="AD47" s="291">
        <x:f>-J47+AE47</x:f>
        <x:v>0</x:v>
      </x:c>
      <x:c r="AE47" s="291">
        <x:f>'Reporte Componentes R1'!F78</x:f>
        <x:v>0</x:v>
      </x:c>
      <x:c r="AF47" s="313">
        <x:f>SUM(U47:AD47)</x:f>
        <x:v>0</x:v>
      </x:c>
      <x:c r="AG47" s="521">
        <x:f>(AF47-O47)</x:f>
        <x:v>0</x:v>
      </x:c>
      <x:c r="AH47" s="305" t="b">
        <x:f>INT(AG47)=0</x:f>
        <x:v>1</x:v>
      </x:c>
      <x:c r="AI47" s="306"/>
    </x:row>
    <x:row r="48" spans="1:35" s="305" customFormat="1" x14ac:dyDescent="0.3">
      <x:c r="B48" s="314">
        <x:v>2</x:v>
      </x:c>
      <x:c r="C48" s="315" t="s">
        <x:v>11</x:v>
      </x:c>
      <x:c r="D48" s="291">
        <x:f>'Reporte Componentes R1'!F256</x:f>
        <x:v>0</x:v>
      </x:c>
      <x:c r="E48" s="292">
        <x:f>'Reporte Componentes R1'!G256</x:f>
        <x:v>0</x:v>
      </x:c>
      <x:c r="F48" s="292">
        <x:f>'Reporte Componentes R1'!H256</x:f>
        <x:v>0</x:v>
      </x:c>
      <x:c r="G48" s="292">
        <x:f>'Reporte Componentes R1'!I256</x:f>
        <x:v>0</x:v>
      </x:c>
      <x:c r="H48" s="292">
        <x:f>'Reporte Componentes R1'!J256</x:f>
        <x:v>0</x:v>
      </x:c>
      <x:c r="I48" s="292">
        <x:f>'Reporte Componentes R1'!K256</x:f>
        <x:v>0</x:v>
      </x:c>
      <x:c r="J48" s="288">
        <x:v>0</x:v>
      </x:c>
      <x:c r="K48" s="295">
        <x:f t="shared" ref="K48:K51" si="16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R1'!L256</x:f>
        <x:v>0</x:v>
      </x:c>
      <x:c r="O48" s="295">
        <x:f t="shared" ref="O48:O51" si="17">M48+N48</x:f>
        <x:v>0</x:v>
      </x:c>
      <x:c r="Q48" s="306"/>
      <x:c r="S48" s="314">
        <x:v>2</x:v>
      </x:c>
      <x:c r="T48" s="315" t="s">
        <x:v>11</x:v>
      </x:c>
      <x:c r="U48" s="316">
        <x:f>'Reporte Componentes R1'!M256</x:f>
        <x:v>0</x:v>
      </x:c>
      <x:c r="V48" s="317">
        <x:f>'Reporte Componentes R1'!N256</x:f>
        <x:v>0</x:v>
      </x:c>
      <x:c r="W48" s="317">
        <x:f>'Reporte Componentes R1'!O256</x:f>
        <x:v>0</x:v>
      </x:c>
      <x:c r="X48" s="317">
        <x:f>'Reporte Componentes R1'!P256</x:f>
        <x:v>0</x:v>
      </x:c>
      <x:c r="Y48" s="318">
        <x:f>'Reporte Componentes R1'!Q256</x:f>
        <x:v>0</x:v>
      </x:c>
      <x:c r="Z48" s="319">
        <x:f>-L48</x:f>
        <x:v>0</x:v>
      </x:c>
      <x:c r="AA48" s="320">
        <x:f>'Reporte Componentes R1'!R256+'Reporte Componentes R1'!V256+'Reporte Componentes R1'!U256</x:f>
        <x:v>0</x:v>
      </x:c>
      <x:c r="AB48" s="294">
        <x:f>N48</x:f>
        <x:v>0</x:v>
      </x:c>
      <x:c r="AC48" s="320">
        <x:f>'Reporte Componentes R1'!T256+'Reporte Componentes R1'!W256+'Reporte Componentes R1'!X256+'Reporte Componentes R1'!Y256+'Reporte Componentes R1'!Z256+'Reporte Componentes R1'!S256</x:f>
        <x:v>0</x:v>
      </x:c>
      <x:c r="AD48" s="291">
        <x:f t="shared" ref="AD48:AD51" si="18">-J48+AE48</x:f>
        <x:v>0</x:v>
      </x:c>
      <x:c r="AE48" s="291">
        <x:f>'Reporte Componentes R1'!F257</x:f>
        <x:v>0</x:v>
      </x:c>
      <x:c r="AF48" s="322">
        <x:f>SUM(U48:AD48)</x:f>
        <x:v>0</x:v>
      </x:c>
      <x:c r="AG48" s="522">
        <x:f>(AF48-O48)</x:f>
        <x:v>0</x:v>
      </x:c>
      <x:c r="AH48" s="305" t="b">
        <x:f t="shared" ref="AH48:AH51" si="19">INT(AG48)=0</x:f>
        <x:v>1</x:v>
      </x:c>
      <x:c r="AI48" s="306"/>
    </x:row>
    <x:row r="49" spans="1:35" s="305" customFormat="1" x14ac:dyDescent="0.3">
      <x:c r="B49" s="314">
        <x:v>3</x:v>
      </x:c>
      <x:c r="C49" s="315" t="s">
        <x:v>12</x:v>
      </x:c>
      <x:c r="D49" s="291">
        <x:f>'Reporte Componentes R1'!F417</x:f>
        <x:v>0</x:v>
      </x:c>
      <x:c r="E49" s="292">
        <x:f>'Reporte Componentes R1'!G417</x:f>
        <x:v>0</x:v>
      </x:c>
      <x:c r="F49" s="292">
        <x:f>'Reporte Componentes R1'!H417</x:f>
        <x:v>0</x:v>
      </x:c>
      <x:c r="G49" s="292">
        <x:f>'Reporte Componentes R1'!I417</x:f>
        <x:v>0</x:v>
      </x:c>
      <x:c r="H49" s="292">
        <x:f>'Reporte Componentes R1'!J417</x:f>
        <x:v>0</x:v>
      </x:c>
      <x:c r="I49" s="292">
        <x:f>'Reporte Componentes R1'!K417</x:f>
        <x:v>0</x:v>
      </x:c>
      <x:c r="J49" s="288">
        <x:v>0</x:v>
      </x:c>
      <x:c r="K49" s="295">
        <x:f t="shared" si="16"/>
        <x:v>0</x:v>
      </x:c>
      <x:c r="L49" s="294">
        <x:v>0</x:v>
      </x:c>
      <x:c r="M49" s="295">
        <x:f>K49-L49</x:f>
        <x:v>0</x:v>
      </x:c>
      <x:c r="N49" s="294">
        <x:f>'Reporte Componentes R1'!L417</x:f>
        <x:v>0</x:v>
      </x:c>
      <x:c r="O49" s="295">
        <x:f t="shared" si="17"/>
        <x:v>0</x:v>
      </x:c>
      <x:c r="Q49" s="306"/>
      <x:c r="S49" s="314">
        <x:v>3</x:v>
      </x:c>
      <x:c r="T49" s="315" t="s">
        <x:v>12</x:v>
      </x:c>
      <x:c r="U49" s="316">
        <x:f>'Reporte Componentes R1'!M417</x:f>
        <x:v>0</x:v>
      </x:c>
      <x:c r="V49" s="317">
        <x:f>'Reporte Componentes R1'!N417</x:f>
        <x:v>0</x:v>
      </x:c>
      <x:c r="W49" s="317">
        <x:f>'Reporte Componentes R1'!O417</x:f>
        <x:v>0</x:v>
      </x:c>
      <x:c r="X49" s="317">
        <x:f>'Reporte Componentes R1'!P417</x:f>
        <x:v>0</x:v>
      </x:c>
      <x:c r="Y49" s="318">
        <x:f>'Reporte Componentes R1'!Q417</x:f>
        <x:v>0</x:v>
      </x:c>
      <x:c r="Z49" s="319">
        <x:f>-L49</x:f>
        <x:v>0</x:v>
      </x:c>
      <x:c r="AA49" s="320">
        <x:f>'Reporte Componentes R1'!R417+'Reporte Componentes R1'!V417+'Reporte Componentes R1'!U417</x:f>
        <x:v>0</x:v>
      </x:c>
      <x:c r="AB49" s="294">
        <x:f>N49</x:f>
        <x:v>0</x:v>
      </x:c>
      <x:c r="AC49" s="320">
        <x:f>'Reporte Componentes R1'!T417+'Reporte Componentes R1'!W417+'Reporte Componentes R1'!X417+'Reporte Componentes R1'!Y417+'Reporte Componentes R1'!Z417+'Reporte Componentes R1'!S417</x:f>
        <x:v>0</x:v>
      </x:c>
      <x:c r="AD49" s="291">
        <x:f t="shared" si="18"/>
        <x:v>0</x:v>
      </x:c>
      <x:c r="AE49" s="291">
        <x:f>'Reporte Componentes R1'!F418</x:f>
        <x:v>0</x:v>
      </x:c>
      <x:c r="AF49" s="322">
        <x:f t="shared" ref="AF49:AF51" si="20">SUM(U49:AD49)</x:f>
        <x:v>0</x:v>
      </x:c>
      <x:c r="AG49" s="522">
        <x:f t="shared" ref="AG49:AG51" si="21">(AF49-O49)</x:f>
        <x:v>0</x:v>
      </x:c>
      <x:c r="AH49" s="305" t="b">
        <x:f t="shared" si="19"/>
        <x:v>1</x:v>
      </x:c>
      <x:c r="AI49" s="306"/>
    </x:row>
    <x:row r="50" spans="1:35" s="305" customFormat="1" x14ac:dyDescent="0.3">
      <x:c r="B50" s="314">
        <x:v>4</x:v>
      </x:c>
      <x:c r="C50" s="315" t="s">
        <x:v>13</x:v>
      </x:c>
      <x:c r="D50" s="291">
        <x:f>'Reporte Componentes R1'!F570</x:f>
        <x:v>0</x:v>
      </x:c>
      <x:c r="E50" s="292">
        <x:f>'Reporte Componentes R1'!G570</x:f>
        <x:v>0</x:v>
      </x:c>
      <x:c r="F50" s="292">
        <x:f>'Reporte Componentes R1'!H570</x:f>
        <x:v>0</x:v>
      </x:c>
      <x:c r="G50" s="292">
        <x:f>'Reporte Componentes R1'!I570</x:f>
        <x:v>0</x:v>
      </x:c>
      <x:c r="H50" s="292">
        <x:f>'Reporte Componentes R1'!J570</x:f>
        <x:v>0</x:v>
      </x:c>
      <x:c r="I50" s="292">
        <x:f>'Reporte Componentes R1'!K570</x:f>
        <x:v>0</x:v>
      </x:c>
      <x:c r="J50" s="288">
        <x:v>0</x:v>
      </x:c>
      <x:c r="K50" s="295">
        <x:f t="shared" si="16"/>
        <x:v>0</x:v>
      </x:c>
      <x:c r="L50" s="294">
        <x:v>0</x:v>
      </x:c>
      <x:c r="M50" s="295">
        <x:f>K50-L50</x:f>
        <x:v>0</x:v>
      </x:c>
      <x:c r="N50" s="294">
        <x:f>'Reporte Componentes R1'!L570</x:f>
        <x:v>0</x:v>
      </x:c>
      <x:c r="O50" s="295">
        <x:f t="shared" si="17"/>
        <x:v>0</x:v>
      </x:c>
      <x:c r="Q50" s="306"/>
      <x:c r="S50" s="314">
        <x:v>4</x:v>
      </x:c>
      <x:c r="T50" s="315" t="s">
        <x:v>13</x:v>
      </x:c>
      <x:c r="U50" s="316">
        <x:f>'Reporte Componentes R1'!M570</x:f>
        <x:v>0</x:v>
      </x:c>
      <x:c r="V50" s="317">
        <x:f>'Reporte Componentes R1'!N570</x:f>
        <x:v>0</x:v>
      </x:c>
      <x:c r="W50" s="317">
        <x:f>'Reporte Componentes R1'!O570</x:f>
        <x:v>0</x:v>
      </x:c>
      <x:c r="X50" s="317">
        <x:f>'Reporte Componentes R1'!P570</x:f>
        <x:v>0</x:v>
      </x:c>
      <x:c r="Y50" s="318">
        <x:f>'Reporte Componentes R1'!Q570</x:f>
        <x:v>0</x:v>
      </x:c>
      <x:c r="Z50" s="319">
        <x:f>-L50</x:f>
        <x:v>0</x:v>
      </x:c>
      <x:c r="AA50" s="320">
        <x:f>'Reporte Componentes R1'!R570+'Reporte Componentes R1'!V570+'Reporte Componentes R1'!U570</x:f>
        <x:v>0</x:v>
      </x:c>
      <x:c r="AB50" s="294">
        <x:f>N50</x:f>
        <x:v>0</x:v>
      </x:c>
      <x:c r="AC50" s="320">
        <x:f>'Reporte Componentes R1'!T570+'Reporte Componentes R1'!W570+'Reporte Componentes R1'!X570+'Reporte Componentes R1'!Y570+'Reporte Componentes R1'!Z570+'Reporte Componentes R1'!S570</x:f>
        <x:v>0</x:v>
      </x:c>
      <x:c r="AD50" s="291">
        <x:f t="shared" si="18"/>
        <x:v>0</x:v>
      </x:c>
      <x:c r="AE50" s="291">
        <x:f>'Reporte Componentes R1'!F571</x:f>
        <x:v>0</x:v>
      </x:c>
      <x:c r="AF50" s="322">
        <x:f t="shared" si="20"/>
        <x:v>0</x:v>
      </x:c>
      <x:c r="AG50" s="522">
        <x:f t="shared" si="21"/>
        <x:v>0</x:v>
      </x:c>
      <x:c r="AH50" s="305" t="b">
        <x:f t="shared" si="19"/>
        <x:v>1</x:v>
      </x:c>
      <x:c r="AI50" s="306"/>
    </x:row>
    <x:row r="51" spans="1:35" s="305" customFormat="1" ht="12" thickBot="1" x14ac:dyDescent="0.35">
      <x:c r="B51" s="324">
        <x:v>5</x:v>
      </x:c>
      <x:c r="C51" s="325" t="s">
        <x:v>14</x:v>
      </x:c>
      <x:c r="D51" s="296">
        <x:f>'Reporte Componentes R1'!F682</x:f>
        <x:v>0</x:v>
      </x:c>
      <x:c r="E51" s="297">
        <x:f>'Reporte Componentes R1'!G682</x:f>
        <x:v>0</x:v>
      </x:c>
      <x:c r="F51" s="297">
        <x:f>'Reporte Componentes R1'!H682</x:f>
        <x:v>0</x:v>
      </x:c>
      <x:c r="G51" s="297">
        <x:f>'Reporte Componentes R1'!I682</x:f>
        <x:v>0</x:v>
      </x:c>
      <x:c r="H51" s="297">
        <x:f>'Reporte Componentes R1'!J682</x:f>
        <x:v>0</x:v>
      </x:c>
      <x:c r="I51" s="297">
        <x:f>'Reporte Componentes R1'!K682</x:f>
        <x:v>0</x:v>
      </x:c>
      <x:c r="J51" s="289">
        <x:v>0</x:v>
      </x:c>
      <x:c r="K51" s="295">
        <x:f t="shared" si="16"/>
        <x:v>0</x:v>
      </x:c>
      <x:c r="L51" s="294">
        <x:v>0</x:v>
      </x:c>
      <x:c r="M51" s="298">
        <x:f>K51-L51</x:f>
        <x:v>0</x:v>
      </x:c>
      <x:c r="N51" s="299">
        <x:f>'Reporte Componentes R1'!L682</x:f>
        <x:v>0</x:v>
      </x:c>
      <x:c r="O51" s="298">
        <x:f t="shared" si="17"/>
        <x:v>0</x:v>
      </x:c>
      <x:c r="Q51" s="306"/>
      <x:c r="S51" s="324">
        <x:v>5</x:v>
      </x:c>
      <x:c r="T51" s="325" t="s">
        <x:v>14</x:v>
      </x:c>
      <x:c r="U51" s="296">
        <x:f>'Reporte Componentes R1'!M682</x:f>
        <x:v>0</x:v>
      </x:c>
      <x:c r="V51" s="297">
        <x:f>'Reporte Componentes R1'!N682</x:f>
        <x:v>0</x:v>
      </x:c>
      <x:c r="W51" s="297">
        <x:f>'Reporte Componentes R1'!O682</x:f>
        <x:v>0</x:v>
      </x:c>
      <x:c r="X51" s="297">
        <x:f>'Reporte Componentes R1'!P682</x:f>
        <x:v>0</x:v>
      </x:c>
      <x:c r="Y51" s="289">
        <x:f>'Reporte Componentes R1'!Q682</x:f>
        <x:v>0</x:v>
      </x:c>
      <x:c r="Z51" s="319">
        <x:f>-L51</x:f>
        <x:v>0</x:v>
      </x:c>
      <x:c r="AA51" s="320">
        <x:f>'Reporte Componentes R1'!R682+'Reporte Componentes R1'!V682+'Reporte Componentes R1'!U682</x:f>
        <x:v>0</x:v>
      </x:c>
      <x:c r="AB51" s="294">
        <x:f>N51</x:f>
        <x:v>0</x:v>
      </x:c>
      <x:c r="AC51" s="320">
        <x:f>'Reporte Componentes R1'!T682+'Reporte Componentes R1'!W682+'Reporte Componentes R1'!X682+'Reporte Componentes R1'!Y682+'Reporte Componentes R1'!Z682+'Reporte Componentes R1'!S682</x:f>
        <x:v>0</x:v>
      </x:c>
      <x:c r="AD51" s="291">
        <x:f t="shared" si="18"/>
        <x:v>0</x:v>
      </x:c>
      <x:c r="AE51" s="291">
        <x:f>'Reporte Componentes R1'!F683</x:f>
        <x:v>0</x:v>
      </x:c>
      <x:c r="AF51" s="322">
        <x:f t="shared" si="20"/>
        <x:v>0</x:v>
      </x:c>
      <x:c r="AG51" s="523">
        <x:f t="shared" si="21"/>
        <x:v>0</x:v>
      </x:c>
      <x:c r="AH51" s="305" t="b">
        <x:f t="shared" si="19"/>
        <x:v>1</x:v>
      </x:c>
      <x:c r="AI51" s="306"/>
    </x:row>
    <x:row r="52" spans="1:35" s="305" customFormat="1" ht="12.9" thickBot="1" x14ac:dyDescent="0.35">
      <x:c r="B52" s="327"/>
      <x:c r="C52" s="328" t="s">
        <x:v>2</x:v>
      </x:c>
      <x:c r="D52" s="290">
        <x:f t="shared" ref="D52:O52" si="22">SUM(D47:D51)</x:f>
        <x:v>0</x:v>
      </x:c>
      <x:c r="E52" s="290">
        <x:f t="shared" si="22"/>
        <x:v>0</x:v>
      </x:c>
      <x:c r="F52" s="290">
        <x:f t="shared" si="22"/>
        <x:v>0</x:v>
      </x:c>
      <x:c r="G52" s="290">
        <x:f t="shared" ref="G52" si="23">SUM(G47:G51)</x:f>
        <x:v>0</x:v>
      </x:c>
      <x:c r="H52" s="290">
        <x:f t="shared" si="22"/>
        <x:v>0</x:v>
      </x:c>
      <x:c r="I52" s="290">
        <x:f t="shared" si="22"/>
        <x:v>0</x:v>
      </x:c>
      <x:c r="J52" s="290">
        <x:f t="shared" si="22"/>
        <x:v>0</x:v>
      </x:c>
      <x:c r="K52" s="300">
        <x:f t="shared" si="22"/>
        <x:v>0</x:v>
      </x:c>
      <x:c r="L52" s="301">
        <x:f t="shared" si="22"/>
        <x:v>0</x:v>
      </x:c>
      <x:c r="M52" s="302">
        <x:f t="shared" si="22"/>
        <x:v>0</x:v>
      </x:c>
      <x:c r="N52" s="301">
        <x:f t="shared" si="22"/>
        <x:v>0</x:v>
      </x:c>
      <x:c r="O52" s="302">
        <x:f t="shared" si="22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4">SUM(V47:V51)</x:f>
        <x:v>0</x:v>
      </x:c>
      <x:c r="W52" s="330">
        <x:f t="shared" si="24"/>
        <x:v>0</x:v>
      </x:c>
      <x:c r="X52" s="330">
        <x:f t="shared" si="24"/>
        <x:v>0</x:v>
      </x:c>
      <x:c r="Y52" s="330">
        <x:f t="shared" si="24"/>
        <x:v>0</x:v>
      </x:c>
      <x:c r="Z52" s="290">
        <x:f t="shared" si="24"/>
        <x:v>0</x:v>
      </x:c>
      <x:c r="AA52" s="290">
        <x:f t="shared" si="24"/>
        <x:v>0</x:v>
      </x:c>
      <x:c r="AB52" s="290">
        <x:f t="shared" si="24"/>
        <x:v>0</x:v>
      </x:c>
      <x:c r="AC52" s="290">
        <x:f t="shared" si="24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4"/>
        <x:v>0</x:v>
      </x:c>
      <x:c r="AG52" s="524">
        <x:f t="shared" si="24"/>
        <x:v>0</x:v>
      </x:c>
      <x:c r="AH52" s="305" t="b">
        <x:f>INT(AG52)=0</x:f>
        <x:v>1</x:v>
      </x:c>
      <x:c r="AI52" s="306"/>
    </x:row>
    <x:row r="53" spans="1:35" ht="12" thickBot="1" x14ac:dyDescent="0.3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" thickBot="1" x14ac:dyDescent="0.3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" thickBot="1" x14ac:dyDescent="0.3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3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3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274"/>
      <x:c r="AH57" s="4"/>
      <x:c r="AI57" s="4"/>
    </x:row>
    <x:row r="58" spans="1:35" ht="12" thickBot="1" x14ac:dyDescent="0.35">
      <x:c r="Q58" s="4"/>
      <x:c r="AI58" s="4"/>
    </x:row>
    <x:row r="59" spans="1:35" x14ac:dyDescent="0.3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72"/>
      <x:c r="AI59" s="4"/>
    </x:row>
    <x:row r="60" spans="1:35" ht="14.15" x14ac:dyDescent="0.3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2026101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2026101</x:v>
      </x:c>
      <x:c r="AE60" s="84"/>
      <x:c r="AF60" s="48"/>
      <x:c r="AG60" s="272"/>
      <x:c r="AI60" s="4"/>
    </x:row>
    <x:row r="61" spans="1:35" ht="15.45" x14ac:dyDescent="0.4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72"/>
      <x:c r="AI61" s="4"/>
    </x:row>
    <x:row r="62" spans="1:35" ht="14.15" x14ac:dyDescent="0.3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72"/>
      <x:c r="AI62" s="4"/>
    </x:row>
    <x:row r="63" spans="1:35" ht="15.45" x14ac:dyDescent="0.4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72"/>
      <x:c r="AI63" s="4"/>
    </x:row>
    <x:row r="64" spans="1:35" ht="12" thickBot="1" x14ac:dyDescent="0.3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72"/>
      <x:c r="AI64" s="4"/>
    </x:row>
    <x:row r="65" spans="1:35" ht="72" customHeight="1" thickBot="1" x14ac:dyDescent="0.3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273"/>
      <x:c r="AI65" s="4"/>
    </x:row>
    <x:row r="66" spans="1:35" s="305" customFormat="1" x14ac:dyDescent="0.3">
      <x:c r="B66" s="303">
        <x:v>1</x:v>
      </x:c>
      <x:c r="C66" s="304" t="s">
        <x:v>10</x:v>
      </x:c>
      <x:c r="D66" s="291">
        <x:f>'Reversion Pagos R4'!D73</x:f>
        <x:v>0</x:v>
      </x:c>
      <x:c r="E66" s="292">
        <x:f>'Reversion Pagos R4'!E73</x:f>
        <x:v>0</x:v>
      </x:c>
      <x:c r="F66" s="292">
        <x:f>'Reversion Pagos R4'!F73</x:f>
        <x:v>0</x:v>
      </x:c>
      <x:c r="G66" s="292">
        <x:f>'Reversion Pagos R4'!G73</x:f>
        <x:v>0</x:v>
      </x:c>
      <x:c r="H66" s="292">
        <x:f>'Reversion Pagos R4'!H73</x:f>
        <x:v>0</x:v>
      </x:c>
      <x:c r="I66" s="292">
        <x:f>'Reversion Pagos R4'!I73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R4'!P73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R4'!J73</x:f>
        <x:v>0</x:v>
      </x:c>
      <x:c r="V66" s="308">
        <x:f>'Reversion Pagos R4'!K73</x:f>
        <x:v>0</x:v>
      </x:c>
      <x:c r="W66" s="308">
        <x:f>'Reversion Pagos R4'!L73</x:f>
        <x:v>0</x:v>
      </x:c>
      <x:c r="X66" s="308">
        <x:f>'Reversion Pagos R4'!M73</x:f>
        <x:v>0</x:v>
      </x:c>
      <x:c r="Y66" s="308">
        <x:f>'Reversion Pagos R4'!N73</x:f>
        <x:v>0</x:v>
      </x:c>
      <x:c r="Z66" s="310">
        <x:f>-L66</x:f>
        <x:v>0</x:v>
      </x:c>
      <x:c r="AA66" s="320">
        <x:f>'Reversion Pagos R4'!O73</x:f>
        <x:v>0</x:v>
      </x:c>
      <x:c r="AB66" s="294">
        <x:f>N66</x:f>
        <x:v>0</x:v>
      </x:c>
      <x:c r="AC66" s="320">
        <x:f>+'Reversion Pagos R4'!Q73+'Reversion Pagos R4'!R73</x:f>
        <x:v>0</x:v>
      </x:c>
      <x:c r="AD66" s="291">
        <x:f>-J66+AE66</x:f>
        <x:v>0</x:v>
      </x:c>
      <x:c r="AE66" s="291">
        <x:f>'Reversion Pagos R4'!D74</x:f>
        <x:v>0</x:v>
      </x:c>
      <x:c r="AF66" s="313">
        <x:f>SUM(U66:AD66)</x:f>
        <x:v>0</x:v>
      </x:c>
      <x:c r="AG66" s="521">
        <x:f>(AF66-O66)</x:f>
        <x:v>0</x:v>
      </x:c>
      <x:c r="AH66" s="305" t="b">
        <x:f>INT(AG66)=0</x:f>
        <x:v>1</x:v>
      </x:c>
      <x:c r="AI66" s="306"/>
    </x:row>
    <x:row r="67" spans="1:35" s="305" customFormat="1" x14ac:dyDescent="0.3">
      <x:c r="B67" s="314">
        <x:v>2</x:v>
      </x:c>
      <x:c r="C67" s="315" t="s">
        <x:v>11</x:v>
      </x:c>
      <x:c r="D67" s="291">
        <x:f>'Reversion Pagos R4'!D174</x:f>
        <x:v>0</x:v>
      </x:c>
      <x:c r="E67" s="292">
        <x:f>'Reversion Pagos R4'!E174</x:f>
        <x:v>0</x:v>
      </x:c>
      <x:c r="F67" s="292">
        <x:f>'Reversion Pagos R4'!F174</x:f>
        <x:v>0</x:v>
      </x:c>
      <x:c r="G67" s="292">
        <x:f>'Reversion Pagos R4'!G174</x:f>
        <x:v>0</x:v>
      </x:c>
      <x:c r="H67" s="292">
        <x:f>'Reversion Pagos R4'!H174</x:f>
        <x:v>0</x:v>
      </x:c>
      <x:c r="I67" s="292">
        <x:f>'Reversion Pagos R4'!I174</x:f>
        <x:v>0</x:v>
      </x:c>
      <x:c r="J67" s="288">
        <x:v>0</x:v>
      </x:c>
      <x:c r="K67" s="295">
        <x:f t="shared" ref="K67:K70" si="25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R4'!P174</x:f>
        <x:v>0</x:v>
      </x:c>
      <x:c r="O67" s="295">
        <x:f t="shared" ref="O67:O70" si="26">M67+N67</x:f>
        <x:v>0</x:v>
      </x:c>
      <x:c r="Q67" s="306"/>
      <x:c r="S67" s="314">
        <x:v>2</x:v>
      </x:c>
      <x:c r="T67" s="315" t="s">
        <x:v>11</x:v>
      </x:c>
      <x:c r="U67" s="316">
        <x:f>'Reversion Pagos R4'!J174</x:f>
        <x:v>0</x:v>
      </x:c>
      <x:c r="V67" s="317">
        <x:f>'Reversion Pagos R4'!K174</x:f>
        <x:v>0</x:v>
      </x:c>
      <x:c r="W67" s="317">
        <x:f>'Reversion Pagos R4'!L174</x:f>
        <x:v>0</x:v>
      </x:c>
      <x:c r="X67" s="317">
        <x:f>'Reversion Pagos R4'!M174</x:f>
        <x:v>0</x:v>
      </x:c>
      <x:c r="Y67" s="318">
        <x:f>'Reversion Pagos R4'!N174</x:f>
        <x:v>0</x:v>
      </x:c>
      <x:c r="Z67" s="319">
        <x:f t="shared" ref="Z67:Z70" si="27">-L67</x:f>
        <x:v>0</x:v>
      </x:c>
      <x:c r="AA67" s="320">
        <x:f>'Reversion Pagos R4'!O174</x:f>
        <x:v>0</x:v>
      </x:c>
      <x:c r="AB67" s="294">
        <x:f t="shared" ref="AB67:AB70" si="28">N67</x:f>
        <x:v>0</x:v>
      </x:c>
      <x:c r="AC67" s="320">
        <x:f>+'Reversion Pagos R4'!Q174+'Reversion Pagos R4'!R174</x:f>
        <x:v>0</x:v>
      </x:c>
      <x:c r="AD67" s="291">
        <x:f>-J67+AE67</x:f>
        <x:v>0</x:v>
      </x:c>
      <x:c r="AE67" s="291">
        <x:f>'Reversion Pagos R4'!D175</x:f>
        <x:v>0</x:v>
      </x:c>
      <x:c r="AF67" s="322">
        <x:f>SUM(U67:AD67)</x:f>
        <x:v>0</x:v>
      </x:c>
      <x:c r="AG67" s="522">
        <x:f>(AF67-O67)</x:f>
        <x:v>0</x:v>
      </x:c>
      <x:c r="AH67" s="305" t="b">
        <x:f t="shared" ref="AH67:AH70" si="29">INT(AG67)=0</x:f>
        <x:v>1</x:v>
      </x:c>
      <x:c r="AI67" s="306"/>
    </x:row>
    <x:row r="68" spans="1:35" s="305" customFormat="1" x14ac:dyDescent="0.3">
      <x:c r="B68" s="314">
        <x:v>3</x:v>
      </x:c>
      <x:c r="C68" s="315" t="s">
        <x:v>12</x:v>
      </x:c>
      <x:c r="D68" s="291">
        <x:f>'Reversion Pagos R4'!D211</x:f>
        <x:v>0</x:v>
      </x:c>
      <x:c r="E68" s="292">
        <x:f>'Reversion Pagos R4'!E211</x:f>
        <x:v>0</x:v>
      </x:c>
      <x:c r="F68" s="292">
        <x:f>'Reversion Pagos R4'!F211</x:f>
        <x:v>0</x:v>
      </x:c>
      <x:c r="G68" s="292">
        <x:f>'Reversion Pagos R4'!G211</x:f>
        <x:v>0</x:v>
      </x:c>
      <x:c r="H68" s="292">
        <x:f>'Reversion Pagos R4'!H211</x:f>
        <x:v>0</x:v>
      </x:c>
      <x:c r="I68" s="292">
        <x:f>'Reversion Pagos R4'!I211</x:f>
        <x:v>0</x:v>
      </x:c>
      <x:c r="J68" s="288">
        <x:v>0</x:v>
      </x:c>
      <x:c r="K68" s="295">
        <x:f t="shared" si="25"/>
        <x:v>0</x:v>
      </x:c>
      <x:c r="L68" s="294">
        <x:v>0</x:v>
      </x:c>
      <x:c r="M68" s="295">
        <x:f>K68-L68</x:f>
        <x:v>0</x:v>
      </x:c>
      <x:c r="N68" s="294">
        <x:f>'Reversion Pagos R4'!P211</x:f>
        <x:v>0</x:v>
      </x:c>
      <x:c r="O68" s="295">
        <x:f t="shared" si="26"/>
        <x:v>0</x:v>
      </x:c>
      <x:c r="Q68" s="306"/>
      <x:c r="S68" s="314">
        <x:v>3</x:v>
      </x:c>
      <x:c r="T68" s="315" t="s">
        <x:v>12</x:v>
      </x:c>
      <x:c r="U68" s="316">
        <x:f>'Reversion Pagos R4'!J211</x:f>
        <x:v>0</x:v>
      </x:c>
      <x:c r="V68" s="317">
        <x:f>'Reversion Pagos R4'!K211</x:f>
        <x:v>0</x:v>
      </x:c>
      <x:c r="W68" s="317">
        <x:f>'Reversion Pagos R4'!L211</x:f>
        <x:v>0</x:v>
      </x:c>
      <x:c r="X68" s="317">
        <x:f>'Reversion Pagos R4'!M211</x:f>
        <x:v>0</x:v>
      </x:c>
      <x:c r="Y68" s="318">
        <x:f>'Reversion Pagos R4'!N211</x:f>
        <x:v>0</x:v>
      </x:c>
      <x:c r="Z68" s="319">
        <x:f t="shared" si="27"/>
        <x:v>0</x:v>
      </x:c>
      <x:c r="AA68" s="320">
        <x:f>'Reversion Pagos R4'!O211</x:f>
        <x:v>0</x:v>
      </x:c>
      <x:c r="AB68" s="294">
        <x:f t="shared" si="28"/>
        <x:v>0</x:v>
      </x:c>
      <x:c r="AC68" s="320">
        <x:f>+'Reversion Pagos R4'!Q211+'Reversion Pagos R4'!R211</x:f>
        <x:v>0</x:v>
      </x:c>
      <x:c r="AD68" s="291">
        <x:f t="shared" ref="AD68:AD69" si="30">-J68+AE68</x:f>
        <x:v>0</x:v>
      </x:c>
      <x:c r="AE68" s="291">
        <x:f>'Reversion Pagos R4'!D212</x:f>
        <x:v>0</x:v>
      </x:c>
      <x:c r="AF68" s="322">
        <x:f t="shared" ref="AF68:AF70" si="31">SUM(U68:AD68)</x:f>
        <x:v>0</x:v>
      </x:c>
      <x:c r="AG68" s="522">
        <x:f t="shared" ref="AG68:AG70" si="32">(AF68-O68)</x:f>
        <x:v>0</x:v>
      </x:c>
      <x:c r="AH68" s="305" t="b">
        <x:f t="shared" si="29"/>
        <x:v>1</x:v>
      </x:c>
      <x:c r="AI68" s="306"/>
    </x:row>
    <x:row r="69" spans="1:35" s="305" customFormat="1" x14ac:dyDescent="0.3">
      <x:c r="B69" s="314">
        <x:v>4</x:v>
      </x:c>
      <x:c r="C69" s="315" t="s">
        <x:v>13</x:v>
      </x:c>
      <x:c r="D69" s="291">
        <x:f>'Reversion Pagos R4'!D326</x:f>
        <x:v>0</x:v>
      </x:c>
      <x:c r="E69" s="292">
        <x:f>'Reversion Pagos R4'!E326</x:f>
        <x:v>0</x:v>
      </x:c>
      <x:c r="F69" s="292">
        <x:f>'Reversion Pagos R4'!F326</x:f>
        <x:v>0</x:v>
      </x:c>
      <x:c r="G69" s="292">
        <x:f>'Reversion Pagos R4'!G326</x:f>
        <x:v>0</x:v>
      </x:c>
      <x:c r="H69" s="292">
        <x:f>'Reversion Pagos R4'!H326</x:f>
        <x:v>0</x:v>
      </x:c>
      <x:c r="I69" s="292">
        <x:f>'Reversion Pagos R4'!I326</x:f>
        <x:v>0</x:v>
      </x:c>
      <x:c r="J69" s="288">
        <x:v>0</x:v>
      </x:c>
      <x:c r="K69" s="295">
        <x:f t="shared" si="25"/>
        <x:v>0</x:v>
      </x:c>
      <x:c r="L69" s="294">
        <x:v>0</x:v>
      </x:c>
      <x:c r="M69" s="295">
        <x:f>K69-L69</x:f>
        <x:v>0</x:v>
      </x:c>
      <x:c r="N69" s="294">
        <x:f>'Reversion Pagos R4'!P326</x:f>
        <x:v>0</x:v>
      </x:c>
      <x:c r="O69" s="295">
        <x:f t="shared" si="26"/>
        <x:v>0</x:v>
      </x:c>
      <x:c r="Q69" s="306"/>
      <x:c r="S69" s="314">
        <x:v>4</x:v>
      </x:c>
      <x:c r="T69" s="315" t="s">
        <x:v>13</x:v>
      </x:c>
      <x:c r="U69" s="316">
        <x:f>'Reversion Pagos R4'!J326</x:f>
        <x:v>0</x:v>
      </x:c>
      <x:c r="V69" s="317">
        <x:f>'Reversion Pagos R4'!K326</x:f>
        <x:v>0</x:v>
      </x:c>
      <x:c r="W69" s="317">
        <x:f>'Reversion Pagos R4'!L326</x:f>
        <x:v>0</x:v>
      </x:c>
      <x:c r="X69" s="317">
        <x:f>'Reversion Pagos R4'!M326</x:f>
        <x:v>0</x:v>
      </x:c>
      <x:c r="Y69" s="318">
        <x:f>'Reversion Pagos R4'!N326</x:f>
        <x:v>0</x:v>
      </x:c>
      <x:c r="Z69" s="319">
        <x:f t="shared" si="27"/>
        <x:v>0</x:v>
      </x:c>
      <x:c r="AA69" s="320">
        <x:f>'Reversion Pagos R4'!O326</x:f>
        <x:v>0</x:v>
      </x:c>
      <x:c r="AB69" s="294">
        <x:f t="shared" si="28"/>
        <x:v>0</x:v>
      </x:c>
      <x:c r="AC69" s="320">
        <x:f>+'Reversion Pagos R4'!Q326+'Reversion Pagos R4'!R326</x:f>
        <x:v>0</x:v>
      </x:c>
      <x:c r="AD69" s="291">
        <x:f t="shared" si="30"/>
        <x:v>0</x:v>
      </x:c>
      <x:c r="AE69" s="291">
        <x:f>'Reversion Pagos R4'!D327</x:f>
        <x:v>0</x:v>
      </x:c>
      <x:c r="AF69" s="322">
        <x:f>SUM(U69:AD69)</x:f>
        <x:v>0</x:v>
      </x:c>
      <x:c r="AG69" s="522">
        <x:f>(AF69-O69)</x:f>
        <x:v>0</x:v>
      </x:c>
      <x:c r="AH69" s="305" t="b">
        <x:f t="shared" si="29"/>
        <x:v>1</x:v>
      </x:c>
      <x:c r="AI69" s="306"/>
    </x:row>
    <x:row r="70" spans="1:35" s="305" customFormat="1" ht="12" thickBot="1" x14ac:dyDescent="0.35">
      <x:c r="B70" s="324">
        <x:v>5</x:v>
      </x:c>
      <x:c r="C70" s="325" t="s">
        <x:v>14</x:v>
      </x:c>
      <x:c r="D70" s="296">
        <x:f>'Reversion Pagos R4'!D361</x:f>
        <x:v>0</x:v>
      </x:c>
      <x:c r="E70" s="297">
        <x:f>'Reversion Pagos R4'!E361</x:f>
        <x:v>0</x:v>
      </x:c>
      <x:c r="F70" s="297">
        <x:f>'Reversion Pagos R4'!F361</x:f>
        <x:v>0</x:v>
      </x:c>
      <x:c r="G70" s="297">
        <x:f>'Reversion Pagos R4'!G361</x:f>
        <x:v>0</x:v>
      </x:c>
      <x:c r="H70" s="297">
        <x:f>'Reversion Pagos R4'!H361</x:f>
        <x:v>0</x:v>
      </x:c>
      <x:c r="I70" s="297">
        <x:f>'Reversion Pagos R4'!I361</x:f>
        <x:v>0</x:v>
      </x:c>
      <x:c r="J70" s="289">
        <x:v>0</x:v>
      </x:c>
      <x:c r="K70" s="295">
        <x:f t="shared" si="25"/>
        <x:v>0</x:v>
      </x:c>
      <x:c r="L70" s="294">
        <x:v>0</x:v>
      </x:c>
      <x:c r="M70" s="298">
        <x:f>K70-L70</x:f>
        <x:v>0</x:v>
      </x:c>
      <x:c r="N70" s="294">
        <x:f>'Reversion Pagos R4'!P361</x:f>
        <x:v>0</x:v>
      </x:c>
      <x:c r="O70" s="298">
        <x:f t="shared" si="26"/>
        <x:v>0</x:v>
      </x:c>
      <x:c r="Q70" s="306"/>
      <x:c r="S70" s="324">
        <x:v>5</x:v>
      </x:c>
      <x:c r="T70" s="325" t="s">
        <x:v>14</x:v>
      </x:c>
      <x:c r="U70" s="296">
        <x:f>'Reversion Pagos R4'!J361</x:f>
        <x:v>0</x:v>
      </x:c>
      <x:c r="V70" s="297">
        <x:f>'Reversion Pagos R4'!K361</x:f>
        <x:v>0</x:v>
      </x:c>
      <x:c r="W70" s="297">
        <x:f>'Reversion Pagos R4'!L361</x:f>
        <x:v>0</x:v>
      </x:c>
      <x:c r="X70" s="297">
        <x:f>'Reversion Pagos R4'!M361</x:f>
        <x:v>0</x:v>
      </x:c>
      <x:c r="Y70" s="289">
        <x:f>'Reversion Pagos R4'!N361</x:f>
        <x:v>0</x:v>
      </x:c>
      <x:c r="Z70" s="319">
        <x:f t="shared" si="27"/>
        <x:v>0</x:v>
      </x:c>
      <x:c r="AA70" s="320">
        <x:f>'Reversion Pagos R4'!O361</x:f>
        <x:v>0</x:v>
      </x:c>
      <x:c r="AB70" s="294">
        <x:f t="shared" si="28"/>
        <x:v>0</x:v>
      </x:c>
      <x:c r="AC70" s="320">
        <x:f>+'Reversion Pagos R4'!Q361+'Reversion Pagos R4'!R361</x:f>
        <x:v>0</x:v>
      </x:c>
      <x:c r="AD70" s="291">
        <x:f>-J70+AE70</x:f>
        <x:v>0</x:v>
      </x:c>
      <x:c r="AE70" s="291">
        <x:f>'Reversion Pagos R4'!D362</x:f>
        <x:v>0</x:v>
      </x:c>
      <x:c r="AF70" s="322">
        <x:f t="shared" si="31"/>
        <x:v>0</x:v>
      </x:c>
      <x:c r="AG70" s="523">
        <x:f t="shared" si="32"/>
        <x:v>0</x:v>
      </x:c>
      <x:c r="AH70" s="305" t="b">
        <x:f t="shared" si="29"/>
        <x:v>1</x:v>
      </x:c>
      <x:c r="AI70" s="306"/>
    </x:row>
    <x:row r="71" spans="1:35" s="305" customFormat="1" ht="12.9" thickBot="1" x14ac:dyDescent="0.35">
      <x:c r="B71" s="327"/>
      <x:c r="C71" s="328" t="s">
        <x:v>2</x:v>
      </x:c>
      <x:c r="D71" s="290">
        <x:f t="shared" ref="D71:O71" si="33">SUM(D66:D70)</x:f>
        <x:v>0</x:v>
      </x:c>
      <x:c r="E71" s="290">
        <x:f t="shared" si="33"/>
        <x:v>0</x:v>
      </x:c>
      <x:c r="F71" s="290">
        <x:f t="shared" si="33"/>
        <x:v>0</x:v>
      </x:c>
      <x:c r="G71" s="290">
        <x:f t="shared" ref="G71" si="34">SUM(G66:G70)</x:f>
        <x:v>0</x:v>
      </x:c>
      <x:c r="H71" s="290">
        <x:f t="shared" si="33"/>
        <x:v>0</x:v>
      </x:c>
      <x:c r="I71" s="290">
        <x:f t="shared" si="33"/>
        <x:v>0</x:v>
      </x:c>
      <x:c r="J71" s="290">
        <x:f t="shared" si="33"/>
        <x:v>0</x:v>
      </x:c>
      <x:c r="K71" s="300">
        <x:f t="shared" si="33"/>
        <x:v>0</x:v>
      </x:c>
      <x:c r="L71" s="301">
        <x:f t="shared" si="33"/>
        <x:v>0</x:v>
      </x:c>
      <x:c r="M71" s="302">
        <x:f t="shared" si="33"/>
        <x:v>0</x:v>
      </x:c>
      <x:c r="N71" s="301">
        <x:f t="shared" si="33"/>
        <x:v>0</x:v>
      </x:c>
      <x:c r="O71" s="302">
        <x:f t="shared" si="33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F71" si="35">SUM(V66:V70)</x:f>
        <x:v>0</x:v>
      </x:c>
      <x:c r="W71" s="330">
        <x:f t="shared" si="35"/>
        <x:v>0</x:v>
      </x:c>
      <x:c r="X71" s="330">
        <x:f t="shared" si="35"/>
        <x:v>0</x:v>
      </x:c>
      <x:c r="Y71" s="330">
        <x:f t="shared" si="35"/>
        <x:v>0</x:v>
      </x:c>
      <x:c r="Z71" s="290">
        <x:f t="shared" si="35"/>
        <x:v>0</x:v>
      </x:c>
      <x:c r="AA71" s="290">
        <x:f>SUM(AA66:AA70)</x:f>
        <x:v>0</x:v>
      </x:c>
      <x:c r="AB71" s="290">
        <x:f t="shared" si="35"/>
        <x:v>0</x:v>
      </x:c>
      <x:c r="AC71" s="290">
        <x:f t="shared" ref="AC71" si="36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5"/>
        <x:v>0</x:v>
      </x:c>
      <x:c r="AG71" s="524">
        <x:f t="shared" ref="AG71" si="37">SUM(AG66:AG70)</x:f>
        <x:v>0</x:v>
      </x:c>
      <x:c r="AH71" s="305" t="b">
        <x:f>INT(AG71)=0</x:f>
        <x:v>1</x:v>
      </x:c>
      <x:c r="AI71" s="306"/>
    </x:row>
    <x:row r="72" spans="1:35" ht="12" thickBot="1" x14ac:dyDescent="0.3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" thickBot="1" x14ac:dyDescent="0.3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" thickBot="1" x14ac:dyDescent="0.3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3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3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274"/>
      <x:c r="AH76" s="4"/>
      <x:c r="AI76" s="4"/>
    </x:row>
    <x:row r="77" spans="1:35" ht="12" thickBot="1" x14ac:dyDescent="0.35">
      <x:c r="Q77" s="4"/>
      <x:c r="AI77" s="4"/>
    </x:row>
    <x:row r="78" spans="1:35" x14ac:dyDescent="0.3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72"/>
      <x:c r="AI78" s="4"/>
    </x:row>
    <x:row r="79" spans="1:35" ht="14.15" x14ac:dyDescent="0.3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2026101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2026101</x:v>
      </x:c>
      <x:c r="AE79" s="84"/>
      <x:c r="AF79" s="48"/>
      <x:c r="AG79" s="272"/>
      <x:c r="AI79" s="4"/>
    </x:row>
    <x:row r="80" spans="1:35" ht="15.45" x14ac:dyDescent="0.4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72"/>
      <x:c r="AI80" s="4"/>
    </x:row>
    <x:row r="81" spans="1:35" ht="14.15" x14ac:dyDescent="0.3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72"/>
      <x:c r="AI81" s="4"/>
    </x:row>
    <x:row r="82" spans="1:35" ht="15.45" x14ac:dyDescent="0.4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tr">
        <x:f>F82</x:f>
        <x:v>R5 - REMUNERACIÓN SALDOS A FAVOR POR NOTA</x:v>
      </x:c>
      <x:c r="V82" s="2"/>
      <x:c r="X82" s="2"/>
      <x:c r="Y82" s="2"/>
      <x:c r="AF82" s="48"/>
      <x:c r="AG82" s="272"/>
      <x:c r="AI82" s="4"/>
    </x:row>
    <x:row r="83" spans="1:35" ht="12" thickBot="1" x14ac:dyDescent="0.3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72"/>
      <x:c r="AI83" s="4"/>
    </x:row>
    <x:row r="84" spans="1:35" ht="72" customHeight="1" thickBot="1" x14ac:dyDescent="0.3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06" t="s">
        <x:v>7</x:v>
      </x:c>
      <x:c r="AC84" s="65" t="s">
        <x:v>168</x:v>
      </x:c>
      <x:c r="AD84" s="573" t="s">
        <x:v>105</x:v>
      </x:c>
      <x:c r="AE84" s="121" t="s">
        <x:v>104</x:v>
      </x:c>
      <x:c r="AF84" s="39" t="s">
        <x:v>23</x:v>
      </x:c>
      <x:c r="AG84" s="273"/>
      <x:c r="AI84" s="4"/>
    </x:row>
    <x:row r="85" spans="1:35" s="305" customFormat="1" x14ac:dyDescent="0.3">
      <x:c r="B85" s="303">
        <x:v>1</x:v>
      </x:c>
      <x:c r="C85" s="304" t="s">
        <x:v>10</x:v>
      </x:c>
      <x:c r="D85" s="291">
        <x:f>'AJUSTES - SF-T'!D47</x:f>
        <x:v>0</x:v>
      </x:c>
      <x:c r="E85" s="292">
        <x:f>'AJUSTES - SF-T'!E47</x:f>
        <x:v>0</x:v>
      </x:c>
      <x:c r="F85" s="292">
        <x:f>'AJUSTES - SF-T'!F47</x:f>
        <x:v>0</x:v>
      </x:c>
      <x:c r="G85" s="292">
        <x:f>'AJUSTES - SF-T'!G47</x:f>
        <x:v>0</x:v>
      </x:c>
      <x:c r="H85" s="292">
        <x:f>'AJUSTES - SF-T'!H47</x:f>
        <x:v>0</x:v>
      </x:c>
      <x:c r="I85" s="292">
        <x:f>'AJUSTES - SF-T'!I47</x:f>
        <x:v>0</x:v>
      </x:c>
      <x:c r="J85" s="288">
        <x:f>'AJUSTES - SF-T'!J47</x:f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f>'AJUSTES - SF-T'!N47</x:f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f>'AJUSTES - SF-T'!U47</x:f>
        <x:v>0</x:v>
      </x:c>
      <x:c r="V85" s="308">
        <x:f>'AJUSTES - SF-T'!V47</x:f>
        <x:v>0</x:v>
      </x:c>
      <x:c r="W85" s="308">
        <x:f>'AJUSTES - SF-T'!W47</x:f>
        <x:v>0</x:v>
      </x:c>
      <x:c r="X85" s="308">
        <x:f>'AJUSTES - SF-T'!X47</x:f>
        <x:v>0</x:v>
      </x:c>
      <x:c r="Y85" s="309">
        <x:f>'AJUSTES - SF-T'!Y47</x:f>
        <x:v>0</x:v>
      </x:c>
      <x:c r="Z85" s="310">
        <x:f>-L85</x:f>
        <x:v>0</x:v>
      </x:c>
      <x:c r="AA85" s="311">
        <x:f>'AJUSTES - SF-T'!AA47</x:f>
        <x:v>0</x:v>
      </x:c>
      <x:c r="AB85" s="294">
        <x:f>N85</x:f>
        <x:v>0</x:v>
      </x:c>
      <x:c r="AC85" s="311">
        <x:v>0</x:v>
      </x:c>
      <x:c r="AD85" s="604">
        <x:f>-J85+AE85</x:f>
        <x:v>0</x:v>
      </x:c>
      <x:c r="AE85" s="291">
        <x:f>'AJUSTES - SF-T'!AD47</x:f>
        <x:v>0</x:v>
      </x:c>
      <x:c r="AF85" s="313">
        <x:f>SUM(U85:AD85)</x:f>
        <x:v>0</x:v>
      </x:c>
      <x:c r="AG85" s="521">
        <x:f>AF85-O85</x:f>
        <x:v>0</x:v>
      </x:c>
      <x:c r="AH85" s="305" t="b">
        <x:f>INT(AG85)=0</x:f>
        <x:v>1</x:v>
      </x:c>
      <x:c r="AI85" s="306"/>
    </x:row>
    <x:row r="86" spans="1:35" s="305" customFormat="1" x14ac:dyDescent="0.3">
      <x:c r="B86" s="314">
        <x:v>2</x:v>
      </x:c>
      <x:c r="C86" s="315" t="s">
        <x:v>11</x:v>
      </x:c>
      <x:c r="D86" s="291">
        <x:f>'AJUSTES - SF-T'!D48</x:f>
        <x:v>0</x:v>
      </x:c>
      <x:c r="E86" s="292">
        <x:f>'AJUSTES - SF-T'!E48</x:f>
        <x:v>0</x:v>
      </x:c>
      <x:c r="F86" s="292">
        <x:f>'AJUSTES - SF-T'!F48</x:f>
        <x:v>0</x:v>
      </x:c>
      <x:c r="G86" s="292">
        <x:f>'AJUSTES - SF-T'!G48</x:f>
        <x:v>0</x:v>
      </x:c>
      <x:c r="H86" s="292">
        <x:f>'AJUSTES - SF-T'!H48</x:f>
        <x:v>0</x:v>
      </x:c>
      <x:c r="I86" s="292">
        <x:f>'AJUSTES - SF-T'!I48</x:f>
        <x:v>0</x:v>
      </x:c>
      <x:c r="J86" s="288">
        <x:f>'AJUSTES - SF-T'!J48</x:f>
        <x:v>0</x:v>
      </x:c>
      <x:c r="K86" s="295">
        <x:f t="shared" ref="K86:K89" si="38">D86-E86-F86-G86-H86-I86-J86</x:f>
        <x:v>0</x:v>
      </x:c>
      <x:c r="L86" s="294">
        <x:v>0</x:v>
      </x:c>
      <x:c r="M86" s="295">
        <x:f>K86-L86</x:f>
        <x:v>0</x:v>
      </x:c>
      <x:c r="N86" s="294">
        <x:f>'AJUSTES - SF-T'!N48</x:f>
        <x:v>0</x:v>
      </x:c>
      <x:c r="O86" s="295">
        <x:f t="shared" ref="O86:O89" si="39">M86+N86</x:f>
        <x:v>0</x:v>
      </x:c>
      <x:c r="Q86" s="306"/>
      <x:c r="S86" s="314">
        <x:v>2</x:v>
      </x:c>
      <x:c r="T86" s="315" t="s">
        <x:v>11</x:v>
      </x:c>
      <x:c r="U86" s="316">
        <x:f>'AJUSTES - SF-T'!U48</x:f>
        <x:v>0</x:v>
      </x:c>
      <x:c r="V86" s="317">
        <x:f>'AJUSTES - SF-T'!V48</x:f>
        <x:v>0</x:v>
      </x:c>
      <x:c r="W86" s="317">
        <x:f>'AJUSTES - SF-T'!W48</x:f>
        <x:v>0</x:v>
      </x:c>
      <x:c r="X86" s="317">
        <x:f>'AJUSTES - SF-T'!X48</x:f>
        <x:v>0</x:v>
      </x:c>
      <x:c r="Y86" s="318">
        <x:f>'AJUSTES - SF-T'!Y48</x:f>
        <x:v>0</x:v>
      </x:c>
      <x:c r="Z86" s="319">
        <x:f>-L86</x:f>
        <x:v>0</x:v>
      </x:c>
      <x:c r="AA86" s="320">
        <x:f>'AJUSTES - SF-T'!AA48</x:f>
        <x:v>0</x:v>
      </x:c>
      <x:c r="AB86" s="294">
        <x:f>N86</x:f>
        <x:v>0</x:v>
      </x:c>
      <x:c r="AC86" s="605">
        <x:v>0</x:v>
      </x:c>
      <x:c r="AD86" s="604">
        <x:f t="shared" ref="AD86:AD89" si="40">-J86+AE86</x:f>
        <x:v>0</x:v>
      </x:c>
      <x:c r="AE86" s="291">
        <x:f>'AJUSTES - SF-T'!AD48</x:f>
        <x:v>0</x:v>
      </x:c>
      <x:c r="AF86" s="322">
        <x:f>SUM(U86:AD86)</x:f>
        <x:v>0</x:v>
      </x:c>
      <x:c r="AG86" s="522">
        <x:f>AF86-O86</x:f>
        <x:v>0</x:v>
      </x:c>
      <x:c r="AH86" s="305" t="b">
        <x:f t="shared" ref="AH86:AH89" si="41">INT(AG86)=0</x:f>
        <x:v>1</x:v>
      </x:c>
      <x:c r="AI86" s="306"/>
    </x:row>
    <x:row r="87" spans="1:35" s="305" customFormat="1" x14ac:dyDescent="0.3">
      <x:c r="B87" s="314">
        <x:v>3</x:v>
      </x:c>
      <x:c r="C87" s="315" t="s">
        <x:v>12</x:v>
      </x:c>
      <x:c r="D87" s="291">
        <x:f>'AJUSTES - SF-T'!D49</x:f>
        <x:v>0</x:v>
      </x:c>
      <x:c r="E87" s="292">
        <x:f>'AJUSTES - SF-T'!E49</x:f>
        <x:v>0</x:v>
      </x:c>
      <x:c r="F87" s="292">
        <x:f>'AJUSTES - SF-T'!F49</x:f>
        <x:v>0</x:v>
      </x:c>
      <x:c r="G87" s="292">
        <x:f>'AJUSTES - SF-T'!G49</x:f>
        <x:v>0</x:v>
      </x:c>
      <x:c r="H87" s="292">
        <x:f>'AJUSTES - SF-T'!H49</x:f>
        <x:v>0</x:v>
      </x:c>
      <x:c r="I87" s="292">
        <x:f>'AJUSTES - SF-T'!I49</x:f>
        <x:v>0</x:v>
      </x:c>
      <x:c r="J87" s="288">
        <x:f>'AJUSTES - SF-T'!J49</x:f>
        <x:v>0</x:v>
      </x:c>
      <x:c r="K87" s="295">
        <x:f t="shared" si="38"/>
        <x:v>0</x:v>
      </x:c>
      <x:c r="L87" s="294">
        <x:v>0</x:v>
      </x:c>
      <x:c r="M87" s="295">
        <x:f>K87-L87</x:f>
        <x:v>0</x:v>
      </x:c>
      <x:c r="N87" s="294">
        <x:f>'AJUSTES - SF-T'!N49</x:f>
        <x:v>0</x:v>
      </x:c>
      <x:c r="O87" s="295">
        <x:f t="shared" si="39"/>
        <x:v>0</x:v>
      </x:c>
      <x:c r="Q87" s="306"/>
      <x:c r="S87" s="314">
        <x:v>3</x:v>
      </x:c>
      <x:c r="T87" s="315" t="s">
        <x:v>12</x:v>
      </x:c>
      <x:c r="U87" s="316">
        <x:f>'AJUSTES - SF-T'!U49</x:f>
        <x:v>0</x:v>
      </x:c>
      <x:c r="V87" s="317">
        <x:f>'AJUSTES - SF-T'!V49</x:f>
        <x:v>0</x:v>
      </x:c>
      <x:c r="W87" s="317">
        <x:f>'AJUSTES - SF-T'!W49</x:f>
        <x:v>0</x:v>
      </x:c>
      <x:c r="X87" s="317">
        <x:f>'AJUSTES - SF-T'!X49</x:f>
        <x:v>0</x:v>
      </x:c>
      <x:c r="Y87" s="318">
        <x:f>'AJUSTES - SF-T'!Y49</x:f>
        <x:v>0</x:v>
      </x:c>
      <x:c r="Z87" s="319">
        <x:f>-L87</x:f>
        <x:v>0</x:v>
      </x:c>
      <x:c r="AA87" s="320">
        <x:f>'AJUSTES - SF-T'!AA49</x:f>
        <x:v>0</x:v>
      </x:c>
      <x:c r="AB87" s="294">
        <x:f>N87</x:f>
        <x:v>0</x:v>
      </x:c>
      <x:c r="AC87" s="323">
        <x:v>0</x:v>
      </x:c>
      <x:c r="AD87" s="604">
        <x:f t="shared" si="40"/>
        <x:v>0</x:v>
      </x:c>
      <x:c r="AE87" s="291">
        <x:f>'AJUSTES - SF-T'!AD49</x:f>
        <x:v>0</x:v>
      </x:c>
      <x:c r="AF87" s="322">
        <x:f t="shared" ref="AF87:AF89" si="42">SUM(U87:AD87)</x:f>
        <x:v>0</x:v>
      </x:c>
      <x:c r="AG87" s="522">
        <x:f>AF87-O87</x:f>
        <x:v>0</x:v>
      </x:c>
      <x:c r="AH87" s="305" t="b">
        <x:f t="shared" si="41"/>
        <x:v>1</x:v>
      </x:c>
      <x:c r="AI87" s="306"/>
    </x:row>
    <x:row r="88" spans="1:35" s="305" customFormat="1" x14ac:dyDescent="0.3">
      <x:c r="B88" s="314">
        <x:v>4</x:v>
      </x:c>
      <x:c r="C88" s="315" t="s">
        <x:v>13</x:v>
      </x:c>
      <x:c r="D88" s="291">
        <x:f>'AJUSTES - SF-T'!D50</x:f>
        <x:v>0</x:v>
      </x:c>
      <x:c r="E88" s="292">
        <x:f>'AJUSTES - SF-T'!E50</x:f>
        <x:v>0</x:v>
      </x:c>
      <x:c r="F88" s="292">
        <x:f>'AJUSTES - SF-T'!F50</x:f>
        <x:v>0</x:v>
      </x:c>
      <x:c r="G88" s="292">
        <x:f>'AJUSTES - SF-T'!G50</x:f>
        <x:v>0</x:v>
      </x:c>
      <x:c r="H88" s="292">
        <x:f>'AJUSTES - SF-T'!H50</x:f>
        <x:v>0</x:v>
      </x:c>
      <x:c r="I88" s="292">
        <x:f>'AJUSTES - SF-T'!I50</x:f>
        <x:v>0</x:v>
      </x:c>
      <x:c r="J88" s="288">
        <x:f>'AJUSTES - SF-T'!J50</x:f>
        <x:v>0</x:v>
      </x:c>
      <x:c r="K88" s="295">
        <x:f t="shared" si="38"/>
        <x:v>0</x:v>
      </x:c>
      <x:c r="L88" s="294">
        <x:v>0</x:v>
      </x:c>
      <x:c r="M88" s="295">
        <x:f>K88-L88</x:f>
        <x:v>0</x:v>
      </x:c>
      <x:c r="N88" s="294">
        <x:f>'AJUSTES - SF-T'!N50</x:f>
        <x:v>0</x:v>
      </x:c>
      <x:c r="O88" s="295">
        <x:f t="shared" si="39"/>
        <x:v>0</x:v>
      </x:c>
      <x:c r="Q88" s="306"/>
      <x:c r="S88" s="314">
        <x:v>4</x:v>
      </x:c>
      <x:c r="T88" s="315" t="s">
        <x:v>13</x:v>
      </x:c>
      <x:c r="U88" s="316">
        <x:f>'AJUSTES - SF-T'!U50</x:f>
        <x:v>0</x:v>
      </x:c>
      <x:c r="V88" s="317">
        <x:f>'AJUSTES - SF-T'!V50</x:f>
        <x:v>0</x:v>
      </x:c>
      <x:c r="W88" s="317">
        <x:f>'AJUSTES - SF-T'!W50</x:f>
        <x:v>0</x:v>
      </x:c>
      <x:c r="X88" s="317">
        <x:f>'AJUSTES - SF-T'!X50</x:f>
        <x:v>0</x:v>
      </x:c>
      <x:c r="Y88" s="318">
        <x:f>'AJUSTES - SF-T'!Y50</x:f>
        <x:v>0</x:v>
      </x:c>
      <x:c r="Z88" s="319">
        <x:f>-L88</x:f>
        <x:v>0</x:v>
      </x:c>
      <x:c r="AA88" s="320">
        <x:f>'AJUSTES - SF-T'!AA50</x:f>
        <x:v>0</x:v>
      </x:c>
      <x:c r="AB88" s="294">
        <x:f>N88</x:f>
        <x:v>0</x:v>
      </x:c>
      <x:c r="AC88" s="320">
        <x:v>0</x:v>
      </x:c>
      <x:c r="AD88" s="604">
        <x:f t="shared" si="40"/>
        <x:v>0</x:v>
      </x:c>
      <x:c r="AE88" s="291">
        <x:f>'AJUSTES - SF-T'!AD50</x:f>
        <x:v>0</x:v>
      </x:c>
      <x:c r="AF88" s="322">
        <x:f t="shared" si="42"/>
        <x:v>0</x:v>
      </x:c>
      <x:c r="AG88" s="522">
        <x:f>AF88-O88</x:f>
        <x:v>0</x:v>
      </x:c>
      <x:c r="AH88" s="305" t="b">
        <x:f t="shared" si="41"/>
        <x:v>1</x:v>
      </x:c>
      <x:c r="AI88" s="306"/>
    </x:row>
    <x:row r="89" spans="1:35" s="305" customFormat="1" ht="12" thickBot="1" x14ac:dyDescent="0.35">
      <x:c r="B89" s="324">
        <x:v>5</x:v>
      </x:c>
      <x:c r="C89" s="325" t="s">
        <x:v>14</x:v>
      </x:c>
      <x:c r="D89" s="291">
        <x:f>'AJUSTES - SF-T'!D51</x:f>
        <x:v>0</x:v>
      </x:c>
      <x:c r="E89" s="292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89">
        <x:f>'AJUSTES - SF-T'!J51</x:f>
        <x:v>0</x:v>
      </x:c>
      <x:c r="K89" s="295">
        <x:f t="shared" si="38"/>
        <x:v>0</x:v>
      </x:c>
      <x:c r="L89" s="294">
        <x:v>0</x:v>
      </x:c>
      <x:c r="M89" s="298">
        <x:f>K89-L89</x:f>
        <x:v>0</x:v>
      </x:c>
      <x:c r="N89" s="299">
        <x:f>'AJUSTES - SF-T'!N51</x:f>
        <x:v>0</x:v>
      </x:c>
      <x:c r="O89" s="298">
        <x:f t="shared" si="39"/>
        <x:v>0</x:v>
      </x:c>
      <x:c r="Q89" s="306"/>
      <x:c r="S89" s="324">
        <x:v>5</x:v>
      </x:c>
      <x:c r="T89" s="325" t="s">
        <x:v>14</x:v>
      </x:c>
      <x:c r="U89" s="296">
        <x:f>'AJUSTES - SF-T'!U51</x:f>
        <x:v>0</x:v>
      </x:c>
      <x:c r="V89" s="297">
        <x:f>'AJUSTES - SF-T'!V51</x:f>
        <x:v>0</x:v>
      </x:c>
      <x:c r="W89" s="297">
        <x:f>'AJUSTES - SF-T'!W51</x:f>
        <x:v>0</x:v>
      </x:c>
      <x:c r="X89" s="297">
        <x:f>'AJUSTES - SF-T'!X51</x:f>
        <x:v>0</x:v>
      </x:c>
      <x:c r="Y89" s="289">
        <x:f>'AJUSTES - SF-T'!Y51</x:f>
        <x:v>0</x:v>
      </x:c>
      <x:c r="Z89" s="319">
        <x:f>-L89</x:f>
        <x:v>0</x:v>
      </x:c>
      <x:c r="AA89" s="320">
        <x:f>'AJUSTES - SF-T'!AA51</x:f>
        <x:v>0</x:v>
      </x:c>
      <x:c r="AB89" s="294">
        <x:f>N89</x:f>
        <x:v>0</x:v>
      </x:c>
      <x:c r="AC89" s="323">
        <x:v>0</x:v>
      </x:c>
      <x:c r="AD89" s="604">
        <x:f t="shared" si="40"/>
        <x:v>0</x:v>
      </x:c>
      <x:c r="AE89" s="291">
        <x:f>'AJUSTES - SF-T'!AD51</x:f>
        <x:v>0</x:v>
      </x:c>
      <x:c r="AF89" s="322">
        <x:f t="shared" si="42"/>
        <x:v>0</x:v>
      </x:c>
      <x:c r="AG89" s="523">
        <x:f>AF89-O89</x:f>
        <x:v>0</x:v>
      </x:c>
      <x:c r="AH89" s="305" t="b">
        <x:f t="shared" si="41"/>
        <x:v>1</x:v>
      </x:c>
      <x:c r="AI89" s="306"/>
    </x:row>
    <x:row r="90" spans="1:35" s="305" customFormat="1" ht="12.9" thickBot="1" x14ac:dyDescent="0.35">
      <x:c r="B90" s="327"/>
      <x:c r="C90" s="328" t="s">
        <x:v>2</x:v>
      </x:c>
      <x:c r="D90" s="290">
        <x:f>SUM(D85:D89)</x:f>
        <x:v>0</x:v>
      </x:c>
      <x:c r="E90" s="290">
        <x:f t="shared" ref="E90:O90" si="43">SUM(E85:E89)</x:f>
        <x:v>0</x:v>
      </x:c>
      <x:c r="F90" s="290">
        <x:f t="shared" si="43"/>
        <x:v>0</x:v>
      </x:c>
      <x:c r="G90" s="290">
        <x:f t="shared" ref="G90" si="44">SUM(G85:G89)</x:f>
        <x:v>0</x:v>
      </x:c>
      <x:c r="H90" s="290">
        <x:f t="shared" si="43"/>
        <x:v>0</x:v>
      </x:c>
      <x:c r="I90" s="290">
        <x:f t="shared" si="43"/>
        <x:v>0</x:v>
      </x:c>
      <x:c r="J90" s="290">
        <x:f t="shared" si="43"/>
        <x:v>0</x:v>
      </x:c>
      <x:c r="K90" s="300">
        <x:f t="shared" si="43"/>
        <x:v>0</x:v>
      </x:c>
      <x:c r="L90" s="301">
        <x:f t="shared" si="43"/>
        <x:v>0</x:v>
      </x:c>
      <x:c r="M90" s="302">
        <x:f t="shared" si="43"/>
        <x:v>0</x:v>
      </x:c>
      <x:c r="N90" s="301">
        <x:f t="shared" si="43"/>
        <x:v>0</x:v>
      </x:c>
      <x:c r="O90" s="302">
        <x:f t="shared" si="43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5">SUM(V85:V89)</x:f>
        <x:v>0</x:v>
      </x:c>
      <x:c r="W90" s="330">
        <x:f t="shared" si="45"/>
        <x:v>0</x:v>
      </x:c>
      <x:c r="X90" s="330">
        <x:f t="shared" si="45"/>
        <x:v>0</x:v>
      </x:c>
      <x:c r="Y90" s="330">
        <x:f t="shared" si="45"/>
        <x:v>0</x:v>
      </x:c>
      <x:c r="Z90" s="290">
        <x:f t="shared" si="45"/>
        <x:v>0</x:v>
      </x:c>
      <x:c r="AA90" s="290">
        <x:f t="shared" si="45"/>
        <x:v>0</x:v>
      </x:c>
      <x:c r="AB90" s="470">
        <x:f t="shared" si="45"/>
        <x:v>0</x:v>
      </x:c>
      <x:c r="AC90" s="290">
        <x:f t="shared" ref="AC90" si="46">SUM(AC85:AC89)</x:f>
        <x:v>0</x:v>
      </x:c>
      <x:c r="AD90" s="607">
        <x:f t="shared" si="45"/>
        <x:v>0</x:v>
      </x:c>
      <x:c r="AE90" s="290">
        <x:f t="shared" si="45"/>
        <x:v>0</x:v>
      </x:c>
      <x:c r="AF90" s="331">
        <x:f t="shared" si="45"/>
        <x:v>0</x:v>
      </x:c>
      <x:c r="AG90" s="524">
        <x:f t="shared" si="45"/>
        <x:v>0</x:v>
      </x:c>
      <x:c r="AH90" s="305" t="b">
        <x:f>INT(AG90)=0</x:f>
        <x:v>1</x:v>
      </x:c>
      <x:c r="AI90" s="306"/>
    </x:row>
    <x:row r="91" spans="1:35" ht="12" thickBot="1" x14ac:dyDescent="0.3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" thickBot="1" x14ac:dyDescent="0.35">
      <x:c r="B92" s="2" t="s">
        <x:v>1</x:v>
      </x:c>
      <x:c r="C92" s="2"/>
      <x:c r="D92" s="24"/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" thickBot="1" x14ac:dyDescent="0.3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3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3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274"/>
      <x:c r="AH95" s="4"/>
      <x:c r="AI95" s="4"/>
    </x:row>
    <x:row r="96" spans="1:35" ht="12" thickBot="1" x14ac:dyDescent="0.35">
      <x:c r="Q96" s="4"/>
      <x:c r="AI96" s="4"/>
    </x:row>
    <x:row r="97" spans="2:39" x14ac:dyDescent="0.3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72"/>
      <x:c r="AI97" s="4"/>
    </x:row>
    <x:row r="98" spans="2:39" ht="14.15" x14ac:dyDescent="0.3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2026101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2026101</x:v>
      </x:c>
      <x:c r="AE98" s="84"/>
      <x:c r="AF98" s="48"/>
      <x:c r="AG98" s="272"/>
      <x:c r="AI98" s="4"/>
    </x:row>
    <x:row r="99" spans="2:39" ht="15.45" x14ac:dyDescent="0.4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72"/>
      <x:c r="AI99" s="4"/>
    </x:row>
    <x:row r="100" spans="2:39" ht="14.15" x14ac:dyDescent="0.35">
      <x:c r="B100" s="8"/>
      <x:c r="F100" s="2" t="s">
        <x:v>30</x:v>
      </x:c>
      <x:c r="G100" s="2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72"/>
      <x:c r="AI100" s="4"/>
    </x:row>
    <x:row r="101" spans="2:39" ht="15.45" x14ac:dyDescent="0.4">
      <x:c r="B101" s="8"/>
      <x:c r="C101" s="598" t="s">
        <x:v>17</x:v>
      </x:c>
      <x:c r="D101" s="9">
        <x:f>D6</x:f>
        <x:v>46297</x:v>
      </x:c>
      <x:c r="F101" s="58" t="s">
        <x:v>212</x:v>
      </x:c>
      <x:c r="G101" s="58"/>
      <x:c r="H101" s="59"/>
      <x:c r="I101" s="60"/>
      <x:c r="J101" s="59"/>
      <x:c r="O101" s="10"/>
      <x:c r="P101" s="2"/>
      <x:c r="Q101" s="4"/>
      <x:c r="S101" s="8"/>
      <x:c r="T101" s="41" t="s">
        <x:v>1</x:v>
      </x:c>
      <x:c r="U101" s="58" t="s">
        <x:v>213</x:v>
      </x:c>
      <x:c r="V101" s="59"/>
      <x:c r="W101" s="60"/>
      <x:c r="X101" s="59"/>
      <x:c r="Y101" s="59"/>
      <x:c r="AF101" s="48"/>
      <x:c r="AG101" s="272"/>
      <x:c r="AI101" s="4"/>
    </x:row>
    <x:row r="102" spans="2:39" ht="18.45" thickBot="1" x14ac:dyDescent="0.6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72"/>
      <x:c r="AI102" s="4"/>
      <x:c r="AJ102" s="112" t="s">
        <x:v>1</x:v>
      </x:c>
    </x:row>
    <x:row r="103" spans="2:39" ht="72" customHeight="1" thickBot="1" x14ac:dyDescent="0.3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68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580" t="s">
        <x:v>40</x:v>
      </x:c>
      <x:c r="W103" s="580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273"/>
      <x:c r="AI103" s="4"/>
    </x:row>
    <x:row r="104" spans="2:39" s="305" customFormat="1" x14ac:dyDescent="0.3">
      <x:c r="B104" s="303">
        <x:v>1</x:v>
      </x:c>
      <x:c r="C104" s="304" t="s">
        <x:v>10</x:v>
      </x:c>
      <x:c r="D104" s="291">
        <x:f t="shared" ref="D104:F106" si="47">D9+D28+D47+D66+D85</x:f>
        <x:v>0</x:v>
      </x:c>
      <x:c r="E104" s="292">
        <x:f t="shared" si="47"/>
        <x:v>0</x:v>
      </x:c>
      <x:c r="F104" s="292">
        <x:f t="shared" si="47"/>
        <x:v>0</x:v>
      </x:c>
      <x:c r="G104" s="292">
        <x:f t="shared" ref="G104" si="48">G9+G28+G47+G66+G85</x:f>
        <x:v>0</x:v>
      </x:c>
      <x:c r="H104" s="292">
        <x:f t="shared" ref="H104:J108" si="49">H9+H28+H47+H66+H85</x:f>
        <x:v>0</x:v>
      </x:c>
      <x:c r="I104" s="292">
        <x:f t="shared" si="49"/>
        <x:v>0</x:v>
      </x:c>
      <x:c r="J104" s="288">
        <x:f t="shared" si="49"/>
        <x:v>0</x:v>
      </x:c>
      <x:c r="K104" s="293">
        <x:f>D104-E104-F104-G104-H104-I104-J104</x:f>
        <x:v>0</x:v>
      </x:c>
      <x:c r="L104" s="294">
        <x:f>L9+L28+L47+L66+L85</x:f>
        <x:v>189185988</x:v>
      </x:c>
      <x:c r="M104" s="293">
        <x:f>K104-L104</x:f>
        <x:v>-189185988</x:v>
      </x:c>
      <x:c r="N104" s="294">
        <x:f>N9+N28+N47+N66+N85</x:f>
        <x:v>0</x:v>
      </x:c>
      <x:c r="O104" s="293">
        <x:f>M104+N104</x:f>
        <x:v>-189185988</x:v>
      </x:c>
      <x:c r="Q104" s="306"/>
      <x:c r="S104" s="303">
        <x:v>1</x:v>
      </x:c>
      <x:c r="T104" s="304" t="s">
        <x:v>10</x:v>
      </x:c>
      <x:c r="U104" s="307">
        <x:f t="shared" ref="U104:AB108" si="50">U9+U28+U47+U66+U85</x:f>
        <x:v>0</x:v>
      </x:c>
      <x:c r="V104" s="308">
        <x:f t="shared" si="50"/>
        <x:v>0</x:v>
      </x:c>
      <x:c r="W104" s="308">
        <x:f t="shared" si="50"/>
        <x:v>0</x:v>
      </x:c>
      <x:c r="X104" s="308">
        <x:f t="shared" si="50"/>
        <x:v>0</x:v>
      </x:c>
      <x:c r="Y104" s="309">
        <x:f t="shared" si="50"/>
        <x:v>0</x:v>
      </x:c>
      <x:c r="Z104" s="310">
        <x:f t="shared" si="50"/>
        <x:v>-189185988</x:v>
      </x:c>
      <x:c r="AA104" s="311">
        <x:f>AA9+AA28+AA47+AA66+AA85</x:f>
        <x:v>0</x:v>
      </x:c>
      <x:c r="AB104" s="294">
        <x:f t="shared" si="50"/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-189185988</x:v>
      </x:c>
      <x:c r="AG104" s="521">
        <x:f>AF104-O104</x:f>
        <x:v>0</x:v>
      </x:c>
      <x:c r="AH104" s="305" t="b">
        <x:f>INT(AG104)=0</x:f>
        <x:v>1</x:v>
      </x:c>
      <x:c r="AI104" s="306"/>
      <x:c r="AM104" s="333"/>
    </x:row>
    <x:row r="105" spans="2:39" s="305" customFormat="1" x14ac:dyDescent="0.3">
      <x:c r="B105" s="314">
        <x:v>2</x:v>
      </x:c>
      <x:c r="C105" s="315" t="s">
        <x:v>11</x:v>
      </x:c>
      <x:c r="D105" s="291">
        <x:f>D10+D29+D48+D67+D86</x:f>
        <x:v>0</x:v>
      </x:c>
      <x:c r="E105" s="292">
        <x:f>E10+E29+E48+E67+E86</x:f>
        <x:v>0</x:v>
      </x:c>
      <x:c r="F105" s="292">
        <x:f t="shared" si="47"/>
        <x:v>0</x:v>
      </x:c>
      <x:c r="G105" s="292">
        <x:f t="shared" ref="G105" si="51">G10+G29+G48+G67+G86</x:f>
        <x:v>0</x:v>
      </x:c>
      <x:c r="H105" s="292">
        <x:f t="shared" si="49"/>
        <x:v>0</x:v>
      </x:c>
      <x:c r="I105" s="292">
        <x:f t="shared" si="49"/>
        <x:v>0</x:v>
      </x:c>
      <x:c r="J105" s="288">
        <x:f t="shared" si="49"/>
        <x:v>0</x:v>
      </x:c>
      <x:c r="K105" s="295">
        <x:f t="shared" ref="K105:K108" si="52">D105-E105-F105-G105-H105-I105-J105</x:f>
        <x:v>0</x:v>
      </x:c>
      <x:c r="L105" s="294">
        <x:f>L10+L29+L48+L67+L86</x:f>
        <x:v>266580256</x:v>
      </x:c>
      <x:c r="M105" s="295">
        <x:f>K105-L105</x:f>
        <x:v>-266580256</x:v>
      </x:c>
      <x:c r="N105" s="294">
        <x:f>N10+N29+N48+N67+N86</x:f>
        <x:v>0</x:v>
      </x:c>
      <x:c r="O105" s="295">
        <x:f t="shared" ref="O105:O108" si="53">M105+N105</x:f>
        <x:v>-266580256</x:v>
      </x:c>
      <x:c r="Q105" s="306"/>
      <x:c r="S105" s="314">
        <x:v>2</x:v>
      </x:c>
      <x:c r="T105" s="315" t="s">
        <x:v>11</x:v>
      </x:c>
      <x:c r="U105" s="316">
        <x:f t="shared" si="50"/>
        <x:v>0</x:v>
      </x:c>
      <x:c r="V105" s="317">
        <x:f t="shared" si="50"/>
        <x:v>0</x:v>
      </x:c>
      <x:c r="W105" s="317">
        <x:f t="shared" si="50"/>
        <x:v>0</x:v>
      </x:c>
      <x:c r="X105" s="317">
        <x:f t="shared" si="50"/>
        <x:v>0</x:v>
      </x:c>
      <x:c r="Y105" s="318">
        <x:f t="shared" si="50"/>
        <x:v>0</x:v>
      </x:c>
      <x:c r="Z105" s="319">
        <x:f t="shared" si="50"/>
        <x:v>-266580256</x:v>
      </x:c>
      <x:c r="AA105" s="320">
        <x:f>AA10+AA29+AA48+AA67+AA86</x:f>
        <x:v>0</x:v>
      </x:c>
      <x:c r="AB105" s="294">
        <x:f t="shared" si="50"/>
        <x:v>0</x:v>
      </x:c>
      <x:c r="AC105" s="320">
        <x:f>AC10+AC29+AC48+AC67+AC86</x:f>
        <x:v>0</x:v>
      </x:c>
      <x:c r="AD105" s="291">
        <x:f t="shared" ref="AD105:AD107" si="54">-J105+AE105</x:f>
        <x:v>0</x:v>
      </x:c>
      <x:c r="AE105" s="291">
        <x:f>AE10+AE29+AE48+AE67+AE86</x:f>
        <x:v>0</x:v>
      </x:c>
      <x:c r="AF105" s="322">
        <x:f>SUM(U105:AD105)</x:f>
        <x:v>-266580256</x:v>
      </x:c>
      <x:c r="AG105" s="522">
        <x:f>AF105-O105</x:f>
        <x:v>0</x:v>
      </x:c>
      <x:c r="AH105" s="305" t="b">
        <x:f t="shared" ref="AH105:AH108" si="55">INT(AG105)=0</x:f>
        <x:v>1</x:v>
      </x:c>
      <x:c r="AI105" s="306"/>
      <x:c r="AM105" s="333"/>
    </x:row>
    <x:row r="106" spans="2:39" s="305" customFormat="1" x14ac:dyDescent="0.3">
      <x:c r="B106" s="314">
        <x:v>3</x:v>
      </x:c>
      <x:c r="C106" s="315" t="s">
        <x:v>12</x:v>
      </x:c>
      <x:c r="D106" s="291">
        <x:f t="shared" si="47"/>
        <x:v>0</x:v>
      </x:c>
      <x:c r="E106" s="292">
        <x:f t="shared" si="47"/>
        <x:v>0</x:v>
      </x:c>
      <x:c r="F106" s="292">
        <x:f t="shared" si="47"/>
        <x:v>0</x:v>
      </x:c>
      <x:c r="G106" s="292">
        <x:f t="shared" ref="G106" si="56">G11+G30+G49+G68+G87</x:f>
        <x:v>0</x:v>
      </x:c>
      <x:c r="H106" s="292">
        <x:f t="shared" si="49"/>
        <x:v>0</x:v>
      </x:c>
      <x:c r="I106" s="292">
        <x:f t="shared" si="49"/>
        <x:v>0</x:v>
      </x:c>
      <x:c r="J106" s="288">
        <x:f t="shared" si="49"/>
        <x:v>0</x:v>
      </x:c>
      <x:c r="K106" s="295">
        <x:f t="shared" si="52"/>
        <x:v>0</x:v>
      </x:c>
      <x:c r="L106" s="294">
        <x:f>L11+L30+L49+L68+L87</x:f>
        <x:v>154788536</x:v>
      </x:c>
      <x:c r="M106" s="295">
        <x:f>K106-L106</x:f>
        <x:v>-154788536</x:v>
      </x:c>
      <x:c r="N106" s="294">
        <x:f>N11+N30+N49+N68+N87</x:f>
        <x:v>0</x:v>
      </x:c>
      <x:c r="O106" s="295">
        <x:f t="shared" si="53"/>
        <x:v>-154788536</x:v>
      </x:c>
      <x:c r="Q106" s="306"/>
      <x:c r="S106" s="314">
        <x:v>3</x:v>
      </x:c>
      <x:c r="T106" s="315" t="s">
        <x:v>12</x:v>
      </x:c>
      <x:c r="U106" s="316">
        <x:f t="shared" si="50"/>
        <x:v>0</x:v>
      </x:c>
      <x:c r="V106" s="317">
        <x:f t="shared" si="50"/>
        <x:v>0</x:v>
      </x:c>
      <x:c r="W106" s="317">
        <x:f t="shared" si="50"/>
        <x:v>0</x:v>
      </x:c>
      <x:c r="X106" s="317">
        <x:f t="shared" si="50"/>
        <x:v>0</x:v>
      </x:c>
      <x:c r="Y106" s="318">
        <x:f t="shared" si="50"/>
        <x:v>0</x:v>
      </x:c>
      <x:c r="Z106" s="319">
        <x:f t="shared" si="50"/>
        <x:v>-154788536</x:v>
      </x:c>
      <x:c r="AA106" s="320">
        <x:f>AA11+AA30+AA49+AA68+AA87</x:f>
        <x:v>0</x:v>
      </x:c>
      <x:c r="AB106" s="294">
        <x:f t="shared" si="50"/>
        <x:v>0</x:v>
      </x:c>
      <x:c r="AC106" s="320">
        <x:f>AC11+AC30+AC49+AC68+AC87</x:f>
        <x:v>0</x:v>
      </x:c>
      <x:c r="AD106" s="291">
        <x:f t="shared" si="54"/>
        <x:v>0</x:v>
      </x:c>
      <x:c r="AE106" s="291">
        <x:f>AE11+AE30+AE49+AE68+AE87</x:f>
        <x:v>0</x:v>
      </x:c>
      <x:c r="AF106" s="322">
        <x:f>SUM(U106:AD106)</x:f>
        <x:v>-154788536</x:v>
      </x:c>
      <x:c r="AG106" s="522">
        <x:f>AF106-O106</x:f>
        <x:v>0</x:v>
      </x:c>
      <x:c r="AH106" s="305" t="b">
        <x:f t="shared" si="55"/>
        <x:v>1</x:v>
      </x:c>
      <x:c r="AI106" s="306"/>
      <x:c r="AM106" s="333"/>
    </x:row>
    <x:row r="107" spans="2:39" s="305" customFormat="1" x14ac:dyDescent="0.3">
      <x:c r="B107" s="314">
        <x:v>4</x:v>
      </x:c>
      <x:c r="C107" s="315" t="s">
        <x:v>13</x:v>
      </x:c>
      <x:c r="D107" s="291">
        <x:f t="shared" ref="D107" si="57">D12+D31+D50+D69+D88</x:f>
        <x:v>0</x:v>
      </x:c>
      <x:c r="E107" s="292">
        <x:f t="shared" ref="E107:F108" si="58">E12+E31+E50+E69+E88</x:f>
        <x:v>0</x:v>
      </x:c>
      <x:c r="F107" s="292">
        <x:f t="shared" si="58"/>
        <x:v>0</x:v>
      </x:c>
      <x:c r="G107" s="292">
        <x:f t="shared" ref="G107" si="59">G12+G31+G50+G69+G88</x:f>
        <x:v>0</x:v>
      </x:c>
      <x:c r="H107" s="292">
        <x:f t="shared" si="49"/>
        <x:v>0</x:v>
      </x:c>
      <x:c r="I107" s="292">
        <x:f t="shared" si="49"/>
        <x:v>0</x:v>
      </x:c>
      <x:c r="J107" s="288">
        <x:f t="shared" si="49"/>
        <x:v>0</x:v>
      </x:c>
      <x:c r="K107" s="295">
        <x:f t="shared" si="52"/>
        <x:v>0</x:v>
      </x:c>
      <x:c r="L107" s="294">
        <x:f>L12+L31+L50+L69+L88</x:f>
        <x:v>120391083</x:v>
      </x:c>
      <x:c r="M107" s="295">
        <x:f>K107-L107</x:f>
        <x:v>-120391083</x:v>
      </x:c>
      <x:c r="N107" s="294">
        <x:f>N12+N31+N50+N69+N88</x:f>
        <x:v>0</x:v>
      </x:c>
      <x:c r="O107" s="295">
        <x:f>M107+N107</x:f>
        <x:v>-120391083</x:v>
      </x:c>
      <x:c r="Q107" s="306"/>
      <x:c r="S107" s="314">
        <x:v>4</x:v>
      </x:c>
      <x:c r="T107" s="315" t="s">
        <x:v>13</x:v>
      </x:c>
      <x:c r="U107" s="316">
        <x:f t="shared" si="50"/>
        <x:v>0</x:v>
      </x:c>
      <x:c r="V107" s="317">
        <x:f t="shared" si="50"/>
        <x:v>0</x:v>
      </x:c>
      <x:c r="W107" s="317">
        <x:f t="shared" si="50"/>
        <x:v>0</x:v>
      </x:c>
      <x:c r="X107" s="317">
        <x:f t="shared" si="50"/>
        <x:v>0</x:v>
      </x:c>
      <x:c r="Y107" s="318">
        <x:f t="shared" si="50"/>
        <x:v>0</x:v>
      </x:c>
      <x:c r="Z107" s="319">
        <x:f t="shared" si="50"/>
        <x:v>-120391083</x:v>
      </x:c>
      <x:c r="AA107" s="320">
        <x:f>AA12+AA31+AA50+AA69+AA88</x:f>
        <x:v>0</x:v>
      </x:c>
      <x:c r="AB107" s="294">
        <x:f t="shared" si="50"/>
        <x:v>0</x:v>
      </x:c>
      <x:c r="AC107" s="320">
        <x:f>AC12+AC31+AC50+AC69+AC88</x:f>
        <x:v>0</x:v>
      </x:c>
      <x:c r="AD107" s="291">
        <x:f t="shared" si="54"/>
        <x:v>0</x:v>
      </x:c>
      <x:c r="AE107" s="291">
        <x:f>AE12+AE31+AE50+AE69+AE88</x:f>
        <x:v>0</x:v>
      </x:c>
      <x:c r="AF107" s="322">
        <x:f>SUM(U107:AD107)</x:f>
        <x:v>-120391083</x:v>
      </x:c>
      <x:c r="AG107" s="522">
        <x:f>AF107-O107</x:f>
        <x:v>0</x:v>
      </x:c>
      <x:c r="AH107" s="305" t="b">
        <x:f t="shared" si="55"/>
        <x:v>1</x:v>
      </x:c>
      <x:c r="AI107" s="306"/>
      <x:c r="AM107" s="333"/>
    </x:row>
    <x:row r="108" spans="2:39" s="305" customFormat="1" ht="12" thickBot="1" x14ac:dyDescent="0.3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58"/>
        <x:v>0</x:v>
      </x:c>
      <x:c r="F108" s="297">
        <x:f t="shared" si="58"/>
        <x:v>0</x:v>
      </x:c>
      <x:c r="G108" s="297">
        <x:f t="shared" ref="G108" si="60">G13+G32+G51+G70+G89</x:f>
        <x:v>0</x:v>
      </x:c>
      <x:c r="H108" s="297">
        <x:f t="shared" si="49"/>
        <x:v>0</x:v>
      </x:c>
      <x:c r="I108" s="297">
        <x:f t="shared" si="49"/>
        <x:v>0</x:v>
      </x:c>
      <x:c r="J108" s="289">
        <x:f t="shared" si="49"/>
        <x:v>0</x:v>
      </x:c>
      <x:c r="K108" s="295">
        <x:f t="shared" si="52"/>
        <x:v>0</x:v>
      </x:c>
      <x:c r="L108" s="294">
        <x:f>L13+L32+L51+L70+L89</x:f>
        <x:v>128990446</x:v>
      </x:c>
      <x:c r="M108" s="298">
        <x:f>K108-L108</x:f>
        <x:v>-128990446</x:v>
      </x:c>
      <x:c r="N108" s="299">
        <x:f>N13+N32+N51+N70+N89</x:f>
        <x:v>0</x:v>
      </x:c>
      <x:c r="O108" s="298">
        <x:f t="shared" si="53"/>
        <x:v>-128990446</x:v>
      </x:c>
      <x:c r="Q108" s="306"/>
      <x:c r="S108" s="324">
        <x:v>5</x:v>
      </x:c>
      <x:c r="T108" s="325" t="s">
        <x:v>14</x:v>
      </x:c>
      <x:c r="U108" s="296">
        <x:f t="shared" si="50"/>
        <x:v>0</x:v>
      </x:c>
      <x:c r="V108" s="297">
        <x:f t="shared" si="50"/>
        <x:v>0</x:v>
      </x:c>
      <x:c r="W108" s="297">
        <x:f t="shared" si="50"/>
        <x:v>0</x:v>
      </x:c>
      <x:c r="X108" s="297">
        <x:f t="shared" si="50"/>
        <x:v>0</x:v>
      </x:c>
      <x:c r="Y108" s="289">
        <x:f t="shared" si="50"/>
        <x:v>0</x:v>
      </x:c>
      <x:c r="Z108" s="319">
        <x:f t="shared" si="50"/>
        <x:v>-128990446</x:v>
      </x:c>
      <x:c r="AA108" s="320">
        <x:f>AA13+AA32+AA51+AA70+AA89</x:f>
        <x:v>0</x:v>
      </x:c>
      <x:c r="AB108" s="294">
        <x:f t="shared" si="50"/>
        <x:v>0</x:v>
      </x:c>
      <x:c r="AC108" s="320">
        <x:f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-128990446</x:v>
      </x:c>
      <x:c r="AG108" s="523">
        <x:f>AF108-O108</x:f>
        <x:v>0</x:v>
      </x:c>
      <x:c r="AH108" s="305" t="b">
        <x:f t="shared" si="55"/>
        <x:v>1</x:v>
      </x:c>
      <x:c r="AI108" s="306"/>
      <x:c r="AM108" s="333"/>
    </x:row>
    <x:row r="109" spans="2:39" s="305" customFormat="1" ht="12.9" thickBot="1" x14ac:dyDescent="0.35">
      <x:c r="B109" s="327"/>
      <x:c r="C109" s="328" t="s">
        <x:v>2</x:v>
      </x:c>
      <x:c r="D109" s="290">
        <x:f t="shared" ref="D109:N109" si="61">SUM(D104:D108)</x:f>
        <x:v>0</x:v>
      </x:c>
      <x:c r="E109" s="290">
        <x:f t="shared" si="61"/>
        <x:v>0</x:v>
      </x:c>
      <x:c r="F109" s="290">
        <x:f t="shared" si="61"/>
        <x:v>0</x:v>
      </x:c>
      <x:c r="G109" s="290">
        <x:f t="shared" ref="G109" si="62">SUM(G104:G108)</x:f>
        <x:v>0</x:v>
      </x:c>
      <x:c r="H109" s="290">
        <x:f t="shared" si="61"/>
        <x:v>0</x:v>
      </x:c>
      <x:c r="I109" s="290">
        <x:f t="shared" si="61"/>
        <x:v>0</x:v>
      </x:c>
      <x:c r="J109" s="290">
        <x:f t="shared" si="61"/>
        <x:v>0</x:v>
      </x:c>
      <x:c r="K109" s="300">
        <x:f t="shared" si="61"/>
        <x:v>0</x:v>
      </x:c>
      <x:c r="L109" s="301">
        <x:f t="shared" si="61"/>
        <x:v>859936309</x:v>
      </x:c>
      <x:c r="M109" s="302">
        <x:f t="shared" si="61"/>
        <x:v>-859936309</x:v>
      </x:c>
      <x:c r="N109" s="301">
        <x:f t="shared" si="61"/>
        <x:v>0</x:v>
      </x:c>
      <x:c r="O109" s="302">
        <x:f>SUM(O104:O108)</x:f>
        <x:v>-859936309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63">SUM(V104:V108)</x:f>
        <x:v>0</x:v>
      </x:c>
      <x:c r="W109" s="330">
        <x:f t="shared" si="63"/>
        <x:v>0</x:v>
      </x:c>
      <x:c r="X109" s="330">
        <x:f t="shared" si="63"/>
        <x:v>0</x:v>
      </x:c>
      <x:c r="Y109" s="330">
        <x:f t="shared" si="63"/>
        <x:v>0</x:v>
      </x:c>
      <x:c r="Z109" s="290">
        <x:f t="shared" si="63"/>
        <x:v>-859936309</x:v>
      </x:c>
      <x:c r="AA109" s="290">
        <x:f>SUM(AA104:AA108)</x:f>
        <x:v>0</x:v>
      </x:c>
      <x:c r="AB109" s="290">
        <x:f t="shared" si="63"/>
        <x:v>0</x:v>
      </x:c>
      <x:c r="AC109" s="290">
        <x:f>SUM(AC104:AC108)</x:f>
        <x:v>0</x:v>
      </x:c>
      <x:c r="AD109" s="290">
        <x:f t="shared" si="63"/>
        <x:v>0</x:v>
      </x:c>
      <x:c r="AE109" s="290">
        <x:f>SUM(AE104:AE108)</x:f>
        <x:v>0</x:v>
      </x:c>
      <x:c r="AF109" s="331">
        <x:f t="shared" si="63"/>
        <x:v>-859936309</x:v>
      </x:c>
      <x:c r="AG109" s="524">
        <x:f>SUM(AG104:AG108)</x:f>
        <x:v>0</x:v>
      </x:c>
      <x:c r="AH109" s="305" t="b">
        <x:f>INT(AG109)=0</x:f>
        <x:v>1</x:v>
      </x:c>
      <x:c r="AI109" s="306"/>
      <x:c r="AM109" s="333"/>
    </x:row>
    <x:row r="110" spans="2:39" ht="12" thickBot="1" x14ac:dyDescent="0.3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9" ht="12" thickBot="1" x14ac:dyDescent="0.3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V111" s="591"/>
      <x:c r="W111" s="591"/>
      <x:c r="Y111" s="86">
        <x:f>SUM(U109:Y109)</x:f>
        <x:v>0</x:v>
      </x:c>
      <x:c r="AA111" s="1" t="s">
        <x:v>1</x:v>
      </x:c>
      <x:c r="AB111" s="1" t="s">
        <x:v>1</x:v>
      </x:c>
      <x:c r="AD111" s="305"/>
      <x:c r="AF111" s="305"/>
      <x:c r="AI111" s="4"/>
    </x:row>
    <x:row r="112" spans="2:39" ht="12" thickBot="1" x14ac:dyDescent="0.3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F112" s="305"/>
      <x:c r="AI112" s="4"/>
    </x:row>
    <x:row r="113" spans="1:35" x14ac:dyDescent="0.3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3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275"/>
      <x:c r="AH114" s="52"/>
      <x:c r="AI114" s="52"/>
    </x:row>
    <x:row r="115" spans="1:35" ht="12" thickBot="1" x14ac:dyDescent="0.35">
      <x:c r="Q115" s="4"/>
    </x:row>
    <x:row r="116" spans="1:35" x14ac:dyDescent="0.3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  <x:c r="V116" s="588"/>
      <x:c r="W116" s="588"/>
      <x:c r="AA116" s="305"/>
    </x:row>
    <x:row r="117" spans="1:35" ht="14.15" x14ac:dyDescent="0.3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2026101</x:v>
      </x:c>
      <x:c r="O117" s="10"/>
      <x:c r="P117" s="2"/>
      <x:c r="Q117" s="4"/>
      <x:c r="AA117" s="305"/>
    </x:row>
    <x:row r="118" spans="1:35" ht="15.45" x14ac:dyDescent="0.4">
      <x:c r="B118" s="8"/>
      <x:c r="C118" s="2"/>
      <x:c r="D118" s="57"/>
      <x:c r="F118" s="36" t="s">
        <x:v>29</x:v>
      </x:c>
      <x:c r="G118" s="36"/>
      <x:c r="O118" s="10"/>
      <x:c r="P118" s="2"/>
      <x:c r="Q118" s="4"/>
      <x:c r="X118" s="305"/>
      <x:c r="Y118" s="305"/>
      <x:c r="AA118" s="305"/>
    </x:row>
    <x:row r="119" spans="1:35" x14ac:dyDescent="0.3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  <x:c r="X119" s="305"/>
      <x:c r="Y119" s="305"/>
      <x:c r="AA119" s="305"/>
    </x:row>
    <x:row r="120" spans="1:35" x14ac:dyDescent="0.3">
      <x:c r="B120" s="8"/>
      <x:c r="I120" s="2"/>
      <x:c r="J120" s="2"/>
      <x:c r="O120" s="10"/>
      <x:c r="P120" s="2"/>
      <x:c r="Q120" s="4"/>
      <x:c r="X120" s="305"/>
      <x:c r="Y120" s="305"/>
      <x:c r="AA120" s="305"/>
    </x:row>
    <x:row r="121" spans="1:35" ht="15.45" x14ac:dyDescent="0.4">
      <x:c r="B121" s="8"/>
      <x:c r="F121" s="41" t="s">
        <x:v>37</x:v>
      </x:c>
      <x:c r="G121" s="41"/>
      <x:c r="H121" s="2"/>
      <x:c r="J121" s="2"/>
      <x:c r="O121" s="10"/>
      <x:c r="P121" s="2"/>
      <x:c r="Q121" s="4"/>
      <x:c r="X121" s="305"/>
      <x:c r="Y121" s="305"/>
    </x:row>
    <x:row r="122" spans="1:35" x14ac:dyDescent="0.3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  <x:c r="X122" s="305"/>
      <x:c r="Y122" s="305"/>
    </x:row>
    <x:row r="123" spans="1:35" ht="12" thickBot="1" x14ac:dyDescent="0.35">
      <x:c r="B123" s="8"/>
      <x:c r="C123" s="2" t="s">
        <x:v>1</x:v>
      </x:c>
      <x:c r="D123" s="2" t="s">
        <x:v>1</x:v>
      </x:c>
      <x:c r="O123" s="44"/>
      <x:c r="P123" s="2"/>
      <x:c r="Q123" s="4"/>
      <x:c r="X123" s="305"/>
      <x:c r="Y123" s="305"/>
    </x:row>
    <x:row r="124" spans="1:35" ht="46.75" thickBot="1" x14ac:dyDescent="0.3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x14ac:dyDescent="0.3">
      <x:c r="B125" s="334">
        <x:v>1</x:v>
      </x:c>
      <x:c r="C125" s="335" t="s">
        <x:v>10</x:v>
      </x:c>
      <x:c r="D125" s="385">
        <x:f>'ANTICIPOS USUARIOS'!C3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USUARIOS'!C12</x:f>
        <x:v>0</x:v>
      </x:c>
      <x:c r="L125" s="309">
        <x:f>-'ANTICIPOS USUARIOS'!C21</x:f>
        <x:v>0</x:v>
      </x:c>
      <x:c r="O125" s="337"/>
      <x:c r="Q125" s="306"/>
      <x:c r="AG125" s="333"/>
    </x:row>
    <x:row r="126" spans="1:35" s="305" customFormat="1" x14ac:dyDescent="0.3">
      <x:c r="B126" s="314">
        <x:v>2</x:v>
      </x:c>
      <x:c r="C126" s="338" t="s">
        <x:v>11</x:v>
      </x:c>
      <x:c r="D126" s="292">
        <x:f>'ANTICIPOS USUARIOS'!C4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>D67+N67</x:f>
        <x:v>0</x:v>
      </x:c>
      <x:c r="K126" s="288">
        <x:f>'ANTICIPOS USUARIOS'!C13</x:f>
        <x:v>0</x:v>
      </x:c>
      <x:c r="L126" s="288">
        <x:f>-'ANTICIPOS USUARIOS'!C22</x:f>
        <x:v>0</x:v>
      </x:c>
      <x:c r="O126" s="337"/>
      <x:c r="Q126" s="306"/>
      <x:c r="AG126" s="333"/>
    </x:row>
    <x:row r="127" spans="1:35" s="305" customFormat="1" x14ac:dyDescent="0.3">
      <x:c r="B127" s="314">
        <x:v>3</x:v>
      </x:c>
      <x:c r="C127" s="338" t="s">
        <x:v>12</x:v>
      </x:c>
      <x:c r="D127" s="292">
        <x:f>'ANTICIPOS USUARIOS'!C5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ref="J127:J129" si="64">D68+N68</x:f>
        <x:v>0</x:v>
      </x:c>
      <x:c r="K127" s="288">
        <x:f>'ANTICIPOS USUARIOS'!C14</x:f>
        <x:v>0</x:v>
      </x:c>
      <x:c r="L127" s="288">
        <x:f>-'ANTICIPOS USUARIOS'!C23</x:f>
        <x:v>0</x:v>
      </x:c>
      <x:c r="O127" s="337"/>
      <x:c r="Q127" s="306"/>
      <x:c r="AG127" s="333"/>
    </x:row>
    <x:row r="128" spans="1:35" s="305" customFormat="1" x14ac:dyDescent="0.3">
      <x:c r="B128" s="314">
        <x:v>4</x:v>
      </x:c>
      <x:c r="C128" s="338" t="s">
        <x:v>13</x:v>
      </x:c>
      <x:c r="D128" s="292">
        <x:f>'ANTICIPOS USUARIOS'!C6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64"/>
        <x:v>0</x:v>
      </x:c>
      <x:c r="K128" s="288">
        <x:f>'ANTICIPOS USUARIOS'!C15</x:f>
        <x:v>0</x:v>
      </x:c>
      <x:c r="L128" s="288">
        <x:f>-'ANTICIPOS USUARIOS'!C24</x:f>
        <x:v>0</x:v>
      </x:c>
      <x:c r="O128" s="337"/>
      <x:c r="Q128" s="306"/>
      <x:c r="AG128" s="333"/>
    </x:row>
    <x:row r="129" spans="1:33" s="305" customFormat="1" x14ac:dyDescent="0.3">
      <x:c r="B129" s="341">
        <x:v>5</x:v>
      </x:c>
      <x:c r="C129" s="342" t="s">
        <x:v>14</x:v>
      </x:c>
      <x:c r="D129" s="343">
        <x:f>'ANTICIPOS USUARIOS'!C7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64"/>
        <x:v>0</x:v>
      </x:c>
      <x:c r="K129" s="288">
        <x:f>'ANTICIPOS USUARIOS'!C16</x:f>
        <x:v>0</x:v>
      </x:c>
      <x:c r="L129" s="288">
        <x:f>-'ANTICIPOS USUARIOS'!C25</x:f>
        <x:v>0</x:v>
      </x:c>
      <x:c r="O129" s="337"/>
      <x:c r="Q129" s="306"/>
      <x:c r="AG129" s="333"/>
    </x:row>
    <x:row r="130" spans="1:33" s="305" customFormat="1" ht="12" thickBot="1" x14ac:dyDescent="0.35">
      <x:c r="B130" s="324" t="s">
        <x:v>89</x:v>
      </x:c>
      <x:c r="C130" s="345" t="s">
        <x:v>113</x:v>
      </x:c>
      <x:c r="D130" s="297"/>
      <x:c r="E130" s="289">
        <x:f>'Recaudo Directa Occidente'!F26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  <x:c r="AG130" s="333"/>
    </x:row>
    <x:row r="131" spans="1:33" s="305" customFormat="1" ht="12" thickBot="1" x14ac:dyDescent="0.35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65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  <x:c r="AG131" s="333"/>
    </x:row>
    <x:row r="132" spans="1:33" x14ac:dyDescent="0.3">
      <x:c r="B132" s="2"/>
      <x:c r="C132" s="2"/>
      <x:c r="D132" s="24"/>
      <x:c r="Q132" s="4"/>
    </x:row>
    <x:row r="133" spans="1:33" x14ac:dyDescent="0.3">
      <x:c r="B133" s="2"/>
      <x:c r="C133" s="2"/>
      <x:c r="D133" s="24"/>
      <x:c r="L133" s="1" t="s">
        <x:v>1</x:v>
      </x:c>
      <x:c r="Q133" s="4"/>
    </x:row>
    <x:row r="134" spans="1:33" ht="12" thickBot="1" x14ac:dyDescent="0.3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33" x14ac:dyDescent="0.3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33" x14ac:dyDescent="0.3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33" x14ac:dyDescent="0.3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33" x14ac:dyDescent="0.3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33" x14ac:dyDescent="0.3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33" ht="18.75" customHeight="1" thickBot="1" x14ac:dyDescent="0.3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33" ht="46.75" thickBot="1" x14ac:dyDescent="0.3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33" x14ac:dyDescent="0.3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EAAB Reciprocidad'!F21+'Recaudo EAAB + Ciud Limp'!F21+'Recaudo Directa Occidente'!F21+'Recaudo ENEL'!F21+'Recaudo ENERBIT'!F21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BANCO'!E62+'REPORTE RECAUDO x BANCO'!E63+'REPORTE RECAUDO x BANCO'!E75)</x:f>
        <x:v>0</x:v>
      </x:c>
      <x:c r="J142" s="110">
        <x:f t="shared" ref="J142:K146" si="66">G125</x:f>
        <x:v>0</x:v>
      </x:c>
      <x:c r="K142" s="111">
        <x:f t="shared" si="66"/>
        <x:v>0</x:v>
      </x:c>
      <x:c r="L142" s="597">
        <x:f>D142-E142-F142-G142-J142-H142-I142</x:f>
        <x:v>0</x:v>
      </x:c>
      <x:c r="M142" s="1" t="b">
        <x:f t="shared" ref="M142:M147" si="67">INT(ABS(L142))=0</x:f>
        <x:v>1</x:v>
      </x:c>
      <x:c r="O142" s="55"/>
      <x:c r="P142" s="24"/>
      <x:c r="Q142" s="35"/>
      <x:c r="R142" s="24"/>
    </x:row>
    <x:row r="143" spans="1:33" x14ac:dyDescent="0.3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Reciprocidad'!F22+'Recaudo EAAB + Ciud Limp'!F22+'Recaudo Directa Occidente'!F22+'Recaudo ENEL'!F22+'Recaudo ENERBIT'!F22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BANCO'!E64+'REPORTE RECAUDO x BANCO'!E65+'REPORTE RECAUDO x BANCO'!E66+'REPORTE RECAUDO x BANCO'!E76)</x:f>
        <x:v>0</x:v>
      </x:c>
      <x:c r="J143" s="18">
        <x:f>G126</x:f>
        <x:v>0</x:v>
      </x:c>
      <x:c r="K143" s="83">
        <x:f>H126</x:f>
        <x:v>0</x:v>
      </x:c>
      <x:c r="L143" s="597">
        <x:f>D143-E143-F143-G143-J143-H143-I143</x:f>
        <x:v>0</x:v>
      </x:c>
      <x:c r="M143" s="1" t="b">
        <x:f t="shared" si="67"/>
        <x:v>1</x:v>
      </x:c>
      <x:c r="O143" s="130"/>
      <x:c r="P143" s="24"/>
      <x:c r="Q143" s="35"/>
      <x:c r="R143" s="24"/>
    </x:row>
    <x:row r="144" spans="1:33" x14ac:dyDescent="0.3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Reciprocidad'!F23+'Recaudo EAAB + Ciud Limp'!F23+'Recaudo Directa Occidente'!F23+'Recaudo ENEL'!F23+'Recaudo ENERBIT'!F23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BANCO'!E67+'REPORTE RECAUDO x BANCO'!E68+'REPORTE RECAUDO x BANCO'!E77)</x:f>
        <x:v>0</x:v>
      </x:c>
      <x:c r="J144" s="18">
        <x:f>G127</x:f>
        <x:v>0</x:v>
      </x:c>
      <x:c r="K144" s="83">
        <x:f t="shared" si="66"/>
        <x:v>0</x:v>
      </x:c>
      <x:c r="L144" s="597">
        <x:f>D144-E144-F144-G144-J144-H144-I144</x:f>
        <x:v>0</x:v>
      </x:c>
      <x:c r="M144" s="1" t="b">
        <x:f t="shared" si="67"/>
        <x:v>1</x:v>
      </x:c>
      <x:c r="O144" s="55"/>
      <x:c r="P144" s="24"/>
      <x:c r="Q144" s="35"/>
      <x:c r="R144" s="24"/>
    </x:row>
    <x:row r="145" spans="1:20" x14ac:dyDescent="0.3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Reciprocidad'!F24+'Recaudo EAAB + Ciud Limp'!F24+'Recaudo Directa Occidente'!F24+'Recaudo ENEL'!F24+'Recaudo ENERBIT'!F24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BANCO'!E69+'REPORTE RECAUDO x BANCO'!E70+'REPORTE RECAUDO x BANCO'!E71+'REPORTE RECAUDO x BANCO'!E78)</x:f>
        <x:v>0</x:v>
      </x:c>
      <x:c r="J145" s="18">
        <x:f t="shared" si="66"/>
        <x:v>0</x:v>
      </x:c>
      <x:c r="K145" s="83">
        <x:f>H128</x:f>
        <x:v>0</x:v>
      </x:c>
      <x:c r="L145" s="597">
        <x:f t="shared" ref="L145:L147" si="68">D145-E145-F145-G145-J145-H145-I145</x:f>
        <x:v>0</x:v>
      </x:c>
      <x:c r="M145" s="1" t="b">
        <x:f t="shared" si="67"/>
        <x:v>1</x:v>
      </x:c>
      <x:c r="O145" s="96"/>
      <x:c r="P145" s="24"/>
      <x:c r="Q145" s="35"/>
      <x:c r="R145" s="24"/>
    </x:row>
    <x:row r="146" spans="1:20" ht="12" thickBot="1" x14ac:dyDescent="0.3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EAAB Reciprocidad'!F25+'Recaudo EAAB + Ciud Limp'!F25+'Recaudo Directa Occidente'!F25+'Recaudo ENEL'!F25+'Recaudo ENERBIT'!F25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BANCO'!E72+'REPORTE RECAUDO x BANCO'!E73+'REPORTE RECAUDO x BANCO'!E79)</x:f>
        <x:v>0</x:v>
      </x:c>
      <x:c r="J146" s="134">
        <x:f t="shared" si="66"/>
        <x:v>0</x:v>
      </x:c>
      <x:c r="K146" s="136">
        <x:f t="shared" si="66"/>
        <x:v>0</x:v>
      </x:c>
      <x:c r="L146" s="597">
        <x:f t="shared" si="68"/>
        <x:v>0</x:v>
      </x:c>
      <x:c r="M146" s="1" t="b">
        <x:f t="shared" si="67"/>
        <x:v>1</x:v>
      </x:c>
      <x:c r="O146" s="55"/>
      <x:c r="P146" s="24"/>
      <x:c r="Q146" s="35"/>
      <x:c r="R146" s="24"/>
    </x:row>
    <x:row r="147" spans="1:20" ht="12" thickBot="1" x14ac:dyDescent="0.3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9">SUM(F142:F146)</x:f>
        <x:v>0</x:v>
      </x:c>
      <x:c r="G147" s="47">
        <x:f t="shared" si="69"/>
        <x:v>0</x:v>
      </x:c>
      <x:c r="H147" s="47">
        <x:f>SUM(H142:H146)</x:f>
        <x:v>0</x:v>
      </x:c>
      <x:c r="I147" s="47">
        <x:f t="shared" si="69"/>
        <x:v>0</x:v>
      </x:c>
      <x:c r="J147" s="47">
        <x:f t="shared" si="69"/>
        <x:v>0</x:v>
      </x:c>
      <x:c r="K147" s="47">
        <x:f t="shared" si="69"/>
        <x:v>0</x:v>
      </x:c>
      <x:c r="L147" s="597">
        <x:f t="shared" si="68"/>
        <x:v>0</x:v>
      </x:c>
      <x:c r="M147" s="1" t="b">
        <x:f t="shared" si="67"/>
        <x:v>1</x:v>
      </x:c>
      <x:c r="P147" s="24"/>
      <x:c r="Q147" s="35"/>
      <x:c r="R147" s="24"/>
    </x:row>
    <x:row r="148" spans="1:20" x14ac:dyDescent="0.3">
      <x:c r="B148" s="2"/>
      <x:c r="E148" s="24"/>
      <x:c r="F148" s="55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3">
      <x:c r="B149" s="2"/>
      <x:c r="C149" s="2"/>
      <x:c r="D149" s="24"/>
      <x:c r="E149" s="24"/>
      <x:c r="F149" s="24"/>
      <x:c r="G149" s="24"/>
      <x:c r="H149" s="24"/>
      <x:c r="I149" s="24"/>
      <x:c r="J149" s="1" t="s">
        <x:v>1</x:v>
      </x:c>
      <x:c r="K149" s="24"/>
      <x:c r="L149" s="24"/>
      <x:c r="M149" s="24"/>
      <x:c r="N149" s="24"/>
      <x:c r="O149" s="24"/>
      <x:c r="Q149" s="35"/>
    </x:row>
    <x:row r="150" spans="1:20" x14ac:dyDescent="0.3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3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3">
      <x:c r="E152" s="55"/>
      <x:c r="N152" s="24"/>
      <x:c r="O152" s="24"/>
      <x:c r="Q152" s="24"/>
      <x:c r="T152" s="24"/>
    </x:row>
    <x:row r="153" spans="1:20" x14ac:dyDescent="0.3">
      <x:c r="N153" s="24"/>
      <x:c r="O153" s="24"/>
      <x:c r="Q153" s="24"/>
      <x:c r="T153" s="24"/>
    </x:row>
    <x:row r="154" spans="1:20" x14ac:dyDescent="0.3">
      <x:c r="D154" s="305"/>
      <x:c r="E154" s="96"/>
      <x:c r="F154" s="305"/>
      <x:c r="G154" s="305"/>
      <x:c r="H154" s="305"/>
      <x:c r="K154" s="588"/>
      <x:c r="N154" s="24"/>
      <x:c r="O154" s="24"/>
      <x:c r="Q154" s="24"/>
      <x:c r="T154" s="24"/>
    </x:row>
    <x:row r="155" spans="1:20" x14ac:dyDescent="0.3">
      <x:c r="D155" s="305"/>
      <x:c r="K155" s="589"/>
      <x:c r="N155" s="24"/>
      <x:c r="O155" s="24"/>
      <x:c r="Q155" s="24"/>
      <x:c r="T155" s="24"/>
    </x:row>
    <x:row r="156" spans="1:20" x14ac:dyDescent="0.3">
      <x:c r="D156" s="588"/>
      <x:c r="N156" s="24"/>
      <x:c r="O156" s="24"/>
      <x:c r="Q156" s="24"/>
      <x:c r="T156" s="24"/>
    </x:row>
    <x:row r="157" spans="1:20" x14ac:dyDescent="0.3">
      <x:c r="N157" s="24"/>
      <x:c r="O157" s="24"/>
      <x:c r="Q157" s="24"/>
      <x:c r="T157" s="24"/>
    </x:row>
    <x:row r="158" spans="1:20" x14ac:dyDescent="0.3">
      <x:c r="N158" s="24"/>
      <x:c r="O158" s="24"/>
      <x:c r="Q158" s="24"/>
      <x:c r="T158" s="24"/>
    </x:row>
    <x:row r="159" spans="1:20" x14ac:dyDescent="0.3">
      <x:c r="N159" s="24"/>
      <x:c r="O159" s="24"/>
      <x:c r="Q159" s="24"/>
      <x:c r="T159" s="24"/>
    </x:row>
    <x:row r="160" spans="1:20" x14ac:dyDescent="0.3">
      <x:c r="N160" s="24"/>
      <x:c r="O160" s="24"/>
      <x:c r="Q160" s="24"/>
      <x:c r="T160" s="24"/>
    </x:row>
    <x:row r="161" spans="14:20" x14ac:dyDescent="0.3">
      <x:c r="N161" s="24"/>
      <x:c r="O161" s="24"/>
      <x:c r="Q161" s="24"/>
      <x:c r="T161" s="24"/>
    </x:row>
    <x:row r="162" spans="14:20" x14ac:dyDescent="0.3">
      <x:c r="N162" s="24"/>
      <x:c r="O162" s="24"/>
      <x:c r="Q162" s="24"/>
      <x:c r="T162" s="24"/>
    </x:row>
    <x:row r="163" spans="14:20" x14ac:dyDescent="0.3">
      <x:c r="N163" s="24"/>
      <x:c r="O163" s="24"/>
      <x:c r="Q163" s="24"/>
      <x:c r="T163" s="24"/>
    </x:row>
    <x:row r="164" spans="14:20" x14ac:dyDescent="0.3">
      <x:c r="N164" s="24"/>
      <x:c r="O164" s="24"/>
      <x:c r="Q164" s="24"/>
      <x:c r="T164" s="24"/>
    </x:row>
    <x:row r="165" spans="14:20" x14ac:dyDescent="0.3">
      <x:c r="N165" s="24"/>
      <x:c r="O165" s="24"/>
      <x:c r="Q165" s="24"/>
      <x:c r="T165" s="24"/>
    </x:row>
    <x:row r="166" spans="14:20" x14ac:dyDescent="0.3">
      <x:c r="Q166" s="24"/>
      <x:c r="T166" s="24"/>
    </x:row>
    <x:row r="167" spans="14:20" x14ac:dyDescent="0.3">
      <x:c r="Q167" s="24"/>
    </x:row>
  </x:sheetData>
  <x:phoneticPr fontId="21" type="noConversion"/>
  <x:conditionalFormatting sqref="L142:L147">
    <x:cfRule type="expression" dxfId="75" priority="6">
      <x:formula>$L$142&lt;&gt;0</x:formula>
    </x:cfRule>
  </x:conditionalFormatting>
  <x:conditionalFormatting sqref="M142:M147">
    <x:cfRule type="cellIs" dxfId="74" priority="19" operator="notEqual">
      <x:formula>TRUE</x:formula>
    </x:cfRule>
  </x:conditionalFormatting>
  <x:conditionalFormatting sqref="AH9:AH14">
    <x:cfRule type="cellIs" dxfId="73" priority="1" operator="notEqual">
      <x:formula>TRUE</x:formula>
    </x:cfRule>
  </x:conditionalFormatting>
  <x:conditionalFormatting sqref="AH28:AH33">
    <x:cfRule type="cellIs" dxfId="72" priority="2" operator="notEqual">
      <x:formula>TRUE</x:formula>
    </x:cfRule>
  </x:conditionalFormatting>
  <x:conditionalFormatting sqref="AH47:AH52">
    <x:cfRule type="cellIs" dxfId="71" priority="3" operator="notEqual">
      <x:formula>TRUE</x:formula>
    </x:cfRule>
  </x:conditionalFormatting>
  <x:conditionalFormatting sqref="AH66:AH71">
    <x:cfRule type="cellIs" dxfId="70" priority="4" operator="notEqual">
      <x:formula>TRUE</x:formula>
    </x:cfRule>
  </x:conditionalFormatting>
  <x:conditionalFormatting sqref="AH85:AH90">
    <x:cfRule type="cellIs" dxfId="69" priority="5" operator="notEqual">
      <x:formula>TRUE</x:formula>
    </x:cfRule>
  </x:conditionalFormatting>
  <x:conditionalFormatting sqref="AH104:AH109">
    <x:cfRule type="cellIs" dxfId="68" priority="7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M104:M108 K104:K108 AD104:AD108" formula="1"/>
  </x:ignoredErrors>
  <x:drawing r:id="rId2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tabColor rgb="FF00FF00"/>
  </x:sheetPr>
  <x:dimension ref="B1:R38"/>
  <x:sheetViews>
    <x:sheetView topLeftCell="A2" zoomScale="90" zoomScaleNormal="90" workbookViewId="0">
      <x:selection activeCell="F15" sqref="F15"/>
    </x:sheetView>
  </x:sheetViews>
  <x:sheetFormatPr baseColWidth="10" defaultRowHeight="12.45" x14ac:dyDescent="0.3"/>
  <x:cols>
    <x:col min="1" max="1" width="3" customWidth="1"/>
    <x:col min="2" max="2" width="4.15234375" bestFit="1" customWidth="1"/>
    <x:col min="3" max="4" width="16.84375" customWidth="1"/>
    <x:col min="5" max="7" width="17.84375" customWidth="1"/>
    <x:col min="8" max="8" width="18.15234375" customWidth="1"/>
    <x:col min="9" max="9" width="15.84375" customWidth="1"/>
    <x:col min="10" max="10" width="16.3828125" customWidth="1"/>
    <x:col min="11" max="11" width="15.84375" customWidth="1"/>
    <x:col min="12" max="13" width="18.15234375" customWidth="1"/>
    <x:col min="14" max="14" width="15.84375" customWidth="1"/>
    <x:col min="15" max="15" width="16" bestFit="1" customWidth="1"/>
    <x:col min="16" max="16" width="14.3828125" customWidth="1"/>
    <x:col min="17" max="17" width="17.3828125" bestFit="1" customWidth="1"/>
  </x:cols>
  <x:sheetData>
    <x:row r="1" spans="2:16" ht="12.9" thickBot="1" x14ac:dyDescent="0.35"/>
    <x:row r="2" spans="2:16" ht="35.15" thickBot="1" x14ac:dyDescent="0.3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3">
      <x:c r="B3" s="303">
        <x:v>1</x:v>
      </x:c>
      <x:c r="C3" s="292" t="n">
        <x:f>'Recaudo EAAB Reciprocidad'!D21+'Recaudo EAAB + Ciud Limp'!D21+'Recaudo Directa Occidente'!D21+'Recaudo ENEL'!D21+'Recaudo ENERBIT'!D21</x:f>
        <x:v>14881810905</x:v>
      </x:c>
      <x:c r="D3" s="292">
        <x:f>'CONSOLIDADO_TOTAL RECAUDO'!G125</x:f>
        <x:v>0</x:v>
      </x:c>
      <x:c r="E3" s="292">
        <x:f>'CONSOLIDADO_TOTAL RECAUDO'!D28+'CONSOLIDADO_TOTAL RECAUDO'!N28</x:f>
        <x:v>0</x:v>
      </x:c>
      <x:c r="F3" s="292">
        <x:f>'CONSOLIDADO_TOTAL RECAUDO'!I142</x:f>
        <x:v>0</x:v>
      </x:c>
      <x:c r="G3" s="292">
        <x:f>'CONSOLIDADO_TOTAL RECAUDO'!H142</x:f>
        <x:v>0</x:v>
      </x:c>
      <x:c r="H3" s="340">
        <x:f>SUM(C3:G3)</x:f>
        <x:v>0</x:v>
      </x:c>
      <x:c r="I3" s="291">
        <x:f>'CONSOLIDADO_TOTAL RECAUDO'!D104</x:f>
        <x:v>0</x:v>
      </x:c>
      <x:c r="J3" s="292">
        <x:f>'CONSOLIDADO_TOTAL RECAUDO'!N104</x:f>
        <x:v>0</x:v>
      </x:c>
      <x:c r="K3" s="292">
        <x:f>'CONSOLIDADO_TOTAL RECAUDO'!D125</x:f>
        <x:v>0</x:v>
      </x:c>
      <x:c r="L3" s="353">
        <x:f>'CONSOLIDADO_TOTAL RECAUDO'!E125</x:f>
        <x:v>0</x:v>
      </x:c>
      <x:c r="M3" s="292">
        <x:f>-'CONSOLIDADO_TOTAL RECAUDO'!D66-'CONSOLIDADO_TOTAL RECAUDO'!N66</x:f>
        <x:v>0</x:v>
      </x:c>
      <x:c r="N3" s="288">
        <x:f>SUM(I3:M3)</x:f>
        <x:v>0</x:v>
      </x:c>
      <x:c r="O3" s="354">
        <x:f>H3-N3</x:f>
        <x:v>0</x:v>
      </x:c>
      <x:c r="P3" s="1" t="b">
        <x:f t="shared" ref="P3:P9" si="0">INT(O3)=0</x:f>
        <x:v>1</x:v>
      </x:c>
    </x:row>
    <x:row r="4" spans="2:16" s="355" customFormat="1" x14ac:dyDescent="0.3">
      <x:c r="B4" s="314">
        <x:v>2</x:v>
      </x:c>
      <x:c r="C4" s="292" t="n">
        <x:f>'Recaudo EAAB Reciprocidad'!D22+'Recaudo EAAB + Ciud Limp'!D22+'Recaudo Directa Occidente'!D22+'Recaudo ENEL'!D22+'Recaudo ENERBIT'!D22</x:f>
        <x:v>11279865753</x:v>
      </x:c>
      <x:c r="D4" s="292">
        <x:f>'CONSOLIDADO_TOTAL RECAUDO'!G126</x:f>
        <x:v>0</x:v>
      </x:c>
      <x:c r="E4" s="292">
        <x:f>'CONSOLIDADO_TOTAL RECAUDO'!D29+'CONSOLIDADO_TOTAL RECAUDO'!N29</x:f>
        <x:v>0</x:v>
      </x:c>
      <x:c r="F4" s="292">
        <x:f>'CONSOLIDADO_TOTAL RECAUDO'!I143</x:f>
        <x:v>0</x:v>
      </x:c>
      <x:c r="G4" s="292">
        <x:f>'CONSOLIDADO_TOTAL RECAUDO'!H143</x:f>
        <x:v>0</x:v>
      </x:c>
      <x:c r="H4" s="340">
        <x:f t="shared" ref="H4:H8" si="1">SUM(C4:G4)</x:f>
        <x:v>0</x:v>
      </x:c>
      <x:c r="I4" s="291">
        <x:f>'CONSOLIDADO_TOTAL RECAUDO'!D105</x:f>
        <x:v>0</x:v>
      </x:c>
      <x:c r="J4" s="292">
        <x:f>'CONSOLIDADO_TOTAL RECAUDO'!N105</x:f>
        <x:v>0</x:v>
      </x:c>
      <x:c r="K4" s="292">
        <x:f>'CONSOLIDADO_TOTAL RECAUDO'!D126</x:f>
        <x:v>0</x:v>
      </x:c>
      <x:c r="L4" s="353">
        <x:f>'CONSOLIDADO_TOTAL RECAUDO'!E126</x:f>
        <x:v>0</x:v>
      </x:c>
      <x:c r="M4" s="292">
        <x:f>-'CONSOLIDADO_TOTAL RECAUDO'!D67-'CONSOLIDADO_TOTAL RECAUDO'!N67</x:f>
        <x:v>0</x:v>
      </x:c>
      <x:c r="N4" s="318">
        <x:f>SUM(I4:M4)</x:f>
        <x:v>0</x:v>
      </x:c>
      <x:c r="O4" s="354">
        <x:f t="shared" ref="O4:O6" si="2">H4-N4</x:f>
        <x:v>0</x:v>
      </x:c>
      <x:c r="P4" s="1" t="b">
        <x:f t="shared" si="0"/>
        <x:v>1</x:v>
      </x:c>
    </x:row>
    <x:row r="5" spans="2:16" s="355" customFormat="1" x14ac:dyDescent="0.3">
      <x:c r="B5" s="314">
        <x:v>3</x:v>
      </x:c>
      <x:c r="C5" s="292" t="n">
        <x:f>'Recaudo EAAB Reciprocidad'!D23+'Recaudo EAAB + Ciud Limp'!D23+'Recaudo Directa Occidente'!D23+'Recaudo ENEL'!D23+'Recaudo ENERBIT'!D23</x:f>
        <x:v>8844067825</x:v>
      </x:c>
      <x:c r="D5" s="292">
        <x:f>'CONSOLIDADO_TOTAL RECAUDO'!G127</x:f>
        <x:v>0</x:v>
      </x:c>
      <x:c r="E5" s="292">
        <x:f>'CONSOLIDADO_TOTAL RECAUDO'!D30+'CONSOLIDADO_TOTAL RECAUDO'!N30</x:f>
        <x:v>0</x:v>
      </x:c>
      <x:c r="F5" s="292">
        <x:f>'CONSOLIDADO_TOTAL RECAUDO'!I144</x:f>
        <x:v>0</x:v>
      </x:c>
      <x:c r="G5" s="292">
        <x:f>'CONSOLIDADO_TOTAL RECAUDO'!H144</x:f>
        <x:v>0</x:v>
      </x:c>
      <x:c r="H5" s="340">
        <x:f t="shared" si="1"/>
        <x:v>0</x:v>
      </x:c>
      <x:c r="I5" s="291">
        <x:f>'CONSOLIDADO_TOTAL RECAUDO'!D106</x:f>
        <x:v>0</x:v>
      </x:c>
      <x:c r="J5" s="292">
        <x:f>'CONSOLIDADO_TOTAL RECAUDO'!N106</x:f>
        <x:v>0</x:v>
      </x:c>
      <x:c r="K5" s="292">
        <x:f>'CONSOLIDADO_TOTAL RECAUDO'!D127</x:f>
        <x:v>0</x:v>
      </x:c>
      <x:c r="L5" s="353">
        <x:f>'CONSOLIDADO_TOTAL RECAUDO'!E127</x:f>
        <x:v>0</x:v>
      </x:c>
      <x:c r="M5" s="292">
        <x:f>-'CONSOLIDADO_TOTAL RECAUDO'!D68-'CONSOLIDADO_TOTAL RECAUDO'!N68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0"/>
        <x:v>1</x:v>
      </x:c>
    </x:row>
    <x:row r="6" spans="2:16" s="355" customFormat="1" x14ac:dyDescent="0.3">
      <x:c r="B6" s="314">
        <x:v>4</x:v>
      </x:c>
      <x:c r="C6" s="292" t="n">
        <x:f>'Recaudo EAAB Reciprocidad'!D24+'Recaudo EAAB + Ciud Limp'!D24+'Recaudo Directa Occidente'!D24+'Recaudo ENEL'!D24+'Recaudo ENERBIT'!D24</x:f>
        <x:v>10532093305</x:v>
      </x:c>
      <x:c r="D6" s="292">
        <x:f>'CONSOLIDADO_TOTAL RECAUDO'!G128</x:f>
        <x:v>0</x:v>
      </x:c>
      <x:c r="E6" s="292">
        <x:f>'CONSOLIDADO_TOTAL RECAUDO'!D31+'CONSOLIDADO_TOTAL RECAUDO'!N31</x:f>
        <x:v>0</x:v>
      </x:c>
      <x:c r="F6" s="292">
        <x:f>'CONSOLIDADO_TOTAL RECAUDO'!I145</x:f>
        <x:v>0</x:v>
      </x:c>
      <x:c r="G6" s="292">
        <x:f>'CONSOLIDADO_TOTAL RECAUDO'!H145</x:f>
        <x:v>0</x:v>
      </x:c>
      <x:c r="H6" s="340">
        <x:f t="shared" si="1"/>
        <x:v>0</x:v>
      </x:c>
      <x:c r="I6" s="291">
        <x:f>'CONSOLIDADO_TOTAL RECAUDO'!D107</x:f>
        <x:v>0</x:v>
      </x:c>
      <x:c r="J6" s="292">
        <x:f>'CONSOLIDADO_TOTAL RECAUDO'!N107</x:f>
        <x:v>0</x:v>
      </x:c>
      <x:c r="K6" s="292">
        <x:f>'CONSOLIDADO_TOTAL RECAUDO'!D128</x:f>
        <x:v>0</x:v>
      </x:c>
      <x:c r="L6" s="353">
        <x:f>'CONSOLIDADO_TOTAL RECAUDO'!E128</x:f>
        <x:v>0</x:v>
      </x:c>
      <x:c r="M6" s="292">
        <x:f>-'CONSOLIDADO_TOTAL RECAUDO'!D69-'CONSOLIDADO_TOTAL RECAUDO'!N69</x:f>
        <x:v>0</x:v>
      </x:c>
      <x:c r="N6" s="318">
        <x:f t="shared" ref="N6:N7" si="3">SUM(I6:M6)</x:f>
        <x:v>0</x:v>
      </x:c>
      <x:c r="O6" s="354">
        <x:f t="shared" si="2"/>
        <x:v>0</x:v>
      </x:c>
      <x:c r="P6" s="1" t="b">
        <x:f t="shared" si="0"/>
        <x:v>1</x:v>
      </x:c>
    </x:row>
    <x:row r="7" spans="2:16" s="355" customFormat="1" x14ac:dyDescent="0.3">
      <x:c r="B7" s="314">
        <x:v>5</x:v>
      </x:c>
      <x:c r="C7" s="292" t="n">
        <x:f>'Recaudo EAAB Reciprocidad'!D25+'Recaudo EAAB + Ciud Limp'!D25+'Recaudo Directa Occidente'!D25+'Recaudo ENEL'!D25+'Recaudo ENERBIT'!D25</x:f>
        <x:v>7564541998</x:v>
      </x:c>
      <x:c r="D7" s="292">
        <x:f>'CONSOLIDADO_TOTAL RECAUDO'!G129</x:f>
        <x:v>0</x:v>
      </x:c>
      <x:c r="E7" s="292">
        <x:f>'CONSOLIDADO_TOTAL RECAUDO'!D32+'CONSOLIDADO_TOTAL RECAUDO'!N32</x:f>
        <x:v>0</x:v>
      </x:c>
      <x:c r="F7" s="292">
        <x:f>'CONSOLIDADO_TOTAL RECAUDO'!I146</x:f>
        <x:v>0</x:v>
      </x:c>
      <x:c r="G7" s="292">
        <x:f>'CONSOLIDADO_TOTAL RECAUDO'!H146</x:f>
        <x:v>0</x:v>
      </x:c>
      <x:c r="H7" s="340">
        <x:f>SUM(C7:G7)</x:f>
        <x:v>0</x:v>
      </x:c>
      <x:c r="I7" s="291">
        <x:f>'CONSOLIDADO_TOTAL RECAUDO'!D108</x:f>
        <x:v>0</x:v>
      </x:c>
      <x:c r="J7" s="292">
        <x:f>'CONSOLIDADO_TOTAL RECAUDO'!N108</x:f>
        <x:v>0</x:v>
      </x:c>
      <x:c r="K7" s="292">
        <x:f>'CONSOLIDADO_TOTAL RECAUDO'!D129</x:f>
        <x:v>0</x:v>
      </x:c>
      <x:c r="L7" s="353">
        <x:f>'CONSOLIDADO_TOTAL RECAUDO'!E129</x:f>
        <x:v>0</x:v>
      </x:c>
      <x:c r="M7" s="292">
        <x:f>-'CONSOLIDADO_TOTAL RECAUDO'!D70-'CONSOLIDADO_TOTAL RECAUDO'!N70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0"/>
        <x:v>1</x:v>
      </x:c>
    </x:row>
    <x:row r="8" spans="2:16" s="355" customFormat="1" ht="12.9" thickBot="1" x14ac:dyDescent="0.35">
      <x:c r="B8" s="341" t="s">
        <x:v>89</x:v>
      </x:c>
      <x:c r="C8" s="356" t="n">
        <x:f>'Recaudo EAAB Reciprocidad'!D26+'Recaudo EAAB + Ciud Limp'!D26+'Recaudo Directa Occidente'!D26+'Recaudo ENEL'!D26+'Recaudo ENERBIT'!D26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'CONSOLIDADO_TOTAL RECAUDO'!E130</x:f>
        <x:v>0</x:v>
      </x:c>
      <x:c r="M8" s="356">
        <x:v>0</x:v>
      </x:c>
      <x:c r="N8" s="358">
        <x:f>SUM(I8:L8)-M8</x:f>
        <x:v>0</x:v>
      </x:c>
      <x:c r="O8" s="354">
        <x:f>H8-N8</x:f>
        <x:v>0</x:v>
      </x:c>
      <x:c r="P8" s="1" t="b">
        <x:f t="shared" si="0"/>
        <x:v>1</x:v>
      </x:c>
    </x:row>
    <x:row r="9" spans="2:16" s="355" customFormat="1" ht="12.9" thickBot="1" x14ac:dyDescent="0.35">
      <x:c r="B9" s="327"/>
      <x:c r="C9" s="290" t="n">
        <x:f>SUM(C3:C8)</x:f>
        <x:v>53102379786</x:v>
      </x:c>
      <x:c r="D9" s="290">
        <x:f t="shared" ref="D9:L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>SUM(H3:H8)</x:f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>SUM(M3:M8)</x:f>
        <x:v>0</x:v>
      </x:c>
      <x:c r="N9" s="290">
        <x:f>SUM(N3:N8)</x:f>
        <x:v>0</x:v>
      </x:c>
      <x:c r="O9" s="359">
        <x:f>SUM(O3:O8)</x:f>
        <x:v>0</x:v>
      </x:c>
      <x:c r="P9" s="1" t="b">
        <x:f t="shared" si="0"/>
        <x:v>1</x:v>
      </x:c>
    </x:row>
    <x:row r="11" spans="2:16" x14ac:dyDescent="0.3">
      <x:c r="B11" s="102" t="s">
        <x:v>89</x:v>
      </x:c>
      <x:c r="C11" s="103" t="s">
        <x:v>90</x:v>
      </x:c>
      <x:c r="M11" s="141"/>
      <x:c r="O11" s="137"/>
    </x:row>
    <x:row r="12" spans="2:16" x14ac:dyDescent="0.3">
      <x:c r="C12" s="143"/>
    </x:row>
    <x:row r="13" spans="2:16" x14ac:dyDescent="0.3">
      <x:c r="B13" s="142"/>
      <x:c r="C13" s="143" t="s">
        <x:v>1</x:v>
      </x:c>
    </x:row>
    <x:row r="14" spans="2:16" x14ac:dyDescent="0.3">
      <x:c r="C14" s="245" t="n">
        <x:f>'Valida - Control Recaudo'!F10</x:f>
        <x:v>53102379786</x:v>
      </x:c>
    </x:row>
    <x:row r="15" spans="2:16" x14ac:dyDescent="0.3">
      <x:c r="C15" s="249" t="b">
        <x:f>C14=C9</x:f>
        <x:v>1</x:v>
      </x:c>
    </x:row>
    <x:row r="16" spans="2:16" x14ac:dyDescent="0.3">
      <x:c r="C16" s="355"/>
    </x:row>
    <x:row r="18" spans="3:18" ht="12.9" thickBot="1" x14ac:dyDescent="0.35">
      <x:c r="D18" s="701" t="s">
        <x:v>269</x:v>
      </x:c>
      <x:c r="E18" s="701"/>
    </x:row>
    <x:row r="19" spans="3:18" ht="35.15" thickBot="1" x14ac:dyDescent="0.35">
      <x:c r="D19" s="28" t="s">
        <x:v>55</x:v>
      </x:c>
      <x:c r="E19" s="28" t="s">
        <x:v>50</x:v>
      </x:c>
      <x:c r="F19" s="28" t="s">
        <x:v>57</x:v>
      </x:c>
      <x:c r="G19" s="28" t="s">
        <x:v>129</x:v>
      </x:c>
      <x:c r="H19" s="28" t="s">
        <x:v>130</x:v>
      </x:c>
      <x:c r="I19" s="131" t="s">
        <x:v>52</x:v>
      </x:c>
      <x:c r="J19" s="12" t="s">
        <x:v>58</x:v>
      </x:c>
      <x:c r="K19" s="12" t="s">
        <x:v>59</x:v>
      </x:c>
      <x:c r="L19" s="12" t="s">
        <x:v>53</x:v>
      </x:c>
      <x:c r="M19" s="27" t="s">
        <x:v>60</x:v>
      </x:c>
      <x:c r="N19" s="65" t="s">
        <x:v>92</x:v>
      </x:c>
      <x:c r="O19" s="132" t="s">
        <x:v>54</x:v>
      </x:c>
    </x:row>
    <x:row r="20" spans="3:18" x14ac:dyDescent="0.3">
      <x:c r="C20" t="s">
        <x:v>203</x:v>
      </x:c>
      <x:c r="D20" s="695">
        <x:f>VALIDACION_RECIP!C9</x:f>
        <x:v>0</x:v>
      </x:c>
      <x:c r="E20" s="695">
        <x:f>VALIDACION_RECIP!D9</x:f>
        <x:v>0</x:v>
      </x:c>
      <x:c r="F20" s="695">
        <x:f>VALIDACION_RECIP!E9</x:f>
        <x:v>0</x:v>
      </x:c>
      <x:c r="G20" s="695">
        <x:f>VALIDACION_RECIP!F9</x:f>
        <x:v>0</x:v>
      </x:c>
      <x:c r="H20" s="695">
        <x:f>VALIDACION_RECIP!G9</x:f>
        <x:v>0</x:v>
      </x:c>
      <x:c r="I20" s="695">
        <x:f>VALIDACION_RECIP!H9</x:f>
        <x:v>0</x:v>
      </x:c>
      <x:c r="J20" s="695">
        <x:f>VALIDACION_RECIP!I9</x:f>
        <x:v>0</x:v>
      </x:c>
      <x:c r="K20" s="695">
        <x:f>VALIDACION_RECIP!J9</x:f>
        <x:v>0</x:v>
      </x:c>
      <x:c r="L20" s="695">
        <x:f>VALIDACION_RECIP!K9</x:f>
        <x:v>0</x:v>
      </x:c>
      <x:c r="M20" s="695">
        <x:f>VALIDACION_RECIP!L9</x:f>
        <x:v>0</x:v>
      </x:c>
      <x:c r="N20" s="695">
        <x:f>VALIDACION_RECIP!M9</x:f>
        <x:v>0</x:v>
      </x:c>
      <x:c r="O20" s="695">
        <x:f>VALIDACION_RECIP!N9</x:f>
        <x:v>0</x:v>
      </x:c>
    </x:row>
    <x:row r="21" spans="3:18" x14ac:dyDescent="0.3">
      <x:c r="C21" s="167" t="s">
        <x:v>155</x:v>
      </x:c>
      <x:c r="D21" s="695">
        <x:f>VALIDACION_ENEL!C9</x:f>
        <x:v>0</x:v>
      </x:c>
      <x:c r="E21" s="695">
        <x:f>VALIDACION_ENEL!D9</x:f>
        <x:v>0</x:v>
      </x:c>
      <x:c r="F21" s="695">
        <x:f>VALIDACION_ENEL!E9</x:f>
        <x:v>0</x:v>
      </x:c>
      <x:c r="G21" s="695">
        <x:f>VALIDACION_ENEL!F9</x:f>
        <x:v>0</x:v>
      </x:c>
      <x:c r="H21" s="695">
        <x:f>VALIDACION_ENEL!G9</x:f>
        <x:v>0</x:v>
      </x:c>
      <x:c r="I21" s="695">
        <x:f>VALIDACION_ENEL!H9</x:f>
        <x:v>0</x:v>
      </x:c>
      <x:c r="J21" s="695">
        <x:f>VALIDACION_ENEL!I9</x:f>
        <x:v>0</x:v>
      </x:c>
      <x:c r="K21" s="695">
        <x:f>VALIDACION_ENEL!J9</x:f>
        <x:v>0</x:v>
      </x:c>
      <x:c r="L21" s="695">
        <x:f>VALIDACION_ENEL!K9</x:f>
        <x:v>0</x:v>
      </x:c>
      <x:c r="M21" s="695">
        <x:f>VALIDACION_ENEL!L9</x:f>
        <x:v>0</x:v>
      </x:c>
      <x:c r="N21" s="695">
        <x:f>VALIDACION_ENEL!M9</x:f>
        <x:v>0</x:v>
      </x:c>
      <x:c r="O21" s="695">
        <x:f>VALIDACION_ENEL!N9</x:f>
        <x:v>0</x:v>
      </x:c>
    </x:row>
    <x:row r="22" spans="3:18" x14ac:dyDescent="0.3">
      <x:c r="C22" s="759" t="s">
        <x:v>326</x:v>
      </x:c>
      <x:c r="D22" s="695">
        <x:f>VALIDACION_ENERBIT!C9</x:f>
        <x:v>0</x:v>
      </x:c>
      <x:c r="E22" s="695">
        <x:f>VALIDACION_ENERBIT!D9</x:f>
        <x:v>0</x:v>
      </x:c>
      <x:c r="F22" s="695">
        <x:f>VALIDACION_ENERBIT!E9</x:f>
        <x:v>0</x:v>
      </x:c>
      <x:c r="G22" s="695">
        <x:f>VALIDACION_ENERBIT!F9</x:f>
        <x:v>0</x:v>
      </x:c>
      <x:c r="H22" s="695">
        <x:f>VALIDACION_ENERBIT!G9</x:f>
        <x:v>0</x:v>
      </x:c>
      <x:c r="I22" s="695">
        <x:f>VALIDACION_ENERBIT!H9</x:f>
        <x:v>0</x:v>
      </x:c>
      <x:c r="J22" s="695">
        <x:f>VALIDACION_ENERBIT!I9</x:f>
        <x:v>0</x:v>
      </x:c>
      <x:c r="K22" s="695">
        <x:f>VALIDACION_ENERBIT!J9</x:f>
        <x:v>0</x:v>
      </x:c>
      <x:c r="L22" s="695">
        <x:f>VALIDACION_ENERBIT!K9</x:f>
        <x:v>0</x:v>
      </x:c>
      <x:c r="M22" s="695">
        <x:f>VALIDACION_ENERBIT!L9</x:f>
        <x:v>0</x:v>
      </x:c>
      <x:c r="N22" s="695">
        <x:f>VALIDACION_ENERBIT!M9</x:f>
        <x:v>0</x:v>
      </x:c>
      <x:c r="O22" s="695">
        <x:f>VALIDACION_ENERBIT!N9</x:f>
        <x:v>0</x:v>
      </x:c>
    </x:row>
    <x:row r="23" spans="3:18" x14ac:dyDescent="0.3">
      <x:c r="C23" s="212" t="s">
        <x:v>119</x:v>
      </x:c>
      <x:c r="D23" s="695">
        <x:f>VALIDACION_OCCIDENTE!C9</x:f>
        <x:v>0</x:v>
      </x:c>
      <x:c r="E23" s="695">
        <x:f>VALIDACION_OCCIDENTE!D9</x:f>
        <x:v>0</x:v>
      </x:c>
      <x:c r="F23" s="695">
        <x:f>VALIDACION_OCCIDENTE!E9</x:f>
        <x:v>0</x:v>
      </x:c>
      <x:c r="G23" s="695">
        <x:f>VALIDACION_OCCIDENTE!F9</x:f>
        <x:v>0</x:v>
      </x:c>
      <x:c r="H23" s="695">
        <x:f>VALIDACION_OCCIDENTE!G9</x:f>
        <x:v>0</x:v>
      </x:c>
      <x:c r="I23" s="695">
        <x:f>VALIDACION_OCCIDENTE!H9</x:f>
        <x:v>0</x:v>
      </x:c>
      <x:c r="J23" s="695">
        <x:f>VALIDACION_OCCIDENTE!I9</x:f>
        <x:v>0</x:v>
      </x:c>
      <x:c r="K23" s="695">
        <x:f>VALIDACION_OCCIDENTE!J9</x:f>
        <x:v>0</x:v>
      </x:c>
      <x:c r="L23" s="695">
        <x:f>VALIDACION_OCCIDENTE!K9</x:f>
        <x:v>0</x:v>
      </x:c>
      <x:c r="M23" s="695">
        <x:f>VALIDACION_OCCIDENTE!L9</x:f>
        <x:v>0</x:v>
      </x:c>
      <x:c r="N23" s="695">
        <x:f>VALIDACION_OCCIDENTE!M9</x:f>
        <x:v>0</x:v>
      </x:c>
      <x:c r="O23" s="695">
        <x:f>VALIDACION_OCCIDENTE!N9</x:f>
        <x:v>0</x:v>
      </x:c>
    </x:row>
    <x:row r="24" spans="3:18" x14ac:dyDescent="0.3">
      <x:c r="D24" s="702">
        <x:f>SUM(D20:D23)</x:f>
        <x:v>0</x:v>
      </x:c>
      <x:c r="E24" s="141">
        <x:f>SUM(E20:E23)</x:f>
        <x:v>0</x:v>
      </x:c>
      <x:c r="F24" s="141">
        <x:f>SUM(F20:F23)</x:f>
        <x:v>0</x:v>
      </x:c>
      <x:c r="G24" s="141">
        <x:f>SUM(G20:G23)</x:f>
        <x:v>0</x:v>
      </x:c>
      <x:c r="H24" s="141">
        <x:f t="shared" ref="H24:O24" si="5">SUM(H20:H23)</x:f>
        <x:v>0</x:v>
      </x:c>
      <x:c r="I24" s="141">
        <x:f t="shared" si="5"/>
        <x:v>0</x:v>
      </x:c>
      <x:c r="J24" s="141">
        <x:f t="shared" si="5"/>
        <x:v>0</x:v>
      </x:c>
      <x:c r="K24" s="141">
        <x:f t="shared" si="5"/>
        <x:v>0</x:v>
      </x:c>
      <x:c r="L24" s="141">
        <x:f t="shared" si="5"/>
        <x:v>0</x:v>
      </x:c>
      <x:c r="M24" s="141">
        <x:f t="shared" si="5"/>
        <x:v>0</x:v>
      </x:c>
      <x:c r="N24" s="141">
        <x:f t="shared" si="5"/>
        <x:v>0</x:v>
      </x:c>
      <x:c r="O24" s="141">
        <x:f t="shared" si="5"/>
        <x:v>0</x:v>
      </x:c>
    </x:row>
    <x:row r="25" spans="3:18" x14ac:dyDescent="0.3">
      <x:c r="D25" t="b">
        <x:f>D24=C9</x:f>
        <x:v>1</x:v>
      </x:c>
      <x:c r="E25" s="141" t="b">
        <x:f>E24=D9</x:f>
        <x:v>1</x:v>
      </x:c>
      <x:c r="F25" s="141" t="b">
        <x:f>F24=E9</x:f>
        <x:v>1</x:v>
      </x:c>
      <x:c r="G25" t="b">
        <x:f t="shared" ref="G25:N25" si="6">G24=F9</x:f>
        <x:v>1</x:v>
      </x:c>
      <x:c r="H25" t="b">
        <x:f t="shared" si="6"/>
        <x:v>1</x:v>
      </x:c>
      <x:c r="I25" s="141" t="b">
        <x:f>I24=H9</x:f>
        <x:v>1</x:v>
      </x:c>
      <x:c r="J25" s="141" t="b">
        <x:f>J24=I9</x:f>
        <x:v>1</x:v>
      </x:c>
      <x:c r="K25" t="b">
        <x:f t="shared" si="6"/>
        <x:v>1</x:v>
      </x:c>
      <x:c r="L25" t="b">
        <x:f t="shared" si="6"/>
        <x:v>1</x:v>
      </x:c>
      <x:c r="M25" t="b">
        <x:f>M24=L9</x:f>
        <x:v>1</x:v>
      </x:c>
      <x:c r="N25" t="b">
        <x:f t="shared" si="6"/>
        <x:v>1</x:v>
      </x:c>
      <x:c r="O25" s="141" t="b">
        <x:f>O24=N9</x:f>
        <x:v>0</x:v>
      </x:c>
    </x:row>
    <x:row r="27" spans="3:18" ht="12.9" thickBot="1" x14ac:dyDescent="0.35">
      <x:c r="D27" s="701" t="s">
        <x:v>270</x:v>
      </x:c>
    </x:row>
    <x:row r="28" spans="3:18" ht="57" customHeight="1" thickBot="1" x14ac:dyDescent="0.35">
      <x:c r="D28" s="11" t="s">
        <x:v>4</x:v>
      </x:c>
      <x:c r="E28" s="12" t="s">
        <x:v>7</x:v>
      </x:c>
      <x:c r="F28" s="12" t="s">
        <x:v>274</x:v>
      </x:c>
      <x:c r="G28" s="12" t="s">
        <x:v>191</x:v>
      </x:c>
      <x:c r="I28" s="12" t="s">
        <x:v>38</x:v>
      </x:c>
      <x:c r="J28" s="85" t="s">
        <x:v>272</x:v>
      </x:c>
      <x:c r="K28" s="65" t="s">
        <x:v>47</x:v>
      </x:c>
      <x:c r="L28" s="370" t="s">
        <x:v>56</x:v>
      </x:c>
      <x:c r="M28" s="73" t="s">
        <x:v>273</x:v>
      </x:c>
      <x:c r="N28" s="73" t="s">
        <x:v>172</x:v>
      </x:c>
      <x:c r="O28" s="28" t="s">
        <x:v>129</x:v>
      </x:c>
      <x:c r="P28" s="12" t="s">
        <x:v>191</x:v>
      </x:c>
      <x:c r="Q28" s="12" t="s">
        <x:v>271</x:v>
      </x:c>
    </x:row>
    <x:row r="29" spans="3:18" x14ac:dyDescent="0.3">
      <x:c r="C29" t="s">
        <x:v>203</x:v>
      </x:c>
      <x:c r="D29" s="695">
        <x:f>'REMUNERACION Reciprocidad EAAB'!D109</x:f>
        <x:v>0</x:v>
      </x:c>
      <x:c r="E29" s="695">
        <x:f>'REMUNERACION Reciprocidad EAAB'!N109</x:f>
        <x:v>0</x:v>
      </x:c>
      <x:c r="F29" s="695">
        <x:f>D29+E29</x:f>
        <x:v>0</x:v>
      </x:c>
      <x:c r="G29" s="703">
        <x:f>D20-F29</x:f>
        <x:v>0</x:v>
      </x:c>
      <x:c r="H29" s="695"/>
      <x:c r="I29" s="695">
        <x:f>'REMUNERACION Reciprocidad EAAB'!D131</x:f>
        <x:v>0</x:v>
      </x:c>
      <x:c r="J29" s="695"/>
      <x:c r="K29" s="695">
        <x:f>'REMUNERACION Reciprocidad EAAB'!G131</x:f>
        <x:v>0</x:v>
      </x:c>
      <x:c r="L29" s="695">
        <x:f>'REMUNERACION Reciprocidad EAAB'!H131</x:f>
        <x:v>0</x:v>
      </x:c>
      <x:c r="M29" s="695">
        <x:f>'REMUNERACION Reciprocidad EAAB'!I131</x:f>
        <x:v>0</x:v>
      </x:c>
      <x:c r="N29" s="695">
        <x:f>+'REMUNERACION Reciprocidad EAAB'!J131</x:f>
        <x:v>0</x:v>
      </x:c>
      <x:c r="O29" s="695">
        <x:f>'REMUNERACION Reciprocidad EAAB'!I147</x:f>
        <x:v>0</x:v>
      </x:c>
      <x:c r="P29" s="703">
        <x:f>I29+J29-K29-L29-M29-N29-O29</x:f>
        <x:v>0</x:v>
      </x:c>
      <x:c r="Q29" s="704">
        <x:f>G29-P29</x:f>
        <x:v>0</x:v>
      </x:c>
      <x:c r="R29" s="141"/>
    </x:row>
    <x:row r="30" spans="3:18" x14ac:dyDescent="0.3">
      <x:c r="C30" s="167" t="s">
        <x:v>155</x:v>
      </x:c>
      <x:c r="D30" s="695">
        <x:f>REMUNERACION_ENEL!D109</x:f>
        <x:v>0</x:v>
      </x:c>
      <x:c r="E30" s="695">
        <x:f>REMUNERACION_ENEL!N109</x:f>
        <x:v>0</x:v>
      </x:c>
      <x:c r="F30" s="695">
        <x:f>D30+E30</x:f>
        <x:v>0</x:v>
      </x:c>
      <x:c r="G30" s="705">
        <x:f>D21-F30</x:f>
        <x:v>0</x:v>
      </x:c>
      <x:c r="H30" s="695"/>
      <x:c r="I30" s="695">
        <x:f>REMUNERACION_ENEL!D131</x:f>
        <x:v>0</x:v>
      </x:c>
      <x:c r="J30" s="695"/>
      <x:c r="K30" s="695">
        <x:f>REMUNERACION_ENEL!G131</x:f>
        <x:v>0</x:v>
      </x:c>
      <x:c r="L30" s="695">
        <x:f>REMUNERACION_ENEL!H131</x:f>
        <x:v>0</x:v>
      </x:c>
      <x:c r="M30" s="695">
        <x:f>REMUNERACION_ENEL!I131</x:f>
        <x:v>0</x:v>
      </x:c>
      <x:c r="N30" s="695">
        <x:f>REMUNERACION_ENEL!J131</x:f>
        <x:v>0</x:v>
      </x:c>
      <x:c r="O30" s="695">
        <x:f>REMUNERACION_ENEL!I147</x:f>
        <x:v>0</x:v>
      </x:c>
      <x:c r="P30" s="703">
        <x:f>I30+J30-K30-L30-M30-N30-O30</x:f>
        <x:v>0</x:v>
      </x:c>
      <x:c r="Q30" s="704">
        <x:f>G30-P30</x:f>
        <x:v>0</x:v>
      </x:c>
      <x:c r="R30" s="141"/>
    </x:row>
    <x:row r="31" spans="3:18" x14ac:dyDescent="0.3">
      <x:c r="C31" s="759" t="s">
        <x:v>326</x:v>
      </x:c>
      <x:c r="D31" s="695">
        <x:f>REMUNERACION_ENERBIT!D109</x:f>
        <x:v>0</x:v>
      </x:c>
      <x:c r="E31" s="695">
        <x:f>REMUNERACION_ENERBIT!N109</x:f>
        <x:v>0</x:v>
      </x:c>
      <x:c r="F31" s="695">
        <x:f>D31+E31</x:f>
        <x:v>0</x:v>
      </x:c>
      <x:c r="G31" s="705">
        <x:f>D22-F31</x:f>
        <x:v>0</x:v>
      </x:c>
      <x:c r="H31" s="695"/>
      <x:c r="I31" s="695">
        <x:f>REMUNERACION_ENERBIT!D131</x:f>
        <x:v>0</x:v>
      </x:c>
      <x:c r="J31" s="695"/>
      <x:c r="K31" s="695">
        <x:f>REMUNERACION_ENERBIT!G131</x:f>
        <x:v>0</x:v>
      </x:c>
      <x:c r="L31" s="695">
        <x:f>REMUNERACION_ENERBIT!H131</x:f>
        <x:v>0</x:v>
      </x:c>
      <x:c r="M31" s="695">
        <x:f>REMUNERACION_ENERBIT!I131</x:f>
        <x:v>0</x:v>
      </x:c>
      <x:c r="N31" s="695">
        <x:f>REMUNERACION_ENERBIT!J131</x:f>
        <x:v>0</x:v>
      </x:c>
      <x:c r="O31" s="695">
        <x:f>REMUNERACION_ENERBIT!K131</x:f>
        <x:v>0</x:v>
      </x:c>
      <x:c r="P31" s="703">
        <x:f t="shared" ref="P31" si="7">I31+J31-K31-L31-M31-N31-O31</x:f>
        <x:v>0</x:v>
      </x:c>
      <x:c r="Q31" s="704">
        <x:f t="shared" ref="Q31:Q32" si="8">G31-P31</x:f>
        <x:v>0</x:v>
      </x:c>
      <x:c r="R31" s="141"/>
    </x:row>
    <x:row r="32" spans="3:18" x14ac:dyDescent="0.3">
      <x:c r="C32" s="212" t="s">
        <x:v>119</x:v>
      </x:c>
      <x:c r="D32" s="695">
        <x:f>'REMUNERACION_OCCIDENTE_ Directa'!D109</x:f>
        <x:v>0</x:v>
      </x:c>
      <x:c r="E32" s="695">
        <x:f>'REMUNERACION_OCCIDENTE_ Directa'!N109</x:f>
        <x:v>0</x:v>
      </x:c>
      <x:c r="F32" s="695">
        <x:f>D32+E32</x:f>
        <x:v>0</x:v>
      </x:c>
      <x:c r="G32" s="705">
        <x:f>D23-F32</x:f>
        <x:v>0</x:v>
      </x:c>
      <x:c r="H32" s="695"/>
      <x:c r="I32" s="695">
        <x:f>'REMUNERACION_OCCIDENTE_ Directa'!D131</x:f>
        <x:v>0</x:v>
      </x:c>
      <x:c r="J32" s="695">
        <x:f>'CONSOLIDADO_TOTAL RECAUDO'!E131</x:f>
        <x:v>0</x:v>
      </x:c>
      <x:c r="K32" s="695">
        <x:f>'REMUNERACION_OCCIDENTE_ Directa'!G131</x:f>
        <x:v>0</x:v>
      </x:c>
      <x:c r="L32" s="695">
        <x:f>'REMUNERACION_OCCIDENTE_ Directa'!H131</x:f>
        <x:v>0</x:v>
      </x:c>
      <x:c r="M32" s="695">
        <x:f>'REMUNERACION_OCCIDENTE_ Directa'!I131</x:f>
        <x:v>0</x:v>
      </x:c>
      <x:c r="N32" s="695">
        <x:f>'REMUNERACION_OCCIDENTE_ Directa'!J131</x:f>
        <x:v>0</x:v>
      </x:c>
      <x:c r="O32" s="695">
        <x:f>'REMUNERACION_OCCIDENTE_ Directa'!I147</x:f>
        <x:v>0</x:v>
      </x:c>
      <x:c r="P32" s="703">
        <x:f t="shared" ref="P32" si="9">I32+J32-K32-L32-M32-N32-O32</x:f>
        <x:v>0</x:v>
      </x:c>
      <x:c r="Q32" s="704">
        <x:f t="shared" si="8"/>
        <x:v>0</x:v>
      </x:c>
      <x:c r="R32" s="141"/>
    </x:row>
    <x:row r="33" spans="4:17" x14ac:dyDescent="0.3">
      <x:c r="D33" s="695">
        <x:f>SUM(D29:D32)</x:f>
        <x:v>0</x:v>
      </x:c>
      <x:c r="E33" s="695">
        <x:f>SUM(E29:E32)</x:f>
        <x:v>0</x:v>
      </x:c>
      <x:c r="F33" s="706">
        <x:f>SUM(F29:F32)</x:f>
        <x:v>0</x:v>
      </x:c>
      <x:c r="G33" s="707">
        <x:f>D24-F33</x:f>
        <x:v>0</x:v>
      </x:c>
      <x:c r="H33" s="695"/>
      <x:c r="I33" s="695">
        <x:f>SUM(I29:I32)</x:f>
        <x:v>0</x:v>
      </x:c>
      <x:c r="J33" s="695">
        <x:f>SUM(J29:J32)</x:f>
        <x:v>0</x:v>
      </x:c>
      <x:c r="K33" s="695">
        <x:f>SUM(K29:K32)</x:f>
        <x:v>0</x:v>
      </x:c>
      <x:c r="L33" s="695">
        <x:f t="shared" ref="L33:N33" si="10">SUM(L29:L32)</x:f>
        <x:v>0</x:v>
      </x:c>
      <x:c r="M33" s="695">
        <x:f t="shared" si="10"/>
        <x:v>0</x:v>
      </x:c>
      <x:c r="N33" s="695">
        <x:f t="shared" si="10"/>
        <x:v>0</x:v>
      </x:c>
      <x:c r="O33" s="695">
        <x:f>SUM(O29:O32)</x:f>
        <x:v>0</x:v>
      </x:c>
      <x:c r="P33" s="708">
        <x:f>SUM(P29:P32)</x:f>
        <x:v>0</x:v>
      </x:c>
      <x:c r="Q33" s="704">
        <x:f>SUM(Q29:Q32)</x:f>
        <x:v>0</x:v>
      </x:c>
    </x:row>
    <x:row r="34" spans="4:17" x14ac:dyDescent="0.3">
      <x:c r="D34" s="695" t="b">
        <x:f>D33='CONSOLIDADO_TOTAL RECAUDO'!D109</x:f>
        <x:v>0</x:v>
      </x:c>
      <x:c r="E34" s="695" t="b">
        <x:f>E33='CONSOLIDADO_TOTAL RECAUDO'!N109</x:f>
        <x:v>1</x:v>
      </x:c>
      <x:c r="F34" s="695" t="b">
        <x:f>F33='CONSOLIDADO_TOTAL RECAUDO'!D109+'CONSOLIDADO_TOTAL RECAUDO'!N109</x:f>
        <x:v>0</x:v>
      </x:c>
      <x:c r="G34" s="695"/>
      <x:c r="H34" s="695"/>
      <x:c r="I34" s="695"/>
      <x:c r="J34" s="695"/>
      <x:c r="K34" s="695"/>
      <x:c r="L34" s="695"/>
      <x:c r="M34" s="695"/>
      <x:c r="N34" s="695"/>
      <x:c r="O34" s="695"/>
    </x:row>
    <x:row r="35" spans="4:17" x14ac:dyDescent="0.3">
      <x:c r="K35" s="141"/>
      <x:c r="P35" s="270">
        <x:f>P33-G33</x:f>
        <x:v>0</x:v>
      </x:c>
    </x:row>
    <x:row r="36" spans="4:17" x14ac:dyDescent="0.3">
      <x:c r="F36" s="141"/>
      <x:c r="L36" s="141"/>
      <x:c r="P36" s="141"/>
    </x:row>
    <x:row r="37" spans="4:17" x14ac:dyDescent="0.3">
      <x:c r="E37" s="141"/>
      <x:c r="P37" s="601"/>
    </x:row>
    <x:row r="38" spans="4:17" x14ac:dyDescent="0.3">
      <x:c r="P38" s="141"/>
    </x:row>
  </x:sheetData>
  <x:conditionalFormatting sqref="C15">
    <x:cfRule type="cellIs" dxfId="67" priority="1" operator="equal">
      <x:formula>FALSE</x:formula>
    </x:cfRule>
    <x:cfRule type="cellIs" dxfId="66" priority="2" operator="equal">
      <x:formula>TRUE</x:formula>
    </x:cfRule>
    <x:cfRule type="cellIs" dxfId="65" priority="4" operator="notEqual">
      <x:formula>TRUE</x:formula>
    </x:cfRule>
  </x:conditionalFormatting>
  <x:conditionalFormatting sqref="P3:P9">
    <x:cfRule type="cellIs" dxfId="64" priority="3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200-000000000000}" mc:Ignorable="x14ac xr xr2 xr3">
  <x:sheetPr>
    <x:tabColor rgb="FF00FF00"/>
    <x:pageSetUpPr fitToPage="1"/>
  </x:sheetPr>
  <x:dimension ref="A1:AI52"/>
  <x:sheetViews>
    <x:sheetView zoomScaleNormal="100" workbookViewId="0">
      <x:selection activeCell="H26" sqref="H26"/>
    </x:sheetView>
  </x:sheetViews>
  <x:sheetFormatPr baseColWidth="10" defaultColWidth="11.3828125" defaultRowHeight="11.6" x14ac:dyDescent="0.3"/>
  <x:cols>
    <x:col min="1" max="1" width="3" style="1" customWidth="1"/>
    <x:col min="2" max="2" width="4.3828125" style="1" bestFit="1" customWidth="1"/>
    <x:col min="3" max="3" width="36.84375" style="1" customWidth="1"/>
    <x:col min="4" max="4" width="14.84375" style="1" bestFit="1" customWidth="1"/>
    <x:col min="5" max="5" width="15.3828125" style="1" bestFit="1" customWidth="1"/>
    <x:col min="6" max="7" width="14.84375" style="1" customWidth="1"/>
    <x:col min="8" max="8" width="16.15234375" style="1" customWidth="1"/>
    <x:col min="9" max="9" width="20.15234375" style="1" bestFit="1" customWidth="1"/>
    <x:col min="10" max="10" width="15.53515625" style="1" customWidth="1"/>
    <x:col min="11" max="11" width="17.53515625" style="1" customWidth="1"/>
    <x:col min="12" max="12" width="16.53515625" style="1" customWidth="1"/>
    <x:col min="13" max="13" width="19.84375" style="1" customWidth="1"/>
    <x:col min="14" max="14" width="15.15234375" style="1" customWidth="1"/>
    <x:col min="15" max="15" width="16.84375" style="1" customWidth="1"/>
    <x:col min="16" max="16" width="3.84375" style="1" customWidth="1"/>
    <x:col min="17" max="17" width="2.84375" style="1" customWidth="1"/>
    <x:col min="18" max="18" width="4.53515625" style="1" customWidth="1"/>
    <x:col min="19" max="19" width="11.15234375" style="1" customWidth="1"/>
    <x:col min="20" max="20" width="39.3828125" style="1" customWidth="1"/>
    <x:col min="21" max="21" width="19.15234375" style="1" customWidth="1"/>
    <x:col min="22" max="22" width="17.84375" style="1" customWidth="1"/>
    <x:col min="23" max="23" width="16.3828125" style="1" customWidth="1"/>
    <x:col min="24" max="24" width="17.15234375" style="1" customWidth="1"/>
    <x:col min="25" max="25" width="15.84375" style="1" customWidth="1"/>
    <x:col min="26" max="26" width="16" style="1" customWidth="1"/>
    <x:col min="27" max="27" width="15" style="1" customWidth="1"/>
    <x:col min="28" max="29" width="16.84375" style="1" customWidth="1"/>
    <x:col min="30" max="31" width="15.3828125" style="1" customWidth="1"/>
    <x:col min="32" max="32" width="16.15234375" style="1" customWidth="1"/>
    <x:col min="33" max="33" width="11.15234375" style="1" customWidth="1"/>
    <x:col min="34" max="34" width="12" style="1" bestFit="1" customWidth="1"/>
    <x:col min="35" max="35" width="3.3828125" style="1" customWidth="1"/>
    <x:col min="36" max="16384" width="11.3828125" style="1"/>
  </x:cols>
  <x:sheetData>
    <x:row r="1" spans="2:35" ht="12" thickBot="1" x14ac:dyDescent="0.35">
      <x:c r="Q1" s="4"/>
      <x:c r="AI1" s="4"/>
    </x:row>
    <x:row r="2" spans="2:35" x14ac:dyDescent="0.3">
      <x:c r="B2" s="599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4.15" x14ac:dyDescent="0.3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2026101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2026101</x:v>
      </x:c>
      <x:c r="AE3" s="84"/>
      <x:c r="AF3" s="48"/>
      <x:c r="AG3" s="2"/>
      <x:c r="AI3" s="4"/>
    </x:row>
    <x:row r="4" spans="2:35" ht="15.45" x14ac:dyDescent="0.4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4.15" x14ac:dyDescent="0.3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45" x14ac:dyDescent="0.4">
      <x:c r="B6" s="8"/>
      <x:c r="C6" s="598" t="s">
        <x:v>17</x:v>
      </x:c>
      <x:c r="D6" s="9">
        <x:f>'CONSOLIDADO_TOTAL RECAUDO'!D101</x:f>
        <x:v>46297</x:v>
      </x:c>
      <x:c r="F6" s="58" t="str">
        <x:f>'CONSOLIDADO_TOTAL RECAUDO'!F101</x:f>
        <x:v>REPORTE CONSOLIDADO TOTAL DE RECAUDO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'CONSOLIDADO_TOTAL RECAUDO'!U101</x:f>
        <x:v>REPORTE DETALLADO SUBBOLSA RBL DISCRIMINADO POR ACTIVIDADES</x:v>
      </x:c>
      <x:c r="V6" s="59"/>
      <x:c r="W6" s="60"/>
      <x:c r="X6" s="59"/>
      <x:c r="Y6" s="2"/>
      <x:c r="AF6" s="48"/>
      <x:c r="AG6" s="2"/>
      <x:c r="AI6" s="4"/>
    </x:row>
    <x:row r="7" spans="2:35" ht="12" thickBot="1" x14ac:dyDescent="0.35">
      <x:c r="B7" s="95"/>
      <x:c r="C7" s="600" t="s">
        <x:v>0</x:v>
      </x:c>
      <x:c r="D7" s="556">
        <x:f>'CONSOLIDADO_TOTAL RECAUDO'!D102</x:f>
        <x:v>0.58333333333333337</x:v>
      </x:c>
      <x:c r="E7" s="45"/>
      <x:c r="F7" s="555" t="s">
        <x:v>27</x:v>
      </x:c>
      <x:c r="G7" s="557">
        <x:f>'CONSOLIDADO_TOTAL RECAUDO'!G102</x:f>
        <x:v>46281</x:v>
      </x:c>
      <x:c r="H7" s="45"/>
      <x:c r="I7" s="45"/>
      <x:c r="J7" s="555" t="s">
        <x:v>28</x:v>
      </x:c>
      <x:c r="K7" s="557">
        <x:f>'CONSOLIDADO_TOTAL RECAUDO'!K102</x:f>
        <x:v>46295</x:v>
      </x:c>
      <x:c r="L7" s="45"/>
      <x:c r="M7" s="45"/>
      <x:c r="N7" s="45"/>
      <x:c r="O7" s="558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69.900000000000006" thickBot="1" x14ac:dyDescent="0.3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8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65" t="s">
        <x:v>168</x:v>
      </x:c>
      <x:c r="AD8" s="65" t="s">
        <x:v>105</x:v>
      </x:c>
      <x:c r="AE8" s="65" t="s">
        <x:v>104</x:v>
      </x:c>
      <x:c r="AF8" s="39" t="s">
        <x:v>23</x:v>
      </x:c>
      <x:c r="AG8" s="13"/>
      <x:c r="AI8" s="4"/>
    </x:row>
    <x:row r="9" spans="2:35" x14ac:dyDescent="0.3">
      <x:c r="B9" s="14">
        <x:v>1</x:v>
      </x:c>
      <x:c r="C9" s="61" t="s">
        <x:v>10</x:v>
      </x:c>
      <x:c r="D9" s="66">
        <x:f>'CONSOLIDADO_TOTAL RECAUDO'!D104</x:f>
        <x:v>0</x:v>
      </x:c>
      <x:c r="E9" s="66">
        <x:f>'CONSOLIDADO_TOTAL RECAUDO'!E104</x:f>
        <x:v>0</x:v>
      </x:c>
      <x:c r="F9" s="66">
        <x:f>'CONSOLIDADO_TOTAL RECAUDO'!F104</x:f>
        <x:v>0</x:v>
      </x:c>
      <x:c r="G9" s="66">
        <x:f>'CONSOLIDADO_TOTAL RECAUDO'!G104</x:f>
        <x:v>0</x:v>
      </x:c>
      <x:c r="H9" s="66">
        <x:f>'CONSOLIDADO_TOTAL RECAUDO'!H104</x:f>
        <x:v>0</x:v>
      </x:c>
      <x:c r="I9" s="66">
        <x:f>'CONSOLIDADO_TOTAL RECAUDO'!I104</x:f>
        <x:v>0</x:v>
      </x:c>
      <x:c r="J9" s="66">
        <x:f>'CONSOLIDADO_TOTAL RECAUDO'!J104</x:f>
        <x:v>0</x:v>
      </x:c>
      <x:c r="K9" s="30">
        <x:f>D9-E9-F9-G9-H9-I9-J9</x:f>
        <x:v>0</x:v>
      </x:c>
      <x:c r="L9" s="66">
        <x:f>'CONSOLIDADO_TOTAL RECAUDO'!L104</x:f>
        <x:v>189185988</x:v>
      </x:c>
      <x:c r="M9" s="30">
        <x:f>K9-L9</x:f>
        <x:v>-189185988</x:v>
      </x:c>
      <x:c r="N9" s="66">
        <x:f>'CONSOLIDADO_TOTAL RECAUDO'!N104</x:f>
        <x:v>0</x:v>
      </x:c>
      <x:c r="O9" s="30">
        <x:f>M9+N9</x:f>
        <x:v>-189185988</x:v>
      </x:c>
      <x:c r="Q9" s="4"/>
      <x:c r="S9" s="14">
        <x:v>1</x:v>
      </x:c>
      <x:c r="T9" s="61" t="s">
        <x:v>10</x:v>
      </x:c>
      <x:c r="U9" s="66">
        <x:f>'CONSOLIDADO_TOTAL RECAUDO'!U104</x:f>
        <x:v>0</x:v>
      </x:c>
      <x:c r="V9" s="66">
        <x:f>'CONSOLIDADO_TOTAL RECAUDO'!V104</x:f>
        <x:v>0</x:v>
      </x:c>
      <x:c r="W9" s="66">
        <x:f>'CONSOLIDADO_TOTAL RECAUDO'!W104</x:f>
        <x:v>0</x:v>
      </x:c>
      <x:c r="X9" s="66">
        <x:f>'CONSOLIDADO_TOTAL RECAUDO'!X104</x:f>
        <x:v>0</x:v>
      </x:c>
      <x:c r="Y9" s="66">
        <x:f>'CONSOLIDADO_TOTAL RECAUDO'!Y104</x:f>
        <x:v>0</x:v>
      </x:c>
      <x:c r="Z9" s="66">
        <x:f>'CONSOLIDADO_TOTAL RECAUDO'!Z104</x:f>
        <x:v>-189185988</x:v>
      </x:c>
      <x:c r="AA9" s="66">
        <x:f>'CONSOLIDADO_TOTAL RECAUDO'!AA104</x:f>
        <x:v>0</x:v>
      </x:c>
      <x:c r="AB9" s="66">
        <x:f>'CONSOLIDADO_TOTAL RECAUDO'!AB104</x:f>
        <x:v>0</x:v>
      </x:c>
      <x:c r="AC9" s="66">
        <x:f>'CONSOLIDADO_TOTAL RECAUDO'!AC104</x:f>
        <x:v>0</x:v>
      </x:c>
      <x:c r="AD9" s="66">
        <x:f>'CONSOLIDADO_TOTAL RECAUDO'!AD104</x:f>
        <x:v>0</x:v>
      </x:c>
      <x:c r="AE9" s="66">
        <x:f>'CONSOLIDADO_TOTAL RECAUDO'!AE104</x:f>
        <x:v>0</x:v>
      </x:c>
      <x:c r="AF9" s="69">
        <x:f>SUM(U9:AD9)</x:f>
        <x:v>-189185988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3">
      <x:c r="B10" s="16">
        <x:v>2</x:v>
      </x:c>
      <x:c r="C10" s="62" t="s">
        <x:v>11</x:v>
      </x:c>
      <x:c r="D10" s="66">
        <x:f>'CONSOLIDADO_TOTAL RECAUDO'!D105</x:f>
        <x:v>0</x:v>
      </x:c>
      <x:c r="E10" s="66">
        <x:f>'CONSOLIDADO_TOTAL RECAUDO'!E105</x:f>
        <x:v>0</x:v>
      </x:c>
      <x:c r="F10" s="66">
        <x:f>'CONSOLIDADO_TOTAL RECAUDO'!F105</x:f>
        <x:v>0</x:v>
      </x:c>
      <x:c r="G10" s="66">
        <x:f>'CONSOLIDADO_TOTAL RECAUDO'!G105</x:f>
        <x:v>0</x:v>
      </x:c>
      <x:c r="H10" s="66">
        <x:f>'CONSOLIDADO_TOTAL RECAUDO'!H105</x:f>
        <x:v>0</x:v>
      </x:c>
      <x:c r="I10" s="66">
        <x:f>'CONSOLIDADO_TOTAL RECAUDO'!I105</x:f>
        <x:v>0</x:v>
      </x:c>
      <x:c r="J10" s="66">
        <x:f>'CONSOLIDADO_TOTAL RECAUDO'!J105</x:f>
        <x:v>0</x:v>
      </x:c>
      <x:c r="K10" s="31">
        <x:f t="shared" ref="K10:K13" si="0">D10-E10-F10-G10-H10-I10-J10</x:f>
        <x:v>0</x:v>
      </x:c>
      <x:c r="L10" s="66">
        <x:f>'CONSOLIDADO_TOTAL RECAUDO'!L105</x:f>
        <x:v>266580256</x:v>
      </x:c>
      <x:c r="M10" s="31">
        <x:f>K10-L10</x:f>
        <x:v>-266580256</x:v>
      </x:c>
      <x:c r="N10" s="66">
        <x:f>'CONSOLIDADO_TOTAL RECAUDO'!N105</x:f>
        <x:v>0</x:v>
      </x:c>
      <x:c r="O10" s="31">
        <x:f t="shared" ref="O10:O13" si="1">M10+N10</x:f>
        <x:v>-266580256</x:v>
      </x:c>
      <x:c r="Q10" s="4"/>
      <x:c r="S10" s="16">
        <x:v>2</x:v>
      </x:c>
      <x:c r="T10" s="62" t="s">
        <x:v>11</x:v>
      </x:c>
      <x:c r="U10" s="66">
        <x:f>'CONSOLIDADO_TOTAL RECAUDO'!U105</x:f>
        <x:v>0</x:v>
      </x:c>
      <x:c r="V10" s="66">
        <x:f>'CONSOLIDADO_TOTAL RECAUDO'!V105</x:f>
        <x:v>0</x:v>
      </x:c>
      <x:c r="W10" s="66">
        <x:f>'CONSOLIDADO_TOTAL RECAUDO'!W105</x:f>
        <x:v>0</x:v>
      </x:c>
      <x:c r="X10" s="66">
        <x:f>'CONSOLIDADO_TOTAL RECAUDO'!X105</x:f>
        <x:v>0</x:v>
      </x:c>
      <x:c r="Y10" s="66">
        <x:f>'CONSOLIDADO_TOTAL RECAUDO'!Y105</x:f>
        <x:v>0</x:v>
      </x:c>
      <x:c r="Z10" s="66">
        <x:f>'CONSOLIDADO_TOTAL RECAUDO'!Z105</x:f>
        <x:v>-266580256</x:v>
      </x:c>
      <x:c r="AA10" s="66">
        <x:f>'CONSOLIDADO_TOTAL RECAUDO'!AA105</x:f>
        <x:v>0</x:v>
      </x:c>
      <x:c r="AB10" s="66">
        <x:f>'CONSOLIDADO_TOTAL RECAUDO'!AB105</x:f>
        <x:v>0</x:v>
      </x:c>
      <x:c r="AC10" s="66">
        <x:f>'CONSOLIDADO_TOTAL RECAUDO'!AC105</x:f>
        <x:v>0</x:v>
      </x:c>
      <x:c r="AD10" s="66">
        <x:f>'CONSOLIDADO_TOTAL RECAUDO'!AD105</x:f>
        <x:v>0</x:v>
      </x:c>
      <x:c r="AE10" s="66">
        <x:f>'CONSOLIDADO_TOTAL RECAUDO'!AE105</x:f>
        <x:v>0</x:v>
      </x:c>
      <x:c r="AF10" s="70">
        <x:f>SUM(U10:AD10)</x:f>
        <x:v>-266580256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3">
      <x:c r="B11" s="16">
        <x:v>3</x:v>
      </x:c>
      <x:c r="C11" s="62" t="s">
        <x:v>12</x:v>
      </x:c>
      <x:c r="D11" s="66">
        <x:f>'CONSOLIDADO_TOTAL RECAUDO'!D106</x:f>
        <x:v>0</x:v>
      </x:c>
      <x:c r="E11" s="66">
        <x:f>'CONSOLIDADO_TOTAL RECAUDO'!E106</x:f>
        <x:v>0</x:v>
      </x:c>
      <x:c r="F11" s="66">
        <x:f>'CONSOLIDADO_TOTAL RECAUDO'!F106</x:f>
        <x:v>0</x:v>
      </x:c>
      <x:c r="G11" s="66">
        <x:f>'CONSOLIDADO_TOTAL RECAUDO'!G106</x:f>
        <x:v>0</x:v>
      </x:c>
      <x:c r="H11" s="66">
        <x:f>'CONSOLIDADO_TOTAL RECAUDO'!H106</x:f>
        <x:v>0</x:v>
      </x:c>
      <x:c r="I11" s="66">
        <x:f>'CONSOLIDADO_TOTAL RECAUDO'!I106</x:f>
        <x:v>0</x:v>
      </x:c>
      <x:c r="J11" s="66">
        <x:f>'CONSOLIDADO_TOTAL RECAUDO'!J106</x:f>
        <x:v>0</x:v>
      </x:c>
      <x:c r="K11" s="31">
        <x:f t="shared" si="0"/>
        <x:v>0</x:v>
      </x:c>
      <x:c r="L11" s="66">
        <x:f>'CONSOLIDADO_TOTAL RECAUDO'!L106</x:f>
        <x:v>154788536</x:v>
      </x:c>
      <x:c r="M11" s="31">
        <x:f>K11-L11</x:f>
        <x:v>-154788536</x:v>
      </x:c>
      <x:c r="N11" s="66">
        <x:f>'CONSOLIDADO_TOTAL RECAUDO'!N106</x:f>
        <x:v>0</x:v>
      </x:c>
      <x:c r="O11" s="31">
        <x:f t="shared" si="1"/>
        <x:v>-154788536</x:v>
      </x:c>
      <x:c r="Q11" s="4"/>
      <x:c r="S11" s="16">
        <x:v>3</x:v>
      </x:c>
      <x:c r="T11" s="62" t="s">
        <x:v>12</x:v>
      </x:c>
      <x:c r="U11" s="66">
        <x:f>'CONSOLIDADO_TOTAL RECAUDO'!U106</x:f>
        <x:v>0</x:v>
      </x:c>
      <x:c r="V11" s="66">
        <x:f>'CONSOLIDADO_TOTAL RECAUDO'!V106</x:f>
        <x:v>0</x:v>
      </x:c>
      <x:c r="W11" s="66">
        <x:f>'CONSOLIDADO_TOTAL RECAUDO'!W106</x:f>
        <x:v>0</x:v>
      </x:c>
      <x:c r="X11" s="66">
        <x:f>'CONSOLIDADO_TOTAL RECAUDO'!X106</x:f>
        <x:v>0</x:v>
      </x:c>
      <x:c r="Y11" s="66">
        <x:f>'CONSOLIDADO_TOTAL RECAUDO'!Y106</x:f>
        <x:v>0</x:v>
      </x:c>
      <x:c r="Z11" s="66">
        <x:f>'CONSOLIDADO_TOTAL RECAUDO'!Z106</x:f>
        <x:v>-154788536</x:v>
      </x:c>
      <x:c r="AA11" s="66">
        <x:f>'CONSOLIDADO_TOTAL RECAUDO'!AA106</x:f>
        <x:v>0</x:v>
      </x:c>
      <x:c r="AB11" s="66">
        <x:f>'CONSOLIDADO_TOTAL RECAUDO'!AB106</x:f>
        <x:v>0</x:v>
      </x:c>
      <x:c r="AC11" s="66">
        <x:f>'CONSOLIDADO_TOTAL RECAUDO'!AC106</x:f>
        <x:v>0</x:v>
      </x:c>
      <x:c r="AD11" s="66">
        <x:f>'CONSOLIDADO_TOTAL RECAUDO'!AD106</x:f>
        <x:v>0</x:v>
      </x:c>
      <x:c r="AE11" s="66">
        <x:f>'CONSOLIDADO_TOTAL RECAUDO'!AE106</x:f>
        <x:v>0</x:v>
      </x:c>
      <x:c r="AF11" s="70">
        <x:f>SUM(U11:AD11)</x:f>
        <x:v>-154788536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3">
      <x:c r="B12" s="16">
        <x:v>4</x:v>
      </x:c>
      <x:c r="C12" s="62" t="s">
        <x:v>13</x:v>
      </x:c>
      <x:c r="D12" s="66">
        <x:f>'CONSOLIDADO_TOTAL RECAUDO'!D107</x:f>
        <x:v>0</x:v>
      </x:c>
      <x:c r="E12" s="66">
        <x:f>'CONSOLIDADO_TOTAL RECAUDO'!E107</x:f>
        <x:v>0</x:v>
      </x:c>
      <x:c r="F12" s="66">
        <x:f>'CONSOLIDADO_TOTAL RECAUDO'!F107</x:f>
        <x:v>0</x:v>
      </x:c>
      <x:c r="G12" s="66">
        <x:f>'CONSOLIDADO_TOTAL RECAUDO'!G107</x:f>
        <x:v>0</x:v>
      </x:c>
      <x:c r="H12" s="66">
        <x:f>'CONSOLIDADO_TOTAL RECAUDO'!H107</x:f>
        <x:v>0</x:v>
      </x:c>
      <x:c r="I12" s="66">
        <x:f>'CONSOLIDADO_TOTAL RECAUDO'!I107</x:f>
        <x:v>0</x:v>
      </x:c>
      <x:c r="J12" s="66">
        <x:f>'CONSOLIDADO_TOTAL RECAUDO'!J107</x:f>
        <x:v>0</x:v>
      </x:c>
      <x:c r="K12" s="31">
        <x:f t="shared" si="0"/>
        <x:v>0</x:v>
      </x:c>
      <x:c r="L12" s="66">
        <x:f>'CONSOLIDADO_TOTAL RECAUDO'!L107</x:f>
        <x:v>120391083</x:v>
      </x:c>
      <x:c r="M12" s="31">
        <x:f>K12-L12</x:f>
        <x:v>-120391083</x:v>
      </x:c>
      <x:c r="N12" s="66">
        <x:f>'CONSOLIDADO_TOTAL RECAUDO'!N107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'CONSOLIDADO_TOTAL RECAUDO'!U107</x:f>
        <x:v>0</x:v>
      </x:c>
      <x:c r="V12" s="66">
        <x:f>'CONSOLIDADO_TOTAL RECAUDO'!V107</x:f>
        <x:v>0</x:v>
      </x:c>
      <x:c r="W12" s="66">
        <x:f>'CONSOLIDADO_TOTAL RECAUDO'!W107</x:f>
        <x:v>0</x:v>
      </x:c>
      <x:c r="X12" s="66">
        <x:f>'CONSOLIDADO_TOTAL RECAUDO'!X107</x:f>
        <x:v>0</x:v>
      </x:c>
      <x:c r="Y12" s="66">
        <x:f>'CONSOLIDADO_TOTAL RECAUDO'!Y107</x:f>
        <x:v>0</x:v>
      </x:c>
      <x:c r="Z12" s="66">
        <x:f>'CONSOLIDADO_TOTAL RECAUDO'!Z107</x:f>
        <x:v>-120391083</x:v>
      </x:c>
      <x:c r="AA12" s="66">
        <x:f>'CONSOLIDADO_TOTAL RECAUDO'!AA107</x:f>
        <x:v>0</x:v>
      </x:c>
      <x:c r="AB12" s="66">
        <x:f>'CONSOLIDADO_TOTAL RECAUDO'!AB107</x:f>
        <x:v>0</x:v>
      </x:c>
      <x:c r="AC12" s="66">
        <x:f>'CONSOLIDADO_TOTAL RECAUDO'!AC107</x:f>
        <x:v>0</x:v>
      </x:c>
      <x:c r="AD12" s="66">
        <x:f>'CONSOLIDADO_TOTAL RECAUDO'!AD107</x:f>
        <x:v>0</x:v>
      </x:c>
      <x:c r="AE12" s="66">
        <x:f>'CONSOLIDADO_TOTAL RECAUDO'!AE107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" thickBot="1" x14ac:dyDescent="0.35">
      <x:c r="B13" s="19">
        <x:v>5</x:v>
      </x:c>
      <x:c r="C13" s="63" t="s">
        <x:v>14</x:v>
      </x:c>
      <x:c r="D13" s="66">
        <x:f>'CONSOLIDADO_TOTAL RECAUDO'!D108</x:f>
        <x:v>0</x:v>
      </x:c>
      <x:c r="E13" s="66">
        <x:f>'CONSOLIDADO_TOTAL RECAUDO'!E108</x:f>
        <x:v>0</x:v>
      </x:c>
      <x:c r="F13" s="66">
        <x:f>'CONSOLIDADO_TOTAL RECAUDO'!F108</x:f>
        <x:v>0</x:v>
      </x:c>
      <x:c r="G13" s="66">
        <x:f>'CONSOLIDADO_TOTAL RECAUDO'!G108</x:f>
        <x:v>0</x:v>
      </x:c>
      <x:c r="H13" s="66">
        <x:f>'CONSOLIDADO_TOTAL RECAUDO'!H108</x:f>
        <x:v>0</x:v>
      </x:c>
      <x:c r="I13" s="66">
        <x:f>'CONSOLIDADO_TOTAL RECAUDO'!I108</x:f>
        <x:v>0</x:v>
      </x:c>
      <x:c r="J13" s="66">
        <x:f>'CONSOLIDADO_TOTAL RECAUDO'!J108</x:f>
        <x:v>0</x:v>
      </x:c>
      <x:c r="K13" s="31">
        <x:f t="shared" si="0"/>
        <x:v>0</x:v>
      </x:c>
      <x:c r="L13" s="66">
        <x:f>'CONSOLIDADO_TOTAL RECAUDO'!L108</x:f>
        <x:v>128990446</x:v>
      </x:c>
      <x:c r="M13" s="40">
        <x:f>K13-L13</x:f>
        <x:v>-128990446</x:v>
      </x:c>
      <x:c r="N13" s="66">
        <x:f>'CONSOLIDADO_TOTAL RECAUDO'!N108</x:f>
        <x:v>0</x:v>
      </x:c>
      <x:c r="O13" s="40">
        <x:f t="shared" si="1"/>
        <x:v>-128990446</x:v>
      </x:c>
      <x:c r="Q13" s="4"/>
      <x:c r="S13" s="19">
        <x:v>5</x:v>
      </x:c>
      <x:c r="T13" s="63" t="s">
        <x:v>14</x:v>
      </x:c>
      <x:c r="U13" s="66">
        <x:f>'CONSOLIDADO_TOTAL RECAUDO'!U108</x:f>
        <x:v>0</x:v>
      </x:c>
      <x:c r="V13" s="66">
        <x:f>'CONSOLIDADO_TOTAL RECAUDO'!V108</x:f>
        <x:v>0</x:v>
      </x:c>
      <x:c r="W13" s="66">
        <x:f>'CONSOLIDADO_TOTAL RECAUDO'!W108</x:f>
        <x:v>0</x:v>
      </x:c>
      <x:c r="X13" s="66">
        <x:f>'CONSOLIDADO_TOTAL RECAUDO'!X108</x:f>
        <x:v>0</x:v>
      </x:c>
      <x:c r="Y13" s="66">
        <x:f>'CONSOLIDADO_TOTAL RECAUDO'!Y108</x:f>
        <x:v>0</x:v>
      </x:c>
      <x:c r="Z13" s="66">
        <x:f>'CONSOLIDADO_TOTAL RECAUDO'!Z108</x:f>
        <x:v>-128990446</x:v>
      </x:c>
      <x:c r="AA13" s="66">
        <x:f>'CONSOLIDADO_TOTAL RECAUDO'!AA108</x:f>
        <x:v>0</x:v>
      </x:c>
      <x:c r="AB13" s="66">
        <x:f>'CONSOLIDADO_TOTAL RECAUDO'!AB108</x:f>
        <x:v>0</x:v>
      </x:c>
      <x:c r="AC13" s="66">
        <x:f>'CONSOLIDADO_TOTAL RECAUDO'!AC108</x:f>
        <x:v>0</x:v>
      </x:c>
      <x:c r="AD13" s="66">
        <x:f>'CONSOLIDADO_TOTAL RECAUDO'!AD108</x:f>
        <x:v>0</x:v>
      </x:c>
      <x:c r="AE13" s="66">
        <x:f>'CONSOLIDADO_TOTAL RECAUDO'!AE108</x:f>
        <x:v>0</x:v>
      </x:c>
      <x:c r="AF13" s="70">
        <x:f>SUM(U13:AD13)</x:f>
        <x:v>-128990446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2.9" thickBot="1" x14ac:dyDescent="0.3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859936309</x:v>
      </x:c>
      <x:c r="M14" s="76">
        <x:f t="shared" si="3"/>
        <x:v>-859936309</x:v>
      </x:c>
      <x:c r="N14" s="23">
        <x:f t="shared" si="3"/>
        <x:v>0</x:v>
      </x:c>
      <x:c r="O14" s="76">
        <x:f t="shared" si="3"/>
        <x:v>-859936309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-859936309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ref="AD14" si="5">SUM(AD9:AD13)</x:f>
        <x:v>0</x:v>
      </x:c>
      <x:c r="AE14" s="43">
        <x:f>SUM(AE9:AE13)</x:f>
        <x:v>0</x:v>
      </x:c>
      <x:c r="AF14" s="68">
        <x:f t="shared" si="4"/>
        <x:v>-859936309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" thickBot="1" x14ac:dyDescent="0.3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" thickBot="1" x14ac:dyDescent="0.3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3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3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35">
      <x:c r="Q20" s="4"/>
    </x:row>
    <x:row r="21" spans="1:35" x14ac:dyDescent="0.3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4.15" x14ac:dyDescent="0.3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2026101</x:v>
      </x:c>
      <x:c r="O22" s="10"/>
      <x:c r="P22" s="2"/>
      <x:c r="Q22" s="4"/>
    </x:row>
    <x:row r="23" spans="1:35" ht="15.45" x14ac:dyDescent="0.4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3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3">
      <x:c r="B25" s="8"/>
      <x:c r="I25" s="2"/>
      <x:c r="J25" s="2"/>
      <x:c r="O25" s="10"/>
      <x:c r="P25" s="2"/>
      <x:c r="Q25" s="4"/>
    </x:row>
    <x:row r="26" spans="1:35" ht="15.45" x14ac:dyDescent="0.4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3">
      <x:c r="B27" s="8"/>
      <x:c r="F27" s="2" t="s">
        <x:v>27</x:v>
      </x:c>
      <x:c r="G27" s="2"/>
      <x:c r="H27" s="9">
        <x:f>'CONSOLIDADO_TOTAL RECAUDO'!G122</x:f>
        <x:v>46281</x:v>
      </x:c>
      <x:c r="J27" s="2" t="s">
        <x:v>28</x:v>
      </x:c>
      <x:c r="K27" s="9">
        <x:f>'CONSOLIDADO_TOTAL RECAUDO'!K122</x:f>
        <x:v>46295</x:v>
      </x:c>
      <x:c r="O27" s="10"/>
      <x:c r="P27" s="2"/>
      <x:c r="Q27" s="4"/>
    </x:row>
    <x:row r="28" spans="1:35" ht="12" thickBot="1" x14ac:dyDescent="0.3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6.75" thickBot="1" x14ac:dyDescent="0.3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105" t="s">
        <x:v>56</x:v>
      </x:c>
      <x:c r="I29" s="147" t="s">
        <x:v>130</x:v>
      </x:c>
      <x:c r="J29" s="147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3">
      <x:c r="B30" s="108">
        <x:v>1</x:v>
      </x:c>
      <x:c r="C30" s="109" t="s">
        <x:v>10</x:v>
      </x:c>
      <x:c r="D30" s="110">
        <x:f>'CONSOLIDADO_TOTAL RECAUDO'!D125</x:f>
        <x:v>0</x:v>
      </x:c>
      <x:c r="E30" s="111">
        <x:f>'CONSOLIDADO_TOTAL RECAUDO'!E125</x:f>
        <x:v>0</x:v>
      </x:c>
      <x:c r="G30" s="140">
        <x:f>'CONSOLIDADO_TOTAL RECAUDO'!G125</x:f>
        <x:v>0</x:v>
      </x:c>
      <x:c r="H30" s="110">
        <x:f>'CONSOLIDADO_TOTAL RECAUDO'!H125</x:f>
        <x:v>0</x:v>
      </x:c>
      <x:c r="I30" s="111">
        <x:f>'CONSOLIDADO_TOTAL RECAUDO'!I125</x:f>
        <x:v>0</x:v>
      </x:c>
      <x:c r="J30" s="111">
        <x:f>'CONSOLIDADO_TOTAL RECAUDO'!J125</x:f>
        <x:v>0</x:v>
      </x:c>
      <x:c r="K30" s="111">
        <x:f>'CONSOLIDADO_TOTAL RECAUDO'!K125</x:f>
        <x:v>0</x:v>
      </x:c>
      <x:c r="L30" s="111">
        <x:f>'CONSOLIDADO_TOTAL RECAUDO'!L125</x:f>
        <x:v>0</x:v>
      </x:c>
      <x:c r="O30" s="44"/>
      <x:c r="Q30" s="4"/>
    </x:row>
    <x:row r="31" spans="1:35" x14ac:dyDescent="0.3">
      <x:c r="B31" s="16">
        <x:v>2</x:v>
      </x:c>
      <x:c r="C31" s="17" t="s">
        <x:v>11</x:v>
      </x:c>
      <x:c r="D31" s="15">
        <x:f>'CONSOLIDADO_TOTAL RECAUDO'!D126</x:f>
        <x:v>0</x:v>
      </x:c>
      <x:c r="E31" s="74">
        <x:f>'CONSOLIDADO_TOTAL RECAUDO'!E126</x:f>
        <x:v>0</x:v>
      </x:c>
      <x:c r="G31" s="82">
        <x:f>'CONSOLIDADO_TOTAL RECAUDO'!G126</x:f>
        <x:v>0</x:v>
      </x:c>
      <x:c r="H31" s="18">
        <x:f>'CONSOLIDADO_TOTAL RECAUDO'!H126</x:f>
        <x:v>0</x:v>
      </x:c>
      <x:c r="I31" s="83">
        <x:f>'CONSOLIDADO_TOTAL RECAUDO'!I126</x:f>
        <x:v>0</x:v>
      </x:c>
      <x:c r="J31" s="83">
        <x:f>'CONSOLIDADO_TOTAL RECAUDO'!J126</x:f>
        <x:v>0</x:v>
      </x:c>
      <x:c r="K31" s="83">
        <x:f>'CONSOLIDADO_TOTAL RECAUDO'!K126</x:f>
        <x:v>0</x:v>
      </x:c>
      <x:c r="L31" s="83">
        <x:f>'CONSOLIDADO_TOTAL RECAUDO'!L126</x:f>
        <x:v>0</x:v>
      </x:c>
      <x:c r="O31" s="44"/>
      <x:c r="Q31" s="4"/>
    </x:row>
    <x:row r="32" spans="1:35" x14ac:dyDescent="0.3">
      <x:c r="B32" s="16">
        <x:v>3</x:v>
      </x:c>
      <x:c r="C32" s="17" t="s">
        <x:v>12</x:v>
      </x:c>
      <x:c r="D32" s="15">
        <x:f>'CONSOLIDADO_TOTAL RECAUDO'!D127</x:f>
        <x:v>0</x:v>
      </x:c>
      <x:c r="E32" s="74">
        <x:f>'CONSOLIDADO_TOTAL RECAUDO'!E127</x:f>
        <x:v>0</x:v>
      </x:c>
      <x:c r="G32" s="82">
        <x:f>'CONSOLIDADO_TOTAL RECAUDO'!G127</x:f>
        <x:v>0</x:v>
      </x:c>
      <x:c r="H32" s="18">
        <x:f>'CONSOLIDADO_TOTAL RECAUDO'!H127</x:f>
        <x:v>0</x:v>
      </x:c>
      <x:c r="I32" s="83">
        <x:f>'CONSOLIDADO_TOTAL RECAUDO'!I127</x:f>
        <x:v>0</x:v>
      </x:c>
      <x:c r="J32" s="83">
        <x:f>'CONSOLIDADO_TOTAL RECAUDO'!J127</x:f>
        <x:v>0</x:v>
      </x:c>
      <x:c r="K32" s="83">
        <x:f>'CONSOLIDADO_TOTAL RECAUDO'!K127</x:f>
        <x:v>0</x:v>
      </x:c>
      <x:c r="L32" s="83">
        <x:f>'CONSOLIDADO_TOTAL RECAUDO'!L127</x:f>
        <x:v>0</x:v>
      </x:c>
      <x:c r="O32" s="44"/>
      <x:c r="Q32" s="4"/>
    </x:row>
    <x:row r="33" spans="1:20" x14ac:dyDescent="0.3">
      <x:c r="B33" s="16">
        <x:v>4</x:v>
      </x:c>
      <x:c r="C33" s="17" t="s">
        <x:v>13</x:v>
      </x:c>
      <x:c r="D33" s="15">
        <x:f>'CONSOLIDADO_TOTAL RECAUDO'!D128</x:f>
        <x:v>0</x:v>
      </x:c>
      <x:c r="E33" s="74">
        <x:f>'CONSOLIDADO_TOTAL RECAUDO'!E128</x:f>
        <x:v>0</x:v>
      </x:c>
      <x:c r="G33" s="82">
        <x:f>'CONSOLIDADO_TOTAL RECAUDO'!G128</x:f>
        <x:v>0</x:v>
      </x:c>
      <x:c r="H33" s="18">
        <x:f>'CONSOLIDADO_TOTAL RECAUDO'!H128</x:f>
        <x:v>0</x:v>
      </x:c>
      <x:c r="I33" s="83">
        <x:f>'CONSOLIDADO_TOTAL RECAUDO'!I128</x:f>
        <x:v>0</x:v>
      </x:c>
      <x:c r="J33" s="83">
        <x:f>'CONSOLIDADO_TOTAL RECAUDO'!J128</x:f>
        <x:v>0</x:v>
      </x:c>
      <x:c r="K33" s="83">
        <x:f>'CONSOLIDADO_TOTAL RECAUDO'!K128</x:f>
        <x:v>0</x:v>
      </x:c>
      <x:c r="L33" s="83">
        <x:f>'CONSOLIDADO_TOTAL RECAUDO'!L128</x:f>
        <x:v>0</x:v>
      </x:c>
      <x:c r="O33" s="44"/>
      <x:c r="Q33" s="4"/>
    </x:row>
    <x:row r="34" spans="1:20" x14ac:dyDescent="0.3">
      <x:c r="B34" s="133">
        <x:v>5</x:v>
      </x:c>
      <x:c r="C34" s="138" t="s">
        <x:v>14</x:v>
      </x:c>
      <x:c r="D34" s="135">
        <x:f>'CONSOLIDADO_TOTAL RECAUDO'!D129</x:f>
        <x:v>0</x:v>
      </x:c>
      <x:c r="E34" s="139">
        <x:f>'CONSOLIDADO_TOTAL RECAUDO'!E129</x:f>
        <x:v>0</x:v>
      </x:c>
      <x:c r="G34" s="82">
        <x:f>'CONSOLIDADO_TOTAL RECAUDO'!G129</x:f>
        <x:v>0</x:v>
      </x:c>
      <x:c r="H34" s="18">
        <x:f>'CONSOLIDADO_TOTAL RECAUDO'!H129</x:f>
        <x:v>0</x:v>
      </x:c>
      <x:c r="I34" s="83">
        <x:f>'CONSOLIDADO_TOTAL RECAUDO'!I129</x:f>
        <x:v>0</x:v>
      </x:c>
      <x:c r="J34" s="83">
        <x:f>'CONSOLIDADO_TOTAL RECAUDO'!J129</x:f>
        <x:v>0</x:v>
      </x:c>
      <x:c r="K34" s="83">
        <x:f>'CONSOLIDADO_TOTAL RECAUDO'!K129</x:f>
        <x:v>0</x:v>
      </x:c>
      <x:c r="L34" s="83">
        <x:f>'CONSOLIDADO_TOTAL RECAUDO'!L129</x:f>
        <x:v>0</x:v>
      </x:c>
      <x:c r="O34" s="44"/>
      <x:c r="Q34" s="4"/>
    </x:row>
    <x:row r="35" spans="1:20" ht="12" thickBot="1" x14ac:dyDescent="0.35">
      <x:c r="B35" s="19" t="s">
        <x:v>89</x:v>
      </x:c>
      <x:c r="C35" s="20" t="s">
        <x:v>113</x:v>
      </x:c>
      <x:c r="D35" s="78"/>
      <x:c r="E35" s="79">
        <x:f>'CONSOLIDADO_TOTAL RECAUDO'!E130</x:f>
        <x:v>0</x:v>
      </x:c>
      <x:c r="G35" s="77"/>
      <x:c r="H35" s="78"/>
      <x:c r="I35" s="79"/>
      <x:c r="J35" s="79"/>
      <x:c r="K35" s="79"/>
      <x:c r="L35" s="79"/>
      <x:c r="O35" s="44"/>
      <x:c r="Q35" s="4"/>
    </x:row>
    <x:row r="36" spans="1:20" ht="12" thickBot="1" x14ac:dyDescent="0.35">
      <x:c r="B36" s="95"/>
      <x:c r="C36" s="106" t="s">
        <x:v>2</x:v>
      </x:c>
      <x:c r="D36" s="107">
        <x:f t="shared" ref="D36" si="6">SUM(D30:D34)</x:f>
        <x:v>0</x:v>
      </x:c>
      <x:c r="E36" s="107">
        <x:f>'CONSOLIDADO_TOTAL RECAUDO'!E131</x:f>
        <x:v>0</x:v>
      </x:c>
      <x:c r="F36" s="45"/>
      <x:c r="G36" s="107">
        <x:f t="shared" ref="G36" si="7">SUM(G30:G34)</x:f>
        <x:v>0</x:v>
      </x:c>
      <x:c r="H36" s="107">
        <x:f t="shared" ref="H36:L36" si="8">SUM(H30:H34)</x:f>
        <x:v>0</x:v>
      </x:c>
      <x:c r="I36" s="107">
        <x:f t="shared" si="8"/>
        <x:v>0</x:v>
      </x:c>
      <x:c r="J36" s="107">
        <x:f t="shared" ref="J36" si="9">SUM(J30:J34)</x:f>
        <x:v>0</x:v>
      </x:c>
      <x:c r="K36" s="107">
        <x:f t="shared" si="8"/>
        <x:v>0</x:v>
      </x:c>
      <x:c r="L36" s="107">
        <x:f t="shared" si="8"/>
        <x:v>0</x:v>
      </x:c>
      <x:c r="M36" s="45"/>
      <x:c r="N36" s="45"/>
      <x:c r="O36" s="46"/>
      <x:c r="P36" s="2"/>
      <x:c r="Q36" s="4"/>
    </x:row>
    <x:row r="37" spans="1:20" x14ac:dyDescent="0.3">
      <x:c r="B37" s="2"/>
      <x:c r="C37" s="2"/>
      <x:c r="D37" s="24"/>
      <x:c r="Q37" s="4"/>
    </x:row>
    <x:row r="38" spans="1:20" x14ac:dyDescent="0.3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3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3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3">
      <x:c r="N42" s="24"/>
      <x:c r="O42" s="24"/>
      <x:c r="Q42" s="24"/>
      <x:c r="T42" s="24"/>
    </x:row>
    <x:row r="43" spans="1:20" x14ac:dyDescent="0.3">
      <x:c r="N43" s="24"/>
      <x:c r="O43" s="24"/>
      <x:c r="Q43" s="24"/>
      <x:c r="T43" s="24"/>
    </x:row>
    <x:row r="44" spans="1:20" x14ac:dyDescent="0.3">
      <x:c r="D44" s="267" t="b">
        <x:f>D14='CONSOLIDADO_TOTAL RECAUDO'!D109</x:f>
        <x:v>1</x:v>
      </x:c>
      <x:c r="E44" s="267" t="b">
        <x:f>E14='CONSOLIDADO_TOTAL RECAUDO'!E109</x:f>
        <x:v>1</x:v>
      </x:c>
      <x:c r="F44" s="267" t="b">
        <x:f>F14='CONSOLIDADO_TOTAL RECAUDO'!F109</x:f>
        <x:v>1</x:v>
      </x:c>
      <x:c r="G44" s="267" t="b">
        <x:f>G14='CONSOLIDADO_TOTAL RECAUDO'!G109</x:f>
        <x:v>1</x:v>
      </x:c>
      <x:c r="H44" s="267" t="b">
        <x:f>H14='CONSOLIDADO_TOTAL RECAUDO'!H109</x:f>
        <x:v>1</x:v>
      </x:c>
      <x:c r="I44" s="267" t="b">
        <x:f>I14='CONSOLIDADO_TOTAL RECAUDO'!I109</x:f>
        <x:v>1</x:v>
      </x:c>
      <x:c r="J44" s="267" t="b">
        <x:f>J14='CONSOLIDADO_TOTAL RECAUDO'!J109</x:f>
        <x:v>1</x:v>
      </x:c>
      <x:c r="K44" s="267" t="b">
        <x:f>K14='CONSOLIDADO_TOTAL RECAUDO'!K109</x:f>
        <x:v>1</x:v>
      </x:c>
      <x:c r="L44" s="267" t="b">
        <x:f>L14='CONSOLIDADO_TOTAL RECAUDO'!L109</x:f>
        <x:v>1</x:v>
      </x:c>
      <x:c r="M44" s="267" t="b">
        <x:f>M14='CONSOLIDADO_TOTAL RECAUDO'!M109</x:f>
        <x:v>1</x:v>
      </x:c>
      <x:c r="N44" s="267" t="b">
        <x:f>N14='CONSOLIDADO_TOTAL RECAUDO'!N109</x:f>
        <x:v>1</x:v>
      </x:c>
      <x:c r="O44" s="267" t="b">
        <x:f>O14='CONSOLIDADO_TOTAL RECAUDO'!O109</x:f>
        <x:v>1</x:v>
      </x:c>
      <x:c r="Q44" s="24"/>
      <x:c r="T44" s="24"/>
    </x:row>
    <x:row r="45" spans="1:20" x14ac:dyDescent="0.3">
      <x:c r="D45" s="267" t="b">
        <x:f>D36='CONSOLIDADO_TOTAL RECAUDO'!D131</x:f>
        <x:v>1</x:v>
      </x:c>
      <x:c r="E45" s="267" t="b">
        <x:f>E36='CONSOLIDADO_TOTAL RECAUDO'!E131</x:f>
        <x:v>1</x:v>
      </x:c>
      <x:c r="F45" s="267" t="b">
        <x:f>F36='CONSOLIDADO_TOTAL RECAUDO'!F131</x:f>
        <x:v>1</x:v>
      </x:c>
      <x:c r="G45" s="267" t="b">
        <x:f>G36='CONSOLIDADO_TOTAL RECAUDO'!G131</x:f>
        <x:v>1</x:v>
      </x:c>
      <x:c r="H45" s="267" t="b">
        <x:f>H36='CONSOLIDADO_TOTAL RECAUDO'!H131</x:f>
        <x:v>1</x:v>
      </x:c>
      <x:c r="I45" s="267" t="b">
        <x:f>I36='CONSOLIDADO_TOTAL RECAUDO'!I131</x:f>
        <x:v>1</x:v>
      </x:c>
      <x:c r="J45" s="267" t="b">
        <x:f>K36='CONSOLIDADO_TOTAL RECAUDO'!K131</x:f>
        <x:v>1</x:v>
      </x:c>
      <x:c r="K45" s="267" t="b">
        <x:f>K36='CONSOLIDADO_TOTAL RECAUDO'!K131</x:f>
        <x:v>1</x:v>
      </x:c>
      <x:c r="L45" s="267" t="b">
        <x:f>L36='CONSOLIDADO_TOTAL RECAUDO'!L131</x:f>
        <x:v>1</x:v>
      </x:c>
      <x:c r="M45" s="267" t="b">
        <x:f>M36='CONSOLIDADO_TOTAL RECAUDO'!M131</x:f>
        <x:v>1</x:v>
      </x:c>
      <x:c r="N45" s="267" t="b">
        <x:f>N36='CONSOLIDADO_TOTAL RECAUDO'!N131</x:f>
        <x:v>1</x:v>
      </x:c>
      <x:c r="O45" s="267" t="b">
        <x:f>O36='CONSOLIDADO_TOTAL RECAUDO'!O131</x:f>
        <x:v>1</x:v>
      </x:c>
      <x:c r="Q45" s="24"/>
      <x:c r="T45" s="24"/>
    </x:row>
    <x:row r="46" spans="1:20" x14ac:dyDescent="0.3">
      <x:c r="N46" s="24"/>
      <x:c r="O46" s="24"/>
      <x:c r="Q46" s="24"/>
      <x:c r="T46" s="24"/>
    </x:row>
    <x:row r="47" spans="1:20" x14ac:dyDescent="0.3">
      <x:c r="N47" s="24"/>
      <x:c r="O47" s="24"/>
      <x:c r="Q47" s="24"/>
      <x:c r="T47" s="24"/>
    </x:row>
    <x:row r="48" spans="1:20" x14ac:dyDescent="0.3">
      <x:c r="N48" s="24"/>
      <x:c r="O48" s="24"/>
      <x:c r="Q48" s="24"/>
      <x:c r="T48" s="24"/>
    </x:row>
    <x:row r="49" spans="14:20" x14ac:dyDescent="0.3">
      <x:c r="N49" s="24"/>
      <x:c r="O49" s="24"/>
      <x:c r="Q49" s="24"/>
      <x:c r="T49" s="24"/>
    </x:row>
    <x:row r="50" spans="14:20" x14ac:dyDescent="0.3">
      <x:c r="N50" s="24"/>
      <x:c r="O50" s="24"/>
      <x:c r="Q50" s="24"/>
      <x:c r="T50" s="24"/>
    </x:row>
    <x:row r="51" spans="14:20" x14ac:dyDescent="0.3">
      <x:c r="Q51" s="24"/>
      <x:c r="T51" s="24"/>
    </x:row>
    <x:row r="52" spans="14:20" x14ac:dyDescent="0.3">
      <x:c r="Q52" s="24"/>
    </x:row>
  </x:sheetData>
  <x:conditionalFormatting sqref="AH9:AH14">
    <x:cfRule type="cellIs" dxfId="63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300-000000000000}" mc:Ignorable="x14ac xr xr2 xr3">
  <x:sheetPr>
    <x:tabColor rgb="FF00B0F0"/>
    <x:pageSetUpPr fitToPage="1"/>
  </x:sheetPr>
  <x:dimension ref="A1:AJ166"/>
  <x:sheetViews>
    <x:sheetView topLeftCell="A108" zoomScaleNormal="100" workbookViewId="0">
      <x:selection activeCell="A96" sqref="A96"/>
    </x:sheetView>
  </x:sheetViews>
  <x:sheetFormatPr baseColWidth="10" defaultColWidth="11.3828125" defaultRowHeight="11.6" x14ac:dyDescent="0.3"/>
  <x:cols>
    <x:col min="1" max="1" width="3" style="1" customWidth="1"/>
    <x:col min="2" max="2" width="4.3828125" style="1" bestFit="1" customWidth="1"/>
    <x:col min="3" max="3" width="36.84375" style="1" customWidth="1"/>
    <x:col min="4" max="4" width="15.15234375" style="1" customWidth="1"/>
    <x:col min="5" max="5" width="16" style="1" customWidth="1"/>
    <x:col min="6" max="7" width="14.84375" style="1" customWidth="1"/>
    <x:col min="8" max="9" width="16" style="1" customWidth="1"/>
    <x:col min="10" max="10" width="15.53515625" style="1" customWidth="1"/>
    <x:col min="11" max="11" width="17.53515625" style="1" customWidth="1"/>
    <x:col min="12" max="12" width="17.84375" style="1" customWidth="1"/>
    <x:col min="13" max="13" width="18.84375" style="1" customWidth="1"/>
    <x:col min="14" max="14" width="15.15234375" style="1" customWidth="1"/>
    <x:col min="15" max="15" width="16.84375" style="1" customWidth="1"/>
    <x:col min="16" max="16" width="3.84375" style="1" customWidth="1"/>
    <x:col min="17" max="17" width="2.84375" style="1" customWidth="1"/>
    <x:col min="18" max="18" width="4.53515625" style="1" customWidth="1"/>
    <x:col min="19" max="19" width="11.15234375" style="1" customWidth="1"/>
    <x:col min="20" max="20" width="37.53515625" style="1" bestFit="1" customWidth="1"/>
    <x:col min="21" max="21" width="19.15234375" style="1" customWidth="1"/>
    <x:col min="22" max="22" width="17.84375" style="1" customWidth="1"/>
    <x:col min="23" max="23" width="16.3828125" style="1" customWidth="1"/>
    <x:col min="24" max="24" width="17.15234375" style="1" customWidth="1"/>
    <x:col min="25" max="25" width="15.84375" style="1" customWidth="1"/>
    <x:col min="26" max="26" width="16" style="1" customWidth="1"/>
    <x:col min="27" max="27" width="15" style="1" customWidth="1"/>
    <x:col min="28" max="29" width="16.84375" style="1" customWidth="1"/>
    <x:col min="30" max="31" width="15.3828125" style="1" customWidth="1"/>
    <x:col min="32" max="32" width="16.15234375" style="1" customWidth="1"/>
    <x:col min="33" max="33" width="18.15234375" style="1" customWidth="1"/>
    <x:col min="34" max="34" width="13.84375" style="1" customWidth="1"/>
    <x:col min="35" max="35" width="3.3828125" style="1" customWidth="1"/>
    <x:col min="36" max="36" width="13.84375" style="1" bestFit="1" customWidth="1"/>
    <x:col min="37" max="16384" width="11.3828125" style="1"/>
  </x:cols>
  <x:sheetData>
    <x:row r="1" spans="1:35" ht="12" thickBot="1" x14ac:dyDescent="0.35">
      <x:c r="A1" s="241"/>
      <x:c r="Q1" s="4"/>
      <x:c r="AI1" s="4"/>
    </x:row>
    <x:row r="2" spans="1:35" x14ac:dyDescent="0.3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4.15" x14ac:dyDescent="0.3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2026101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2026101</x:v>
      </x:c>
      <x:c r="AE3" s="84"/>
      <x:c r="AF3" s="48"/>
      <x:c r="AG3" s="2"/>
      <x:c r="AI3" s="4"/>
    </x:row>
    <x:row r="4" spans="1:35" ht="15.45" x14ac:dyDescent="0.4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4.15" x14ac:dyDescent="0.3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45" x14ac:dyDescent="0.4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" thickBot="1" x14ac:dyDescent="0.3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3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68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x14ac:dyDescent="0.3">
      <x:c r="B9" s="303">
        <x:v>1</x:v>
      </x:c>
      <x:c r="C9" s="304" t="s">
        <x:v>10</x:v>
      </x:c>
      <x:c r="D9" s="291">
        <x:f>'Reporte Componentes R1'!F80</x:f>
        <x:v>0</x:v>
      </x:c>
      <x:c r="E9" s="292">
        <x:f>'Reporte Componentes R1'!G80</x:f>
        <x:v>0</x:v>
      </x:c>
      <x:c r="F9" s="292">
        <x:f>'Reporte Componentes R1'!H80</x:f>
        <x:v>0</x:v>
      </x:c>
      <x:c r="G9" s="292">
        <x:f>'Reporte Componentes R1'!I80</x:f>
        <x:v>0</x:v>
      </x:c>
      <x:c r="H9" s="292">
        <x:f>'Reporte Componentes R1'!J80</x:f>
        <x:v>0</x:v>
      </x:c>
      <x:c r="I9" s="292">
        <x:f>'Reporte Componentes R1'!K80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R1'!L80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R1'!M80</x:f>
        <x:v>0</x:v>
      </x:c>
      <x:c r="V9" s="308">
        <x:f>'Reporte Componentes R1'!N80</x:f>
        <x:v>0</x:v>
      </x:c>
      <x:c r="W9" s="308">
        <x:f>'Reporte Componentes R1'!O80</x:f>
        <x:v>0</x:v>
      </x:c>
      <x:c r="X9" s="308">
        <x:f>'Reporte Componentes R1'!P80</x:f>
        <x:v>0</x:v>
      </x:c>
      <x:c r="Y9" s="309">
        <x:f>'Reporte Componentes R1'!Q80</x:f>
        <x:v>0</x:v>
      </x:c>
      <x:c r="Z9" s="310">
        <x:f>L9*-1</x:f>
        <x:v>0</x:v>
      </x:c>
      <x:c r="AA9" s="311">
        <x:f>'Reporte Componentes R1'!R80+'Reporte Componentes R1'!V80+'Reporte Componentes R1'!U80</x:f>
        <x:v>0</x:v>
      </x:c>
      <x:c r="AB9" s="294">
        <x:f>N9</x:f>
        <x:v>0</x:v>
      </x:c>
      <x:c r="AC9" s="311">
        <x:f>'Reporte Componentes R1'!T80+'Reporte Componentes R1'!W80+'Reporte Componentes R1'!X80+'Reporte Componentes R1'!Y80+'Reporte Componentes R1'!Z80+'Reporte Componentes R1'!S80</x:f>
        <x:v>0</x:v>
      </x:c>
      <x:c r="AD9" s="291">
        <x:f>-J9+AE9</x:f>
        <x:v>0</x:v>
      </x:c>
      <x:c r="AE9" s="291">
        <x:f>'Reporte Componentes R1'!F81</x:f>
        <x:v>0</x:v>
      </x:c>
      <x:c r="AF9" s="313">
        <x:f>SUM(U9:AD9)</x:f>
        <x:v>0</x:v>
      </x:c>
      <x:c r="AG9" s="521">
        <x:f>(AF9-O9)</x:f>
        <x:v>0</x:v>
      </x:c>
      <x:c r="AH9" s="1" t="b">
        <x:f>INT(AG9)=0</x:f>
        <x:v>1</x:v>
      </x:c>
      <x:c r="AI9" s="306"/>
    </x:row>
    <x:row r="10" spans="1:35" s="305" customFormat="1" x14ac:dyDescent="0.3">
      <x:c r="B10" s="314">
        <x:v>2</x:v>
      </x:c>
      <x:c r="C10" s="315" t="s">
        <x:v>11</x:v>
      </x:c>
      <x:c r="D10" s="291">
        <x:f>'Reporte Componentes R1'!F259</x:f>
        <x:v>0</x:v>
      </x:c>
      <x:c r="E10" s="292">
        <x:f>'Reporte Componentes R1'!G259</x:f>
        <x:v>0</x:v>
      </x:c>
      <x:c r="F10" s="292">
        <x:f>'Reporte Componentes R1'!H259</x:f>
        <x:v>0</x:v>
      </x:c>
      <x:c r="G10" s="292">
        <x:f>'Reporte Componentes R1'!I259</x:f>
        <x:v>0</x:v>
      </x:c>
      <x:c r="H10" s="292">
        <x:f>'Reporte Componentes R1'!J259</x:f>
        <x:v>0</x:v>
      </x:c>
      <x:c r="I10" s="292">
        <x:f>'Reporte Componentes R1'!K259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R1'!L259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R1'!M259</x:f>
        <x:v>0</x:v>
      </x:c>
      <x:c r="V10" s="317">
        <x:f>'Reporte Componentes R1'!N259</x:f>
        <x:v>0</x:v>
      </x:c>
      <x:c r="W10" s="317">
        <x:f>'Reporte Componentes R1'!O259</x:f>
        <x:v>0</x:v>
      </x:c>
      <x:c r="X10" s="317">
        <x:f>'Reporte Componentes R1'!P259</x:f>
        <x:v>0</x:v>
      </x:c>
      <x:c r="Y10" s="318">
        <x:f>'Reporte Componentes R1'!Q259</x:f>
        <x:v>0</x:v>
      </x:c>
      <x:c r="Z10" s="319">
        <x:f>L10*-1</x:f>
        <x:v>0</x:v>
      </x:c>
      <x:c r="AA10" s="320">
        <x:f>'Reporte Componentes R1'!R259+'Reporte Componentes R1'!V259+'Reporte Componentes R1'!U259</x:f>
        <x:v>0</x:v>
      </x:c>
      <x:c r="AB10" s="294">
        <x:f>N10</x:f>
        <x:v>0</x:v>
      </x:c>
      <x:c r="AC10" s="320">
        <x:f>'Reporte Componentes R1'!T259+'Reporte Componentes R1'!W259+'Reporte Componentes R1'!X259+'Reporte Componentes R1'!Y259+'Reporte Componentes R1'!Z259++'Reporte Componentes R1'!S259</x:f>
        <x:v>0</x:v>
      </x:c>
      <x:c r="AD10" s="291">
        <x:f t="shared" ref="AD10:AD13" si="2">-J10+AE10</x:f>
        <x:v>0</x:v>
      </x:c>
      <x:c r="AE10" s="291">
        <x:f>'Reporte Componentes R1'!F260</x:f>
        <x:v>0</x:v>
      </x:c>
      <x:c r="AF10" s="322">
        <x:f>SUM(U10:AD10)</x:f>
        <x:v>0</x:v>
      </x:c>
      <x:c r="AG10" s="522">
        <x:f>(AF10-O10)</x:f>
        <x:v>0</x:v>
      </x:c>
      <x:c r="AH10" s="1" t="b">
        <x:f t="shared" ref="AH10:AH14" si="3">INT(AG10)=0</x:f>
        <x:v>1</x:v>
      </x:c>
      <x:c r="AI10" s="306"/>
    </x:row>
    <x:row r="11" spans="1:35" s="305" customFormat="1" x14ac:dyDescent="0.3">
      <x:c r="B11" s="314">
        <x:v>3</x:v>
      </x:c>
      <x:c r="C11" s="315" t="s">
        <x:v>12</x:v>
      </x:c>
      <x:c r="D11" s="291">
        <x:f>'Reporte Componentes R1'!F420</x:f>
        <x:v>0</x:v>
      </x:c>
      <x:c r="E11" s="292">
        <x:f>'Reporte Componentes R1'!G420</x:f>
        <x:v>0</x:v>
      </x:c>
      <x:c r="F11" s="292">
        <x:f>'Reporte Componentes R1'!H420</x:f>
        <x:v>0</x:v>
      </x:c>
      <x:c r="G11" s="292">
        <x:f>'Reporte Componentes R1'!I420</x:f>
        <x:v>0</x:v>
      </x:c>
      <x:c r="H11" s="292">
        <x:f>'Reporte Componentes R1'!J420</x:f>
        <x:v>0</x:v>
      </x:c>
      <x:c r="I11" s="292">
        <x:f>'Reporte Componentes R1'!K420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R1'!L420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R1'!M420</x:f>
        <x:v>0</x:v>
      </x:c>
      <x:c r="V11" s="317">
        <x:f>'Reporte Componentes R1'!N420</x:f>
        <x:v>0</x:v>
      </x:c>
      <x:c r="W11" s="317">
        <x:f>'Reporte Componentes R1'!O420</x:f>
        <x:v>0</x:v>
      </x:c>
      <x:c r="X11" s="317">
        <x:f>'Reporte Componentes R1'!P420</x:f>
        <x:v>0</x:v>
      </x:c>
      <x:c r="Y11" s="318">
        <x:f>'Reporte Componentes R1'!Q420</x:f>
        <x:v>0</x:v>
      </x:c>
      <x:c r="Z11" s="319">
        <x:f>L11*-1</x:f>
        <x:v>0</x:v>
      </x:c>
      <x:c r="AA11" s="320">
        <x:f>'Reporte Componentes R1'!R420+'Reporte Componentes R1'!V420+'Reporte Componentes R1'!U420</x:f>
        <x:v>0</x:v>
      </x:c>
      <x:c r="AB11" s="294">
        <x:f>N11</x:f>
        <x:v>0</x:v>
      </x:c>
      <x:c r="AC11" s="320">
        <x:f>'Reporte Componentes R1'!T420+'Reporte Componentes R1'!W420+'Reporte Componentes R1'!X420+'Reporte Componentes R1'!Y420+'Reporte Componentes R1'!Z420++'Reporte Componentes R1'!S420</x:f>
        <x:v>0</x:v>
      </x:c>
      <x:c r="AD11" s="291">
        <x:f t="shared" si="2"/>
        <x:v>0</x:v>
      </x:c>
      <x:c r="AE11" s="291">
        <x:f>'Reporte Componentes R1'!F421</x:f>
        <x:v>0</x:v>
      </x:c>
      <x:c r="AF11" s="322">
        <x:f t="shared" ref="AF11:AF13" si="4">SUM(U11:AD11)</x:f>
        <x:v>0</x:v>
      </x:c>
      <x:c r="AG11" s="522">
        <x:f>(AF11-O11)</x:f>
        <x:v>0</x:v>
      </x:c>
      <x:c r="AH11" s="1" t="b">
        <x:f t="shared" si="3"/>
        <x:v>1</x:v>
      </x:c>
      <x:c r="AI11" s="306"/>
    </x:row>
    <x:row r="12" spans="1:35" s="305" customFormat="1" x14ac:dyDescent="0.3">
      <x:c r="B12" s="314">
        <x:v>4</x:v>
      </x:c>
      <x:c r="C12" s="315" t="s">
        <x:v>13</x:v>
      </x:c>
      <x:c r="D12" s="291">
        <x:f>'Reporte Componentes R1'!F573</x:f>
        <x:v>0</x:v>
      </x:c>
      <x:c r="E12" s="292">
        <x:f>'Reporte Componentes R1'!G573</x:f>
        <x:v>0</x:v>
      </x:c>
      <x:c r="F12" s="292">
        <x:f>'Reporte Componentes R1'!H573</x:f>
        <x:v>0</x:v>
      </x:c>
      <x:c r="G12" s="292">
        <x:f>'Reporte Componentes R1'!I573</x:f>
        <x:v>0</x:v>
      </x:c>
      <x:c r="H12" s="292">
        <x:f>'Reporte Componentes R1'!J573</x:f>
        <x:v>0</x:v>
      </x:c>
      <x:c r="I12" s="292">
        <x:f>'Reporte Componentes R1'!K573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R1'!L573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R1'!M573</x:f>
        <x:v>0</x:v>
      </x:c>
      <x:c r="V12" s="317">
        <x:f>'Reporte Componentes R1'!N573</x:f>
        <x:v>0</x:v>
      </x:c>
      <x:c r="W12" s="317">
        <x:f>'Reporte Componentes R1'!O573</x:f>
        <x:v>0</x:v>
      </x:c>
      <x:c r="X12" s="317">
        <x:f>'Reporte Componentes R1'!P573</x:f>
        <x:v>0</x:v>
      </x:c>
      <x:c r="Y12" s="318">
        <x:f>'Reporte Componentes R1'!Q573</x:f>
        <x:v>0</x:v>
      </x:c>
      <x:c r="Z12" s="319">
        <x:f>L12*-1</x:f>
        <x:v>0</x:v>
      </x:c>
      <x:c r="AA12" s="320">
        <x:f>'Reporte Componentes R1'!R573+'Reporte Componentes R1'!V573+'Reporte Componentes R1'!U573</x:f>
        <x:v>0</x:v>
      </x:c>
      <x:c r="AB12" s="294">
        <x:f>N12</x:f>
        <x:v>0</x:v>
      </x:c>
      <x:c r="AC12" s="320">
        <x:f>'Reporte Componentes R1'!T573+'Reporte Componentes R1'!W573+'Reporte Componentes R1'!X573+'Reporte Componentes R1'!Y573+'Reporte Componentes R1'!Z573++'Reporte Componentes R1'!S573</x:f>
        <x:v>0</x:v>
      </x:c>
      <x:c r="AD12" s="291">
        <x:f t="shared" si="2"/>
        <x:v>0</x:v>
      </x:c>
      <x:c r="AE12" s="291">
        <x:f>'Reporte Componentes R1'!F574</x:f>
        <x:v>0</x:v>
      </x:c>
      <x:c r="AF12" s="322">
        <x:f t="shared" si="4"/>
        <x:v>0</x:v>
      </x:c>
      <x:c r="AG12" s="522">
        <x:f>(AF12-O12)</x:f>
        <x:v>0</x:v>
      </x:c>
      <x:c r="AH12" s="1" t="b">
        <x:f t="shared" si="3"/>
        <x:v>1</x:v>
      </x:c>
      <x:c r="AI12" s="306"/>
    </x:row>
    <x:row r="13" spans="1:35" s="305" customFormat="1" ht="12" thickBot="1" x14ac:dyDescent="0.35">
      <x:c r="B13" s="324">
        <x:v>5</x:v>
      </x:c>
      <x:c r="C13" s="325" t="s">
        <x:v>14</x:v>
      </x:c>
      <x:c r="D13" s="296">
        <x:f>'Reporte Componentes R1'!F685</x:f>
        <x:v>0</x:v>
      </x:c>
      <x:c r="E13" s="297">
        <x:f>'Reporte Componentes R1'!G685</x:f>
        <x:v>0</x:v>
      </x:c>
      <x:c r="F13" s="297">
        <x:f>'Reporte Componentes R1'!H685</x:f>
        <x:v>0</x:v>
      </x:c>
      <x:c r="G13" s="297">
        <x:f>'Reporte Componentes R1'!I685</x:f>
        <x:v>0</x:v>
      </x:c>
      <x:c r="H13" s="297">
        <x:f>'Reporte Componentes R1'!J685</x:f>
        <x:v>0</x:v>
      </x:c>
      <x:c r="I13" s="297">
        <x:f>'Reporte Componentes R1'!K685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R1'!L685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R1'!M685</x:f>
        <x:v>0</x:v>
      </x:c>
      <x:c r="V13" s="297">
        <x:f>'Reporte Componentes R1'!N685</x:f>
        <x:v>0</x:v>
      </x:c>
      <x:c r="W13" s="297">
        <x:f>'Reporte Componentes R1'!O685</x:f>
        <x:v>0</x:v>
      </x:c>
      <x:c r="X13" s="297">
        <x:f>'Reporte Componentes R1'!P685</x:f>
        <x:v>0</x:v>
      </x:c>
      <x:c r="Y13" s="289">
        <x:f>'Reporte Componentes R1'!Q685</x:f>
        <x:v>0</x:v>
      </x:c>
      <x:c r="Z13" s="319">
        <x:f>L13*-1</x:f>
        <x:v>0</x:v>
      </x:c>
      <x:c r="AA13" s="320">
        <x:f>'Reporte Componentes R1'!R685+'Reporte Componentes R1'!V685+'Reporte Componentes R1'!U685</x:f>
        <x:v>0</x:v>
      </x:c>
      <x:c r="AB13" s="294">
        <x:f>N13</x:f>
        <x:v>0</x:v>
      </x:c>
      <x:c r="AC13" s="320">
        <x:f>'Reporte Componentes R1'!T685+'Reporte Componentes R1'!W685+'Reporte Componentes R1'!X685+'Reporte Componentes R1'!Y685+'Reporte Componentes R1'!Z685+'Reporte Componentes R1'!S685</x:f>
        <x:v>0</x:v>
      </x:c>
      <x:c r="AD13" s="291">
        <x:f t="shared" si="2"/>
        <x:v>0</x:v>
      </x:c>
      <x:c r="AE13" s="291">
        <x:f>'Reporte Componentes R1'!F686</x:f>
        <x:v>0</x:v>
      </x:c>
      <x:c r="AF13" s="322">
        <x:f t="shared" si="4"/>
        <x:v>0</x:v>
      </x:c>
      <x:c r="AG13" s="523">
        <x:f>(AF13-O13)</x:f>
        <x:v>0</x:v>
      </x:c>
      <x:c r="AH13" s="1" t="b">
        <x:f t="shared" si="3"/>
        <x:v>1</x:v>
      </x:c>
      <x:c r="AI13" s="306"/>
    </x:row>
    <x:row r="14" spans="1:35" s="305" customFormat="1" ht="12.9" thickBot="1" x14ac:dyDescent="0.3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524">
        <x:f>SUM(AG9:AG13)</x:f>
        <x:v>0</x:v>
      </x:c>
      <x:c r="AH14" s="1" t="b">
        <x:f t="shared" si="3"/>
        <x:v>1</x:v>
      </x:c>
      <x:c r="AI14" s="306"/>
    </x:row>
    <x:row r="15" spans="1:35" ht="12" thickBot="1" x14ac:dyDescent="0.3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" thickBot="1" x14ac:dyDescent="0.3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" thickBot="1" x14ac:dyDescent="0.3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3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3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35">
      <x:c r="Q20" s="4"/>
      <x:c r="AI20" s="4"/>
    </x:row>
    <x:row r="21" spans="1:35" x14ac:dyDescent="0.3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4.15" x14ac:dyDescent="0.3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2026101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2026101</x:v>
      </x:c>
      <x:c r="AE22" s="84"/>
      <x:c r="AF22" s="48"/>
      <x:c r="AG22" s="2"/>
      <x:c r="AI22" s="4"/>
    </x:row>
    <x:row r="23" spans="1:35" ht="15.45" x14ac:dyDescent="0.4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4.15" x14ac:dyDescent="0.3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45" x14ac:dyDescent="0.4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" thickBot="1" x14ac:dyDescent="0.3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3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68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x14ac:dyDescent="0.3">
      <x:c r="B28" s="303">
        <x:v>1</x:v>
      </x:c>
      <x:c r="C28" s="304" t="s">
        <x:v>10</x:v>
      </x:c>
      <x:c r="D28" s="291">
        <x:f>'Rem. Anticipos R2'!E50</x:f>
        <x:v>0</x:v>
      </x:c>
      <x:c r="E28" s="292">
        <x:f>'Rem. Anticipos R2'!F50</x:f>
        <x:v>0</x:v>
      </x:c>
      <x:c r="F28" s="292">
        <x:f>'Rem. Anticipos R2'!G50</x:f>
        <x:v>0</x:v>
      </x:c>
      <x:c r="G28" s="292">
        <x:f>'Rem. Anticipos R2'!H50</x:f>
        <x:v>0</x:v>
      </x:c>
      <x:c r="H28" s="292">
        <x:f>'Rem. Anticipos R2'!I50</x:f>
        <x:v>0</x:v>
      </x:c>
      <x:c r="I28" s="292">
        <x:f>'Rem. Anticipos R2'!J50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R2'!K50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R2'!L50</x:f>
        <x:v>0</x:v>
      </x:c>
      <x:c r="V28" s="308">
        <x:f>'Rem. Anticipos R2'!M50</x:f>
        <x:v>0</x:v>
      </x:c>
      <x:c r="W28" s="308">
        <x:f>'Rem. Anticipos R2'!N50</x:f>
        <x:v>0</x:v>
      </x:c>
      <x:c r="X28" s="308">
        <x:f>'Rem. Anticipos R2'!O50</x:f>
        <x:v>0</x:v>
      </x:c>
      <x:c r="Y28" s="309">
        <x:f>'Rem. Anticipos R2'!P50</x:f>
        <x:v>0</x:v>
      </x:c>
      <x:c r="Z28" s="310">
        <x:f>L28*-1</x:f>
        <x:v>0</x:v>
      </x:c>
      <x:c r="AA28" s="311">
        <x:f>'Rem. Anticipos R2'!Q50</x:f>
        <x:v>0</x:v>
      </x:c>
      <x:c r="AB28" s="294">
        <x:f>N28</x:f>
        <x:v>0</x:v>
      </x:c>
      <x:c r="AC28" s="311">
        <x:f>'Rem. Anticipos R2'!R50</x:f>
        <x:v>0</x:v>
      </x:c>
      <x:c r="AD28" s="291">
        <x:f>-J28+AE28</x:f>
        <x:v>0</x:v>
      </x:c>
      <x:c r="AE28" s="291">
        <x:f>'Rem. Anticipos R2'!E51</x:f>
        <x:v>0</x:v>
      </x:c>
      <x:c r="AF28" s="313">
        <x:f>SUM(U28:AD28)</x:f>
        <x:v>0</x:v>
      </x:c>
      <x:c r="AG28" s="52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3">
      <x:c r="B29" s="314">
        <x:v>2</x:v>
      </x:c>
      <x:c r="C29" s="315" t="s">
        <x:v>11</x:v>
      </x:c>
      <x:c r="D29" s="291">
        <x:f>'Rem. Anticipos R2'!E158</x:f>
        <x:v>0</x:v>
      </x:c>
      <x:c r="E29" s="292">
        <x:f>'Rem. Anticipos R2'!F158</x:f>
        <x:v>0</x:v>
      </x:c>
      <x:c r="F29" s="292">
        <x:f>'Rem. Anticipos R2'!G158</x:f>
        <x:v>0</x:v>
      </x:c>
      <x:c r="G29" s="292">
        <x:f>'Rem. Anticipos R2'!H158</x:f>
        <x:v>0</x:v>
      </x:c>
      <x:c r="H29" s="292">
        <x:f>'Rem. Anticipos R2'!I158</x:f>
        <x:v>0</x:v>
      </x:c>
      <x:c r="I29" s="292">
        <x:f>'Rem. Anticipos R2'!J158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R2'!K158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R2'!L158</x:f>
        <x:v>0</x:v>
      </x:c>
      <x:c r="V29" s="317">
        <x:f>'Rem. Anticipos R2'!M158</x:f>
        <x:v>0</x:v>
      </x:c>
      <x:c r="W29" s="317">
        <x:f>'Rem. Anticipos R2'!N158</x:f>
        <x:v>0</x:v>
      </x:c>
      <x:c r="X29" s="317">
        <x:f>'Rem. Anticipos R2'!O158</x:f>
        <x:v>0</x:v>
      </x:c>
      <x:c r="Y29" s="318">
        <x:f>'Rem. Anticipos R2'!P158</x:f>
        <x:v>0</x:v>
      </x:c>
      <x:c r="Z29" s="319">
        <x:f>L29*-1</x:f>
        <x:v>0</x:v>
      </x:c>
      <x:c r="AA29" s="320">
        <x:f>'Rem. Anticipos R2'!Q158</x:f>
        <x:v>0</x:v>
      </x:c>
      <x:c r="AB29" s="294">
        <x:f>N29</x:f>
        <x:v>0</x:v>
      </x:c>
      <x:c r="AC29" s="320">
        <x:f>'Rem. Anticipos R2'!R158</x:f>
        <x:v>0</x:v>
      </x:c>
      <x:c r="AD29" s="291">
        <x:f>-J29+AE29</x:f>
        <x:v>0</x:v>
      </x:c>
      <x:c r="AE29" s="291">
        <x:f>'Rem. Anticipos R2'!E159</x:f>
        <x:v>0</x:v>
      </x:c>
      <x:c r="AF29" s="322">
        <x:f>SUM(U29:AD29)</x:f>
        <x:v>0</x:v>
      </x:c>
      <x:c r="AG29" s="522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x14ac:dyDescent="0.3">
      <x:c r="B30" s="314">
        <x:v>3</x:v>
      </x:c>
      <x:c r="C30" s="315" t="s">
        <x:v>12</x:v>
      </x:c>
      <x:c r="D30" s="291">
        <x:f>'Rem. Anticipos R2'!E276</x:f>
        <x:v>0</x:v>
      </x:c>
      <x:c r="E30" s="292">
        <x:f>'Rem. Anticipos R2'!F276</x:f>
        <x:v>0</x:v>
      </x:c>
      <x:c r="F30" s="292">
        <x:f>'Rem. Anticipos R2'!G276</x:f>
        <x:v>0</x:v>
      </x:c>
      <x:c r="G30" s="292">
        <x:f>'Rem. Anticipos R2'!H276</x:f>
        <x:v>0</x:v>
      </x:c>
      <x:c r="H30" s="292">
        <x:f>'Rem. Anticipos R2'!I276</x:f>
        <x:v>0</x:v>
      </x:c>
      <x:c r="I30" s="292">
        <x:f>'Rem. Anticipos R2'!J276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R2'!K276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R2'!L276</x:f>
        <x:v>0</x:v>
      </x:c>
      <x:c r="V30" s="317">
        <x:f>'Rem. Anticipos R2'!M276</x:f>
        <x:v>0</x:v>
      </x:c>
      <x:c r="W30" s="317">
        <x:f>'Rem. Anticipos R2'!N276</x:f>
        <x:v>0</x:v>
      </x:c>
      <x:c r="X30" s="317">
        <x:f>'Rem. Anticipos R2'!O276</x:f>
        <x:v>0</x:v>
      </x:c>
      <x:c r="Y30" s="318">
        <x:f>'Rem. Anticipos R2'!P276</x:f>
        <x:v>0</x:v>
      </x:c>
      <x:c r="Z30" s="319">
        <x:f>L30*-1</x:f>
        <x:v>0</x:v>
      </x:c>
      <x:c r="AA30" s="320">
        <x:f>'Rem. Anticipos R2'!Q276</x:f>
        <x:v>0</x:v>
      </x:c>
      <x:c r="AB30" s="294">
        <x:f>N30</x:f>
        <x:v>0</x:v>
      </x:c>
      <x:c r="AC30" s="320">
        <x:f>'Rem. Anticipos R2'!R276</x:f>
        <x:v>0</x:v>
      </x:c>
      <x:c r="AD30" s="291">
        <x:f t="shared" ref="AD30:AD32" si="10">-J30+AE30</x:f>
        <x:v>0</x:v>
      </x:c>
      <x:c r="AE30" s="291">
        <x:f>'Rem. Anticipos R2'!E277</x:f>
        <x:v>0</x:v>
      </x:c>
      <x:c r="AF30" s="322">
        <x:f>SUM(U30:AD30)</x:f>
        <x:v>0</x:v>
      </x:c>
      <x:c r="AG30" s="522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x14ac:dyDescent="0.3">
      <x:c r="B31" s="314">
        <x:v>4</x:v>
      </x:c>
      <x:c r="C31" s="315" t="s">
        <x:v>13</x:v>
      </x:c>
      <x:c r="D31" s="291">
        <x:f>'Rem. Anticipos R2'!E387</x:f>
        <x:v>0</x:v>
      </x:c>
      <x:c r="E31" s="292">
        <x:f>'Rem. Anticipos R2'!F387</x:f>
        <x:v>0</x:v>
      </x:c>
      <x:c r="F31" s="292">
        <x:f>'Rem. Anticipos R2'!G387</x:f>
        <x:v>0</x:v>
      </x:c>
      <x:c r="G31" s="292">
        <x:f>'Rem. Anticipos R2'!H387</x:f>
        <x:v>0</x:v>
      </x:c>
      <x:c r="H31" s="292">
        <x:f>'Rem. Anticipos R2'!I387</x:f>
        <x:v>0</x:v>
      </x:c>
      <x:c r="I31" s="292">
        <x:f>'Rem. Anticipos R2'!J387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R2'!K387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R2'!L387</x:f>
        <x:v>0</x:v>
      </x:c>
      <x:c r="V31" s="317">
        <x:f>'Rem. Anticipos R2'!M387</x:f>
        <x:v>0</x:v>
      </x:c>
      <x:c r="W31" s="317">
        <x:f>'Rem. Anticipos R2'!N387</x:f>
        <x:v>0</x:v>
      </x:c>
      <x:c r="X31" s="317">
        <x:f>'Rem. Anticipos R2'!O387</x:f>
        <x:v>0</x:v>
      </x:c>
      <x:c r="Y31" s="318">
        <x:f>'Rem. Anticipos R2'!P387</x:f>
        <x:v>0</x:v>
      </x:c>
      <x:c r="Z31" s="319">
        <x:f>L31*-1</x:f>
        <x:v>0</x:v>
      </x:c>
      <x:c r="AA31" s="320">
        <x:f>'Rem. Anticipos R2'!Q387</x:f>
        <x:v>0</x:v>
      </x:c>
      <x:c r="AB31" s="294">
        <x:f>N31</x:f>
        <x:v>0</x:v>
      </x:c>
      <x:c r="AC31" s="320">
        <x:f>'Rem. Anticipos R2'!R387</x:f>
        <x:v>0</x:v>
      </x:c>
      <x:c r="AD31" s="291">
        <x:f t="shared" si="10"/>
        <x:v>0</x:v>
      </x:c>
      <x:c r="AE31" s="291">
        <x:f>'Rem. Anticipos R2'!E388</x:f>
        <x:v>0</x:v>
      </x:c>
      <x:c r="AF31" s="322">
        <x:f>SUM(U31:AD31)</x:f>
        <x:v>0</x:v>
      </x:c>
      <x:c r="AG31" s="522">
        <x:f t="shared" si="11"/>
        <x:v>0</x:v>
      </x:c>
      <x:c r="AH31" s="1" t="b">
        <x:f t="shared" si="9"/>
        <x:v>1</x:v>
      </x:c>
      <x:c r="AI31" s="306"/>
    </x:row>
    <x:row r="32" spans="1:35" s="305" customFormat="1" ht="12" thickBot="1" x14ac:dyDescent="0.35">
      <x:c r="B32" s="324">
        <x:v>5</x:v>
      </x:c>
      <x:c r="C32" s="325" t="s">
        <x:v>14</x:v>
      </x:c>
      <x:c r="D32" s="296">
        <x:f>'Rem. Anticipos R2'!E471</x:f>
        <x:v>0</x:v>
      </x:c>
      <x:c r="E32" s="297">
        <x:f>'Rem. Anticipos R2'!F471</x:f>
        <x:v>0</x:v>
      </x:c>
      <x:c r="F32" s="297">
        <x:f>'Rem. Anticipos R2'!G471</x:f>
        <x:v>0</x:v>
      </x:c>
      <x:c r="G32" s="297">
        <x:f>'Rem. Anticipos R2'!H471</x:f>
        <x:v>0</x:v>
      </x:c>
      <x:c r="H32" s="297">
        <x:f>'Rem. Anticipos R2'!I471</x:f>
        <x:v>0</x:v>
      </x:c>
      <x:c r="I32" s="297">
        <x:f>'Rem. Anticipos R2'!J471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R2'!K471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R2'!L471</x:f>
        <x:v>0</x:v>
      </x:c>
      <x:c r="V32" s="297">
        <x:f>'Rem. Anticipos R2'!M471</x:f>
        <x:v>0</x:v>
      </x:c>
      <x:c r="W32" s="297">
        <x:f>'Rem. Anticipos R2'!N471</x:f>
        <x:v>0</x:v>
      </x:c>
      <x:c r="X32" s="297">
        <x:f>'Rem. Anticipos R2'!O471</x:f>
        <x:v>0</x:v>
      </x:c>
      <x:c r="Y32" s="289">
        <x:f>'Rem. Anticipos R2'!P471</x:f>
        <x:v>0</x:v>
      </x:c>
      <x:c r="Z32" s="319">
        <x:f>L32*-1</x:f>
        <x:v>0</x:v>
      </x:c>
      <x:c r="AA32" s="320">
        <x:f>'Rem. Anticipos R2'!Q471</x:f>
        <x:v>0</x:v>
      </x:c>
      <x:c r="AB32" s="294">
        <x:f>N32</x:f>
        <x:v>0</x:v>
      </x:c>
      <x:c r="AC32" s="320">
        <x:f>'Rem. Anticipos R2'!R471</x:f>
        <x:v>0</x:v>
      </x:c>
      <x:c r="AD32" s="291">
        <x:f t="shared" si="10"/>
        <x:v>0</x:v>
      </x:c>
      <x:c r="AE32" s="291">
        <x:f>'Rem. Anticipos R2'!E472</x:f>
        <x:v>0</x:v>
      </x:c>
      <x:c r="AF32" s="322">
        <x:f>SUM(U32:AD32)</x:f>
        <x:v>0</x:v>
      </x:c>
      <x:c r="AG32" s="523">
        <x:f>(AF32-O32)</x:f>
        <x:v>0</x:v>
      </x:c>
      <x:c r="AH32" s="1" t="b">
        <x:f t="shared" si="9"/>
        <x:v>1</x:v>
      </x:c>
      <x:c r="AI32" s="306"/>
    </x:row>
    <x:row r="33" spans="1:35" s="305" customFormat="1" ht="12.9" thickBot="1" x14ac:dyDescent="0.3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524">
        <x:f t="shared" si="13"/>
        <x:v>0</x:v>
      </x:c>
      <x:c r="AH33" s="1" t="b">
        <x:f t="shared" si="9"/>
        <x:v>1</x:v>
      </x:c>
      <x:c r="AI33" s="306"/>
    </x:row>
    <x:row r="34" spans="1:35" ht="12" thickBot="1" x14ac:dyDescent="0.3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" thickBot="1" x14ac:dyDescent="0.3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" thickBot="1" x14ac:dyDescent="0.3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3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3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35">
      <x:c r="Q39" s="4"/>
      <x:c r="AI39" s="4"/>
    </x:row>
    <x:row r="40" spans="1:35" x14ac:dyDescent="0.3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4.15" x14ac:dyDescent="0.3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2026101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2026101</x:v>
      </x:c>
      <x:c r="AE41" s="84"/>
      <x:c r="AF41" s="48"/>
      <x:c r="AG41" s="2"/>
      <x:c r="AI41" s="4"/>
    </x:row>
    <x:row r="42" spans="1:35" ht="15.45" x14ac:dyDescent="0.4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4.15" x14ac:dyDescent="0.3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45" x14ac:dyDescent="0.4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" thickBot="1" x14ac:dyDescent="0.3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3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68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x14ac:dyDescent="0.3">
      <x:c r="B47" s="303">
        <x:v>1</x:v>
      </x:c>
      <x:c r="C47" s="304" t="s">
        <x:v>10</x:v>
      </x:c>
      <x:c r="D47" s="291">
        <x:f>'Reporte Componentes R1'!F82</x:f>
        <x:v>0</x:v>
      </x:c>
      <x:c r="E47" s="292">
        <x:f>'Reporte Componentes R1'!G82</x:f>
        <x:v>0</x:v>
      </x:c>
      <x:c r="F47" s="292">
        <x:f>'Reporte Componentes R1'!H82</x:f>
        <x:v>0</x:v>
      </x:c>
      <x:c r="G47" s="292">
        <x:f>'Reporte Componentes R1'!I82</x:f>
        <x:v>0</x:v>
      </x:c>
      <x:c r="H47" s="292">
        <x:f>'Reporte Componentes R1'!J82</x:f>
        <x:v>0</x:v>
      </x:c>
      <x:c r="I47" s="292">
        <x:f>'Reporte Componentes R1'!K82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R1'!L82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R1'!M82</x:f>
        <x:v>0</x:v>
      </x:c>
      <x:c r="V47" s="308">
        <x:f>'Reporte Componentes R1'!N82</x:f>
        <x:v>0</x:v>
      </x:c>
      <x:c r="W47" s="308">
        <x:f>'Reporte Componentes R1'!O82</x:f>
        <x:v>0</x:v>
      </x:c>
      <x:c r="X47" s="308">
        <x:f>'Reporte Componentes R1'!P82</x:f>
        <x:v>0</x:v>
      </x:c>
      <x:c r="Y47" s="309">
        <x:f>'Reporte Componentes R1'!Q82</x:f>
        <x:v>0</x:v>
      </x:c>
      <x:c r="Z47" s="310">
        <x:f>-L47</x:f>
        <x:v>0</x:v>
      </x:c>
      <x:c r="AA47" s="311">
        <x:f>'Reporte Componentes R1'!R82+'Reporte Componentes R1'!V82+'Reporte Componentes R1'!U82</x:f>
        <x:v>0</x:v>
      </x:c>
      <x:c r="AB47" s="294">
        <x:f>N47</x:f>
        <x:v>0</x:v>
      </x:c>
      <x:c r="AC47" s="311">
        <x:f>'Reporte Componentes R1'!T82+'Reporte Componentes R1'!W82+'Reporte Componentes R1'!X82+'Reporte Componentes R1'!Y82+'Reporte Componentes R1'!Z82+'Reporte Componentes R1'!S82</x:f>
        <x:v>0</x:v>
      </x:c>
      <x:c r="AD47" s="291">
        <x:f>-J47+AE47</x:f>
        <x:v>0</x:v>
      </x:c>
      <x:c r="AE47" s="291">
        <x:f>'Reporte Componentes R1'!F83</x:f>
        <x:v>0</x:v>
      </x:c>
      <x:c r="AF47" s="313">
        <x:f>SUM(U47:AD47)</x:f>
        <x:v>0</x:v>
      </x:c>
      <x:c r="AG47" s="521">
        <x:f>(AF47-O47)</x:f>
        <x:v>0</x:v>
      </x:c>
      <x:c r="AH47" s="1" t="b">
        <x:f t="shared" ref="AH47:AH52" si="15">INT(AG47)=0</x:f>
        <x:v>1</x:v>
      </x:c>
      <x:c r="AI47" s="306"/>
    </x:row>
    <x:row r="48" spans="1:35" s="305" customFormat="1" x14ac:dyDescent="0.3">
      <x:c r="B48" s="314">
        <x:v>2</x:v>
      </x:c>
      <x:c r="C48" s="315" t="s">
        <x:v>11</x:v>
      </x:c>
      <x:c r="D48" s="291">
        <x:f>'Reporte Componentes R1'!F261</x:f>
        <x:v>0</x:v>
      </x:c>
      <x:c r="E48" s="292">
        <x:f>'Reporte Componentes R1'!G261</x:f>
        <x:v>0</x:v>
      </x:c>
      <x:c r="F48" s="292">
        <x:f>'Reporte Componentes R1'!H261</x:f>
        <x:v>0</x:v>
      </x:c>
      <x:c r="G48" s="292">
        <x:f>'Reporte Componentes R1'!I261</x:f>
        <x:v>0</x:v>
      </x:c>
      <x:c r="H48" s="292">
        <x:f>'Reporte Componentes R1'!J261</x:f>
        <x:v>0</x:v>
      </x:c>
      <x:c r="I48" s="292">
        <x:f>'Reporte Componentes R1'!K261</x:f>
        <x:v>0</x:v>
      </x:c>
      <x:c r="J48" s="288">
        <x:v>0</x:v>
      </x:c>
      <x:c r="K48" s="295">
        <x:f t="shared" ref="K48:K51" si="16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R1'!L261</x:f>
        <x:v>0</x:v>
      </x:c>
      <x:c r="O48" s="295">
        <x:f t="shared" ref="O48:O51" si="17">M48+N48</x:f>
        <x:v>0</x:v>
      </x:c>
      <x:c r="Q48" s="306"/>
      <x:c r="S48" s="314">
        <x:v>2</x:v>
      </x:c>
      <x:c r="T48" s="315" t="s">
        <x:v>11</x:v>
      </x:c>
      <x:c r="U48" s="316">
        <x:f>'Reporte Componentes R1'!M261</x:f>
        <x:v>0</x:v>
      </x:c>
      <x:c r="V48" s="317">
        <x:f>'Reporte Componentes R1'!N261</x:f>
        <x:v>0</x:v>
      </x:c>
      <x:c r="W48" s="317">
        <x:f>'Reporte Componentes R1'!O261</x:f>
        <x:v>0</x:v>
      </x:c>
      <x:c r="X48" s="317">
        <x:f>'Reporte Componentes R1'!P261</x:f>
        <x:v>0</x:v>
      </x:c>
      <x:c r="Y48" s="318">
        <x:f>'Reporte Componentes R1'!Q261</x:f>
        <x:v>0</x:v>
      </x:c>
      <x:c r="Z48" s="319">
        <x:f>-L48</x:f>
        <x:v>0</x:v>
      </x:c>
      <x:c r="AA48" s="320">
        <x:f>'Reporte Componentes R1'!R261+'Reporte Componentes R1'!V261+'Reporte Componentes R1'!U261</x:f>
        <x:v>0</x:v>
      </x:c>
      <x:c r="AB48" s="294">
        <x:f>N48</x:f>
        <x:v>0</x:v>
      </x:c>
      <x:c r="AC48" s="320">
        <x:f>'Reporte Componentes R1'!T261+'Reporte Componentes R1'!W261+'Reporte Componentes R1'!X261+'Reporte Componentes R1'!Y261+'Reporte Componentes R1'!Z261+'Reporte Componentes R1'!S261</x:f>
        <x:v>0</x:v>
      </x:c>
      <x:c r="AD48" s="291">
        <x:f t="shared" ref="AD48:AD51" si="18">-J48+AE48</x:f>
        <x:v>0</x:v>
      </x:c>
      <x:c r="AE48" s="291">
        <x:f>'Reporte Componentes R1'!F262</x:f>
        <x:v>0</x:v>
      </x:c>
      <x:c r="AF48" s="322">
        <x:f>SUM(U48:AD48)</x:f>
        <x:v>0</x:v>
      </x:c>
      <x:c r="AG48" s="522">
        <x:f>(AF48-O48)</x:f>
        <x:v>0</x:v>
      </x:c>
      <x:c r="AH48" s="1" t="b">
        <x:f t="shared" si="15"/>
        <x:v>1</x:v>
      </x:c>
      <x:c r="AI48" s="306"/>
    </x:row>
    <x:row r="49" spans="1:35" s="305" customFormat="1" x14ac:dyDescent="0.3">
      <x:c r="B49" s="314">
        <x:v>3</x:v>
      </x:c>
      <x:c r="C49" s="315" t="s">
        <x:v>12</x:v>
      </x:c>
      <x:c r="D49" s="291">
        <x:f>'Reporte Componentes R1'!F422</x:f>
        <x:v>0</x:v>
      </x:c>
      <x:c r="E49" s="292">
        <x:f>'Reporte Componentes R1'!G422</x:f>
        <x:v>0</x:v>
      </x:c>
      <x:c r="F49" s="292">
        <x:f>'Reporte Componentes R1'!H422</x:f>
        <x:v>0</x:v>
      </x:c>
      <x:c r="G49" s="292">
        <x:f>'Reporte Componentes R1'!I422</x:f>
        <x:v>0</x:v>
      </x:c>
      <x:c r="H49" s="292">
        <x:f>'Reporte Componentes R1'!J422</x:f>
        <x:v>0</x:v>
      </x:c>
      <x:c r="I49" s="292">
        <x:f>'Reporte Componentes R1'!K422</x:f>
        <x:v>0</x:v>
      </x:c>
      <x:c r="J49" s="288">
        <x:v>0</x:v>
      </x:c>
      <x:c r="K49" s="295">
        <x:f t="shared" si="16"/>
        <x:v>0</x:v>
      </x:c>
      <x:c r="L49" s="294">
        <x:v>0</x:v>
      </x:c>
      <x:c r="M49" s="295">
        <x:f>K49-L49</x:f>
        <x:v>0</x:v>
      </x:c>
      <x:c r="N49" s="294">
        <x:f>'Reporte Componentes R1'!L422</x:f>
        <x:v>0</x:v>
      </x:c>
      <x:c r="O49" s="295">
        <x:f t="shared" si="17"/>
        <x:v>0</x:v>
      </x:c>
      <x:c r="Q49" s="306"/>
      <x:c r="S49" s="314">
        <x:v>3</x:v>
      </x:c>
      <x:c r="T49" s="315" t="s">
        <x:v>12</x:v>
      </x:c>
      <x:c r="U49" s="316">
        <x:f>'Reporte Componentes R1'!M422</x:f>
        <x:v>0</x:v>
      </x:c>
      <x:c r="V49" s="317">
        <x:f>'Reporte Componentes R1'!N422</x:f>
        <x:v>0</x:v>
      </x:c>
      <x:c r="W49" s="317">
        <x:f>'Reporte Componentes R1'!O422</x:f>
        <x:v>0</x:v>
      </x:c>
      <x:c r="X49" s="317">
        <x:f>'Reporte Componentes R1'!P422</x:f>
        <x:v>0</x:v>
      </x:c>
      <x:c r="Y49" s="318">
        <x:f>'Reporte Componentes R1'!Q422</x:f>
        <x:v>0</x:v>
      </x:c>
      <x:c r="Z49" s="319">
        <x:f>-L49</x:f>
        <x:v>0</x:v>
      </x:c>
      <x:c r="AA49" s="320">
        <x:f>'Reporte Componentes R1'!R422+'Reporte Componentes R1'!V422+'Reporte Componentes R1'!U422</x:f>
        <x:v>0</x:v>
      </x:c>
      <x:c r="AB49" s="294">
        <x:f>N49</x:f>
        <x:v>0</x:v>
      </x:c>
      <x:c r="AC49" s="320">
        <x:f>'Reporte Componentes R1'!T422+'Reporte Componentes R1'!W422+'Reporte Componentes R1'!X422+'Reporte Componentes R1'!Y422+'Reporte Componentes R1'!Z422+'Reporte Componentes R1'!S422</x:f>
        <x:v>0</x:v>
      </x:c>
      <x:c r="AD49" s="291">
        <x:f t="shared" si="18"/>
        <x:v>0</x:v>
      </x:c>
      <x:c r="AE49" s="291">
        <x:f>'Reporte Componentes R1'!F423</x:f>
        <x:v>0</x:v>
      </x:c>
      <x:c r="AF49" s="322">
        <x:f t="shared" ref="AF49:AF51" si="19">SUM(U49:AD49)</x:f>
        <x:v>0</x:v>
      </x:c>
      <x:c r="AG49" s="522">
        <x:f t="shared" ref="AG49:AG51" si="20">(AF49-O49)</x:f>
        <x:v>0</x:v>
      </x:c>
      <x:c r="AH49" s="1" t="b">
        <x:f t="shared" si="15"/>
        <x:v>1</x:v>
      </x:c>
      <x:c r="AI49" s="306"/>
    </x:row>
    <x:row r="50" spans="1:35" s="305" customFormat="1" x14ac:dyDescent="0.3">
      <x:c r="B50" s="314">
        <x:v>4</x:v>
      </x:c>
      <x:c r="C50" s="315" t="s">
        <x:v>13</x:v>
      </x:c>
      <x:c r="D50" s="291">
        <x:f>'Reporte Componentes R1'!F575</x:f>
        <x:v>0</x:v>
      </x:c>
      <x:c r="E50" s="292">
        <x:f>'Reporte Componentes R1'!G575</x:f>
        <x:v>0</x:v>
      </x:c>
      <x:c r="F50" s="292">
        <x:f>'Reporte Componentes R1'!H575</x:f>
        <x:v>0</x:v>
      </x:c>
      <x:c r="G50" s="292">
        <x:f>'Reporte Componentes R1'!I575</x:f>
        <x:v>0</x:v>
      </x:c>
      <x:c r="H50" s="292">
        <x:f>'Reporte Componentes R1'!J575</x:f>
        <x:v>0</x:v>
      </x:c>
      <x:c r="I50" s="292">
        <x:f>'Reporte Componentes R1'!K575</x:f>
        <x:v>0</x:v>
      </x:c>
      <x:c r="J50" s="288">
        <x:v>0</x:v>
      </x:c>
      <x:c r="K50" s="295">
        <x:f t="shared" si="16"/>
        <x:v>0</x:v>
      </x:c>
      <x:c r="L50" s="294">
        <x:v>0</x:v>
      </x:c>
      <x:c r="M50" s="295">
        <x:f>K50-L50</x:f>
        <x:v>0</x:v>
      </x:c>
      <x:c r="N50" s="294">
        <x:f>'Reporte Componentes R1'!L575</x:f>
        <x:v>0</x:v>
      </x:c>
      <x:c r="O50" s="295">
        <x:f t="shared" si="17"/>
        <x:v>0</x:v>
      </x:c>
      <x:c r="Q50" s="306"/>
      <x:c r="S50" s="314">
        <x:v>4</x:v>
      </x:c>
      <x:c r="T50" s="315" t="s">
        <x:v>13</x:v>
      </x:c>
      <x:c r="U50" s="316">
        <x:f>'Reporte Componentes R1'!M575</x:f>
        <x:v>0</x:v>
      </x:c>
      <x:c r="V50" s="317">
        <x:f>'Reporte Componentes R1'!N575</x:f>
        <x:v>0</x:v>
      </x:c>
      <x:c r="W50" s="317">
        <x:f>'Reporte Componentes R1'!O575</x:f>
        <x:v>0</x:v>
      </x:c>
      <x:c r="X50" s="317">
        <x:f>'Reporte Componentes R1'!P575</x:f>
        <x:v>0</x:v>
      </x:c>
      <x:c r="Y50" s="318">
        <x:f>'Reporte Componentes R1'!Q575</x:f>
        <x:v>0</x:v>
      </x:c>
      <x:c r="Z50" s="319">
        <x:f>-L50</x:f>
        <x:v>0</x:v>
      </x:c>
      <x:c r="AA50" s="320">
        <x:f>'Reporte Componentes R1'!R575+'Reporte Componentes R1'!V575+'Reporte Componentes R1'!U575</x:f>
        <x:v>0</x:v>
      </x:c>
      <x:c r="AB50" s="294">
        <x:f>N50</x:f>
        <x:v>0</x:v>
      </x:c>
      <x:c r="AC50" s="320">
        <x:f>'Reporte Componentes R1'!T575+'Reporte Componentes R1'!W575+'Reporte Componentes R1'!X575+'Reporte Componentes R1'!Y575+'Reporte Componentes R1'!Z575+'Reporte Componentes R1'!S575</x:f>
        <x:v>0</x:v>
      </x:c>
      <x:c r="AD50" s="291">
        <x:f t="shared" si="18"/>
        <x:v>0</x:v>
      </x:c>
      <x:c r="AE50" s="291">
        <x:f>'Reporte Componentes R1'!F576</x:f>
        <x:v>0</x:v>
      </x:c>
      <x:c r="AF50" s="322">
        <x:f t="shared" si="19"/>
        <x:v>0</x:v>
      </x:c>
      <x:c r="AG50" s="522">
        <x:f t="shared" si="20"/>
        <x:v>0</x:v>
      </x:c>
      <x:c r="AH50" s="1" t="b">
        <x:f t="shared" si="15"/>
        <x:v>1</x:v>
      </x:c>
      <x:c r="AI50" s="306"/>
    </x:row>
    <x:row r="51" spans="1:35" s="305" customFormat="1" ht="12" thickBot="1" x14ac:dyDescent="0.35">
      <x:c r="B51" s="324">
        <x:v>5</x:v>
      </x:c>
      <x:c r="C51" s="325" t="s">
        <x:v>14</x:v>
      </x:c>
      <x:c r="D51" s="296">
        <x:f>'Reporte Componentes R1'!F687</x:f>
        <x:v>0</x:v>
      </x:c>
      <x:c r="E51" s="297">
        <x:f>'Reporte Componentes R1'!G687</x:f>
        <x:v>0</x:v>
      </x:c>
      <x:c r="F51" s="297">
        <x:f>'Reporte Componentes R1'!H687</x:f>
        <x:v>0</x:v>
      </x:c>
      <x:c r="G51" s="297">
        <x:f>'Reporte Componentes R1'!I687</x:f>
        <x:v>0</x:v>
      </x:c>
      <x:c r="H51" s="297">
        <x:f>'Reporte Componentes R1'!J687</x:f>
        <x:v>0</x:v>
      </x:c>
      <x:c r="I51" s="297">
        <x:f>'Reporte Componentes R1'!K687</x:f>
        <x:v>0</x:v>
      </x:c>
      <x:c r="J51" s="289">
        <x:v>0</x:v>
      </x:c>
      <x:c r="K51" s="295">
        <x:f t="shared" si="16"/>
        <x:v>0</x:v>
      </x:c>
      <x:c r="L51" s="294">
        <x:v>0</x:v>
      </x:c>
      <x:c r="M51" s="298">
        <x:f>K51-L51</x:f>
        <x:v>0</x:v>
      </x:c>
      <x:c r="N51" s="299">
        <x:f>'Reporte Componentes R1'!L687</x:f>
        <x:v>0</x:v>
      </x:c>
      <x:c r="O51" s="298">
        <x:f t="shared" si="17"/>
        <x:v>0</x:v>
      </x:c>
      <x:c r="Q51" s="306"/>
      <x:c r="S51" s="324">
        <x:v>5</x:v>
      </x:c>
      <x:c r="T51" s="325" t="s">
        <x:v>14</x:v>
      </x:c>
      <x:c r="U51" s="296">
        <x:f>'Reporte Componentes R1'!M687</x:f>
        <x:v>0</x:v>
      </x:c>
      <x:c r="V51" s="297">
        <x:f>'Reporte Componentes R1'!N687</x:f>
        <x:v>0</x:v>
      </x:c>
      <x:c r="W51" s="297">
        <x:f>'Reporte Componentes R1'!O687</x:f>
        <x:v>0</x:v>
      </x:c>
      <x:c r="X51" s="297">
        <x:f>'Reporte Componentes R1'!P687</x:f>
        <x:v>0</x:v>
      </x:c>
      <x:c r="Y51" s="289">
        <x:f>'Reporte Componentes R1'!Q687</x:f>
        <x:v>0</x:v>
      </x:c>
      <x:c r="Z51" s="319">
        <x:f>-L51</x:f>
        <x:v>0</x:v>
      </x:c>
      <x:c r="AA51" s="320">
        <x:f>'Reporte Componentes R1'!R687+'Reporte Componentes R1'!V687+'Reporte Componentes R1'!U687</x:f>
        <x:v>0</x:v>
      </x:c>
      <x:c r="AB51" s="294">
        <x:f>N51</x:f>
        <x:v>0</x:v>
      </x:c>
      <x:c r="AC51" s="320">
        <x:f>'Reporte Componentes R1'!T687+'Reporte Componentes R1'!W687+'Reporte Componentes R1'!X687+'Reporte Componentes R1'!Y687+'Reporte Componentes R1'!Z687+'Reporte Componentes R1'!S687</x:f>
        <x:v>0</x:v>
      </x:c>
      <x:c r="AD51" s="291">
        <x:f t="shared" si="18"/>
        <x:v>0</x:v>
      </x:c>
      <x:c r="AE51" s="291">
        <x:f>'Reporte Componentes R1'!F688</x:f>
        <x:v>0</x:v>
      </x:c>
      <x:c r="AF51" s="322">
        <x:f t="shared" si="19"/>
        <x:v>0</x:v>
      </x:c>
      <x:c r="AG51" s="523">
        <x:f t="shared" si="20"/>
        <x:v>0</x:v>
      </x:c>
      <x:c r="AH51" s="1" t="b">
        <x:f t="shared" si="15"/>
        <x:v>1</x:v>
      </x:c>
      <x:c r="AI51" s="306"/>
    </x:row>
    <x:row r="52" spans="1:35" s="305" customFormat="1" ht="12.9" thickBot="1" x14ac:dyDescent="0.35">
      <x:c r="B52" s="327"/>
      <x:c r="C52" s="328" t="s">
        <x:v>2</x:v>
      </x:c>
      <x:c r="D52" s="290">
        <x:f t="shared" ref="D52:O52" si="21">SUM(D47:D51)</x:f>
        <x:v>0</x:v>
      </x:c>
      <x:c r="E52" s="290">
        <x:f t="shared" si="21"/>
        <x:v>0</x:v>
      </x:c>
      <x:c r="F52" s="290">
        <x:f t="shared" si="21"/>
        <x:v>0</x:v>
      </x:c>
      <x:c r="G52" s="290">
        <x:f t="shared" ref="G52" si="22">SUM(G47:G51)</x:f>
        <x:v>0</x:v>
      </x:c>
      <x:c r="H52" s="290">
        <x:f t="shared" si="21"/>
        <x:v>0</x:v>
      </x:c>
      <x:c r="I52" s="290">
        <x:f t="shared" si="21"/>
        <x:v>0</x:v>
      </x:c>
      <x:c r="J52" s="290">
        <x:f t="shared" si="21"/>
        <x:v>0</x:v>
      </x:c>
      <x:c r="K52" s="300">
        <x:f t="shared" si="21"/>
        <x:v>0</x:v>
      </x:c>
      <x:c r="L52" s="301">
        <x:f t="shared" si="21"/>
        <x:v>0</x:v>
      </x:c>
      <x:c r="M52" s="302">
        <x:f t="shared" si="21"/>
        <x:v>0</x:v>
      </x:c>
      <x:c r="N52" s="301">
        <x:f t="shared" si="21"/>
        <x:v>0</x:v>
      </x:c>
      <x:c r="O52" s="302">
        <x:f t="shared" si="21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3">SUM(V47:V51)</x:f>
        <x:v>0</x:v>
      </x:c>
      <x:c r="W52" s="330">
        <x:f t="shared" si="23"/>
        <x:v>0</x:v>
      </x:c>
      <x:c r="X52" s="330">
        <x:f t="shared" si="23"/>
        <x:v>0</x:v>
      </x:c>
      <x:c r="Y52" s="330">
        <x:f t="shared" si="23"/>
        <x:v>0</x:v>
      </x:c>
      <x:c r="Z52" s="290">
        <x:f t="shared" si="23"/>
        <x:v>0</x:v>
      </x:c>
      <x:c r="AA52" s="290">
        <x:f t="shared" si="23"/>
        <x:v>0</x:v>
      </x:c>
      <x:c r="AB52" s="290">
        <x:f t="shared" si="23"/>
        <x:v>0</x:v>
      </x:c>
      <x:c r="AC52" s="290">
        <x:f t="shared" si="23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3"/>
        <x:v>0</x:v>
      </x:c>
      <x:c r="AG52" s="524">
        <x:f t="shared" si="23"/>
        <x:v>0</x:v>
      </x:c>
      <x:c r="AH52" s="1" t="b">
        <x:f t="shared" si="15"/>
        <x:v>1</x:v>
      </x:c>
      <x:c r="AI52" s="306"/>
    </x:row>
    <x:row r="53" spans="1:35" ht="12" thickBot="1" x14ac:dyDescent="0.3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" thickBot="1" x14ac:dyDescent="0.3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" thickBot="1" x14ac:dyDescent="0.3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3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3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35">
      <x:c r="Q58" s="4"/>
      <x:c r="AI58" s="4"/>
    </x:row>
    <x:row r="59" spans="1:35" x14ac:dyDescent="0.3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4.15" x14ac:dyDescent="0.3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2026101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2026101</x:v>
      </x:c>
      <x:c r="AE60" s="84"/>
      <x:c r="AF60" s="48"/>
      <x:c r="AG60" s="2"/>
      <x:c r="AI60" s="4"/>
    </x:row>
    <x:row r="61" spans="1:35" ht="15.45" x14ac:dyDescent="0.4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4.15" x14ac:dyDescent="0.3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45" x14ac:dyDescent="0.4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" thickBot="1" x14ac:dyDescent="0.3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3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68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x14ac:dyDescent="0.3">
      <x:c r="B66" s="303">
        <x:v>1</x:v>
      </x:c>
      <x:c r="C66" s="304" t="s">
        <x:v>10</x:v>
      </x:c>
      <x:c r="D66" s="291">
        <x:f>'Reversion Pagos R4'!D76</x:f>
        <x:v>0</x:v>
      </x:c>
      <x:c r="E66" s="292">
        <x:f>'Reversion Pagos R4'!E76</x:f>
        <x:v>0</x:v>
      </x:c>
      <x:c r="F66" s="292">
        <x:f>'Reversion Pagos R4'!F76</x:f>
        <x:v>0</x:v>
      </x:c>
      <x:c r="G66" s="292">
        <x:f>'Reversion Pagos R4'!G76</x:f>
        <x:v>0</x:v>
      </x:c>
      <x:c r="H66" s="292">
        <x:f>'Reversion Pagos R4'!H76</x:f>
        <x:v>0</x:v>
      </x:c>
      <x:c r="I66" s="292">
        <x:f>'Reversion Pagos R4'!I76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R4'!P76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R4'!J76</x:f>
        <x:v>0</x:v>
      </x:c>
      <x:c r="V66" s="308">
        <x:f>'Reversion Pagos R4'!K76</x:f>
        <x:v>0</x:v>
      </x:c>
      <x:c r="W66" s="308">
        <x:f>'Reversion Pagos R4'!L76</x:f>
        <x:v>0</x:v>
      </x:c>
      <x:c r="X66" s="308">
        <x:f>'Reversion Pagos R4'!M76</x:f>
        <x:v>0</x:v>
      </x:c>
      <x:c r="Y66" s="309">
        <x:f>'Reversion Pagos R4'!N76</x:f>
        <x:v>0</x:v>
      </x:c>
      <x:c r="Z66" s="310">
        <x:f>-L66</x:f>
        <x:v>0</x:v>
      </x:c>
      <x:c r="AA66" s="320">
        <x:f>'Reversion Pagos R4'!O76</x:f>
        <x:v>0</x:v>
      </x:c>
      <x:c r="AB66" s="294">
        <x:f>N66</x:f>
        <x:v>0</x:v>
      </x:c>
      <x:c r="AC66" s="320">
        <x:f>+'Reversion Pagos R4'!Q76+'Reversion Pagos R4'!R76</x:f>
        <x:v>0</x:v>
      </x:c>
      <x:c r="AD66" s="291">
        <x:f>-J66+AE66</x:f>
        <x:v>0</x:v>
      </x:c>
      <x:c r="AE66" s="291">
        <x:f>'Reversion Pagos R4'!D77</x:f>
        <x:v>0</x:v>
      </x:c>
      <x:c r="AF66" s="313">
        <x:f>SUM(U66:AD66)</x:f>
        <x:v>0</x:v>
      </x:c>
      <x:c r="AG66" s="521">
        <x:f>(AF66-O66)</x:f>
        <x:v>0</x:v>
      </x:c>
      <x:c r="AH66" s="1" t="b">
        <x:f t="shared" ref="AH66:AH71" si="24">INT(AG66)=0</x:f>
        <x:v>1</x:v>
      </x:c>
      <x:c r="AI66" s="306"/>
    </x:row>
    <x:row r="67" spans="1:35" s="305" customFormat="1" x14ac:dyDescent="0.3">
      <x:c r="B67" s="314">
        <x:v>2</x:v>
      </x:c>
      <x:c r="C67" s="315" t="s">
        <x:v>11</x:v>
      </x:c>
      <x:c r="D67" s="291">
        <x:f>'Reversion Pagos R4'!D177</x:f>
        <x:v>0</x:v>
      </x:c>
      <x:c r="E67" s="292">
        <x:f>'Reversion Pagos R4'!E177</x:f>
        <x:v>0</x:v>
      </x:c>
      <x:c r="F67" s="292">
        <x:f>'Reversion Pagos R4'!F177</x:f>
        <x:v>0</x:v>
      </x:c>
      <x:c r="G67" s="292">
        <x:f>'Reversion Pagos R4'!G177</x:f>
        <x:v>0</x:v>
      </x:c>
      <x:c r="H67" s="292">
        <x:f>'Reversion Pagos R4'!H177</x:f>
        <x:v>0</x:v>
      </x:c>
      <x:c r="I67" s="292">
        <x:f>'Reversion Pagos R4'!I177</x:f>
        <x:v>0</x:v>
      </x:c>
      <x:c r="J67" s="288">
        <x:v>0</x:v>
      </x:c>
      <x:c r="K67" s="295">
        <x:f t="shared" ref="K67:K70" si="25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R4'!P177</x:f>
        <x:v>0</x:v>
      </x:c>
      <x:c r="O67" s="295">
        <x:f t="shared" ref="O67:O70" si="26">M67+N67</x:f>
        <x:v>0</x:v>
      </x:c>
      <x:c r="Q67" s="306"/>
      <x:c r="S67" s="314">
        <x:v>2</x:v>
      </x:c>
      <x:c r="T67" s="315" t="s">
        <x:v>11</x:v>
      </x:c>
      <x:c r="U67" s="316">
        <x:f>'Reversion Pagos R4'!J177</x:f>
        <x:v>0</x:v>
      </x:c>
      <x:c r="V67" s="317">
        <x:f>'Reversion Pagos R4'!K177</x:f>
        <x:v>0</x:v>
      </x:c>
      <x:c r="W67" s="317">
        <x:f>'Reversion Pagos R4'!L177</x:f>
        <x:v>0</x:v>
      </x:c>
      <x:c r="X67" s="317">
        <x:f>'Reversion Pagos R4'!M177</x:f>
        <x:v>0</x:v>
      </x:c>
      <x:c r="Y67" s="318">
        <x:f>'Reversion Pagos R4'!N177</x:f>
        <x:v>0</x:v>
      </x:c>
      <x:c r="Z67" s="319">
        <x:f t="shared" ref="Z67:Z70" si="27">-L67</x:f>
        <x:v>0</x:v>
      </x:c>
      <x:c r="AA67" s="320">
        <x:f>'Reversion Pagos R4'!O177</x:f>
        <x:v>0</x:v>
      </x:c>
      <x:c r="AB67" s="294">
        <x:f t="shared" ref="AB67:AB70" si="28">N67</x:f>
        <x:v>0</x:v>
      </x:c>
      <x:c r="AC67" s="320">
        <x:f>+'Reversion Pagos R4'!Q177+'Reversion Pagos R4'!R177</x:f>
        <x:v>0</x:v>
      </x:c>
      <x:c r="AD67" s="291">
        <x:f t="shared" ref="AD67:AD70" si="29">-J67+AE67</x:f>
        <x:v>0</x:v>
      </x:c>
      <x:c r="AE67" s="291">
        <x:f>'Reversion Pagos R4'!D178</x:f>
        <x:v>0</x:v>
      </x:c>
      <x:c r="AF67" s="322">
        <x:f>SUM(U67:AD67)</x:f>
        <x:v>0</x:v>
      </x:c>
      <x:c r="AG67" s="522">
        <x:f>(AF67-O67)</x:f>
        <x:v>0</x:v>
      </x:c>
      <x:c r="AH67" s="1" t="b">
        <x:f t="shared" si="24"/>
        <x:v>1</x:v>
      </x:c>
      <x:c r="AI67" s="306"/>
    </x:row>
    <x:row r="68" spans="1:35" s="305" customFormat="1" x14ac:dyDescent="0.3">
      <x:c r="B68" s="314">
        <x:v>3</x:v>
      </x:c>
      <x:c r="C68" s="315" t="s">
        <x:v>12</x:v>
      </x:c>
      <x:c r="D68" s="291">
        <x:f>'Reversion Pagos R4'!D214</x:f>
        <x:v>0</x:v>
      </x:c>
      <x:c r="E68" s="292">
        <x:f>'Reversion Pagos R4'!E214</x:f>
        <x:v>0</x:v>
      </x:c>
      <x:c r="F68" s="292">
        <x:f>'Reversion Pagos R4'!F214</x:f>
        <x:v>0</x:v>
      </x:c>
      <x:c r="G68" s="292">
        <x:f>'Reversion Pagos R4'!G214</x:f>
        <x:v>0</x:v>
      </x:c>
      <x:c r="H68" s="292">
        <x:f>'Reversion Pagos R4'!H214</x:f>
        <x:v>0</x:v>
      </x:c>
      <x:c r="I68" s="292">
        <x:f>'Reversion Pagos R4'!I214</x:f>
        <x:v>0</x:v>
      </x:c>
      <x:c r="J68" s="288">
        <x:v>0</x:v>
      </x:c>
      <x:c r="K68" s="295">
        <x:f t="shared" si="25"/>
        <x:v>0</x:v>
      </x:c>
      <x:c r="L68" s="294">
        <x:v>0</x:v>
      </x:c>
      <x:c r="M68" s="295">
        <x:f>K68-L68</x:f>
        <x:v>0</x:v>
      </x:c>
      <x:c r="N68" s="294">
        <x:f>'Reversion Pagos R4'!P214</x:f>
        <x:v>0</x:v>
      </x:c>
      <x:c r="O68" s="295">
        <x:f t="shared" si="26"/>
        <x:v>0</x:v>
      </x:c>
      <x:c r="Q68" s="306"/>
      <x:c r="S68" s="314">
        <x:v>3</x:v>
      </x:c>
      <x:c r="T68" s="315" t="s">
        <x:v>12</x:v>
      </x:c>
      <x:c r="U68" s="316">
        <x:f>'Reversion Pagos R4'!J214</x:f>
        <x:v>0</x:v>
      </x:c>
      <x:c r="V68" s="317">
        <x:f>'Reversion Pagos R4'!K214</x:f>
        <x:v>0</x:v>
      </x:c>
      <x:c r="W68" s="317">
        <x:f>'Reversion Pagos R4'!L214</x:f>
        <x:v>0</x:v>
      </x:c>
      <x:c r="X68" s="317">
        <x:f>'Reversion Pagos R4'!M214</x:f>
        <x:v>0</x:v>
      </x:c>
      <x:c r="Y68" s="318">
        <x:f>'Reversion Pagos R4'!N214</x:f>
        <x:v>0</x:v>
      </x:c>
      <x:c r="Z68" s="319">
        <x:f t="shared" si="27"/>
        <x:v>0</x:v>
      </x:c>
      <x:c r="AA68" s="320">
        <x:f>'Reversion Pagos R4'!O214</x:f>
        <x:v>0</x:v>
      </x:c>
      <x:c r="AB68" s="294">
        <x:f t="shared" si="28"/>
        <x:v>0</x:v>
      </x:c>
      <x:c r="AC68" s="320">
        <x:f>+'Reversion Pagos R4'!Q214+'Reversion Pagos R4'!R214</x:f>
        <x:v>0</x:v>
      </x:c>
      <x:c r="AD68" s="291">
        <x:f t="shared" si="29"/>
        <x:v>0</x:v>
      </x:c>
      <x:c r="AE68" s="291">
        <x:f>'Reversion Pagos R4'!D215</x:f>
        <x:v>0</x:v>
      </x:c>
      <x:c r="AF68" s="322">
        <x:f t="shared" ref="AF68:AF70" si="30">SUM(U68:AD68)</x:f>
        <x:v>0</x:v>
      </x:c>
      <x:c r="AG68" s="522">
        <x:f t="shared" ref="AG68:AG70" si="31">(AF68-O68)</x:f>
        <x:v>0</x:v>
      </x:c>
      <x:c r="AH68" s="1" t="b">
        <x:f t="shared" si="24"/>
        <x:v>1</x:v>
      </x:c>
      <x:c r="AI68" s="306"/>
    </x:row>
    <x:row r="69" spans="1:35" s="305" customFormat="1" x14ac:dyDescent="0.3">
      <x:c r="B69" s="314">
        <x:v>4</x:v>
      </x:c>
      <x:c r="C69" s="315" t="s">
        <x:v>13</x:v>
      </x:c>
      <x:c r="D69" s="291">
        <x:f>'Reversion Pagos R4'!D329</x:f>
        <x:v>0</x:v>
      </x:c>
      <x:c r="E69" s="292">
        <x:f>'Reversion Pagos R4'!E329</x:f>
        <x:v>0</x:v>
      </x:c>
      <x:c r="F69" s="292">
        <x:f>'Reversion Pagos R4'!F329</x:f>
        <x:v>0</x:v>
      </x:c>
      <x:c r="G69" s="292">
        <x:f>'Reversion Pagos R4'!G329</x:f>
        <x:v>0</x:v>
      </x:c>
      <x:c r="H69" s="292">
        <x:f>'Reversion Pagos R4'!H329</x:f>
        <x:v>0</x:v>
      </x:c>
      <x:c r="I69" s="292">
        <x:f>'Reversion Pagos R4'!I329</x:f>
        <x:v>0</x:v>
      </x:c>
      <x:c r="J69" s="288">
        <x:v>0</x:v>
      </x:c>
      <x:c r="K69" s="295">
        <x:f t="shared" si="25"/>
        <x:v>0</x:v>
      </x:c>
      <x:c r="L69" s="294">
        <x:v>0</x:v>
      </x:c>
      <x:c r="M69" s="295">
        <x:f>K69-L69</x:f>
        <x:v>0</x:v>
      </x:c>
      <x:c r="N69" s="294">
        <x:f>'Reversion Pagos R4'!P329</x:f>
        <x:v>0</x:v>
      </x:c>
      <x:c r="O69" s="295">
        <x:f t="shared" si="26"/>
        <x:v>0</x:v>
      </x:c>
      <x:c r="Q69" s="306"/>
      <x:c r="S69" s="314">
        <x:v>4</x:v>
      </x:c>
      <x:c r="T69" s="315" t="s">
        <x:v>13</x:v>
      </x:c>
      <x:c r="U69" s="316">
        <x:f>'Reversion Pagos R4'!J329</x:f>
        <x:v>0</x:v>
      </x:c>
      <x:c r="V69" s="317">
        <x:f>'Reversion Pagos R4'!K329</x:f>
        <x:v>0</x:v>
      </x:c>
      <x:c r="W69" s="317">
        <x:f>'Reversion Pagos R4'!L329</x:f>
        <x:v>0</x:v>
      </x:c>
      <x:c r="X69" s="317">
        <x:f>'Reversion Pagos R4'!M329</x:f>
        <x:v>0</x:v>
      </x:c>
      <x:c r="Y69" s="318">
        <x:f>'Reversion Pagos R4'!N329</x:f>
        <x:v>0</x:v>
      </x:c>
      <x:c r="Z69" s="319">
        <x:f t="shared" si="27"/>
        <x:v>0</x:v>
      </x:c>
      <x:c r="AA69" s="320">
        <x:f>'Reversion Pagos R4'!O329</x:f>
        <x:v>0</x:v>
      </x:c>
      <x:c r="AB69" s="294">
        <x:f t="shared" si="28"/>
        <x:v>0</x:v>
      </x:c>
      <x:c r="AC69" s="320">
        <x:f>+'Reversion Pagos R4'!Q329+'Reversion Pagos R4'!R329</x:f>
        <x:v>0</x:v>
      </x:c>
      <x:c r="AD69" s="291">
        <x:f t="shared" si="29"/>
        <x:v>0</x:v>
      </x:c>
      <x:c r="AE69" s="291">
        <x:f>'Reversion Pagos R4'!D330</x:f>
        <x:v>0</x:v>
      </x:c>
      <x:c r="AF69" s="322">
        <x:f>SUM(U69:AD69)</x:f>
        <x:v>0</x:v>
      </x:c>
      <x:c r="AG69" s="522">
        <x:f>(AF69-O69)</x:f>
        <x:v>0</x:v>
      </x:c>
      <x:c r="AH69" s="1" t="b">
        <x:f t="shared" si="24"/>
        <x:v>1</x:v>
      </x:c>
      <x:c r="AI69" s="306"/>
    </x:row>
    <x:row r="70" spans="1:35" s="305" customFormat="1" ht="12" thickBot="1" x14ac:dyDescent="0.35">
      <x:c r="B70" s="324">
        <x:v>5</x:v>
      </x:c>
      <x:c r="C70" s="325" t="s">
        <x:v>14</x:v>
      </x:c>
      <x:c r="D70" s="296">
        <x:f>'Reversion Pagos R4'!D364</x:f>
        <x:v>0</x:v>
      </x:c>
      <x:c r="E70" s="297">
        <x:f>'Reversion Pagos R4'!E364</x:f>
        <x:v>0</x:v>
      </x:c>
      <x:c r="F70" s="297">
        <x:f>'Reversion Pagos R4'!F364</x:f>
        <x:v>0</x:v>
      </x:c>
      <x:c r="G70" s="297">
        <x:f>'Reversion Pagos R4'!G364</x:f>
        <x:v>0</x:v>
      </x:c>
      <x:c r="H70" s="297">
        <x:f>'Reversion Pagos R4'!H364</x:f>
        <x:v>0</x:v>
      </x:c>
      <x:c r="I70" s="297">
        <x:f>'Reversion Pagos R4'!I364</x:f>
        <x:v>0</x:v>
      </x:c>
      <x:c r="J70" s="289">
        <x:v>0</x:v>
      </x:c>
      <x:c r="K70" s="295">
        <x:f t="shared" si="25"/>
        <x:v>0</x:v>
      </x:c>
      <x:c r="L70" s="294">
        <x:v>0</x:v>
      </x:c>
      <x:c r="M70" s="298">
        <x:f>K70-L70</x:f>
        <x:v>0</x:v>
      </x:c>
      <x:c r="N70" s="294">
        <x:f>'Reversion Pagos R4'!P364</x:f>
        <x:v>0</x:v>
      </x:c>
      <x:c r="O70" s="298">
        <x:f t="shared" si="26"/>
        <x:v>0</x:v>
      </x:c>
      <x:c r="Q70" s="306"/>
      <x:c r="S70" s="324">
        <x:v>5</x:v>
      </x:c>
      <x:c r="T70" s="325" t="s">
        <x:v>14</x:v>
      </x:c>
      <x:c r="U70" s="296">
        <x:f>'Reversion Pagos R4'!J364</x:f>
        <x:v>0</x:v>
      </x:c>
      <x:c r="V70" s="297">
        <x:f>'Reversion Pagos R4'!K364</x:f>
        <x:v>0</x:v>
      </x:c>
      <x:c r="W70" s="297">
        <x:f>'Reversion Pagos R4'!L364</x:f>
        <x:v>0</x:v>
      </x:c>
      <x:c r="X70" s="297">
        <x:f>'Reversion Pagos R4'!M364</x:f>
        <x:v>0</x:v>
      </x:c>
      <x:c r="Y70" s="289">
        <x:f>'Reversion Pagos R4'!N364</x:f>
        <x:v>0</x:v>
      </x:c>
      <x:c r="Z70" s="319">
        <x:f t="shared" si="27"/>
        <x:v>0</x:v>
      </x:c>
      <x:c r="AA70" s="320">
        <x:f>'Reversion Pagos R4'!O364</x:f>
        <x:v>0</x:v>
      </x:c>
      <x:c r="AB70" s="294">
        <x:f t="shared" si="28"/>
        <x:v>0</x:v>
      </x:c>
      <x:c r="AC70" s="320">
        <x:f>+'Reversion Pagos R4'!Q364+'Reversion Pagos R4'!R364</x:f>
        <x:v>0</x:v>
      </x:c>
      <x:c r="AD70" s="291">
        <x:f t="shared" si="29"/>
        <x:v>0</x:v>
      </x:c>
      <x:c r="AE70" s="291">
        <x:f>'Reversion Pagos R4'!D365</x:f>
        <x:v>0</x:v>
      </x:c>
      <x:c r="AF70" s="322">
        <x:f t="shared" si="30"/>
        <x:v>0</x:v>
      </x:c>
      <x:c r="AG70" s="523">
        <x:f t="shared" si="31"/>
        <x:v>0</x:v>
      </x:c>
      <x:c r="AH70" s="1" t="b">
        <x:f t="shared" si="24"/>
        <x:v>1</x:v>
      </x:c>
      <x:c r="AI70" s="306"/>
    </x:row>
    <x:row r="71" spans="1:35" s="305" customFormat="1" ht="12.9" thickBot="1" x14ac:dyDescent="0.35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ref="AC71" si="34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524">
        <x:f t="shared" si="33"/>
        <x:v>0</x:v>
      </x:c>
      <x:c r="AH71" s="1" t="b">
        <x:f t="shared" si="24"/>
        <x:v>1</x:v>
      </x:c>
      <x:c r="AI71" s="306"/>
    </x:row>
    <x:row r="72" spans="1:35" ht="12" thickBot="1" x14ac:dyDescent="0.3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" thickBot="1" x14ac:dyDescent="0.3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" thickBot="1" x14ac:dyDescent="0.3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3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3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35">
      <x:c r="Q77" s="4"/>
      <x:c r="AI77" s="4"/>
    </x:row>
    <x:row r="78" spans="1:35" x14ac:dyDescent="0.3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4.15" x14ac:dyDescent="0.3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2026101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2026101</x:v>
      </x:c>
      <x:c r="AE79" s="84"/>
      <x:c r="AF79" s="48"/>
      <x:c r="AG79" s="2"/>
      <x:c r="AI79" s="4"/>
    </x:row>
    <x:row r="80" spans="1:35" ht="15.45" x14ac:dyDescent="0.4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4.15" x14ac:dyDescent="0.3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45" x14ac:dyDescent="0.4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" thickBot="1" x14ac:dyDescent="0.3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3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68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x14ac:dyDescent="0.3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f>'AJUSTES - SF-T'!J47</x:f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f>-L85</x:f>
        <x:v>0</x:v>
      </x:c>
      <x:c r="AA85" s="311">
        <x:v>0</x:v>
      </x:c>
      <x:c r="AB85" s="294">
        <x:f>N85</x:f>
        <x:v>0</x:v>
      </x:c>
      <x:c r="AC85" s="311">
        <x:v>0</x:v>
      </x:c>
      <x:c r="AD85" s="291">
        <x:f>-J85+AE85</x:f>
        <x:v>0</x:v>
      </x:c>
      <x:c r="AE85" s="291">
        <x:v>0</x:v>
      </x:c>
      <x:c r="AF85" s="313">
        <x:f>SUM(U85:AD85)</x:f>
        <x:v>0</x:v>
      </x:c>
      <x:c r="AG85" s="521">
        <x:f>AF85-O85</x:f>
        <x:v>0</x:v>
      </x:c>
      <x:c r="AH85" s="1" t="b">
        <x:f t="shared" ref="AH85:AH90" si="35">INT(AG85)=0</x:f>
        <x:v>1</x:v>
      </x:c>
      <x:c r="AI85" s="306"/>
    </x:row>
    <x:row r="86" spans="1:35" s="305" customFormat="1" x14ac:dyDescent="0.3">
      <x:c r="B86" s="314">
        <x:v>2</x:v>
      </x:c>
      <x:c r="C86" s="315" t="s">
        <x:v>11</x:v>
      </x:c>
      <x:c r="D86" s="291">
        <x:f>'AJUSTES - SF-T'!D48</x:f>
        <x:v>0</x:v>
      </x:c>
      <x:c r="E86" s="292">
        <x:f>'AJUSTES - SF-T'!E48</x:f>
        <x:v>0</x:v>
      </x:c>
      <x:c r="F86" s="292">
        <x:f>'AJUSTES - SF-T'!F48</x:f>
        <x:v>0</x:v>
      </x:c>
      <x:c r="G86" s="292">
        <x:f>'AJUSTES - SF-T'!G48</x:f>
        <x:v>0</x:v>
      </x:c>
      <x:c r="H86" s="292">
        <x:f>'AJUSTES - SF-T'!H48</x:f>
        <x:v>0</x:v>
      </x:c>
      <x:c r="I86" s="292">
        <x:f>'AJUSTES - SF-T'!I48</x:f>
        <x:v>0</x:v>
      </x:c>
      <x:c r="J86" s="288">
        <x:f>'AJUSTES - SF-T'!J48</x:f>
        <x:v>0</x:v>
      </x:c>
      <x:c r="K86" s="295">
        <x:f t="shared" ref="K86:K89" si="36">D86-E86-F86-G86-H86-I86-J86</x:f>
        <x:v>0</x:v>
      </x:c>
      <x:c r="L86" s="294">
        <x:v>0</x:v>
      </x:c>
      <x:c r="M86" s="295">
        <x:f>K86-L86</x:f>
        <x:v>0</x:v>
      </x:c>
      <x:c r="N86" s="294">
        <x:f>'AJUSTES - SF-T'!N48</x:f>
        <x:v>0</x:v>
      </x:c>
      <x:c r="O86" s="295">
        <x:f t="shared" ref="O86:O89" si="37">M86+N86</x:f>
        <x:v>0</x:v>
      </x:c>
      <x:c r="Q86" s="306"/>
      <x:c r="S86" s="314">
        <x:v>2</x:v>
      </x:c>
      <x:c r="T86" s="315" t="s">
        <x:v>11</x:v>
      </x:c>
      <x:c r="U86" s="316">
        <x:f>'AJUSTES - SF-T'!U48</x:f>
        <x:v>0</x:v>
      </x:c>
      <x:c r="V86" s="317">
        <x:f>'AJUSTES - SF-T'!V48</x:f>
        <x:v>0</x:v>
      </x:c>
      <x:c r="W86" s="317">
        <x:f>'AJUSTES - SF-T'!W48</x:f>
        <x:v>0</x:v>
      </x:c>
      <x:c r="X86" s="317">
        <x:f>'AJUSTES - SF-T'!X48</x:f>
        <x:v>0</x:v>
      </x:c>
      <x:c r="Y86" s="318">
        <x:f>'AJUSTES - SF-T'!Y48</x:f>
        <x:v>0</x:v>
      </x:c>
      <x:c r="Z86" s="319">
        <x:f>-L86</x:f>
        <x:v>0</x:v>
      </x:c>
      <x:c r="AA86" s="320">
        <x:f>'AJUSTES - SF-T'!AA48</x:f>
        <x:v>0</x:v>
      </x:c>
      <x:c r="AB86" s="294">
        <x:f>N86</x:f>
        <x:v>0</x:v>
      </x:c>
      <x:c r="AC86" s="320">
        <x:v>0</x:v>
      </x:c>
      <x:c r="AD86" s="291">
        <x:f t="shared" ref="AD86:AD88" si="38">-J86+AE86</x:f>
        <x:v>0</x:v>
      </x:c>
      <x:c r="AE86" s="291">
        <x:f>'AJUSTES - SF-T'!AD48</x:f>
        <x:v>0</x:v>
      </x:c>
      <x:c r="AF86" s="322">
        <x:f>SUM(U86:AD86)</x:f>
        <x:v>0</x:v>
      </x:c>
      <x:c r="AG86" s="522">
        <x:f>AF86-O86</x:f>
        <x:v>0</x:v>
      </x:c>
      <x:c r="AH86" s="1" t="b">
        <x:f t="shared" si="35"/>
        <x:v>1</x:v>
      </x:c>
      <x:c r="AI86" s="306"/>
    </x:row>
    <x:row r="87" spans="1:35" s="305" customFormat="1" x14ac:dyDescent="0.3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6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7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v>0</x:v>
      </x:c>
      <x:c r="AA87" s="320">
        <x:v>0</x:v>
      </x:c>
      <x:c r="AB87" s="294">
        <x:v>0</x:v>
      </x:c>
      <x:c r="AC87" s="320">
        <x:v>0</x:v>
      </x:c>
      <x:c r="AD87" s="291">
        <x:f t="shared" si="38"/>
        <x:v>0</x:v>
      </x:c>
      <x:c r="AE87" s="291">
        <x:v>0</x:v>
      </x:c>
      <x:c r="AF87" s="322">
        <x:f t="shared" ref="AF87:AF89" si="39">SUM(U87:AD87)</x:f>
        <x:v>0</x:v>
      </x:c>
      <x:c r="AG87" s="522">
        <x:f>AF87-O87</x:f>
        <x:v>0</x:v>
      </x:c>
      <x:c r="AH87" s="1" t="b">
        <x:f t="shared" si="35"/>
        <x:v>1</x:v>
      </x:c>
      <x:c r="AI87" s="306"/>
    </x:row>
    <x:row r="88" spans="1:35" s="305" customFormat="1" x14ac:dyDescent="0.3">
      <x:c r="B88" s="314">
        <x:v>4</x:v>
      </x:c>
      <x:c r="C88" s="315" t="s">
        <x:v>13</x:v>
      </x:c>
      <x:c r="D88" s="291">
        <x:f>'AJUSTES - SF-T'!D50</x:f>
        <x:v>0</x:v>
      </x:c>
      <x:c r="E88" s="292">
        <x:f>'AJUSTES - SF-T'!E50</x:f>
        <x:v>0</x:v>
      </x:c>
      <x:c r="F88" s="292">
        <x:f>'AJUSTES - SF-T'!F50</x:f>
        <x:v>0</x:v>
      </x:c>
      <x:c r="G88" s="292">
        <x:f>'AJUSTES - SF-T'!G50</x:f>
        <x:v>0</x:v>
      </x:c>
      <x:c r="H88" s="292">
        <x:f>'AJUSTES - SF-T'!H50</x:f>
        <x:v>0</x:v>
      </x:c>
      <x:c r="I88" s="292">
        <x:f>'AJUSTES - SF-T'!I50</x:f>
        <x:v>0</x:v>
      </x:c>
      <x:c r="J88" s="288">
        <x:f>'AJUSTES - SF-T'!J50</x:f>
        <x:v>0</x:v>
      </x:c>
      <x:c r="K88" s="295">
        <x:f t="shared" si="36"/>
        <x:v>0</x:v>
      </x:c>
      <x:c r="L88" s="294">
        <x:v>0</x:v>
      </x:c>
      <x:c r="M88" s="295">
        <x:f>K88-L88</x:f>
        <x:v>0</x:v>
      </x:c>
      <x:c r="N88" s="294">
        <x:f>'AJUSTES - SF-T'!N50</x:f>
        <x:v>0</x:v>
      </x:c>
      <x:c r="O88" s="295">
        <x:f t="shared" si="37"/>
        <x:v>0</x:v>
      </x:c>
      <x:c r="Q88" s="306"/>
      <x:c r="S88" s="314">
        <x:v>4</x:v>
      </x:c>
      <x:c r="T88" s="315" t="s">
        <x:v>13</x:v>
      </x:c>
      <x:c r="U88" s="316">
        <x:f>'AJUSTES - SF-T'!U50</x:f>
        <x:v>0</x:v>
      </x:c>
      <x:c r="V88" s="317">
        <x:f>'AJUSTES - SF-T'!V50</x:f>
        <x:v>0</x:v>
      </x:c>
      <x:c r="W88" s="317">
        <x:f>'AJUSTES - SF-T'!W50</x:f>
        <x:v>0</x:v>
      </x:c>
      <x:c r="X88" s="317">
        <x:f>'AJUSTES - SF-T'!X50</x:f>
        <x:v>0</x:v>
      </x:c>
      <x:c r="Y88" s="318">
        <x:f>'AJUSTES - SF-T'!Y50</x:f>
        <x:v>0</x:v>
      </x:c>
      <x:c r="Z88" s="319">
        <x:f>-L88</x:f>
        <x:v>0</x:v>
      </x:c>
      <x:c r="AA88" s="320">
        <x:f>'AJUSTES - SF-T'!AA50</x:f>
        <x:v>0</x:v>
      </x:c>
      <x:c r="AB88" s="294">
        <x:f>N88</x:f>
        <x:v>0</x:v>
      </x:c>
      <x:c r="AC88" s="320">
        <x:v>0</x:v>
      </x:c>
      <x:c r="AD88" s="291">
        <x:f t="shared" si="38"/>
        <x:v>0</x:v>
      </x:c>
      <x:c r="AE88" s="291">
        <x:f>'AJUSTES - SF-T'!AD50</x:f>
        <x:v>0</x:v>
      </x:c>
      <x:c r="AF88" s="322">
        <x:f t="shared" si="39"/>
        <x:v>0</x:v>
      </x:c>
      <x:c r="AG88" s="522">
        <x:f>AF88-O88</x:f>
        <x:v>0</x:v>
      </x:c>
      <x:c r="AH88" s="1" t="b">
        <x:f t="shared" si="35"/>
        <x:v>1</x:v>
      </x:c>
      <x:c r="AI88" s="306"/>
    </x:row>
    <x:row r="89" spans="1:35" s="305" customFormat="1" ht="12" thickBot="1" x14ac:dyDescent="0.35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6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7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v>0</x:v>
      </x:c>
      <x:c r="AA89" s="320">
        <x:v>0</x:v>
      </x:c>
      <x:c r="AB89" s="294">
        <x:v>0</x:v>
      </x:c>
      <x:c r="AC89" s="320">
        <x:v>0</x:v>
      </x:c>
      <x:c r="AD89" s="291">
        <x:v>0</x:v>
      </x:c>
      <x:c r="AE89" s="291">
        <x:v>0</x:v>
      </x:c>
      <x:c r="AF89" s="322">
        <x:f t="shared" si="39"/>
        <x:v>0</x:v>
      </x:c>
      <x:c r="AG89" s="523">
        <x:f>AF89-O89</x:f>
        <x:v>0</x:v>
      </x:c>
      <x:c r="AH89" s="1" t="b">
        <x:f t="shared" si="35"/>
        <x:v>1</x:v>
      </x:c>
      <x:c r="AI89" s="306"/>
    </x:row>
    <x:row r="90" spans="1:35" s="305" customFormat="1" ht="12.9" thickBot="1" x14ac:dyDescent="0.35">
      <x:c r="B90" s="327"/>
      <x:c r="C90" s="328" t="s">
        <x:v>2</x:v>
      </x:c>
      <x:c r="D90" s="290">
        <x:f t="shared" ref="D90:O90" si="40">SUM(D85:D89)</x:f>
        <x:v>0</x:v>
      </x:c>
      <x:c r="E90" s="290">
        <x:f t="shared" si="40"/>
        <x:v>0</x:v>
      </x:c>
      <x:c r="F90" s="290">
        <x:f t="shared" si="40"/>
        <x:v>0</x:v>
      </x:c>
      <x:c r="G90" s="290">
        <x:f t="shared" si="40"/>
        <x:v>0</x:v>
      </x:c>
      <x:c r="H90" s="290">
        <x:f t="shared" si="40"/>
        <x:v>0</x:v>
      </x:c>
      <x:c r="I90" s="290">
        <x:f t="shared" si="40"/>
        <x:v>0</x:v>
      </x:c>
      <x:c r="J90" s="290">
        <x:f t="shared" si="40"/>
        <x:v>0</x:v>
      </x:c>
      <x:c r="K90" s="300">
        <x:f t="shared" si="40"/>
        <x:v>0</x:v>
      </x:c>
      <x:c r="L90" s="301">
        <x:f t="shared" si="40"/>
        <x:v>0</x:v>
      </x:c>
      <x:c r="M90" s="302">
        <x:f t="shared" si="40"/>
        <x:v>0</x:v>
      </x:c>
      <x:c r="N90" s="301">
        <x:f t="shared" si="40"/>
        <x:v>0</x:v>
      </x:c>
      <x:c r="O90" s="302">
        <x:f t="shared" si="40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1">SUM(V85:V89)</x:f>
        <x:v>0</x:v>
      </x:c>
      <x:c r="W90" s="330">
        <x:f t="shared" si="41"/>
        <x:v>0</x:v>
      </x:c>
      <x:c r="X90" s="330">
        <x:f t="shared" si="41"/>
        <x:v>0</x:v>
      </x:c>
      <x:c r="Y90" s="330">
        <x:f t="shared" si="41"/>
        <x:v>0</x:v>
      </x:c>
      <x:c r="Z90" s="290">
        <x:f t="shared" si="41"/>
        <x:v>0</x:v>
      </x:c>
      <x:c r="AA90" s="290">
        <x:f t="shared" si="41"/>
        <x:v>0</x:v>
      </x:c>
      <x:c r="AB90" s="290">
        <x:f t="shared" si="41"/>
        <x:v>0</x:v>
      </x:c>
      <x:c r="AC90" s="290">
        <x:f t="shared" ref="AC90" si="42">SUM(AC85:AC89)</x:f>
        <x:v>0</x:v>
      </x:c>
      <x:c r="AD90" s="290">
        <x:f t="shared" si="41"/>
        <x:v>0</x:v>
      </x:c>
      <x:c r="AE90" s="290">
        <x:f t="shared" si="41"/>
        <x:v>0</x:v>
      </x:c>
      <x:c r="AF90" s="331">
        <x:f t="shared" si="41"/>
        <x:v>0</x:v>
      </x:c>
      <x:c r="AG90" s="524">
        <x:f t="shared" si="41"/>
        <x:v>0</x:v>
      </x:c>
      <x:c r="AH90" s="1" t="b">
        <x:f t="shared" si="35"/>
        <x:v>1</x:v>
      </x:c>
      <x:c r="AI90" s="306"/>
    </x:row>
    <x:row r="91" spans="1:35" ht="12" thickBot="1" x14ac:dyDescent="0.3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" thickBot="1" x14ac:dyDescent="0.3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" thickBot="1" x14ac:dyDescent="0.3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3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3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35">
      <x:c r="Q96" s="4"/>
      <x:c r="AI96" s="4"/>
    </x:row>
    <x:row r="97" spans="2:36" x14ac:dyDescent="0.3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4.15" x14ac:dyDescent="0.3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2026101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2026101</x:v>
      </x:c>
      <x:c r="AE98" s="84"/>
      <x:c r="AF98" s="48"/>
      <x:c r="AG98" s="2"/>
      <x:c r="AI98" s="4"/>
    </x:row>
    <x:row r="99" spans="2:36" ht="15.45" x14ac:dyDescent="0.4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4.15" x14ac:dyDescent="0.3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45" x14ac:dyDescent="0.4">
      <x:c r="B101" s="8"/>
      <x:c r="C101" s="598" t="s">
        <x:v>17</x:v>
      </x:c>
      <x:c r="D101" s="9">
        <x:f>D6</x:f>
        <x:v>46297</x:v>
      </x:c>
      <x:c r="F101" s="58" t="s">
        <x:v>214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215</x:v>
      </x:c>
      <x:c r="V101" s="59"/>
      <x:c r="W101" s="60"/>
      <x:c r="X101" s="59"/>
      <x:c r="Y101" s="2"/>
      <x:c r="AF101" s="48"/>
      <x:c r="AG101" s="2"/>
      <x:c r="AI101" s="4"/>
    </x:row>
    <x:row r="102" spans="2:36" ht="18.45" thickBot="1" x14ac:dyDescent="0.6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3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68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3">
      <x:c r="B104" s="303">
        <x:v>1</x:v>
      </x:c>
      <x:c r="C104" s="304" t="s">
        <x:v>10</x:v>
      </x:c>
      <x:c r="D104" s="291">
        <x:f t="shared" ref="D104:J108" si="43">D9+D28+D47+D66+D85</x:f>
        <x:v>0</x:v>
      </x:c>
      <x:c r="E104" s="292">
        <x:f t="shared" si="43"/>
        <x:v>0</x:v>
      </x:c>
      <x:c r="F104" s="292">
        <x:f t="shared" si="43"/>
        <x:v>0</x:v>
      </x:c>
      <x:c r="G104" s="292">
        <x:f t="shared" si="43"/>
        <x:v>0</x:v>
      </x:c>
      <x:c r="H104" s="292">
        <x:f t="shared" si="43"/>
        <x:v>0</x:v>
      </x:c>
      <x:c r="I104" s="292">
        <x:f t="shared" si="43"/>
        <x:v>0</x:v>
      </x:c>
      <x:c r="J104" s="288">
        <x:f t="shared" si="43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C108" si="44">U9+U28+U47+U66+U85</x:f>
        <x:v>0</x:v>
      </x:c>
      <x:c r="V104" s="308">
        <x:f t="shared" si="44"/>
        <x:v>0</x:v>
      </x:c>
      <x:c r="W104" s="308">
        <x:f t="shared" si="44"/>
        <x:v>0</x:v>
      </x:c>
      <x:c r="X104" s="308">
        <x:f t="shared" si="44"/>
        <x:v>0</x:v>
      </x:c>
      <x:c r="Y104" s="309">
        <x:f t="shared" si="44"/>
        <x:v>0</x:v>
      </x:c>
      <x:c r="Z104" s="310">
        <x:f t="shared" si="44"/>
        <x:v>0</x:v>
      </x:c>
      <x:c r="AA104" s="311">
        <x:f t="shared" si="44"/>
        <x:v>0</x:v>
      </x:c>
      <x:c r="AB104" s="294">
        <x:f t="shared" si="44"/>
        <x:v>0</x:v>
      </x:c>
      <x:c r="AC104" s="311">
        <x:f t="shared" si="44"/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521">
        <x:f>AF104-O104</x:f>
        <x:v>0</x:v>
      </x:c>
      <x:c r="AH104" s="1" t="b">
        <x:f t="shared" ref="AH104:AH109" si="45">INT(AG104)=0</x:f>
        <x:v>1</x:v>
      </x:c>
      <x:c r="AI104" s="306"/>
    </x:row>
    <x:row r="105" spans="2:36" s="305" customFormat="1" x14ac:dyDescent="0.3">
      <x:c r="B105" s="314">
        <x:v>2</x:v>
      </x:c>
      <x:c r="C105" s="315" t="s">
        <x:v>11</x:v>
      </x:c>
      <x:c r="D105" s="291">
        <x:f t="shared" si="43"/>
        <x:v>0</x:v>
      </x:c>
      <x:c r="E105" s="292">
        <x:f t="shared" si="43"/>
        <x:v>0</x:v>
      </x:c>
      <x:c r="F105" s="292">
        <x:f t="shared" si="43"/>
        <x:v>0</x:v>
      </x:c>
      <x:c r="G105" s="292">
        <x:f t="shared" si="43"/>
        <x:v>0</x:v>
      </x:c>
      <x:c r="H105" s="292">
        <x:f t="shared" si="43"/>
        <x:v>0</x:v>
      </x:c>
      <x:c r="I105" s="292">
        <x:f t="shared" si="43"/>
        <x:v>0</x:v>
      </x:c>
      <x:c r="J105" s="288">
        <x:f t="shared" si="43"/>
        <x:v>0</x:v>
      </x:c>
      <x:c r="K105" s="295">
        <x:f t="shared" ref="K105:K108" si="46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7">M105+N105</x:f>
        <x:v>0</x:v>
      </x:c>
      <x:c r="Q105" s="306"/>
      <x:c r="S105" s="314">
        <x:v>2</x:v>
      </x:c>
      <x:c r="T105" s="315" t="s">
        <x:v>11</x:v>
      </x:c>
      <x:c r="U105" s="316">
        <x:f t="shared" si="44"/>
        <x:v>0</x:v>
      </x:c>
      <x:c r="V105" s="317">
        <x:f t="shared" si="44"/>
        <x:v>0</x:v>
      </x:c>
      <x:c r="W105" s="317">
        <x:f t="shared" si="44"/>
        <x:v>0</x:v>
      </x:c>
      <x:c r="X105" s="317">
        <x:f t="shared" si="44"/>
        <x:v>0</x:v>
      </x:c>
      <x:c r="Y105" s="318">
        <x:f t="shared" si="44"/>
        <x:v>0</x:v>
      </x:c>
      <x:c r="Z105" s="319">
        <x:f t="shared" si="44"/>
        <x:v>0</x:v>
      </x:c>
      <x:c r="AA105" s="320">
        <x:f t="shared" si="44"/>
        <x:v>0</x:v>
      </x:c>
      <x:c r="AB105" s="294">
        <x:f t="shared" si="44"/>
        <x:v>0</x:v>
      </x:c>
      <x:c r="AC105" s="320">
        <x:f t="shared" si="44"/>
        <x:v>0</x:v>
      </x:c>
      <x:c r="AD105" s="291">
        <x:f t="shared" ref="AD105:AD107" si="48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522">
        <x:f>AF105-O105</x:f>
        <x:v>0</x:v>
      </x:c>
      <x:c r="AH105" s="1" t="b">
        <x:f t="shared" si="45"/>
        <x:v>1</x:v>
      </x:c>
      <x:c r="AI105" s="306"/>
    </x:row>
    <x:row r="106" spans="2:36" s="305" customFormat="1" x14ac:dyDescent="0.3">
      <x:c r="B106" s="314">
        <x:v>3</x:v>
      </x:c>
      <x:c r="C106" s="315" t="s">
        <x:v>12</x:v>
      </x:c>
      <x:c r="D106" s="291">
        <x:f t="shared" si="43"/>
        <x:v>0</x:v>
      </x:c>
      <x:c r="E106" s="292">
        <x:f t="shared" si="43"/>
        <x:v>0</x:v>
      </x:c>
      <x:c r="F106" s="292">
        <x:f t="shared" si="43"/>
        <x:v>0</x:v>
      </x:c>
      <x:c r="G106" s="292">
        <x:f t="shared" si="43"/>
        <x:v>0</x:v>
      </x:c>
      <x:c r="H106" s="292">
        <x:f t="shared" si="43"/>
        <x:v>0</x:v>
      </x:c>
      <x:c r="I106" s="292">
        <x:f t="shared" si="43"/>
        <x:v>0</x:v>
      </x:c>
      <x:c r="J106" s="288">
        <x:f t="shared" si="43"/>
        <x:v>0</x:v>
      </x:c>
      <x:c r="K106" s="295">
        <x:f t="shared" si="46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7"/>
        <x:v>0</x:v>
      </x:c>
      <x:c r="Q106" s="306"/>
      <x:c r="S106" s="314">
        <x:v>3</x:v>
      </x:c>
      <x:c r="T106" s="315" t="s">
        <x:v>12</x:v>
      </x:c>
      <x:c r="U106" s="316">
        <x:f t="shared" si="44"/>
        <x:v>0</x:v>
      </x:c>
      <x:c r="V106" s="317">
        <x:f t="shared" si="44"/>
        <x:v>0</x:v>
      </x:c>
      <x:c r="W106" s="317">
        <x:f t="shared" si="44"/>
        <x:v>0</x:v>
      </x:c>
      <x:c r="X106" s="317">
        <x:f t="shared" si="44"/>
        <x:v>0</x:v>
      </x:c>
      <x:c r="Y106" s="318">
        <x:f t="shared" si="44"/>
        <x:v>0</x:v>
      </x:c>
      <x:c r="Z106" s="319">
        <x:f t="shared" si="44"/>
        <x:v>0</x:v>
      </x:c>
      <x:c r="AA106" s="320">
        <x:f t="shared" si="44"/>
        <x:v>0</x:v>
      </x:c>
      <x:c r="AB106" s="294">
        <x:f t="shared" si="44"/>
        <x:v>0</x:v>
      </x:c>
      <x:c r="AC106" s="320">
        <x:f t="shared" si="44"/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0</x:v>
      </x:c>
      <x:c r="AG106" s="522">
        <x:f>AF106-O106</x:f>
        <x:v>0</x:v>
      </x:c>
      <x:c r="AH106" s="1" t="b">
        <x:f t="shared" si="45"/>
        <x:v>1</x:v>
      </x:c>
      <x:c r="AI106" s="306"/>
    </x:row>
    <x:row r="107" spans="2:36" s="305" customFormat="1" x14ac:dyDescent="0.3">
      <x:c r="B107" s="314">
        <x:v>4</x:v>
      </x:c>
      <x:c r="C107" s="315" t="s">
        <x:v>13</x:v>
      </x:c>
      <x:c r="D107" s="291">
        <x:f t="shared" si="43"/>
        <x:v>0</x:v>
      </x:c>
      <x:c r="E107" s="292">
        <x:f t="shared" si="43"/>
        <x:v>0</x:v>
      </x:c>
      <x:c r="F107" s="292">
        <x:f t="shared" si="43"/>
        <x:v>0</x:v>
      </x:c>
      <x:c r="G107" s="292">
        <x:f t="shared" si="43"/>
        <x:v>0</x:v>
      </x:c>
      <x:c r="H107" s="292">
        <x:f t="shared" si="43"/>
        <x:v>0</x:v>
      </x:c>
      <x:c r="I107" s="292">
        <x:f t="shared" si="43"/>
        <x:v>0</x:v>
      </x:c>
      <x:c r="J107" s="288">
        <x:f t="shared" si="43"/>
        <x:v>0</x:v>
      </x:c>
      <x:c r="K107" s="295">
        <x:f t="shared" si="46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7"/>
        <x:v>0</x:v>
      </x:c>
      <x:c r="Q107" s="306"/>
      <x:c r="S107" s="314">
        <x:v>4</x:v>
      </x:c>
      <x:c r="T107" s="315" t="s">
        <x:v>13</x:v>
      </x:c>
      <x:c r="U107" s="316">
        <x:f t="shared" si="44"/>
        <x:v>0</x:v>
      </x:c>
      <x:c r="V107" s="317">
        <x:f t="shared" si="44"/>
        <x:v>0</x:v>
      </x:c>
      <x:c r="W107" s="317">
        <x:f t="shared" si="44"/>
        <x:v>0</x:v>
      </x:c>
      <x:c r="X107" s="317">
        <x:f t="shared" si="44"/>
        <x:v>0</x:v>
      </x:c>
      <x:c r="Y107" s="318">
        <x:f t="shared" si="44"/>
        <x:v>0</x:v>
      </x:c>
      <x:c r="Z107" s="319">
        <x:f t="shared" si="44"/>
        <x:v>0</x:v>
      </x:c>
      <x:c r="AA107" s="320">
        <x:f t="shared" si="44"/>
        <x:v>0</x:v>
      </x:c>
      <x:c r="AB107" s="294">
        <x:f t="shared" si="44"/>
        <x:v>0</x:v>
      </x:c>
      <x:c r="AC107" s="320">
        <x:f t="shared" si="44"/>
        <x:v>0</x:v>
      </x:c>
      <x:c r="AD107" s="291">
        <x:f t="shared" si="48"/>
        <x:v>0</x:v>
      </x:c>
      <x:c r="AE107" s="291">
        <x:f>AE12+AE31+AE50+AE69+AE88</x:f>
        <x:v>0</x:v>
      </x:c>
      <x:c r="AF107" s="322">
        <x:f>SUM(U107:AD107)</x:f>
        <x:v>0</x:v>
      </x:c>
      <x:c r="AG107" s="522">
        <x:f>AF107-O107</x:f>
        <x:v>0</x:v>
      </x:c>
      <x:c r="AH107" s="1" t="b">
        <x:f t="shared" si="45"/>
        <x:v>1</x:v>
      </x:c>
      <x:c r="AI107" s="306"/>
    </x:row>
    <x:row r="108" spans="2:36" s="305" customFormat="1" ht="12" thickBot="1" x14ac:dyDescent="0.3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3"/>
        <x:v>0</x:v>
      </x:c>
      <x:c r="F108" s="297">
        <x:f t="shared" si="43"/>
        <x:v>0</x:v>
      </x:c>
      <x:c r="G108" s="297">
        <x:f t="shared" si="43"/>
        <x:v>0</x:v>
      </x:c>
      <x:c r="H108" s="297">
        <x:f t="shared" si="43"/>
        <x:v>0</x:v>
      </x:c>
      <x:c r="I108" s="297">
        <x:f t="shared" si="43"/>
        <x:v>0</x:v>
      </x:c>
      <x:c r="J108" s="289">
        <x:f t="shared" si="43"/>
        <x:v>0</x:v>
      </x:c>
      <x:c r="K108" s="295">
        <x:f t="shared" si="46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7"/>
        <x:v>0</x:v>
      </x:c>
      <x:c r="Q108" s="306"/>
      <x:c r="S108" s="324">
        <x:v>5</x:v>
      </x:c>
      <x:c r="T108" s="325" t="s">
        <x:v>14</x:v>
      </x:c>
      <x:c r="U108" s="296">
        <x:f t="shared" si="44"/>
        <x:v>0</x:v>
      </x:c>
      <x:c r="V108" s="297">
        <x:f t="shared" si="44"/>
        <x:v>0</x:v>
      </x:c>
      <x:c r="W108" s="297">
        <x:f t="shared" si="44"/>
        <x:v>0</x:v>
      </x:c>
      <x:c r="X108" s="297">
        <x:f t="shared" si="44"/>
        <x:v>0</x:v>
      </x:c>
      <x:c r="Y108" s="289">
        <x:f t="shared" si="44"/>
        <x:v>0</x:v>
      </x:c>
      <x:c r="Z108" s="319">
        <x:f t="shared" si="44"/>
        <x:v>0</x:v>
      </x:c>
      <x:c r="AA108" s="320">
        <x:f t="shared" si="44"/>
        <x:v>0</x:v>
      </x:c>
      <x:c r="AB108" s="294">
        <x:f t="shared" si="44"/>
        <x:v>0</x:v>
      </x:c>
      <x:c r="AC108" s="320">
        <x:f t="shared" si="44"/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523">
        <x:f>AF108-O108</x:f>
        <x:v>0</x:v>
      </x:c>
      <x:c r="AH108" s="1" t="b">
        <x:f t="shared" si="45"/>
        <x:v>1</x:v>
      </x:c>
      <x:c r="AI108" s="306"/>
    </x:row>
    <x:row r="109" spans="2:36" s="305" customFormat="1" ht="12.9" thickBot="1" x14ac:dyDescent="0.35">
      <x:c r="B109" s="327"/>
      <x:c r="C109" s="328" t="s">
        <x:v>2</x:v>
      </x:c>
      <x:c r="D109" s="290">
        <x:f t="shared" ref="D109:O109" si="49">SUM(D104:D108)</x:f>
        <x:v>0</x:v>
      </x:c>
      <x:c r="E109" s="290">
        <x:f t="shared" si="49"/>
        <x:v>0</x:v>
      </x:c>
      <x:c r="F109" s="290">
        <x:f t="shared" si="49"/>
        <x:v>0</x:v>
      </x:c>
      <x:c r="G109" s="290">
        <x:f t="shared" si="49"/>
        <x:v>0</x:v>
      </x:c>
      <x:c r="H109" s="290">
        <x:f t="shared" si="49"/>
        <x:v>0</x:v>
      </x:c>
      <x:c r="I109" s="290">
        <x:f t="shared" si="49"/>
        <x:v>0</x:v>
      </x:c>
      <x:c r="J109" s="290">
        <x:f t="shared" si="49"/>
        <x:v>0</x:v>
      </x:c>
      <x:c r="K109" s="300">
        <x:f t="shared" si="49"/>
        <x:v>0</x:v>
      </x:c>
      <x:c r="L109" s="301">
        <x:f t="shared" si="49"/>
        <x:v>0</x:v>
      </x:c>
      <x:c r="M109" s="302">
        <x:f t="shared" si="49"/>
        <x:v>0</x:v>
      </x:c>
      <x:c r="N109" s="301">
        <x:f t="shared" si="49"/>
        <x:v>0</x:v>
      </x:c>
      <x:c r="O109" s="302">
        <x:f t="shared" si="49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0">SUM(V104:V108)</x:f>
        <x:v>0</x:v>
      </x:c>
      <x:c r="W109" s="330">
        <x:f t="shared" si="50"/>
        <x:v>0</x:v>
      </x:c>
      <x:c r="X109" s="330">
        <x:f t="shared" si="50"/>
        <x:v>0</x:v>
      </x:c>
      <x:c r="Y109" s="330">
        <x:f t="shared" si="50"/>
        <x:v>0</x:v>
      </x:c>
      <x:c r="Z109" s="290">
        <x:f t="shared" si="50"/>
        <x:v>0</x:v>
      </x:c>
      <x:c r="AA109" s="290">
        <x:f t="shared" si="50"/>
        <x:v>0</x:v>
      </x:c>
      <x:c r="AB109" s="290">
        <x:f t="shared" si="50"/>
        <x:v>0</x:v>
      </x:c>
      <x:c r="AC109" s="290">
        <x:f t="shared" si="50"/>
        <x:v>0</x:v>
      </x:c>
      <x:c r="AD109" s="290">
        <x:f t="shared" si="50"/>
        <x:v>0</x:v>
      </x:c>
      <x:c r="AE109" s="290">
        <x:f>SUM(AE104:AE108)</x:f>
        <x:v>0</x:v>
      </x:c>
      <x:c r="AF109" s="331">
        <x:f t="shared" si="50"/>
        <x:v>0</x:v>
      </x:c>
      <x:c r="AG109" s="524">
        <x:f>SUM(AG104:AG108)</x:f>
        <x:v>0</x:v>
      </x:c>
      <x:c r="AH109" s="1" t="b">
        <x:f t="shared" si="45"/>
        <x:v>1</x:v>
      </x:c>
      <x:c r="AI109" s="306"/>
    </x:row>
    <x:row r="110" spans="2:36" ht="12" thickBot="1" x14ac:dyDescent="0.3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" thickBot="1" x14ac:dyDescent="0.3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C111" s="55"/>
      <x:c r="AD111" s="1" t="s">
        <x:v>1</x:v>
      </x:c>
      <x:c r="AF111" s="1" t="s">
        <x:v>1</x:v>
      </x:c>
      <x:c r="AI111" s="4"/>
    </x:row>
    <x:row r="112" spans="2:36" ht="12" thickBot="1" x14ac:dyDescent="0.3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C112" s="55"/>
      <x:c r="AI112" s="4"/>
    </x:row>
    <x:row r="113" spans="1:35" x14ac:dyDescent="0.3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3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35">
      <x:c r="Q115" s="4"/>
    </x:row>
    <x:row r="116" spans="1:35" x14ac:dyDescent="0.3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4.15" x14ac:dyDescent="0.3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2026101</x:v>
      </x:c>
      <x:c r="O117" s="10"/>
      <x:c r="P117" s="2"/>
      <x:c r="Q117" s="4"/>
    </x:row>
    <x:row r="118" spans="1:35" ht="15.45" x14ac:dyDescent="0.4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3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3">
      <x:c r="B120" s="8"/>
      <x:c r="I120" s="2"/>
      <x:c r="J120" s="2"/>
      <x:c r="O120" s="10"/>
      <x:c r="P120" s="2"/>
      <x:c r="Q120" s="4"/>
    </x:row>
    <x:row r="121" spans="1:35" ht="15.45" x14ac:dyDescent="0.4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3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" thickBot="1" x14ac:dyDescent="0.3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6.75" thickBot="1" x14ac:dyDescent="0.3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65" t="s">
        <x:v>47</x:v>
      </x:c>
      <x:c r="H124" s="370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3">
      <x:c r="B125" s="108">
        <x:v>1</x:v>
      </x:c>
      <x:c r="C125" s="109" t="s">
        <x:v>10</x:v>
      </x:c>
      <x:c r="D125" s="110">
        <x:f>'ANTICIPOS USUARIOS'!F3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USUARIOS'!F12</x:f>
        <x:v>0</x:v>
      </x:c>
      <x:c r="L125" s="309">
        <x:f>-'ANTICIPOS USUARIOS'!F21</x:f>
        <x:v>0</x:v>
      </x:c>
      <x:c r="O125" s="44"/>
      <x:c r="Q125" s="4"/>
    </x:row>
    <x:row r="126" spans="1:35" x14ac:dyDescent="0.3">
      <x:c r="B126" s="16">
        <x:v>2</x:v>
      </x:c>
      <x:c r="C126" s="17" t="s">
        <x:v>11</x:v>
      </x:c>
      <x:c r="D126" s="15">
        <x:f>'ANTICIPOS USUARIOS'!F4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1">D67+N67</x:f>
        <x:v>0</x:v>
      </x:c>
      <x:c r="K126" s="288">
        <x:f>'ANTICIPOS USUARIOS'!F13</x:f>
        <x:v>0</x:v>
      </x:c>
      <x:c r="L126" s="288">
        <x:f>-'ANTICIPOS USUARIOS'!F22</x:f>
        <x:v>0</x:v>
      </x:c>
      <x:c r="O126" s="44"/>
      <x:c r="Q126" s="4"/>
    </x:row>
    <x:row r="127" spans="1:35" x14ac:dyDescent="0.3">
      <x:c r="B127" s="16">
        <x:v>3</x:v>
      </x:c>
      <x:c r="C127" s="17" t="s">
        <x:v>12</x:v>
      </x:c>
      <x:c r="D127" s="15">
        <x:f>'ANTICIPOS USUARIOS'!F5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1"/>
        <x:v>0</x:v>
      </x:c>
      <x:c r="K127" s="288">
        <x:f>'ANTICIPOS USUARIOS'!F14</x:f>
        <x:v>0</x:v>
      </x:c>
      <x:c r="L127" s="288">
        <x:f>-'ANTICIPOS USUARIOS'!F23</x:f>
        <x:v>0</x:v>
      </x:c>
      <x:c r="O127" s="44"/>
      <x:c r="Q127" s="4"/>
    </x:row>
    <x:row r="128" spans="1:35" x14ac:dyDescent="0.3">
      <x:c r="B128" s="16">
        <x:v>4</x:v>
      </x:c>
      <x:c r="C128" s="17" t="s">
        <x:v>13</x:v>
      </x:c>
      <x:c r="D128" s="15">
        <x:f>'ANTICIPOS USUARIOS'!F6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1"/>
        <x:v>0</x:v>
      </x:c>
      <x:c r="K128" s="288">
        <x:f>'ANTICIPOS USUARIOS'!F15</x:f>
        <x:v>0</x:v>
      </x:c>
      <x:c r="L128" s="288">
        <x:f>-'ANTICIPOS USUARIOS'!F24</x:f>
        <x:v>0</x:v>
      </x:c>
      <x:c r="O128" s="44"/>
      <x:c r="Q128" s="4"/>
    </x:row>
    <x:row r="129" spans="1:18" x14ac:dyDescent="0.3">
      <x:c r="B129" s="133">
        <x:v>5</x:v>
      </x:c>
      <x:c r="C129" s="138" t="s">
        <x:v>14</x:v>
      </x:c>
      <x:c r="D129" s="15">
        <x:f>'ANTICIPOS USUARIOS'!F7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1"/>
        <x:v>0</x:v>
      </x:c>
      <x:c r="K129" s="288">
        <x:f>'ANTICIPOS USUARIOS'!F16</x:f>
        <x:v>0</x:v>
      </x:c>
      <x:c r="L129" s="288">
        <x:f>-'ANTICIPOS USUARIOS'!F25</x:f>
        <x:v>0</x:v>
      </x:c>
      <x:c r="O129" s="44"/>
      <x:c r="Q129" s="4"/>
    </x:row>
    <x:row r="130" spans="1:18" ht="12" thickBot="1" x14ac:dyDescent="0.35">
      <x:c r="B130" s="19" t="s">
        <x:v>89</x:v>
      </x:c>
      <x:c r="C130" s="20" t="s">
        <x:v>113</x:v>
      </x:c>
      <x:c r="D130" s="78"/>
      <x:c r="E130" s="79">
        <x:f>'Recaudo EAAB Reciprocidad'!F26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" thickBot="1" x14ac:dyDescent="0.35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52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x14ac:dyDescent="0.3">
      <x:c r="B132" s="2"/>
      <x:c r="C132" s="2"/>
      <x:c r="D132" s="24"/>
      <x:c r="Q132" s="4"/>
    </x:row>
    <x:row r="133" spans="1:18" x14ac:dyDescent="0.3">
      <x:c r="B133" s="2"/>
      <x:c r="C133" s="2"/>
      <x:c r="D133" s="24"/>
      <x:c r="L133" s="1" t="s">
        <x:v>1</x:v>
      </x:c>
      <x:c r="Q133" s="4"/>
    </x:row>
    <x:row r="134" spans="1:18" ht="12" thickBot="1" x14ac:dyDescent="0.3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3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3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3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3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3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6.75" thickBot="1" x14ac:dyDescent="0.3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3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EAAB Reciprocidad'!F21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v>0</x:v>
      </x:c>
      <x:c r="J142" s="110">
        <x:f t="shared" ref="J142:K146" si="53">G125</x:f>
        <x:v>0</x:v>
      </x:c>
      <x:c r="K142" s="111">
        <x:f t="shared" si="53"/>
        <x:v>0</x:v>
      </x:c>
      <x:c r="L142" s="597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3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BANCO'!E64)</x:f>
        <x:v>0</x:v>
      </x:c>
      <x:c r="J143" s="18">
        <x:f t="shared" si="53"/>
        <x:v>0</x:v>
      </x:c>
      <x:c r="K143" s="83">
        <x:f t="shared" si="53"/>
        <x:v>0</x:v>
      </x:c>
      <x:c r="L143" s="597">
        <x:f>D143-E143-F143-G143-J143-H143-I143</x:f>
        <x:v>0</x:v>
      </x:c>
      <x:c r="M143" s="1" t="b">
        <x:f>INT(L143)=0</x:f>
        <x:v>1</x:v>
      </x:c>
      <x:c r="O143" s="130"/>
      <x:c r="P143" s="24"/>
      <x:c r="Q143" s="35"/>
      <x:c r="R143" s="24"/>
    </x:row>
    <x:row r="144" spans="1:18" x14ac:dyDescent="0.3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v>0</x:v>
      </x:c>
      <x:c r="J144" s="18">
        <x:f t="shared" si="53"/>
        <x:v>0</x:v>
      </x:c>
      <x:c r="K144" s="83">
        <x:f t="shared" si="53"/>
        <x:v>0</x:v>
      </x:c>
      <x:c r="L144" s="597">
        <x:f>D144-E144-F144-G144-J144-H144-I144</x:f>
        <x:v>0</x:v>
      </x:c>
      <x:c r="M144" s="1" t="b">
        <x:f t="shared" ref="M144:M147" si="54">INT(L144)=0</x:f>
        <x:v>1</x:v>
      </x:c>
      <x:c r="O144" s="55"/>
      <x:c r="P144" s="24"/>
      <x:c r="Q144" s="35"/>
      <x:c r="R144" s="24"/>
    </x:row>
    <x:row r="145" spans="1:20" x14ac:dyDescent="0.3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BANCO'!E69)</x:f>
        <x:v>0</x:v>
      </x:c>
      <x:c r="J145" s="18">
        <x:f t="shared" si="53"/>
        <x:v>0</x:v>
      </x:c>
      <x:c r="K145" s="83">
        <x:f t="shared" si="53"/>
        <x:v>0</x:v>
      </x:c>
      <x:c r="L145" s="597">
        <x:f>D145-E145-F145-G145-J145-H145-I145</x:f>
        <x:v>0</x:v>
      </x:c>
      <x:c r="M145" s="1" t="b">
        <x:f t="shared" si="54"/>
        <x:v>1</x:v>
      </x:c>
      <x:c r="O145" s="96"/>
      <x:c r="P145" s="24"/>
      <x:c r="Q145" s="35"/>
      <x:c r="R145" s="24"/>
    </x:row>
    <x:row r="146" spans="1:20" ht="12" thickBot="1" x14ac:dyDescent="0.3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EAAB Reciprocidad'!F25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v>0</x:v>
      </x:c>
      <x:c r="J146" s="134">
        <x:f t="shared" si="53"/>
        <x:v>0</x:v>
      </x:c>
      <x:c r="K146" s="136">
        <x:f t="shared" si="53"/>
        <x:v>0</x:v>
      </x:c>
      <x:c r="L146" s="597">
        <x:f>D146-E146-F146-G146-J146-H146-I146</x:f>
        <x:v>0</x:v>
      </x:c>
      <x:c r="M146" s="1" t="b">
        <x:f t="shared" si="54"/>
        <x:v>1</x:v>
      </x:c>
      <x:c r="O146" s="55"/>
      <x:c r="P146" s="24"/>
      <x:c r="Q146" s="35"/>
      <x:c r="R146" s="24"/>
    </x:row>
    <x:row r="147" spans="1:20" ht="12" thickBot="1" x14ac:dyDescent="0.3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5">SUM(F142:F146)</x:f>
        <x:v>0</x:v>
      </x:c>
      <x:c r="G147" s="47">
        <x:f t="shared" si="55"/>
        <x:v>0</x:v>
      </x:c>
      <x:c r="H147" s="47">
        <x:f t="shared" si="55"/>
        <x:v>0</x:v>
      </x:c>
      <x:c r="I147" s="47">
        <x:f t="shared" si="55"/>
        <x:v>0</x:v>
      </x:c>
      <x:c r="J147" s="47">
        <x:f t="shared" si="55"/>
        <x:v>0</x:v>
      </x:c>
      <x:c r="K147" s="47">
        <x:f t="shared" si="55"/>
        <x:v>0</x:v>
      </x:c>
      <x:c r="L147" s="597">
        <x:f>SUM(L142:L146)</x:f>
        <x:v>0</x:v>
      </x:c>
      <x:c r="M147" s="1" t="b">
        <x:f t="shared" si="54"/>
        <x:v>1</x:v>
      </x:c>
      <x:c r="P147" s="24"/>
      <x:c r="Q147" s="35"/>
      <x:c r="R147" s="24"/>
    </x:row>
    <x:row r="148" spans="1:20" x14ac:dyDescent="0.3">
      <x:c r="B148" s="2"/>
      <x:c r="H148" s="55"/>
      <x:c r="L148" s="548"/>
      <x:c r="M148" s="24"/>
      <x:c r="N148" s="24"/>
      <x:c r="O148" s="24"/>
      <x:c r="P148" s="24"/>
      <x:c r="Q148" s="35"/>
    </x:row>
    <x:row r="149" spans="1:20" ht="21.75" customHeight="1" x14ac:dyDescent="0.3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3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3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3">
      <x:c r="N152" s="24"/>
      <x:c r="O152" s="24"/>
      <x:c r="Q152" s="24"/>
      <x:c r="T152" s="24"/>
    </x:row>
    <x:row r="153" spans="1:20" x14ac:dyDescent="0.3">
      <x:c r="N153" s="24"/>
      <x:c r="O153" s="24"/>
      <x:c r="Q153" s="24"/>
      <x:c r="T153" s="24"/>
    </x:row>
    <x:row r="154" spans="1:20" x14ac:dyDescent="0.3">
      <x:c r="N154" s="24"/>
      <x:c r="O154" s="24"/>
      <x:c r="Q154" s="24"/>
      <x:c r="T154" s="24"/>
    </x:row>
    <x:row r="155" spans="1:20" x14ac:dyDescent="0.3">
      <x:c r="N155" s="24"/>
      <x:c r="O155" s="24"/>
      <x:c r="Q155" s="24"/>
      <x:c r="T155" s="24"/>
    </x:row>
    <x:row r="156" spans="1:20" x14ac:dyDescent="0.3">
      <x:c r="N156" s="24"/>
      <x:c r="O156" s="24"/>
      <x:c r="Q156" s="24"/>
      <x:c r="T156" s="24"/>
    </x:row>
    <x:row r="157" spans="1:20" x14ac:dyDescent="0.3">
      <x:c r="N157" s="24"/>
      <x:c r="O157" s="24"/>
      <x:c r="Q157" s="24"/>
      <x:c r="T157" s="24"/>
    </x:row>
    <x:row r="158" spans="1:20" x14ac:dyDescent="0.3">
      <x:c r="N158" s="24"/>
      <x:c r="O158" s="24"/>
      <x:c r="Q158" s="24"/>
      <x:c r="T158" s="24"/>
    </x:row>
    <x:row r="159" spans="1:20" x14ac:dyDescent="0.3">
      <x:c r="N159" s="24"/>
      <x:c r="O159" s="24"/>
      <x:c r="Q159" s="24"/>
      <x:c r="T159" s="24"/>
    </x:row>
    <x:row r="160" spans="1:20" x14ac:dyDescent="0.3">
      <x:c r="N160" s="24"/>
      <x:c r="O160" s="24"/>
      <x:c r="Q160" s="24"/>
      <x:c r="T160" s="24"/>
    </x:row>
    <x:row r="161" spans="14:20" x14ac:dyDescent="0.3">
      <x:c r="N161" s="24"/>
      <x:c r="O161" s="24"/>
      <x:c r="Q161" s="24"/>
      <x:c r="T161" s="24"/>
    </x:row>
    <x:row r="162" spans="14:20" x14ac:dyDescent="0.3">
      <x:c r="N162" s="24"/>
      <x:c r="O162" s="24"/>
      <x:c r="Q162" s="24"/>
      <x:c r="T162" s="24"/>
    </x:row>
    <x:row r="163" spans="14:20" x14ac:dyDescent="0.3">
      <x:c r="N163" s="24"/>
      <x:c r="O163" s="24"/>
      <x:c r="Q163" s="24"/>
      <x:c r="T163" s="24"/>
    </x:row>
    <x:row r="164" spans="14:20" x14ac:dyDescent="0.3">
      <x:c r="N164" s="24"/>
      <x:c r="O164" s="24"/>
      <x:c r="Q164" s="24"/>
      <x:c r="T164" s="24"/>
    </x:row>
    <x:row r="165" spans="14:20" x14ac:dyDescent="0.3">
      <x:c r="Q165" s="24"/>
      <x:c r="T165" s="24"/>
    </x:row>
    <x:row r="166" spans="14:20" x14ac:dyDescent="0.3">
      <x:c r="Q166" s="24"/>
    </x:row>
  </x:sheetData>
  <x:conditionalFormatting sqref="L142:L147">
    <x:cfRule type="expression" dxfId="62" priority="24">
      <x:formula>$L$142&lt;&gt;0</x:formula>
    </x:cfRule>
  </x:conditionalFormatting>
  <x:conditionalFormatting sqref="M142:M147">
    <x:cfRule type="cellIs" dxfId="61" priority="5" operator="notEqual">
      <x:formula>TRUE</x:formula>
    </x:cfRule>
  </x:conditionalFormatting>
  <x:conditionalFormatting sqref="AH9:AH14">
    <x:cfRule type="cellIs" dxfId="60" priority="11" operator="notEqual">
      <x:formula>TRUE</x:formula>
    </x:cfRule>
  </x:conditionalFormatting>
  <x:conditionalFormatting sqref="AH28:AH33">
    <x:cfRule type="cellIs" dxfId="59" priority="10" operator="notEqual">
      <x:formula>TRUE</x:formula>
    </x:cfRule>
  </x:conditionalFormatting>
  <x:conditionalFormatting sqref="AH47:AH52">
    <x:cfRule type="cellIs" dxfId="58" priority="4" operator="notEqual">
      <x:formula>TRUE</x:formula>
    </x:cfRule>
  </x:conditionalFormatting>
  <x:conditionalFormatting sqref="AH66:AH71">
    <x:cfRule type="cellIs" dxfId="57" priority="3" operator="notEqual">
      <x:formula>TRUE</x:formula>
    </x:cfRule>
  </x:conditionalFormatting>
  <x:conditionalFormatting sqref="AH85:AH90">
    <x:cfRule type="cellIs" dxfId="56" priority="2" operator="notEqual">
      <x:formula>TRUE</x:formula>
    </x:cfRule>
  </x:conditionalFormatting>
  <x:conditionalFormatting sqref="AH104:AH109">
    <x:cfRule type="cellIs" dxfId="55" priority="1" operator="notEqual">
      <x:formula>TRUE</x:formula>
    </x:cfRule>
  </x:conditionalFormatting>
  <x:printOptions horizontalCentered="1" verticalCentered="1"/>
  <x:pageMargins left="0.55118110236220474" right="0.55118110236220474" top="0.59055118110236227" bottom="0.59055118110236227" header="0" footer="0"/>
  <x:pageSetup scale="21" orientation="landscape" r:id="rId1"/>
  <x:headerFooter alignWithMargins="0"/>
  <x:ignoredErrors>
    <x:ignoredError sqref="K104:K109 M104:M109" formula="1"/>
  </x:ignoredErrors>
  <x:drawing r:id="rId2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400-000000000000}" mc:Ignorable="x14ac xr xr2 xr3">
  <x:sheetPr>
    <x:tabColor rgb="FF00B0F0"/>
  </x:sheetPr>
  <x:dimension ref="B1:P16"/>
  <x:sheetViews>
    <x:sheetView zoomScale="90" zoomScaleNormal="90" workbookViewId="0">
      <x:selection activeCell="D9" sqref="D9"/>
    </x:sheetView>
  </x:sheetViews>
  <x:sheetFormatPr baseColWidth="10" defaultRowHeight="12.45" x14ac:dyDescent="0.3"/>
  <x:cols>
    <x:col min="1" max="1" width="3" customWidth="1"/>
    <x:col min="2" max="2" width="4.15234375" bestFit="1" customWidth="1"/>
    <x:col min="3" max="3" width="16.84375" customWidth="1"/>
    <x:col min="4" max="4" width="14.15234375" customWidth="1"/>
    <x:col min="5" max="7" width="17.84375" customWidth="1"/>
    <x:col min="8" max="8" width="18.15234375" customWidth="1"/>
    <x:col min="9" max="9" width="15.84375" customWidth="1"/>
    <x:col min="10" max="10" width="16.3828125" customWidth="1"/>
    <x:col min="11" max="11" width="15.84375" customWidth="1"/>
    <x:col min="12" max="13" width="18.15234375" customWidth="1"/>
    <x:col min="14" max="14" width="15.84375" customWidth="1"/>
    <x:col min="15" max="15" width="14.15234375" customWidth="1"/>
    <x:col min="16" max="16" width="14.3828125" customWidth="1"/>
  </x:cols>
  <x:sheetData>
    <x:row r="1" spans="2:16" ht="12.9" thickBot="1" x14ac:dyDescent="0.35"/>
    <x:row r="2" spans="2:16" ht="35.15" thickBot="1" x14ac:dyDescent="0.3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3">
      <x:c r="B3" s="303">
        <x:v>1</x:v>
      </x:c>
      <x:c r="C3" s="292">
        <x:f>'Recaudo EAAB Reciprocidad'!D21</x:f>
        <x:v>0</x:v>
      </x:c>
      <x:c r="D3" s="292">
        <x:f>'REMUNERACION Reciprocidad EAAB'!G125</x:f>
        <x:v>0</x:v>
      </x:c>
      <x:c r="E3" s="292">
        <x:f>'REMUNERACION Reciprocidad EAAB'!D28+'REMUNERACION Reciprocidad EAAB'!N28</x:f>
        <x:v>0</x:v>
      </x:c>
      <x:c r="F3" s="292">
        <x:f>'REMUNERACION Reciprocidad EAAB'!I142</x:f>
        <x:v>0</x:v>
      </x:c>
      <x:c r="G3" s="292">
        <x:f>'REMUNERACION Reciprocidad EAAB'!H142</x:f>
        <x:v>0</x:v>
      </x:c>
      <x:c r="H3" s="340">
        <x:f>SUM(C3:G3)</x:f>
        <x:v>0</x:v>
      </x:c>
      <x:c r="I3" s="291">
        <x:f>'REMUNERACION Reciprocidad EAAB'!D104</x:f>
        <x:v>0</x:v>
      </x:c>
      <x:c r="J3" s="292">
        <x:f>'REMUNERACION Reciprocidad EAAB'!N104</x:f>
        <x:v>0</x:v>
      </x:c>
      <x:c r="K3" s="292">
        <x:f>'REMUNERACION Reciprocidad EAAB'!D125</x:f>
        <x:v>0</x:v>
      </x:c>
      <x:c r="L3" s="353">
        <x:f>'REMUNERACION Reciprocidad EAAB'!E125</x:f>
        <x:v>0</x:v>
      </x:c>
      <x:c r="M3" s="292">
        <x:f>-'REMUNERACION Reciprocidad EAAB'!D66-'REMUNERACION Reciprocidad EAAB'!N66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3">
      <x:c r="B4" s="314">
        <x:v>2</x:v>
      </x:c>
      <x:c r="C4" s="317">
        <x:f>'Recaudo EAAB Reciprocidad'!D22</x:f>
        <x:v>0</x:v>
      </x:c>
      <x:c r="D4" s="292">
        <x:f>'REMUNERACION Reciprocidad EAAB'!G126</x:f>
        <x:v>0</x:v>
      </x:c>
      <x:c r="E4" s="292">
        <x:f>'REMUNERACION Reciprocidad EAAB'!D29+'REMUNERACION Reciprocidad EAAB'!N29</x:f>
        <x:v>0</x:v>
      </x:c>
      <x:c r="F4" s="292">
        <x:f>'REMUNERACION Reciprocidad EAAB'!I143</x:f>
        <x:v>0</x:v>
      </x:c>
      <x:c r="G4" s="292">
        <x:f>'REMUNERACION Reciprocidad EAAB'!H143</x:f>
        <x:v>0</x:v>
      </x:c>
      <x:c r="H4" s="340">
        <x:f t="shared" ref="H4:H8" si="1">SUM(C4:G4)</x:f>
        <x:v>0</x:v>
      </x:c>
      <x:c r="I4" s="291">
        <x:f>'REMUNERACION Reciprocidad EAAB'!D105</x:f>
        <x:v>0</x:v>
      </x:c>
      <x:c r="J4" s="292">
        <x:f>'REMUNERACION Reciprocidad EAAB'!N105</x:f>
        <x:v>0</x:v>
      </x:c>
      <x:c r="K4" s="292">
        <x:f>'REMUNERACION Reciprocidad EAAB'!D126</x:f>
        <x:v>0</x:v>
      </x:c>
      <x:c r="L4" s="353">
        <x:f>'REMUNERACION Reciprocidad EAAB'!E126</x:f>
        <x:v>0</x:v>
      </x:c>
      <x:c r="M4" s="292">
        <x:f>-'REMUNERACION Reciprocidad EAAB'!D67-'REMUNERACION Reciprocidad EAAB'!N67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3">
      <x:c r="B5" s="314">
        <x:v>3</x:v>
      </x:c>
      <x:c r="C5" s="317">
        <x:f>'Recaudo EAAB Reciprocidad'!D23</x:f>
        <x:v>0</x:v>
      </x:c>
      <x:c r="D5" s="292">
        <x:f>'REMUNERACION Reciprocidad EAAB'!G127</x:f>
        <x:v>0</x:v>
      </x:c>
      <x:c r="E5" s="292">
        <x:f>'REMUNERACION Reciprocidad EAAB'!D30+'REMUNERACION Reciprocidad EAAB'!N30</x:f>
        <x:v>0</x:v>
      </x:c>
      <x:c r="F5" s="292">
        <x:f>'REMUNERACION Reciprocidad EAAB'!I144</x:f>
        <x:v>0</x:v>
      </x:c>
      <x:c r="G5" s="292">
        <x:f>'REMUNERACION Reciprocidad EAAB'!H144</x:f>
        <x:v>0</x:v>
      </x:c>
      <x:c r="H5" s="340">
        <x:f t="shared" si="1"/>
        <x:v>0</x:v>
      </x:c>
      <x:c r="I5" s="291">
        <x:f>'REMUNERACION Reciprocidad EAAB'!D106</x:f>
        <x:v>0</x:v>
      </x:c>
      <x:c r="J5" s="292">
        <x:f>'REMUNERACION Reciprocidad EAAB'!N106</x:f>
        <x:v>0</x:v>
      </x:c>
      <x:c r="K5" s="292">
        <x:f>'REMUNERACION Reciprocidad EAAB'!D127</x:f>
        <x:v>0</x:v>
      </x:c>
      <x:c r="L5" s="353">
        <x:f>'REMUNERACION Reciprocidad EAAB'!E127</x:f>
        <x:v>0</x:v>
      </x:c>
      <x:c r="M5" s="292">
        <x:f>-'REMUNERACION Reciprocidad EAAB'!D68-'REMUNERACION Reciprocidad EAAB'!N68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3">
      <x:c r="B6" s="314">
        <x:v>4</x:v>
      </x:c>
      <x:c r="C6" s="317">
        <x:f>'Recaudo EAAB Reciprocidad'!D24</x:f>
        <x:v>0</x:v>
      </x:c>
      <x:c r="D6" s="292">
        <x:f>'REMUNERACION Reciprocidad EAAB'!G128</x:f>
        <x:v>0</x:v>
      </x:c>
      <x:c r="E6" s="292">
        <x:f>'REMUNERACION Reciprocidad EAAB'!D31+'REMUNERACION Reciprocidad EAAB'!N31</x:f>
        <x:v>0</x:v>
      </x:c>
      <x:c r="F6" s="292">
        <x:f>'REMUNERACION Reciprocidad EAAB'!I145</x:f>
        <x:v>0</x:v>
      </x:c>
      <x:c r="G6" s="292">
        <x:f>'REMUNERACION Reciprocidad EAAB'!H145</x:f>
        <x:v>0</x:v>
      </x:c>
      <x:c r="H6" s="340">
        <x:f t="shared" si="1"/>
        <x:v>0</x:v>
      </x:c>
      <x:c r="I6" s="291">
        <x:f>'REMUNERACION Reciprocidad EAAB'!D107</x:f>
        <x:v>0</x:v>
      </x:c>
      <x:c r="J6" s="292">
        <x:f>'REMUNERACION Reciprocidad EAAB'!N107</x:f>
        <x:v>0</x:v>
      </x:c>
      <x:c r="K6" s="292">
        <x:f>'REMUNERACION Reciprocidad EAAB'!D128</x:f>
        <x:v>0</x:v>
      </x:c>
      <x:c r="L6" s="353">
        <x:f>'REMUNERACION Reciprocidad EAAB'!E128</x:f>
        <x:v>0</x:v>
      </x:c>
      <x:c r="M6" s="292">
        <x:f>-'REMUNERACION Reciprocidad EAAB'!D69-'REMUNERACION Reciprocidad EAAB'!N69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3">
      <x:c r="B7" s="314">
        <x:v>5</x:v>
      </x:c>
      <x:c r="C7" s="317">
        <x:f>'Recaudo EAAB Reciprocidad'!D25</x:f>
        <x:v>0</x:v>
      </x:c>
      <x:c r="D7" s="292">
        <x:f>'REMUNERACION Reciprocidad EAAB'!G129</x:f>
        <x:v>0</x:v>
      </x:c>
      <x:c r="E7" s="292">
        <x:f>'REMUNERACION Reciprocidad EAAB'!D32+'REMUNERACION Reciprocidad EAAB'!N32</x:f>
        <x:v>0</x:v>
      </x:c>
      <x:c r="F7" s="292">
        <x:f>'REMUNERACION Reciprocidad EAAB'!I146</x:f>
        <x:v>0</x:v>
      </x:c>
      <x:c r="G7" s="292">
        <x:f>'REMUNERACION Reciprocidad EAAB'!H146</x:f>
        <x:v>0</x:v>
      </x:c>
      <x:c r="H7" s="340">
        <x:f t="shared" si="1"/>
        <x:v>0</x:v>
      </x:c>
      <x:c r="I7" s="291">
        <x:f>'REMUNERACION Reciprocidad EAAB'!D108</x:f>
        <x:v>0</x:v>
      </x:c>
      <x:c r="J7" s="292">
        <x:f>'REMUNERACION Reciprocidad EAAB'!N108</x:f>
        <x:v>0</x:v>
      </x:c>
      <x:c r="K7" s="292">
        <x:f>'REMUNERACION Reciprocidad EAAB'!D129</x:f>
        <x:v>0</x:v>
      </x:c>
      <x:c r="L7" s="353">
        <x:f>'REMUNERACION Reciprocidad EAAB'!E129</x:f>
        <x:v>0</x:v>
      </x:c>
      <x:c r="M7" s="292">
        <x:f>-'REMUNERACION Reciprocidad EAAB'!D70-'REMUNERACION Reciprocidad EAAB'!N70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2.9" thickBot="1" x14ac:dyDescent="0.35">
      <x:c r="B8" s="341" t="s">
        <x:v>89</x:v>
      </x:c>
      <x:c r="C8" s="317">
        <x:f>'Recaudo EAAB Reciprocidad'!D26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'REMUNERACION Reciprocidad EAAB'!E130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2.9" thickBot="1" x14ac:dyDescent="0.3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>SUM(E3:E8)</x:f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3">
      <x:c r="B11" s="102" t="s">
        <x:v>89</x:v>
      </x:c>
      <x:c r="C11" s="103" t="s">
        <x:v>90</x:v>
      </x:c>
      <x:c r="M11" s="141"/>
      <x:c r="O11" s="137"/>
    </x:row>
    <x:row r="12" spans="2:16" x14ac:dyDescent="0.3">
      <x:c r="C12" s="143"/>
    </x:row>
    <x:row r="13" spans="2:16" x14ac:dyDescent="0.3">
      <x:c r="B13" s="142"/>
      <x:c r="C13" s="143" t="s">
        <x:v>1</x:v>
      </x:c>
    </x:row>
    <x:row r="14" spans="2:16" x14ac:dyDescent="0.3">
      <x:c r="C14" s="245">
        <x:f>'Valida - Control Recaudo'!D9</x:f>
        <x:v>0</x:v>
      </x:c>
    </x:row>
    <x:row r="15" spans="2:16" x14ac:dyDescent="0.3">
      <x:c r="C15" s="249" t="b">
        <x:f>C14=C9</x:f>
        <x:v>1</x:v>
      </x:c>
    </x:row>
    <x:row r="16" spans="2:16" x14ac:dyDescent="0.3">
      <x:c r="C16" s="212" t="s">
        <x:v>1</x:v>
      </x:c>
    </x:row>
  </x:sheetData>
  <x:conditionalFormatting sqref="C15">
    <x:cfRule type="cellIs" dxfId="54" priority="4" operator="notEqual">
      <x:formula>TRUE</x:formula>
    </x:cfRule>
  </x:conditionalFormatting>
  <x:conditionalFormatting sqref="P3:P9">
    <x:cfRule type="cellIs" dxfId="53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500-000000000000}" mc:Ignorable="x14ac xr xr2 xr3">
  <x:sheetPr>
    <x:tabColor rgb="FF00B0F0"/>
    <x:pageSetUpPr fitToPage="1"/>
  </x:sheetPr>
  <x:dimension ref="A1:AI52"/>
  <x:sheetViews>
    <x:sheetView zoomScaleNormal="100" workbookViewId="0"/>
  </x:sheetViews>
  <x:sheetFormatPr baseColWidth="10" defaultColWidth="11.3828125" defaultRowHeight="11.6" x14ac:dyDescent="0.3"/>
  <x:cols>
    <x:col min="1" max="1" width="3" style="1" customWidth="1"/>
    <x:col min="2" max="2" width="4.3828125" style="1" bestFit="1" customWidth="1"/>
    <x:col min="3" max="3" width="36.84375" style="1" customWidth="1"/>
    <x:col min="4" max="4" width="15.15234375" style="1" customWidth="1"/>
    <x:col min="5" max="5" width="16" style="1" customWidth="1"/>
    <x:col min="6" max="7" width="14.84375" style="1" customWidth="1"/>
    <x:col min="8" max="8" width="16.15234375" style="1" customWidth="1"/>
    <x:col min="9" max="9" width="20.15234375" style="1" bestFit="1" customWidth="1"/>
    <x:col min="10" max="10" width="15.53515625" style="1" customWidth="1"/>
    <x:col min="11" max="11" width="17.53515625" style="1" customWidth="1"/>
    <x:col min="12" max="12" width="16.53515625" style="1" customWidth="1"/>
    <x:col min="13" max="13" width="19.84375" style="1" customWidth="1"/>
    <x:col min="14" max="14" width="15.15234375" style="1" customWidth="1"/>
    <x:col min="15" max="15" width="16.84375" style="1" customWidth="1"/>
    <x:col min="16" max="16" width="3.84375" style="1" customWidth="1"/>
    <x:col min="17" max="17" width="2.84375" style="1" customWidth="1"/>
    <x:col min="18" max="18" width="4.53515625" style="1" customWidth="1"/>
    <x:col min="19" max="19" width="11.15234375" style="1" customWidth="1"/>
    <x:col min="20" max="20" width="39.3828125" style="1" customWidth="1"/>
    <x:col min="21" max="21" width="19.15234375" style="1" customWidth="1"/>
    <x:col min="22" max="22" width="17.84375" style="1" customWidth="1"/>
    <x:col min="23" max="23" width="16.3828125" style="1" customWidth="1"/>
    <x:col min="24" max="24" width="17.15234375" style="1" customWidth="1"/>
    <x:col min="25" max="25" width="15.84375" style="1" customWidth="1"/>
    <x:col min="26" max="26" width="16" style="1" customWidth="1"/>
    <x:col min="27" max="27" width="15" style="1" customWidth="1"/>
    <x:col min="28" max="29" width="16.84375" style="1" customWidth="1"/>
    <x:col min="30" max="31" width="15.3828125" style="1" customWidth="1"/>
    <x:col min="32" max="32" width="16.15234375" style="1" customWidth="1"/>
    <x:col min="33" max="33" width="9.84375" style="1" customWidth="1"/>
    <x:col min="34" max="34" width="13.84375" style="1" customWidth="1"/>
    <x:col min="35" max="35" width="3.3828125" style="1" customWidth="1"/>
    <x:col min="36" max="16384" width="11.3828125" style="1"/>
  </x:cols>
  <x:sheetData>
    <x:row r="1" spans="2:35" ht="12" thickBot="1" x14ac:dyDescent="0.35">
      <x:c r="Q1" s="4"/>
      <x:c r="AI1" s="4"/>
    </x:row>
    <x:row r="2" spans="2:35" x14ac:dyDescent="0.3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4.15" x14ac:dyDescent="0.3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 Reciprocidad EAAB'!N98</x:f>
        <x:v>2026101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2026101</x:v>
      </x:c>
      <x:c r="AE3" s="84"/>
      <x:c r="AF3" s="48"/>
      <x:c r="AG3" s="2"/>
      <x:c r="AI3" s="4"/>
    </x:row>
    <x:row r="4" spans="2:35" ht="15.45" x14ac:dyDescent="0.4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4.15" x14ac:dyDescent="0.3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45" x14ac:dyDescent="0.4">
      <x:c r="B6" s="8"/>
      <x:c r="C6" s="598" t="s">
        <x:v>17</x:v>
      </x:c>
      <x:c r="D6" s="9">
        <x:f>'REMUNERACION Reciprocidad EAAB'!D101</x:f>
        <x:v>46297</x:v>
      </x:c>
      <x:c r="F6" s="58" t="str">
        <x:f>'REMUNERACION Reciprocidad EAAB'!F101</x:f>
        <x:v>REPORTE CONSOLIDADO TOTAL DE RECAUDO // RECIPROCIDAD - EAAB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 Reciprocidad EAAB'!U101</x:f>
        <x:v>REPORTE DETALLADO SUBBOLSA RBL DISCRIMINADO POR ACTIVIDADES // RECIPROCIDAD - EAAB</x:v>
      </x:c>
      <x:c r="V6" s="59"/>
      <x:c r="W6" s="60"/>
      <x:c r="X6" s="59"/>
      <x:c r="Y6" s="2"/>
      <x:c r="AF6" s="48"/>
      <x:c r="AG6" s="2"/>
      <x:c r="AI6" s="4"/>
    </x:row>
    <x:row r="7" spans="2:35" ht="12" thickBot="1" x14ac:dyDescent="0.35">
      <x:c r="B7" s="8"/>
      <x:c r="C7" s="598" t="s">
        <x:v>0</x:v>
      </x:c>
      <x:c r="D7" s="241">
        <x:f>'REMUNERACION Reciprocidad EAAB'!D102</x:f>
        <x:v>0.58333333333333337</x:v>
      </x:c>
      <x:c r="F7" s="2" t="s">
        <x:v>27</x:v>
      </x:c>
      <x:c r="G7" s="9">
        <x:f>'REMUNERACION Reciprocidad EAAB'!G102</x:f>
        <x:v>46281</x:v>
      </x:c>
      <x:c r="J7" s="2" t="s">
        <x:v>28</x:v>
      </x:c>
      <x:c r="K7" s="9">
        <x:f>'REMUNERACION Reciprocidad EAAB'!K102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69.900000000000006" thickBot="1" x14ac:dyDescent="0.3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3">
      <x:c r="B9" s="14">
        <x:v>1</x:v>
      </x:c>
      <x:c r="C9" s="61" t="s">
        <x:v>10</x:v>
      </x:c>
      <x:c r="D9" s="66">
        <x:f>'REMUNERACION Reciprocidad EAAB'!D104</x:f>
        <x:v>0</x:v>
      </x:c>
      <x:c r="E9" s="66">
        <x:f>'REMUNERACION Reciprocidad EAAB'!E104</x:f>
        <x:v>0</x:v>
      </x:c>
      <x:c r="F9" s="66">
        <x:f>'REMUNERACION Reciprocidad EAAB'!F104</x:f>
        <x:v>0</x:v>
      </x:c>
      <x:c r="G9" s="66">
        <x:f>'REMUNERACION Reciprocidad EAAB'!G104</x:f>
        <x:v>0</x:v>
      </x:c>
      <x:c r="H9" s="66">
        <x:f>'REMUNERACION Reciprocidad EAAB'!H104</x:f>
        <x:v>0</x:v>
      </x:c>
      <x:c r="I9" s="66">
        <x:f>'REMUNERACION Reciprocidad EAAB'!I104</x:f>
        <x:v>0</x:v>
      </x:c>
      <x:c r="J9" s="66">
        <x:f>'REMUNERACION Reciprocidad EAAB'!J104</x:f>
        <x:v>0</x:v>
      </x:c>
      <x:c r="K9" s="30">
        <x:f>D9-E9-F9-G9-H9-I9-J9</x:f>
        <x:v>0</x:v>
      </x:c>
      <x:c r="L9" s="66">
        <x:f>'REMUNERACION Reciprocidad EAAB'!L104</x:f>
        <x:v>0</x:v>
      </x:c>
      <x:c r="M9" s="30">
        <x:f>K9-L9</x:f>
        <x:v>0</x:v>
      </x:c>
      <x:c r="N9" s="66">
        <x:f>'REMUNERACION Reciprocidad EAAB'!N104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 Reciprocidad EAAB'!U104</x:f>
        <x:v>0</x:v>
      </x:c>
      <x:c r="V9" s="66">
        <x:f>'REMUNERACION Reciprocidad EAAB'!V104</x:f>
        <x:v>0</x:v>
      </x:c>
      <x:c r="W9" s="66">
        <x:f>'REMUNERACION Reciprocidad EAAB'!W104</x:f>
        <x:v>0</x:v>
      </x:c>
      <x:c r="X9" s="66">
        <x:f>'REMUNERACION Reciprocidad EAAB'!X104</x:f>
        <x:v>0</x:v>
      </x:c>
      <x:c r="Y9" s="66">
        <x:f>'REMUNERACION Reciprocidad EAAB'!Y104</x:f>
        <x:v>0</x:v>
      </x:c>
      <x:c r="Z9" s="66">
        <x:f>'REMUNERACION Reciprocidad EAAB'!Z104</x:f>
        <x:v>0</x:v>
      </x:c>
      <x:c r="AA9" s="66">
        <x:f>'REMUNERACION Reciprocidad EAAB'!AA104</x:f>
        <x:v>0</x:v>
      </x:c>
      <x:c r="AB9" s="66">
        <x:f>'REMUNERACION Reciprocidad EAAB'!AB104</x:f>
        <x:v>0</x:v>
      </x:c>
      <x:c r="AC9" s="66">
        <x:f>'REMUNERACION Reciprocidad EAAB'!AC104</x:f>
        <x:v>0</x:v>
      </x:c>
      <x:c r="AD9" s="66">
        <x:f>'REMUNERACION Reciprocidad EAAB'!AD104</x:f>
        <x:v>0</x:v>
      </x:c>
      <x:c r="AE9" s="66">
        <x:f>'REMUNERACION Reciprocidad EAAB'!AE104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3">
      <x:c r="B10" s="16">
        <x:v>2</x:v>
      </x:c>
      <x:c r="C10" s="62" t="s">
        <x:v>11</x:v>
      </x:c>
      <x:c r="D10" s="66">
        <x:f>'REMUNERACION Reciprocidad EAAB'!D105</x:f>
        <x:v>0</x:v>
      </x:c>
      <x:c r="E10" s="66">
        <x:f>'REMUNERACION Reciprocidad EAAB'!E105</x:f>
        <x:v>0</x:v>
      </x:c>
      <x:c r="F10" s="66">
        <x:f>'REMUNERACION Reciprocidad EAAB'!F105</x:f>
        <x:v>0</x:v>
      </x:c>
      <x:c r="G10" s="66">
        <x:f>'REMUNERACION Reciprocidad EAAB'!G105</x:f>
        <x:v>0</x:v>
      </x:c>
      <x:c r="H10" s="66">
        <x:f>'REMUNERACION Reciprocidad EAAB'!H105</x:f>
        <x:v>0</x:v>
      </x:c>
      <x:c r="I10" s="66">
        <x:f>'REMUNERACION Reciprocidad EAAB'!I105</x:f>
        <x:v>0</x:v>
      </x:c>
      <x:c r="J10" s="66">
        <x:f>'REMUNERACION Reciprocidad EAAB'!J105</x:f>
        <x:v>0</x:v>
      </x:c>
      <x:c r="K10" s="31">
        <x:f t="shared" ref="K10:K13" si="0">D10-E10-F10-G10-H10-I10-J10</x:f>
        <x:v>0</x:v>
      </x:c>
      <x:c r="L10" s="66">
        <x:f>'REMUNERACION Reciprocidad EAAB'!L105</x:f>
        <x:v>0</x:v>
      </x:c>
      <x:c r="M10" s="31">
        <x:f>K10-L10</x:f>
        <x:v>0</x:v>
      </x:c>
      <x:c r="N10" s="66">
        <x:f>'REMUNERACION Reciprocidad EAAB'!N105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 Reciprocidad EAAB'!U105</x:f>
        <x:v>0</x:v>
      </x:c>
      <x:c r="V10" s="66">
        <x:f>'REMUNERACION Reciprocidad EAAB'!V105</x:f>
        <x:v>0</x:v>
      </x:c>
      <x:c r="W10" s="66">
        <x:f>'REMUNERACION Reciprocidad EAAB'!W105</x:f>
        <x:v>0</x:v>
      </x:c>
      <x:c r="X10" s="66">
        <x:f>'REMUNERACION Reciprocidad EAAB'!X105</x:f>
        <x:v>0</x:v>
      </x:c>
      <x:c r="Y10" s="66">
        <x:f>'REMUNERACION Reciprocidad EAAB'!Y105</x:f>
        <x:v>0</x:v>
      </x:c>
      <x:c r="Z10" s="66">
        <x:f>'REMUNERACION Reciprocidad EAAB'!Z105</x:f>
        <x:v>0</x:v>
      </x:c>
      <x:c r="AA10" s="66">
        <x:f>'REMUNERACION Reciprocidad EAAB'!AA105</x:f>
        <x:v>0</x:v>
      </x:c>
      <x:c r="AB10" s="66">
        <x:f>'REMUNERACION Reciprocidad EAAB'!AB105</x:f>
        <x:v>0</x:v>
      </x:c>
      <x:c r="AC10" s="66">
        <x:f>'REMUNERACION Reciprocidad EAAB'!AC105</x:f>
        <x:v>0</x:v>
      </x:c>
      <x:c r="AD10" s="66">
        <x:f>'REMUNERACION Reciprocidad EAAB'!AD105</x:f>
        <x:v>0</x:v>
      </x:c>
      <x:c r="AE10" s="66">
        <x:f>'REMUNERACION Reciprocidad EAAB'!AE105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3">
      <x:c r="B11" s="16">
        <x:v>3</x:v>
      </x:c>
      <x:c r="C11" s="62" t="s">
        <x:v>12</x:v>
      </x:c>
      <x:c r="D11" s="66">
        <x:f>'REMUNERACION Reciprocidad EAAB'!D106</x:f>
        <x:v>0</x:v>
      </x:c>
      <x:c r="E11" s="66">
        <x:f>'REMUNERACION Reciprocidad EAAB'!E106</x:f>
        <x:v>0</x:v>
      </x:c>
      <x:c r="F11" s="66">
        <x:f>'REMUNERACION Reciprocidad EAAB'!F106</x:f>
        <x:v>0</x:v>
      </x:c>
      <x:c r="G11" s="66">
        <x:f>'REMUNERACION Reciprocidad EAAB'!G106</x:f>
        <x:v>0</x:v>
      </x:c>
      <x:c r="H11" s="66">
        <x:f>'REMUNERACION Reciprocidad EAAB'!H106</x:f>
        <x:v>0</x:v>
      </x:c>
      <x:c r="I11" s="66">
        <x:f>'REMUNERACION Reciprocidad EAAB'!I106</x:f>
        <x:v>0</x:v>
      </x:c>
      <x:c r="J11" s="66">
        <x:f>'REMUNERACION Reciprocidad EAAB'!J106</x:f>
        <x:v>0</x:v>
      </x:c>
      <x:c r="K11" s="31">
        <x:f t="shared" si="0"/>
        <x:v>0</x:v>
      </x:c>
      <x:c r="L11" s="66">
        <x:f>'REMUNERACION Reciprocidad EAAB'!L106</x:f>
        <x:v>0</x:v>
      </x:c>
      <x:c r="M11" s="31">
        <x:f>K11-L11</x:f>
        <x:v>0</x:v>
      </x:c>
      <x:c r="N11" s="66">
        <x:f>'REMUNERACION Reciprocidad EAAB'!N106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 Reciprocidad EAAB'!U106</x:f>
        <x:v>0</x:v>
      </x:c>
      <x:c r="V11" s="66">
        <x:f>'REMUNERACION Reciprocidad EAAB'!V106</x:f>
        <x:v>0</x:v>
      </x:c>
      <x:c r="W11" s="66">
        <x:f>'REMUNERACION Reciprocidad EAAB'!W106</x:f>
        <x:v>0</x:v>
      </x:c>
      <x:c r="X11" s="66">
        <x:f>'REMUNERACION Reciprocidad EAAB'!X106</x:f>
        <x:v>0</x:v>
      </x:c>
      <x:c r="Y11" s="66">
        <x:f>'REMUNERACION Reciprocidad EAAB'!Y106</x:f>
        <x:v>0</x:v>
      </x:c>
      <x:c r="Z11" s="66">
        <x:f>'REMUNERACION Reciprocidad EAAB'!Z106</x:f>
        <x:v>0</x:v>
      </x:c>
      <x:c r="AA11" s="66">
        <x:f>'REMUNERACION Reciprocidad EAAB'!AA106</x:f>
        <x:v>0</x:v>
      </x:c>
      <x:c r="AB11" s="66">
        <x:f>'REMUNERACION Reciprocidad EAAB'!AB106</x:f>
        <x:v>0</x:v>
      </x:c>
      <x:c r="AC11" s="66">
        <x:f>'REMUNERACION Reciprocidad EAAB'!AC106</x:f>
        <x:v>0</x:v>
      </x:c>
      <x:c r="AD11" s="66">
        <x:f>'REMUNERACION Reciprocidad EAAB'!AD106</x:f>
        <x:v>0</x:v>
      </x:c>
      <x:c r="AE11" s="66">
        <x:f>'REMUNERACION Reciprocidad EAAB'!AE106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3">
      <x:c r="B12" s="16">
        <x:v>4</x:v>
      </x:c>
      <x:c r="C12" s="62" t="s">
        <x:v>13</x:v>
      </x:c>
      <x:c r="D12" s="66">
        <x:f>'REMUNERACION Reciprocidad EAAB'!D107</x:f>
        <x:v>0</x:v>
      </x:c>
      <x:c r="E12" s="66">
        <x:f>'REMUNERACION Reciprocidad EAAB'!E107</x:f>
        <x:v>0</x:v>
      </x:c>
      <x:c r="F12" s="66">
        <x:f>'REMUNERACION Reciprocidad EAAB'!F107</x:f>
        <x:v>0</x:v>
      </x:c>
      <x:c r="G12" s="66">
        <x:f>'REMUNERACION Reciprocidad EAAB'!G107</x:f>
        <x:v>0</x:v>
      </x:c>
      <x:c r="H12" s="66">
        <x:f>'REMUNERACION Reciprocidad EAAB'!H107</x:f>
        <x:v>0</x:v>
      </x:c>
      <x:c r="I12" s="66">
        <x:f>'REMUNERACION Reciprocidad EAAB'!I107</x:f>
        <x:v>0</x:v>
      </x:c>
      <x:c r="J12" s="66">
        <x:f>'REMUNERACION Reciprocidad EAAB'!J107</x:f>
        <x:v>0</x:v>
      </x:c>
      <x:c r="K12" s="31">
        <x:f t="shared" si="0"/>
        <x:v>0</x:v>
      </x:c>
      <x:c r="L12" s="66">
        <x:f>'REMUNERACION Reciprocidad EAAB'!L107</x:f>
        <x:v>0</x:v>
      </x:c>
      <x:c r="M12" s="31">
        <x:f>K12-L12</x:f>
        <x:v>0</x:v>
      </x:c>
      <x:c r="N12" s="66">
        <x:f>'REMUNERACION Reciprocidad EAAB'!N107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 Reciprocidad EAAB'!U107</x:f>
        <x:v>0</x:v>
      </x:c>
      <x:c r="V12" s="66">
        <x:f>'REMUNERACION Reciprocidad EAAB'!V107</x:f>
        <x:v>0</x:v>
      </x:c>
      <x:c r="W12" s="66">
        <x:f>'REMUNERACION Reciprocidad EAAB'!W107</x:f>
        <x:v>0</x:v>
      </x:c>
      <x:c r="X12" s="66">
        <x:f>'REMUNERACION Reciprocidad EAAB'!X107</x:f>
        <x:v>0</x:v>
      </x:c>
      <x:c r="Y12" s="66">
        <x:f>'REMUNERACION Reciprocidad EAAB'!Y107</x:f>
        <x:v>0</x:v>
      </x:c>
      <x:c r="Z12" s="66">
        <x:f>'REMUNERACION Reciprocidad EAAB'!Z107</x:f>
        <x:v>0</x:v>
      </x:c>
      <x:c r="AA12" s="66">
        <x:f>'REMUNERACION Reciprocidad EAAB'!AA107</x:f>
        <x:v>0</x:v>
      </x:c>
      <x:c r="AB12" s="66">
        <x:f>'REMUNERACION Reciprocidad EAAB'!AB107</x:f>
        <x:v>0</x:v>
      </x:c>
      <x:c r="AC12" s="66">
        <x:f>'REMUNERACION Reciprocidad EAAB'!AC107</x:f>
        <x:v>0</x:v>
      </x:c>
      <x:c r="AD12" s="66">
        <x:f>'REMUNERACION Reciprocidad EAAB'!AD107</x:f>
        <x:v>0</x:v>
      </x:c>
      <x:c r="AE12" s="66">
        <x:f>'REMUNERACION Reciprocidad EAAB'!AE107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" thickBot="1" x14ac:dyDescent="0.35">
      <x:c r="B13" s="19">
        <x:v>5</x:v>
      </x:c>
      <x:c r="C13" s="63" t="s">
        <x:v>14</x:v>
      </x:c>
      <x:c r="D13" s="66">
        <x:f>'REMUNERACION Reciprocidad EAAB'!D108</x:f>
        <x:v>0</x:v>
      </x:c>
      <x:c r="E13" s="66">
        <x:f>'REMUNERACION Reciprocidad EAAB'!E108</x:f>
        <x:v>0</x:v>
      </x:c>
      <x:c r="F13" s="66">
        <x:f>'REMUNERACION Reciprocidad EAAB'!F108</x:f>
        <x:v>0</x:v>
      </x:c>
      <x:c r="G13" s="66">
        <x:f>'REMUNERACION Reciprocidad EAAB'!G108</x:f>
        <x:v>0</x:v>
      </x:c>
      <x:c r="H13" s="66">
        <x:f>'REMUNERACION Reciprocidad EAAB'!H108</x:f>
        <x:v>0</x:v>
      </x:c>
      <x:c r="I13" s="66">
        <x:f>'REMUNERACION Reciprocidad EAAB'!I108</x:f>
        <x:v>0</x:v>
      </x:c>
      <x:c r="J13" s="66">
        <x:f>'REMUNERACION Reciprocidad EAAB'!J108</x:f>
        <x:v>0</x:v>
      </x:c>
      <x:c r="K13" s="31">
        <x:f t="shared" si="0"/>
        <x:v>0</x:v>
      </x:c>
      <x:c r="L13" s="66">
        <x:f>'REMUNERACION Reciprocidad EAAB'!L108</x:f>
        <x:v>0</x:v>
      </x:c>
      <x:c r="M13" s="40">
        <x:f>K13-L13</x:f>
        <x:v>0</x:v>
      </x:c>
      <x:c r="N13" s="66">
        <x:f>'REMUNERACION Reciprocidad EAAB'!N108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 Reciprocidad EAAB'!U108</x:f>
        <x:v>0</x:v>
      </x:c>
      <x:c r="V13" s="66">
        <x:f>'REMUNERACION Reciprocidad EAAB'!V108</x:f>
        <x:v>0</x:v>
      </x:c>
      <x:c r="W13" s="66">
        <x:f>'REMUNERACION Reciprocidad EAAB'!W108</x:f>
        <x:v>0</x:v>
      </x:c>
      <x:c r="X13" s="66">
        <x:f>'REMUNERACION Reciprocidad EAAB'!X108</x:f>
        <x:v>0</x:v>
      </x:c>
      <x:c r="Y13" s="66">
        <x:f>'REMUNERACION Reciprocidad EAAB'!Y108</x:f>
        <x:v>0</x:v>
      </x:c>
      <x:c r="Z13" s="66">
        <x:f>'REMUNERACION Reciprocidad EAAB'!Z108</x:f>
        <x:v>0</x:v>
      </x:c>
      <x:c r="AA13" s="66">
        <x:f>'REMUNERACION Reciprocidad EAAB'!AA108</x:f>
        <x:v>0</x:v>
      </x:c>
      <x:c r="AB13" s="66">
        <x:f>'REMUNERACION Reciprocidad EAAB'!AB108</x:f>
        <x:v>0</x:v>
      </x:c>
      <x:c r="AC13" s="66">
        <x:f>'REMUNERACION Reciprocidad EAAB'!AC108</x:f>
        <x:v>0</x:v>
      </x:c>
      <x:c r="AD13" s="66">
        <x:f>'REMUNERACION Reciprocidad EAAB'!AD108</x:f>
        <x:v>0</x:v>
      </x:c>
      <x:c r="AE13" s="66">
        <x:f>'REMUNERACION Reciprocidad EAAB'!AE108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2.9" thickBot="1" x14ac:dyDescent="0.3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" thickBot="1" x14ac:dyDescent="0.3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" thickBot="1" x14ac:dyDescent="0.3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3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3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35">
      <x:c r="Q20" s="4"/>
    </x:row>
    <x:row r="21" spans="1:35" x14ac:dyDescent="0.3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4.15" x14ac:dyDescent="0.3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 Reciprocidad EAAB'!M117</x:f>
        <x:v>2026101</x:v>
      </x:c>
      <x:c r="O22" s="10"/>
      <x:c r="P22" s="2"/>
      <x:c r="Q22" s="4"/>
    </x:row>
    <x:row r="23" spans="1:35" ht="15.45" x14ac:dyDescent="0.4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3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3">
      <x:c r="B25" s="8"/>
      <x:c r="I25" s="2"/>
      <x:c r="J25" s="2"/>
      <x:c r="O25" s="10"/>
      <x:c r="P25" s="2"/>
      <x:c r="Q25" s="4"/>
    </x:row>
    <x:row r="26" spans="1:35" ht="15.45" x14ac:dyDescent="0.4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3">
      <x:c r="B27" s="8"/>
      <x:c r="F27" s="2" t="s">
        <x:v>27</x:v>
      </x:c>
      <x:c r="G27" s="2"/>
      <x:c r="H27" s="9">
        <x:f>'REMUNERACION Reciprocidad EAAB'!G122</x:f>
        <x:v>46281</x:v>
      </x:c>
      <x:c r="J27" s="2" t="s">
        <x:v>28</x:v>
      </x:c>
      <x:c r="K27" s="9">
        <x:f>'REMUNERACION Reciprocidad EAAB'!K122</x:f>
        <x:v>46295</x:v>
      </x:c>
      <x:c r="O27" s="10"/>
      <x:c r="P27" s="2"/>
      <x:c r="Q27" s="4"/>
    </x:row>
    <x:row r="28" spans="1:35" ht="12" thickBot="1" x14ac:dyDescent="0.3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6.75" thickBot="1" x14ac:dyDescent="0.3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65" t="s">
        <x:v>47</x:v>
      </x:c>
      <x:c r="H29" s="370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3">
      <x:c r="B30" s="108">
        <x:v>1</x:v>
      </x:c>
      <x:c r="C30" s="109" t="s">
        <x:v>10</x:v>
      </x:c>
      <x:c r="D30" s="110">
        <x:f>'REMUNERACION Reciprocidad EAAB'!D125</x:f>
        <x:v>0</x:v>
      </x:c>
      <x:c r="E30" s="111">
        <x:f>'REMUNERACION Reciprocidad EAAB'!E125</x:f>
        <x:v>0</x:v>
      </x:c>
      <x:c r="G30" s="336">
        <x:f>'REMUNERACION Reciprocidad EAAB'!G125</x:f>
        <x:v>0</x:v>
      </x:c>
      <x:c r="H30" s="310">
        <x:f>'REMUNERACION Reciprocidad EAAB'!H125</x:f>
        <x:v>0</x:v>
      </x:c>
      <x:c r="I30" s="309">
        <x:f>'REMUNERACION Reciprocidad EAAB'!I125</x:f>
        <x:v>0</x:v>
      </x:c>
      <x:c r="J30" s="309">
        <x:f>'REMUNERACION Reciprocidad EAAB'!J125</x:f>
        <x:v>0</x:v>
      </x:c>
      <x:c r="K30" s="309">
        <x:f>'REMUNERACION Reciprocidad EAAB'!K125</x:f>
        <x:v>0</x:v>
      </x:c>
      <x:c r="L30" s="309">
        <x:f>'REMUNERACION Reciprocidad EAAB'!L125</x:f>
        <x:v>0</x:v>
      </x:c>
      <x:c r="O30" s="44"/>
      <x:c r="Q30" s="4"/>
    </x:row>
    <x:row r="31" spans="1:35" x14ac:dyDescent="0.3">
      <x:c r="B31" s="16">
        <x:v>2</x:v>
      </x:c>
      <x:c r="C31" s="17" t="s">
        <x:v>11</x:v>
      </x:c>
      <x:c r="D31" s="15">
        <x:f>'REMUNERACION Reciprocidad EAAB'!D126</x:f>
        <x:v>0</x:v>
      </x:c>
      <x:c r="E31" s="74">
        <x:f>'REMUNERACION Reciprocidad EAAB'!E126</x:f>
        <x:v>0</x:v>
      </x:c>
      <x:c r="G31" s="339">
        <x:f>'REMUNERACION Reciprocidad EAAB'!G126</x:f>
        <x:v>0</x:v>
      </x:c>
      <x:c r="H31" s="340">
        <x:f>'REMUNERACION Reciprocidad EAAB'!H126</x:f>
        <x:v>0</x:v>
      </x:c>
      <x:c r="I31" s="288">
        <x:f>'REMUNERACION Reciprocidad EAAB'!I126</x:f>
        <x:v>0</x:v>
      </x:c>
      <x:c r="J31" s="288">
        <x:f>'REMUNERACION Reciprocidad EAAB'!J126</x:f>
        <x:v>0</x:v>
      </x:c>
      <x:c r="K31" s="288">
        <x:f>'REMUNERACION Reciprocidad EAAB'!K126</x:f>
        <x:v>0</x:v>
      </x:c>
      <x:c r="L31" s="288">
        <x:f>'REMUNERACION Reciprocidad EAAB'!L126</x:f>
        <x:v>0</x:v>
      </x:c>
      <x:c r="O31" s="44"/>
      <x:c r="Q31" s="4"/>
    </x:row>
    <x:row r="32" spans="1:35" x14ac:dyDescent="0.3">
      <x:c r="B32" s="16">
        <x:v>3</x:v>
      </x:c>
      <x:c r="C32" s="17" t="s">
        <x:v>12</x:v>
      </x:c>
      <x:c r="D32" s="15">
        <x:f>'REMUNERACION Reciprocidad EAAB'!D127</x:f>
        <x:v>0</x:v>
      </x:c>
      <x:c r="E32" s="74">
        <x:f>'REMUNERACION Reciprocidad EAAB'!E127</x:f>
        <x:v>0</x:v>
      </x:c>
      <x:c r="G32" s="339">
        <x:f>'REMUNERACION Reciprocidad EAAB'!G127</x:f>
        <x:v>0</x:v>
      </x:c>
      <x:c r="H32" s="340">
        <x:f>'REMUNERACION Reciprocidad EAAB'!H127</x:f>
        <x:v>0</x:v>
      </x:c>
      <x:c r="I32" s="288">
        <x:f>'REMUNERACION Reciprocidad EAAB'!I127</x:f>
        <x:v>0</x:v>
      </x:c>
      <x:c r="J32" s="288">
        <x:f>'REMUNERACION Reciprocidad EAAB'!J127</x:f>
        <x:v>0</x:v>
      </x:c>
      <x:c r="K32" s="288">
        <x:f>'REMUNERACION Reciprocidad EAAB'!K127</x:f>
        <x:v>0</x:v>
      </x:c>
      <x:c r="L32" s="288">
        <x:f>'REMUNERACION Reciprocidad EAAB'!L127</x:f>
        <x:v>0</x:v>
      </x:c>
      <x:c r="O32" s="44"/>
      <x:c r="Q32" s="4"/>
    </x:row>
    <x:row r="33" spans="1:20" x14ac:dyDescent="0.3">
      <x:c r="B33" s="16">
        <x:v>4</x:v>
      </x:c>
      <x:c r="C33" s="17" t="s">
        <x:v>13</x:v>
      </x:c>
      <x:c r="D33" s="15">
        <x:f>'REMUNERACION Reciprocidad EAAB'!D128</x:f>
        <x:v>0</x:v>
      </x:c>
      <x:c r="E33" s="74">
        <x:f>'REMUNERACION Reciprocidad EAAB'!E128</x:f>
        <x:v>0</x:v>
      </x:c>
      <x:c r="G33" s="339">
        <x:f>'REMUNERACION Reciprocidad EAAB'!G128</x:f>
        <x:v>0</x:v>
      </x:c>
      <x:c r="H33" s="340">
        <x:f>'REMUNERACION Reciprocidad EAAB'!H128</x:f>
        <x:v>0</x:v>
      </x:c>
      <x:c r="I33" s="288">
        <x:f>'REMUNERACION Reciprocidad EAAB'!I128</x:f>
        <x:v>0</x:v>
      </x:c>
      <x:c r="J33" s="288">
        <x:f>'REMUNERACION Reciprocidad EAAB'!J128</x:f>
        <x:v>0</x:v>
      </x:c>
      <x:c r="K33" s="288">
        <x:f>'REMUNERACION Reciprocidad EAAB'!K128</x:f>
        <x:v>0</x:v>
      </x:c>
      <x:c r="L33" s="288">
        <x:f>'REMUNERACION Reciprocidad EAAB'!L128</x:f>
        <x:v>0</x:v>
      </x:c>
      <x:c r="O33" s="44"/>
      <x:c r="Q33" s="4"/>
    </x:row>
    <x:row r="34" spans="1:20" x14ac:dyDescent="0.3">
      <x:c r="B34" s="133">
        <x:v>5</x:v>
      </x:c>
      <x:c r="C34" s="138" t="s">
        <x:v>14</x:v>
      </x:c>
      <x:c r="D34" s="135">
        <x:f>'REMUNERACION Reciprocidad EAAB'!D129</x:f>
        <x:v>0</x:v>
      </x:c>
      <x:c r="E34" s="139">
        <x:f>'REMUNERACION Reciprocidad EAAB'!E129</x:f>
        <x:v>0</x:v>
      </x:c>
      <x:c r="G34" s="339">
        <x:f>'REMUNERACION Reciprocidad EAAB'!G129</x:f>
        <x:v>0</x:v>
      </x:c>
      <x:c r="H34" s="340">
        <x:f>'REMUNERACION Reciprocidad EAAB'!H129</x:f>
        <x:v>0</x:v>
      </x:c>
      <x:c r="I34" s="288">
        <x:f>'REMUNERACION Reciprocidad EAAB'!I129</x:f>
        <x:v>0</x:v>
      </x:c>
      <x:c r="J34" s="288">
        <x:f>'REMUNERACION Reciprocidad EAAB'!J129</x:f>
        <x:v>0</x:v>
      </x:c>
      <x:c r="K34" s="288">
        <x:f>'REMUNERACION Reciprocidad EAAB'!K129</x:f>
        <x:v>0</x:v>
      </x:c>
      <x:c r="L34" s="288">
        <x:f>'REMUNERACION Reciprocidad EAAB'!L129</x:f>
        <x:v>0</x:v>
      </x:c>
      <x:c r="O34" s="44"/>
      <x:c r="Q34" s="4"/>
    </x:row>
    <x:row r="35" spans="1:20" ht="12" thickBot="1" x14ac:dyDescent="0.35">
      <x:c r="B35" s="19" t="s">
        <x:v>89</x:v>
      </x:c>
      <x:c r="C35" s="20" t="s">
        <x:v>113</x:v>
      </x:c>
      <x:c r="D35" s="78"/>
      <x:c r="E35" s="79">
        <x:f>'REMUNERACION Reciprocidad EAAB'!E130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" thickBot="1" x14ac:dyDescent="0.35">
      <x:c r="B36" s="95"/>
      <x:c r="C36" s="106" t="s">
        <x:v>2</x:v>
      </x:c>
      <x:c r="D36" s="107">
        <x:f>SUM(D30:D34)</x:f>
        <x:v>0</x:v>
      </x:c>
      <x:c r="E36" s="107">
        <x:f>'REMUNERACION Reciprocidad EAAB'!E131</x:f>
        <x:v>0</x:v>
      </x:c>
      <x:c r="F36" s="45"/>
      <x:c r="G36" s="350">
        <x:f t="shared" ref="G36:L36" si="5">SUM(G30:G34)</x:f>
        <x:v>0</x:v>
      </x:c>
      <x:c r="H36" s="350">
        <x:f t="shared" si="5"/>
        <x:v>0</x:v>
      </x:c>
      <x:c r="I36" s="350">
        <x:f t="shared" si="5"/>
        <x:v>0</x:v>
      </x:c>
      <x:c r="J36" s="350">
        <x:f t="shared" si="5"/>
        <x:v>0</x:v>
      </x:c>
      <x:c r="K36" s="350">
        <x:f t="shared" si="5"/>
        <x:v>0</x:v>
      </x:c>
      <x:c r="L36" s="350">
        <x:f t="shared" si="5"/>
        <x:v>0</x:v>
      </x:c>
      <x:c r="M36" s="45"/>
      <x:c r="N36" s="45"/>
      <x:c r="O36" s="46"/>
      <x:c r="P36" s="2"/>
      <x:c r="Q36" s="4"/>
    </x:row>
    <x:row r="37" spans="1:20" x14ac:dyDescent="0.3">
      <x:c r="B37" s="2"/>
      <x:c r="C37" s="2"/>
      <x:c r="D37" s="24"/>
      <x:c r="Q37" s="4"/>
    </x:row>
    <x:row r="38" spans="1:20" x14ac:dyDescent="0.3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3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3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3">
      <x:c r="N42" s="24"/>
      <x:c r="O42" s="24"/>
      <x:c r="Q42" s="24"/>
      <x:c r="T42" s="24"/>
    </x:row>
    <x:row r="43" spans="1:20" x14ac:dyDescent="0.3">
      <x:c r="N43" s="24"/>
      <x:c r="O43" s="24"/>
      <x:c r="Q43" s="24"/>
      <x:c r="T43" s="24"/>
    </x:row>
    <x:row r="44" spans="1:20" x14ac:dyDescent="0.3">
      <x:c r="D44" s="267" t="b">
        <x:f>D14='REMUNERACION Reciprocidad EAAB'!D109</x:f>
        <x:v>1</x:v>
      </x:c>
      <x:c r="E44" s="267" t="b">
        <x:f>E14='REMUNERACION Reciprocidad EAAB'!E109</x:f>
        <x:v>1</x:v>
      </x:c>
      <x:c r="F44" s="267" t="b">
        <x:f>F14='REMUNERACION Reciprocidad EAAB'!F109</x:f>
        <x:v>1</x:v>
      </x:c>
      <x:c r="G44" s="267" t="b">
        <x:f>G14='REMUNERACION Reciprocidad EAAB'!G109</x:f>
        <x:v>1</x:v>
      </x:c>
      <x:c r="H44" s="267" t="b">
        <x:f>H14='REMUNERACION Reciprocidad EAAB'!H109</x:f>
        <x:v>1</x:v>
      </x:c>
      <x:c r="I44" s="267" t="b">
        <x:f>I14='REMUNERACION Reciprocidad EAAB'!I109</x:f>
        <x:v>1</x:v>
      </x:c>
      <x:c r="J44" s="267" t="b">
        <x:f>J14='REMUNERACION Reciprocidad EAAB'!J109</x:f>
        <x:v>1</x:v>
      </x:c>
      <x:c r="K44" s="267" t="b">
        <x:f>K14='REMUNERACION Reciprocidad EAAB'!K109</x:f>
        <x:v>1</x:v>
      </x:c>
      <x:c r="L44" s="267" t="b">
        <x:f>L14='REMUNERACION Reciprocidad EAAB'!L109</x:f>
        <x:v>1</x:v>
      </x:c>
      <x:c r="M44" s="267" t="b">
        <x:f>M14='REMUNERACION Reciprocidad EAAB'!M109</x:f>
        <x:v>1</x:v>
      </x:c>
      <x:c r="N44" s="267" t="b">
        <x:f>N14='REMUNERACION Reciprocidad EAAB'!N109</x:f>
        <x:v>1</x:v>
      </x:c>
      <x:c r="O44" s="267" t="b">
        <x:f>O14='REMUNERACION Reciprocidad EAAB'!O109</x:f>
        <x:v>1</x:v>
      </x:c>
      <x:c r="Q44" s="24"/>
      <x:c r="T44" s="24"/>
    </x:row>
    <x:row r="45" spans="1:20" x14ac:dyDescent="0.3">
      <x:c r="D45" s="267" t="b">
        <x:f>D36='REMUNERACION Reciprocidad EAAB'!D131</x:f>
        <x:v>1</x:v>
      </x:c>
      <x:c r="E45" s="267" t="b">
        <x:f>E36='REMUNERACION Reciprocidad EAAB'!E131</x:f>
        <x:v>1</x:v>
      </x:c>
      <x:c r="F45" s="267" t="b">
        <x:f>F36='REMUNERACION Reciprocidad EAAB'!F131</x:f>
        <x:v>1</x:v>
      </x:c>
      <x:c r="G45" s="267" t="b">
        <x:f>G36='REMUNERACION Reciprocidad EAAB'!G131</x:f>
        <x:v>1</x:v>
      </x:c>
      <x:c r="H45" s="267" t="b">
        <x:f>H36='REMUNERACION Reciprocidad EAAB'!H131</x:f>
        <x:v>1</x:v>
      </x:c>
      <x:c r="I45" s="267" t="b">
        <x:f>I36='REMUNERACION Reciprocidad EAAB'!I131</x:f>
        <x:v>1</x:v>
      </x:c>
      <x:c r="J45" s="267" t="b">
        <x:f>J36='REMUNERACION Reciprocidad EAAB'!J131</x:f>
        <x:v>1</x:v>
      </x:c>
      <x:c r="K45" s="267" t="b">
        <x:f>K36='REMUNERACION Reciprocidad EAAB'!K131</x:f>
        <x:v>1</x:v>
      </x:c>
      <x:c r="L45" s="267" t="b">
        <x:f>L36='REMUNERACION Reciprocidad EAAB'!L131</x:f>
        <x:v>1</x:v>
      </x:c>
      <x:c r="M45" s="267" t="b">
        <x:f>M36='REMUNERACION Reciprocidad EAAB'!M131</x:f>
        <x:v>1</x:v>
      </x:c>
      <x:c r="N45" s="267" t="b">
        <x:f>N36='REMUNERACION Reciprocidad EAAB'!N131</x:f>
        <x:v>1</x:v>
      </x:c>
      <x:c r="O45" s="267" t="b">
        <x:f>O36='REMUNERACION Reciprocidad EAAB'!O131</x:f>
        <x:v>1</x:v>
      </x:c>
      <x:c r="Q45" s="24"/>
      <x:c r="T45" s="24"/>
    </x:row>
    <x:row r="46" spans="1:20" x14ac:dyDescent="0.3">
      <x:c r="N46" s="24"/>
      <x:c r="O46" s="24"/>
      <x:c r="Q46" s="24"/>
      <x:c r="T46" s="24"/>
    </x:row>
    <x:row r="47" spans="1:20" x14ac:dyDescent="0.3">
      <x:c r="N47" s="24"/>
      <x:c r="O47" s="24"/>
      <x:c r="Q47" s="24"/>
      <x:c r="T47" s="24"/>
    </x:row>
    <x:row r="48" spans="1:20" x14ac:dyDescent="0.3">
      <x:c r="N48" s="24"/>
      <x:c r="O48" s="24"/>
      <x:c r="Q48" s="24"/>
      <x:c r="T48" s="24"/>
    </x:row>
    <x:row r="49" spans="14:20" x14ac:dyDescent="0.3">
      <x:c r="N49" s="24"/>
      <x:c r="O49" s="24"/>
      <x:c r="Q49" s="24"/>
      <x:c r="T49" s="24"/>
    </x:row>
    <x:row r="50" spans="14:20" x14ac:dyDescent="0.3">
      <x:c r="N50" s="24"/>
      <x:c r="O50" s="24"/>
      <x:c r="Q50" s="24"/>
      <x:c r="T50" s="24"/>
    </x:row>
    <x:row r="51" spans="14:20" x14ac:dyDescent="0.3">
      <x:c r="Q51" s="24"/>
      <x:c r="T51" s="24"/>
    </x:row>
    <x:row r="52" spans="14:20" x14ac:dyDescent="0.3">
      <x:c r="Q52" s="24"/>
    </x:row>
  </x:sheetData>
  <x:conditionalFormatting sqref="AH9:AH14">
    <x:cfRule type="cellIs" dxfId="52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600-000000000000}" mc:Ignorable="x14ac xr xr2 xr3">
  <x:sheetPr>
    <x:tabColor rgb="FFFF0000"/>
    <x:pageSetUpPr fitToPage="1"/>
  </x:sheetPr>
  <x:dimension ref="A1:AJ156"/>
  <x:sheetViews>
    <x:sheetView topLeftCell="A114" zoomScaleNormal="100" workbookViewId="0">
      <x:selection activeCell="A124" sqref="A124"/>
    </x:sheetView>
  </x:sheetViews>
  <x:sheetFormatPr baseColWidth="10" defaultColWidth="11.3828125" defaultRowHeight="11.6" x14ac:dyDescent="0.3"/>
  <x:cols>
    <x:col min="1" max="1" width="3" style="1" customWidth="1"/>
    <x:col min="2" max="2" width="4.3828125" style="1" bestFit="1" customWidth="1"/>
    <x:col min="3" max="3" width="36.84375" style="1" customWidth="1"/>
    <x:col min="4" max="4" width="15.15234375" style="1" customWidth="1"/>
    <x:col min="5" max="5" width="16" style="1" customWidth="1"/>
    <x:col min="6" max="7" width="14.84375" style="1" customWidth="1"/>
    <x:col min="8" max="9" width="16" style="1" customWidth="1"/>
    <x:col min="10" max="10" width="15.53515625" style="1" customWidth="1"/>
    <x:col min="11" max="11" width="17.53515625" style="1" customWidth="1"/>
    <x:col min="12" max="12" width="19.84375" style="1" bestFit="1" customWidth="1"/>
    <x:col min="13" max="13" width="21" style="1" bestFit="1" customWidth="1"/>
    <x:col min="14" max="14" width="15.15234375" style="1" customWidth="1"/>
    <x:col min="15" max="15" width="16.84375" style="1" customWidth="1"/>
    <x:col min="16" max="16" width="3.84375" style="1" customWidth="1"/>
    <x:col min="17" max="17" width="2.84375" style="1" customWidth="1"/>
    <x:col min="18" max="18" width="4.53515625" style="1" customWidth="1"/>
    <x:col min="19" max="19" width="11.15234375" style="1" customWidth="1"/>
    <x:col min="20" max="20" width="37.53515625" style="1" bestFit="1" customWidth="1"/>
    <x:col min="21" max="21" width="19.15234375" style="1" customWidth="1"/>
    <x:col min="22" max="22" width="17.84375" style="1" customWidth="1"/>
    <x:col min="23" max="23" width="16.3828125" style="1" customWidth="1"/>
    <x:col min="24" max="24" width="17.15234375" style="1" customWidth="1"/>
    <x:col min="25" max="25" width="15.84375" style="1" customWidth="1"/>
    <x:col min="26" max="26" width="16" style="1" customWidth="1"/>
    <x:col min="27" max="27" width="15" style="1" customWidth="1"/>
    <x:col min="28" max="29" width="16.84375" style="1" customWidth="1"/>
    <x:col min="30" max="31" width="15.3828125" style="1" customWidth="1"/>
    <x:col min="32" max="32" width="16.15234375" style="1" customWidth="1"/>
    <x:col min="33" max="33" width="18.15234375" style="1" customWidth="1"/>
    <x:col min="34" max="34" width="13.84375" style="1" customWidth="1"/>
    <x:col min="35" max="35" width="3.3828125" style="1" customWidth="1"/>
    <x:col min="36" max="36" width="13.84375" style="1" bestFit="1" customWidth="1"/>
    <x:col min="37" max="16384" width="11.3828125" style="1"/>
  </x:cols>
  <x:sheetData>
    <x:row r="1" spans="1:35" ht="12" thickBot="1" x14ac:dyDescent="0.35">
      <x:c r="A1" s="241"/>
      <x:c r="Q1" s="4"/>
      <x:c r="AI1" s="4"/>
    </x:row>
    <x:row r="2" spans="1:35" x14ac:dyDescent="0.3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4.15" x14ac:dyDescent="0.3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2026101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2026101</x:v>
      </x:c>
      <x:c r="AE3" s="84"/>
      <x:c r="AF3" s="48"/>
      <x:c r="AG3" s="2"/>
      <x:c r="AI3" s="4"/>
    </x:row>
    <x:row r="4" spans="1:35" ht="15.45" x14ac:dyDescent="0.4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4.15" x14ac:dyDescent="0.3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45" x14ac:dyDescent="0.4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" thickBot="1" x14ac:dyDescent="0.3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3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x14ac:dyDescent="0.3">
      <x:c r="B9" s="303">
        <x:v>1</x:v>
      </x:c>
      <x:c r="C9" s="304" t="s">
        <x:v>10</x:v>
      </x:c>
      <x:c r="D9" s="291">
        <x:f>'Reporte Componentes R1'!F85</x:f>
        <x:v>0</x:v>
      </x:c>
      <x:c r="E9" s="292">
        <x:f>'Reporte Componentes R1'!G85</x:f>
        <x:v>0</x:v>
      </x:c>
      <x:c r="F9" s="292">
        <x:f>'Reporte Componentes R1'!H85</x:f>
        <x:v>0</x:v>
      </x:c>
      <x:c r="G9" s="292">
        <x:f>'Reporte Componentes R1'!I85</x:f>
        <x:v>0</x:v>
      </x:c>
      <x:c r="H9" s="292">
        <x:f>'Reporte Componentes R1'!J85</x:f>
        <x:v>0</x:v>
      </x:c>
      <x:c r="I9" s="292">
        <x:f>'Reporte Componentes R1'!K85</x:f>
        <x:v>0</x:v>
      </x:c>
      <x:c r="J9" s="292">
        <x:f>'CONSOLIDADO_TOTAL RECAUDO'!J9</x:f>
        <x:v>0</x:v>
      </x:c>
      <x:c r="K9" s="293">
        <x:f>D9-E9-F9-G9-H9-I9-J9</x:f>
        <x:v>0</x:v>
      </x:c>
      <x:c r="L9" s="294">
        <x:f>'CONSOLIDADO_TOTAL RECAUDO'!L9</x:f>
        <x:v>189185988</x:v>
      </x:c>
      <x:c r="M9" s="293">
        <x:f>K9-L9</x:f>
        <x:v>-189185988</x:v>
      </x:c>
      <x:c r="N9" s="294">
        <x:f>'Reporte Componentes R1'!L85</x:f>
        <x:v>0</x:v>
      </x:c>
      <x:c r="O9" s="293">
        <x:f>M9+N9</x:f>
        <x:v>-189185988</x:v>
      </x:c>
      <x:c r="Q9" s="306"/>
      <x:c r="S9" s="303">
        <x:v>1</x:v>
      </x:c>
      <x:c r="T9" s="304" t="s">
        <x:v>10</x:v>
      </x:c>
      <x:c r="U9" s="307">
        <x:f>'Reporte Componentes R1'!M85</x:f>
        <x:v>0</x:v>
      </x:c>
      <x:c r="V9" s="308">
        <x:f>'Reporte Componentes R1'!N85</x:f>
        <x:v>0</x:v>
      </x:c>
      <x:c r="W9" s="308">
        <x:f>'Reporte Componentes R1'!O85</x:f>
        <x:v>0</x:v>
      </x:c>
      <x:c r="X9" s="308">
        <x:f>'Reporte Componentes R1'!P85</x:f>
        <x:v>0</x:v>
      </x:c>
      <x:c r="Y9" s="309">
        <x:f>'Reporte Componentes R1'!Q85</x:f>
        <x:v>0</x:v>
      </x:c>
      <x:c r="Z9" s="310">
        <x:f>L9*-1</x:f>
        <x:v>-189185988</x:v>
      </x:c>
      <x:c r="AA9" s="311">
        <x:f>'Reporte Componentes R1'!R85+'Reporte Componentes R1'!V85+'Reporte Componentes R1'!U85</x:f>
        <x:v>0</x:v>
      </x:c>
      <x:c r="AB9" s="294">
        <x:f>N9</x:f>
        <x:v>0</x:v>
      </x:c>
      <x:c r="AC9" s="311">
        <x:f>'Reporte Componentes R1'!T85+'Reporte Componentes R1'!W85+'Reporte Componentes R1'!X85+'Reporte Componentes R1'!Y85+'Reporte Componentes R1'!Z85+'Reporte Componentes R1'!S85</x:f>
        <x:v>0</x:v>
      </x:c>
      <x:c r="AD9" s="291">
        <x:f>-J9+AE9</x:f>
        <x:v>0</x:v>
      </x:c>
      <x:c r="AE9" s="291">
        <x:f>'Reporte Componentes R1'!F86</x:f>
        <x:v>0</x:v>
      </x:c>
      <x:c r="AF9" s="313">
        <x:f>SUM(U9:AD9)</x:f>
        <x:v>-189185988</x:v>
      </x:c>
      <x:c r="AG9" s="311">
        <x:f>(AF9-O9)</x:f>
        <x:v>0</x:v>
      </x:c>
      <x:c r="AH9" s="1" t="b">
        <x:f>INT(AG9)=0</x:f>
        <x:v>1</x:v>
      </x:c>
      <x:c r="AI9" s="306"/>
    </x:row>
    <x:row r="10" spans="1:35" s="305" customFormat="1" x14ac:dyDescent="0.3">
      <x:c r="B10" s="314">
        <x:v>2</x:v>
      </x:c>
      <x:c r="C10" s="315" t="s">
        <x:v>11</x:v>
      </x:c>
      <x:c r="D10" s="291">
        <x:f>'Reporte Componentes R1'!F264</x:f>
        <x:v>0</x:v>
      </x:c>
      <x:c r="E10" s="292">
        <x:f>'Reporte Componentes R1'!G264</x:f>
        <x:v>0</x:v>
      </x:c>
      <x:c r="F10" s="292">
        <x:f>'Reporte Componentes R1'!H264</x:f>
        <x:v>0</x:v>
      </x:c>
      <x:c r="G10" s="292">
        <x:f>'Reporte Componentes R1'!I264</x:f>
        <x:v>0</x:v>
      </x:c>
      <x:c r="H10" s="292">
        <x:f>'Reporte Componentes R1'!J264</x:f>
        <x:v>0</x:v>
      </x:c>
      <x:c r="I10" s="292">
        <x:f>'Reporte Componentes R1'!K264</x:f>
        <x:v>0</x:v>
      </x:c>
      <x:c r="J10" s="292">
        <x:f>'CONSOLIDADO_TOTAL RECAUDO'!J10</x:f>
        <x:v>0</x:v>
      </x:c>
      <x:c r="K10" s="295">
        <x:f>D10-E10-F10-G10-H10-I10-J10</x:f>
        <x:v>0</x:v>
      </x:c>
      <x:c r="L10" s="294">
        <x:f>'CONSOLIDADO_TOTAL RECAUDO'!L10</x:f>
        <x:v>266580256</x:v>
      </x:c>
      <x:c r="M10" s="295">
        <x:f>K10-L10</x:f>
        <x:v>-266580256</x:v>
      </x:c>
      <x:c r="N10" s="294">
        <x:f>'Reporte Componentes R1'!L264</x:f>
        <x:v>0</x:v>
      </x:c>
      <x:c r="O10" s="295">
        <x:f t="shared" ref="O10:O12" si="0">M10+N10</x:f>
        <x:v>-266580256</x:v>
      </x:c>
      <x:c r="Q10" s="306"/>
      <x:c r="S10" s="314">
        <x:v>2</x:v>
      </x:c>
      <x:c r="T10" s="315" t="s">
        <x:v>11</x:v>
      </x:c>
      <x:c r="U10" s="316">
        <x:f>'Reporte Componentes R1'!M264</x:f>
        <x:v>0</x:v>
      </x:c>
      <x:c r="V10" s="317">
        <x:f>'Reporte Componentes R1'!N264</x:f>
        <x:v>0</x:v>
      </x:c>
      <x:c r="W10" s="317">
        <x:f>'Reporte Componentes R1'!O264</x:f>
        <x:v>0</x:v>
      </x:c>
      <x:c r="X10" s="317">
        <x:f>'Reporte Componentes R1'!P264</x:f>
        <x:v>0</x:v>
      </x:c>
      <x:c r="Y10" s="318">
        <x:f>'Reporte Componentes R1'!Q264</x:f>
        <x:v>0</x:v>
      </x:c>
      <x:c r="Z10" s="319">
        <x:f>L10*-1</x:f>
        <x:v>-266580256</x:v>
      </x:c>
      <x:c r="AA10" s="320">
        <x:f>'Reporte Componentes R1'!R264+'Reporte Componentes R1'!V264+'Reporte Componentes R1'!U264</x:f>
        <x:v>0</x:v>
      </x:c>
      <x:c r="AB10" s="294">
        <x:f>N10</x:f>
        <x:v>0</x:v>
      </x:c>
      <x:c r="AC10" s="320">
        <x:f>'Reporte Componentes R1'!T264+'Reporte Componentes R1'!W264+'Reporte Componentes R1'!X264+'Reporte Componentes R1'!Y264+'Reporte Componentes R1'!Z264+'Reporte Componentes R1'!S264</x:f>
        <x:v>0</x:v>
      </x:c>
      <x:c r="AD10" s="291">
        <x:f t="shared" ref="AD10:AD13" si="1">-J10+AE10</x:f>
        <x:v>0</x:v>
      </x:c>
      <x:c r="AE10" s="291">
        <x:f>'Reporte Componentes R1'!F265</x:f>
        <x:v>0</x:v>
      </x:c>
      <x:c r="AF10" s="322">
        <x:f>SUM(U10:AD10)</x:f>
        <x:v>-266580256</x:v>
      </x:c>
      <x:c r="AG10" s="323">
        <x:f>(AF10-O10)</x:f>
        <x:v>0</x:v>
      </x:c>
      <x:c r="AH10" s="1" t="b">
        <x:f t="shared" ref="AH10:AH14" si="2">INT(AG10)=0</x:f>
        <x:v>1</x:v>
      </x:c>
      <x:c r="AI10" s="306"/>
    </x:row>
    <x:row r="11" spans="1:35" s="305" customFormat="1" x14ac:dyDescent="0.3">
      <x:c r="B11" s="314">
        <x:v>3</x:v>
      </x:c>
      <x:c r="C11" s="315" t="s">
        <x:v>12</x:v>
      </x:c>
      <x:c r="D11" s="291">
        <x:f>'Reporte Componentes R1'!F425</x:f>
        <x:v>0</x:v>
      </x:c>
      <x:c r="E11" s="292">
        <x:f>'Reporte Componentes R1'!G425</x:f>
        <x:v>0</x:v>
      </x:c>
      <x:c r="F11" s="292">
        <x:f>'Reporte Componentes R1'!H425</x:f>
        <x:v>0</x:v>
      </x:c>
      <x:c r="G11" s="292">
        <x:f>'Reporte Componentes R1'!I425</x:f>
        <x:v>0</x:v>
      </x:c>
      <x:c r="H11" s="292">
        <x:f>'Reporte Componentes R1'!J425</x:f>
        <x:v>0</x:v>
      </x:c>
      <x:c r="I11" s="292">
        <x:f>'Reporte Componentes R1'!K425</x:f>
        <x:v>0</x:v>
      </x:c>
      <x:c r="J11" s="292">
        <x:f>'CONSOLIDADO_TOTAL RECAUDO'!J11</x:f>
        <x:v>0</x:v>
      </x:c>
      <x:c r="K11" s="295">
        <x:f t="shared" ref="K11:K13" si="3">D11-E11-F11-G11-H11-I11-J11</x:f>
        <x:v>0</x:v>
      </x:c>
      <x:c r="L11" s="294">
        <x:f>'CONSOLIDADO_TOTAL RECAUDO'!L11</x:f>
        <x:v>154788536</x:v>
      </x:c>
      <x:c r="M11" s="295">
        <x:f>K11-L11</x:f>
        <x:v>-154788536</x:v>
      </x:c>
      <x:c r="N11" s="294">
        <x:f>'Reporte Componentes R1'!L425</x:f>
        <x:v>0</x:v>
      </x:c>
      <x:c r="O11" s="295">
        <x:f t="shared" si="0"/>
        <x:v>-154788536</x:v>
      </x:c>
      <x:c r="Q11" s="306"/>
      <x:c r="S11" s="314">
        <x:v>3</x:v>
      </x:c>
      <x:c r="T11" s="315" t="s">
        <x:v>12</x:v>
      </x:c>
      <x:c r="U11" s="316">
        <x:f>'Reporte Componentes R1'!M425</x:f>
        <x:v>0</x:v>
      </x:c>
      <x:c r="V11" s="317">
        <x:f>'Reporte Componentes R1'!N425</x:f>
        <x:v>0</x:v>
      </x:c>
      <x:c r="W11" s="317">
        <x:f>'Reporte Componentes R1'!O425</x:f>
        <x:v>0</x:v>
      </x:c>
      <x:c r="X11" s="317">
        <x:f>'Reporte Componentes R1'!P425</x:f>
        <x:v>0</x:v>
      </x:c>
      <x:c r="Y11" s="318">
        <x:f>'Reporte Componentes R1'!Q425</x:f>
        <x:v>0</x:v>
      </x:c>
      <x:c r="Z11" s="319">
        <x:f>L11*-1</x:f>
        <x:v>-154788536</x:v>
      </x:c>
      <x:c r="AA11" s="320">
        <x:f>'Reporte Componentes R1'!R425+'Reporte Componentes R1'!V425+'Reporte Componentes R1'!U425</x:f>
        <x:v>0</x:v>
      </x:c>
      <x:c r="AB11" s="294">
        <x:f>N11</x:f>
        <x:v>0</x:v>
      </x:c>
      <x:c r="AC11" s="320">
        <x:f>'Reporte Componentes R1'!T425+'Reporte Componentes R1'!W425+'Reporte Componentes R1'!X425+'Reporte Componentes R1'!Y425+'Reporte Componentes R1'!Z425+'Reporte Componentes R1'!S425</x:f>
        <x:v>0</x:v>
      </x:c>
      <x:c r="AD11" s="291">
        <x:f t="shared" si="1"/>
        <x:v>0</x:v>
      </x:c>
      <x:c r="AE11" s="291">
        <x:f>'Reporte Componentes R1'!F426</x:f>
        <x:v>0</x:v>
      </x:c>
      <x:c r="AF11" s="322">
        <x:f t="shared" ref="AF11:AF13" si="4">SUM(U11:AD11)</x:f>
        <x:v>-154788536</x:v>
      </x:c>
      <x:c r="AG11" s="323">
        <x:f>(AF11-O11)</x:f>
        <x:v>0</x:v>
      </x:c>
      <x:c r="AH11" s="1" t="b">
        <x:f t="shared" si="2"/>
        <x:v>1</x:v>
      </x:c>
      <x:c r="AI11" s="306"/>
    </x:row>
    <x:row r="12" spans="1:35" s="305" customFormat="1" x14ac:dyDescent="0.3">
      <x:c r="B12" s="314">
        <x:v>4</x:v>
      </x:c>
      <x:c r="C12" s="315" t="s">
        <x:v>13</x:v>
      </x:c>
      <x:c r="D12" s="291">
        <x:f>'Reporte Componentes R1'!F578</x:f>
        <x:v>0</x:v>
      </x:c>
      <x:c r="E12" s="292">
        <x:f>'Reporte Componentes R1'!G578</x:f>
        <x:v>0</x:v>
      </x:c>
      <x:c r="F12" s="292">
        <x:f>'Reporte Componentes R1'!H578</x:f>
        <x:v>0</x:v>
      </x:c>
      <x:c r="G12" s="292">
        <x:f>'Reporte Componentes R1'!I578</x:f>
        <x:v>0</x:v>
      </x:c>
      <x:c r="H12" s="292">
        <x:f>'Reporte Componentes R1'!J578</x:f>
        <x:v>0</x:v>
      </x:c>
      <x:c r="I12" s="292">
        <x:f>'Reporte Componentes R1'!K578</x:f>
        <x:v>0</x:v>
      </x:c>
      <x:c r="J12" s="292">
        <x:f>'CONSOLIDADO_TOTAL RECAUDO'!J12</x:f>
        <x:v>0</x:v>
      </x:c>
      <x:c r="K12" s="295">
        <x:f>D12-E12-F12-G12-H12-I12-J12</x:f>
        <x:v>0</x:v>
      </x:c>
      <x:c r="L12" s="294">
        <x:f>'CONSOLIDADO_TOTAL RECAUDO'!L12</x:f>
        <x:v>120391083</x:v>
      </x:c>
      <x:c r="M12" s="295">
        <x:f>K12-L12</x:f>
        <x:v>-120391083</x:v>
      </x:c>
      <x:c r="N12" s="294">
        <x:f>'Reporte Componentes R1'!L578</x:f>
        <x:v>0</x:v>
      </x:c>
      <x:c r="O12" s="295">
        <x:f t="shared" si="0"/>
        <x:v>-120391083</x:v>
      </x:c>
      <x:c r="Q12" s="306"/>
      <x:c r="S12" s="314">
        <x:v>4</x:v>
      </x:c>
      <x:c r="T12" s="315" t="s">
        <x:v>13</x:v>
      </x:c>
      <x:c r="U12" s="316">
        <x:f>'Reporte Componentes R1'!M578</x:f>
        <x:v>0</x:v>
      </x:c>
      <x:c r="V12" s="317">
        <x:f>'Reporte Componentes R1'!N578</x:f>
        <x:v>0</x:v>
      </x:c>
      <x:c r="W12" s="317">
        <x:f>'Reporte Componentes R1'!O578</x:f>
        <x:v>0</x:v>
      </x:c>
      <x:c r="X12" s="317">
        <x:f>'Reporte Componentes R1'!P578</x:f>
        <x:v>0</x:v>
      </x:c>
      <x:c r="Y12" s="318">
        <x:f>'Reporte Componentes R1'!Q578</x:f>
        <x:v>0</x:v>
      </x:c>
      <x:c r="Z12" s="319">
        <x:f>L12*-1</x:f>
        <x:v>-120391083</x:v>
      </x:c>
      <x:c r="AA12" s="320">
        <x:f>'Reporte Componentes R1'!R578+'Reporte Componentes R1'!V578+'Reporte Componentes R1'!U578</x:f>
        <x:v>0</x:v>
      </x:c>
      <x:c r="AB12" s="294">
        <x:f>N12</x:f>
        <x:v>0</x:v>
      </x:c>
      <x:c r="AC12" s="320">
        <x:f>'Reporte Componentes R1'!T578+'Reporte Componentes R1'!W578+'Reporte Componentes R1'!X578+'Reporte Componentes R1'!Y578+'Reporte Componentes R1'!Z578+'Reporte Componentes R1'!S578</x:f>
        <x:v>0</x:v>
      </x:c>
      <x:c r="AD12" s="291">
        <x:f t="shared" si="1"/>
        <x:v>0</x:v>
      </x:c>
      <x:c r="AE12" s="291">
        <x:f>'Reporte Componentes R1'!F579</x:f>
        <x:v>0</x:v>
      </x:c>
      <x:c r="AF12" s="322">
        <x:f t="shared" si="4"/>
        <x:v>-120391083</x:v>
      </x:c>
      <x:c r="AG12" s="323">
        <x:f>(AF12-O12)</x:f>
        <x:v>0</x:v>
      </x:c>
      <x:c r="AH12" s="1" t="b">
        <x:f t="shared" si="2"/>
        <x:v>1</x:v>
      </x:c>
      <x:c r="AI12" s="306"/>
    </x:row>
    <x:row r="13" spans="1:35" s="305" customFormat="1" ht="12" thickBot="1" x14ac:dyDescent="0.35">
      <x:c r="B13" s="324">
        <x:v>5</x:v>
      </x:c>
      <x:c r="C13" s="325" t="s">
        <x:v>14</x:v>
      </x:c>
      <x:c r="D13" s="296">
        <x:f>'Reporte Componentes R1'!F690</x:f>
        <x:v>0</x:v>
      </x:c>
      <x:c r="E13" s="297">
        <x:f>'Reporte Componentes R1'!G690</x:f>
        <x:v>0</x:v>
      </x:c>
      <x:c r="F13" s="297">
        <x:f>'Reporte Componentes R1'!H690</x:f>
        <x:v>0</x:v>
      </x:c>
      <x:c r="G13" s="297">
        <x:f>'Reporte Componentes R1'!I690</x:f>
        <x:v>0</x:v>
      </x:c>
      <x:c r="H13" s="297">
        <x:f>'Reporte Componentes R1'!J690</x:f>
        <x:v>0</x:v>
      </x:c>
      <x:c r="I13" s="297">
        <x:f>'Reporte Componentes R1'!K690</x:f>
        <x:v>0</x:v>
      </x:c>
      <x:c r="J13" s="292">
        <x:f>'CONSOLIDADO_TOTAL RECAUDO'!J13</x:f>
        <x:v>0</x:v>
      </x:c>
      <x:c r="K13" s="295">
        <x:f t="shared" si="3"/>
        <x:v>0</x:v>
      </x:c>
      <x:c r="L13" s="294">
        <x:f>'CONSOLIDADO_TOTAL RECAUDO'!L13</x:f>
        <x:v>128990446</x:v>
      </x:c>
      <x:c r="M13" s="298">
        <x:f>K13-L13</x:f>
        <x:v>-128990446</x:v>
      </x:c>
      <x:c r="N13" s="299">
        <x:f>'Reporte Componentes R1'!L690</x:f>
        <x:v>0</x:v>
      </x:c>
      <x:c r="O13" s="298">
        <x:f>M13+N13</x:f>
        <x:v>-128990446</x:v>
      </x:c>
      <x:c r="Q13" s="306"/>
      <x:c r="S13" s="324">
        <x:v>5</x:v>
      </x:c>
      <x:c r="T13" s="325" t="s">
        <x:v>14</x:v>
      </x:c>
      <x:c r="U13" s="296">
        <x:f>'Reporte Componentes R1'!M690</x:f>
        <x:v>0</x:v>
      </x:c>
      <x:c r="V13" s="297">
        <x:f>'Reporte Componentes R1'!N690</x:f>
        <x:v>0</x:v>
      </x:c>
      <x:c r="W13" s="297">
        <x:f>'Reporte Componentes R1'!O690</x:f>
        <x:v>0</x:v>
      </x:c>
      <x:c r="X13" s="297">
        <x:f>'Reporte Componentes R1'!P690</x:f>
        <x:v>0</x:v>
      </x:c>
      <x:c r="Y13" s="289">
        <x:f>'Reporte Componentes R1'!Q690</x:f>
        <x:v>0</x:v>
      </x:c>
      <x:c r="Z13" s="319">
        <x:f>L13*-1</x:f>
        <x:v>-128990446</x:v>
      </x:c>
      <x:c r="AA13" s="320">
        <x:f>'Reporte Componentes R1'!R690+'Reporte Componentes R1'!V690+'Reporte Componentes R1'!U690</x:f>
        <x:v>0</x:v>
      </x:c>
      <x:c r="AB13" s="294">
        <x:f>N13</x:f>
        <x:v>0</x:v>
      </x:c>
      <x:c r="AC13" s="320">
        <x:f>'Reporte Componentes R1'!T690+'Reporte Componentes R1'!W690+'Reporte Componentes R1'!X690+'Reporte Componentes R1'!Y690+'Reporte Componentes R1'!Z690+'Reporte Componentes R1'!S690</x:f>
        <x:v>0</x:v>
      </x:c>
      <x:c r="AD13" s="291">
        <x:f t="shared" si="1"/>
        <x:v>0</x:v>
      </x:c>
      <x:c r="AE13" s="291">
        <x:f>'Reporte Componentes R1'!F691</x:f>
        <x:v>0</x:v>
      </x:c>
      <x:c r="AF13" s="322">
        <x:f t="shared" si="4"/>
        <x:v>-128990446</x:v>
      </x:c>
      <x:c r="AG13" s="326">
        <x:f>(AF13-O13)</x:f>
        <x:v>0</x:v>
      </x:c>
      <x:c r="AH13" s="1" t="b">
        <x:f t="shared" si="2"/>
        <x:v>1</x:v>
      </x:c>
      <x:c r="AI13" s="306"/>
    </x:row>
    <x:row r="14" spans="1:35" s="305" customFormat="1" ht="12.9" thickBot="1" x14ac:dyDescent="0.3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859936309</x:v>
      </x:c>
      <x:c r="M14" s="302">
        <x:f t="shared" si="5"/>
        <x:v>-859936309</x:v>
      </x:c>
      <x:c r="N14" s="301">
        <x:f t="shared" si="5"/>
        <x:v>0</x:v>
      </x:c>
      <x:c r="O14" s="302">
        <x:f t="shared" si="5"/>
        <x:v>-859936309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-859936309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-859936309</x:v>
      </x:c>
      <x:c r="AG14" s="332">
        <x:f>SUM(AG9:AG13)</x:f>
        <x:v>0</x:v>
      </x:c>
      <x:c r="AH14" s="1" t="b">
        <x:f t="shared" si="2"/>
        <x:v>1</x:v>
      </x:c>
      <x:c r="AI14" s="306"/>
    </x:row>
    <x:row r="15" spans="1:35" ht="12" thickBot="1" x14ac:dyDescent="0.3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" thickBot="1" x14ac:dyDescent="0.3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" thickBot="1" x14ac:dyDescent="0.3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3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1"/>
      <x:c r="K18" s="24"/>
      <x:c r="L18" s="24"/>
      <x:c r="M18" s="24"/>
      <x:c r="N18" s="24"/>
      <x:c r="O18" s="24"/>
      <x:c r="Q18" s="4"/>
      <x:c r="AI18" s="4"/>
    </x:row>
    <x:row r="19" spans="1:35" x14ac:dyDescent="0.3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35">
      <x:c r="Q20" s="4"/>
      <x:c r="AI20" s="4"/>
    </x:row>
    <x:row r="21" spans="1:35" x14ac:dyDescent="0.3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4.15" x14ac:dyDescent="0.3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2026101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2026101</x:v>
      </x:c>
      <x:c r="AE22" s="84"/>
      <x:c r="AF22" s="48"/>
      <x:c r="AG22" s="2"/>
      <x:c r="AI22" s="4"/>
    </x:row>
    <x:row r="23" spans="1:35" ht="15.45" x14ac:dyDescent="0.4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4.15" x14ac:dyDescent="0.3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45" x14ac:dyDescent="0.4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" thickBot="1" x14ac:dyDescent="0.3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3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ht="12" thickBot="1" x14ac:dyDescent="0.35">
      <x:c r="B28" s="303">
        <x:v>1</x:v>
      </x:c>
      <x:c r="C28" s="304" t="s">
        <x:v>10</x:v>
      </x:c>
      <x:c r="D28" s="291">
        <x:f>'Rem. Anticipos R2'!E53</x:f>
        <x:v>0</x:v>
      </x:c>
      <x:c r="E28" s="292">
        <x:f>'Rem. Anticipos R2'!F53</x:f>
        <x:v>0</x:v>
      </x:c>
      <x:c r="F28" s="292">
        <x:f>'Rem. Anticipos R2'!G53</x:f>
        <x:v>0</x:v>
      </x:c>
      <x:c r="G28" s="292">
        <x:f>'Rem. Anticipos R2'!H53</x:f>
        <x:v>0</x:v>
      </x:c>
      <x:c r="H28" s="292">
        <x:f>'Rem. Anticipos R2'!I53</x:f>
        <x:v>0</x:v>
      </x:c>
      <x:c r="I28" s="292">
        <x:f>'Rem. Anticipos R2'!J53</x:f>
        <x:v>0</x:v>
      </x:c>
      <x:c r="J28" s="289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R2'!K53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R2'!L53</x:f>
        <x:v>0</x:v>
      </x:c>
      <x:c r="V28" s="308">
        <x:f>'Rem. Anticipos R2'!M53</x:f>
        <x:v>0</x:v>
      </x:c>
      <x:c r="W28" s="308">
        <x:f>'Rem. Anticipos R2'!N53</x:f>
        <x:v>0</x:v>
      </x:c>
      <x:c r="X28" s="308">
        <x:f>'Rem. Anticipos R2'!O53</x:f>
        <x:v>0</x:v>
      </x:c>
      <x:c r="Y28" s="309">
        <x:f>'Rem. Anticipos R2'!P53</x:f>
        <x:v>0</x:v>
      </x:c>
      <x:c r="Z28" s="310">
        <x:f>L28*-1</x:f>
        <x:v>0</x:v>
      </x:c>
      <x:c r="AA28" s="311">
        <x:f>'Rem. Anticipos R2'!Q53</x:f>
        <x:v>0</x:v>
      </x:c>
      <x:c r="AB28" s="294">
        <x:f>N28</x:f>
        <x:v>0</x:v>
      </x:c>
      <x:c r="AC28" s="311">
        <x:f>'Rem. Anticipos R2'!R53</x:f>
        <x:v>0</x:v>
      </x:c>
      <x:c r="AD28" s="291">
        <x:f>-J28+AE28</x:f>
        <x:v>0</x:v>
      </x:c>
      <x:c r="AE28" s="291">
        <x:f>'Rem. Anticipos R2'!E54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3">
      <x:c r="B29" s="314">
        <x:v>2</x:v>
      </x:c>
      <x:c r="C29" s="315" t="s">
        <x:v>11</x:v>
      </x:c>
      <x:c r="D29" s="291">
        <x:f>'Rem. Anticipos R2'!E161</x:f>
        <x:v>0</x:v>
      </x:c>
      <x:c r="E29" s="292">
        <x:f>'Rem. Anticipos R2'!F161</x:f>
        <x:v>0</x:v>
      </x:c>
      <x:c r="F29" s="292">
        <x:f>'Rem. Anticipos R2'!G161</x:f>
        <x:v>0</x:v>
      </x:c>
      <x:c r="G29" s="292">
        <x:f>'Rem. Anticipos R2'!H161</x:f>
        <x:v>0</x:v>
      </x:c>
      <x:c r="H29" s="292">
        <x:f>'Rem. Anticipos R2'!I161</x:f>
        <x:v>0</x:v>
      </x:c>
      <x:c r="I29" s="292">
        <x:f>'Rem. Anticipos R2'!J161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R2'!K161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R2'!L161</x:f>
        <x:v>0</x:v>
      </x:c>
      <x:c r="V29" s="317">
        <x:f>'Rem. Anticipos R2'!M161</x:f>
        <x:v>0</x:v>
      </x:c>
      <x:c r="W29" s="317">
        <x:f>'Rem. Anticipos R2'!N161</x:f>
        <x:v>0</x:v>
      </x:c>
      <x:c r="X29" s="317">
        <x:f>'Rem. Anticipos R2'!O161</x:f>
        <x:v>0</x:v>
      </x:c>
      <x:c r="Y29" s="318">
        <x:f>'Rem. Anticipos R2'!P161</x:f>
        <x:v>0</x:v>
      </x:c>
      <x:c r="Z29" s="319">
        <x:f>L29*-1</x:f>
        <x:v>0</x:v>
      </x:c>
      <x:c r="AA29" s="320">
        <x:f>'Rem. Anticipos R2'!Q161</x:f>
        <x:v>0</x:v>
      </x:c>
      <x:c r="AB29" s="294">
        <x:f>N29</x:f>
        <x:v>0</x:v>
      </x:c>
      <x:c r="AC29" s="320">
        <x:f>'Rem. Anticipos R2'!R161</x:f>
        <x:v>0</x:v>
      </x:c>
      <x:c r="AD29" s="291">
        <x:f>-J29+AE29</x:f>
        <x:v>0</x:v>
      </x:c>
      <x:c r="AE29" s="291">
        <x:f>'Rem. Anticipos R2'!E162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x14ac:dyDescent="0.3">
      <x:c r="B30" s="314">
        <x:v>3</x:v>
      </x:c>
      <x:c r="C30" s="315" t="s">
        <x:v>12</x:v>
      </x:c>
      <x:c r="D30" s="291">
        <x:f>'Rem. Anticipos R2'!E279</x:f>
        <x:v>0</x:v>
      </x:c>
      <x:c r="E30" s="292">
        <x:f>'Rem. Anticipos R2'!F279</x:f>
        <x:v>0</x:v>
      </x:c>
      <x:c r="F30" s="292">
        <x:f>'Rem. Anticipos R2'!G279</x:f>
        <x:v>0</x:v>
      </x:c>
      <x:c r="G30" s="292">
        <x:f>'Rem. Anticipos R2'!H279</x:f>
        <x:v>0</x:v>
      </x:c>
      <x:c r="H30" s="292">
        <x:f>'Rem. Anticipos R2'!I279</x:f>
        <x:v>0</x:v>
      </x:c>
      <x:c r="I30" s="292">
        <x:f>'Rem. Anticipos R2'!J279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R2'!K279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R2'!L279</x:f>
        <x:v>0</x:v>
      </x:c>
      <x:c r="V30" s="317">
        <x:f>'Rem. Anticipos R2'!M279</x:f>
        <x:v>0</x:v>
      </x:c>
      <x:c r="W30" s="317">
        <x:f>'Rem. Anticipos R2'!N279</x:f>
        <x:v>0</x:v>
      </x:c>
      <x:c r="X30" s="317">
        <x:f>'Rem. Anticipos R2'!O279</x:f>
        <x:v>0</x:v>
      </x:c>
      <x:c r="Y30" s="318">
        <x:f>'Rem. Anticipos R2'!P279</x:f>
        <x:v>0</x:v>
      </x:c>
      <x:c r="Z30" s="319">
        <x:f>L30*-1</x:f>
        <x:v>0</x:v>
      </x:c>
      <x:c r="AA30" s="320">
        <x:f>'Rem. Anticipos R2'!Q279</x:f>
        <x:v>0</x:v>
      </x:c>
      <x:c r="AB30" s="294">
        <x:f>N30</x:f>
        <x:v>0</x:v>
      </x:c>
      <x:c r="AC30" s="320">
        <x:f>'Rem. Anticipos R2'!R279</x:f>
        <x:v>0</x:v>
      </x:c>
      <x:c r="AD30" s="291">
        <x:f t="shared" ref="AD30:AD32" si="10">-J30+AE30</x:f>
        <x:v>0</x:v>
      </x:c>
      <x:c r="AE30" s="291">
        <x:f>'Rem. Anticipos R2'!E280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x14ac:dyDescent="0.3">
      <x:c r="B31" s="314">
        <x:v>4</x:v>
      </x:c>
      <x:c r="C31" s="315" t="s">
        <x:v>13</x:v>
      </x:c>
      <x:c r="D31" s="291">
        <x:f>'Rem. Anticipos R2'!E390</x:f>
        <x:v>0</x:v>
      </x:c>
      <x:c r="E31" s="292">
        <x:f>'Rem. Anticipos R2'!F390</x:f>
        <x:v>0</x:v>
      </x:c>
      <x:c r="F31" s="292">
        <x:f>'Rem. Anticipos R2'!G390</x:f>
        <x:v>0</x:v>
      </x:c>
      <x:c r="G31" s="292">
        <x:f>'Rem. Anticipos R2'!H390</x:f>
        <x:v>0</x:v>
      </x:c>
      <x:c r="H31" s="292">
        <x:f>'Rem. Anticipos R2'!I390</x:f>
        <x:v>0</x:v>
      </x:c>
      <x:c r="I31" s="292">
        <x:f>'Rem. Anticipos R2'!J390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R2'!K390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R2'!L390</x:f>
        <x:v>0</x:v>
      </x:c>
      <x:c r="V31" s="317">
        <x:f>'Rem. Anticipos R2'!M390</x:f>
        <x:v>0</x:v>
      </x:c>
      <x:c r="W31" s="317">
        <x:f>'Rem. Anticipos R2'!N390</x:f>
        <x:v>0</x:v>
      </x:c>
      <x:c r="X31" s="317">
        <x:f>'Rem. Anticipos R2'!O390</x:f>
        <x:v>0</x:v>
      </x:c>
      <x:c r="Y31" s="318">
        <x:f>'Rem. Anticipos R2'!P390</x:f>
        <x:v>0</x:v>
      </x:c>
      <x:c r="Z31" s="319">
        <x:f>L31*-1</x:f>
        <x:v>0</x:v>
      </x:c>
      <x:c r="AA31" s="320">
        <x:f>'Rem. Anticipos R2'!Q390</x:f>
        <x:v>0</x:v>
      </x:c>
      <x:c r="AB31" s="294">
        <x:f>N31</x:f>
        <x:v>0</x:v>
      </x:c>
      <x:c r="AC31" s="320">
        <x:f>'Rem. Anticipos R2'!R390</x:f>
        <x:v>0</x:v>
      </x:c>
      <x:c r="AD31" s="291">
        <x:f t="shared" si="10"/>
        <x:v>0</x:v>
      </x:c>
      <x:c r="AE31" s="291">
        <x:f>'Rem. Anticipos R2'!E391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9"/>
        <x:v>1</x:v>
      </x:c>
      <x:c r="AI31" s="306"/>
    </x:row>
    <x:row r="32" spans="1:35" s="305" customFormat="1" ht="12" thickBot="1" x14ac:dyDescent="0.35">
      <x:c r="B32" s="324">
        <x:v>5</x:v>
      </x:c>
      <x:c r="C32" s="325" t="s">
        <x:v>14</x:v>
      </x:c>
      <x:c r="D32" s="296">
        <x:f>'Rem. Anticipos R2'!E474</x:f>
        <x:v>0</x:v>
      </x:c>
      <x:c r="E32" s="297">
        <x:f>'Rem. Anticipos R2'!F474</x:f>
        <x:v>0</x:v>
      </x:c>
      <x:c r="F32" s="297">
        <x:f>'Rem. Anticipos R2'!G474</x:f>
        <x:v>0</x:v>
      </x:c>
      <x:c r="G32" s="297">
        <x:f>'Rem. Anticipos R2'!H474</x:f>
        <x:v>0</x:v>
      </x:c>
      <x:c r="H32" s="297">
        <x:f>'Rem. Anticipos R2'!I474</x:f>
        <x:v>0</x:v>
      </x:c>
      <x:c r="I32" s="297">
        <x:f>'Rem. Anticipos R2'!J474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R2'!K474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R2'!L474</x:f>
        <x:v>0</x:v>
      </x:c>
      <x:c r="V32" s="297">
        <x:f>'Rem. Anticipos R2'!M474</x:f>
        <x:v>0</x:v>
      </x:c>
      <x:c r="W32" s="297">
        <x:f>'Rem. Anticipos R2'!N474</x:f>
        <x:v>0</x:v>
      </x:c>
      <x:c r="X32" s="297">
        <x:f>'Rem. Anticipos R2'!O474</x:f>
        <x:v>0</x:v>
      </x:c>
      <x:c r="Y32" s="289">
        <x:f>'Rem. Anticipos R2'!P474</x:f>
        <x:v>0</x:v>
      </x:c>
      <x:c r="Z32" s="319">
        <x:f>L32*-1</x:f>
        <x:v>0</x:v>
      </x:c>
      <x:c r="AA32" s="320">
        <x:f>'Rem. Anticipos R2'!Q474</x:f>
        <x:v>0</x:v>
      </x:c>
      <x:c r="AB32" s="294">
        <x:f>N32</x:f>
        <x:v>0</x:v>
      </x:c>
      <x:c r="AC32" s="320">
        <x:f>'Rem. Anticipos R2'!R474</x:f>
        <x:v>0</x:v>
      </x:c>
      <x:c r="AD32" s="291">
        <x:f t="shared" si="10"/>
        <x:v>0</x:v>
      </x:c>
      <x:c r="AE32" s="291">
        <x:f>'Rem. Anticipos R2'!E475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9"/>
        <x:v>1</x:v>
      </x:c>
      <x:c r="AI32" s="306"/>
    </x:row>
    <x:row r="33" spans="1:35" s="305" customFormat="1" ht="12.9" thickBot="1" x14ac:dyDescent="0.3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9"/>
        <x:v>1</x:v>
      </x:c>
      <x:c r="AI33" s="306"/>
    </x:row>
    <x:row r="34" spans="1:35" ht="12" thickBot="1" x14ac:dyDescent="0.3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" thickBot="1" x14ac:dyDescent="0.3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" thickBot="1" x14ac:dyDescent="0.3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3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3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35">
      <x:c r="Q39" s="4"/>
      <x:c r="AI39" s="4"/>
    </x:row>
    <x:row r="40" spans="1:35" x14ac:dyDescent="0.3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4.15" x14ac:dyDescent="0.3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2026101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2026101</x:v>
      </x:c>
      <x:c r="AE41" s="84"/>
      <x:c r="AF41" s="48"/>
      <x:c r="AG41" s="2"/>
      <x:c r="AI41" s="4"/>
    </x:row>
    <x:row r="42" spans="1:35" ht="15.45" x14ac:dyDescent="0.4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4.15" x14ac:dyDescent="0.3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45" x14ac:dyDescent="0.4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" thickBot="1" x14ac:dyDescent="0.3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3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ht="12" thickBot="1" x14ac:dyDescent="0.35">
      <x:c r="B47" s="303">
        <x:v>1</x:v>
      </x:c>
      <x:c r="C47" s="304" t="s">
        <x:v>10</x:v>
      </x:c>
      <x:c r="D47" s="291">
        <x:f>'Reporte Componentes R1'!F87</x:f>
        <x:v>0</x:v>
      </x:c>
      <x:c r="E47" s="292">
        <x:f>'Reporte Componentes R1'!G87</x:f>
        <x:v>0</x:v>
      </x:c>
      <x:c r="F47" s="292">
        <x:f>'Reporte Componentes R1'!H87</x:f>
        <x:v>0</x:v>
      </x:c>
      <x:c r="G47" s="292">
        <x:f>'Reporte Componentes R1'!I87</x:f>
        <x:v>0</x:v>
      </x:c>
      <x:c r="H47" s="292">
        <x:f>'Reporte Componentes R1'!J87</x:f>
        <x:v>0</x:v>
      </x:c>
      <x:c r="I47" s="292">
        <x:f>'Reporte Componentes R1'!K87</x:f>
        <x:v>0</x:v>
      </x:c>
      <x:c r="J47" s="289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R1'!L87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R1'!M87</x:f>
        <x:v>0</x:v>
      </x:c>
      <x:c r="V47" s="308">
        <x:f>'Reporte Componentes R1'!N87</x:f>
        <x:v>0</x:v>
      </x:c>
      <x:c r="W47" s="308">
        <x:f>'Reporte Componentes R1'!O87</x:f>
        <x:v>0</x:v>
      </x:c>
      <x:c r="X47" s="308">
        <x:f>'Reporte Componentes R1'!P87</x:f>
        <x:v>0</x:v>
      </x:c>
      <x:c r="Y47" s="309">
        <x:f>'Reporte Componentes R1'!Q87</x:f>
        <x:v>0</x:v>
      </x:c>
      <x:c r="Z47" s="310">
        <x:f>-L47</x:f>
        <x:v>0</x:v>
      </x:c>
      <x:c r="AA47" s="320">
        <x:f>'Reporte Componentes R1'!R87+'Reporte Componentes R1'!V87+'Reporte Componentes R1'!U87</x:f>
        <x:v>0</x:v>
      </x:c>
      <x:c r="AB47" s="294">
        <x:f>N47</x:f>
        <x:v>0</x:v>
      </x:c>
      <x:c r="AC47" s="311">
        <x:f>'Reporte Componentes R1'!T87+'Reporte Componentes R1'!W87+'Reporte Componentes R1'!X87+'Reporte Componentes R1'!Y87+'Reporte Componentes R1'!Z87+'Reporte Componentes R1'!S87</x:f>
        <x:v>0</x:v>
      </x:c>
      <x:c r="AD47" s="291">
        <x:f>-J47+AE47</x:f>
        <x:v>0</x:v>
      </x:c>
      <x:c r="AE47" s="291">
        <x:f>'Reporte Componentes R1'!F88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x14ac:dyDescent="0.3">
      <x:c r="B48" s="314">
        <x:v>2</x:v>
      </x:c>
      <x:c r="C48" s="315" t="s">
        <x:v>11</x:v>
      </x:c>
      <x:c r="D48" s="291">
        <x:f>'Reporte Componentes R1'!F266</x:f>
        <x:v>0</x:v>
      </x:c>
      <x:c r="E48" s="292">
        <x:f>'Reporte Componentes R1'!G266</x:f>
        <x:v>0</x:v>
      </x:c>
      <x:c r="F48" s="292">
        <x:f>'Reporte Componentes R1'!H266</x:f>
        <x:v>0</x:v>
      </x:c>
      <x:c r="G48" s="292">
        <x:f>'Reporte Componentes R1'!I266</x:f>
        <x:v>0</x:v>
      </x:c>
      <x:c r="H48" s="292">
        <x:f>'Reporte Componentes R1'!J266</x:f>
        <x:v>0</x:v>
      </x:c>
      <x:c r="I48" s="292">
        <x:f>'Reporte Componentes R1'!K266</x:f>
        <x:v>0</x:v>
      </x:c>
      <x:c r="J48" s="288">
        <x:v>0</x:v>
      </x:c>
      <x:c r="K48" s="295">
        <x:f t="shared" ref="K48:K51" si="15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R1'!L266</x:f>
        <x:v>0</x:v>
      </x:c>
      <x:c r="O48" s="295">
        <x:f t="shared" ref="O48:O51" si="16">M48+N48</x:f>
        <x:v>0</x:v>
      </x:c>
      <x:c r="Q48" s="306"/>
      <x:c r="S48" s="314">
        <x:v>2</x:v>
      </x:c>
      <x:c r="T48" s="315" t="s">
        <x:v>11</x:v>
      </x:c>
      <x:c r="U48" s="316">
        <x:f>'Reporte Componentes R1'!M266</x:f>
        <x:v>0</x:v>
      </x:c>
      <x:c r="V48" s="317">
        <x:f>'Reporte Componentes R1'!N266</x:f>
        <x:v>0</x:v>
      </x:c>
      <x:c r="W48" s="317">
        <x:f>'Reporte Componentes R1'!O266</x:f>
        <x:v>0</x:v>
      </x:c>
      <x:c r="X48" s="317">
        <x:f>'Reporte Componentes R1'!P266</x:f>
        <x:v>0</x:v>
      </x:c>
      <x:c r="Y48" s="318">
        <x:f>'Reporte Componentes R1'!Q266</x:f>
        <x:v>0</x:v>
      </x:c>
      <x:c r="Z48" s="319">
        <x:f>-L48</x:f>
        <x:v>0</x:v>
      </x:c>
      <x:c r="AA48" s="320">
        <x:f>'Reporte Componentes R1'!R266+'Reporte Componentes R1'!V266+'Reporte Componentes R1'!U266</x:f>
        <x:v>0</x:v>
      </x:c>
      <x:c r="AB48" s="294">
        <x:f>N48</x:f>
        <x:v>0</x:v>
      </x:c>
      <x:c r="AC48" s="320">
        <x:f>'Reporte Componentes R1'!T266+'Reporte Componentes R1'!W266+'Reporte Componentes R1'!X266+'Reporte Componentes R1'!Y266+'Reporte Componentes R1'!Z266+'Reporte Componentes R1'!S266</x:f>
        <x:v>0</x:v>
      </x:c>
      <x:c r="AD48" s="291">
        <x:f t="shared" ref="AD48:AD51" si="17">-J48+AE48</x:f>
        <x:v>0</x:v>
      </x:c>
      <x:c r="AE48" s="291">
        <x:f>'Reporte Componentes R1'!F267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8">INT(AG48)=0</x:f>
        <x:v>1</x:v>
      </x:c>
      <x:c r="AI48" s="306"/>
    </x:row>
    <x:row r="49" spans="1:35" s="305" customFormat="1" x14ac:dyDescent="0.3">
      <x:c r="B49" s="314">
        <x:v>3</x:v>
      </x:c>
      <x:c r="C49" s="315" t="s">
        <x:v>12</x:v>
      </x:c>
      <x:c r="D49" s="291">
        <x:f>'Reporte Componentes R1'!F427</x:f>
        <x:v>0</x:v>
      </x:c>
      <x:c r="E49" s="292">
        <x:f>'Reporte Componentes R1'!G427</x:f>
        <x:v>0</x:v>
      </x:c>
      <x:c r="F49" s="292">
        <x:f>'Reporte Componentes R1'!H427</x:f>
        <x:v>0</x:v>
      </x:c>
      <x:c r="G49" s="292">
        <x:f>'Reporte Componentes R1'!I427</x:f>
        <x:v>0</x:v>
      </x:c>
      <x:c r="H49" s="292">
        <x:f>'Reporte Componentes R1'!J427</x:f>
        <x:v>0</x:v>
      </x:c>
      <x:c r="I49" s="292">
        <x:f>'Reporte Componentes R1'!K427</x:f>
        <x:v>0</x:v>
      </x:c>
      <x:c r="J49" s="288">
        <x:v>0</x:v>
      </x:c>
      <x:c r="K49" s="295">
        <x:f t="shared" si="15"/>
        <x:v>0</x:v>
      </x:c>
      <x:c r="L49" s="294">
        <x:v>0</x:v>
      </x:c>
      <x:c r="M49" s="295">
        <x:f>K49-L49</x:f>
        <x:v>0</x:v>
      </x:c>
      <x:c r="N49" s="294">
        <x:f>'Reporte Componentes R1'!L427</x:f>
        <x:v>0</x:v>
      </x:c>
      <x:c r="O49" s="295">
        <x:f t="shared" si="16"/>
        <x:v>0</x:v>
      </x:c>
      <x:c r="Q49" s="306"/>
      <x:c r="S49" s="314">
        <x:v>3</x:v>
      </x:c>
      <x:c r="T49" s="315" t="s">
        <x:v>12</x:v>
      </x:c>
      <x:c r="U49" s="316">
        <x:f>'Reporte Componentes R1'!M427</x:f>
        <x:v>0</x:v>
      </x:c>
      <x:c r="V49" s="317">
        <x:f>'Reporte Componentes R1'!N427</x:f>
        <x:v>0</x:v>
      </x:c>
      <x:c r="W49" s="317">
        <x:f>'Reporte Componentes R1'!O427</x:f>
        <x:v>0</x:v>
      </x:c>
      <x:c r="X49" s="317">
        <x:f>'Reporte Componentes R1'!P427</x:f>
        <x:v>0</x:v>
      </x:c>
      <x:c r="Y49" s="318">
        <x:f>'Reporte Componentes R1'!Q427</x:f>
        <x:v>0</x:v>
      </x:c>
      <x:c r="Z49" s="319">
        <x:f>-L49</x:f>
        <x:v>0</x:v>
      </x:c>
      <x:c r="AA49" s="320">
        <x:f>'Reporte Componentes R1'!R427+'Reporte Componentes R1'!V427+'Reporte Componentes R1'!U427</x:f>
        <x:v>0</x:v>
      </x:c>
      <x:c r="AB49" s="294">
        <x:f>N49</x:f>
        <x:v>0</x:v>
      </x:c>
      <x:c r="AC49" s="320">
        <x:f>'Reporte Componentes R1'!T427+'Reporte Componentes R1'!W427+'Reporte Componentes R1'!X427+'Reporte Componentes R1'!Y427+'Reporte Componentes R1'!Z427+'Reporte Componentes R1'!S427</x:f>
        <x:v>0</x:v>
      </x:c>
      <x:c r="AD49" s="291">
        <x:f t="shared" si="17"/>
        <x:v>0</x:v>
      </x:c>
      <x:c r="AE49" s="291">
        <x:f>'Reporte Componentes R1'!F428</x:f>
        <x:v>0</x:v>
      </x:c>
      <x:c r="AF49" s="322">
        <x:f t="shared" ref="AF49:AF51" si="19">SUM(U49:AD49)</x:f>
        <x:v>0</x:v>
      </x:c>
      <x:c r="AG49" s="323">
        <x:f t="shared" ref="AG49:AG51" si="20">(AF49-O49)</x:f>
        <x:v>0</x:v>
      </x:c>
      <x:c r="AH49" s="1" t="b">
        <x:f t="shared" si="18"/>
        <x:v>1</x:v>
      </x:c>
      <x:c r="AI49" s="306"/>
    </x:row>
    <x:row r="50" spans="1:35" s="305" customFormat="1" x14ac:dyDescent="0.3">
      <x:c r="B50" s="314">
        <x:v>4</x:v>
      </x:c>
      <x:c r="C50" s="315" t="s">
        <x:v>13</x:v>
      </x:c>
      <x:c r="D50" s="291">
        <x:f>'Reporte Componentes R1'!F580</x:f>
        <x:v>0</x:v>
      </x:c>
      <x:c r="E50" s="292">
        <x:f>'Reporte Componentes R1'!G580</x:f>
        <x:v>0</x:v>
      </x:c>
      <x:c r="F50" s="292">
        <x:f>'Reporte Componentes R1'!H580</x:f>
        <x:v>0</x:v>
      </x:c>
      <x:c r="G50" s="292">
        <x:f>'Reporte Componentes R1'!I580</x:f>
        <x:v>0</x:v>
      </x:c>
      <x:c r="H50" s="292">
        <x:f>'Reporte Componentes R1'!J580</x:f>
        <x:v>0</x:v>
      </x:c>
      <x:c r="I50" s="292">
        <x:f>'Reporte Componentes R1'!K580</x:f>
        <x:v>0</x:v>
      </x:c>
      <x:c r="J50" s="288">
        <x:v>0</x:v>
      </x:c>
      <x:c r="K50" s="295">
        <x:f t="shared" si="15"/>
        <x:v>0</x:v>
      </x:c>
      <x:c r="L50" s="294">
        <x:v>0</x:v>
      </x:c>
      <x:c r="M50" s="295">
        <x:f>K50-L50</x:f>
        <x:v>0</x:v>
      </x:c>
      <x:c r="N50" s="294">
        <x:f>'Reporte Componentes R1'!L580</x:f>
        <x:v>0</x:v>
      </x:c>
      <x:c r="O50" s="295">
        <x:f t="shared" si="16"/>
        <x:v>0</x:v>
      </x:c>
      <x:c r="Q50" s="306"/>
      <x:c r="S50" s="314">
        <x:v>4</x:v>
      </x:c>
      <x:c r="T50" s="315" t="s">
        <x:v>13</x:v>
      </x:c>
      <x:c r="U50" s="316">
        <x:f>'Reporte Componentes R1'!M580</x:f>
        <x:v>0</x:v>
      </x:c>
      <x:c r="V50" s="317">
        <x:f>'Reporte Componentes R1'!N580</x:f>
        <x:v>0</x:v>
      </x:c>
      <x:c r="W50" s="317">
        <x:f>'Reporte Componentes R1'!O580</x:f>
        <x:v>0</x:v>
      </x:c>
      <x:c r="X50" s="317">
        <x:f>'Reporte Componentes R1'!P580</x:f>
        <x:v>0</x:v>
      </x:c>
      <x:c r="Y50" s="318">
        <x:f>'Reporte Componentes R1'!Q580</x:f>
        <x:v>0</x:v>
      </x:c>
      <x:c r="Z50" s="319">
        <x:f>-L50</x:f>
        <x:v>0</x:v>
      </x:c>
      <x:c r="AA50" s="320">
        <x:f>'Reporte Componentes R1'!R580+'Reporte Componentes R1'!V580+'Reporte Componentes R1'!U580</x:f>
        <x:v>0</x:v>
      </x:c>
      <x:c r="AB50" s="294">
        <x:f>N50</x:f>
        <x:v>0</x:v>
      </x:c>
      <x:c r="AC50" s="320">
        <x:f>'Reporte Componentes R1'!T580+'Reporte Componentes R1'!W580+'Reporte Componentes R1'!X580+'Reporte Componentes R1'!Y580+'Reporte Componentes R1'!Z580+'Reporte Componentes R1'!S580</x:f>
        <x:v>0</x:v>
      </x:c>
      <x:c r="AD50" s="291">
        <x:f t="shared" si="17"/>
        <x:v>0</x:v>
      </x:c>
      <x:c r="AE50" s="291">
        <x:f>'Reporte Componentes R1'!F581</x:f>
        <x:v>0</x:v>
      </x:c>
      <x:c r="AF50" s="322">
        <x:f t="shared" si="19"/>
        <x:v>0</x:v>
      </x:c>
      <x:c r="AG50" s="323">
        <x:f t="shared" si="20"/>
        <x:v>0</x:v>
      </x:c>
      <x:c r="AH50" s="1" t="b">
        <x:f t="shared" si="18"/>
        <x:v>1</x:v>
      </x:c>
      <x:c r="AI50" s="306"/>
    </x:row>
    <x:row r="51" spans="1:35" s="305" customFormat="1" ht="12" thickBot="1" x14ac:dyDescent="0.35">
      <x:c r="B51" s="324">
        <x:v>5</x:v>
      </x:c>
      <x:c r="C51" s="325" t="s">
        <x:v>14</x:v>
      </x:c>
      <x:c r="D51" s="296">
        <x:f>'Reporte Componentes R1'!F692</x:f>
        <x:v>0</x:v>
      </x:c>
      <x:c r="E51" s="297">
        <x:f>'Reporte Componentes R1'!G692</x:f>
        <x:v>0</x:v>
      </x:c>
      <x:c r="F51" s="297">
        <x:f>'Reporte Componentes R1'!H692</x:f>
        <x:v>0</x:v>
      </x:c>
      <x:c r="G51" s="297">
        <x:f>'Reporte Componentes R1'!I692</x:f>
        <x:v>0</x:v>
      </x:c>
      <x:c r="H51" s="297">
        <x:f>'Reporte Componentes R1'!J692</x:f>
        <x:v>0</x:v>
      </x:c>
      <x:c r="I51" s="297">
        <x:f>'Reporte Componentes R1'!K692</x:f>
        <x:v>0</x:v>
      </x:c>
      <x:c r="J51" s="289">
        <x:v>0</x:v>
      </x:c>
      <x:c r="K51" s="295">
        <x:f t="shared" si="15"/>
        <x:v>0</x:v>
      </x:c>
      <x:c r="L51" s="294">
        <x:v>0</x:v>
      </x:c>
      <x:c r="M51" s="298">
        <x:f>K51-L51</x:f>
        <x:v>0</x:v>
      </x:c>
      <x:c r="N51" s="299">
        <x:f>'Reporte Componentes R1'!L692</x:f>
        <x:v>0</x:v>
      </x:c>
      <x:c r="O51" s="298">
        <x:f t="shared" si="16"/>
        <x:v>0</x:v>
      </x:c>
      <x:c r="Q51" s="306"/>
      <x:c r="S51" s="324">
        <x:v>5</x:v>
      </x:c>
      <x:c r="T51" s="325" t="s">
        <x:v>14</x:v>
      </x:c>
      <x:c r="U51" s="296">
        <x:f>'Reporte Componentes R1'!M692</x:f>
        <x:v>0</x:v>
      </x:c>
      <x:c r="V51" s="297">
        <x:f>'Reporte Componentes R1'!N692</x:f>
        <x:v>0</x:v>
      </x:c>
      <x:c r="W51" s="297">
        <x:f>'Reporte Componentes R1'!O692</x:f>
        <x:v>0</x:v>
      </x:c>
      <x:c r="X51" s="297">
        <x:f>'Reporte Componentes R1'!P692</x:f>
        <x:v>0</x:v>
      </x:c>
      <x:c r="Y51" s="289">
        <x:f>'Reporte Componentes R1'!Q692</x:f>
        <x:v>0</x:v>
      </x:c>
      <x:c r="Z51" s="319">
        <x:f>-L51</x:f>
        <x:v>0</x:v>
      </x:c>
      <x:c r="AA51" s="320">
        <x:f>'Reporte Componentes R1'!R692+'Reporte Componentes R1'!V692+'Reporte Componentes R1'!U692</x:f>
        <x:v>0</x:v>
      </x:c>
      <x:c r="AB51" s="294">
        <x:f>N51</x:f>
        <x:v>0</x:v>
      </x:c>
      <x:c r="AC51" s="320">
        <x:f>'Reporte Componentes R1'!T692+'Reporte Componentes R1'!W692+'Reporte Componentes R1'!X692+'Reporte Componentes R1'!Y692+'Reporte Componentes R1'!Z692+'Reporte Componentes R1'!S692</x:f>
        <x:v>0</x:v>
      </x:c>
      <x:c r="AD51" s="291">
        <x:f t="shared" si="17"/>
        <x:v>0</x:v>
      </x:c>
      <x:c r="AE51" s="291">
        <x:f>'Reporte Componentes R1'!F693</x:f>
        <x:v>0</x:v>
      </x:c>
      <x:c r="AF51" s="322">
        <x:f t="shared" si="19"/>
        <x:v>0</x:v>
      </x:c>
      <x:c r="AG51" s="326">
        <x:f t="shared" si="20"/>
        <x:v>0</x:v>
      </x:c>
      <x:c r="AH51" s="1" t="b">
        <x:f t="shared" si="18"/>
        <x:v>1</x:v>
      </x:c>
      <x:c r="AI51" s="306"/>
    </x:row>
    <x:row r="52" spans="1:35" s="305" customFormat="1" ht="12.9" thickBot="1" x14ac:dyDescent="0.35">
      <x:c r="B52" s="327"/>
      <x:c r="C52" s="328" t="s">
        <x:v>2</x:v>
      </x:c>
      <x:c r="D52" s="290">
        <x:f t="shared" ref="D52:O52" si="21">SUM(D47:D51)</x:f>
        <x:v>0</x:v>
      </x:c>
      <x:c r="E52" s="290">
        <x:f t="shared" si="21"/>
        <x:v>0</x:v>
      </x:c>
      <x:c r="F52" s="290">
        <x:f t="shared" si="21"/>
        <x:v>0</x:v>
      </x:c>
      <x:c r="G52" s="290">
        <x:f t="shared" ref="G52" si="22">SUM(G47:G51)</x:f>
        <x:v>0</x:v>
      </x:c>
      <x:c r="H52" s="290">
        <x:f t="shared" si="21"/>
        <x:v>0</x:v>
      </x:c>
      <x:c r="I52" s="290">
        <x:f t="shared" si="21"/>
        <x:v>0</x:v>
      </x:c>
      <x:c r="J52" s="290">
        <x:f t="shared" si="21"/>
        <x:v>0</x:v>
      </x:c>
      <x:c r="K52" s="300">
        <x:f t="shared" si="21"/>
        <x:v>0</x:v>
      </x:c>
      <x:c r="L52" s="301">
        <x:f t="shared" si="21"/>
        <x:v>0</x:v>
      </x:c>
      <x:c r="M52" s="302">
        <x:f t="shared" si="21"/>
        <x:v>0</x:v>
      </x:c>
      <x:c r="N52" s="301">
        <x:f t="shared" si="21"/>
        <x:v>0</x:v>
      </x:c>
      <x:c r="O52" s="302">
        <x:f t="shared" si="21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3">SUM(V47:V51)</x:f>
        <x:v>0</x:v>
      </x:c>
      <x:c r="W52" s="330">
        <x:f t="shared" si="23"/>
        <x:v>0</x:v>
      </x:c>
      <x:c r="X52" s="330">
        <x:f t="shared" si="23"/>
        <x:v>0</x:v>
      </x:c>
      <x:c r="Y52" s="330">
        <x:f t="shared" si="23"/>
        <x:v>0</x:v>
      </x:c>
      <x:c r="Z52" s="290">
        <x:f t="shared" si="23"/>
        <x:v>0</x:v>
      </x:c>
      <x:c r="AA52" s="290">
        <x:f t="shared" si="23"/>
        <x:v>0</x:v>
      </x:c>
      <x:c r="AB52" s="290">
        <x:f t="shared" si="23"/>
        <x:v>0</x:v>
      </x:c>
      <x:c r="AC52" s="290">
        <x:f t="shared" si="23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3"/>
        <x:v>0</x:v>
      </x:c>
      <x:c r="AG52" s="332">
        <x:f t="shared" si="23"/>
        <x:v>0</x:v>
      </x:c>
      <x:c r="AH52" s="1" t="b">
        <x:f t="shared" si="18"/>
        <x:v>1</x:v>
      </x:c>
      <x:c r="AI52" s="306"/>
    </x:row>
    <x:row r="53" spans="1:35" ht="12" thickBot="1" x14ac:dyDescent="0.3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" thickBot="1" x14ac:dyDescent="0.3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" thickBot="1" x14ac:dyDescent="0.3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3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3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35">
      <x:c r="Q58" s="4"/>
      <x:c r="AI58" s="4"/>
    </x:row>
    <x:row r="59" spans="1:35" x14ac:dyDescent="0.3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4.15" x14ac:dyDescent="0.3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2026101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2026101</x:v>
      </x:c>
      <x:c r="AE60" s="84"/>
      <x:c r="AF60" s="48"/>
      <x:c r="AG60" s="2"/>
      <x:c r="AI60" s="4"/>
    </x:row>
    <x:row r="61" spans="1:35" ht="15.45" x14ac:dyDescent="0.4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4.15" x14ac:dyDescent="0.3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45" x14ac:dyDescent="0.4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" thickBot="1" x14ac:dyDescent="0.3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3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x14ac:dyDescent="0.3">
      <x:c r="B66" s="303">
        <x:v>1</x:v>
      </x:c>
      <x:c r="C66" s="304" t="s">
        <x:v>10</x:v>
      </x:c>
      <x:c r="D66" s="291">
        <x:f>'Reversion Pagos R4'!D79</x:f>
        <x:v>0</x:v>
      </x:c>
      <x:c r="E66" s="292">
        <x:f>'Reversion Pagos R4'!E79</x:f>
        <x:v>0</x:v>
      </x:c>
      <x:c r="F66" s="292">
        <x:f>'Reversion Pagos R4'!F79</x:f>
        <x:v>0</x:v>
      </x:c>
      <x:c r="G66" s="292">
        <x:f>'Reversion Pagos R4'!G79</x:f>
        <x:v>0</x:v>
      </x:c>
      <x:c r="H66" s="292">
        <x:f>'Reversion Pagos R4'!H79</x:f>
        <x:v>0</x:v>
      </x:c>
      <x:c r="I66" s="292">
        <x:f>'Reversion Pagos R4'!I79</x:f>
        <x:v>0</x:v>
      </x:c>
      <x:c r="J66" s="309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R4'!P79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R4'!J79</x:f>
        <x:v>0</x:v>
      </x:c>
      <x:c r="V66" s="308">
        <x:f>'Reversion Pagos R4'!K79</x:f>
        <x:v>0</x:v>
      </x:c>
      <x:c r="W66" s="308">
        <x:f>'Reversion Pagos R4'!L79</x:f>
        <x:v>0</x:v>
      </x:c>
      <x:c r="X66" s="308">
        <x:f>'Reversion Pagos R4'!M79</x:f>
        <x:v>0</x:v>
      </x:c>
      <x:c r="Y66" s="309">
        <x:f>'Reversion Pagos R4'!N79</x:f>
        <x:v>0</x:v>
      </x:c>
      <x:c r="Z66" s="310">
        <x:f>-L66</x:f>
        <x:v>0</x:v>
      </x:c>
      <x:c r="AA66" s="311">
        <x:f>+'Reversion Pagos R4'!O79</x:f>
        <x:v>0</x:v>
      </x:c>
      <x:c r="AB66" s="294">
        <x:f>N66</x:f>
        <x:v>0</x:v>
      </x:c>
      <x:c r="AC66" s="311">
        <x:f>+'Reversion Pagos R4'!Q79+'Reversion Pagos R4'!R79</x:f>
        <x:v>0</x:v>
      </x:c>
      <x:c r="AD66" s="291">
        <x:f>-J66+AE66</x:f>
        <x:v>0</x:v>
      </x:c>
      <x:c r="AE66" s="291">
        <x:f>'Reversion Pagos R4'!D80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x14ac:dyDescent="0.3">
      <x:c r="B67" s="314">
        <x:v>2</x:v>
      </x:c>
      <x:c r="C67" s="315" t="s">
        <x:v>11</x:v>
      </x:c>
      <x:c r="D67" s="291">
        <x:f>'Reversion Pagos R4'!D180</x:f>
        <x:v>0</x:v>
      </x:c>
      <x:c r="E67" s="292">
        <x:f>'Reversion Pagos R4'!E180</x:f>
        <x:v>0</x:v>
      </x:c>
      <x:c r="F67" s="292">
        <x:f>'Reversion Pagos R4'!F180</x:f>
        <x:v>0</x:v>
      </x:c>
      <x:c r="G67" s="292">
        <x:f>'Reversion Pagos R4'!G180</x:f>
        <x:v>0</x:v>
      </x:c>
      <x:c r="H67" s="292">
        <x:f>'Reversion Pagos R4'!H180</x:f>
        <x:v>0</x:v>
      </x:c>
      <x:c r="I67" s="292">
        <x:f>'Reversion Pagos R4'!I180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R4'!P180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R4'!J180</x:f>
        <x:v>0</x:v>
      </x:c>
      <x:c r="V67" s="317">
        <x:f>'Reversion Pagos R4'!K180</x:f>
        <x:v>0</x:v>
      </x:c>
      <x:c r="W67" s="317">
        <x:f>'Reversion Pagos R4'!L180</x:f>
        <x:v>0</x:v>
      </x:c>
      <x:c r="X67" s="317">
        <x:f>'Reversion Pagos R4'!M180</x:f>
        <x:v>0</x:v>
      </x:c>
      <x:c r="Y67" s="318">
        <x:f>'Reversion Pagos R4'!N180</x:f>
        <x:v>0</x:v>
      </x:c>
      <x:c r="Z67" s="319">
        <x:f t="shared" ref="Z67:Z70" si="26">-L67</x:f>
        <x:v>0</x:v>
      </x:c>
      <x:c r="AA67" s="320">
        <x:f>'Reversion Pagos R4'!O180</x:f>
        <x:v>0</x:v>
      </x:c>
      <x:c r="AB67" s="294">
        <x:f t="shared" ref="AB67:AB70" si="27">N67</x:f>
        <x:v>0</x:v>
      </x:c>
      <x:c r="AC67" s="320">
        <x:f>'Reversion Pagos R4'!Q180+'Reversion Pagos R4'!R180</x:f>
        <x:v>0</x:v>
      </x:c>
      <x:c r="AD67" s="291">
        <x:f t="shared" ref="AD67:AD70" si="28">-J67+AE67</x:f>
        <x:v>0</x:v>
      </x:c>
      <x:c r="AE67" s="291">
        <x:f>'Reversion Pagos R4'!D181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9">INT(AG67)=0</x:f>
        <x:v>1</x:v>
      </x:c>
      <x:c r="AI67" s="306"/>
    </x:row>
    <x:row r="68" spans="1:35" s="305" customFormat="1" x14ac:dyDescent="0.3">
      <x:c r="B68" s="314">
        <x:v>3</x:v>
      </x:c>
      <x:c r="C68" s="315" t="s">
        <x:v>12</x:v>
      </x:c>
      <x:c r="D68" s="291">
        <x:f>'Reversion Pagos R4'!D217</x:f>
        <x:v>0</x:v>
      </x:c>
      <x:c r="E68" s="292">
        <x:f>'Reversion Pagos R4'!E217</x:f>
        <x:v>0</x:v>
      </x:c>
      <x:c r="F68" s="292">
        <x:f>'Reversion Pagos R4'!F217</x:f>
        <x:v>0</x:v>
      </x:c>
      <x:c r="G68" s="292">
        <x:f>'Reversion Pagos R4'!G217</x:f>
        <x:v>0</x:v>
      </x:c>
      <x:c r="H68" s="292">
        <x:f>'Reversion Pagos R4'!H217</x:f>
        <x:v>0</x:v>
      </x:c>
      <x:c r="I68" s="292">
        <x:f>'Reversion Pagos R4'!I217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R4'!P217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R4'!J217</x:f>
        <x:v>0</x:v>
      </x:c>
      <x:c r="V68" s="317">
        <x:f>'Reversion Pagos R4'!K217</x:f>
        <x:v>0</x:v>
      </x:c>
      <x:c r="W68" s="317">
        <x:f>'Reversion Pagos R4'!L217</x:f>
        <x:v>0</x:v>
      </x:c>
      <x:c r="X68" s="317">
        <x:f>'Reversion Pagos R4'!M217</x:f>
        <x:v>0</x:v>
      </x:c>
      <x:c r="Y68" s="318">
        <x:f>'Reversion Pagos R4'!N217</x:f>
        <x:v>0</x:v>
      </x:c>
      <x:c r="Z68" s="319">
        <x:f t="shared" si="26"/>
        <x:v>0</x:v>
      </x:c>
      <x:c r="AA68" s="320">
        <x:f>'Reversion Pagos R4'!O217</x:f>
        <x:v>0</x:v>
      </x:c>
      <x:c r="AB68" s="294">
        <x:f t="shared" si="27"/>
        <x:v>0</x:v>
      </x:c>
      <x:c r="AC68" s="320">
        <x:f>'Reversion Pagos R4'!Q217+'Reversion Pagos R4'!R217</x:f>
        <x:v>0</x:v>
      </x:c>
      <x:c r="AD68" s="291">
        <x:f t="shared" si="28"/>
        <x:v>0</x:v>
      </x:c>
      <x:c r="AE68" s="291">
        <x:f>'Reversion Pagos R4'!D218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1" t="b">
        <x:f t="shared" si="29"/>
        <x:v>1</x:v>
      </x:c>
      <x:c r="AI68" s="306"/>
    </x:row>
    <x:row r="69" spans="1:35" s="305" customFormat="1" x14ac:dyDescent="0.3">
      <x:c r="B69" s="314">
        <x:v>4</x:v>
      </x:c>
      <x:c r="C69" s="315" t="s">
        <x:v>13</x:v>
      </x:c>
      <x:c r="D69" s="291">
        <x:f>'Reversion Pagos R4'!D332</x:f>
        <x:v>0</x:v>
      </x:c>
      <x:c r="E69" s="292">
        <x:f>'Reversion Pagos R4'!E332</x:f>
        <x:v>0</x:v>
      </x:c>
      <x:c r="F69" s="292">
        <x:f>'Reversion Pagos R4'!F332</x:f>
        <x:v>0</x:v>
      </x:c>
      <x:c r="G69" s="292">
        <x:f>'Reversion Pagos R4'!G332</x:f>
        <x:v>0</x:v>
      </x:c>
      <x:c r="H69" s="292">
        <x:f>'Reversion Pagos R4'!H332</x:f>
        <x:v>0</x:v>
      </x:c>
      <x:c r="I69" s="292">
        <x:f>'Reversion Pagos R4'!I332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R4'!P332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R4'!J332</x:f>
        <x:v>0</x:v>
      </x:c>
      <x:c r="V69" s="317">
        <x:f>'Reversion Pagos R4'!K332</x:f>
        <x:v>0</x:v>
      </x:c>
      <x:c r="W69" s="317">
        <x:f>'Reversion Pagos R4'!L332</x:f>
        <x:v>0</x:v>
      </x:c>
      <x:c r="X69" s="317">
        <x:f>'Reversion Pagos R4'!M332</x:f>
        <x:v>0</x:v>
      </x:c>
      <x:c r="Y69" s="318">
        <x:f>'Reversion Pagos R4'!N332</x:f>
        <x:v>0</x:v>
      </x:c>
      <x:c r="Z69" s="319">
        <x:f t="shared" si="26"/>
        <x:v>0</x:v>
      </x:c>
      <x:c r="AA69" s="320">
        <x:f>'Reversion Pagos R4'!O332</x:f>
        <x:v>0</x:v>
      </x:c>
      <x:c r="AB69" s="294">
        <x:f t="shared" si="27"/>
        <x:v>0</x:v>
      </x:c>
      <x:c r="AC69" s="320">
        <x:f>'Reversion Pagos R4'!Q332+'Reversion Pagos R4'!R332</x:f>
        <x:v>0</x:v>
      </x:c>
      <x:c r="AD69" s="291">
        <x:f t="shared" si="28"/>
        <x:v>0</x:v>
      </x:c>
      <x:c r="AE69" s="291">
        <x:f>'Reversion Pagos R4'!D333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9"/>
        <x:v>1</x:v>
      </x:c>
      <x:c r="AI69" s="306"/>
    </x:row>
    <x:row r="70" spans="1:35" s="305" customFormat="1" ht="12" thickBot="1" x14ac:dyDescent="0.35">
      <x:c r="B70" s="324">
        <x:v>5</x:v>
      </x:c>
      <x:c r="C70" s="325" t="s">
        <x:v>14</x:v>
      </x:c>
      <x:c r="D70" s="296">
        <x:f>'Reversion Pagos R4'!D367</x:f>
        <x:v>0</x:v>
      </x:c>
      <x:c r="E70" s="297">
        <x:f>'Reversion Pagos R4'!E367</x:f>
        <x:v>0</x:v>
      </x:c>
      <x:c r="F70" s="297">
        <x:f>'Reversion Pagos R4'!F367</x:f>
        <x:v>0</x:v>
      </x:c>
      <x:c r="G70" s="297">
        <x:f>'Reversion Pagos R4'!G367</x:f>
        <x:v>0</x:v>
      </x:c>
      <x:c r="H70" s="297">
        <x:f>'Reversion Pagos R4'!H367</x:f>
        <x:v>0</x:v>
      </x:c>
      <x:c r="I70" s="297">
        <x:f>'Reversion Pagos R4'!I367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R4'!P367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R4'!J367</x:f>
        <x:v>0</x:v>
      </x:c>
      <x:c r="V70" s="297">
        <x:f>'Reversion Pagos R4'!K367</x:f>
        <x:v>0</x:v>
      </x:c>
      <x:c r="W70" s="297">
        <x:f>'Reversion Pagos R4'!L367</x:f>
        <x:v>0</x:v>
      </x:c>
      <x:c r="X70" s="297">
        <x:f>'Reversion Pagos R4'!M367</x:f>
        <x:v>0</x:v>
      </x:c>
      <x:c r="Y70" s="289">
        <x:f>'Reversion Pagos R4'!N367</x:f>
        <x:v>0</x:v>
      </x:c>
      <x:c r="Z70" s="319">
        <x:f t="shared" si="26"/>
        <x:v>0</x:v>
      </x:c>
      <x:c r="AA70" s="320">
        <x:f>'Reversion Pagos R4'!O367</x:f>
        <x:v>0</x:v>
      </x:c>
      <x:c r="AB70" s="294">
        <x:f t="shared" si="27"/>
        <x:v>0</x:v>
      </x:c>
      <x:c r="AC70" s="320">
        <x:f>'Reversion Pagos R4'!Q367+'Reversion Pagos R4'!R367</x:f>
        <x:v>0</x:v>
      </x:c>
      <x:c r="AD70" s="291">
        <x:f t="shared" si="28"/>
        <x:v>0</x:v>
      </x:c>
      <x:c r="AE70" s="291">
        <x:f>'Reversion Pagos R4'!D368</x:f>
        <x:v>0</x:v>
      </x:c>
      <x:c r="AF70" s="322">
        <x:f t="shared" si="30"/>
        <x:v>0</x:v>
      </x:c>
      <x:c r="AG70" s="326">
        <x:f t="shared" si="31"/>
        <x:v>0</x:v>
      </x:c>
      <x:c r="AH70" s="1" t="b">
        <x:f t="shared" si="29"/>
        <x:v>1</x:v>
      </x:c>
      <x:c r="AI70" s="306"/>
    </x:row>
    <x:row r="71" spans="1:35" s="305" customFormat="1" ht="12.9" thickBot="1" x14ac:dyDescent="0.35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ref="AC71" si="34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1" t="b">
        <x:f t="shared" si="29"/>
        <x:v>1</x:v>
      </x:c>
      <x:c r="AI71" s="306"/>
    </x:row>
    <x:row r="72" spans="1:35" ht="12" thickBot="1" x14ac:dyDescent="0.3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" thickBot="1" x14ac:dyDescent="0.3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" thickBot="1" x14ac:dyDescent="0.3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3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3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35">
      <x:c r="Q77" s="4"/>
      <x:c r="AI77" s="4"/>
    </x:row>
    <x:row r="78" spans="1:35" x14ac:dyDescent="0.3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4.15" x14ac:dyDescent="0.3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2026101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2026101</x:v>
      </x:c>
      <x:c r="AE79" s="84"/>
      <x:c r="AF79" s="48"/>
      <x:c r="AG79" s="2"/>
      <x:c r="AI79" s="4"/>
    </x:row>
    <x:row r="80" spans="1:35" ht="15.45" x14ac:dyDescent="0.4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4.15" x14ac:dyDescent="0.3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45" x14ac:dyDescent="0.4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" thickBot="1" x14ac:dyDescent="0.3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3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168</x:v>
      </x:c>
      <x:c r="AD84" s="574" t="s">
        <x:v>105</x:v>
      </x:c>
      <x:c r="AE84" s="573" t="s">
        <x:v>104</x:v>
      </x:c>
      <x:c r="AF84" s="39" t="s">
        <x:v>23</x:v>
      </x:c>
      <x:c r="AG84" s="13"/>
      <x:c r="AI84" s="4"/>
    </x:row>
    <x:row r="85" spans="1:35" s="305" customFormat="1" x14ac:dyDescent="0.3">
      <x:c r="B85" s="303">
        <x:v>1</x:v>
      </x:c>
      <x:c r="C85" s="304" t="s">
        <x:v>10</x:v>
      </x:c>
      <x:c r="D85" s="291">
        <x:f>'AJUSTES - SF-T'!D47</x:f>
        <x:v>0</x:v>
      </x:c>
      <x:c r="E85" s="292">
        <x:f>'AJUSTES - SF-T'!E47</x:f>
        <x:v>0</x:v>
      </x:c>
      <x:c r="F85" s="292">
        <x:f>'AJUSTES - SF-T'!F47</x:f>
        <x:v>0</x:v>
      </x:c>
      <x:c r="G85" s="292">
        <x:f>'AJUSTES - SF-T'!G47</x:f>
        <x:v>0</x:v>
      </x:c>
      <x:c r="H85" s="292">
        <x:f>'AJUSTES - SF-T'!H47</x:f>
        <x:v>0</x:v>
      </x:c>
      <x:c r="I85" s="292">
        <x:f>'AJUSTES - SF-T'!I47</x:f>
        <x:v>0</x:v>
      </x:c>
      <x:c r="J85" s="292">
        <x:f>'AJUSTES - SF-T'!J47</x:f>
        <x:v>0</x:v>
      </x:c>
      <x:c r="K85" s="292">
        <x:f>D85-E85-F85-G85-H85-I85-J85</x:f>
        <x:v>0</x:v>
      </x:c>
      <x:c r="L85" s="294">
        <x:v>0</x:v>
      </x:c>
      <x:c r="M85" s="321">
        <x:f>K85-L85</x:f>
        <x:v>0</x:v>
      </x:c>
      <x:c r="N85" s="321">
        <x:f>'AJUSTES - SF-T'!N47</x:f>
        <x:v>0</x:v>
      </x:c>
      <x:c r="O85" s="321">
        <x:f>M85+N85</x:f>
        <x:v>0</x:v>
      </x:c>
      <x:c r="Q85" s="306"/>
      <x:c r="S85" s="303">
        <x:v>1</x:v>
      </x:c>
      <x:c r="T85" s="304" t="s">
        <x:v>10</x:v>
      </x:c>
      <x:c r="U85" s="312">
        <x:f>'AJUSTES - SF-T'!U47</x:f>
        <x:v>0</x:v>
      </x:c>
      <x:c r="V85" s="312">
        <x:f>'AJUSTES - SF-T'!V47</x:f>
        <x:v>0</x:v>
      </x:c>
      <x:c r="W85" s="312">
        <x:f>'AJUSTES - SF-T'!W47</x:f>
        <x:v>0</x:v>
      </x:c>
      <x:c r="X85" s="312">
        <x:f>'AJUSTES - SF-T'!X47</x:f>
        <x:v>0</x:v>
      </x:c>
      <x:c r="Y85" s="312">
        <x:f>'AJUSTES - SF-T'!Y47</x:f>
        <x:v>0</x:v>
      </x:c>
      <x:c r="Z85" s="312">
        <x:f>'AJUSTES - SF-T'!Z47</x:f>
        <x:v>0</x:v>
      </x:c>
      <x:c r="AA85" s="571">
        <x:f>'AJUSTES - SF-T'!AA47</x:f>
        <x:v>0</x:v>
      </x:c>
      <x:c r="AB85" s="312">
        <x:f>'AJUSTES - SF-T'!AB47</x:f>
        <x:v>0</x:v>
      </x:c>
      <x:c r="AC85" s="571">
        <x:v>0</x:v>
      </x:c>
      <x:c r="AD85" s="321">
        <x:f>'AJUSTES - SF-T'!AC47</x:f>
        <x:v>0</x:v>
      </x:c>
      <x:c r="AE85" s="294">
        <x:f>'AJUSTES - SF-T'!AD47</x:f>
        <x:v>0</x:v>
      </x:c>
      <x:c r="AF85" s="363">
        <x:f>SUM(U85:AD85)</x:f>
        <x:v>0</x:v>
      </x:c>
      <x:c r="AG85" s="569">
        <x:f>AF85-O85</x:f>
        <x:v>0</x:v>
      </x:c>
      <x:c r="AH85" s="1" t="b">
        <x:f>INT(AG85)=0</x:f>
        <x:v>1</x:v>
      </x:c>
      <x:c r="AI85" s="306"/>
    </x:row>
    <x:row r="86" spans="1:35" s="305" customFormat="1" x14ac:dyDescent="0.3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92">
        <x:v>0</x:v>
      </x:c>
      <x:c r="K86" s="292">
        <x:f t="shared" ref="K86:K89" si="35">D86-E86-F86-G86-H86-I86-J86</x:f>
        <x:v>0</x:v>
      </x:c>
      <x:c r="L86" s="294">
        <x:v>0</x:v>
      </x:c>
      <x:c r="M86" s="321">
        <x:f>K86-L86</x:f>
        <x:v>0</x:v>
      </x:c>
      <x:c r="N86" s="321">
        <x:v>0</x:v>
      </x:c>
      <x:c r="O86" s="321">
        <x:f t="shared" ref="O86:O89" si="36">M86+N86</x:f>
        <x:v>0</x:v>
      </x:c>
      <x:c r="Q86" s="306"/>
      <x:c r="S86" s="314">
        <x:v>2</x:v>
      </x:c>
      <x:c r="T86" s="315" t="s">
        <x:v>11</x:v>
      </x:c>
      <x:c r="U86" s="320">
        <x:v>0</x:v>
      </x:c>
      <x:c r="V86" s="320">
        <x:v>0</x:v>
      </x:c>
      <x:c r="W86" s="320">
        <x:v>0</x:v>
      </x:c>
      <x:c r="X86" s="320">
        <x:v>0</x:v>
      </x:c>
      <x:c r="Y86" s="320">
        <x:v>0</x:v>
      </x:c>
      <x:c r="Z86" s="320">
        <x:f>-L86</x:f>
        <x:v>0</x:v>
      </x:c>
      <x:c r="AA86" s="320">
        <x:v>0</x:v>
      </x:c>
      <x:c r="AB86" s="320">
        <x:f>N86</x:f>
        <x:v>0</x:v>
      </x:c>
      <x:c r="AC86" s="299">
        <x:v>0</x:v>
      </x:c>
      <x:c r="AD86" s="320">
        <x:f t="shared" ref="AD86:AD88" si="37">-J86+AE86</x:f>
        <x:v>0</x:v>
      </x:c>
      <x:c r="AE86" s="299">
        <x:v>0</x:v>
      </x:c>
      <x:c r="AF86" s="365">
        <x:f>SUM(U86:AD86)</x:f>
        <x:v>0</x:v>
      </x:c>
      <x:c r="AG86" s="570">
        <x:f>AF86-O86</x:f>
        <x:v>0</x:v>
      </x:c>
      <x:c r="AH86" s="1" t="b">
        <x:f t="shared" ref="AH86:AH90" si="38">INT(AG86)=0</x:f>
        <x:v>1</x:v>
      </x:c>
      <x:c r="AI86" s="306"/>
    </x:row>
    <x:row r="87" spans="1:35" s="305" customFormat="1" x14ac:dyDescent="0.3">
      <x:c r="B87" s="314">
        <x:v>3</x:v>
      </x:c>
      <x:c r="C87" s="315" t="s">
        <x:v>12</x:v>
      </x:c>
      <x:c r="D87" s="291">
        <x:f>'AJUSTES - SF-T'!D49</x:f>
        <x:v>0</x:v>
      </x:c>
      <x:c r="E87" s="292">
        <x:f>'AJUSTES - SF-T'!E49</x:f>
        <x:v>0</x:v>
      </x:c>
      <x:c r="F87" s="292">
        <x:f>'AJUSTES - SF-T'!F49</x:f>
        <x:v>0</x:v>
      </x:c>
      <x:c r="G87" s="292">
        <x:f>'AJUSTES - SF-T'!G49</x:f>
        <x:v>0</x:v>
      </x:c>
      <x:c r="H87" s="292">
        <x:f>'AJUSTES - SF-T'!H49</x:f>
        <x:v>0</x:v>
      </x:c>
      <x:c r="I87" s="292">
        <x:f>'AJUSTES - SF-T'!I49</x:f>
        <x:v>0</x:v>
      </x:c>
      <x:c r="J87" s="292">
        <x:f>'AJUSTES - SF-T'!J49</x:f>
        <x:v>0</x:v>
      </x:c>
      <x:c r="K87" s="292">
        <x:f>D87-E87-F87-G87-H87-I87-J87</x:f>
        <x:v>0</x:v>
      </x:c>
      <x:c r="L87" s="294">
        <x:v>0</x:v>
      </x:c>
      <x:c r="M87" s="321">
        <x:f>K87-L87</x:f>
        <x:v>0</x:v>
      </x:c>
      <x:c r="N87" s="321">
        <x:f>'AJUSTES - SF-T'!N49</x:f>
        <x:v>0</x:v>
      </x:c>
      <x:c r="O87" s="321">
        <x:f>M87+N87</x:f>
        <x:v>0</x:v>
      </x:c>
      <x:c r="Q87" s="306"/>
      <x:c r="S87" s="314">
        <x:v>3</x:v>
      </x:c>
      <x:c r="T87" s="315" t="s">
        <x:v>12</x:v>
      </x:c>
      <x:c r="U87" s="320">
        <x:f>'AJUSTES - SF-T'!U49</x:f>
        <x:v>0</x:v>
      </x:c>
      <x:c r="V87" s="320">
        <x:f>'AJUSTES - SF-T'!V49</x:f>
        <x:v>0</x:v>
      </x:c>
      <x:c r="W87" s="320">
        <x:f>'AJUSTES - SF-T'!W49</x:f>
        <x:v>0</x:v>
      </x:c>
      <x:c r="X87" s="320">
        <x:f>'AJUSTES - SF-T'!X49</x:f>
        <x:v>0</x:v>
      </x:c>
      <x:c r="Y87" s="320">
        <x:f>'AJUSTES - SF-T'!Y49</x:f>
        <x:v>0</x:v>
      </x:c>
      <x:c r="Z87" s="320">
        <x:f>'AJUSTES - SF-T'!Z49</x:f>
        <x:v>0</x:v>
      </x:c>
      <x:c r="AA87" s="320">
        <x:f>'AJUSTES - SF-T'!AA49</x:f>
        <x:v>0</x:v>
      </x:c>
      <x:c r="AB87" s="320">
        <x:f>'AJUSTES - SF-T'!AB49</x:f>
        <x:v>0</x:v>
      </x:c>
      <x:c r="AC87" s="299">
        <x:v>0</x:v>
      </x:c>
      <x:c r="AD87" s="320">
        <x:f>'AJUSTES - SF-T'!AC49</x:f>
        <x:v>0</x:v>
      </x:c>
      <x:c r="AE87" s="299">
        <x:f>'AJUSTES - SF-T'!AD49</x:f>
        <x:v>0</x:v>
      </x:c>
      <x:c r="AF87" s="365">
        <x:f>SUM(U87:AD87)</x:f>
        <x:v>0</x:v>
      </x:c>
      <x:c r="AG87" s="570">
        <x:f>AF87-O87</x:f>
        <x:v>0</x:v>
      </x:c>
      <x:c r="AH87" s="1" t="b">
        <x:f t="shared" si="38"/>
        <x:v>1</x:v>
      </x:c>
      <x:c r="AI87" s="306"/>
    </x:row>
    <x:row r="88" spans="1:35" s="305" customFormat="1" x14ac:dyDescent="0.3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92">
        <x:v>0</x:v>
      </x:c>
      <x:c r="K88" s="292">
        <x:f t="shared" si="35"/>
        <x:v>0</x:v>
      </x:c>
      <x:c r="L88" s="294">
        <x:v>0</x:v>
      </x:c>
      <x:c r="M88" s="321">
        <x:f>K88-L88</x:f>
        <x:v>0</x:v>
      </x:c>
      <x:c r="N88" s="321">
        <x:v>0</x:v>
      </x:c>
      <x:c r="O88" s="321">
        <x:f t="shared" si="36"/>
        <x:v>0</x:v>
      </x:c>
      <x:c r="Q88" s="306"/>
      <x:c r="S88" s="314">
        <x:v>4</x:v>
      </x:c>
      <x:c r="T88" s="315" t="s">
        <x:v>13</x:v>
      </x:c>
      <x:c r="U88" s="320">
        <x:v>0</x:v>
      </x:c>
      <x:c r="V88" s="320">
        <x:v>0</x:v>
      </x:c>
      <x:c r="W88" s="320">
        <x:v>0</x:v>
      </x:c>
      <x:c r="X88" s="320">
        <x:v>0</x:v>
      </x:c>
      <x:c r="Y88" s="320">
        <x:v>0</x:v>
      </x:c>
      <x:c r="Z88" s="320">
        <x:f>-L88</x:f>
        <x:v>0</x:v>
      </x:c>
      <x:c r="AA88" s="320">
        <x:v>0</x:v>
      </x:c>
      <x:c r="AB88" s="320">
        <x:f>N88</x:f>
        <x:v>0</x:v>
      </x:c>
      <x:c r="AC88" s="299">
        <x:v>0</x:v>
      </x:c>
      <x:c r="AD88" s="320">
        <x:f t="shared" si="37"/>
        <x:v>0</x:v>
      </x:c>
      <x:c r="AE88" s="299">
        <x:v>0</x:v>
      </x:c>
      <x:c r="AF88" s="365">
        <x:f t="shared" ref="AF88:AF89" si="39">SUM(U88:AD88)</x:f>
        <x:v>0</x:v>
      </x:c>
      <x:c r="AG88" s="570">
        <x:f>AF88-O88</x:f>
        <x:v>0</x:v>
      </x:c>
      <x:c r="AH88" s="1" t="b">
        <x:f t="shared" si="38"/>
        <x:v>1</x:v>
      </x:c>
      <x:c r="AI88" s="306"/>
    </x:row>
    <x:row r="89" spans="1:35" s="305" customFormat="1" ht="12" thickBot="1" x14ac:dyDescent="0.35">
      <x:c r="B89" s="324">
        <x:v>5</x:v>
      </x:c>
      <x:c r="C89" s="325" t="s">
        <x:v>14</x:v>
      </x:c>
      <x:c r="D89" s="296">
        <x:f>'AJUSTES - SF-T'!D51</x:f>
        <x:v>0</x:v>
      </x:c>
      <x:c r="E89" s="297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97">
        <x:f>'AJUSTES - SF-T'!J51</x:f>
        <x:v>0</x:v>
      </x:c>
      <x:c r="K89" s="297">
        <x:f t="shared" si="35"/>
        <x:v>0</x:v>
      </x:c>
      <x:c r="L89" s="294">
        <x:v>0</x:v>
      </x:c>
      <x:c r="M89" s="346">
        <x:f>K89-L89</x:f>
        <x:v>0</x:v>
      </x:c>
      <x:c r="N89" s="346">
        <x:f>'AJUSTES - SF-T'!N51</x:f>
        <x:v>0</x:v>
      </x:c>
      <x:c r="O89" s="346">
        <x:f t="shared" si="36"/>
        <x:v>0</x:v>
      </x:c>
      <x:c r="Q89" s="306"/>
      <x:c r="S89" s="324">
        <x:v>5</x:v>
      </x:c>
      <x:c r="T89" s="325" t="s">
        <x:v>14</x:v>
      </x:c>
      <x:c r="U89" s="346">
        <x:f>'AJUSTES - SF-T'!U51</x:f>
        <x:v>0</x:v>
      </x:c>
      <x:c r="V89" s="346">
        <x:f>'AJUSTES - SF-T'!V51</x:f>
        <x:v>0</x:v>
      </x:c>
      <x:c r="W89" s="346">
        <x:f>'AJUSTES - SF-T'!W51</x:f>
        <x:v>0</x:v>
      </x:c>
      <x:c r="X89" s="346">
        <x:f>'AJUSTES - SF-T'!X51</x:f>
        <x:v>0</x:v>
      </x:c>
      <x:c r="Y89" s="346">
        <x:f>'AJUSTES - SF-T'!Y51</x:f>
        <x:v>0</x:v>
      </x:c>
      <x:c r="Z89" s="346">
        <x:f>'AJUSTES - SF-T'!Z51</x:f>
        <x:v>0</x:v>
      </x:c>
      <x:c r="AA89" s="320">
        <x:f>'AJUSTES - SF-T'!AA51</x:f>
        <x:v>0</x:v>
      </x:c>
      <x:c r="AB89" s="572">
        <x:f>'AJUSTES - SF-T'!AB51</x:f>
        <x:v>0</x:v>
      </x:c>
      <x:c r="AC89" s="608">
        <x:v>0</x:v>
      </x:c>
      <x:c r="AD89" s="572">
        <x:f>'AJUSTES - SF-T'!AC51</x:f>
        <x:v>0</x:v>
      </x:c>
      <x:c r="AE89" s="294">
        <x:f>'AJUSTES - SF-T'!AD51</x:f>
        <x:v>0</x:v>
      </x:c>
      <x:c r="AF89" s="576">
        <x:f t="shared" si="39"/>
        <x:v>0</x:v>
      </x:c>
      <x:c r="AG89" s="575">
        <x:f>AF89-O89</x:f>
        <x:v>0</x:v>
      </x:c>
      <x:c r="AH89" s="1" t="b">
        <x:f t="shared" si="38"/>
        <x:v>1</x:v>
      </x:c>
      <x:c r="AI89" s="306"/>
    </x:row>
    <x:row r="90" spans="1:35" s="305" customFormat="1" ht="12.9" thickBot="1" x14ac:dyDescent="0.35">
      <x:c r="B90" s="327"/>
      <x:c r="C90" s="328" t="s">
        <x:v>2</x:v>
      </x:c>
      <x:c r="D90" s="290">
        <x:f t="shared" ref="D90:O90" si="40">SUM(D85:D89)</x:f>
        <x:v>0</x:v>
      </x:c>
      <x:c r="E90" s="290">
        <x:f t="shared" si="40"/>
        <x:v>0</x:v>
      </x:c>
      <x:c r="F90" s="290">
        <x:f t="shared" si="40"/>
        <x:v>0</x:v>
      </x:c>
      <x:c r="G90" s="290">
        <x:f t="shared" si="40"/>
        <x:v>0</x:v>
      </x:c>
      <x:c r="H90" s="290">
        <x:f t="shared" si="40"/>
        <x:v>0</x:v>
      </x:c>
      <x:c r="I90" s="290">
        <x:f t="shared" si="40"/>
        <x:v>0</x:v>
      </x:c>
      <x:c r="J90" s="290">
        <x:f t="shared" si="40"/>
        <x:v>0</x:v>
      </x:c>
      <x:c r="K90" s="300">
        <x:f t="shared" si="40"/>
        <x:v>0</x:v>
      </x:c>
      <x:c r="L90" s="301">
        <x:f t="shared" si="40"/>
        <x:v>0</x:v>
      </x:c>
      <x:c r="M90" s="302">
        <x:f t="shared" si="40"/>
        <x:v>0</x:v>
      </x:c>
      <x:c r="N90" s="301">
        <x:f t="shared" si="40"/>
        <x:v>0</x:v>
      </x:c>
      <x:c r="O90" s="302">
        <x:f t="shared" si="40"/>
        <x:v>0</x:v>
      </x:c>
      <x:c r="P90" s="329"/>
      <x:c r="Q90" s="306"/>
      <x:c r="S90" s="327"/>
      <x:c r="T90" s="567" t="s">
        <x:v>2</x:v>
      </x:c>
      <x:c r="U90" s="330">
        <x:f>SUM(U85:U89)</x:f>
        <x:v>0</x:v>
      </x:c>
      <x:c r="V90" s="330">
        <x:f t="shared" ref="V90:AG90" si="41">SUM(V85:V89)</x:f>
        <x:v>0</x:v>
      </x:c>
      <x:c r="W90" s="568">
        <x:f t="shared" si="41"/>
        <x:v>0</x:v>
      </x:c>
      <x:c r="X90" s="330">
        <x:f t="shared" si="41"/>
        <x:v>0</x:v>
      </x:c>
      <x:c r="Y90" s="330">
        <x:f t="shared" si="41"/>
        <x:v>0</x:v>
      </x:c>
      <x:c r="Z90" s="290">
        <x:f t="shared" si="41"/>
        <x:v>0</x:v>
      </x:c>
      <x:c r="AA90" s="290">
        <x:f t="shared" si="41"/>
        <x:v>0</x:v>
      </x:c>
      <x:c r="AB90" s="290">
        <x:f t="shared" si="41"/>
        <x:v>0</x:v>
      </x:c>
      <x:c r="AC90" s="290">
        <x:f t="shared" ref="AC90" si="42">SUM(AC85:AC89)</x:f>
        <x:v>0</x:v>
      </x:c>
      <x:c r="AD90" s="290">
        <x:f t="shared" si="41"/>
        <x:v>0</x:v>
      </x:c>
      <x:c r="AE90" s="290">
        <x:f t="shared" si="41"/>
        <x:v>0</x:v>
      </x:c>
      <x:c r="AF90" s="331">
        <x:f t="shared" si="41"/>
        <x:v>0</x:v>
      </x:c>
      <x:c r="AG90" s="332">
        <x:f t="shared" si="41"/>
        <x:v>0</x:v>
      </x:c>
      <x:c r="AH90" s="1" t="b">
        <x:f t="shared" si="38"/>
        <x:v>1</x:v>
      </x:c>
      <x:c r="AI90" s="306"/>
    </x:row>
    <x:row r="91" spans="1:35" ht="12" thickBot="1" x14ac:dyDescent="0.3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" thickBot="1" x14ac:dyDescent="0.3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" thickBot="1" x14ac:dyDescent="0.3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3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3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35">
      <x:c r="Q96" s="4"/>
      <x:c r="AI96" s="4"/>
    </x:row>
    <x:row r="97" spans="2:36" x14ac:dyDescent="0.3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4.15" x14ac:dyDescent="0.3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2026101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2026101</x:v>
      </x:c>
      <x:c r="AE98" s="84"/>
      <x:c r="AF98" s="48"/>
      <x:c r="AG98" s="2"/>
      <x:c r="AI98" s="4"/>
    </x:row>
    <x:row r="99" spans="2:36" ht="15.45" x14ac:dyDescent="0.4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4.15" x14ac:dyDescent="0.3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45" x14ac:dyDescent="0.4">
      <x:c r="B101" s="8"/>
      <x:c r="C101" s="598" t="s">
        <x:v>17</x:v>
      </x:c>
      <x:c r="D101" s="9">
        <x:f>D6</x:f>
        <x:v>46297</x:v>
      </x:c>
      <x:c r="F101" s="58" t="s">
        <x:v>216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8.45" thickBot="1" x14ac:dyDescent="0.6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3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3">
      <x:c r="B104" s="303">
        <x:v>1</x:v>
      </x:c>
      <x:c r="C104" s="304" t="s">
        <x:v>10</x:v>
      </x:c>
      <x:c r="D104" s="291">
        <x:f t="shared" ref="D104:J108" si="43">D9+D28+D47+D66+D85</x:f>
        <x:v>0</x:v>
      </x:c>
      <x:c r="E104" s="292">
        <x:f t="shared" si="43"/>
        <x:v>0</x:v>
      </x:c>
      <x:c r="F104" s="292">
        <x:f t="shared" si="43"/>
        <x:v>0</x:v>
      </x:c>
      <x:c r="G104" s="292">
        <x:f t="shared" si="43"/>
        <x:v>0</x:v>
      </x:c>
      <x:c r="H104" s="292">
        <x:f t="shared" si="43"/>
        <x:v>0</x:v>
      </x:c>
      <x:c r="I104" s="292">
        <x:f t="shared" si="43"/>
        <x:v>0</x:v>
      </x:c>
      <x:c r="J104" s="292">
        <x:f t="shared" si="43"/>
        <x:v>0</x:v>
      </x:c>
      <x:c r="K104" s="293">
        <x:f>D104-E104-F104-G104-H104-I104-J104</x:f>
        <x:v>0</x:v>
      </x:c>
      <x:c r="L104" s="294">
        <x:f>L9+L28+L47+L66+L85</x:f>
        <x:v>189185988</x:v>
      </x:c>
      <x:c r="M104" s="293">
        <x:f>K104-L104</x:f>
        <x:v>-189185988</x:v>
      </x:c>
      <x:c r="N104" s="294">
        <x:f>N9+N28+N47+N66+N85</x:f>
        <x:v>0</x:v>
      </x:c>
      <x:c r="O104" s="293">
        <x:f>M104+N104</x:f>
        <x:v>-189185988</x:v>
      </x:c>
      <x:c r="Q104" s="306"/>
      <x:c r="S104" s="303">
        <x:v>1</x:v>
      </x:c>
      <x:c r="T104" s="304" t="s">
        <x:v>10</x:v>
      </x:c>
      <x:c r="U104" s="307">
        <x:f t="shared" ref="U104:AB108" si="44">U9+U28+U47+U66+U85</x:f>
        <x:v>0</x:v>
      </x:c>
      <x:c r="V104" s="308">
        <x:f t="shared" si="44"/>
        <x:v>0</x:v>
      </x:c>
      <x:c r="W104" s="308">
        <x:f t="shared" si="44"/>
        <x:v>0</x:v>
      </x:c>
      <x:c r="X104" s="308">
        <x:f t="shared" si="44"/>
        <x:v>0</x:v>
      </x:c>
      <x:c r="Y104" s="309">
        <x:f t="shared" si="44"/>
        <x:v>0</x:v>
      </x:c>
      <x:c r="Z104" s="310">
        <x:f t="shared" si="44"/>
        <x:v>-189185988</x:v>
      </x:c>
      <x:c r="AA104" s="311">
        <x:f>AA9+AA28+AA47+AA66+AA85</x:f>
        <x:v>0</x:v>
      </x:c>
      <x:c r="AB104" s="294">
        <x:f>AB9+AB28+AB47+AB66+AB85</x:f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-189185988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x14ac:dyDescent="0.3">
      <x:c r="B105" s="314">
        <x:v>2</x:v>
      </x:c>
      <x:c r="C105" s="315" t="s">
        <x:v>11</x:v>
      </x:c>
      <x:c r="D105" s="291">
        <x:f t="shared" si="43"/>
        <x:v>0</x:v>
      </x:c>
      <x:c r="E105" s="292">
        <x:f t="shared" si="43"/>
        <x:v>0</x:v>
      </x:c>
      <x:c r="F105" s="292">
        <x:f t="shared" si="43"/>
        <x:v>0</x:v>
      </x:c>
      <x:c r="G105" s="292">
        <x:f t="shared" si="43"/>
        <x:v>0</x:v>
      </x:c>
      <x:c r="H105" s="292">
        <x:f t="shared" si="43"/>
        <x:v>0</x:v>
      </x:c>
      <x:c r="I105" s="292">
        <x:f t="shared" si="43"/>
        <x:v>0</x:v>
      </x:c>
      <x:c r="J105" s="292">
        <x:f t="shared" si="43"/>
        <x:v>0</x:v>
      </x:c>
      <x:c r="K105" s="295">
        <x:f t="shared" ref="K105:K108" si="45">D105-E105-F105-G105-H105-I105-J105</x:f>
        <x:v>0</x:v>
      </x:c>
      <x:c r="L105" s="294">
        <x:f>L10+L29+L48+L67+L86</x:f>
        <x:v>266580256</x:v>
      </x:c>
      <x:c r="M105" s="295">
        <x:f>K105-L105</x:f>
        <x:v>-266580256</x:v>
      </x:c>
      <x:c r="N105" s="294">
        <x:f>N10+N29+N48+N67+N86</x:f>
        <x:v>0</x:v>
      </x:c>
      <x:c r="O105" s="295">
        <x:f t="shared" ref="O105:O108" si="46">M105+N105</x:f>
        <x:v>-266580256</x:v>
      </x:c>
      <x:c r="Q105" s="306"/>
      <x:c r="S105" s="314">
        <x:v>2</x:v>
      </x:c>
      <x:c r="T105" s="315" t="s">
        <x:v>11</x:v>
      </x:c>
      <x:c r="U105" s="316">
        <x:f t="shared" si="44"/>
        <x:v>0</x:v>
      </x:c>
      <x:c r="V105" s="317">
        <x:f t="shared" si="44"/>
        <x:v>0</x:v>
      </x:c>
      <x:c r="W105" s="317">
        <x:f t="shared" si="44"/>
        <x:v>0</x:v>
      </x:c>
      <x:c r="X105" s="317">
        <x:f t="shared" si="44"/>
        <x:v>0</x:v>
      </x:c>
      <x:c r="Y105" s="318">
        <x:f t="shared" si="44"/>
        <x:v>0</x:v>
      </x:c>
      <x:c r="Z105" s="319">
        <x:f t="shared" si="44"/>
        <x:v>-266580256</x:v>
      </x:c>
      <x:c r="AA105" s="320">
        <x:f t="shared" si="44"/>
        <x:v>0</x:v>
      </x:c>
      <x:c r="AB105" s="294">
        <x:f t="shared" si="44"/>
        <x:v>0</x:v>
      </x:c>
      <x:c r="AC105" s="320">
        <x:f t="shared" ref="AC105" si="47">AC10+AC29+AC48+AC67+AC86</x:f>
        <x:v>0</x:v>
      </x:c>
      <x:c r="AD105" s="291">
        <x:f t="shared" ref="AD105:AD106" si="48">-J105+AE105</x:f>
        <x:v>0</x:v>
      </x:c>
      <x:c r="AE105" s="291">
        <x:f>AE10+AE29+AE48+AE67+AE86</x:f>
        <x:v>0</x:v>
      </x:c>
      <x:c r="AF105" s="322">
        <x:f>SUM(U105:AD105)</x:f>
        <x:v>-266580256</x:v>
      </x:c>
      <x:c r="AG105" s="323">
        <x:f>AF105-O105</x:f>
        <x:v>0</x:v>
      </x:c>
      <x:c r="AH105" s="1" t="b">
        <x:f t="shared" ref="AH105:AH109" si="49">INT(AG105)=0</x:f>
        <x:v>1</x:v>
      </x:c>
      <x:c r="AI105" s="306"/>
    </x:row>
    <x:row r="106" spans="2:36" s="305" customFormat="1" x14ac:dyDescent="0.3">
      <x:c r="B106" s="314">
        <x:v>3</x:v>
      </x:c>
      <x:c r="C106" s="315" t="s">
        <x:v>12</x:v>
      </x:c>
      <x:c r="D106" s="291">
        <x:f t="shared" si="43"/>
        <x:v>0</x:v>
      </x:c>
      <x:c r="E106" s="292">
        <x:f t="shared" si="43"/>
        <x:v>0</x:v>
      </x:c>
      <x:c r="F106" s="292">
        <x:f t="shared" si="43"/>
        <x:v>0</x:v>
      </x:c>
      <x:c r="G106" s="292">
        <x:f t="shared" si="43"/>
        <x:v>0</x:v>
      </x:c>
      <x:c r="H106" s="292">
        <x:f t="shared" si="43"/>
        <x:v>0</x:v>
      </x:c>
      <x:c r="I106" s="292">
        <x:f t="shared" si="43"/>
        <x:v>0</x:v>
      </x:c>
      <x:c r="J106" s="292">
        <x:f t="shared" si="43"/>
        <x:v>0</x:v>
      </x:c>
      <x:c r="K106" s="295">
        <x:f t="shared" si="45"/>
        <x:v>0</x:v>
      </x:c>
      <x:c r="L106" s="294">
        <x:f>L11+L30+L49+L68+L87</x:f>
        <x:v>154788536</x:v>
      </x:c>
      <x:c r="M106" s="295">
        <x:f>K106-L106</x:f>
        <x:v>-154788536</x:v>
      </x:c>
      <x:c r="N106" s="294">
        <x:f>N11+N30+N49+N68+N87</x:f>
        <x:v>0</x:v>
      </x:c>
      <x:c r="O106" s="295">
        <x:f t="shared" si="46"/>
        <x:v>-154788536</x:v>
      </x:c>
      <x:c r="Q106" s="306"/>
      <x:c r="S106" s="314">
        <x:v>3</x:v>
      </x:c>
      <x:c r="T106" s="315" t="s">
        <x:v>12</x:v>
      </x:c>
      <x:c r="U106" s="316">
        <x:f t="shared" si="44"/>
        <x:v>0</x:v>
      </x:c>
      <x:c r="V106" s="317">
        <x:f t="shared" si="44"/>
        <x:v>0</x:v>
      </x:c>
      <x:c r="W106" s="317">
        <x:f t="shared" si="44"/>
        <x:v>0</x:v>
      </x:c>
      <x:c r="X106" s="317">
        <x:f t="shared" si="44"/>
        <x:v>0</x:v>
      </x:c>
      <x:c r="Y106" s="318">
        <x:f t="shared" si="44"/>
        <x:v>0</x:v>
      </x:c>
      <x:c r="Z106" s="319">
        <x:f t="shared" si="44"/>
        <x:v>-154788536</x:v>
      </x:c>
      <x:c r="AA106" s="320">
        <x:f t="shared" si="44"/>
        <x:v>0</x:v>
      </x:c>
      <x:c r="AB106" s="294">
        <x:f t="shared" si="44"/>
        <x:v>0</x:v>
      </x:c>
      <x:c r="AC106" s="320">
        <x:f t="shared" ref="AC106" si="50">AC11+AC30+AC49+AC68+AC87</x:f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-154788536</x:v>
      </x:c>
      <x:c r="AG106" s="323">
        <x:f>AF106-O106</x:f>
        <x:v>0</x:v>
      </x:c>
      <x:c r="AH106" s="1" t="b">
        <x:f t="shared" si="49"/>
        <x:v>1</x:v>
      </x:c>
      <x:c r="AI106" s="306"/>
    </x:row>
    <x:row r="107" spans="2:36" s="305" customFormat="1" x14ac:dyDescent="0.3">
      <x:c r="B107" s="314">
        <x:v>4</x:v>
      </x:c>
      <x:c r="C107" s="315" t="s">
        <x:v>13</x:v>
      </x:c>
      <x:c r="D107" s="291">
        <x:f t="shared" si="43"/>
        <x:v>0</x:v>
      </x:c>
      <x:c r="E107" s="292">
        <x:f t="shared" si="43"/>
        <x:v>0</x:v>
      </x:c>
      <x:c r="F107" s="292">
        <x:f t="shared" si="43"/>
        <x:v>0</x:v>
      </x:c>
      <x:c r="G107" s="292">
        <x:f t="shared" si="43"/>
        <x:v>0</x:v>
      </x:c>
      <x:c r="H107" s="292">
        <x:f t="shared" si="43"/>
        <x:v>0</x:v>
      </x:c>
      <x:c r="I107" s="292">
        <x:f t="shared" si="43"/>
        <x:v>0</x:v>
      </x:c>
      <x:c r="J107" s="292">
        <x:f t="shared" si="43"/>
        <x:v>0</x:v>
      </x:c>
      <x:c r="K107" s="295">
        <x:f t="shared" si="45"/>
        <x:v>0</x:v>
      </x:c>
      <x:c r="L107" s="294">
        <x:f>L12+L31+L50+L69+L88</x:f>
        <x:v>120391083</x:v>
      </x:c>
      <x:c r="M107" s="295">
        <x:f>K107-L107</x:f>
        <x:v>-120391083</x:v>
      </x:c>
      <x:c r="N107" s="294">
        <x:f>N12+N31+N50+N69+N88</x:f>
        <x:v>0</x:v>
      </x:c>
      <x:c r="O107" s="295">
        <x:f>M107+N107</x:f>
        <x:v>-120391083</x:v>
      </x:c>
      <x:c r="Q107" s="306"/>
      <x:c r="S107" s="314">
        <x:v>4</x:v>
      </x:c>
      <x:c r="T107" s="315" t="s">
        <x:v>13</x:v>
      </x:c>
      <x:c r="U107" s="316">
        <x:f t="shared" si="44"/>
        <x:v>0</x:v>
      </x:c>
      <x:c r="V107" s="317">
        <x:f t="shared" si="44"/>
        <x:v>0</x:v>
      </x:c>
      <x:c r="W107" s="317">
        <x:f t="shared" si="44"/>
        <x:v>0</x:v>
      </x:c>
      <x:c r="X107" s="317">
        <x:f t="shared" si="44"/>
        <x:v>0</x:v>
      </x:c>
      <x:c r="Y107" s="318">
        <x:f t="shared" si="44"/>
        <x:v>0</x:v>
      </x:c>
      <x:c r="Z107" s="319">
        <x:f t="shared" si="44"/>
        <x:v>-120391083</x:v>
      </x:c>
      <x:c r="AA107" s="320">
        <x:f>AA12+AA31+AA50+AA69+AA88</x:f>
        <x:v>0</x:v>
      </x:c>
      <x:c r="AB107" s="294">
        <x:f t="shared" si="44"/>
        <x:v>0</x:v>
      </x:c>
      <x:c r="AC107" s="320">
        <x:f t="shared" ref="AC107" si="51">AC12+AC31+AC50+AC69+AC88</x:f>
        <x:v>0</x:v>
      </x:c>
      <x:c r="AD107" s="291">
        <x:f t="shared" ref="AD107" si="52">-J107+AE107</x:f>
        <x:v>0</x:v>
      </x:c>
      <x:c r="AE107" s="291">
        <x:f>AE12+AE31+AE50+AE69+AE88</x:f>
        <x:v>0</x:v>
      </x:c>
      <x:c r="AF107" s="322">
        <x:f t="shared" ref="AF107:AF108" si="53">SUM(U107:AD107)</x:f>
        <x:v>-120391083</x:v>
      </x:c>
      <x:c r="AG107" s="323">
        <x:f>AF117-O117</x:f>
        <x:v>0</x:v>
      </x:c>
      <x:c r="AH107" s="1" t="b">
        <x:f t="shared" si="49"/>
        <x:v>1</x:v>
      </x:c>
      <x:c r="AI107" s="306"/>
    </x:row>
    <x:row r="108" spans="2:36" s="305" customFormat="1" ht="12" thickBot="1" x14ac:dyDescent="0.3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3"/>
        <x:v>0</x:v>
      </x:c>
      <x:c r="F108" s="297">
        <x:f t="shared" si="43"/>
        <x:v>0</x:v>
      </x:c>
      <x:c r="G108" s="297">
        <x:f t="shared" si="43"/>
        <x:v>0</x:v>
      </x:c>
      <x:c r="H108" s="297">
        <x:f t="shared" si="43"/>
        <x:v>0</x:v>
      </x:c>
      <x:c r="I108" s="297">
        <x:f t="shared" si="43"/>
        <x:v>0</x:v>
      </x:c>
      <x:c r="J108" s="297">
        <x:f t="shared" si="43"/>
        <x:v>0</x:v>
      </x:c>
      <x:c r="K108" s="295">
        <x:f t="shared" si="45"/>
        <x:v>0</x:v>
      </x:c>
      <x:c r="L108" s="294">
        <x:f>L13+L32+L51+L70+L89</x:f>
        <x:v>128990446</x:v>
      </x:c>
      <x:c r="M108" s="298">
        <x:f>K108-L108</x:f>
        <x:v>-128990446</x:v>
      </x:c>
      <x:c r="N108" s="299">
        <x:f>N13+N32+N51+N70+N89</x:f>
        <x:v>0</x:v>
      </x:c>
      <x:c r="O108" s="298">
        <x:f t="shared" si="46"/>
        <x:v>-128990446</x:v>
      </x:c>
      <x:c r="Q108" s="306"/>
      <x:c r="S108" s="324">
        <x:v>5</x:v>
      </x:c>
      <x:c r="T108" s="325" t="s">
        <x:v>14</x:v>
      </x:c>
      <x:c r="U108" s="296">
        <x:f t="shared" si="44"/>
        <x:v>0</x:v>
      </x:c>
      <x:c r="V108" s="297">
        <x:f t="shared" si="44"/>
        <x:v>0</x:v>
      </x:c>
      <x:c r="W108" s="297">
        <x:f t="shared" si="44"/>
        <x:v>0</x:v>
      </x:c>
      <x:c r="X108" s="297">
        <x:f t="shared" si="44"/>
        <x:v>0</x:v>
      </x:c>
      <x:c r="Y108" s="289">
        <x:f t="shared" si="44"/>
        <x:v>0</x:v>
      </x:c>
      <x:c r="Z108" s="319">
        <x:f t="shared" si="44"/>
        <x:v>-128990446</x:v>
      </x:c>
      <x:c r="AA108" s="320">
        <x:f t="shared" si="44"/>
        <x:v>0</x:v>
      </x:c>
      <x:c r="AB108" s="294">
        <x:f t="shared" si="44"/>
        <x:v>0</x:v>
      </x:c>
      <x:c r="AC108" s="320">
        <x:f t="shared" ref="AC108" si="54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 t="shared" si="53"/>
        <x:v>-128990446</x:v>
      </x:c>
      <x:c r="AG108" s="326">
        <x:f>AF108-O108</x:f>
        <x:v>0</x:v>
      </x:c>
      <x:c r="AH108" s="1" t="b">
        <x:f t="shared" si="49"/>
        <x:v>1</x:v>
      </x:c>
      <x:c r="AI108" s="306"/>
    </x:row>
    <x:row r="109" spans="2:36" s="305" customFormat="1" ht="12.9" thickBot="1" x14ac:dyDescent="0.35">
      <x:c r="B109" s="327"/>
      <x:c r="C109" s="328" t="s">
        <x:v>2</x:v>
      </x:c>
      <x:c r="D109" s="290">
        <x:f>SUM(D104:D108)</x:f>
        <x:v>0</x:v>
      </x:c>
      <x:c r="E109" s="290">
        <x:f t="shared" ref="E109:O109" si="55">SUM(E104:E108)</x:f>
        <x:v>0</x:v>
      </x:c>
      <x:c r="F109" s="290">
        <x:f t="shared" si="55"/>
        <x:v>0</x:v>
      </x:c>
      <x:c r="G109" s="290">
        <x:f t="shared" si="55"/>
        <x:v>0</x:v>
      </x:c>
      <x:c r="H109" s="290">
        <x:f t="shared" si="55"/>
        <x:v>0</x:v>
      </x:c>
      <x:c r="I109" s="290">
        <x:f t="shared" si="55"/>
        <x:v>0</x:v>
      </x:c>
      <x:c r="J109" s="290">
        <x:f t="shared" si="55"/>
        <x:v>0</x:v>
      </x:c>
      <x:c r="K109" s="300">
        <x:f t="shared" si="55"/>
        <x:v>0</x:v>
      </x:c>
      <x:c r="L109" s="301">
        <x:f t="shared" si="55"/>
        <x:v>859936309</x:v>
      </x:c>
      <x:c r="M109" s="302">
        <x:f t="shared" si="55"/>
        <x:v>-859936309</x:v>
      </x:c>
      <x:c r="N109" s="301">
        <x:f>SUM(N104:N108)</x:f>
        <x:v>0</x:v>
      </x:c>
      <x:c r="O109" s="302">
        <x:f t="shared" si="55"/>
        <x:v>-859936309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6">SUM(V104:V108)</x:f>
        <x:v>0</x:v>
      </x:c>
      <x:c r="W109" s="330">
        <x:f t="shared" si="56"/>
        <x:v>0</x:v>
      </x:c>
      <x:c r="X109" s="330">
        <x:f t="shared" si="56"/>
        <x:v>0</x:v>
      </x:c>
      <x:c r="Y109" s="330">
        <x:f t="shared" si="56"/>
        <x:v>0</x:v>
      </x:c>
      <x:c r="Z109" s="290">
        <x:f t="shared" si="56"/>
        <x:v>-859936309</x:v>
      </x:c>
      <x:c r="AA109" s="290">
        <x:f t="shared" si="56"/>
        <x:v>0</x:v>
      </x:c>
      <x:c r="AB109" s="290">
        <x:f t="shared" si="56"/>
        <x:v>0</x:v>
      </x:c>
      <x:c r="AC109" s="290">
        <x:f t="shared" si="56"/>
        <x:v>0</x:v>
      </x:c>
      <x:c r="AD109" s="290">
        <x:f t="shared" si="56"/>
        <x:v>0</x:v>
      </x:c>
      <x:c r="AE109" s="290">
        <x:f>SUM(AE104:AE108)</x:f>
        <x:v>0</x:v>
      </x:c>
      <x:c r="AF109" s="331">
        <x:f t="shared" si="56"/>
        <x:v>-859936309</x:v>
      </x:c>
      <x:c r="AG109" s="332">
        <x:f>SUM(AG104:AG108)</x:f>
        <x:v>0</x:v>
      </x:c>
      <x:c r="AH109" s="1" t="b">
        <x:f t="shared" si="49"/>
        <x:v>1</x:v>
      </x:c>
      <x:c r="AI109" s="306"/>
    </x:row>
    <x:row r="110" spans="2:36" ht="12" thickBot="1" x14ac:dyDescent="0.3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" thickBot="1" x14ac:dyDescent="0.3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" thickBot="1" x14ac:dyDescent="0.3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305"/>
      <x:c r="AB112" s="305"/>
      <x:c r="AC112" s="305"/>
      <x:c r="AI112" s="4"/>
    </x:row>
    <x:row r="113" spans="1:35" x14ac:dyDescent="0.3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3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35">
      <x:c r="Q115" s="4"/>
    </x:row>
    <x:row r="116" spans="1:35" x14ac:dyDescent="0.3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4.15" x14ac:dyDescent="0.3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2026101</x:v>
      </x:c>
      <x:c r="O117" s="10"/>
      <x:c r="P117" s="2"/>
      <x:c r="Q117" s="4"/>
    </x:row>
    <x:row r="118" spans="1:35" ht="15.45" x14ac:dyDescent="0.4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3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3">
      <x:c r="B120" s="8"/>
      <x:c r="I120" s="2"/>
      <x:c r="J120" s="2"/>
      <x:c r="O120" s="10"/>
      <x:c r="P120" s="2"/>
      <x:c r="Q120" s="4"/>
    </x:row>
    <x:row r="121" spans="1:35" ht="15.45" x14ac:dyDescent="0.4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3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" thickBot="1" x14ac:dyDescent="0.3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6.75" thickBot="1" x14ac:dyDescent="0.3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3">
      <x:c r="B125" s="108">
        <x:v>1</x:v>
      </x:c>
      <x:c r="C125" s="109" t="s">
        <x:v>10</x:v>
      </x:c>
      <x:c r="D125" s="110">
        <x:f>'ANTICIPOS USUARIOS'!I3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USUARIOS'!I12</x:f>
        <x:v>0</x:v>
      </x:c>
      <x:c r="L125" s="309">
        <x:f>-'ANTICIPOS USUARIOS'!I21</x:f>
        <x:v>0</x:v>
      </x:c>
      <x:c r="O125" s="44"/>
      <x:c r="Q125" s="4"/>
    </x:row>
    <x:row r="126" spans="1:35" x14ac:dyDescent="0.3">
      <x:c r="B126" s="16">
        <x:v>2</x:v>
      </x:c>
      <x:c r="C126" s="17" t="s">
        <x:v>11</x:v>
      </x:c>
      <x:c r="D126" s="15">
        <x:f>'ANTICIPOS USUARIOS'!I4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7">D67+N67</x:f>
        <x:v>0</x:v>
      </x:c>
      <x:c r="K126" s="288">
        <x:f>'ANTICIPOS USUARIOS'!I13</x:f>
        <x:v>0</x:v>
      </x:c>
      <x:c r="L126" s="288">
        <x:f>-'ANTICIPOS USUARIOS'!I22</x:f>
        <x:v>0</x:v>
      </x:c>
      <x:c r="O126" s="44"/>
      <x:c r="Q126" s="4"/>
    </x:row>
    <x:row r="127" spans="1:35" x14ac:dyDescent="0.3">
      <x:c r="B127" s="16">
        <x:v>3</x:v>
      </x:c>
      <x:c r="C127" s="17" t="s">
        <x:v>12</x:v>
      </x:c>
      <x:c r="D127" s="15">
        <x:f>'ANTICIPOS USUARIOS'!I5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7"/>
        <x:v>0</x:v>
      </x:c>
      <x:c r="K127" s="288">
        <x:f>'ANTICIPOS USUARIOS'!I14</x:f>
        <x:v>0</x:v>
      </x:c>
      <x:c r="L127" s="288">
        <x:f>-'ANTICIPOS USUARIOS'!I23</x:f>
        <x:v>0</x:v>
      </x:c>
      <x:c r="O127" s="44"/>
      <x:c r="Q127" s="4"/>
    </x:row>
    <x:row r="128" spans="1:35" x14ac:dyDescent="0.3">
      <x:c r="B128" s="16">
        <x:v>4</x:v>
      </x:c>
      <x:c r="C128" s="17" t="s">
        <x:v>13</x:v>
      </x:c>
      <x:c r="D128" s="15">
        <x:f>'ANTICIPOS USUARIOS'!I6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7"/>
        <x:v>0</x:v>
      </x:c>
      <x:c r="K128" s="288">
        <x:f>'ANTICIPOS USUARIOS'!I15</x:f>
        <x:v>0</x:v>
      </x:c>
      <x:c r="L128" s="288">
        <x:f>-'ANTICIPOS USUARIOS'!I24</x:f>
        <x:v>0</x:v>
      </x:c>
      <x:c r="O128" s="44"/>
      <x:c r="Q128" s="4"/>
    </x:row>
    <x:row r="129" spans="1:18" x14ac:dyDescent="0.3">
      <x:c r="B129" s="133">
        <x:v>5</x:v>
      </x:c>
      <x:c r="C129" s="138" t="s">
        <x:v>14</x:v>
      </x:c>
      <x:c r="D129" s="15">
        <x:f>'ANTICIPOS USUARIOS'!I7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7"/>
        <x:v>0</x:v>
      </x:c>
      <x:c r="K129" s="288">
        <x:f>'ANTICIPOS USUARIOS'!I16</x:f>
        <x:v>0</x:v>
      </x:c>
      <x:c r="L129" s="288">
        <x:f>-'ANTICIPOS USUARIOS'!I25</x:f>
        <x:v>0</x:v>
      </x:c>
      <x:c r="O129" s="44"/>
      <x:c r="Q129" s="4"/>
    </x:row>
    <x:row r="130" spans="1:18" ht="12" thickBot="1" x14ac:dyDescent="0.35">
      <x:c r="B130" s="19" t="s">
        <x:v>89</x:v>
      </x:c>
      <x:c r="C130" s="20" t="s">
        <x:v>113</x:v>
      </x:c>
      <x:c r="D130" s="78"/>
      <x:c r="E130" s="79">
        <x:f>'Recaudo ENEL'!F26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" thickBot="1" x14ac:dyDescent="0.35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58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x14ac:dyDescent="0.3">
      <x:c r="B132" s="2"/>
      <x:c r="C132" s="2"/>
      <x:c r="D132" s="24"/>
      <x:c r="Q132" s="4"/>
    </x:row>
    <x:row r="133" spans="1:18" x14ac:dyDescent="0.3">
      <x:c r="B133" s="2"/>
      <x:c r="C133" s="2"/>
      <x:c r="D133" s="24"/>
      <x:c r="L133" s="1" t="s">
        <x:v>1</x:v>
      </x:c>
      <x:c r="Q133" s="4"/>
    </x:row>
    <x:row r="134" spans="1:18" ht="12" thickBot="1" x14ac:dyDescent="0.3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3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3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3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3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3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6.75" thickBot="1" x14ac:dyDescent="0.3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3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ENEL'!F21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BANCO'!E62)</x:f>
        <x:v>0</x:v>
      </x:c>
      <x:c r="J142" s="110">
        <x:f t="shared" ref="J142:K146" si="59">G125</x:f>
        <x:v>0</x:v>
      </x:c>
      <x:c r="K142" s="111">
        <x:f t="shared" si="59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3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ENEL'!F22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BANCO'!E65)</x:f>
        <x:v>0</x:v>
      </x:c>
      <x:c r="J143" s="18">
        <x:f t="shared" si="59"/>
        <x:v>0</x:v>
      </x:c>
      <x:c r="K143" s="83">
        <x:f t="shared" si="59"/>
        <x:v>0</x:v>
      </x:c>
      <x:c r="L143" s="525">
        <x:f>D143-E143-F143-G143-J143-H143-I143</x:f>
        <x:v>0</x:v>
      </x:c>
      <x:c r="M143" s="1" t="b">
        <x:f t="shared" ref="M143:M147" si="60">INT(L143)=0</x:f>
        <x:v>1</x:v>
      </x:c>
      <x:c r="O143" s="130"/>
      <x:c r="P143" s="24"/>
      <x:c r="Q143" s="35"/>
      <x:c r="R143" s="24"/>
    </x:row>
    <x:row r="144" spans="1:18" x14ac:dyDescent="0.3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ENEL'!F23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BANCO'!E67)</x:f>
        <x:v>0</x:v>
      </x:c>
      <x:c r="J144" s="18">
        <x:f t="shared" si="59"/>
        <x:v>0</x:v>
      </x:c>
      <x:c r="K144" s="83">
        <x:f t="shared" si="59"/>
        <x:v>0</x:v>
      </x:c>
      <x:c r="L144" s="525">
        <x:f>D144-E144-F144-G144-J144-H144-I144</x:f>
        <x:v>0</x:v>
      </x:c>
      <x:c r="M144" s="1" t="b">
        <x:f t="shared" si="60"/>
        <x:v>1</x:v>
      </x:c>
      <x:c r="O144" s="55"/>
      <x:c r="P144" s="24"/>
      <x:c r="Q144" s="35"/>
      <x:c r="R144" s="24"/>
    </x:row>
    <x:row r="145" spans="1:20" x14ac:dyDescent="0.3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ENEL'!F24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BANCO'!E70)</x:f>
        <x:v>0</x:v>
      </x:c>
      <x:c r="J145" s="18">
        <x:f t="shared" si="59"/>
        <x:v>0</x:v>
      </x:c>
      <x:c r="K145" s="83">
        <x:f t="shared" si="59"/>
        <x:v>0</x:v>
      </x:c>
      <x:c r="L145" s="525">
        <x:f>D145-E145-F145-G145-J145-H145-I145</x:f>
        <x:v>0</x:v>
      </x:c>
      <x:c r="M145" s="1" t="b">
        <x:f t="shared" si="60"/>
        <x:v>1</x:v>
      </x:c>
      <x:c r="O145" s="96"/>
      <x:c r="P145" s="24"/>
      <x:c r="Q145" s="35"/>
      <x:c r="R145" s="24"/>
    </x:row>
    <x:row r="146" spans="1:20" ht="12" thickBot="1" x14ac:dyDescent="0.3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ENEL'!F25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BANCO'!E72)</x:f>
        <x:v>0</x:v>
      </x:c>
      <x:c r="J146" s="134">
        <x:f t="shared" si="59"/>
        <x:v>0</x:v>
      </x:c>
      <x:c r="K146" s="136">
        <x:f t="shared" si="59"/>
        <x:v>0</x:v>
      </x:c>
      <x:c r="L146" s="525">
        <x:f>D146-E146-F146-G146-J146-H146-I146</x:f>
        <x:v>0</x:v>
      </x:c>
      <x:c r="M146" s="1" t="b">
        <x:f t="shared" si="60"/>
        <x:v>1</x:v>
      </x:c>
      <x:c r="O146" s="55"/>
      <x:c r="P146" s="24"/>
      <x:c r="Q146" s="35"/>
      <x:c r="R146" s="24"/>
    </x:row>
    <x:row r="147" spans="1:20" ht="12" thickBot="1" x14ac:dyDescent="0.3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1">SUM(F142:F146)</x:f>
        <x:v>0</x:v>
      </x:c>
      <x:c r="G147" s="47">
        <x:f t="shared" si="61"/>
        <x:v>0</x:v>
      </x:c>
      <x:c r="H147" s="47">
        <x:f t="shared" si="61"/>
        <x:v>0</x:v>
      </x:c>
      <x:c r="I147" s="47">
        <x:f t="shared" si="61"/>
        <x:v>0</x:v>
      </x:c>
      <x:c r="J147" s="47">
        <x:f t="shared" si="61"/>
        <x:v>0</x:v>
      </x:c>
      <x:c r="K147" s="47">
        <x:f t="shared" si="61"/>
        <x:v>0</x:v>
      </x:c>
      <x:c r="L147" s="525">
        <x:f>SUM(L142:L146)</x:f>
        <x:v>0</x:v>
      </x:c>
      <x:c r="M147" s="1" t="b">
        <x:f t="shared" si="60"/>
        <x:v>1</x:v>
      </x:c>
      <x:c r="P147" s="24"/>
      <x:c r="Q147" s="35"/>
      <x:c r="R147" s="24"/>
    </x:row>
    <x:row r="148" spans="1:20" x14ac:dyDescent="0.3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3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3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x14ac:dyDescent="0.3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3">
      <x:c r="N152" s="24"/>
      <x:c r="O152" s="24"/>
      <x:c r="Q152" s="24"/>
      <x:c r="T152" s="24"/>
    </x:row>
    <x:row r="153" spans="1:20" x14ac:dyDescent="0.3">
      <x:c r="E153" s="659"/>
      <x:c r="N153" s="24"/>
      <x:c r="O153" s="24"/>
      <x:c r="Q153" s="24"/>
      <x:c r="T153" s="24"/>
    </x:row>
    <x:row r="154" spans="1:20" x14ac:dyDescent="0.3">
      <x:c r="N154" s="24"/>
      <x:c r="O154" s="24"/>
      <x:c r="Q154" s="24"/>
      <x:c r="T154" s="24"/>
    </x:row>
    <x:row r="155" spans="1:20" x14ac:dyDescent="0.3">
      <x:c r="Q155" s="24"/>
      <x:c r="T155" s="24"/>
    </x:row>
    <x:row r="156" spans="1:20" x14ac:dyDescent="0.3">
      <x:c r="Q156" s="24"/>
    </x:row>
  </x:sheetData>
  <x:conditionalFormatting sqref="L142:L147">
    <x:cfRule type="expression" dxfId="51" priority="18">
      <x:formula>$L$142&lt;&gt;0</x:formula>
    </x:cfRule>
  </x:conditionalFormatting>
  <x:conditionalFormatting sqref="M142:M147">
    <x:cfRule type="cellIs" dxfId="50" priority="1" operator="notEqual">
      <x:formula>TRUE</x:formula>
    </x:cfRule>
  </x:conditionalFormatting>
  <x:conditionalFormatting sqref="AH9:AH14">
    <x:cfRule type="cellIs" dxfId="49" priority="7" operator="notEqual">
      <x:formula>TRUE</x:formula>
    </x:cfRule>
  </x:conditionalFormatting>
  <x:conditionalFormatting sqref="AH28:AH33">
    <x:cfRule type="cellIs" dxfId="48" priority="6" operator="notEqual">
      <x:formula>TRUE</x:formula>
    </x:cfRule>
  </x:conditionalFormatting>
  <x:conditionalFormatting sqref="AH47:AH52">
    <x:cfRule type="cellIs" dxfId="47" priority="5" operator="notEqual">
      <x:formula>TRUE</x:formula>
    </x:cfRule>
  </x:conditionalFormatting>
  <x:conditionalFormatting sqref="AH66:AH71">
    <x:cfRule type="cellIs" dxfId="46" priority="4" operator="notEqual">
      <x:formula>TRUE</x:formula>
    </x:cfRule>
  </x:conditionalFormatting>
  <x:conditionalFormatting sqref="AH85:AH90">
    <x:cfRule type="cellIs" dxfId="45" priority="3" operator="notEqual">
      <x:formula>TRUE</x:formula>
    </x:cfRule>
  </x:conditionalFormatting>
  <x:conditionalFormatting sqref="AH104:AH109">
    <x:cfRule type="cellIs" dxfId="44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AD104:AD106 AD108:AD109" formula="1"/>
  </x:ignoredErrors>
  <x:drawing r:id="rId2"/>
</x:worksheet>
</file>

<file path=xl/worksheets/sheet2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700-000000000000}" mc:Ignorable="x14ac xr xr2 xr3">
  <x:sheetPr>
    <x:tabColor rgb="FFFF0000"/>
  </x:sheetPr>
  <x:dimension ref="B1:P16"/>
  <x:sheetViews>
    <x:sheetView zoomScale="90" zoomScaleNormal="90" workbookViewId="0">
      <x:selection activeCell="F9" sqref="F9"/>
    </x:sheetView>
  </x:sheetViews>
  <x:sheetFormatPr baseColWidth="10" defaultRowHeight="12.45" x14ac:dyDescent="0.3"/>
  <x:cols>
    <x:col min="1" max="1" width="3" customWidth="1"/>
    <x:col min="2" max="2" width="4.15234375" bestFit="1" customWidth="1"/>
    <x:col min="3" max="3" width="16.84375" customWidth="1"/>
    <x:col min="4" max="4" width="14.15234375" customWidth="1"/>
    <x:col min="5" max="7" width="17.84375" customWidth="1"/>
    <x:col min="8" max="8" width="18.15234375" customWidth="1"/>
    <x:col min="9" max="9" width="15.84375" customWidth="1"/>
    <x:col min="10" max="10" width="16.3828125" customWidth="1"/>
    <x:col min="11" max="11" width="15.84375" customWidth="1"/>
    <x:col min="12" max="13" width="18.15234375" customWidth="1"/>
    <x:col min="14" max="14" width="15.84375" customWidth="1"/>
    <x:col min="15" max="15" width="14.15234375" customWidth="1"/>
    <x:col min="16" max="16" width="14.3828125" customWidth="1"/>
  </x:cols>
  <x:sheetData>
    <x:row r="1" spans="2:16" ht="12.9" thickBot="1" x14ac:dyDescent="0.35"/>
    <x:row r="2" spans="2:16" ht="35.15" thickBot="1" x14ac:dyDescent="0.3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3">
      <x:c r="B3" s="303">
        <x:v>1</x:v>
      </x:c>
      <x:c r="C3" s="292">
        <x:f>'Recaudo ENEL'!D21</x:f>
        <x:v>0</x:v>
      </x:c>
      <x:c r="D3" s="292">
        <x:f>REMUNERACION_ENEL!G125</x:f>
        <x:v>0</x:v>
      </x:c>
      <x:c r="E3" s="292">
        <x:f>REMUNERACION_ENEL!D28+REMUNERACION_ENEL!N28</x:f>
        <x:v>0</x:v>
      </x:c>
      <x:c r="F3" s="292">
        <x:f>REMUNERACION_ENEL!I142</x:f>
        <x:v>0</x:v>
      </x:c>
      <x:c r="G3" s="292">
        <x:f>REMUNERACION_ENEL!H142</x:f>
        <x:v>0</x:v>
      </x:c>
      <x:c r="H3" s="340">
        <x:f>SUM(C3:G3)</x:f>
        <x:v>0</x:v>
      </x:c>
      <x:c r="I3" s="291">
        <x:f>REMUNERACION_ENEL!D104</x:f>
        <x:v>0</x:v>
      </x:c>
      <x:c r="J3" s="292">
        <x:f>REMUNERACION_ENEL!N104</x:f>
        <x:v>0</x:v>
      </x:c>
      <x:c r="K3" s="292">
        <x:f>REMUNERACION_ENEL!D125</x:f>
        <x:v>0</x:v>
      </x:c>
      <x:c r="L3" s="353">
        <x:f>REMUNERACION_ENEL!E125</x:f>
        <x:v>0</x:v>
      </x:c>
      <x:c r="M3" s="292">
        <x:f>-REMUNERACION_ENEL!D66-REMUNERACION_ENEL!N66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3">
      <x:c r="B4" s="314">
        <x:v>2</x:v>
      </x:c>
      <x:c r="C4" s="317">
        <x:f>'Recaudo ENEL'!D22</x:f>
        <x:v>0</x:v>
      </x:c>
      <x:c r="D4" s="292">
        <x:f>REMUNERACION_ENEL!G126</x:f>
        <x:v>0</x:v>
      </x:c>
      <x:c r="E4" s="292">
        <x:f>REMUNERACION_ENEL!D29+REMUNERACION_ENEL!N29</x:f>
        <x:v>0</x:v>
      </x:c>
      <x:c r="F4" s="292">
        <x:f>REMUNERACION_ENEL!I143</x:f>
        <x:v>0</x:v>
      </x:c>
      <x:c r="G4" s="292">
        <x:f>REMUNERACION_ENEL!H143</x:f>
        <x:v>0</x:v>
      </x:c>
      <x:c r="H4" s="340">
        <x:f t="shared" ref="H4:H8" si="1">SUM(C4:G4)</x:f>
        <x:v>0</x:v>
      </x:c>
      <x:c r="I4" s="291">
        <x:f>REMUNERACION_ENEL!D105</x:f>
        <x:v>0</x:v>
      </x:c>
      <x:c r="J4" s="292">
        <x:f>REMUNERACION_ENEL!N105</x:f>
        <x:v>0</x:v>
      </x:c>
      <x:c r="K4" s="292">
        <x:f>REMUNERACION_ENEL!D126</x:f>
        <x:v>0</x:v>
      </x:c>
      <x:c r="L4" s="353">
        <x:f>REMUNERACION_ENEL!E126</x:f>
        <x:v>0</x:v>
      </x:c>
      <x:c r="M4" s="292">
        <x:f>-REMUNERACION_ENEL!D67-REMUNERACION_ENEL!N67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3">
      <x:c r="B5" s="314">
        <x:v>3</x:v>
      </x:c>
      <x:c r="C5" s="317">
        <x:f>'Recaudo ENEL'!D23</x:f>
        <x:v>0</x:v>
      </x:c>
      <x:c r="D5" s="292">
        <x:f>REMUNERACION_ENEL!G127</x:f>
        <x:v>0</x:v>
      </x:c>
      <x:c r="E5" s="292">
        <x:f>REMUNERACION_ENEL!D30+REMUNERACION_ENEL!N30</x:f>
        <x:v>0</x:v>
      </x:c>
      <x:c r="F5" s="292">
        <x:f>REMUNERACION_ENEL!I144</x:f>
        <x:v>0</x:v>
      </x:c>
      <x:c r="G5" s="292">
        <x:f>REMUNERACION_ENEL!H144</x:f>
        <x:v>0</x:v>
      </x:c>
      <x:c r="H5" s="340">
        <x:f t="shared" si="1"/>
        <x:v>0</x:v>
      </x:c>
      <x:c r="I5" s="291">
        <x:f>REMUNERACION_ENEL!D106</x:f>
        <x:v>0</x:v>
      </x:c>
      <x:c r="J5" s="292">
        <x:f>REMUNERACION_ENEL!N106</x:f>
        <x:v>0</x:v>
      </x:c>
      <x:c r="K5" s="292">
        <x:f>REMUNERACION_ENEL!D127</x:f>
        <x:v>0</x:v>
      </x:c>
      <x:c r="L5" s="353">
        <x:f>REMUNERACION_ENEL!E127</x:f>
        <x:v>0</x:v>
      </x:c>
      <x:c r="M5" s="292">
        <x:f>-REMUNERACION_ENEL!D68-REMUNERACION_ENEL!N68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3">
      <x:c r="B6" s="314">
        <x:v>4</x:v>
      </x:c>
      <x:c r="C6" s="317">
        <x:f>'Recaudo ENEL'!D24</x:f>
        <x:v>0</x:v>
      </x:c>
      <x:c r="D6" s="292">
        <x:f>REMUNERACION_ENEL!G128</x:f>
        <x:v>0</x:v>
      </x:c>
      <x:c r="E6" s="292">
        <x:f>REMUNERACION_ENEL!D31+REMUNERACION_ENEL!N31</x:f>
        <x:v>0</x:v>
      </x:c>
      <x:c r="F6" s="292">
        <x:f>REMUNERACION_ENEL!I145</x:f>
        <x:v>0</x:v>
      </x:c>
      <x:c r="G6" s="292">
        <x:f>REMUNERACION_ENEL!H145</x:f>
        <x:v>0</x:v>
      </x:c>
      <x:c r="H6" s="340">
        <x:f t="shared" si="1"/>
        <x:v>0</x:v>
      </x:c>
      <x:c r="I6" s="291">
        <x:f>REMUNERACION_ENEL!D107</x:f>
        <x:v>0</x:v>
      </x:c>
      <x:c r="J6" s="292">
        <x:f>REMUNERACION_ENEL!N107</x:f>
        <x:v>0</x:v>
      </x:c>
      <x:c r="K6" s="292">
        <x:f>REMUNERACION_ENEL!D128</x:f>
        <x:v>0</x:v>
      </x:c>
      <x:c r="L6" s="353">
        <x:f>REMUNERACION_ENEL!E128</x:f>
        <x:v>0</x:v>
      </x:c>
      <x:c r="M6" s="292">
        <x:f>-REMUNERACION_ENEL!D69-REMUNERACION_ENEL!N69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3">
      <x:c r="B7" s="314">
        <x:v>5</x:v>
      </x:c>
      <x:c r="C7" s="317">
        <x:f>'Recaudo ENEL'!D25</x:f>
        <x:v>0</x:v>
      </x:c>
      <x:c r="D7" s="292">
        <x:f>REMUNERACION_ENEL!G129</x:f>
        <x:v>0</x:v>
      </x:c>
      <x:c r="E7" s="292">
        <x:f>REMUNERACION_ENEL!D32+REMUNERACION_ENEL!N32</x:f>
        <x:v>0</x:v>
      </x:c>
      <x:c r="F7" s="292">
        <x:f>REMUNERACION_ENEL!I146</x:f>
        <x:v>0</x:v>
      </x:c>
      <x:c r="G7" s="292">
        <x:f>REMUNERACION_ENEL!H146</x:f>
        <x:v>0</x:v>
      </x:c>
      <x:c r="H7" s="340">
        <x:f t="shared" si="1"/>
        <x:v>0</x:v>
      </x:c>
      <x:c r="I7" s="291">
        <x:f>REMUNERACION_ENEL!D108</x:f>
        <x:v>0</x:v>
      </x:c>
      <x:c r="J7" s="292">
        <x:f>REMUNERACION_ENEL!N108</x:f>
        <x:v>0</x:v>
      </x:c>
      <x:c r="K7" s="292">
        <x:f>REMUNERACION_ENEL!D129</x:f>
        <x:v>0</x:v>
      </x:c>
      <x:c r="L7" s="353">
        <x:f>REMUNERACION_ENEL!E129</x:f>
        <x:v>0</x:v>
      </x:c>
      <x:c r="M7" s="292">
        <x:f>-REMUNERACION_ENEL!D70-REMUNERACION_ENEL!N70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2.9" thickBot="1" x14ac:dyDescent="0.35">
      <x:c r="B8" s="341" t="s">
        <x:v>89</x:v>
      </x:c>
      <x:c r="C8" s="317">
        <x:f>'Recaudo ENEL'!D26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REMUNERACION_ENEL!E130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2.9" thickBot="1" x14ac:dyDescent="0.3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3">
      <x:c r="B11" s="102" t="s">
        <x:v>89</x:v>
      </x:c>
      <x:c r="C11" s="103" t="s">
        <x:v>90</x:v>
      </x:c>
      <x:c r="M11" s="141"/>
      <x:c r="O11" s="137"/>
    </x:row>
    <x:row r="12" spans="2:16" x14ac:dyDescent="0.3">
      <x:c r="C12" s="143"/>
    </x:row>
    <x:row r="13" spans="2:16" x14ac:dyDescent="0.3">
      <x:c r="B13" s="142"/>
      <x:c r="C13" s="143" t="s">
        <x:v>1</x:v>
      </x:c>
    </x:row>
    <x:row r="14" spans="2:16" x14ac:dyDescent="0.3">
      <x:c r="C14" s="245">
        <x:f>'Valida - Control Recaudo'!D7</x:f>
        <x:v>0</x:v>
      </x:c>
    </x:row>
    <x:row r="15" spans="2:16" x14ac:dyDescent="0.3">
      <x:c r="C15" s="249" t="b">
        <x:f>C14=C9</x:f>
        <x:v>1</x:v>
      </x:c>
    </x:row>
    <x:row r="16" spans="2:16" x14ac:dyDescent="0.3">
      <x:c r="C16" s="212" t="s">
        <x:v>1</x:v>
      </x:c>
    </x:row>
  </x:sheetData>
  <x:conditionalFormatting sqref="C15">
    <x:cfRule type="cellIs" dxfId="43" priority="4" operator="notEqual">
      <x:formula>TRUE</x:formula>
    </x:cfRule>
  </x:conditionalFormatting>
  <x:conditionalFormatting sqref="P3:P9">
    <x:cfRule type="cellIs" dxfId="42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800-000000000000}" mc:Ignorable="x14ac xr xr2 xr3">
  <x:sheetPr>
    <x:tabColor rgb="FFFF0000"/>
    <x:pageSetUpPr fitToPage="1"/>
  </x:sheetPr>
  <x:dimension ref="A1:AI52"/>
  <x:sheetViews>
    <x:sheetView topLeftCell="A3" zoomScaleNormal="100" workbookViewId="0">
      <x:selection activeCell="J10" sqref="J10"/>
    </x:sheetView>
  </x:sheetViews>
  <x:sheetFormatPr baseColWidth="10" defaultColWidth="11.3828125" defaultRowHeight="11.6" x14ac:dyDescent="0.3"/>
  <x:cols>
    <x:col min="1" max="1" width="3" style="1" customWidth="1"/>
    <x:col min="2" max="2" width="4.3828125" style="1" bestFit="1" customWidth="1"/>
    <x:col min="3" max="3" width="36.84375" style="1" customWidth="1"/>
    <x:col min="4" max="4" width="15.15234375" style="1" customWidth="1"/>
    <x:col min="5" max="5" width="16" style="1" customWidth="1"/>
    <x:col min="6" max="7" width="14.84375" style="1" customWidth="1"/>
    <x:col min="8" max="8" width="16.15234375" style="1" customWidth="1"/>
    <x:col min="9" max="9" width="20.15234375" style="1" bestFit="1" customWidth="1"/>
    <x:col min="10" max="10" width="15.53515625" style="1" customWidth="1"/>
    <x:col min="11" max="11" width="17.53515625" style="1" customWidth="1"/>
    <x:col min="12" max="12" width="16.53515625" style="1" customWidth="1"/>
    <x:col min="13" max="13" width="19.84375" style="1" customWidth="1"/>
    <x:col min="14" max="14" width="15.15234375" style="1" customWidth="1"/>
    <x:col min="15" max="15" width="16.84375" style="1" customWidth="1"/>
    <x:col min="16" max="16" width="3.84375" style="1" customWidth="1"/>
    <x:col min="17" max="17" width="2.84375" style="1" customWidth="1"/>
    <x:col min="18" max="18" width="4.53515625" style="1" customWidth="1"/>
    <x:col min="19" max="19" width="11.15234375" style="1" customWidth="1"/>
    <x:col min="20" max="20" width="39.3828125" style="1" customWidth="1"/>
    <x:col min="21" max="21" width="19.15234375" style="1" customWidth="1"/>
    <x:col min="22" max="22" width="17.84375" style="1" customWidth="1"/>
    <x:col min="23" max="23" width="16.3828125" style="1" customWidth="1"/>
    <x:col min="24" max="24" width="17.15234375" style="1" customWidth="1"/>
    <x:col min="25" max="25" width="15.84375" style="1" customWidth="1"/>
    <x:col min="26" max="26" width="16" style="1" customWidth="1"/>
    <x:col min="27" max="27" width="15" style="1" customWidth="1"/>
    <x:col min="28" max="29" width="16.84375" style="1" customWidth="1"/>
    <x:col min="30" max="31" width="15.3828125" style="1" customWidth="1"/>
    <x:col min="32" max="32" width="16.15234375" style="1" customWidth="1"/>
    <x:col min="33" max="33" width="18.15234375" style="1" customWidth="1"/>
    <x:col min="34" max="34" width="13.84375" style="1" customWidth="1"/>
    <x:col min="35" max="35" width="3.3828125" style="1" customWidth="1"/>
    <x:col min="36" max="16384" width="11.3828125" style="1"/>
  </x:cols>
  <x:sheetData>
    <x:row r="1" spans="2:35" ht="12" thickBot="1" x14ac:dyDescent="0.35">
      <x:c r="Q1" s="4"/>
      <x:c r="AI1" s="4"/>
    </x:row>
    <x:row r="2" spans="2:35" x14ac:dyDescent="0.3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4.15" x14ac:dyDescent="0.3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REMUNERACION_ENEL!N98</x:f>
        <x:v>2026101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2026101</x:v>
      </x:c>
      <x:c r="AE3" s="84"/>
      <x:c r="AF3" s="48"/>
      <x:c r="AG3" s="2"/>
      <x:c r="AI3" s="4"/>
    </x:row>
    <x:row r="4" spans="2:35" ht="15.45" x14ac:dyDescent="0.4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4.15" x14ac:dyDescent="0.3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45" x14ac:dyDescent="0.4">
      <x:c r="B6" s="8"/>
      <x:c r="C6" s="598" t="s">
        <x:v>17</x:v>
      </x:c>
      <x:c r="D6" s="9">
        <x:f>REMUNERACION_ENEL!D101</x:f>
        <x:v>46297</x:v>
      </x:c>
      <x:c r="F6" s="58" t="str">
        <x:f>REMUNERACION_ENEL!F101</x:f>
        <x:v>REPORTE CONSOLIDADO TOTAL DE RECAUDO  // ENEL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REMUNERACION_ENEL!U101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" thickBot="1" x14ac:dyDescent="0.35">
      <x:c r="B7" s="8"/>
      <x:c r="C7" s="598" t="s">
        <x:v>0</x:v>
      </x:c>
      <x:c r="D7" s="241">
        <x:f>REMUNERACION_ENEL!D102</x:f>
        <x:v>0.58333333333333337</x:v>
      </x:c>
      <x:c r="F7" s="2" t="s">
        <x:v>27</x:v>
      </x:c>
      <x:c r="G7" s="9">
        <x:f>REMUNERACION_ENEL!G102</x:f>
        <x:v>46281</x:v>
      </x:c>
      <x:c r="J7" s="2" t="s">
        <x:v>28</x:v>
      </x:c>
      <x:c r="K7" s="9">
        <x:f>REMUNERACION_ENEL!K102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69.900000000000006" thickBot="1" x14ac:dyDescent="0.3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9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3">
      <x:c r="B9" s="14">
        <x:v>1</x:v>
      </x:c>
      <x:c r="C9" s="61" t="s">
        <x:v>10</x:v>
      </x:c>
      <x:c r="D9" s="66">
        <x:f>REMUNERACION_ENEL!D104</x:f>
        <x:v>0</x:v>
      </x:c>
      <x:c r="E9" s="66">
        <x:f>REMUNERACION_ENEL!E104</x:f>
        <x:v>0</x:v>
      </x:c>
      <x:c r="F9" s="66">
        <x:f>REMUNERACION_ENEL!F104</x:f>
        <x:v>0</x:v>
      </x:c>
      <x:c r="G9" s="66">
        <x:f>REMUNERACION_ENEL!G104</x:f>
        <x:v>0</x:v>
      </x:c>
      <x:c r="H9" s="66">
        <x:f>REMUNERACION_ENEL!H104</x:f>
        <x:v>0</x:v>
      </x:c>
      <x:c r="I9" s="66">
        <x:f>REMUNERACION_ENEL!I104</x:f>
        <x:v>0</x:v>
      </x:c>
      <x:c r="J9" s="66">
        <x:f>REMUNERACION_ENEL!J104</x:f>
        <x:v>0</x:v>
      </x:c>
      <x:c r="K9" s="30">
        <x:f>D9-E9-F9-G9-H9-I9-J9</x:f>
        <x:v>0</x:v>
      </x:c>
      <x:c r="L9" s="66">
        <x:f>REMUNERACION_ENEL!L104</x:f>
        <x:v>189185988</x:v>
      </x:c>
      <x:c r="M9" s="30">
        <x:f>K9-L9</x:f>
        <x:v>-189185988</x:v>
      </x:c>
      <x:c r="N9" s="66">
        <x:f>REMUNERACION_ENEL!N104</x:f>
        <x:v>0</x:v>
      </x:c>
      <x:c r="O9" s="30">
        <x:f>M9+N9</x:f>
        <x:v>-189185988</x:v>
      </x:c>
      <x:c r="Q9" s="4"/>
      <x:c r="S9" s="14">
        <x:v>1</x:v>
      </x:c>
      <x:c r="T9" s="61" t="s">
        <x:v>10</x:v>
      </x:c>
      <x:c r="U9" s="66">
        <x:f>REMUNERACION_ENEL!U104</x:f>
        <x:v>0</x:v>
      </x:c>
      <x:c r="V9" s="66">
        <x:f>REMUNERACION_ENEL!V104</x:f>
        <x:v>0</x:v>
      </x:c>
      <x:c r="W9" s="66">
        <x:f>REMUNERACION_ENEL!W104</x:f>
        <x:v>0</x:v>
      </x:c>
      <x:c r="X9" s="66">
        <x:f>REMUNERACION_ENEL!X104</x:f>
        <x:v>0</x:v>
      </x:c>
      <x:c r="Y9" s="66">
        <x:f>REMUNERACION_ENEL!Y104</x:f>
        <x:v>0</x:v>
      </x:c>
      <x:c r="Z9" s="66">
        <x:f>REMUNERACION_ENEL!Z104</x:f>
        <x:v>-189185988</x:v>
      </x:c>
      <x:c r="AA9" s="66">
        <x:f>REMUNERACION_ENEL!AA104</x:f>
        <x:v>0</x:v>
      </x:c>
      <x:c r="AB9" s="66">
        <x:f>REMUNERACION_ENEL!AB104</x:f>
        <x:v>0</x:v>
      </x:c>
      <x:c r="AC9" s="66">
        <x:f>REMUNERACION_ENEL!AC104</x:f>
        <x:v>0</x:v>
      </x:c>
      <x:c r="AD9" s="66">
        <x:f>REMUNERACION_ENEL!AD104</x:f>
        <x:v>0</x:v>
      </x:c>
      <x:c r="AE9" s="66">
        <x:f>REMUNERACION_ENEL!AE104</x:f>
        <x:v>0</x:v>
      </x:c>
      <x:c r="AF9" s="69">
        <x:f>SUM(U9:AD9)</x:f>
        <x:v>-189185988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3">
      <x:c r="B10" s="16">
        <x:v>2</x:v>
      </x:c>
      <x:c r="C10" s="62" t="s">
        <x:v>11</x:v>
      </x:c>
      <x:c r="D10" s="66">
        <x:f>REMUNERACION_ENEL!D105</x:f>
        <x:v>0</x:v>
      </x:c>
      <x:c r="E10" s="66">
        <x:f>REMUNERACION_ENEL!E105</x:f>
        <x:v>0</x:v>
      </x:c>
      <x:c r="F10" s="66">
        <x:f>REMUNERACION_ENEL!F105</x:f>
        <x:v>0</x:v>
      </x:c>
      <x:c r="G10" s="66">
        <x:f>REMUNERACION_ENEL!G105</x:f>
        <x:v>0</x:v>
      </x:c>
      <x:c r="H10" s="66">
        <x:f>REMUNERACION_ENEL!H105</x:f>
        <x:v>0</x:v>
      </x:c>
      <x:c r="I10" s="66">
        <x:f>REMUNERACION_ENEL!I105</x:f>
        <x:v>0</x:v>
      </x:c>
      <x:c r="J10" s="66">
        <x:f>REMUNERACION_ENEL!J105</x:f>
        <x:v>0</x:v>
      </x:c>
      <x:c r="K10" s="31">
        <x:f t="shared" ref="K10:K13" si="0">D10-E10-F10-G10-H10-I10-J10</x:f>
        <x:v>0</x:v>
      </x:c>
      <x:c r="L10" s="66">
        <x:f>REMUNERACION_ENEL!L105</x:f>
        <x:v>266580256</x:v>
      </x:c>
      <x:c r="M10" s="31">
        <x:f>K10-L10</x:f>
        <x:v>-266580256</x:v>
      </x:c>
      <x:c r="N10" s="66">
        <x:f>REMUNERACION_ENEL!N105</x:f>
        <x:v>0</x:v>
      </x:c>
      <x:c r="O10" s="31">
        <x:f t="shared" ref="O10:O13" si="1">M10+N10</x:f>
        <x:v>-266580256</x:v>
      </x:c>
      <x:c r="Q10" s="4"/>
      <x:c r="S10" s="16">
        <x:v>2</x:v>
      </x:c>
      <x:c r="T10" s="62" t="s">
        <x:v>11</x:v>
      </x:c>
      <x:c r="U10" s="66">
        <x:f>REMUNERACION_ENEL!U105</x:f>
        <x:v>0</x:v>
      </x:c>
      <x:c r="V10" s="66">
        <x:f>REMUNERACION_ENEL!V105</x:f>
        <x:v>0</x:v>
      </x:c>
      <x:c r="W10" s="66">
        <x:f>REMUNERACION_ENEL!W105</x:f>
        <x:v>0</x:v>
      </x:c>
      <x:c r="X10" s="66">
        <x:f>REMUNERACION_ENEL!X105</x:f>
        <x:v>0</x:v>
      </x:c>
      <x:c r="Y10" s="66">
        <x:f>REMUNERACION_ENEL!Y105</x:f>
        <x:v>0</x:v>
      </x:c>
      <x:c r="Z10" s="66">
        <x:f>REMUNERACION_ENEL!Z105</x:f>
        <x:v>-266580256</x:v>
      </x:c>
      <x:c r="AA10" s="66">
        <x:f>REMUNERACION_ENEL!AA105</x:f>
        <x:v>0</x:v>
      </x:c>
      <x:c r="AB10" s="66">
        <x:f>REMUNERACION_ENEL!AB105</x:f>
        <x:v>0</x:v>
      </x:c>
      <x:c r="AC10" s="66">
        <x:f>REMUNERACION_ENEL!AC105</x:f>
        <x:v>0</x:v>
      </x:c>
      <x:c r="AD10" s="66">
        <x:f>REMUNERACION_ENEL!AD105</x:f>
        <x:v>0</x:v>
      </x:c>
      <x:c r="AE10" s="66">
        <x:f>REMUNERACION_ENEL!AE105</x:f>
        <x:v>0</x:v>
      </x:c>
      <x:c r="AF10" s="70">
        <x:f>SUM(U10:AD10)</x:f>
        <x:v>-266580256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3">
      <x:c r="B11" s="16">
        <x:v>3</x:v>
      </x:c>
      <x:c r="C11" s="62" t="s">
        <x:v>12</x:v>
      </x:c>
      <x:c r="D11" s="66">
        <x:f>REMUNERACION_ENEL!D106</x:f>
        <x:v>0</x:v>
      </x:c>
      <x:c r="E11" s="66">
        <x:f>REMUNERACION_ENEL!E106</x:f>
        <x:v>0</x:v>
      </x:c>
      <x:c r="F11" s="66">
        <x:f>REMUNERACION_ENEL!F106</x:f>
        <x:v>0</x:v>
      </x:c>
      <x:c r="G11" s="66">
        <x:f>REMUNERACION_ENEL!G106</x:f>
        <x:v>0</x:v>
      </x:c>
      <x:c r="H11" s="66">
        <x:f>REMUNERACION_ENEL!H106</x:f>
        <x:v>0</x:v>
      </x:c>
      <x:c r="I11" s="66">
        <x:f>REMUNERACION_ENEL!I106</x:f>
        <x:v>0</x:v>
      </x:c>
      <x:c r="J11" s="66">
        <x:f>REMUNERACION_ENEL!J106</x:f>
        <x:v>0</x:v>
      </x:c>
      <x:c r="K11" s="31">
        <x:f t="shared" si="0"/>
        <x:v>0</x:v>
      </x:c>
      <x:c r="L11" s="66">
        <x:f>REMUNERACION_ENEL!L106</x:f>
        <x:v>154788536</x:v>
      </x:c>
      <x:c r="M11" s="31">
        <x:f>K11-L11</x:f>
        <x:v>-154788536</x:v>
      </x:c>
      <x:c r="N11" s="66">
        <x:f>REMUNERACION_ENEL!N106</x:f>
        <x:v>0</x:v>
      </x:c>
      <x:c r="O11" s="31">
        <x:f t="shared" si="1"/>
        <x:v>-154788536</x:v>
      </x:c>
      <x:c r="Q11" s="4"/>
      <x:c r="S11" s="16">
        <x:v>3</x:v>
      </x:c>
      <x:c r="T11" s="62" t="s">
        <x:v>12</x:v>
      </x:c>
      <x:c r="U11" s="66">
        <x:f>REMUNERACION_ENEL!U106</x:f>
        <x:v>0</x:v>
      </x:c>
      <x:c r="V11" s="66">
        <x:f>REMUNERACION_ENEL!V106</x:f>
        <x:v>0</x:v>
      </x:c>
      <x:c r="W11" s="66">
        <x:f>REMUNERACION_ENEL!W106</x:f>
        <x:v>0</x:v>
      </x:c>
      <x:c r="X11" s="66">
        <x:f>REMUNERACION_ENEL!X106</x:f>
        <x:v>0</x:v>
      </x:c>
      <x:c r="Y11" s="66">
        <x:f>REMUNERACION_ENEL!Y106</x:f>
        <x:v>0</x:v>
      </x:c>
      <x:c r="Z11" s="66">
        <x:f>REMUNERACION_ENEL!Z106</x:f>
        <x:v>-154788536</x:v>
      </x:c>
      <x:c r="AA11" s="66">
        <x:f>REMUNERACION_ENEL!AA106</x:f>
        <x:v>0</x:v>
      </x:c>
      <x:c r="AB11" s="66">
        <x:f>REMUNERACION_ENEL!AB106</x:f>
        <x:v>0</x:v>
      </x:c>
      <x:c r="AC11" s="66">
        <x:f>REMUNERACION_ENEL!AC106</x:f>
        <x:v>0</x:v>
      </x:c>
      <x:c r="AD11" s="66">
        <x:f>REMUNERACION_ENEL!AD106</x:f>
        <x:v>0</x:v>
      </x:c>
      <x:c r="AE11" s="66">
        <x:f>REMUNERACION_ENEL!AE106</x:f>
        <x:v>0</x:v>
      </x:c>
      <x:c r="AF11" s="70">
        <x:f>SUM(U11:AD11)</x:f>
        <x:v>-154788536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3">
      <x:c r="B12" s="16">
        <x:v>4</x:v>
      </x:c>
      <x:c r="C12" s="62" t="s">
        <x:v>13</x:v>
      </x:c>
      <x:c r="D12" s="66">
        <x:f>REMUNERACION_ENEL!D107</x:f>
        <x:v>0</x:v>
      </x:c>
      <x:c r="E12" s="66">
        <x:f>REMUNERACION_ENEL!E107</x:f>
        <x:v>0</x:v>
      </x:c>
      <x:c r="F12" s="66">
        <x:f>REMUNERACION_ENEL!F107</x:f>
        <x:v>0</x:v>
      </x:c>
      <x:c r="G12" s="66">
        <x:f>REMUNERACION_ENEL!G107</x:f>
        <x:v>0</x:v>
      </x:c>
      <x:c r="H12" s="66">
        <x:f>REMUNERACION_ENEL!H107</x:f>
        <x:v>0</x:v>
      </x:c>
      <x:c r="I12" s="66">
        <x:f>REMUNERACION_ENEL!I107</x:f>
        <x:v>0</x:v>
      </x:c>
      <x:c r="J12" s="66">
        <x:f>REMUNERACION_ENEL!J107</x:f>
        <x:v>0</x:v>
      </x:c>
      <x:c r="K12" s="31">
        <x:f t="shared" si="0"/>
        <x:v>0</x:v>
      </x:c>
      <x:c r="L12" s="66">
        <x:f>REMUNERACION_ENEL!L107</x:f>
        <x:v>120391083</x:v>
      </x:c>
      <x:c r="M12" s="31">
        <x:f>K12-L12</x:f>
        <x:v>-120391083</x:v>
      </x:c>
      <x:c r="N12" s="66">
        <x:f>REMUNERACION_ENEL!N107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REMUNERACION_ENEL!U107</x:f>
        <x:v>0</x:v>
      </x:c>
      <x:c r="V12" s="66">
        <x:f>REMUNERACION_ENEL!V107</x:f>
        <x:v>0</x:v>
      </x:c>
      <x:c r="W12" s="66">
        <x:f>REMUNERACION_ENEL!W107</x:f>
        <x:v>0</x:v>
      </x:c>
      <x:c r="X12" s="66">
        <x:f>REMUNERACION_ENEL!X107</x:f>
        <x:v>0</x:v>
      </x:c>
      <x:c r="Y12" s="66">
        <x:f>REMUNERACION_ENEL!Y107</x:f>
        <x:v>0</x:v>
      </x:c>
      <x:c r="Z12" s="66">
        <x:f>REMUNERACION_ENEL!Z107</x:f>
        <x:v>-120391083</x:v>
      </x:c>
      <x:c r="AA12" s="66">
        <x:f>REMUNERACION_ENEL!AA107</x:f>
        <x:v>0</x:v>
      </x:c>
      <x:c r="AB12" s="66">
        <x:f>REMUNERACION_ENEL!AB107</x:f>
        <x:v>0</x:v>
      </x:c>
      <x:c r="AC12" s="66">
        <x:f>REMUNERACION_ENEL!AC107</x:f>
        <x:v>0</x:v>
      </x:c>
      <x:c r="AD12" s="66">
        <x:f>REMUNERACION_ENEL!AD107</x:f>
        <x:v>0</x:v>
      </x:c>
      <x:c r="AE12" s="66">
        <x:f>REMUNERACION_ENEL!AE107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" thickBot="1" x14ac:dyDescent="0.35">
      <x:c r="B13" s="19">
        <x:v>5</x:v>
      </x:c>
      <x:c r="C13" s="63" t="s">
        <x:v>14</x:v>
      </x:c>
      <x:c r="D13" s="66">
        <x:f>REMUNERACION_ENEL!D108</x:f>
        <x:v>0</x:v>
      </x:c>
      <x:c r="E13" s="66">
        <x:f>REMUNERACION_ENEL!E108</x:f>
        <x:v>0</x:v>
      </x:c>
      <x:c r="F13" s="66">
        <x:f>REMUNERACION_ENEL!F108</x:f>
        <x:v>0</x:v>
      </x:c>
      <x:c r="G13" s="66">
        <x:f>REMUNERACION_ENEL!G108</x:f>
        <x:v>0</x:v>
      </x:c>
      <x:c r="H13" s="66">
        <x:f>REMUNERACION_ENEL!H108</x:f>
        <x:v>0</x:v>
      </x:c>
      <x:c r="I13" s="66">
        <x:f>REMUNERACION_ENEL!I108</x:f>
        <x:v>0</x:v>
      </x:c>
      <x:c r="J13" s="66">
        <x:f>REMUNERACION_ENEL!J108</x:f>
        <x:v>0</x:v>
      </x:c>
      <x:c r="K13" s="31">
        <x:f t="shared" si="0"/>
        <x:v>0</x:v>
      </x:c>
      <x:c r="L13" s="66">
        <x:f>REMUNERACION_ENEL!L108</x:f>
        <x:v>128990446</x:v>
      </x:c>
      <x:c r="M13" s="40">
        <x:f>K13-L13</x:f>
        <x:v>-128990446</x:v>
      </x:c>
      <x:c r="N13" s="66">
        <x:f>REMUNERACION_ENEL!N108</x:f>
        <x:v>0</x:v>
      </x:c>
      <x:c r="O13" s="40">
        <x:f t="shared" si="1"/>
        <x:v>-128990446</x:v>
      </x:c>
      <x:c r="Q13" s="4"/>
      <x:c r="S13" s="19">
        <x:v>5</x:v>
      </x:c>
      <x:c r="T13" s="63" t="s">
        <x:v>14</x:v>
      </x:c>
      <x:c r="U13" s="66">
        <x:f>REMUNERACION_ENEL!U108</x:f>
        <x:v>0</x:v>
      </x:c>
      <x:c r="V13" s="66">
        <x:f>REMUNERACION_ENEL!V108</x:f>
        <x:v>0</x:v>
      </x:c>
      <x:c r="W13" s="66">
        <x:f>REMUNERACION_ENEL!W108</x:f>
        <x:v>0</x:v>
      </x:c>
      <x:c r="X13" s="66">
        <x:f>REMUNERACION_ENEL!X108</x:f>
        <x:v>0</x:v>
      </x:c>
      <x:c r="Y13" s="66">
        <x:f>REMUNERACION_ENEL!Y108</x:f>
        <x:v>0</x:v>
      </x:c>
      <x:c r="Z13" s="66">
        <x:f>REMUNERACION_ENEL!Z108</x:f>
        <x:v>-128990446</x:v>
      </x:c>
      <x:c r="AA13" s="66">
        <x:f>REMUNERACION_ENEL!AA108</x:f>
        <x:v>0</x:v>
      </x:c>
      <x:c r="AB13" s="66">
        <x:f>REMUNERACION_ENEL!AB108</x:f>
        <x:v>0</x:v>
      </x:c>
      <x:c r="AC13" s="66">
        <x:f>REMUNERACION_ENEL!AC108</x:f>
        <x:v>0</x:v>
      </x:c>
      <x:c r="AD13" s="66">
        <x:f>REMUNERACION_ENEL!AD108</x:f>
        <x:v>0</x:v>
      </x:c>
      <x:c r="AE13" s="66">
        <x:f>REMUNERACION_ENEL!AE108</x:f>
        <x:v>0</x:v>
      </x:c>
      <x:c r="AF13" s="70">
        <x:f>SUM(U13:AD13)</x:f>
        <x:v>-128990446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2.9" thickBot="1" x14ac:dyDescent="0.3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859936309</x:v>
      </x:c>
      <x:c r="M14" s="76">
        <x:f t="shared" si="3"/>
        <x:v>-859936309</x:v>
      </x:c>
      <x:c r="N14" s="23">
        <x:f t="shared" si="3"/>
        <x:v>0</x:v>
      </x:c>
      <x:c r="O14" s="76">
        <x:f t="shared" si="3"/>
        <x:v>-859936309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-859936309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-859936309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" thickBot="1" x14ac:dyDescent="0.3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" thickBot="1" x14ac:dyDescent="0.3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3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3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35">
      <x:c r="Q20" s="4"/>
    </x:row>
    <x:row r="21" spans="1:35" x14ac:dyDescent="0.3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4.15" x14ac:dyDescent="0.3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REMUNERACION_ENEL!M117</x:f>
        <x:v>2026101</x:v>
      </x:c>
      <x:c r="O22" s="10"/>
      <x:c r="P22" s="2"/>
      <x:c r="Q22" s="4"/>
    </x:row>
    <x:row r="23" spans="1:35" ht="15.45" x14ac:dyDescent="0.4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3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3">
      <x:c r="B25" s="8"/>
      <x:c r="I25" s="2"/>
      <x:c r="J25" s="2"/>
      <x:c r="O25" s="10"/>
      <x:c r="P25" s="2"/>
      <x:c r="Q25" s="4"/>
    </x:row>
    <x:row r="26" spans="1:35" ht="15.45" x14ac:dyDescent="0.4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3">
      <x:c r="B27" s="8"/>
      <x:c r="F27" s="2" t="s">
        <x:v>27</x:v>
      </x:c>
      <x:c r="G27" s="2"/>
      <x:c r="H27" s="9">
        <x:f>REMUNERACION_ENEL!G122</x:f>
        <x:v>46281</x:v>
      </x:c>
      <x:c r="J27" s="2" t="s">
        <x:v>28</x:v>
      </x:c>
      <x:c r="K27" s="9">
        <x:f>REMUNERACION_ENEL!K122</x:f>
        <x:v>46295</x:v>
      </x:c>
      <x:c r="O27" s="10"/>
      <x:c r="P27" s="2"/>
      <x:c r="Q27" s="4"/>
    </x:row>
    <x:row r="28" spans="1:35" ht="12" thickBot="1" x14ac:dyDescent="0.3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6.75" thickBot="1" x14ac:dyDescent="0.3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3">
      <x:c r="B30" s="108">
        <x:v>1</x:v>
      </x:c>
      <x:c r="C30" s="109" t="s">
        <x:v>10</x:v>
      </x:c>
      <x:c r="D30" s="110">
        <x:f>REMUNERACION_ENEL!D125</x:f>
        <x:v>0</x:v>
      </x:c>
      <x:c r="E30" s="111">
        <x:f>REMUNERACION_ENEL!E125</x:f>
        <x:v>0</x:v>
      </x:c>
      <x:c r="G30" s="336">
        <x:f>REMUNERACION_ENEL!G125</x:f>
        <x:v>0</x:v>
      </x:c>
      <x:c r="H30" s="310">
        <x:f>REMUNERACION_ENEL!H125</x:f>
        <x:v>0</x:v>
      </x:c>
      <x:c r="I30" s="309">
        <x:f>REMUNERACION_ENEL!I125</x:f>
        <x:v>0</x:v>
      </x:c>
      <x:c r="J30" s="309">
        <x:f>REMUNERACION_ENEL!J125</x:f>
        <x:v>0</x:v>
      </x:c>
      <x:c r="K30" s="309">
        <x:f>REMUNERACION_ENEL!K125</x:f>
        <x:v>0</x:v>
      </x:c>
      <x:c r="L30" s="309">
        <x:f>REMUNERACION_ENEL!L125</x:f>
        <x:v>0</x:v>
      </x:c>
      <x:c r="O30" s="44"/>
      <x:c r="Q30" s="4"/>
    </x:row>
    <x:row r="31" spans="1:35" x14ac:dyDescent="0.3">
      <x:c r="B31" s="16">
        <x:v>2</x:v>
      </x:c>
      <x:c r="C31" s="17" t="s">
        <x:v>11</x:v>
      </x:c>
      <x:c r="D31" s="15">
        <x:f>REMUNERACION_ENEL!D126</x:f>
        <x:v>0</x:v>
      </x:c>
      <x:c r="E31" s="74">
        <x:f>REMUNERACION_ENEL!E126</x:f>
        <x:v>0</x:v>
      </x:c>
      <x:c r="G31" s="339">
        <x:f>REMUNERACION_ENEL!G126</x:f>
        <x:v>0</x:v>
      </x:c>
      <x:c r="H31" s="340">
        <x:f>REMUNERACION_ENEL!H126</x:f>
        <x:v>0</x:v>
      </x:c>
      <x:c r="I31" s="288">
        <x:f>REMUNERACION_ENEL!I126</x:f>
        <x:v>0</x:v>
      </x:c>
      <x:c r="J31" s="288">
        <x:f>REMUNERACION_ENEL!J126</x:f>
        <x:v>0</x:v>
      </x:c>
      <x:c r="K31" s="288">
        <x:f>REMUNERACION_ENEL!K126</x:f>
        <x:v>0</x:v>
      </x:c>
      <x:c r="L31" s="288">
        <x:f>REMUNERACION_ENEL!L126</x:f>
        <x:v>0</x:v>
      </x:c>
      <x:c r="O31" s="44"/>
      <x:c r="Q31" s="4"/>
    </x:row>
    <x:row r="32" spans="1:35" x14ac:dyDescent="0.3">
      <x:c r="B32" s="16">
        <x:v>3</x:v>
      </x:c>
      <x:c r="C32" s="17" t="s">
        <x:v>12</x:v>
      </x:c>
      <x:c r="D32" s="15">
        <x:f>REMUNERACION_ENEL!D127</x:f>
        <x:v>0</x:v>
      </x:c>
      <x:c r="E32" s="74">
        <x:f>REMUNERACION_ENEL!E127</x:f>
        <x:v>0</x:v>
      </x:c>
      <x:c r="G32" s="339">
        <x:f>REMUNERACION_ENEL!G127</x:f>
        <x:v>0</x:v>
      </x:c>
      <x:c r="H32" s="340">
        <x:f>REMUNERACION_ENEL!H127</x:f>
        <x:v>0</x:v>
      </x:c>
      <x:c r="I32" s="288">
        <x:f>REMUNERACION_ENEL!I127</x:f>
        <x:v>0</x:v>
      </x:c>
      <x:c r="J32" s="288">
        <x:f>REMUNERACION_ENEL!J127</x:f>
        <x:v>0</x:v>
      </x:c>
      <x:c r="K32" s="288">
        <x:f>REMUNERACION_ENEL!K127</x:f>
        <x:v>0</x:v>
      </x:c>
      <x:c r="L32" s="288">
        <x:f>REMUNERACION_ENEL!L127</x:f>
        <x:v>0</x:v>
      </x:c>
      <x:c r="O32" s="44"/>
      <x:c r="Q32" s="4"/>
    </x:row>
    <x:row r="33" spans="1:20" x14ac:dyDescent="0.3">
      <x:c r="B33" s="16">
        <x:v>4</x:v>
      </x:c>
      <x:c r="C33" s="17" t="s">
        <x:v>13</x:v>
      </x:c>
      <x:c r="D33" s="15">
        <x:f>REMUNERACION_ENEL!D128</x:f>
        <x:v>0</x:v>
      </x:c>
      <x:c r="E33" s="74">
        <x:f>REMUNERACION_ENEL!E128</x:f>
        <x:v>0</x:v>
      </x:c>
      <x:c r="G33" s="339">
        <x:f>REMUNERACION_ENEL!G128</x:f>
        <x:v>0</x:v>
      </x:c>
      <x:c r="H33" s="340">
        <x:f>REMUNERACION_ENEL!H128</x:f>
        <x:v>0</x:v>
      </x:c>
      <x:c r="I33" s="288">
        <x:f>REMUNERACION_ENEL!I128</x:f>
        <x:v>0</x:v>
      </x:c>
      <x:c r="J33" s="288">
        <x:f>REMUNERACION_ENEL!J128</x:f>
        <x:v>0</x:v>
      </x:c>
      <x:c r="K33" s="288">
        <x:f>REMUNERACION_ENEL!K128</x:f>
        <x:v>0</x:v>
      </x:c>
      <x:c r="L33" s="288">
        <x:f>REMUNERACION_ENEL!L128</x:f>
        <x:v>0</x:v>
      </x:c>
      <x:c r="O33" s="44"/>
      <x:c r="Q33" s="4"/>
    </x:row>
    <x:row r="34" spans="1:20" x14ac:dyDescent="0.3">
      <x:c r="B34" s="133">
        <x:v>5</x:v>
      </x:c>
      <x:c r="C34" s="138" t="s">
        <x:v>14</x:v>
      </x:c>
      <x:c r="D34" s="135">
        <x:f>REMUNERACION_ENEL!D129</x:f>
        <x:v>0</x:v>
      </x:c>
      <x:c r="E34" s="139">
        <x:f>REMUNERACION_ENEL!E129</x:f>
        <x:v>0</x:v>
      </x:c>
      <x:c r="G34" s="339">
        <x:f>REMUNERACION_ENEL!G129</x:f>
        <x:v>0</x:v>
      </x:c>
      <x:c r="H34" s="340">
        <x:f>REMUNERACION_ENEL!H129</x:f>
        <x:v>0</x:v>
      </x:c>
      <x:c r="I34" s="288">
        <x:f>REMUNERACION_ENEL!I129</x:f>
        <x:v>0</x:v>
      </x:c>
      <x:c r="J34" s="288">
        <x:f>REMUNERACION_ENEL!J129</x:f>
        <x:v>0</x:v>
      </x:c>
      <x:c r="K34" s="288">
        <x:f>REMUNERACION_ENEL!K129</x:f>
        <x:v>0</x:v>
      </x:c>
      <x:c r="L34" s="288">
        <x:f>REMUNERACION_ENEL!L129</x:f>
        <x:v>0</x:v>
      </x:c>
      <x:c r="O34" s="44"/>
      <x:c r="Q34" s="4"/>
    </x:row>
    <x:row r="35" spans="1:20" ht="12" thickBot="1" x14ac:dyDescent="0.35">
      <x:c r="B35" s="19" t="s">
        <x:v>89</x:v>
      </x:c>
      <x:c r="C35" s="20" t="s">
        <x:v>113</x:v>
      </x:c>
      <x:c r="D35" s="78"/>
      <x:c r="E35" s="79">
        <x:f>REMUNERACION_ENEL!E130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" thickBot="1" x14ac:dyDescent="0.35">
      <x:c r="B36" s="95"/>
      <x:c r="C36" s="106" t="s">
        <x:v>2</x:v>
      </x:c>
      <x:c r="D36" s="107">
        <x:f t="shared" ref="D36" si="5">SUM(D30:D34)</x:f>
        <x:v>0</x:v>
      </x:c>
      <x:c r="E36" s="107">
        <x:f>REMUNERACION_ENEL!E131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x14ac:dyDescent="0.3">
      <x:c r="B37" s="2"/>
      <x:c r="C37" s="2"/>
      <x:c r="D37" s="24"/>
      <x:c r="Q37" s="4"/>
    </x:row>
    <x:row r="38" spans="1:20" x14ac:dyDescent="0.3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3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3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3">
      <x:c r="N42" s="24"/>
      <x:c r="O42" s="24"/>
      <x:c r="Q42" s="24"/>
      <x:c r="T42" s="24"/>
    </x:row>
    <x:row r="43" spans="1:20" x14ac:dyDescent="0.3">
      <x:c r="N43" s="24"/>
      <x:c r="O43" s="24"/>
      <x:c r="Q43" s="24"/>
      <x:c r="T43" s="24"/>
    </x:row>
    <x:row r="44" spans="1:20" x14ac:dyDescent="0.3">
      <x:c r="N44" s="24"/>
      <x:c r="O44" s="24"/>
      <x:c r="Q44" s="24"/>
      <x:c r="T44" s="24"/>
    </x:row>
    <x:row r="45" spans="1:20" x14ac:dyDescent="0.3">
      <x:c r="D45" s="267" t="b">
        <x:f>D14=REMUNERACION_ENEL!D109</x:f>
        <x:v>1</x:v>
      </x:c>
      <x:c r="E45" s="267" t="b">
        <x:f>E14=REMUNERACION_ENEL!E109</x:f>
        <x:v>1</x:v>
      </x:c>
      <x:c r="F45" s="267" t="b">
        <x:f>F14=REMUNERACION_ENEL!F109</x:f>
        <x:v>1</x:v>
      </x:c>
      <x:c r="G45" s="267" t="b">
        <x:f>G14=REMUNERACION_ENEL!G109</x:f>
        <x:v>1</x:v>
      </x:c>
      <x:c r="H45" s="267" t="b">
        <x:f>H14=REMUNERACION_ENEL!H109</x:f>
        <x:v>1</x:v>
      </x:c>
      <x:c r="I45" s="267" t="b">
        <x:f>I14=REMUNERACION_ENEL!I109</x:f>
        <x:v>1</x:v>
      </x:c>
      <x:c r="J45" s="267" t="b">
        <x:f>J14=REMUNERACION_ENEL!J109</x:f>
        <x:v>1</x:v>
      </x:c>
      <x:c r="K45" s="267" t="b">
        <x:f>K14=REMUNERACION_ENEL!K109</x:f>
        <x:v>1</x:v>
      </x:c>
      <x:c r="L45" s="267" t="b">
        <x:f>L14=REMUNERACION_ENEL!L109</x:f>
        <x:v>1</x:v>
      </x:c>
      <x:c r="M45" s="267" t="b">
        <x:f>M14=REMUNERACION_ENEL!M109</x:f>
        <x:v>1</x:v>
      </x:c>
      <x:c r="N45" s="267" t="b">
        <x:f>N14=REMUNERACION_ENEL!N109</x:f>
        <x:v>1</x:v>
      </x:c>
      <x:c r="O45" s="267" t="b">
        <x:f>O14=REMUNERACION_ENEL!O109</x:f>
        <x:v>1</x:v>
      </x:c>
      <x:c r="Q45" s="24"/>
      <x:c r="T45" s="24"/>
    </x:row>
    <x:row r="46" spans="1:20" x14ac:dyDescent="0.3">
      <x:c r="D46" s="267" t="b">
        <x:f>D36=REMUNERACION_ENEL!D131</x:f>
        <x:v>1</x:v>
      </x:c>
      <x:c r="E46" s="267" t="b">
        <x:f>E36=REMUNERACION_ENEL!E131</x:f>
        <x:v>1</x:v>
      </x:c>
      <x:c r="F46" s="267" t="b">
        <x:f>F36=REMUNERACION_ENEL!F131</x:f>
        <x:v>1</x:v>
      </x:c>
      <x:c r="G46" s="267" t="b">
        <x:f>G36=REMUNERACION_ENEL!G131</x:f>
        <x:v>1</x:v>
      </x:c>
      <x:c r="H46" s="267" t="b">
        <x:f>H36=REMUNERACION_ENEL!H131</x:f>
        <x:v>1</x:v>
      </x:c>
      <x:c r="I46" s="267" t="b">
        <x:f>I36=REMUNERACION_ENEL!I131</x:f>
        <x:v>1</x:v>
      </x:c>
      <x:c r="J46" s="267" t="b">
        <x:f>J36=REMUNERACION_ENEL!J131</x:f>
        <x:v>1</x:v>
      </x:c>
      <x:c r="K46" s="267" t="b">
        <x:f>K36=REMUNERACION_ENEL!K131</x:f>
        <x:v>1</x:v>
      </x:c>
      <x:c r="L46" s="267" t="b">
        <x:f>L36=REMUNERACION_ENEL!L131</x:f>
        <x:v>1</x:v>
      </x:c>
      <x:c r="M46" s="267" t="b">
        <x:f>M36=REMUNERACION_ENEL!M131</x:f>
        <x:v>1</x:v>
      </x:c>
      <x:c r="N46" s="267" t="b">
        <x:f>N36=REMUNERACION_ENEL!N131</x:f>
        <x:v>1</x:v>
      </x:c>
      <x:c r="O46" s="267" t="b">
        <x:f>O36=REMUNERACION_ENEL!O131</x:f>
        <x:v>1</x:v>
      </x:c>
      <x:c r="Q46" s="24"/>
      <x:c r="T46" s="24"/>
    </x:row>
    <x:row r="47" spans="1:20" x14ac:dyDescent="0.3">
      <x:c r="N47" s="24"/>
      <x:c r="O47" s="24"/>
      <x:c r="Q47" s="24"/>
      <x:c r="T47" s="24"/>
    </x:row>
    <x:row r="48" spans="1:20" x14ac:dyDescent="0.3">
      <x:c r="N48" s="24"/>
      <x:c r="O48" s="24"/>
      <x:c r="Q48" s="24"/>
      <x:c r="T48" s="24"/>
    </x:row>
    <x:row r="49" spans="14:20" x14ac:dyDescent="0.3">
      <x:c r="N49" s="24"/>
      <x:c r="O49" s="24"/>
      <x:c r="Q49" s="24"/>
      <x:c r="T49" s="24"/>
    </x:row>
    <x:row r="50" spans="14:20" x14ac:dyDescent="0.3">
      <x:c r="N50" s="24"/>
      <x:c r="O50" s="24"/>
      <x:c r="Q50" s="24"/>
      <x:c r="T50" s="24"/>
    </x:row>
    <x:row r="51" spans="14:20" x14ac:dyDescent="0.3">
      <x:c r="Q51" s="24"/>
      <x:c r="T51" s="24"/>
    </x:row>
    <x:row r="52" spans="14:20" x14ac:dyDescent="0.3">
      <x:c r="Q52" s="24"/>
    </x:row>
  </x:sheetData>
  <x:conditionalFormatting sqref="AH9:AH14">
    <x:cfRule type="cellIs" dxfId="41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4936364-1631-4835-94DA-6C268605A859}" mc:Ignorable="x14ac xr xr2 xr3">
  <x:sheetPr>
    <x:tabColor theme="8" tint="0.59999389629810485"/>
    <x:pageSetUpPr fitToPage="1"/>
  </x:sheetPr>
  <x:dimension ref="A1:AJ156"/>
  <x:sheetViews>
    <x:sheetView topLeftCell="A101" zoomScaleNormal="100" workbookViewId="0">
      <x:selection activeCell="A117" sqref="A117"/>
    </x:sheetView>
  </x:sheetViews>
  <x:sheetFormatPr baseColWidth="10" defaultColWidth="11.3828125" defaultRowHeight="11.6" x14ac:dyDescent="0.3"/>
  <x:cols>
    <x:col min="1" max="1" width="3" style="1" customWidth="1"/>
    <x:col min="2" max="2" width="4.3828125" style="1" bestFit="1" customWidth="1"/>
    <x:col min="3" max="3" width="36.84375" style="1" customWidth="1"/>
    <x:col min="4" max="4" width="15.15234375" style="1" customWidth="1"/>
    <x:col min="5" max="5" width="16" style="1" customWidth="1"/>
    <x:col min="6" max="7" width="14.84375" style="1" customWidth="1"/>
    <x:col min="8" max="9" width="16" style="1" customWidth="1"/>
    <x:col min="10" max="10" width="15.53515625" style="1" customWidth="1"/>
    <x:col min="11" max="11" width="17.53515625" style="1" customWidth="1"/>
    <x:col min="12" max="12" width="19.84375" style="1" bestFit="1" customWidth="1"/>
    <x:col min="13" max="13" width="21" style="1" bestFit="1" customWidth="1"/>
    <x:col min="14" max="14" width="15.15234375" style="1" customWidth="1"/>
    <x:col min="15" max="15" width="16.84375" style="1" customWidth="1"/>
    <x:col min="16" max="16" width="3.84375" style="1" customWidth="1"/>
    <x:col min="17" max="17" width="2.84375" style="1" customWidth="1"/>
    <x:col min="18" max="18" width="4.53515625" style="1" customWidth="1"/>
    <x:col min="19" max="19" width="11.15234375" style="1" customWidth="1"/>
    <x:col min="20" max="20" width="37.53515625" style="1" bestFit="1" customWidth="1"/>
    <x:col min="21" max="21" width="19.15234375" style="1" customWidth="1"/>
    <x:col min="22" max="22" width="17.84375" style="1" customWidth="1"/>
    <x:col min="23" max="23" width="16.3828125" style="1" customWidth="1"/>
    <x:col min="24" max="24" width="17.15234375" style="1" customWidth="1"/>
    <x:col min="25" max="25" width="15.84375" style="1" customWidth="1"/>
    <x:col min="26" max="26" width="16" style="1" customWidth="1"/>
    <x:col min="27" max="27" width="15" style="1" customWidth="1"/>
    <x:col min="28" max="29" width="16.84375" style="1" customWidth="1"/>
    <x:col min="30" max="31" width="15.3828125" style="1" customWidth="1"/>
    <x:col min="32" max="32" width="16.15234375" style="1" customWidth="1"/>
    <x:col min="33" max="33" width="18.15234375" style="1" customWidth="1"/>
    <x:col min="34" max="34" width="13.84375" style="1" customWidth="1"/>
    <x:col min="35" max="35" width="3.3828125" style="1" customWidth="1"/>
    <x:col min="36" max="36" width="13.84375" style="1" bestFit="1" customWidth="1"/>
    <x:col min="37" max="16384" width="11.3828125" style="1"/>
  </x:cols>
  <x:sheetData>
    <x:row r="1" spans="1:35" ht="12" thickBot="1" x14ac:dyDescent="0.35">
      <x:c r="A1" s="241"/>
      <x:c r="Q1" s="4"/>
      <x:c r="AI1" s="4"/>
    </x:row>
    <x:row r="2" spans="1:35" x14ac:dyDescent="0.3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4.15" x14ac:dyDescent="0.3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2026101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2026101</x:v>
      </x:c>
      <x:c r="AE3" s="84"/>
      <x:c r="AF3" s="48"/>
      <x:c r="AG3" s="2"/>
      <x:c r="AI3" s="4"/>
    </x:row>
    <x:row r="4" spans="1:35" ht="15.45" x14ac:dyDescent="0.4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4.15" x14ac:dyDescent="0.3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45" x14ac:dyDescent="0.4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" thickBot="1" x14ac:dyDescent="0.3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3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x14ac:dyDescent="0.3">
      <x:c r="B9" s="303">
        <x:v>1</x:v>
      </x:c>
      <x:c r="C9" s="304" t="s">
        <x:v>10</x:v>
      </x:c>
      <x:c r="D9" s="291">
        <x:f>'Reporte Componentes R1'!F90</x:f>
        <x:v>0</x:v>
      </x:c>
      <x:c r="E9" s="291">
        <x:f>'Reporte Componentes R1'!G90</x:f>
        <x:v>0</x:v>
      </x:c>
      <x:c r="F9" s="291">
        <x:f>'Reporte Componentes R1'!H90</x:f>
        <x:v>0</x:v>
      </x:c>
      <x:c r="G9" s="291">
        <x:f>'Reporte Componentes R1'!I90</x:f>
        <x:v>0</x:v>
      </x:c>
      <x:c r="H9" s="291">
        <x:f>'Reporte Componentes R1'!J90</x:f>
        <x:v>0</x:v>
      </x:c>
      <x:c r="I9" s="291">
        <x:f>'Reporte Componentes R1'!K90</x:f>
        <x:v>0</x:v>
      </x:c>
      <x:c r="J9" s="291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R1'!L90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R1'!M90</x:f>
        <x:v>0</x:v>
      </x:c>
      <x:c r="V9" s="307">
        <x:f>'Reporte Componentes R1'!N90</x:f>
        <x:v>0</x:v>
      </x:c>
      <x:c r="W9" s="307">
        <x:f>'Reporte Componentes R1'!O90</x:f>
        <x:v>0</x:v>
      </x:c>
      <x:c r="X9" s="307">
        <x:f>'Reporte Componentes R1'!P90</x:f>
        <x:v>0</x:v>
      </x:c>
      <x:c r="Y9" s="307">
        <x:f>'Reporte Componentes R1'!Q90</x:f>
        <x:v>0</x:v>
      </x:c>
      <x:c r="Z9" s="319">
        <x:f>L9*-1</x:f>
        <x:v>0</x:v>
      </x:c>
      <x:c r="AA9" s="320">
        <x:f>'Reporte Componentes R1'!R90+'Reporte Componentes R1'!V235+'Reporte Componentes R1'!U90</x:f>
        <x:v>0</x:v>
      </x:c>
      <x:c r="AB9" s="294">
        <x:f>N9</x:f>
        <x:v>0</x:v>
      </x:c>
      <x:c r="AC9" s="320">
        <x:f>'Reporte Componentes R1'!T90+'Reporte Componentes R1'!W90+'Reporte Componentes R1'!X90+'Reporte Componentes R1'!Y90+'Reporte Componentes R1'!Z90+'Reporte Componentes R1'!S90</x:f>
        <x:v>0</x:v>
      </x:c>
      <x:c r="AD9" s="291">
        <x:f>-J9+AE9</x:f>
        <x:v>0</x:v>
      </x:c>
      <x:c r="AE9" s="291">
        <x:f>'Reporte Componentes R1'!F91</x:f>
        <x:v>0</x:v>
      </x:c>
      <x:c r="AF9" s="313">
        <x:f>SUM(U9:AD9)</x:f>
        <x:v>0</x:v>
      </x:c>
      <x:c r="AG9" s="311">
        <x:f>(AF9-O9)</x:f>
        <x:v>0</x:v>
      </x:c>
      <x:c r="AH9" s="1" t="b">
        <x:f>INT(AG9)=0</x:f>
        <x:v>1</x:v>
      </x:c>
      <x:c r="AI9" s="306"/>
    </x:row>
    <x:row r="10" spans="1:35" s="305" customFormat="1" x14ac:dyDescent="0.3">
      <x:c r="B10" s="314">
        <x:v>2</x:v>
      </x:c>
      <x:c r="C10" s="315" t="s">
        <x:v>11</x:v>
      </x:c>
      <x:c r="D10" s="291">
        <x:f>'Reporte Componentes R1'!F269</x:f>
        <x:v>0</x:v>
      </x:c>
      <x:c r="E10" s="291">
        <x:f>'Reporte Componentes R1'!G269</x:f>
        <x:v>0</x:v>
      </x:c>
      <x:c r="F10" s="291">
        <x:f>'Reporte Componentes R1'!H269</x:f>
        <x:v>0</x:v>
      </x:c>
      <x:c r="G10" s="291">
        <x:f>'Reporte Componentes R1'!I269</x:f>
        <x:v>0</x:v>
      </x:c>
      <x:c r="H10" s="291">
        <x:f>'Reporte Componentes R1'!J269</x:f>
        <x:v>0</x:v>
      </x:c>
      <x:c r="I10" s="291">
        <x:f>'Reporte Componentes R1'!K269</x:f>
        <x:v>0</x:v>
      </x:c>
      <x:c r="J10" s="291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R1'!L269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R1'!M269</x:f>
        <x:v>0</x:v>
      </x:c>
      <x:c r="V10" s="316">
        <x:f>'Reporte Componentes R1'!N269</x:f>
        <x:v>0</x:v>
      </x:c>
      <x:c r="W10" s="316">
        <x:f>'Reporte Componentes R1'!O269</x:f>
        <x:v>0</x:v>
      </x:c>
      <x:c r="X10" s="316">
        <x:f>'Reporte Componentes R1'!P269</x:f>
        <x:v>0</x:v>
      </x:c>
      <x:c r="Y10" s="316">
        <x:f>'Reporte Componentes R1'!Q269</x:f>
        <x:v>0</x:v>
      </x:c>
      <x:c r="Z10" s="319">
        <x:f>L10*-1</x:f>
        <x:v>0</x:v>
      </x:c>
      <x:c r="AA10" s="320">
        <x:f>'Reporte Componentes R1'!R269+'Reporte Componentes R1'!V269+'Reporte Componentes R1'!U269</x:f>
        <x:v>0</x:v>
      </x:c>
      <x:c r="AB10" s="294">
        <x:f>N10</x:f>
        <x:v>0</x:v>
      </x:c>
      <x:c r="AC10" s="320">
        <x:f>'Reporte Componentes R1'!T370+'Reporte Componentes R1'!W370+'Reporte Componentes R1'!X370+'Reporte Componentes R1'!Y370+'Reporte Componentes R1'!Z370+'Reporte Componentes R1'!S370</x:f>
        <x:v>0</x:v>
      </x:c>
      <x:c r="AD10" s="291">
        <x:f t="shared" ref="AD10:AD13" si="2">-J10+AE10</x:f>
        <x:v>0</x:v>
      </x:c>
      <x:c r="AE10" s="291">
        <x:f>'Reporte Componentes R1'!F270</x:f>
        <x:v>0</x:v>
      </x:c>
      <x:c r="AF10" s="322">
        <x:f>SUM(U10:AD10)</x:f>
        <x:v>0</x:v>
      </x:c>
      <x:c r="AG10" s="323">
        <x:f>(AF10-O10)</x:f>
        <x:v>0</x:v>
      </x:c>
      <x:c r="AH10" s="1" t="b">
        <x:f t="shared" ref="AH10:AH14" si="3">INT(AG10)=0</x:f>
        <x:v>1</x:v>
      </x:c>
      <x:c r="AI10" s="306"/>
    </x:row>
    <x:row r="11" spans="1:35" s="305" customFormat="1" x14ac:dyDescent="0.3">
      <x:c r="B11" s="314">
        <x:v>3</x:v>
      </x:c>
      <x:c r="C11" s="315" t="s">
        <x:v>12</x:v>
      </x:c>
      <x:c r="D11" s="291">
        <x:f>'Reporte Componentes R1'!F430</x:f>
        <x:v>0</x:v>
      </x:c>
      <x:c r="E11" s="291">
        <x:f>'Reporte Componentes R1'!G430</x:f>
        <x:v>0</x:v>
      </x:c>
      <x:c r="F11" s="291">
        <x:f>'Reporte Componentes R1'!H430</x:f>
        <x:v>0</x:v>
      </x:c>
      <x:c r="G11" s="291">
        <x:f>'Reporte Componentes R1'!I430</x:f>
        <x:v>0</x:v>
      </x:c>
      <x:c r="H11" s="291">
        <x:f>'Reporte Componentes R1'!J430</x:f>
        <x:v>0</x:v>
      </x:c>
      <x:c r="I11" s="291">
        <x:f>'Reporte Componentes R1'!K430</x:f>
        <x:v>0</x:v>
      </x:c>
      <x:c r="J11" s="291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R1'!L430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R1'!M430</x:f>
        <x:v>0</x:v>
      </x:c>
      <x:c r="V11" s="316">
        <x:f>'Reporte Componentes R1'!N430</x:f>
        <x:v>0</x:v>
      </x:c>
      <x:c r="W11" s="316">
        <x:f>'Reporte Componentes R1'!O430</x:f>
        <x:v>0</x:v>
      </x:c>
      <x:c r="X11" s="316">
        <x:f>'Reporte Componentes R1'!P430</x:f>
        <x:v>0</x:v>
      </x:c>
      <x:c r="Y11" s="316">
        <x:f>'Reporte Componentes R1'!Q430</x:f>
        <x:v>0</x:v>
      </x:c>
      <x:c r="Z11" s="319">
        <x:f>L11*-1</x:f>
        <x:v>0</x:v>
      </x:c>
      <x:c r="AA11" s="320">
        <x:f>'Reporte Componentes R1'!R430+'Reporte Componentes R1'!V430+'Reporte Componentes R1'!U430</x:f>
        <x:v>0</x:v>
      </x:c>
      <x:c r="AB11" s="294">
        <x:f>N11</x:f>
        <x:v>0</x:v>
      </x:c>
      <x:c r="AC11" s="320">
        <x:f>'Reporte Componentes R1'!T430+'Reporte Componentes R1'!W430+'Reporte Componentes R1'!X430+'Reporte Componentes R1'!Y430+'Reporte Componentes R1'!Z430+'Reporte Componentes R1'!S430</x:f>
        <x:v>0</x:v>
      </x:c>
      <x:c r="AD11" s="291">
        <x:f t="shared" si="2"/>
        <x:v>0</x:v>
      </x:c>
      <x:c r="AE11" s="291">
        <x:f>'Reporte Componentes R1'!F431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1" t="b">
        <x:f t="shared" si="3"/>
        <x:v>1</x:v>
      </x:c>
      <x:c r="AI11" s="306"/>
    </x:row>
    <x:row r="12" spans="1:35" s="305" customFormat="1" x14ac:dyDescent="0.3">
      <x:c r="B12" s="314">
        <x:v>4</x:v>
      </x:c>
      <x:c r="C12" s="315" t="s">
        <x:v>13</x:v>
      </x:c>
      <x:c r="D12" s="291">
        <x:f>'Reporte Componentes R1'!F583</x:f>
        <x:v>0</x:v>
      </x:c>
      <x:c r="E12" s="291">
        <x:f>'Reporte Componentes R1'!G583</x:f>
        <x:v>0</x:v>
      </x:c>
      <x:c r="F12" s="291">
        <x:f>'Reporte Componentes R1'!H583</x:f>
        <x:v>0</x:v>
      </x:c>
      <x:c r="G12" s="291">
        <x:f>'Reporte Componentes R1'!I583</x:f>
        <x:v>0</x:v>
      </x:c>
      <x:c r="H12" s="291">
        <x:f>'Reporte Componentes R1'!J583</x:f>
        <x:v>0</x:v>
      </x:c>
      <x:c r="I12" s="291">
        <x:f>'Reporte Componentes R1'!K583</x:f>
        <x:v>0</x:v>
      </x:c>
      <x:c r="J12" s="291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R1'!L583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R1'!M583</x:f>
        <x:v>0</x:v>
      </x:c>
      <x:c r="V12" s="316">
        <x:f>'Reporte Componentes R1'!N583</x:f>
        <x:v>0</x:v>
      </x:c>
      <x:c r="W12" s="316">
        <x:f>'Reporte Componentes R1'!O583</x:f>
        <x:v>0</x:v>
      </x:c>
      <x:c r="X12" s="316">
        <x:f>'Reporte Componentes R1'!P583</x:f>
        <x:v>0</x:v>
      </x:c>
      <x:c r="Y12" s="316">
        <x:f>'Reporte Componentes R1'!Q583</x:f>
        <x:v>0</x:v>
      </x:c>
      <x:c r="Z12" s="319">
        <x:f>L12*-1</x:f>
        <x:v>0</x:v>
      </x:c>
      <x:c r="AA12" s="320">
        <x:f>'Reporte Componentes R1'!R583+'Reporte Componentes R1'!V583+'Reporte Componentes R1'!U583</x:f>
        <x:v>0</x:v>
      </x:c>
      <x:c r="AB12" s="294">
        <x:f>N12</x:f>
        <x:v>0</x:v>
      </x:c>
      <x:c r="AC12" s="320">
        <x:f>'Reporte Componentes R1'!T583+'Reporte Componentes R1'!W583+'Reporte Componentes R1'!X583+'Reporte Componentes R1'!Y583+'Reporte Componentes R1'!Z583+'Reporte Componentes R1'!S583</x:f>
        <x:v>0</x:v>
      </x:c>
      <x:c r="AD12" s="291">
        <x:f t="shared" si="2"/>
        <x:v>0</x:v>
      </x:c>
      <x:c r="AE12" s="291">
        <x:f>'Reporte Componentes R1'!F584</x:f>
        <x:v>0</x:v>
      </x:c>
      <x:c r="AF12" s="322">
        <x:f t="shared" si="4"/>
        <x:v>0</x:v>
      </x:c>
      <x:c r="AG12" s="323">
        <x:f>(AF12-O12)</x:f>
        <x:v>0</x:v>
      </x:c>
      <x:c r="AH12" s="1" t="b">
        <x:f t="shared" si="3"/>
        <x:v>1</x:v>
      </x:c>
      <x:c r="AI12" s="306"/>
    </x:row>
    <x:row r="13" spans="1:35" s="305" customFormat="1" ht="12" thickBot="1" x14ac:dyDescent="0.35">
      <x:c r="B13" s="324">
        <x:v>5</x:v>
      </x:c>
      <x:c r="C13" s="325" t="s">
        <x:v>14</x:v>
      </x:c>
      <x:c r="D13" s="296">
        <x:f>'Reporte Componentes R1'!F695</x:f>
        <x:v>0</x:v>
      </x:c>
      <x:c r="E13" s="296">
        <x:f>'Reporte Componentes R1'!G695</x:f>
        <x:v>0</x:v>
      </x:c>
      <x:c r="F13" s="296">
        <x:f>'Reporte Componentes R1'!H695</x:f>
        <x:v>0</x:v>
      </x:c>
      <x:c r="G13" s="296">
        <x:f>'Reporte Componentes R1'!I695</x:f>
        <x:v>0</x:v>
      </x:c>
      <x:c r="H13" s="296">
        <x:f>'Reporte Componentes R1'!J695</x:f>
        <x:v>0</x:v>
      </x:c>
      <x:c r="I13" s="296">
        <x:f>'Reporte Componentes R1'!K695</x:f>
        <x:v>0</x:v>
      </x:c>
      <x:c r="J13" s="296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R1'!L695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R1'!M695</x:f>
        <x:v>0</x:v>
      </x:c>
      <x:c r="V13" s="296">
        <x:f>'Reporte Componentes R1'!N695</x:f>
        <x:v>0</x:v>
      </x:c>
      <x:c r="W13" s="296">
        <x:f>'Reporte Componentes R1'!O695</x:f>
        <x:v>0</x:v>
      </x:c>
      <x:c r="X13" s="296">
        <x:f>'Reporte Componentes R1'!P695</x:f>
        <x:v>0</x:v>
      </x:c>
      <x:c r="Y13" s="296">
        <x:f>'Reporte Componentes R1'!Q695</x:f>
        <x:v>0</x:v>
      </x:c>
      <x:c r="Z13" s="319">
        <x:f>L13*-1</x:f>
        <x:v>0</x:v>
      </x:c>
      <x:c r="AA13" s="320">
        <x:f>'Reporte Componentes R1'!R695+'Reporte Componentes R1'!V695+'Reporte Componentes R1'!U695</x:f>
        <x:v>0</x:v>
      </x:c>
      <x:c r="AB13" s="294">
        <x:f>N13</x:f>
        <x:v>0</x:v>
      </x:c>
      <x:c r="AC13" s="320">
        <x:f>'Reporte Componentes R1'!T695+'Reporte Componentes R1'!W695+'Reporte Componentes R1'!X695+'Reporte Componentes R1'!Y695+'Reporte Componentes R1'!Z695+'Reporte Componentes R1'!S695</x:f>
        <x:v>0</x:v>
      </x:c>
      <x:c r="AD13" s="291">
        <x:f t="shared" si="2"/>
        <x:v>0</x:v>
      </x:c>
      <x:c r="AE13" s="291">
        <x:f>'Reporte Componentes R1'!F696</x:f>
        <x:v>0</x:v>
      </x:c>
      <x:c r="AF13" s="322">
        <x:f t="shared" si="4"/>
        <x:v>0</x:v>
      </x:c>
      <x:c r="AG13" s="326">
        <x:f>(AF13-O13)</x:f>
        <x:v>0</x:v>
      </x:c>
      <x:c r="AH13" s="1" t="b">
        <x:f t="shared" si="3"/>
        <x:v>1</x:v>
      </x:c>
      <x:c r="AI13" s="306"/>
    </x:row>
    <x:row r="14" spans="1:35" s="305" customFormat="1" ht="12.9" thickBot="1" x14ac:dyDescent="0.3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1" t="b">
        <x:f t="shared" si="3"/>
        <x:v>1</x:v>
      </x:c>
      <x:c r="AI14" s="306"/>
    </x:row>
    <x:row r="15" spans="1:35" ht="12" thickBot="1" x14ac:dyDescent="0.3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" thickBot="1" x14ac:dyDescent="0.3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" thickBot="1" x14ac:dyDescent="0.3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3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1"/>
      <x:c r="K18" s="24"/>
      <x:c r="L18" s="24"/>
      <x:c r="M18" s="24"/>
      <x:c r="N18" s="24"/>
      <x:c r="O18" s="24"/>
      <x:c r="Q18" s="4"/>
      <x:c r="AI18" s="4"/>
    </x:row>
    <x:row r="19" spans="1:35" x14ac:dyDescent="0.3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35">
      <x:c r="Q20" s="4"/>
      <x:c r="AI20" s="4"/>
    </x:row>
    <x:row r="21" spans="1:35" x14ac:dyDescent="0.3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4.15" x14ac:dyDescent="0.3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2026101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2026101</x:v>
      </x:c>
      <x:c r="AE22" s="84"/>
      <x:c r="AF22" s="48"/>
      <x:c r="AG22" s="2"/>
      <x:c r="AI22" s="4"/>
    </x:row>
    <x:row r="23" spans="1:35" ht="15.45" x14ac:dyDescent="0.4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4.15" x14ac:dyDescent="0.3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45" x14ac:dyDescent="0.4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" thickBot="1" x14ac:dyDescent="0.3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3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x14ac:dyDescent="0.3">
      <x:c r="B28" s="303">
        <x:v>1</x:v>
      </x:c>
      <x:c r="C28" s="304" t="s">
        <x:v>10</x:v>
      </x:c>
      <x:c r="D28" s="291">
        <x:f>'Rem. Anticipos R2'!E56</x:f>
        <x:v>0</x:v>
      </x:c>
      <x:c r="E28" s="291">
        <x:f>'Rem. Anticipos R2'!F56</x:f>
        <x:v>0</x:v>
      </x:c>
      <x:c r="F28" s="291">
        <x:f>'Rem. Anticipos R2'!G56</x:f>
        <x:v>0</x:v>
      </x:c>
      <x:c r="G28" s="291">
        <x:f>'Rem. Anticipos R2'!H56</x:f>
        <x:v>0</x:v>
      </x:c>
      <x:c r="H28" s="291">
        <x:f>'Rem. Anticipos R2'!I56</x:f>
        <x:v>0</x:v>
      </x:c>
      <x:c r="I28" s="291">
        <x:f>'Rem. Anticipos R2'!J56</x:f>
        <x:v>0</x:v>
      </x:c>
      <x:c r="J28" s="291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R2'!K56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R2'!L56</x:f>
        <x:v>0</x:v>
      </x:c>
      <x:c r="V28" s="307">
        <x:f>'Rem. Anticipos R2'!M56</x:f>
        <x:v>0</x:v>
      </x:c>
      <x:c r="W28" s="307">
        <x:f>'Rem. Anticipos R2'!N56</x:f>
        <x:v>0</x:v>
      </x:c>
      <x:c r="X28" s="307">
        <x:f>'Rem. Anticipos R2'!O56</x:f>
        <x:v>0</x:v>
      </x:c>
      <x:c r="Y28" s="307">
        <x:f>'Rem. Anticipos R2'!P56</x:f>
        <x:v>0</x:v>
      </x:c>
      <x:c r="Z28" s="310">
        <x:f>L28*-1</x:f>
        <x:v>0</x:v>
      </x:c>
      <x:c r="AA28" s="311">
        <x:f>'Rem. Anticipos R2'!Q56</x:f>
        <x:v>0</x:v>
      </x:c>
      <x:c r="AB28" s="294">
        <x:f>N28</x:f>
        <x:v>0</x:v>
      </x:c>
      <x:c r="AC28" s="311">
        <x:f>'Rem. Anticipos R2'!R56</x:f>
        <x:v>0</x:v>
      </x:c>
      <x:c r="AD28" s="291">
        <x:f>-J28+AE28</x:f>
        <x:v>0</x:v>
      </x:c>
      <x:c r="AE28" s="291">
        <x:f>'Rem. Anticipos R2'!E57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3">
      <x:c r="B29" s="314">
        <x:v>2</x:v>
      </x:c>
      <x:c r="C29" s="315" t="s">
        <x:v>11</x:v>
      </x:c>
      <x:c r="D29" s="291">
        <x:f>'Rem. Anticipos R2'!E164</x:f>
        <x:v>0</x:v>
      </x:c>
      <x:c r="E29" s="292">
        <x:f>'Rem. Anticipos R2'!F164</x:f>
        <x:v>0</x:v>
      </x:c>
      <x:c r="F29" s="292">
        <x:f>'Rem. Anticipos R2'!G164</x:f>
        <x:v>0</x:v>
      </x:c>
      <x:c r="G29" s="292">
        <x:f>'Rem. Anticipos R2'!H164</x:f>
        <x:v>0</x:v>
      </x:c>
      <x:c r="H29" s="292">
        <x:f>'Rem. Anticipos R2'!I164</x:f>
        <x:v>0</x:v>
      </x:c>
      <x:c r="I29" s="292">
        <x:f>'Rem. Anticipos R2'!J164</x:f>
        <x:v>0</x:v>
      </x:c>
      <x:c r="J29" s="288">
        <x:v>0</x:v>
      </x:c>
      <x:c r="K29" s="295">
        <x:f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R2'!K164</x:f>
        <x:v>0</x:v>
      </x:c>
      <x:c r="O29" s="295">
        <x:f t="shared" ref="O29:O32" si="7">M29+N29</x:f>
        <x:v>0</x:v>
      </x:c>
      <x:c r="Q29" s="306"/>
      <x:c r="S29" s="314">
        <x:v>2</x:v>
      </x:c>
      <x:c r="T29" s="315" t="s">
        <x:v>11</x:v>
      </x:c>
      <x:c r="U29" s="316">
        <x:f>'Rem. Anticipos R2'!L164</x:f>
        <x:v>0</x:v>
      </x:c>
      <x:c r="V29" s="317">
        <x:f>'Rem. Anticipos R2'!M164</x:f>
        <x:v>0</x:v>
      </x:c>
      <x:c r="W29" s="317">
        <x:f>'Rem. Anticipos R2'!N164</x:f>
        <x:v>0</x:v>
      </x:c>
      <x:c r="X29" s="317">
        <x:f>'Rem. Anticipos R2'!O164</x:f>
        <x:v>0</x:v>
      </x:c>
      <x:c r="Y29" s="318">
        <x:f>'Rem. Anticipos R2'!P164</x:f>
        <x:v>0</x:v>
      </x:c>
      <x:c r="Z29" s="319">
        <x:f>L29*-1</x:f>
        <x:v>0</x:v>
      </x:c>
      <x:c r="AA29" s="320">
        <x:f>'Rem. Anticipos R2'!Q164</x:f>
        <x:v>0</x:v>
      </x:c>
      <x:c r="AB29" s="294">
        <x:f>N29</x:f>
        <x:v>0</x:v>
      </x:c>
      <x:c r="AC29" s="320">
        <x:f>'Rem. Anticipos R2'!R164</x:f>
        <x:v>0</x:v>
      </x:c>
      <x:c r="AD29" s="291">
        <x:f>-J29+AE29</x:f>
        <x:v>0</x:v>
      </x:c>
      <x:c r="AE29" s="291">
        <x:f>'Rem. Anticipos R2'!E165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8">INT(AG29)=0</x:f>
        <x:v>1</x:v>
      </x:c>
      <x:c r="AI29" s="306"/>
    </x:row>
    <x:row r="30" spans="1:35" s="305" customFormat="1" x14ac:dyDescent="0.3">
      <x:c r="B30" s="314">
        <x:v>3</x:v>
      </x:c>
      <x:c r="C30" s="315" t="s">
        <x:v>12</x:v>
      </x:c>
      <x:c r="D30" s="291">
        <x:f>'Rem. Anticipos R2'!E282</x:f>
        <x:v>0</x:v>
      </x:c>
      <x:c r="E30" s="291">
        <x:f>'Rem. Anticipos R2'!F282</x:f>
        <x:v>0</x:v>
      </x:c>
      <x:c r="F30" s="291">
        <x:f>'Rem. Anticipos R2'!G282</x:f>
        <x:v>0</x:v>
      </x:c>
      <x:c r="G30" s="291">
        <x:f>'Rem. Anticipos R2'!H282</x:f>
        <x:v>0</x:v>
      </x:c>
      <x:c r="H30" s="291">
        <x:f>'Rem. Anticipos R2'!I282</x:f>
        <x:v>0</x:v>
      </x:c>
      <x:c r="I30" s="291">
        <x:f>'Rem. Anticipos R2'!J282</x:f>
        <x:v>0</x:v>
      </x:c>
      <x:c r="J30" s="288">
        <x:v>0</x:v>
      </x:c>
      <x:c r="K30" s="295">
        <x:f t="shared" ref="K30:K31" si="9">D30-E30-F30-G30-H30-I30-J30</x:f>
        <x:v>0</x:v>
      </x:c>
      <x:c r="L30" s="294">
        <x:v>0</x:v>
      </x:c>
      <x:c r="M30" s="295">
        <x:f>K30-L30</x:f>
        <x:v>0</x:v>
      </x:c>
      <x:c r="N30" s="294">
        <x:f>'Rem. Anticipos R2'!K282</x:f>
        <x:v>0</x:v>
      </x:c>
      <x:c r="O30" s="295">
        <x:f t="shared" si="7"/>
        <x:v>0</x:v>
      </x:c>
      <x:c r="Q30" s="306"/>
      <x:c r="S30" s="314">
        <x:v>3</x:v>
      </x:c>
      <x:c r="T30" s="315" t="s">
        <x:v>12</x:v>
      </x:c>
      <x:c r="U30" s="316">
        <x:f>'Rem. Anticipos R2'!L282</x:f>
        <x:v>0</x:v>
      </x:c>
      <x:c r="V30" s="316">
        <x:f>'Rem. Anticipos R2'!M282</x:f>
        <x:v>0</x:v>
      </x:c>
      <x:c r="W30" s="316">
        <x:f>'Rem. Anticipos R2'!N282</x:f>
        <x:v>0</x:v>
      </x:c>
      <x:c r="X30" s="316">
        <x:f>'Rem. Anticipos R2'!O282</x:f>
        <x:v>0</x:v>
      </x:c>
      <x:c r="Y30" s="316">
        <x:f>'Rem. Anticipos R2'!P282</x:f>
        <x:v>0</x:v>
      </x:c>
      <x:c r="Z30" s="319">
        <x:f>L30*-1</x:f>
        <x:v>0</x:v>
      </x:c>
      <x:c r="AA30" s="320">
        <x:f>'Rem. Anticipos R2'!Q282</x:f>
        <x:v>0</x:v>
      </x:c>
      <x:c r="AB30" s="294">
        <x:f>N30</x:f>
        <x:v>0</x:v>
      </x:c>
      <x:c r="AC30" s="320">
        <x:f>'Rem. Anticipos R2'!R282</x:f>
        <x:v>0</x:v>
      </x:c>
      <x:c r="AD30" s="291">
        <x:f t="shared" ref="AD30:AD32" si="10">-J30+AE30</x:f>
        <x:v>0</x:v>
      </x:c>
      <x:c r="AE30" s="291">
        <x:f>'Rem. Anticipos R2'!E283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8"/>
        <x:v>1</x:v>
      </x:c>
      <x:c r="AI30" s="306"/>
    </x:row>
    <x:row r="31" spans="1:35" s="305" customFormat="1" x14ac:dyDescent="0.3">
      <x:c r="B31" s="314">
        <x:v>4</x:v>
      </x:c>
      <x:c r="C31" s="315" t="s">
        <x:v>13</x:v>
      </x:c>
      <x:c r="D31" s="291">
        <x:f>'Rem. Anticipos R2'!E393</x:f>
        <x:v>0</x:v>
      </x:c>
      <x:c r="E31" s="291">
        <x:f>'Rem. Anticipos R2'!F393</x:f>
        <x:v>0</x:v>
      </x:c>
      <x:c r="F31" s="291">
        <x:f>'Rem. Anticipos R2'!G393</x:f>
        <x:v>0</x:v>
      </x:c>
      <x:c r="G31" s="291">
        <x:f>'Rem. Anticipos R2'!H393</x:f>
        <x:v>0</x:v>
      </x:c>
      <x:c r="H31" s="291">
        <x:f>'Rem. Anticipos R2'!I393</x:f>
        <x:v>0</x:v>
      </x:c>
      <x:c r="I31" s="291">
        <x:f>'Rem. Anticipos R2'!J393</x:f>
        <x:v>0</x:v>
      </x:c>
      <x:c r="J31" s="288">
        <x:v>0</x:v>
      </x:c>
      <x:c r="K31" s="295">
        <x:f t="shared" si="9"/>
        <x:v>0</x:v>
      </x:c>
      <x:c r="L31" s="294">
        <x:v>0</x:v>
      </x:c>
      <x:c r="M31" s="295">
        <x:f>K31-L31</x:f>
        <x:v>0</x:v>
      </x:c>
      <x:c r="N31" s="294">
        <x:f>'Rem. Anticipos R2'!K393</x:f>
        <x:v>0</x:v>
      </x:c>
      <x:c r="O31" s="295">
        <x:f t="shared" si="7"/>
        <x:v>0</x:v>
      </x:c>
      <x:c r="Q31" s="306"/>
      <x:c r="S31" s="314">
        <x:v>4</x:v>
      </x:c>
      <x:c r="T31" s="315" t="s">
        <x:v>13</x:v>
      </x:c>
      <x:c r="U31" s="316">
        <x:f>'Rem. Anticipos R2'!L393</x:f>
        <x:v>0</x:v>
      </x:c>
      <x:c r="V31" s="316">
        <x:f>'Rem. Anticipos R2'!M393</x:f>
        <x:v>0</x:v>
      </x:c>
      <x:c r="W31" s="316">
        <x:f>'Rem. Anticipos R2'!N393</x:f>
        <x:v>0</x:v>
      </x:c>
      <x:c r="X31" s="316">
        <x:f>'Rem. Anticipos R2'!O393</x:f>
        <x:v>0</x:v>
      </x:c>
      <x:c r="Y31" s="316">
        <x:f>'Rem. Anticipos R2'!P393</x:f>
        <x:v>0</x:v>
      </x:c>
      <x:c r="Z31" s="319">
        <x:f>L31*-1</x:f>
        <x:v>0</x:v>
      </x:c>
      <x:c r="AA31" s="320">
        <x:f>'Rem. Anticipos R2'!Q393</x:f>
        <x:v>0</x:v>
      </x:c>
      <x:c r="AB31" s="294">
        <x:f>N31</x:f>
        <x:v>0</x:v>
      </x:c>
      <x:c r="AC31" s="320">
        <x:f>'Rem. Anticipos R2'!R393</x:f>
        <x:v>0</x:v>
      </x:c>
      <x:c r="AD31" s="291">
        <x:f t="shared" si="10"/>
        <x:v>0</x:v>
      </x:c>
      <x:c r="AE31" s="291">
        <x:f>'Rem. Anticipos R2'!E394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8"/>
        <x:v>1</x:v>
      </x:c>
      <x:c r="AI31" s="306"/>
    </x:row>
    <x:row r="32" spans="1:35" s="305" customFormat="1" ht="12" thickBot="1" x14ac:dyDescent="0.35">
      <x:c r="B32" s="324">
        <x:v>5</x:v>
      </x:c>
      <x:c r="C32" s="325" t="s">
        <x:v>14</x:v>
      </x:c>
      <x:c r="D32" s="296">
        <x:f>'Rem. Anticipos R2'!E477</x:f>
        <x:v>0</x:v>
      </x:c>
      <x:c r="E32" s="296">
        <x:f>'Rem. Anticipos R2'!F477</x:f>
        <x:v>0</x:v>
      </x:c>
      <x:c r="F32" s="296">
        <x:f>'Rem. Anticipos R2'!G477</x:f>
        <x:v>0</x:v>
      </x:c>
      <x:c r="G32" s="296">
        <x:f>'Rem. Anticipos R2'!H477</x:f>
        <x:v>0</x:v>
      </x:c>
      <x:c r="H32" s="296">
        <x:f>'Rem. Anticipos R2'!I477</x:f>
        <x:v>0</x:v>
      </x:c>
      <x:c r="I32" s="296">
        <x:f>'Rem. Anticipos R2'!J477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R2'!K477</x:f>
        <x:v>0</x:v>
      </x:c>
      <x:c r="O32" s="298">
        <x:f t="shared" si="7"/>
        <x:v>0</x:v>
      </x:c>
      <x:c r="Q32" s="306"/>
      <x:c r="S32" s="324">
        <x:v>5</x:v>
      </x:c>
      <x:c r="T32" s="325" t="s">
        <x:v>14</x:v>
      </x:c>
      <x:c r="U32" s="296">
        <x:f>'Rem. Anticipos R2'!L477</x:f>
        <x:v>0</x:v>
      </x:c>
      <x:c r="V32" s="297">
        <x:f>'Rem. Anticipos R2'!M477</x:f>
        <x:v>0</x:v>
      </x:c>
      <x:c r="W32" s="297">
        <x:f>'Rem. Anticipos R2'!N477</x:f>
        <x:v>0</x:v>
      </x:c>
      <x:c r="X32" s="297">
        <x:f>'Rem. Anticipos R2'!O477</x:f>
        <x:v>0</x:v>
      </x:c>
      <x:c r="Y32" s="289">
        <x:f>'Rem. Anticipos R2'!P477</x:f>
        <x:v>0</x:v>
      </x:c>
      <x:c r="Z32" s="319">
        <x:f>L32*-1</x:f>
        <x:v>0</x:v>
      </x:c>
      <x:c r="AA32" s="320">
        <x:f>'Rem. Anticipos R2'!Q477</x:f>
        <x:v>0</x:v>
      </x:c>
      <x:c r="AB32" s="294">
        <x:f>N32</x:f>
        <x:v>0</x:v>
      </x:c>
      <x:c r="AC32" s="320">
        <x:f>'Rem. Anticipos R2'!R477</x:f>
        <x:v>0</x:v>
      </x:c>
      <x:c r="AD32" s="291">
        <x:f t="shared" si="10"/>
        <x:v>0</x:v>
      </x:c>
      <x:c r="AE32" s="291">
        <x:f>'Rem. Anticipos R2'!E478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8"/>
        <x:v>1</x:v>
      </x:c>
      <x:c r="AI32" s="306"/>
    </x:row>
    <x:row r="33" spans="1:35" s="305" customFormat="1" ht="12.9" thickBot="1" x14ac:dyDescent="0.3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8"/>
        <x:v>1</x:v>
      </x:c>
      <x:c r="AI33" s="306"/>
    </x:row>
    <x:row r="34" spans="1:35" ht="12" thickBot="1" x14ac:dyDescent="0.3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" thickBot="1" x14ac:dyDescent="0.3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" thickBot="1" x14ac:dyDescent="0.3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3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3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35">
      <x:c r="Q39" s="4"/>
      <x:c r="AI39" s="4"/>
    </x:row>
    <x:row r="40" spans="1:35" x14ac:dyDescent="0.3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4.15" x14ac:dyDescent="0.3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2026101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2026101</x:v>
      </x:c>
      <x:c r="AE41" s="84"/>
      <x:c r="AF41" s="48"/>
      <x:c r="AG41" s="2"/>
      <x:c r="AI41" s="4"/>
    </x:row>
    <x:row r="42" spans="1:35" ht="15.45" x14ac:dyDescent="0.4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4.15" x14ac:dyDescent="0.3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45" x14ac:dyDescent="0.4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" thickBot="1" x14ac:dyDescent="0.3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3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x14ac:dyDescent="0.3">
      <x:c r="B47" s="303">
        <x:v>1</x:v>
      </x:c>
      <x:c r="C47" s="304" t="s">
        <x:v>10</x:v>
      </x:c>
      <x:c r="D47" s="291">
        <x:f>'Reporte Componentes R1'!F92</x:f>
        <x:v>0</x:v>
      </x:c>
      <x:c r="E47" s="291">
        <x:f>'Reporte Componentes R1'!G92</x:f>
        <x:v>0</x:v>
      </x:c>
      <x:c r="F47" s="291">
        <x:f>'Reporte Componentes R1'!H92</x:f>
        <x:v>0</x:v>
      </x:c>
      <x:c r="G47" s="291">
        <x:f>'Reporte Componentes R1'!I92</x:f>
        <x:v>0</x:v>
      </x:c>
      <x:c r="H47" s="291">
        <x:f>'Reporte Componentes R1'!J92</x:f>
        <x:v>0</x:v>
      </x:c>
      <x:c r="I47" s="291">
        <x:f>'Reporte Componentes R1'!K92</x:f>
        <x:v>0</x:v>
      </x:c>
      <x:c r="J47" s="291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R1'!L92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R1'!M92</x:f>
        <x:v>0</x:v>
      </x:c>
      <x:c r="V47" s="307">
        <x:f>'Reporte Componentes R1'!N92</x:f>
        <x:v>0</x:v>
      </x:c>
      <x:c r="W47" s="307">
        <x:f>'Reporte Componentes R1'!O92</x:f>
        <x:v>0</x:v>
      </x:c>
      <x:c r="X47" s="307">
        <x:f>'Reporte Componentes R1'!P92</x:f>
        <x:v>0</x:v>
      </x:c>
      <x:c r="Y47" s="307">
        <x:f>'Reporte Componentes R1'!Q92</x:f>
        <x:v>0</x:v>
      </x:c>
      <x:c r="Z47" s="310">
        <x:f>-L47</x:f>
        <x:v>0</x:v>
      </x:c>
      <x:c r="AA47" s="320">
        <x:f>'Reporte Componentes R1'!R92+'Reporte Componentes R1'!V92+'Reporte Componentes R1'!U92</x:f>
        <x:v>0</x:v>
      </x:c>
      <x:c r="AB47" s="294">
        <x:f>N47</x:f>
        <x:v>0</x:v>
      </x:c>
      <x:c r="AC47" s="311">
        <x:f>'Reporte Componentes R1'!T92+'Reporte Componentes R1'!W92+'Reporte Componentes R1'!X92+'Reporte Componentes R1'!Y92+'Reporte Componentes R1'!Z92+'Reporte Componentes R1'!S92</x:f>
        <x:v>0</x:v>
      </x:c>
      <x:c r="AD47" s="291">
        <x:f>-J47+AE47</x:f>
        <x:v>0</x:v>
      </x:c>
      <x:c r="AE47" s="291">
        <x:f>'Reporte Componentes R1'!F93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x14ac:dyDescent="0.3">
      <x:c r="B48" s="314">
        <x:v>2</x:v>
      </x:c>
      <x:c r="C48" s="315" t="s">
        <x:v>11</x:v>
      </x:c>
      <x:c r="D48" s="291">
        <x:f>'Reporte Componentes R1'!F271</x:f>
        <x:v>0</x:v>
      </x:c>
      <x:c r="E48" s="291">
        <x:f>'Reporte Componentes R1'!G271</x:f>
        <x:v>0</x:v>
      </x:c>
      <x:c r="F48" s="291">
        <x:f>'Reporte Componentes R1'!H271</x:f>
        <x:v>0</x:v>
      </x:c>
      <x:c r="G48" s="291">
        <x:f>'Reporte Componentes R1'!I271</x:f>
        <x:v>0</x:v>
      </x:c>
      <x:c r="H48" s="291">
        <x:f>'Reporte Componentes R1'!J271</x:f>
        <x:v>0</x:v>
      </x:c>
      <x:c r="I48" s="291">
        <x:f>'Reporte Componentes R1'!K271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R1'!L271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R1'!M271</x:f>
        <x:v>0</x:v>
      </x:c>
      <x:c r="V48" s="316">
        <x:f>'Reporte Componentes R1'!N271</x:f>
        <x:v>0</x:v>
      </x:c>
      <x:c r="W48" s="316">
        <x:f>'Reporte Componentes R1'!O271</x:f>
        <x:v>0</x:v>
      </x:c>
      <x:c r="X48" s="316">
        <x:f>'Reporte Componentes R1'!P271</x:f>
        <x:v>0</x:v>
      </x:c>
      <x:c r="Y48" s="316">
        <x:f>'Reporte Componentes R1'!Q271</x:f>
        <x:v>0</x:v>
      </x:c>
      <x:c r="Z48" s="319">
        <x:f>-L48</x:f>
        <x:v>0</x:v>
      </x:c>
      <x:c r="AA48" s="320">
        <x:f>'Reporte Componentes R1'!R271+'Reporte Componentes R1'!V271+'Reporte Componentes R1'!U271</x:f>
        <x:v>0</x:v>
      </x:c>
      <x:c r="AB48" s="294">
        <x:f>N48</x:f>
        <x:v>0</x:v>
      </x:c>
      <x:c r="AC48" s="320">
        <x:f>'Reporte Componentes R1'!T271+'Reporte Componentes R1'!W271+'Reporte Componentes R1'!X271+'Reporte Componentes R1'!Y271+'Reporte Componentes R1'!Z271+'Reporte Componentes R1'!S271</x:f>
        <x:v>0</x:v>
      </x:c>
      <x:c r="AD48" s="291">
        <x:f t="shared" ref="AD48:AD51" si="16">-J48+AE48</x:f>
        <x:v>0</x:v>
      </x:c>
      <x:c r="AE48" s="291">
        <x:f>'Reporte Componentes R1'!F272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7">INT(AG48)=0</x:f>
        <x:v>1</x:v>
      </x:c>
      <x:c r="AI48" s="306"/>
    </x:row>
    <x:row r="49" spans="1:35" s="305" customFormat="1" x14ac:dyDescent="0.3">
      <x:c r="B49" s="314">
        <x:v>3</x:v>
      </x:c>
      <x:c r="C49" s="315" t="s">
        <x:v>12</x:v>
      </x:c>
      <x:c r="D49" s="291">
        <x:f>'Reporte Componentes R1'!F432</x:f>
        <x:v>0</x:v>
      </x:c>
      <x:c r="E49" s="291">
        <x:f>'Reporte Componentes R1'!G432</x:f>
        <x:v>0</x:v>
      </x:c>
      <x:c r="F49" s="291">
        <x:f>'Reporte Componentes R1'!H432</x:f>
        <x:v>0</x:v>
      </x:c>
      <x:c r="G49" s="291">
        <x:f>'Reporte Componentes R1'!I432</x:f>
        <x:v>0</x:v>
      </x:c>
      <x:c r="H49" s="291">
        <x:f>'Reporte Componentes R1'!J432</x:f>
        <x:v>0</x:v>
      </x:c>
      <x:c r="I49" s="291">
        <x:f>'Reporte Componentes R1'!K432</x:f>
        <x:v>0</x:v>
      </x:c>
      <x:c r="J49" s="291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R1'!L432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R1'!M432</x:f>
        <x:v>0</x:v>
      </x:c>
      <x:c r="V49" s="316">
        <x:f>'Reporte Componentes R1'!N432</x:f>
        <x:v>0</x:v>
      </x:c>
      <x:c r="W49" s="316">
        <x:f>'Reporte Componentes R1'!O432</x:f>
        <x:v>0</x:v>
      </x:c>
      <x:c r="X49" s="316">
        <x:f>'Reporte Componentes R1'!P432</x:f>
        <x:v>0</x:v>
      </x:c>
      <x:c r="Y49" s="316">
        <x:f>'Reporte Componentes R1'!Q432</x:f>
        <x:v>0</x:v>
      </x:c>
      <x:c r="Z49" s="319">
        <x:f>-L49</x:f>
        <x:v>0</x:v>
      </x:c>
      <x:c r="AA49" s="320">
        <x:f>'Reporte Componentes R1'!R432+'Reporte Componentes R1'!V432+'Reporte Componentes R1'!U432</x:f>
        <x:v>0</x:v>
      </x:c>
      <x:c r="AB49" s="294">
        <x:f>N49</x:f>
        <x:v>0</x:v>
      </x:c>
      <x:c r="AC49" s="320">
        <x:f>'Reporte Componentes R1'!T432+'Reporte Componentes R1'!W432+'Reporte Componentes R1'!X432+'Reporte Componentes R1'!Y432+'Reporte Componentes R1'!Z432+'Reporte Componentes R1'!S432</x:f>
        <x:v>0</x:v>
      </x:c>
      <x:c r="AD49" s="291">
        <x:f t="shared" si="16"/>
        <x:v>0</x:v>
      </x:c>
      <x:c r="AE49" s="291">
        <x:f>'Reporte Componentes R1'!F433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1" t="b">
        <x:f t="shared" si="17"/>
        <x:v>1</x:v>
      </x:c>
      <x:c r="AI49" s="306"/>
    </x:row>
    <x:row r="50" spans="1:35" s="305" customFormat="1" x14ac:dyDescent="0.3">
      <x:c r="B50" s="314">
        <x:v>4</x:v>
      </x:c>
      <x:c r="C50" s="315" t="s">
        <x:v>13</x:v>
      </x:c>
      <x:c r="D50" s="291">
        <x:f>'Reporte Componentes R1'!F585</x:f>
        <x:v>0</x:v>
      </x:c>
      <x:c r="E50" s="291">
        <x:f>'Reporte Componentes R1'!G585</x:f>
        <x:v>0</x:v>
      </x:c>
      <x:c r="F50" s="291">
        <x:f>'Reporte Componentes R1'!H585</x:f>
        <x:v>0</x:v>
      </x:c>
      <x:c r="G50" s="291">
        <x:f>'Reporte Componentes R1'!I585</x:f>
        <x:v>0</x:v>
      </x:c>
      <x:c r="H50" s="291">
        <x:f>'Reporte Componentes R1'!J585</x:f>
        <x:v>0</x:v>
      </x:c>
      <x:c r="I50" s="291">
        <x:f>'Reporte Componentes R1'!K585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R1'!L585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R1'!M585</x:f>
        <x:v>0</x:v>
      </x:c>
      <x:c r="V50" s="316">
        <x:f>'Reporte Componentes R1'!N585</x:f>
        <x:v>0</x:v>
      </x:c>
      <x:c r="W50" s="316">
        <x:f>'Reporte Componentes R1'!O585</x:f>
        <x:v>0</x:v>
      </x:c>
      <x:c r="X50" s="316">
        <x:f>'Reporte Componentes R1'!P585</x:f>
        <x:v>0</x:v>
      </x:c>
      <x:c r="Y50" s="316">
        <x:f>'Reporte Componentes R1'!Q585</x:f>
        <x:v>0</x:v>
      </x:c>
      <x:c r="Z50" s="319">
        <x:f>-L50</x:f>
        <x:v>0</x:v>
      </x:c>
      <x:c r="AA50" s="320">
        <x:f>'Reporte Componentes R1'!R585+'Reporte Componentes R1'!V585+'Reporte Componentes R1'!U585</x:f>
        <x:v>0</x:v>
      </x:c>
      <x:c r="AB50" s="294">
        <x:f>N50</x:f>
        <x:v>0</x:v>
      </x:c>
      <x:c r="AC50" s="320">
        <x:f>'Reporte Componentes R1'!T585+'Reporte Componentes R1'!W585+'Reporte Componentes R1'!X585+'Reporte Componentes R1'!Y585+'Reporte Componentes R1'!Z585+'Reporte Componentes R1'!S585</x:f>
        <x:v>0</x:v>
      </x:c>
      <x:c r="AD50" s="291">
        <x:f t="shared" si="16"/>
        <x:v>0</x:v>
      </x:c>
      <x:c r="AE50" s="291">
        <x:f>'Reporte Componentes R1'!F586</x:f>
        <x:v>0</x:v>
      </x:c>
      <x:c r="AF50" s="322">
        <x:f t="shared" si="18"/>
        <x:v>0</x:v>
      </x:c>
      <x:c r="AG50" s="323">
        <x:f t="shared" si="19"/>
        <x:v>0</x:v>
      </x:c>
      <x:c r="AH50" s="1" t="b">
        <x:f t="shared" si="17"/>
        <x:v>1</x:v>
      </x:c>
      <x:c r="AI50" s="306"/>
    </x:row>
    <x:row r="51" spans="1:35" s="305" customFormat="1" ht="12" thickBot="1" x14ac:dyDescent="0.35">
      <x:c r="B51" s="324">
        <x:v>5</x:v>
      </x:c>
      <x:c r="C51" s="325" t="s">
        <x:v>14</x:v>
      </x:c>
      <x:c r="D51" s="296">
        <x:f>'Reporte Componentes R1'!F697</x:f>
        <x:v>0</x:v>
      </x:c>
      <x:c r="E51" s="296">
        <x:f>'Reporte Componentes R1'!G697</x:f>
        <x:v>0</x:v>
      </x:c>
      <x:c r="F51" s="296">
        <x:f>'Reporte Componentes R1'!H697</x:f>
        <x:v>0</x:v>
      </x:c>
      <x:c r="G51" s="296">
        <x:f>'Reporte Componentes R1'!I697</x:f>
        <x:v>0</x:v>
      </x:c>
      <x:c r="H51" s="296">
        <x:f>'Reporte Componentes R1'!J697</x:f>
        <x:v>0</x:v>
      </x:c>
      <x:c r="I51" s="296">
        <x:f>'Reporte Componentes R1'!K697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R1'!L697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R1'!M697</x:f>
        <x:v>0</x:v>
      </x:c>
      <x:c r="V51" s="296">
        <x:f>'Reporte Componentes R1'!N697</x:f>
        <x:v>0</x:v>
      </x:c>
      <x:c r="W51" s="296">
        <x:f>'Reporte Componentes R1'!O697</x:f>
        <x:v>0</x:v>
      </x:c>
      <x:c r="X51" s="296">
        <x:f>'Reporte Componentes R1'!P697</x:f>
        <x:v>0</x:v>
      </x:c>
      <x:c r="Y51" s="289">
        <x:f>'Reporte Componentes R1'!Q697</x:f>
        <x:v>0</x:v>
      </x:c>
      <x:c r="Z51" s="319">
        <x:f>-L51</x:f>
        <x:v>0</x:v>
      </x:c>
      <x:c r="AA51" s="320">
        <x:f>'Reporte Componentes R1'!R697+'Reporte Componentes R1'!V697+'Reporte Componentes R1'!U697</x:f>
        <x:v>0</x:v>
      </x:c>
      <x:c r="AB51" s="294">
        <x:f>N51</x:f>
        <x:v>0</x:v>
      </x:c>
      <x:c r="AC51" s="320">
        <x:f>'Reporte Componentes R1'!T697+'Reporte Componentes R1'!W697+'Reporte Componentes R1'!X697+'Reporte Componentes R1'!Y697+'Reporte Componentes R1'!Z697+'Reporte Componentes R1'!S697</x:f>
        <x:v>0</x:v>
      </x:c>
      <x:c r="AD51" s="291">
        <x:f t="shared" si="16"/>
        <x:v>0</x:v>
      </x:c>
      <x:c r="AE51" s="291">
        <x:f>'Reporte Componentes R1'!F698</x:f>
        <x:v>0</x:v>
      </x:c>
      <x:c r="AF51" s="322">
        <x:f t="shared" si="18"/>
        <x:v>0</x:v>
      </x:c>
      <x:c r="AG51" s="326">
        <x:f t="shared" si="19"/>
        <x:v>0</x:v>
      </x:c>
      <x:c r="AH51" s="1" t="b">
        <x:f t="shared" si="17"/>
        <x:v>1</x:v>
      </x:c>
      <x:c r="AI51" s="306"/>
    </x:row>
    <x:row r="52" spans="1:35" s="305" customFormat="1" ht="12.9" thickBot="1" x14ac:dyDescent="0.35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si="22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1" t="b">
        <x:f t="shared" si="17"/>
        <x:v>1</x:v>
      </x:c>
      <x:c r="AI52" s="306"/>
    </x:row>
    <x:row r="53" spans="1:35" ht="12" thickBot="1" x14ac:dyDescent="0.3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" thickBot="1" x14ac:dyDescent="0.3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" thickBot="1" x14ac:dyDescent="0.3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3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3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35">
      <x:c r="Q58" s="4"/>
      <x:c r="AI58" s="4"/>
    </x:row>
    <x:row r="59" spans="1:35" x14ac:dyDescent="0.3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4.15" x14ac:dyDescent="0.3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2026101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2026101</x:v>
      </x:c>
      <x:c r="AE60" s="84"/>
      <x:c r="AF60" s="48"/>
      <x:c r="AG60" s="2"/>
      <x:c r="AI60" s="4"/>
    </x:row>
    <x:row r="61" spans="1:35" ht="15.45" x14ac:dyDescent="0.4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4.15" x14ac:dyDescent="0.3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45" x14ac:dyDescent="0.4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" thickBot="1" x14ac:dyDescent="0.3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3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x14ac:dyDescent="0.3">
      <x:c r="B66" s="303">
        <x:v>1</x:v>
      </x:c>
      <x:c r="C66" s="304" t="s">
        <x:v>10</x:v>
      </x:c>
      <x:c r="D66" s="291">
        <x:f>'Reversion Pagos R4'!D82</x:f>
        <x:v>0</x:v>
      </x:c>
      <x:c r="E66" s="291">
        <x:f>'Reversion Pagos R4'!E82</x:f>
        <x:v>0</x:v>
      </x:c>
      <x:c r="F66" s="291">
        <x:f>'Reversion Pagos R4'!F82</x:f>
        <x:v>0</x:v>
      </x:c>
      <x:c r="G66" s="291">
        <x:f>'Reversion Pagos R4'!G82</x:f>
        <x:v>0</x:v>
      </x:c>
      <x:c r="H66" s="291">
        <x:f>'Reversion Pagos R4'!H82</x:f>
        <x:v>0</x:v>
      </x:c>
      <x:c r="I66" s="291">
        <x:f>'Reversion Pagos R4'!I82</x:f>
        <x:v>0</x:v>
      </x:c>
      <x:c r="J66" s="309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R4'!P82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R4'!J82</x:f>
        <x:v>0</x:v>
      </x:c>
      <x:c r="V66" s="307">
        <x:f>'Reversion Pagos R4'!K82</x:f>
        <x:v>0</x:v>
      </x:c>
      <x:c r="W66" s="307">
        <x:f>'Reversion Pagos R4'!L82</x:f>
        <x:v>0</x:v>
      </x:c>
      <x:c r="X66" s="307">
        <x:f>'Reversion Pagos R4'!M82</x:f>
        <x:v>0</x:v>
      </x:c>
      <x:c r="Y66" s="307">
        <x:f>'Reversion Pagos R4'!N82</x:f>
        <x:v>0</x:v>
      </x:c>
      <x:c r="Z66" s="310">
        <x:f>-L66</x:f>
        <x:v>0</x:v>
      </x:c>
      <x:c r="AA66" s="311">
        <x:f>+'Reversion Pagos R4'!O82</x:f>
        <x:v>0</x:v>
      </x:c>
      <x:c r="AB66" s="294">
        <x:f>N66</x:f>
        <x:v>0</x:v>
      </x:c>
      <x:c r="AC66" s="311">
        <x:f>+'Reversion Pagos R4'!Q82+'Reversion Pagos R4'!R82</x:f>
        <x:v>0</x:v>
      </x:c>
      <x:c r="AD66" s="291">
        <x:f>-J66+AE66</x:f>
        <x:v>0</x:v>
      </x:c>
      <x:c r="AE66" s="291">
        <x:f>'Reversion Pagos R4'!D83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x14ac:dyDescent="0.3">
      <x:c r="B67" s="314">
        <x:v>2</x:v>
      </x:c>
      <x:c r="C67" s="315" t="s">
        <x:v>11</x:v>
      </x:c>
      <x:c r="D67" s="291">
        <x:f>'Reversion Pagos R4'!D183</x:f>
        <x:v>0</x:v>
      </x:c>
      <x:c r="E67" s="291">
        <x:f>'Reversion Pagos R4'!E183</x:f>
        <x:v>0</x:v>
      </x:c>
      <x:c r="F67" s="291">
        <x:f>'Reversion Pagos R4'!F183</x:f>
        <x:v>0</x:v>
      </x:c>
      <x:c r="G67" s="291">
        <x:f>'Reversion Pagos R4'!G183</x:f>
        <x:v>0</x:v>
      </x:c>
      <x:c r="H67" s="291">
        <x:f>'Reversion Pagos R4'!H183</x:f>
        <x:v>0</x:v>
      </x:c>
      <x:c r="I67" s="291">
        <x:f>'Reversion Pagos R4'!I183</x:f>
        <x:v>0</x:v>
      </x:c>
      <x:c r="J67" s="288">
        <x:v>0</x:v>
      </x:c>
      <x:c r="K67" s="295">
        <x:f t="shared" ref="K67:K70" si="23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R4'!P183</x:f>
        <x:v>0</x:v>
      </x:c>
      <x:c r="O67" s="295">
        <x:f t="shared" ref="O67:O70" si="24">M67+N67</x:f>
        <x:v>0</x:v>
      </x:c>
      <x:c r="Q67" s="306"/>
      <x:c r="S67" s="314">
        <x:v>2</x:v>
      </x:c>
      <x:c r="T67" s="315" t="s">
        <x:v>11</x:v>
      </x:c>
      <x:c r="U67" s="316">
        <x:f>'Reversion Pagos R4'!J183</x:f>
        <x:v>0</x:v>
      </x:c>
      <x:c r="V67" s="316">
        <x:f>'Reversion Pagos R4'!K183</x:f>
        <x:v>0</x:v>
      </x:c>
      <x:c r="W67" s="316">
        <x:f>'Reversion Pagos R4'!L183</x:f>
        <x:v>0</x:v>
      </x:c>
      <x:c r="X67" s="316">
        <x:f>'Reversion Pagos R4'!M183</x:f>
        <x:v>0</x:v>
      </x:c>
      <x:c r="Y67" s="316">
        <x:f>'Reversion Pagos R4'!N183</x:f>
        <x:v>0</x:v>
      </x:c>
      <x:c r="Z67" s="319">
        <x:f t="shared" ref="Z67:Z70" si="25">-L67</x:f>
        <x:v>0</x:v>
      </x:c>
      <x:c r="AA67" s="320">
        <x:f>'Reversion Pagos R4'!O183</x:f>
        <x:v>0</x:v>
      </x:c>
      <x:c r="AB67" s="294">
        <x:f t="shared" ref="AB67:AB70" si="26">N67</x:f>
        <x:v>0</x:v>
      </x:c>
      <x:c r="AC67" s="320">
        <x:f>'Reversion Pagos R4'!Q183+'Reversion Pagos R4'!R183</x:f>
        <x:v>0</x:v>
      </x:c>
      <x:c r="AD67" s="291">
        <x:f t="shared" ref="AD67:AD70" si="27">-J67+AE67</x:f>
        <x:v>0</x:v>
      </x:c>
      <x:c r="AE67" s="291">
        <x:f>'Reversion Pagos R4'!D184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8">INT(AG67)=0</x:f>
        <x:v>1</x:v>
      </x:c>
      <x:c r="AI67" s="306"/>
    </x:row>
    <x:row r="68" spans="1:35" s="305" customFormat="1" x14ac:dyDescent="0.3">
      <x:c r="B68" s="314">
        <x:v>3</x:v>
      </x:c>
      <x:c r="C68" s="315" t="s">
        <x:v>12</x:v>
      </x:c>
      <x:c r="D68" s="291">
        <x:f>'Reversion Pagos R4'!D220</x:f>
        <x:v>0</x:v>
      </x:c>
      <x:c r="E68" s="291">
        <x:f>'Reversion Pagos R4'!E220</x:f>
        <x:v>0</x:v>
      </x:c>
      <x:c r="F68" s="291">
        <x:f>'Reversion Pagos R4'!F220</x:f>
        <x:v>0</x:v>
      </x:c>
      <x:c r="G68" s="291">
        <x:f>'Reversion Pagos R4'!G220</x:f>
        <x:v>0</x:v>
      </x:c>
      <x:c r="H68" s="291">
        <x:f>'Reversion Pagos R4'!H220</x:f>
        <x:v>0</x:v>
      </x:c>
      <x:c r="I68" s="291">
        <x:f>'Reversion Pagos R4'!I220</x:f>
        <x:v>0</x:v>
      </x:c>
      <x:c r="J68" s="288">
        <x:v>0</x:v>
      </x:c>
      <x:c r="K68" s="295">
        <x:f t="shared" si="23"/>
        <x:v>0</x:v>
      </x:c>
      <x:c r="L68" s="294">
        <x:v>0</x:v>
      </x:c>
      <x:c r="M68" s="295">
        <x:f>K68-L68</x:f>
        <x:v>0</x:v>
      </x:c>
      <x:c r="N68" s="294">
        <x:f>'Reversion Pagos R4'!P220</x:f>
        <x:v>0</x:v>
      </x:c>
      <x:c r="O68" s="295">
        <x:f t="shared" si="24"/>
        <x:v>0</x:v>
      </x:c>
      <x:c r="Q68" s="306"/>
      <x:c r="S68" s="314">
        <x:v>3</x:v>
      </x:c>
      <x:c r="T68" s="315" t="s">
        <x:v>12</x:v>
      </x:c>
      <x:c r="U68" s="316">
        <x:f>'Reversion Pagos R4'!J220</x:f>
        <x:v>0</x:v>
      </x:c>
      <x:c r="V68" s="316">
        <x:f>'Reversion Pagos R4'!K220</x:f>
        <x:v>0</x:v>
      </x:c>
      <x:c r="W68" s="316">
        <x:f>'Reversion Pagos R4'!L220</x:f>
        <x:v>0</x:v>
      </x:c>
      <x:c r="X68" s="316">
        <x:f>'Reversion Pagos R4'!M220</x:f>
        <x:v>0</x:v>
      </x:c>
      <x:c r="Y68" s="316">
        <x:f>'Reversion Pagos R4'!N220</x:f>
        <x:v>0</x:v>
      </x:c>
      <x:c r="Z68" s="319">
        <x:f t="shared" si="25"/>
        <x:v>0</x:v>
      </x:c>
      <x:c r="AA68" s="320">
        <x:f>'Reversion Pagos R4'!O220</x:f>
        <x:v>0</x:v>
      </x:c>
      <x:c r="AB68" s="294">
        <x:f t="shared" si="26"/>
        <x:v>0</x:v>
      </x:c>
      <x:c r="AC68" s="320">
        <x:f>'Reversion Pagos R4'!Q220+'Reversion Pagos R4'!R220</x:f>
        <x:v>0</x:v>
      </x:c>
      <x:c r="AD68" s="291">
        <x:f t="shared" si="27"/>
        <x:v>0</x:v>
      </x:c>
      <x:c r="AE68" s="291">
        <x:f>'Reversion Pagos R4'!D221</x:f>
        <x:v>0</x:v>
      </x:c>
      <x:c r="AF68" s="322">
        <x:f t="shared" ref="AF68:AF70" si="29">SUM(U68:AD68)</x:f>
        <x:v>0</x:v>
      </x:c>
      <x:c r="AG68" s="323">
        <x:f t="shared" ref="AG68:AG70" si="30">(AF68-O68)</x:f>
        <x:v>0</x:v>
      </x:c>
      <x:c r="AH68" s="1" t="b">
        <x:f t="shared" si="28"/>
        <x:v>1</x:v>
      </x:c>
      <x:c r="AI68" s="306"/>
    </x:row>
    <x:row r="69" spans="1:35" s="305" customFormat="1" x14ac:dyDescent="0.3">
      <x:c r="B69" s="314">
        <x:v>4</x:v>
      </x:c>
      <x:c r="C69" s="315" t="s">
        <x:v>13</x:v>
      </x:c>
      <x:c r="D69" s="291">
        <x:f>'Reversion Pagos R4'!D335</x:f>
        <x:v>0</x:v>
      </x:c>
      <x:c r="E69" s="291">
        <x:f>'Reversion Pagos R4'!E335</x:f>
        <x:v>0</x:v>
      </x:c>
      <x:c r="F69" s="291">
        <x:f>'Reversion Pagos R4'!F335</x:f>
        <x:v>0</x:v>
      </x:c>
      <x:c r="G69" s="291">
        <x:f>'Reversion Pagos R4'!G335</x:f>
        <x:v>0</x:v>
      </x:c>
      <x:c r="H69" s="291">
        <x:f>'Reversion Pagos R4'!H335</x:f>
        <x:v>0</x:v>
      </x:c>
      <x:c r="I69" s="291">
        <x:f>'Reversion Pagos R4'!I335</x:f>
        <x:v>0</x:v>
      </x:c>
      <x:c r="J69" s="288">
        <x:v>0</x:v>
      </x:c>
      <x:c r="K69" s="295">
        <x:f t="shared" si="23"/>
        <x:v>0</x:v>
      </x:c>
      <x:c r="L69" s="294">
        <x:v>0</x:v>
      </x:c>
      <x:c r="M69" s="295">
        <x:f>K69-L69</x:f>
        <x:v>0</x:v>
      </x:c>
      <x:c r="N69" s="294">
        <x:f>'Reversion Pagos R4'!P335</x:f>
        <x:v>0</x:v>
      </x:c>
      <x:c r="O69" s="295">
        <x:f t="shared" si="24"/>
        <x:v>0</x:v>
      </x:c>
      <x:c r="Q69" s="306"/>
      <x:c r="S69" s="314">
        <x:v>4</x:v>
      </x:c>
      <x:c r="T69" s="315" t="s">
        <x:v>13</x:v>
      </x:c>
      <x:c r="U69" s="316">
        <x:f>'Reversion Pagos R4'!J335</x:f>
        <x:v>0</x:v>
      </x:c>
      <x:c r="V69" s="316">
        <x:f>'Reversion Pagos R4'!K335</x:f>
        <x:v>0</x:v>
      </x:c>
      <x:c r="W69" s="316">
        <x:f>'Reversion Pagos R4'!L335</x:f>
        <x:v>0</x:v>
      </x:c>
      <x:c r="X69" s="316">
        <x:f>'Reversion Pagos R4'!M335</x:f>
        <x:v>0</x:v>
      </x:c>
      <x:c r="Y69" s="316">
        <x:f>'Reversion Pagos R4'!N335</x:f>
        <x:v>0</x:v>
      </x:c>
      <x:c r="Z69" s="319">
        <x:f t="shared" si="25"/>
        <x:v>0</x:v>
      </x:c>
      <x:c r="AA69" s="320">
        <x:f>'Reversion Pagos R4'!O335</x:f>
        <x:v>0</x:v>
      </x:c>
      <x:c r="AB69" s="294">
        <x:f t="shared" si="26"/>
        <x:v>0</x:v>
      </x:c>
      <x:c r="AC69" s="320">
        <x:f>'Reversion Pagos R4'!Q335+'Reversion Pagos R4'!R335</x:f>
        <x:v>0</x:v>
      </x:c>
      <x:c r="AD69" s="291">
        <x:f t="shared" si="27"/>
        <x:v>0</x:v>
      </x:c>
      <x:c r="AE69" s="291">
        <x:f>'Reversion Pagos R4'!D336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8"/>
        <x:v>1</x:v>
      </x:c>
      <x:c r="AI69" s="306"/>
    </x:row>
    <x:row r="70" spans="1:35" s="305" customFormat="1" ht="12" thickBot="1" x14ac:dyDescent="0.35">
      <x:c r="B70" s="324">
        <x:v>5</x:v>
      </x:c>
      <x:c r="C70" s="325" t="s">
        <x:v>14</x:v>
      </x:c>
      <x:c r="D70" s="296">
        <x:f>'Reversion Pagos R4'!D370</x:f>
        <x:v>0</x:v>
      </x:c>
      <x:c r="E70" s="296">
        <x:f>'Reversion Pagos R4'!E370</x:f>
        <x:v>0</x:v>
      </x:c>
      <x:c r="F70" s="296">
        <x:f>'Reversion Pagos R4'!F370</x:f>
        <x:v>0</x:v>
      </x:c>
      <x:c r="G70" s="296">
        <x:f>'Reversion Pagos R4'!G370</x:f>
        <x:v>0</x:v>
      </x:c>
      <x:c r="H70" s="296">
        <x:f>'Reversion Pagos R4'!H370</x:f>
        <x:v>0</x:v>
      </x:c>
      <x:c r="I70" s="296">
        <x:f>'Reversion Pagos R4'!I370</x:f>
        <x:v>0</x:v>
      </x:c>
      <x:c r="J70" s="289">
        <x:v>0</x:v>
      </x:c>
      <x:c r="K70" s="295">
        <x:f t="shared" si="23"/>
        <x:v>0</x:v>
      </x:c>
      <x:c r="L70" s="294">
        <x:v>0</x:v>
      </x:c>
      <x:c r="M70" s="298">
        <x:f>K70-L70</x:f>
        <x:v>0</x:v>
      </x:c>
      <x:c r="N70" s="294">
        <x:f>'Reversion Pagos R4'!P370</x:f>
        <x:v>0</x:v>
      </x:c>
      <x:c r="O70" s="298">
        <x:f t="shared" si="24"/>
        <x:v>0</x:v>
      </x:c>
      <x:c r="Q70" s="306"/>
      <x:c r="S70" s="324">
        <x:v>5</x:v>
      </x:c>
      <x:c r="T70" s="325" t="s">
        <x:v>14</x:v>
      </x:c>
      <x:c r="U70" s="296">
        <x:f>'Reversion Pagos R4'!J370</x:f>
        <x:v>0</x:v>
      </x:c>
      <x:c r="V70" s="296">
        <x:f>'Reversion Pagos R4'!K370</x:f>
        <x:v>0</x:v>
      </x:c>
      <x:c r="W70" s="296">
        <x:f>'Reversion Pagos R4'!L370</x:f>
        <x:v>0</x:v>
      </x:c>
      <x:c r="X70" s="296">
        <x:f>'Reversion Pagos R4'!M370</x:f>
        <x:v>0</x:v>
      </x:c>
      <x:c r="Y70" s="296">
        <x:f>'Reversion Pagos R4'!N370</x:f>
        <x:v>0</x:v>
      </x:c>
      <x:c r="Z70" s="319">
        <x:f t="shared" si="25"/>
        <x:v>0</x:v>
      </x:c>
      <x:c r="AA70" s="320">
        <x:f>'Reversion Pagos R4'!O370</x:f>
        <x:v>0</x:v>
      </x:c>
      <x:c r="AB70" s="294">
        <x:f t="shared" si="26"/>
        <x:v>0</x:v>
      </x:c>
      <x:c r="AC70" s="320">
        <x:f>'Reversion Pagos R4'!Q370+'Reversion Pagos R4'!R370</x:f>
        <x:v>0</x:v>
      </x:c>
      <x:c r="AD70" s="291">
        <x:f t="shared" si="27"/>
        <x:v>0</x:v>
      </x:c>
      <x:c r="AE70" s="291">
        <x:f>'Reversion Pagos R4'!D371</x:f>
        <x:v>0</x:v>
      </x:c>
      <x:c r="AF70" s="322">
        <x:f t="shared" si="29"/>
        <x:v>0</x:v>
      </x:c>
      <x:c r="AG70" s="326">
        <x:f t="shared" si="30"/>
        <x:v>0</x:v>
      </x:c>
      <x:c r="AH70" s="1" t="b">
        <x:f t="shared" si="28"/>
        <x:v>1</x:v>
      </x:c>
      <x:c r="AI70" s="306"/>
    </x:row>
    <x:row r="71" spans="1:35" s="305" customFormat="1" ht="12.9" thickBot="1" x14ac:dyDescent="0.35">
      <x:c r="B71" s="327"/>
      <x:c r="C71" s="328" t="s">
        <x:v>2</x:v>
      </x:c>
      <x:c r="D71" s="290">
        <x:f t="shared" ref="D71:O71" si="31">SUM(D66:D70)</x:f>
        <x:v>0</x:v>
      </x:c>
      <x:c r="E71" s="290">
        <x:f t="shared" si="31"/>
        <x:v>0</x:v>
      </x:c>
      <x:c r="F71" s="290">
        <x:f t="shared" si="31"/>
        <x:v>0</x:v>
      </x:c>
      <x:c r="G71" s="290">
        <x:f t="shared" si="31"/>
        <x:v>0</x:v>
      </x:c>
      <x:c r="H71" s="290">
        <x:f t="shared" si="31"/>
        <x:v>0</x:v>
      </x:c>
      <x:c r="I71" s="290">
        <x:f t="shared" si="31"/>
        <x:v>0</x:v>
      </x:c>
      <x:c r="J71" s="290">
        <x:f t="shared" si="31"/>
        <x:v>0</x:v>
      </x:c>
      <x:c r="K71" s="300">
        <x:f t="shared" si="31"/>
        <x:v>0</x:v>
      </x:c>
      <x:c r="L71" s="301">
        <x:f t="shared" si="31"/>
        <x:v>0</x:v>
      </x:c>
      <x:c r="M71" s="302">
        <x:f t="shared" si="31"/>
        <x:v>0</x:v>
      </x:c>
      <x:c r="N71" s="301">
        <x:f t="shared" si="31"/>
        <x:v>0</x:v>
      </x:c>
      <x:c r="O71" s="302">
        <x:f t="shared" si="31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2">SUM(V66:V70)</x:f>
        <x:v>0</x:v>
      </x:c>
      <x:c r="W71" s="330">
        <x:f t="shared" si="32"/>
        <x:v>0</x:v>
      </x:c>
      <x:c r="X71" s="330">
        <x:f t="shared" si="32"/>
        <x:v>0</x:v>
      </x:c>
      <x:c r="Y71" s="330">
        <x:f t="shared" si="32"/>
        <x:v>0</x:v>
      </x:c>
      <x:c r="Z71" s="290">
        <x:f t="shared" si="32"/>
        <x:v>0</x:v>
      </x:c>
      <x:c r="AA71" s="290">
        <x:f>SUM(AA66:AA70)</x:f>
        <x:v>0</x:v>
      </x:c>
      <x:c r="AB71" s="290">
        <x:f t="shared" si="32"/>
        <x:v>0</x:v>
      </x:c>
      <x:c r="AC71" s="290">
        <x:f t="shared" si="32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2"/>
        <x:v>0</x:v>
      </x:c>
      <x:c r="AG71" s="332">
        <x:f t="shared" si="32"/>
        <x:v>0</x:v>
      </x:c>
      <x:c r="AH71" s="1" t="b">
        <x:f t="shared" si="28"/>
        <x:v>1</x:v>
      </x:c>
      <x:c r="AI71" s="306"/>
    </x:row>
    <x:row r="72" spans="1:35" ht="12" thickBot="1" x14ac:dyDescent="0.3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" thickBot="1" x14ac:dyDescent="0.3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" thickBot="1" x14ac:dyDescent="0.3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3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3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35">
      <x:c r="Q77" s="4"/>
      <x:c r="AI77" s="4"/>
    </x:row>
    <x:row r="78" spans="1:35" x14ac:dyDescent="0.3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4.15" x14ac:dyDescent="0.3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2026101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2026101</x:v>
      </x:c>
      <x:c r="AE79" s="84"/>
      <x:c r="AF79" s="48"/>
      <x:c r="AG79" s="2"/>
      <x:c r="AI79" s="4"/>
    </x:row>
    <x:row r="80" spans="1:35" ht="15.45" x14ac:dyDescent="0.4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4.15" x14ac:dyDescent="0.3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45" x14ac:dyDescent="0.4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" thickBot="1" x14ac:dyDescent="0.3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3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168</x:v>
      </x:c>
      <x:c r="AD84" s="574" t="s">
        <x:v>105</x:v>
      </x:c>
      <x:c r="AE84" s="573" t="s">
        <x:v>104</x:v>
      </x:c>
      <x:c r="AF84" s="39" t="s">
        <x:v>23</x:v>
      </x:c>
      <x:c r="AG84" s="13"/>
      <x:c r="AI84" s="4"/>
    </x:row>
    <x:row r="85" spans="1:35" s="305" customFormat="1" x14ac:dyDescent="0.3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92">
        <x:f>'AJUSTES - SF-T'!J47</x:f>
        <x:v>0</x:v>
      </x:c>
      <x:c r="K85" s="292">
        <x:f>D85-E85-F85-G85-H85-I85-J85</x:f>
        <x:v>0</x:v>
      </x:c>
      <x:c r="L85" s="294">
        <x:v>0</x:v>
      </x:c>
      <x:c r="M85" s="321">
        <x:f>K85-L85</x:f>
        <x:v>0</x:v>
      </x:c>
      <x:c r="N85" s="321">
        <x:f>'AJUSTES - SF-T'!N47</x:f>
        <x:v>0</x:v>
      </x:c>
      <x:c r="O85" s="321">
        <x:f>M85+N85</x:f>
        <x:v>0</x:v>
      </x:c>
      <x:c r="Q85" s="306"/>
      <x:c r="S85" s="303">
        <x:v>1</x:v>
      </x:c>
      <x:c r="T85" s="304" t="s">
        <x:v>10</x:v>
      </x:c>
      <x:c r="U85" s="312">
        <x:v>0</x:v>
      </x:c>
      <x:c r="V85" s="312">
        <x:v>0</x:v>
      </x:c>
      <x:c r="W85" s="312">
        <x:v>0</x:v>
      </x:c>
      <x:c r="X85" s="312">
        <x:v>0</x:v>
      </x:c>
      <x:c r="Y85" s="312">
        <x:v>0</x:v>
      </x:c>
      <x:c r="Z85" s="312">
        <x:f>'AJUSTES - SF-T'!Z47</x:f>
        <x:v>0</x:v>
      </x:c>
      <x:c r="AA85" s="311">
        <x:v>0</x:v>
      </x:c>
      <x:c r="AB85" s="312">
        <x:f>'AJUSTES - SF-T'!AB47</x:f>
        <x:v>0</x:v>
      </x:c>
      <x:c r="AC85" s="571">
        <x:v>0</x:v>
      </x:c>
      <x:c r="AD85" s="321">
        <x:v>0</x:v>
      </x:c>
      <x:c r="AE85" s="294">
        <x:v>0</x:v>
      </x:c>
      <x:c r="AF85" s="363">
        <x:f>SUM(U85:AD85)</x:f>
        <x:v>0</x:v>
      </x:c>
      <x:c r="AG85" s="569">
        <x:f>AF85-O85</x:f>
        <x:v>0</x:v>
      </x:c>
      <x:c r="AH85" s="1" t="b">
        <x:f>INT(AG85)=0</x:f>
        <x:v>1</x:v>
      </x:c>
      <x:c r="AI85" s="306"/>
    </x:row>
    <x:row r="86" spans="1:35" s="305" customFormat="1" x14ac:dyDescent="0.3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92">
        <x:v>0</x:v>
      </x:c>
      <x:c r="K86" s="292">
        <x:f t="shared" ref="K86:K89" si="33">D86-E86-F86-G86-H86-I86-J86</x:f>
        <x:v>0</x:v>
      </x:c>
      <x:c r="L86" s="294">
        <x:v>0</x:v>
      </x:c>
      <x:c r="M86" s="321">
        <x:f>K86-L86</x:f>
        <x:v>0</x:v>
      </x:c>
      <x:c r="N86" s="321">
        <x:v>0</x:v>
      </x:c>
      <x:c r="O86" s="321">
        <x:f t="shared" ref="O86:O89" si="34">M86+N86</x:f>
        <x:v>0</x:v>
      </x:c>
      <x:c r="Q86" s="306"/>
      <x:c r="S86" s="314">
        <x:v>2</x:v>
      </x:c>
      <x:c r="T86" s="315" t="s">
        <x:v>11</x:v>
      </x:c>
      <x:c r="U86" s="320">
        <x:v>0</x:v>
      </x:c>
      <x:c r="V86" s="320">
        <x:v>0</x:v>
      </x:c>
      <x:c r="W86" s="320">
        <x:v>0</x:v>
      </x:c>
      <x:c r="X86" s="320">
        <x:v>0</x:v>
      </x:c>
      <x:c r="Y86" s="320">
        <x:v>0</x:v>
      </x:c>
      <x:c r="Z86" s="320">
        <x:f>-L86</x:f>
        <x:v>0</x:v>
      </x:c>
      <x:c r="AA86" s="320">
        <x:v>0</x:v>
      </x:c>
      <x:c r="AB86" s="320">
        <x:f>N86</x:f>
        <x:v>0</x:v>
      </x:c>
      <x:c r="AC86" s="299">
        <x:v>0</x:v>
      </x:c>
      <x:c r="AD86" s="320">
        <x:f t="shared" ref="AD86:AD88" si="35">-J86+AE86</x:f>
        <x:v>0</x:v>
      </x:c>
      <x:c r="AE86" s="299">
        <x:v>0</x:v>
      </x:c>
      <x:c r="AF86" s="365">
        <x:f>SUM(U86:AD86)</x:f>
        <x:v>0</x:v>
      </x:c>
      <x:c r="AG86" s="570">
        <x:f>AF86-O86</x:f>
        <x:v>0</x:v>
      </x:c>
      <x:c r="AH86" s="1" t="b">
        <x:f t="shared" ref="AH86:AH90" si="36">INT(AG86)=0</x:f>
        <x:v>1</x:v>
      </x:c>
      <x:c r="AI86" s="306"/>
    </x:row>
    <x:row r="87" spans="1:35" s="305" customFormat="1" x14ac:dyDescent="0.3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92">
        <x:f>'AJUSTES - SF-T'!J49</x:f>
        <x:v>0</x:v>
      </x:c>
      <x:c r="K87" s="292">
        <x:f>D87-E87-F87-G87-H87-I87-J87</x:f>
        <x:v>0</x:v>
      </x:c>
      <x:c r="L87" s="294">
        <x:v>0</x:v>
      </x:c>
      <x:c r="M87" s="321">
        <x:f>K87-L87</x:f>
        <x:v>0</x:v>
      </x:c>
      <x:c r="N87" s="321">
        <x:f>'AJUSTES - SF-T'!N49</x:f>
        <x:v>0</x:v>
      </x:c>
      <x:c r="O87" s="321">
        <x:f>M87+N87</x:f>
        <x:v>0</x:v>
      </x:c>
      <x:c r="Q87" s="306"/>
      <x:c r="S87" s="314">
        <x:v>3</x:v>
      </x:c>
      <x:c r="T87" s="315" t="s">
        <x:v>12</x:v>
      </x:c>
      <x:c r="U87" s="320">
        <x:v>0</x:v>
      </x:c>
      <x:c r="V87" s="320">
        <x:v>0</x:v>
      </x:c>
      <x:c r="W87" s="320">
        <x:v>0</x:v>
      </x:c>
      <x:c r="X87" s="320">
        <x:v>0</x:v>
      </x:c>
      <x:c r="Y87" s="320">
        <x:v>0</x:v>
      </x:c>
      <x:c r="Z87" s="320">
        <x:f>'AJUSTES - SF-T'!Z49</x:f>
        <x:v>0</x:v>
      </x:c>
      <x:c r="AA87" s="320">
        <x:f>'AJUSTES - SF-T'!AA49</x:f>
        <x:v>0</x:v>
      </x:c>
      <x:c r="AB87" s="320">
        <x:f>'AJUSTES - SF-T'!AB49</x:f>
        <x:v>0</x:v>
      </x:c>
      <x:c r="AC87" s="299">
        <x:v>0</x:v>
      </x:c>
      <x:c r="AD87" s="320">
        <x:v>0</x:v>
      </x:c>
      <x:c r="AE87" s="299">
        <x:v>0</x:v>
      </x:c>
      <x:c r="AF87" s="365">
        <x:f>SUM(U87:AD87)</x:f>
        <x:v>0</x:v>
      </x:c>
      <x:c r="AG87" s="570">
        <x:f>AF87-O87</x:f>
        <x:v>0</x:v>
      </x:c>
      <x:c r="AH87" s="1" t="b">
        <x:f t="shared" si="36"/>
        <x:v>1</x:v>
      </x:c>
      <x:c r="AI87" s="306"/>
    </x:row>
    <x:row r="88" spans="1:35" s="305" customFormat="1" x14ac:dyDescent="0.3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92">
        <x:v>0</x:v>
      </x:c>
      <x:c r="K88" s="292">
        <x:f t="shared" si="33"/>
        <x:v>0</x:v>
      </x:c>
      <x:c r="L88" s="294">
        <x:v>0</x:v>
      </x:c>
      <x:c r="M88" s="321">
        <x:f>K88-L88</x:f>
        <x:v>0</x:v>
      </x:c>
      <x:c r="N88" s="321">
        <x:v>0</x:v>
      </x:c>
      <x:c r="O88" s="321">
        <x:f t="shared" si="34"/>
        <x:v>0</x:v>
      </x:c>
      <x:c r="Q88" s="306"/>
      <x:c r="S88" s="314">
        <x:v>4</x:v>
      </x:c>
      <x:c r="T88" s="315" t="s">
        <x:v>13</x:v>
      </x:c>
      <x:c r="U88" s="320">
        <x:v>0</x:v>
      </x:c>
      <x:c r="V88" s="320">
        <x:v>0</x:v>
      </x:c>
      <x:c r="W88" s="320">
        <x:v>0</x:v>
      </x:c>
      <x:c r="X88" s="320">
        <x:v>0</x:v>
      </x:c>
      <x:c r="Y88" s="320">
        <x:v>0</x:v>
      </x:c>
      <x:c r="Z88" s="320">
        <x:f>-L88</x:f>
        <x:v>0</x:v>
      </x:c>
      <x:c r="AA88" s="320">
        <x:v>0</x:v>
      </x:c>
      <x:c r="AB88" s="320">
        <x:f>N88</x:f>
        <x:v>0</x:v>
      </x:c>
      <x:c r="AC88" s="299">
        <x:v>0</x:v>
      </x:c>
      <x:c r="AD88" s="320">
        <x:f t="shared" si="35"/>
        <x:v>0</x:v>
      </x:c>
      <x:c r="AE88" s="299">
        <x:v>0</x:v>
      </x:c>
      <x:c r="AF88" s="365">
        <x:f t="shared" ref="AF88:AF89" si="37">SUM(U88:AD88)</x:f>
        <x:v>0</x:v>
      </x:c>
      <x:c r="AG88" s="570">
        <x:f>AF88-O88</x:f>
        <x:v>0</x:v>
      </x:c>
      <x:c r="AH88" s="1" t="b">
        <x:f t="shared" si="36"/>
        <x:v>1</x:v>
      </x:c>
      <x:c r="AI88" s="306"/>
    </x:row>
    <x:row r="89" spans="1:35" s="305" customFormat="1" ht="12" thickBot="1" x14ac:dyDescent="0.35">
      <x:c r="B89" s="324">
        <x:v>5</x:v>
      </x:c>
      <x:c r="C89" s="325" t="s">
        <x:v>14</x:v>
      </x:c>
      <x:c r="D89" s="296">
        <x:f>'AJUSTES - SF-T'!D51</x:f>
        <x:v>0</x:v>
      </x:c>
      <x:c r="E89" s="297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97">
        <x:f>'AJUSTES - SF-T'!J51</x:f>
        <x:v>0</x:v>
      </x:c>
      <x:c r="K89" s="297">
        <x:f t="shared" si="33"/>
        <x:v>0</x:v>
      </x:c>
      <x:c r="L89" s="294">
        <x:v>0</x:v>
      </x:c>
      <x:c r="M89" s="346">
        <x:f>K89-L89</x:f>
        <x:v>0</x:v>
      </x:c>
      <x:c r="N89" s="346">
        <x:f>'AJUSTES - SF-T'!N51</x:f>
        <x:v>0</x:v>
      </x:c>
      <x:c r="O89" s="346">
        <x:f t="shared" si="34"/>
        <x:v>0</x:v>
      </x:c>
      <x:c r="Q89" s="306"/>
      <x:c r="S89" s="324">
        <x:v>5</x:v>
      </x:c>
      <x:c r="T89" s="325" t="s">
        <x:v>14</x:v>
      </x:c>
      <x:c r="U89" s="346">
        <x:f>'AJUSTES - SF-T'!U51</x:f>
        <x:v>0</x:v>
      </x:c>
      <x:c r="V89" s="346">
        <x:f>'AJUSTES - SF-T'!V51</x:f>
        <x:v>0</x:v>
      </x:c>
      <x:c r="W89" s="346">
        <x:f>'AJUSTES - SF-T'!W51</x:f>
        <x:v>0</x:v>
      </x:c>
      <x:c r="X89" s="346">
        <x:f>'AJUSTES - SF-T'!X51</x:f>
        <x:v>0</x:v>
      </x:c>
      <x:c r="Y89" s="346">
        <x:f>'AJUSTES - SF-T'!Y51</x:f>
        <x:v>0</x:v>
      </x:c>
      <x:c r="Z89" s="346">
        <x:f>'AJUSTES - SF-T'!Z51</x:f>
        <x:v>0</x:v>
      </x:c>
      <x:c r="AA89" s="320">
        <x:f>'AJUSTES - SF-T'!AA51</x:f>
        <x:v>0</x:v>
      </x:c>
      <x:c r="AB89" s="572">
        <x:f>'AJUSTES - SF-T'!AB51</x:f>
        <x:v>0</x:v>
      </x:c>
      <x:c r="AC89" s="608">
        <x:v>0</x:v>
      </x:c>
      <x:c r="AD89" s="572">
        <x:f>'AJUSTES - SF-T'!AC51</x:f>
        <x:v>0</x:v>
      </x:c>
      <x:c r="AE89" s="294">
        <x:f>'AJUSTES - SF-T'!AD51</x:f>
        <x:v>0</x:v>
      </x:c>
      <x:c r="AF89" s="576">
        <x:f t="shared" si="37"/>
        <x:v>0</x:v>
      </x:c>
      <x:c r="AG89" s="575">
        <x:f>AF89-O89</x:f>
        <x:v>0</x:v>
      </x:c>
      <x:c r="AH89" s="1" t="b">
        <x:f t="shared" si="36"/>
        <x:v>1</x:v>
      </x:c>
      <x:c r="AI89" s="306"/>
    </x:row>
    <x:row r="90" spans="1:35" s="305" customFormat="1" ht="12.9" thickBot="1" x14ac:dyDescent="0.35">
      <x:c r="B90" s="327"/>
      <x:c r="C90" s="328" t="s">
        <x:v>2</x:v>
      </x:c>
      <x:c r="D90" s="290">
        <x:f t="shared" ref="D90:O90" si="38">SUM(D85:D89)</x:f>
        <x:v>0</x:v>
      </x:c>
      <x:c r="E90" s="290">
        <x:f t="shared" si="38"/>
        <x:v>0</x:v>
      </x:c>
      <x:c r="F90" s="290">
        <x:f t="shared" si="38"/>
        <x:v>0</x:v>
      </x:c>
      <x:c r="G90" s="290">
        <x:f t="shared" si="38"/>
        <x:v>0</x:v>
      </x:c>
      <x:c r="H90" s="290">
        <x:f t="shared" si="38"/>
        <x:v>0</x:v>
      </x:c>
      <x:c r="I90" s="290">
        <x:f t="shared" si="38"/>
        <x:v>0</x:v>
      </x:c>
      <x:c r="J90" s="290">
        <x:f t="shared" si="38"/>
        <x:v>0</x:v>
      </x:c>
      <x:c r="K90" s="300">
        <x:f t="shared" si="38"/>
        <x:v>0</x:v>
      </x:c>
      <x:c r="L90" s="301">
        <x:f t="shared" si="38"/>
        <x:v>0</x:v>
      </x:c>
      <x:c r="M90" s="302">
        <x:f t="shared" si="38"/>
        <x:v>0</x:v>
      </x:c>
      <x:c r="N90" s="301">
        <x:f t="shared" si="38"/>
        <x:v>0</x:v>
      </x:c>
      <x:c r="O90" s="302">
        <x:f t="shared" si="38"/>
        <x:v>0</x:v>
      </x:c>
      <x:c r="P90" s="329"/>
      <x:c r="Q90" s="306"/>
      <x:c r="S90" s="327"/>
      <x:c r="T90" s="567" t="s">
        <x:v>2</x:v>
      </x:c>
      <x:c r="U90" s="330">
        <x:f>SUM(U85:U89)</x:f>
        <x:v>0</x:v>
      </x:c>
      <x:c r="V90" s="330">
        <x:f t="shared" ref="V90:AG90" si="39">SUM(V85:V89)</x:f>
        <x:v>0</x:v>
      </x:c>
      <x:c r="W90" s="568">
        <x:f t="shared" si="39"/>
        <x:v>0</x:v>
      </x:c>
      <x:c r="X90" s="330">
        <x:f t="shared" si="39"/>
        <x:v>0</x:v>
      </x:c>
      <x:c r="Y90" s="330">
        <x:f t="shared" si="39"/>
        <x:v>0</x:v>
      </x:c>
      <x:c r="Z90" s="290">
        <x:f t="shared" si="39"/>
        <x:v>0</x:v>
      </x:c>
      <x:c r="AA90" s="290">
        <x:f t="shared" si="39"/>
        <x:v>0</x:v>
      </x:c>
      <x:c r="AB90" s="290">
        <x:f t="shared" si="39"/>
        <x:v>0</x:v>
      </x:c>
      <x:c r="AC90" s="290">
        <x:f t="shared" si="39"/>
        <x:v>0</x:v>
      </x:c>
      <x:c r="AD90" s="290">
        <x:f t="shared" si="39"/>
        <x:v>0</x:v>
      </x:c>
      <x:c r="AE90" s="290">
        <x:f t="shared" si="39"/>
        <x:v>0</x:v>
      </x:c>
      <x:c r="AF90" s="331">
        <x:f t="shared" si="39"/>
        <x:v>0</x:v>
      </x:c>
      <x:c r="AG90" s="332">
        <x:f t="shared" si="39"/>
        <x:v>0</x:v>
      </x:c>
      <x:c r="AH90" s="1" t="b">
        <x:f t="shared" si="36"/>
        <x:v>1</x:v>
      </x:c>
      <x:c r="AI90" s="306"/>
    </x:row>
    <x:row r="91" spans="1:35" ht="12" thickBot="1" x14ac:dyDescent="0.3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" thickBot="1" x14ac:dyDescent="0.3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" thickBot="1" x14ac:dyDescent="0.3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3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3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35">
      <x:c r="Q96" s="4"/>
      <x:c r="AI96" s="4"/>
    </x:row>
    <x:row r="97" spans="2:36" x14ac:dyDescent="0.3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4.15" x14ac:dyDescent="0.3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2026101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2026101</x:v>
      </x:c>
      <x:c r="AE98" s="84"/>
      <x:c r="AF98" s="48"/>
      <x:c r="AG98" s="2"/>
      <x:c r="AI98" s="4"/>
    </x:row>
    <x:row r="99" spans="2:36" ht="15.45" x14ac:dyDescent="0.4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4.15" x14ac:dyDescent="0.3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45" x14ac:dyDescent="0.4">
      <x:c r="B101" s="8"/>
      <x:c r="C101" s="598" t="s">
        <x:v>17</x:v>
      </x:c>
      <x:c r="D101" s="9">
        <x:f>D6</x:f>
        <x:v>46297</x:v>
      </x:c>
      <x:c r="F101" s="58" t="s">
        <x:v>328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8.45" thickBot="1" x14ac:dyDescent="0.6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3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3">
      <x:c r="B104" s="303">
        <x:v>1</x:v>
      </x:c>
      <x:c r="C104" s="304" t="s">
        <x:v>10</x:v>
      </x:c>
      <x:c r="D104" s="291">
        <x:f t="shared" ref="D104:J108" si="40">D9+D28+D47+D66+D85</x:f>
        <x:v>0</x:v>
      </x:c>
      <x:c r="E104" s="292">
        <x:f t="shared" si="40"/>
        <x:v>0</x:v>
      </x:c>
      <x:c r="F104" s="292">
        <x:f t="shared" si="40"/>
        <x:v>0</x:v>
      </x:c>
      <x:c r="G104" s="292">
        <x:f t="shared" si="40"/>
        <x:v>0</x:v>
      </x:c>
      <x:c r="H104" s="292">
        <x:f t="shared" si="40"/>
        <x:v>0</x:v>
      </x:c>
      <x:c r="I104" s="292">
        <x:f t="shared" si="40"/>
        <x:v>0</x:v>
      </x:c>
      <x:c r="J104" s="292">
        <x:f t="shared" si="40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C108" si="41">U9+U28+U47+U66+U85</x:f>
        <x:v>0</x:v>
      </x:c>
      <x:c r="V104" s="308">
        <x:f t="shared" si="41"/>
        <x:v>0</x:v>
      </x:c>
      <x:c r="W104" s="308">
        <x:f t="shared" si="41"/>
        <x:v>0</x:v>
      </x:c>
      <x:c r="X104" s="308">
        <x:f t="shared" si="41"/>
        <x:v>0</x:v>
      </x:c>
      <x:c r="Y104" s="309">
        <x:f t="shared" si="41"/>
        <x:v>0</x:v>
      </x:c>
      <x:c r="Z104" s="310">
        <x:f t="shared" si="41"/>
        <x:v>0</x:v>
      </x:c>
      <x:c r="AA104" s="311">
        <x:f>AA9+AA28+AA47+AA66+AA85</x:f>
        <x:v>0</x:v>
      </x:c>
      <x:c r="AB104" s="294">
        <x:f>AB9+AB28+AB47+AB66+AB85</x:f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x14ac:dyDescent="0.3">
      <x:c r="B105" s="314">
        <x:v>2</x:v>
      </x:c>
      <x:c r="C105" s="315" t="s">
        <x:v>11</x:v>
      </x:c>
      <x:c r="D105" s="291">
        <x:f t="shared" si="40"/>
        <x:v>0</x:v>
      </x:c>
      <x:c r="E105" s="292">
        <x:f t="shared" si="40"/>
        <x:v>0</x:v>
      </x:c>
      <x:c r="F105" s="292">
        <x:f t="shared" si="40"/>
        <x:v>0</x:v>
      </x:c>
      <x:c r="G105" s="292">
        <x:f t="shared" si="40"/>
        <x:v>0</x:v>
      </x:c>
      <x:c r="H105" s="292">
        <x:f t="shared" si="40"/>
        <x:v>0</x:v>
      </x:c>
      <x:c r="I105" s="292">
        <x:f t="shared" si="40"/>
        <x:v>0</x:v>
      </x:c>
      <x:c r="J105" s="292">
        <x:f t="shared" si="40"/>
        <x:v>0</x:v>
      </x:c>
      <x:c r="K105" s="295">
        <x:f t="shared" ref="K105:K108" si="42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3">M105+N105</x:f>
        <x:v>0</x:v>
      </x:c>
      <x:c r="Q105" s="306"/>
      <x:c r="S105" s="314">
        <x:v>2</x:v>
      </x:c>
      <x:c r="T105" s="315" t="s">
        <x:v>11</x:v>
      </x:c>
      <x:c r="U105" s="316">
        <x:f t="shared" si="41"/>
        <x:v>0</x:v>
      </x:c>
      <x:c r="V105" s="317">
        <x:f t="shared" si="41"/>
        <x:v>0</x:v>
      </x:c>
      <x:c r="W105" s="317">
        <x:f t="shared" si="41"/>
        <x:v>0</x:v>
      </x:c>
      <x:c r="X105" s="317">
        <x:f t="shared" si="41"/>
        <x:v>0</x:v>
      </x:c>
      <x:c r="Y105" s="318">
        <x:f t="shared" si="41"/>
        <x:v>0</x:v>
      </x:c>
      <x:c r="Z105" s="319">
        <x:f t="shared" si="41"/>
        <x:v>0</x:v>
      </x:c>
      <x:c r="AA105" s="320">
        <x:f t="shared" si="41"/>
        <x:v>0</x:v>
      </x:c>
      <x:c r="AB105" s="294">
        <x:f t="shared" si="41"/>
        <x:v>0</x:v>
      </x:c>
      <x:c r="AC105" s="320">
        <x:f t="shared" si="41"/>
        <x:v>0</x:v>
      </x:c>
      <x:c r="AD105" s="291">
        <x:f t="shared" ref="AD105:AD106" si="44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ref="AH105:AH109" si="45">INT(AG105)=0</x:f>
        <x:v>1</x:v>
      </x:c>
      <x:c r="AI105" s="306"/>
    </x:row>
    <x:row r="106" spans="2:36" s="305" customFormat="1" x14ac:dyDescent="0.3">
      <x:c r="B106" s="314">
        <x:v>3</x:v>
      </x:c>
      <x:c r="C106" s="315" t="s">
        <x:v>12</x:v>
      </x:c>
      <x:c r="D106" s="291">
        <x:f t="shared" si="40"/>
        <x:v>0</x:v>
      </x:c>
      <x:c r="E106" s="292">
        <x:f t="shared" si="40"/>
        <x:v>0</x:v>
      </x:c>
      <x:c r="F106" s="292">
        <x:f t="shared" si="40"/>
        <x:v>0</x:v>
      </x:c>
      <x:c r="G106" s="292">
        <x:f t="shared" si="40"/>
        <x:v>0</x:v>
      </x:c>
      <x:c r="H106" s="292">
        <x:f t="shared" si="40"/>
        <x:v>0</x:v>
      </x:c>
      <x:c r="I106" s="292">
        <x:f t="shared" si="40"/>
        <x:v>0</x:v>
      </x:c>
      <x:c r="J106" s="292">
        <x:f t="shared" si="40"/>
        <x:v>0</x:v>
      </x:c>
      <x:c r="K106" s="295">
        <x:f t="shared" si="42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3"/>
        <x:v>0</x:v>
      </x:c>
      <x:c r="Q106" s="306"/>
      <x:c r="S106" s="314">
        <x:v>3</x:v>
      </x:c>
      <x:c r="T106" s="315" t="s">
        <x:v>12</x:v>
      </x:c>
      <x:c r="U106" s="316">
        <x:f t="shared" si="41"/>
        <x:v>0</x:v>
      </x:c>
      <x:c r="V106" s="317">
        <x:f t="shared" si="41"/>
        <x:v>0</x:v>
      </x:c>
      <x:c r="W106" s="317">
        <x:f t="shared" si="41"/>
        <x:v>0</x:v>
      </x:c>
      <x:c r="X106" s="317">
        <x:f t="shared" si="41"/>
        <x:v>0</x:v>
      </x:c>
      <x:c r="Y106" s="318">
        <x:f t="shared" si="41"/>
        <x:v>0</x:v>
      </x:c>
      <x:c r="Z106" s="319">
        <x:f t="shared" si="41"/>
        <x:v>0</x:v>
      </x:c>
      <x:c r="AA106" s="320">
        <x:f t="shared" si="41"/>
        <x:v>0</x:v>
      </x:c>
      <x:c r="AB106" s="294">
        <x:f t="shared" si="41"/>
        <x:v>0</x:v>
      </x:c>
      <x:c r="AC106" s="320">
        <x:f>AC11+AC30+AC49+AC68+AC87</x:f>
        <x:v>0</x:v>
      </x:c>
      <x:c r="AD106" s="291">
        <x:f t="shared" si="44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5"/>
        <x:v>1</x:v>
      </x:c>
      <x:c r="AI106" s="306"/>
    </x:row>
    <x:row r="107" spans="2:36" s="305" customFormat="1" x14ac:dyDescent="0.3">
      <x:c r="B107" s="314">
        <x:v>4</x:v>
      </x:c>
      <x:c r="C107" s="315" t="s">
        <x:v>13</x:v>
      </x:c>
      <x:c r="D107" s="291">
        <x:f t="shared" si="40"/>
        <x:v>0</x:v>
      </x:c>
      <x:c r="E107" s="292">
        <x:f t="shared" si="40"/>
        <x:v>0</x:v>
      </x:c>
      <x:c r="F107" s="292">
        <x:f t="shared" si="40"/>
        <x:v>0</x:v>
      </x:c>
      <x:c r="G107" s="292">
        <x:f t="shared" si="40"/>
        <x:v>0</x:v>
      </x:c>
      <x:c r="H107" s="292">
        <x:f t="shared" si="40"/>
        <x:v>0</x:v>
      </x:c>
      <x:c r="I107" s="292">
        <x:f t="shared" si="40"/>
        <x:v>0</x:v>
      </x:c>
      <x:c r="J107" s="292">
        <x:f t="shared" si="40"/>
        <x:v>0</x:v>
      </x:c>
      <x:c r="K107" s="295">
        <x:f t="shared" si="42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>M107+N107</x:f>
        <x:v>0</x:v>
      </x:c>
      <x:c r="Q107" s="306"/>
      <x:c r="S107" s="314">
        <x:v>4</x:v>
      </x:c>
      <x:c r="T107" s="315" t="s">
        <x:v>13</x:v>
      </x:c>
      <x:c r="U107" s="316">
        <x:f t="shared" si="41"/>
        <x:v>0</x:v>
      </x:c>
      <x:c r="V107" s="317">
        <x:f t="shared" si="41"/>
        <x:v>0</x:v>
      </x:c>
      <x:c r="W107" s="317">
        <x:f t="shared" si="41"/>
        <x:v>0</x:v>
      </x:c>
      <x:c r="X107" s="317">
        <x:f t="shared" si="41"/>
        <x:v>0</x:v>
      </x:c>
      <x:c r="Y107" s="318">
        <x:f t="shared" si="41"/>
        <x:v>0</x:v>
      </x:c>
      <x:c r="Z107" s="319">
        <x:f t="shared" si="41"/>
        <x:v>0</x:v>
      </x:c>
      <x:c r="AA107" s="320">
        <x:f t="shared" si="41"/>
        <x:v>0</x:v>
      </x:c>
      <x:c r="AB107" s="294">
        <x:f t="shared" si="41"/>
        <x:v>0</x:v>
      </x:c>
      <x:c r="AC107" s="320">
        <x:f t="shared" si="41"/>
        <x:v>0</x:v>
      </x:c>
      <x:c r="AD107" s="291">
        <x:f>-J117+AE117</x:f>
        <x:v>0</x:v>
      </x:c>
      <x:c r="AE107" s="291">
        <x:f>AE12+AE31+AE50+AE69+AE88</x:f>
        <x:v>0</x:v>
      </x:c>
      <x:c r="AF107" s="322">
        <x:f>SUM(U117:AD117)</x:f>
        <x:v>0</x:v>
      </x:c>
      <x:c r="AG107" s="323">
        <x:f>AF117-O117</x:f>
        <x:v>0</x:v>
      </x:c>
      <x:c r="AH107" s="1" t="b">
        <x:f t="shared" si="45"/>
        <x:v>1</x:v>
      </x:c>
      <x:c r="AI107" s="306"/>
    </x:row>
    <x:row r="108" spans="2:36" s="305" customFormat="1" ht="12" thickBot="1" x14ac:dyDescent="0.3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0"/>
        <x:v>0</x:v>
      </x:c>
      <x:c r="F108" s="297">
        <x:f t="shared" si="40"/>
        <x:v>0</x:v>
      </x:c>
      <x:c r="G108" s="297">
        <x:f t="shared" si="40"/>
        <x:v>0</x:v>
      </x:c>
      <x:c r="H108" s="297">
        <x:f t="shared" si="40"/>
        <x:v>0</x:v>
      </x:c>
      <x:c r="I108" s="297">
        <x:f t="shared" si="40"/>
        <x:v>0</x:v>
      </x:c>
      <x:c r="J108" s="297">
        <x:f t="shared" si="40"/>
        <x:v>0</x:v>
      </x:c>
      <x:c r="K108" s="295">
        <x:f t="shared" si="42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3"/>
        <x:v>0</x:v>
      </x:c>
      <x:c r="Q108" s="306"/>
      <x:c r="S108" s="324">
        <x:v>5</x:v>
      </x:c>
      <x:c r="T108" s="325" t="s">
        <x:v>14</x:v>
      </x:c>
      <x:c r="U108" s="296">
        <x:f t="shared" si="41"/>
        <x:v>0</x:v>
      </x:c>
      <x:c r="V108" s="297">
        <x:f t="shared" si="41"/>
        <x:v>0</x:v>
      </x:c>
      <x:c r="W108" s="297">
        <x:f t="shared" si="41"/>
        <x:v>0</x:v>
      </x:c>
      <x:c r="X108" s="297">
        <x:f t="shared" si="41"/>
        <x:v>0</x:v>
      </x:c>
      <x:c r="Y108" s="289">
        <x:f t="shared" si="41"/>
        <x:v>0</x:v>
      </x:c>
      <x:c r="Z108" s="319">
        <x:f t="shared" si="41"/>
        <x:v>0</x:v>
      </x:c>
      <x:c r="AA108" s="320">
        <x:f t="shared" si="41"/>
        <x:v>0</x:v>
      </x:c>
      <x:c r="AB108" s="294">
        <x:f t="shared" si="41"/>
        <x:v>0</x:v>
      </x:c>
      <x:c r="AC108" s="320">
        <x:f t="shared" si="41"/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5"/>
        <x:v>1</x:v>
      </x:c>
      <x:c r="AI108" s="306"/>
    </x:row>
    <x:row r="109" spans="2:36" s="305" customFormat="1" ht="12.9" thickBot="1" x14ac:dyDescent="0.35">
      <x:c r="B109" s="327"/>
      <x:c r="C109" s="328" t="s">
        <x:v>2</x:v>
      </x:c>
      <x:c r="D109" s="290">
        <x:f t="shared" ref="D109:O109" si="46">SUM(D104:D108)</x:f>
        <x:v>0</x:v>
      </x:c>
      <x:c r="E109" s="290">
        <x:f t="shared" si="46"/>
        <x:v>0</x:v>
      </x:c>
      <x:c r="F109" s="290">
        <x:f t="shared" si="46"/>
        <x:v>0</x:v>
      </x:c>
      <x:c r="G109" s="290">
        <x:f t="shared" si="46"/>
        <x:v>0</x:v>
      </x:c>
      <x:c r="H109" s="290">
        <x:f t="shared" si="46"/>
        <x:v>0</x:v>
      </x:c>
      <x:c r="I109" s="290">
        <x:f t="shared" si="46"/>
        <x:v>0</x:v>
      </x:c>
      <x:c r="J109" s="290">
        <x:f t="shared" si="46"/>
        <x:v>0</x:v>
      </x:c>
      <x:c r="K109" s="300">
        <x:f t="shared" si="46"/>
        <x:v>0</x:v>
      </x:c>
      <x:c r="L109" s="301">
        <x:f t="shared" si="46"/>
        <x:v>0</x:v>
      </x:c>
      <x:c r="M109" s="302">
        <x:f t="shared" si="46"/>
        <x:v>0</x:v>
      </x:c>
      <x:c r="N109" s="301">
        <x:f t="shared" si="46"/>
        <x:v>0</x:v>
      </x:c>
      <x:c r="O109" s="302">
        <x:f t="shared" si="46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47">SUM(V104:V108)</x:f>
        <x:v>0</x:v>
      </x:c>
      <x:c r="W109" s="330">
        <x:f t="shared" si="47"/>
        <x:v>0</x:v>
      </x:c>
      <x:c r="X109" s="330">
        <x:f t="shared" si="47"/>
        <x:v>0</x:v>
      </x:c>
      <x:c r="Y109" s="330">
        <x:f t="shared" si="47"/>
        <x:v>0</x:v>
      </x:c>
      <x:c r="Z109" s="290">
        <x:f t="shared" si="47"/>
        <x:v>0</x:v>
      </x:c>
      <x:c r="AA109" s="290">
        <x:f t="shared" si="47"/>
        <x:v>0</x:v>
      </x:c>
      <x:c r="AB109" s="290">
        <x:f t="shared" si="47"/>
        <x:v>0</x:v>
      </x:c>
      <x:c r="AC109" s="290">
        <x:f t="shared" si="47"/>
        <x:v>0</x:v>
      </x:c>
      <x:c r="AD109" s="290">
        <x:f t="shared" si="47"/>
        <x:v>0</x:v>
      </x:c>
      <x:c r="AE109" s="290">
        <x:f>SUM(AE104:AE108)</x:f>
        <x:v>0</x:v>
      </x:c>
      <x:c r="AF109" s="331">
        <x:f t="shared" si="47"/>
        <x:v>0</x:v>
      </x:c>
      <x:c r="AG109" s="332">
        <x:f>SUM(AG104:AG108)</x:f>
        <x:v>0</x:v>
      </x:c>
      <x:c r="AH109" s="1" t="b">
        <x:f t="shared" si="45"/>
        <x:v>1</x:v>
      </x:c>
      <x:c r="AI109" s="306"/>
    </x:row>
    <x:row r="110" spans="2:36" ht="12" thickBot="1" x14ac:dyDescent="0.3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" thickBot="1" x14ac:dyDescent="0.3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" thickBot="1" x14ac:dyDescent="0.3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305"/>
      <x:c r="AB112" s="305"/>
      <x:c r="AC112" s="305"/>
      <x:c r="AI112" s="4"/>
    </x:row>
    <x:row r="113" spans="1:35" x14ac:dyDescent="0.3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3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35">
      <x:c r="Q115" s="4"/>
    </x:row>
    <x:row r="116" spans="1:35" x14ac:dyDescent="0.3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4.15" x14ac:dyDescent="0.3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2026101</x:v>
      </x:c>
      <x:c r="O117" s="10"/>
      <x:c r="P117" s="2"/>
      <x:c r="Q117" s="4"/>
    </x:row>
    <x:row r="118" spans="1:35" ht="15.45" x14ac:dyDescent="0.4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3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3">
      <x:c r="B120" s="8"/>
      <x:c r="I120" s="2"/>
      <x:c r="J120" s="2"/>
      <x:c r="O120" s="10"/>
      <x:c r="P120" s="2"/>
      <x:c r="Q120" s="4"/>
    </x:row>
    <x:row r="121" spans="1:35" ht="15.45" x14ac:dyDescent="0.4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3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" thickBot="1" x14ac:dyDescent="0.3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6.75" thickBot="1" x14ac:dyDescent="0.3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3">
      <x:c r="B125" s="108">
        <x:v>1</x:v>
      </x:c>
      <x:c r="C125" s="109" t="s">
        <x:v>10</x:v>
      </x:c>
      <x:c r="D125" s="110">
        <x:f>'ANTICIPOS USUARIOS'!L3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USUARIOS'!L12</x:f>
        <x:v>0</x:v>
      </x:c>
      <x:c r="L125" s="309">
        <x:f>-'ANTICIPOS USUARIOS'!L21</x:f>
        <x:v>0</x:v>
      </x:c>
      <x:c r="O125" s="44"/>
      <x:c r="Q125" s="4"/>
    </x:row>
    <x:row r="126" spans="1:35" x14ac:dyDescent="0.3">
      <x:c r="B126" s="16">
        <x:v>2</x:v>
      </x:c>
      <x:c r="C126" s="17" t="s">
        <x:v>11</x:v>
      </x:c>
      <x:c r="D126" s="15">
        <x:f>'ANTICIPOS USUARIOS'!L4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48">D67+N67</x:f>
        <x:v>0</x:v>
      </x:c>
      <x:c r="K126" s="288">
        <x:f>'ANTICIPOS USUARIOS'!L13</x:f>
        <x:v>0</x:v>
      </x:c>
      <x:c r="L126" s="288">
        <x:f>-'ANTICIPOS USUARIOS'!L22</x:f>
        <x:v>0</x:v>
      </x:c>
      <x:c r="O126" s="44"/>
      <x:c r="Q126" s="4"/>
    </x:row>
    <x:row r="127" spans="1:35" x14ac:dyDescent="0.3">
      <x:c r="B127" s="16">
        <x:v>3</x:v>
      </x:c>
      <x:c r="C127" s="17" t="s">
        <x:v>12</x:v>
      </x:c>
      <x:c r="D127" s="15">
        <x:f>'ANTICIPOS USUARIOS'!L5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48"/>
        <x:v>0</x:v>
      </x:c>
      <x:c r="K127" s="288">
        <x:f>'ANTICIPOS USUARIOS'!L14</x:f>
        <x:v>0</x:v>
      </x:c>
      <x:c r="L127" s="288">
        <x:f>-'ANTICIPOS USUARIOS'!L23</x:f>
        <x:v>0</x:v>
      </x:c>
      <x:c r="O127" s="44"/>
      <x:c r="Q127" s="4"/>
    </x:row>
    <x:row r="128" spans="1:35" x14ac:dyDescent="0.3">
      <x:c r="B128" s="16">
        <x:v>4</x:v>
      </x:c>
      <x:c r="C128" s="17" t="s">
        <x:v>13</x:v>
      </x:c>
      <x:c r="D128" s="15">
        <x:f>'ANTICIPOS USUARIOS'!L6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48"/>
        <x:v>0</x:v>
      </x:c>
      <x:c r="K128" s="288">
        <x:f>'ANTICIPOS USUARIOS'!L15</x:f>
        <x:v>0</x:v>
      </x:c>
      <x:c r="L128" s="288">
        <x:f>-'ANTICIPOS USUARIOS'!L24</x:f>
        <x:v>0</x:v>
      </x:c>
      <x:c r="O128" s="44"/>
      <x:c r="Q128" s="4"/>
    </x:row>
    <x:row r="129" spans="1:18" x14ac:dyDescent="0.3">
      <x:c r="B129" s="133">
        <x:v>5</x:v>
      </x:c>
      <x:c r="C129" s="138" t="s">
        <x:v>14</x:v>
      </x:c>
      <x:c r="D129" s="15">
        <x:f>'ANTICIPOS USUARIOS'!L7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48"/>
        <x:v>0</x:v>
      </x:c>
      <x:c r="K129" s="288">
        <x:f>'ANTICIPOS USUARIOS'!L16</x:f>
        <x:v>0</x:v>
      </x:c>
      <x:c r="L129" s="288">
        <x:f>-'ANTICIPOS USUARIOS'!L25</x:f>
        <x:v>0</x:v>
      </x:c>
      <x:c r="O129" s="44"/>
      <x:c r="Q129" s="4"/>
    </x:row>
    <x:row r="130" spans="1:18" ht="12" thickBot="1" x14ac:dyDescent="0.35">
      <x:c r="B130" s="19" t="s">
        <x:v>89</x:v>
      </x:c>
      <x:c r="C130" s="20" t="s">
        <x:v>113</x:v>
      </x:c>
      <x:c r="D130" s="78"/>
      <x:c r="E130" s="79">
        <x:f>'Recaudo ENEL'!D26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" thickBot="1" x14ac:dyDescent="0.35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49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x14ac:dyDescent="0.3">
      <x:c r="B132" s="2"/>
      <x:c r="C132" s="2"/>
      <x:c r="D132" s="24"/>
      <x:c r="Q132" s="4"/>
    </x:row>
    <x:row r="133" spans="1:18" x14ac:dyDescent="0.3">
      <x:c r="B133" s="2"/>
      <x:c r="C133" s="2"/>
      <x:c r="D133" s="24"/>
      <x:c r="L133" s="1" t="s">
        <x:v>1</x:v>
      </x:c>
      <x:c r="Q133" s="4"/>
    </x:row>
    <x:row r="134" spans="1:18" ht="12" thickBot="1" x14ac:dyDescent="0.3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3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3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3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3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3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6.75" thickBot="1" x14ac:dyDescent="0.3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3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ENERBIT'!D21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BANCO'!E63)</x:f>
        <x:v>0</x:v>
      </x:c>
      <x:c r="J142" s="110">
        <x:f t="shared" ref="J142:K146" si="50">G125</x:f>
        <x:v>0</x:v>
      </x:c>
      <x:c r="K142" s="111">
        <x:f t="shared" si="50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3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ENERBIT'!D22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BANCO'!E66)</x:f>
        <x:v>0</x:v>
      </x:c>
      <x:c r="J143" s="18">
        <x:f t="shared" si="50"/>
        <x:v>0</x:v>
      </x:c>
      <x:c r="K143" s="83">
        <x:f t="shared" si="50"/>
        <x:v>0</x:v>
      </x:c>
      <x:c r="L143" s="525">
        <x:f>D143-E143-F143-G143-J143-H143-I143</x:f>
        <x:v>0</x:v>
      </x:c>
      <x:c r="M143" s="1" t="b">
        <x:f t="shared" ref="M143:M147" si="51">INT(L143)=0</x:f>
        <x:v>1</x:v>
      </x:c>
      <x:c r="O143" s="130"/>
      <x:c r="P143" s="24"/>
      <x:c r="Q143" s="35"/>
      <x:c r="R143" s="24"/>
    </x:row>
    <x:row r="144" spans="1:18" x14ac:dyDescent="0.3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ENERBIT'!D23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BANCO'!E68)</x:f>
        <x:v>0</x:v>
      </x:c>
      <x:c r="J144" s="18">
        <x:f t="shared" si="50"/>
        <x:v>0</x:v>
      </x:c>
      <x:c r="K144" s="83">
        <x:f t="shared" si="50"/>
        <x:v>0</x:v>
      </x:c>
      <x:c r="L144" s="525">
        <x:f>D144-E144-F144-G144-J144-H144-I144</x:f>
        <x:v>0</x:v>
      </x:c>
      <x:c r="M144" s="1" t="b">
        <x:f t="shared" si="51"/>
        <x:v>1</x:v>
      </x:c>
      <x:c r="O144" s="55"/>
      <x:c r="P144" s="24"/>
      <x:c r="Q144" s="35"/>
      <x:c r="R144" s="24"/>
    </x:row>
    <x:row r="145" spans="1:20" x14ac:dyDescent="0.3">
      <x:c r="B145" s="16">
        <x:v>4</x:v>
      </x:c>
      <x:c r="C145" s="17" t="s">
        <x:v>13</x:v>
      </x:c>
      <x:c r="D145" s="18">
        <x:f>D117+N117+D128+E128</x:f>
        <x:v>0</x:v>
      </x:c>
      <x:c r="E145" s="18">
        <x:f>'Recaudo ENERBIT'!D24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BANCO'!E71)</x:f>
        <x:v>0</x:v>
      </x:c>
      <x:c r="J145" s="18">
        <x:f t="shared" si="50"/>
        <x:v>0</x:v>
      </x:c>
      <x:c r="K145" s="83">
        <x:f t="shared" si="50"/>
        <x:v>0</x:v>
      </x:c>
      <x:c r="L145" s="525">
        <x:f>D145-E145-F145-G145-J145-H145-I145</x:f>
        <x:v>0</x:v>
      </x:c>
      <x:c r="M145" s="1" t="b">
        <x:f t="shared" si="51"/>
        <x:v>1</x:v>
      </x:c>
      <x:c r="O145" s="96"/>
      <x:c r="P145" s="24"/>
      <x:c r="Q145" s="35"/>
      <x:c r="R145" s="24"/>
    </x:row>
    <x:row r="146" spans="1:20" ht="12" thickBot="1" x14ac:dyDescent="0.3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ENERBIT'!F25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BANCO'!E73)</x:f>
        <x:v>0</x:v>
      </x:c>
      <x:c r="J146" s="134">
        <x:f t="shared" si="50"/>
        <x:v>0</x:v>
      </x:c>
      <x:c r="K146" s="136">
        <x:f t="shared" si="50"/>
        <x:v>0</x:v>
      </x:c>
      <x:c r="L146" s="525">
        <x:f>D146-E146-F146-G146-J146-H146-I146</x:f>
        <x:v>0</x:v>
      </x:c>
      <x:c r="M146" s="1" t="b">
        <x:f t="shared" si="51"/>
        <x:v>1</x:v>
      </x:c>
      <x:c r="O146" s="55"/>
      <x:c r="P146" s="24"/>
      <x:c r="Q146" s="35"/>
      <x:c r="R146" s="24"/>
    </x:row>
    <x:row r="147" spans="1:20" ht="12" thickBot="1" x14ac:dyDescent="0.3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2">SUM(F142:F146)</x:f>
        <x:v>0</x:v>
      </x:c>
      <x:c r="G147" s="47">
        <x:f t="shared" si="52"/>
        <x:v>0</x:v>
      </x:c>
      <x:c r="H147" s="47">
        <x:f t="shared" si="52"/>
        <x:v>0</x:v>
      </x:c>
      <x:c r="I147" s="47">
        <x:f t="shared" si="52"/>
        <x:v>0</x:v>
      </x:c>
      <x:c r="J147" s="47">
        <x:f t="shared" si="52"/>
        <x:v>0</x:v>
      </x:c>
      <x:c r="K147" s="47">
        <x:f t="shared" si="52"/>
        <x:v>0</x:v>
      </x:c>
      <x:c r="L147" s="525">
        <x:f>SUM(L142:L146)</x:f>
        <x:v>0</x:v>
      </x:c>
      <x:c r="M147" s="1" t="b">
        <x:f t="shared" si="51"/>
        <x:v>1</x:v>
      </x:c>
      <x:c r="P147" s="24"/>
      <x:c r="Q147" s="35"/>
      <x:c r="R147" s="24"/>
    </x:row>
    <x:row r="148" spans="1:20" x14ac:dyDescent="0.3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3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3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x14ac:dyDescent="0.3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3">
      <x:c r="N152" s="24"/>
      <x:c r="O152" s="24"/>
      <x:c r="Q152" s="24"/>
      <x:c r="T152" s="24"/>
    </x:row>
    <x:row r="153" spans="1:20" x14ac:dyDescent="0.3">
      <x:c r="E153" s="659"/>
      <x:c r="N153" s="24"/>
      <x:c r="O153" s="24"/>
      <x:c r="Q153" s="24"/>
      <x:c r="T153" s="24"/>
    </x:row>
    <x:row r="154" spans="1:20" x14ac:dyDescent="0.3">
      <x:c r="N154" s="24"/>
      <x:c r="O154" s="24"/>
      <x:c r="Q154" s="24"/>
      <x:c r="T154" s="24"/>
    </x:row>
    <x:row r="155" spans="1:20" x14ac:dyDescent="0.3">
      <x:c r="Q155" s="24"/>
      <x:c r="T155" s="24"/>
    </x:row>
    <x:row r="156" spans="1:20" x14ac:dyDescent="0.3">
      <x:c r="Q156" s="24"/>
    </x:row>
  </x:sheetData>
  <x:conditionalFormatting sqref="L142:L147">
    <x:cfRule type="expression" dxfId="40" priority="8">
      <x:formula>$L$142&lt;&gt;0</x:formula>
    </x:cfRule>
  </x:conditionalFormatting>
  <x:conditionalFormatting sqref="M142:M147">
    <x:cfRule type="cellIs" dxfId="39" priority="1" operator="notEqual">
      <x:formula>TRUE</x:formula>
    </x:cfRule>
  </x:conditionalFormatting>
  <x:conditionalFormatting sqref="AH9:AH14">
    <x:cfRule type="cellIs" dxfId="38" priority="7" operator="notEqual">
      <x:formula>TRUE</x:formula>
    </x:cfRule>
  </x:conditionalFormatting>
  <x:conditionalFormatting sqref="AH28:AH33">
    <x:cfRule type="cellIs" dxfId="37" priority="6" operator="notEqual">
      <x:formula>TRUE</x:formula>
    </x:cfRule>
  </x:conditionalFormatting>
  <x:conditionalFormatting sqref="AH47:AH52">
    <x:cfRule type="cellIs" dxfId="36" priority="5" operator="notEqual">
      <x:formula>TRUE</x:formula>
    </x:cfRule>
  </x:conditionalFormatting>
  <x:conditionalFormatting sqref="AH66:AH71">
    <x:cfRule type="cellIs" dxfId="35" priority="4" operator="notEqual">
      <x:formula>TRUE</x:formula>
    </x:cfRule>
  </x:conditionalFormatting>
  <x:conditionalFormatting sqref="AH85:AH90">
    <x:cfRule type="cellIs" dxfId="34" priority="3" operator="notEqual">
      <x:formula>TRUE</x:formula>
    </x:cfRule>
  </x:conditionalFormatting>
  <x:conditionalFormatting sqref="AH104:AH109">
    <x:cfRule type="cellIs" dxfId="33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2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42EA0E2-369B-404A-A9AB-28C96A710C7E}" mc:Ignorable="x14ac xr xr2 xr3">
  <x:sheetPr>
    <x:tabColor theme="8" tint="0.59999389629810485"/>
  </x:sheetPr>
  <x:dimension ref="B1:P16"/>
  <x:sheetViews>
    <x:sheetView zoomScale="90" zoomScaleNormal="90" workbookViewId="0">
      <x:selection activeCell="C7" sqref="C7"/>
    </x:sheetView>
  </x:sheetViews>
  <x:sheetFormatPr baseColWidth="10" defaultRowHeight="12.45" x14ac:dyDescent="0.3"/>
  <x:cols>
    <x:col min="1" max="1" width="3" customWidth="1"/>
    <x:col min="2" max="2" width="4.15234375" bestFit="1" customWidth="1"/>
    <x:col min="3" max="3" width="16.84375" customWidth="1"/>
    <x:col min="4" max="4" width="14.15234375" customWidth="1"/>
    <x:col min="5" max="7" width="17.84375" customWidth="1"/>
    <x:col min="8" max="8" width="18.15234375" customWidth="1"/>
    <x:col min="9" max="9" width="15.84375" customWidth="1"/>
    <x:col min="10" max="10" width="16.3828125" customWidth="1"/>
    <x:col min="11" max="11" width="15.84375" customWidth="1"/>
    <x:col min="12" max="13" width="18.15234375" customWidth="1"/>
    <x:col min="14" max="14" width="15.84375" customWidth="1"/>
    <x:col min="15" max="15" width="14.15234375" customWidth="1"/>
    <x:col min="16" max="16" width="14.3828125" customWidth="1"/>
  </x:cols>
  <x:sheetData>
    <x:row r="1" spans="2:16" ht="12.9" thickBot="1" x14ac:dyDescent="0.35"/>
    <x:row r="2" spans="2:16" ht="35.15" thickBot="1" x14ac:dyDescent="0.3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3">
      <x:c r="B3" s="303">
        <x:v>1</x:v>
      </x:c>
      <x:c r="C3" s="292">
        <x:f>'Recaudo ENERBIT'!D21</x:f>
        <x:v>0</x:v>
      </x:c>
      <x:c r="D3" s="292">
        <x:f>REMUNERACION_ENERBIT!G125</x:f>
        <x:v>0</x:v>
      </x:c>
      <x:c r="E3" s="292">
        <x:f>REMUNERACION_ENERBIT!D28+REMUNERACION_ENERBIT!N28</x:f>
        <x:v>0</x:v>
      </x:c>
      <x:c r="F3" s="292">
        <x:f>REMUNERACION_ENERBIT!I142</x:f>
        <x:v>0</x:v>
      </x:c>
      <x:c r="G3" s="292">
        <x:f>REMUNERACION_ENERBIT!H142</x:f>
        <x:v>0</x:v>
      </x:c>
      <x:c r="H3" s="340">
        <x:f>SUM(C3:G3)</x:f>
        <x:v>0</x:v>
      </x:c>
      <x:c r="I3" s="291">
        <x:f>REMUNERACION_ENERBIT!D104</x:f>
        <x:v>0</x:v>
      </x:c>
      <x:c r="J3" s="292">
        <x:f>REMUNERACION_ENERBIT!N104</x:f>
        <x:v>0</x:v>
      </x:c>
      <x:c r="K3" s="292">
        <x:f>REMUNERACION_ENERBIT!D125</x:f>
        <x:v>0</x:v>
      </x:c>
      <x:c r="L3" s="353">
        <x:f>REMUNERACION_ENERBIT!E125</x:f>
        <x:v>0</x:v>
      </x:c>
      <x:c r="M3" s="292">
        <x:f>-REMUNERACION_ENERBIT!D66-REMUNERACION_ENERBIT!N66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3">
      <x:c r="B4" s="314">
        <x:v>2</x:v>
      </x:c>
      <x:c r="C4" s="317">
        <x:f>'Recaudo ENERBIT'!D22</x:f>
        <x:v>0</x:v>
      </x:c>
      <x:c r="D4" s="292">
        <x:f>REMUNERACION_ENERBIT!G126</x:f>
        <x:v>0</x:v>
      </x:c>
      <x:c r="E4" s="292">
        <x:f>REMUNERACION_ENERBIT!D29+REMUNERACION_ENERBIT!N29</x:f>
        <x:v>0</x:v>
      </x:c>
      <x:c r="F4" s="292">
        <x:f>REMUNERACION_ENERBIT!I143</x:f>
        <x:v>0</x:v>
      </x:c>
      <x:c r="G4" s="292">
        <x:f>REMUNERACION_ENERBIT!H143</x:f>
        <x:v>0</x:v>
      </x:c>
      <x:c r="H4" s="340">
        <x:f t="shared" ref="H4:H8" si="1">SUM(C4:G4)</x:f>
        <x:v>0</x:v>
      </x:c>
      <x:c r="I4" s="291">
        <x:f>REMUNERACION_ENERBIT!D105</x:f>
        <x:v>0</x:v>
      </x:c>
      <x:c r="J4" s="292">
        <x:f>REMUNERACION_ENERBIT!N105</x:f>
        <x:v>0</x:v>
      </x:c>
      <x:c r="K4" s="292">
        <x:f>REMUNERACION_ENERBIT!D126</x:f>
        <x:v>0</x:v>
      </x:c>
      <x:c r="L4" s="353">
        <x:f>REMUNERACION_ENERBIT!E126</x:f>
        <x:v>0</x:v>
      </x:c>
      <x:c r="M4" s="292">
        <x:f>-REMUNERACION_ENERBIT!D67-REMUNERACION_ENERBIT!N67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3">
      <x:c r="B5" s="314">
        <x:v>3</x:v>
      </x:c>
      <x:c r="C5" s="317">
        <x:f>'Recaudo ENERBIT'!D23</x:f>
        <x:v>0</x:v>
      </x:c>
      <x:c r="D5" s="292">
        <x:f>REMUNERACION_ENERBIT!G127</x:f>
        <x:v>0</x:v>
      </x:c>
      <x:c r="E5" s="292">
        <x:f>REMUNERACION_ENERBIT!D30+REMUNERACION_ENERBIT!N30</x:f>
        <x:v>0</x:v>
      </x:c>
      <x:c r="F5" s="292">
        <x:f>REMUNERACION_ENERBIT!I144</x:f>
        <x:v>0</x:v>
      </x:c>
      <x:c r="G5" s="292">
        <x:f>REMUNERACION_ENERBIT!H144</x:f>
        <x:v>0</x:v>
      </x:c>
      <x:c r="H5" s="340">
        <x:f t="shared" si="1"/>
        <x:v>0</x:v>
      </x:c>
      <x:c r="I5" s="291">
        <x:f>REMUNERACION_ENERBIT!D106</x:f>
        <x:v>0</x:v>
      </x:c>
      <x:c r="J5" s="292">
        <x:f>REMUNERACION_ENERBIT!N106</x:f>
        <x:v>0</x:v>
      </x:c>
      <x:c r="K5" s="292">
        <x:f>REMUNERACION_ENERBIT!D127</x:f>
        <x:v>0</x:v>
      </x:c>
      <x:c r="L5" s="353">
        <x:f>REMUNERACION_ENERBIT!E127</x:f>
        <x:v>0</x:v>
      </x:c>
      <x:c r="M5" s="292">
        <x:f>-REMUNERACION_ENERBIT!D68-REMUNERACION_ENERBIT!N68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3">
      <x:c r="B6" s="314">
        <x:v>4</x:v>
      </x:c>
      <x:c r="C6" s="317">
        <x:f>'Recaudo ENERBIT'!D24</x:f>
        <x:v>0</x:v>
      </x:c>
      <x:c r="D6" s="292">
        <x:f>REMUNERACION_ENERBIT!G128</x:f>
        <x:v>0</x:v>
      </x:c>
      <x:c r="E6" s="292">
        <x:f>REMUNERACION_ENERBIT!D31+REMUNERACION_ENERBIT!N31</x:f>
        <x:v>0</x:v>
      </x:c>
      <x:c r="F6" s="292">
        <x:f>REMUNERACION_ENERBIT!I145</x:f>
        <x:v>0</x:v>
      </x:c>
      <x:c r="G6" s="292">
        <x:f>REMUNERACION_ENERBIT!H145</x:f>
        <x:v>0</x:v>
      </x:c>
      <x:c r="H6" s="340">
        <x:f t="shared" si="1"/>
        <x:v>0</x:v>
      </x:c>
      <x:c r="I6" s="291">
        <x:f>REMUNERACION_ENERBIT!D107</x:f>
        <x:v>0</x:v>
      </x:c>
      <x:c r="J6" s="292">
        <x:f>REMUNERACION_ENERBIT!N107</x:f>
        <x:v>0</x:v>
      </x:c>
      <x:c r="K6" s="292">
        <x:f>REMUNERACION_ENERBIT!D128</x:f>
        <x:v>0</x:v>
      </x:c>
      <x:c r="L6" s="353">
        <x:f>REMUNERACION_ENERBIT!E128</x:f>
        <x:v>0</x:v>
      </x:c>
      <x:c r="M6" s="292">
        <x:f>-REMUNERACION_ENERBIT!D69-REMUNERACION_ENERBIT!N69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3">
      <x:c r="B7" s="314">
        <x:v>5</x:v>
      </x:c>
      <x:c r="C7" s="317">
        <x:f>'Recaudo ENERBIT'!D25</x:f>
        <x:v>0</x:v>
      </x:c>
      <x:c r="D7" s="292">
        <x:f>REMUNERACION_ENERBIT!G129</x:f>
        <x:v>0</x:v>
      </x:c>
      <x:c r="E7" s="292">
        <x:f>REMUNERACION_ENERBIT!D32+REMUNERACION_ENERBIT!N32</x:f>
        <x:v>0</x:v>
      </x:c>
      <x:c r="F7" s="292">
        <x:f>REMUNERACION_ENERBIT!I146</x:f>
        <x:v>0</x:v>
      </x:c>
      <x:c r="G7" s="292">
        <x:f>REMUNERACION_ENERBIT!H146</x:f>
        <x:v>0</x:v>
      </x:c>
      <x:c r="H7" s="340">
        <x:f t="shared" si="1"/>
        <x:v>0</x:v>
      </x:c>
      <x:c r="I7" s="291">
        <x:f>REMUNERACION_ENERBIT!D108</x:f>
        <x:v>0</x:v>
      </x:c>
      <x:c r="J7" s="292">
        <x:f>REMUNERACION_ENERBIT!N108</x:f>
        <x:v>0</x:v>
      </x:c>
      <x:c r="K7" s="292">
        <x:f>REMUNERACION_ENERBIT!D129</x:f>
        <x:v>0</x:v>
      </x:c>
      <x:c r="L7" s="353">
        <x:f>REMUNERACION_ENERBIT!E129</x:f>
        <x:v>0</x:v>
      </x:c>
      <x:c r="M7" s="292">
        <x:f>-REMUNERACION_ENERBIT!D70-REMUNERACION_ENERBIT!N70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2.9" thickBot="1" x14ac:dyDescent="0.35">
      <x:c r="B8" s="341" t="s">
        <x:v>89</x:v>
      </x:c>
      <x:c r="C8" s="317">
        <x:f>'Recaudo ENERBIT'!D26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REMUNERACION_ENERBIT!E130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2.9" thickBot="1" x14ac:dyDescent="0.3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3">
      <x:c r="B11" s="102" t="s">
        <x:v>89</x:v>
      </x:c>
      <x:c r="C11" s="103" t="s">
        <x:v>90</x:v>
      </x:c>
      <x:c r="M11" s="141"/>
      <x:c r="O11" s="137"/>
    </x:row>
    <x:row r="12" spans="2:16" x14ac:dyDescent="0.3">
      <x:c r="C12" s="143"/>
    </x:row>
    <x:row r="13" spans="2:16" x14ac:dyDescent="0.3">
      <x:c r="B13" s="142"/>
      <x:c r="C13" s="143" t="s">
        <x:v>1</x:v>
      </x:c>
    </x:row>
    <x:row r="14" spans="2:16" x14ac:dyDescent="0.3">
      <x:c r="C14" s="245">
        <x:f>'Valida - Control Recaudo'!D8</x:f>
        <x:v>0</x:v>
      </x:c>
    </x:row>
    <x:row r="15" spans="2:16" x14ac:dyDescent="0.3">
      <x:c r="C15" s="249" t="b">
        <x:f>C14=C9</x:f>
        <x:v>1</x:v>
      </x:c>
    </x:row>
    <x:row r="16" spans="2:16" x14ac:dyDescent="0.3">
      <x:c r="C16" s="212" t="s">
        <x:v>1</x:v>
      </x:c>
    </x:row>
  </x:sheetData>
  <x:conditionalFormatting sqref="C15">
    <x:cfRule type="cellIs" dxfId="32" priority="2" operator="notEqual">
      <x:formula>TRUE</x:formula>
    </x:cfRule>
  </x:conditionalFormatting>
  <x:conditionalFormatting sqref="P3:P9">
    <x:cfRule type="cellIs" dxfId="31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E04A5BB-8B3C-4DEF-8A18-5CD5E9E134B7}" mc:Ignorable="x14ac xr xr2 xr3">
  <x:sheetPr>
    <x:tabColor theme="8" tint="0.59999389629810485"/>
    <x:pageSetUpPr fitToPage="1"/>
  </x:sheetPr>
  <x:dimension ref="A1:AI52"/>
  <x:sheetViews>
    <x:sheetView zoomScaleNormal="100" workbookViewId="0">
      <x:selection activeCell="A11" sqref="A11"/>
    </x:sheetView>
  </x:sheetViews>
  <x:sheetFormatPr baseColWidth="10" defaultColWidth="11.3828125" defaultRowHeight="11.6" x14ac:dyDescent="0.3"/>
  <x:cols>
    <x:col min="1" max="1" width="3" style="1" customWidth="1"/>
    <x:col min="2" max="2" width="4.3828125" style="1" bestFit="1" customWidth="1"/>
    <x:col min="3" max="3" width="36.84375" style="1" customWidth="1"/>
    <x:col min="4" max="4" width="15.15234375" style="1" customWidth="1"/>
    <x:col min="5" max="5" width="16" style="1" customWidth="1"/>
    <x:col min="6" max="7" width="14.84375" style="1" customWidth="1"/>
    <x:col min="8" max="8" width="16.15234375" style="1" customWidth="1"/>
    <x:col min="9" max="9" width="20.15234375" style="1" bestFit="1" customWidth="1"/>
    <x:col min="10" max="10" width="15.53515625" style="1" customWidth="1"/>
    <x:col min="11" max="11" width="17.53515625" style="1" customWidth="1"/>
    <x:col min="12" max="12" width="16.53515625" style="1" customWidth="1"/>
    <x:col min="13" max="13" width="19.84375" style="1" customWidth="1"/>
    <x:col min="14" max="14" width="15.15234375" style="1" customWidth="1"/>
    <x:col min="15" max="15" width="16.84375" style="1" customWidth="1"/>
    <x:col min="16" max="16" width="3.84375" style="1" customWidth="1"/>
    <x:col min="17" max="17" width="2.84375" style="1" customWidth="1"/>
    <x:col min="18" max="18" width="4.53515625" style="1" customWidth="1"/>
    <x:col min="19" max="19" width="11.15234375" style="1" customWidth="1"/>
    <x:col min="20" max="20" width="39.3828125" style="1" customWidth="1"/>
    <x:col min="21" max="21" width="19.15234375" style="1" customWidth="1"/>
    <x:col min="22" max="22" width="17.84375" style="1" customWidth="1"/>
    <x:col min="23" max="23" width="16.3828125" style="1" customWidth="1"/>
    <x:col min="24" max="24" width="17.15234375" style="1" customWidth="1"/>
    <x:col min="25" max="25" width="15.84375" style="1" customWidth="1"/>
    <x:col min="26" max="26" width="16" style="1" customWidth="1"/>
    <x:col min="27" max="27" width="15" style="1" customWidth="1"/>
    <x:col min="28" max="29" width="16.84375" style="1" customWidth="1"/>
    <x:col min="30" max="31" width="15.3828125" style="1" customWidth="1"/>
    <x:col min="32" max="32" width="16.15234375" style="1" customWidth="1"/>
    <x:col min="33" max="33" width="18.15234375" style="1" customWidth="1"/>
    <x:col min="34" max="34" width="13.84375" style="1" customWidth="1"/>
    <x:col min="35" max="35" width="3.3828125" style="1" customWidth="1"/>
    <x:col min="36" max="16384" width="11.3828125" style="1"/>
  </x:cols>
  <x:sheetData>
    <x:row r="1" spans="2:35" ht="12" thickBot="1" x14ac:dyDescent="0.35">
      <x:c r="Q1" s="4"/>
      <x:c r="AI1" s="4"/>
    </x:row>
    <x:row r="2" spans="2:35" x14ac:dyDescent="0.3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4.15" x14ac:dyDescent="0.3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REMUNERACION_ENERBIT!N98</x:f>
        <x:v>2026101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2026101</x:v>
      </x:c>
      <x:c r="AE3" s="84"/>
      <x:c r="AF3" s="48"/>
      <x:c r="AG3" s="2"/>
      <x:c r="AI3" s="4"/>
    </x:row>
    <x:row r="4" spans="2:35" ht="15.45" x14ac:dyDescent="0.4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4.15" x14ac:dyDescent="0.3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45" x14ac:dyDescent="0.4">
      <x:c r="B6" s="8"/>
      <x:c r="C6" s="598" t="s">
        <x:v>17</x:v>
      </x:c>
      <x:c r="D6" s="9">
        <x:f>REMUNERACION_ENERBIT!D101</x:f>
        <x:v>46297</x:v>
      </x:c>
      <x:c r="F6" s="58" t="str">
        <x:f>REMUNERACION_ENERBIT!F101</x:f>
        <x:v>REPORTE CONSOLIDADO TOTAL DE RECAUDO  // ENERBIT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REMUNERACION_ENERBIT!U101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" thickBot="1" x14ac:dyDescent="0.35">
      <x:c r="B7" s="8"/>
      <x:c r="C7" s="598" t="s">
        <x:v>0</x:v>
      </x:c>
      <x:c r="D7" s="241">
        <x:f>REMUNERACION_ENERBIT!D102</x:f>
        <x:v>0.58333333333333337</x:v>
      </x:c>
      <x:c r="F7" s="2" t="s">
        <x:v>27</x:v>
      </x:c>
      <x:c r="G7" s="9">
        <x:f>REMUNERACION_ENERBIT!G102</x:f>
        <x:v>46281</x:v>
      </x:c>
      <x:c r="J7" s="2" t="s">
        <x:v>28</x:v>
      </x:c>
      <x:c r="K7" s="9">
        <x:f>REMUNERACION_ENERBIT!K102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69.900000000000006" thickBot="1" x14ac:dyDescent="0.3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9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3">
      <x:c r="B9" s="14">
        <x:v>1</x:v>
      </x:c>
      <x:c r="C9" s="61" t="s">
        <x:v>10</x:v>
      </x:c>
      <x:c r="D9" s="66">
        <x:f>REMUNERACION_ENERBIT!D104</x:f>
        <x:v>0</x:v>
      </x:c>
      <x:c r="E9" s="66">
        <x:f>REMUNERACION_ENERBIT!E104</x:f>
        <x:v>0</x:v>
      </x:c>
      <x:c r="F9" s="66">
        <x:f>REMUNERACION_ENERBIT!F104</x:f>
        <x:v>0</x:v>
      </x:c>
      <x:c r="G9" s="66">
        <x:f>REMUNERACION_ENERBIT!G104</x:f>
        <x:v>0</x:v>
      </x:c>
      <x:c r="H9" s="66">
        <x:f>REMUNERACION_ENERBIT!H104</x:f>
        <x:v>0</x:v>
      </x:c>
      <x:c r="I9" s="66">
        <x:f>REMUNERACION_ENERBIT!I104</x:f>
        <x:v>0</x:v>
      </x:c>
      <x:c r="J9" s="66">
        <x:f>REMUNERACION_ENERBIT!J104</x:f>
        <x:v>0</x:v>
      </x:c>
      <x:c r="K9" s="30">
        <x:f>D9-E9-F9-G9-H9-I9-J9</x:f>
        <x:v>0</x:v>
      </x:c>
      <x:c r="L9" s="66">
        <x:f>REMUNERACION_ENERBIT!L104</x:f>
        <x:v>0</x:v>
      </x:c>
      <x:c r="M9" s="30">
        <x:f>K9-L9</x:f>
        <x:v>0</x:v>
      </x:c>
      <x:c r="N9" s="66">
        <x:f>REMUNERACION_ENERBIT!N104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REMUNERACION_ENERBIT!U104</x:f>
        <x:v>0</x:v>
      </x:c>
      <x:c r="V9" s="66">
        <x:f>REMUNERACION_ENERBIT!V104</x:f>
        <x:v>0</x:v>
      </x:c>
      <x:c r="W9" s="66">
        <x:f>REMUNERACION_ENERBIT!W104</x:f>
        <x:v>0</x:v>
      </x:c>
      <x:c r="X9" s="66">
        <x:f>REMUNERACION_ENERBIT!X104</x:f>
        <x:v>0</x:v>
      </x:c>
      <x:c r="Y9" s="66">
        <x:f>REMUNERACION_ENERBIT!Y104</x:f>
        <x:v>0</x:v>
      </x:c>
      <x:c r="Z9" s="66">
        <x:f>REMUNERACION_ENERBIT!Z104</x:f>
        <x:v>0</x:v>
      </x:c>
      <x:c r="AA9" s="66">
        <x:f>REMUNERACION_ENERBIT!AA104</x:f>
        <x:v>0</x:v>
      </x:c>
      <x:c r="AB9" s="66">
        <x:f>REMUNERACION_ENERBIT!AB104</x:f>
        <x:v>0</x:v>
      </x:c>
      <x:c r="AC9" s="66">
        <x:f>REMUNERACION_ENERBIT!AC104</x:f>
        <x:v>0</x:v>
      </x:c>
      <x:c r="AD9" s="66">
        <x:f>REMUNERACION_ENERBIT!AD104</x:f>
        <x:v>0</x:v>
      </x:c>
      <x:c r="AE9" s="66">
        <x:f>REMUNERACION_ENERBIT!AE104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3">
      <x:c r="B10" s="16">
        <x:v>2</x:v>
      </x:c>
      <x:c r="C10" s="62" t="s">
        <x:v>11</x:v>
      </x:c>
      <x:c r="D10" s="66">
        <x:f>REMUNERACION_ENERBIT!D105</x:f>
        <x:v>0</x:v>
      </x:c>
      <x:c r="E10" s="66">
        <x:f>REMUNERACION_ENERBIT!E105</x:f>
        <x:v>0</x:v>
      </x:c>
      <x:c r="F10" s="66">
        <x:f>REMUNERACION_ENERBIT!F105</x:f>
        <x:v>0</x:v>
      </x:c>
      <x:c r="G10" s="66">
        <x:f>REMUNERACION_ENERBIT!G105</x:f>
        <x:v>0</x:v>
      </x:c>
      <x:c r="H10" s="66">
        <x:f>REMUNERACION_ENERBIT!H105</x:f>
        <x:v>0</x:v>
      </x:c>
      <x:c r="I10" s="66">
        <x:f>REMUNERACION_ENERBIT!I105</x:f>
        <x:v>0</x:v>
      </x:c>
      <x:c r="J10" s="66">
        <x:f>REMUNERACION_ENERBIT!J105</x:f>
        <x:v>0</x:v>
      </x:c>
      <x:c r="K10" s="31">
        <x:f t="shared" ref="K10:K13" si="0">D10-E10-F10-G10-H10-I10-J10</x:f>
        <x:v>0</x:v>
      </x:c>
      <x:c r="L10" s="66">
        <x:f>REMUNERACION_ENERBIT!L105</x:f>
        <x:v>0</x:v>
      </x:c>
      <x:c r="M10" s="31">
        <x:f>K10-L10</x:f>
        <x:v>0</x:v>
      </x:c>
      <x:c r="N10" s="66">
        <x:f>REMUNERACION_ENERBIT!N105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REMUNERACION_ENERBIT!U105</x:f>
        <x:v>0</x:v>
      </x:c>
      <x:c r="V10" s="66">
        <x:f>REMUNERACION_ENERBIT!V105</x:f>
        <x:v>0</x:v>
      </x:c>
      <x:c r="W10" s="66">
        <x:f>REMUNERACION_ENERBIT!W105</x:f>
        <x:v>0</x:v>
      </x:c>
      <x:c r="X10" s="66">
        <x:f>REMUNERACION_ENERBIT!X105</x:f>
        <x:v>0</x:v>
      </x:c>
      <x:c r="Y10" s="66">
        <x:f>REMUNERACION_ENERBIT!Y105</x:f>
        <x:v>0</x:v>
      </x:c>
      <x:c r="Z10" s="66">
        <x:f>REMUNERACION_ENERBIT!Z105</x:f>
        <x:v>0</x:v>
      </x:c>
      <x:c r="AA10" s="66">
        <x:f>REMUNERACION_ENERBIT!AA105</x:f>
        <x:v>0</x:v>
      </x:c>
      <x:c r="AB10" s="66">
        <x:f>REMUNERACION_ENERBIT!AB105</x:f>
        <x:v>0</x:v>
      </x:c>
      <x:c r="AC10" s="66">
        <x:f>REMUNERACION_ENERBIT!AC105</x:f>
        <x:v>0</x:v>
      </x:c>
      <x:c r="AD10" s="66">
        <x:f>REMUNERACION_ENERBIT!AD105</x:f>
        <x:v>0</x:v>
      </x:c>
      <x:c r="AE10" s="66">
        <x:f>REMUNERACION_ENERBIT!AE105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3">
      <x:c r="B11" s="16">
        <x:v>3</x:v>
      </x:c>
      <x:c r="C11" s="62" t="s">
        <x:v>12</x:v>
      </x:c>
      <x:c r="D11" s="725">
        <x:f>REMUNERACION_ENERBIT!D106</x:f>
        <x:v>0</x:v>
      </x:c>
      <x:c r="E11" s="725">
        <x:f>REMUNERACION_ENERBIT!E106</x:f>
        <x:v>0</x:v>
      </x:c>
      <x:c r="F11" s="725">
        <x:f>REMUNERACION_ENERBIT!F106</x:f>
        <x:v>0</x:v>
      </x:c>
      <x:c r="G11" s="725">
        <x:f>REMUNERACION_ENERBIT!G106</x:f>
        <x:v>0</x:v>
      </x:c>
      <x:c r="H11" s="725">
        <x:f>REMUNERACION_ENERBIT!H106</x:f>
        <x:v>0</x:v>
      </x:c>
      <x:c r="I11" s="725">
        <x:f>REMUNERACION_ENERBIT!I106</x:f>
        <x:v>0</x:v>
      </x:c>
      <x:c r="J11" s="725">
        <x:f>REMUNERACION_ENERBIT!J106</x:f>
        <x:v>0</x:v>
      </x:c>
      <x:c r="K11" s="726">
        <x:f t="shared" si="0"/>
        <x:v>0</x:v>
      </x:c>
      <x:c r="L11" s="725">
        <x:f>REMUNERACION_ENERBIT!L106</x:f>
        <x:v>0</x:v>
      </x:c>
      <x:c r="M11" s="726">
        <x:f>K11-L11</x:f>
        <x:v>0</x:v>
      </x:c>
      <x:c r="N11" s="725">
        <x:f>REMUNERACION_ENERBIT!N106</x:f>
        <x:v>0</x:v>
      </x:c>
      <x:c r="O11" s="726">
        <x:f t="shared" si="1"/>
        <x:v>0</x:v>
      </x:c>
      <x:c r="Q11" s="4"/>
      <x:c r="S11" s="16">
        <x:v>3</x:v>
      </x:c>
      <x:c r="T11" s="62" t="s">
        <x:v>12</x:v>
      </x:c>
      <x:c r="U11" s="725">
        <x:f>REMUNERACION_ENERBIT!U106</x:f>
        <x:v>0</x:v>
      </x:c>
      <x:c r="V11" s="725">
        <x:f>REMUNERACION_ENERBIT!V106</x:f>
        <x:v>0</x:v>
      </x:c>
      <x:c r="W11" s="725">
        <x:f>REMUNERACION_ENERBIT!W106</x:f>
        <x:v>0</x:v>
      </x:c>
      <x:c r="X11" s="725">
        <x:f>REMUNERACION_ENERBIT!X106</x:f>
        <x:v>0</x:v>
      </x:c>
      <x:c r="Y11" s="725">
        <x:f>REMUNERACION_ENERBIT!Y106</x:f>
        <x:v>0</x:v>
      </x:c>
      <x:c r="Z11" s="725">
        <x:f>REMUNERACION_ENERBIT!Z106</x:f>
        <x:v>0</x:v>
      </x:c>
      <x:c r="AA11" s="725">
        <x:f>REMUNERACION_ENERBIT!AA106</x:f>
        <x:v>0</x:v>
      </x:c>
      <x:c r="AB11" s="725">
        <x:f>REMUNERACION_ENERBIT!AB106</x:f>
        <x:v>0</x:v>
      </x:c>
      <x:c r="AC11" s="725">
        <x:f>REMUNERACION_ENERBIT!AC106</x:f>
        <x:v>0</x:v>
      </x:c>
      <x:c r="AD11" s="725">
        <x:f>REMUNERACION_ENERBIT!AD106</x:f>
        <x:v>0</x:v>
      </x:c>
      <x:c r="AE11" s="725">
        <x:f>REMUNERACION_ENERBIT!AE106</x:f>
        <x:v>0</x:v>
      </x:c>
      <x:c r="AF11" s="724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3">
      <x:c r="B12" s="16">
        <x:v>4</x:v>
      </x:c>
      <x:c r="C12" s="62" t="s">
        <x:v>13</x:v>
      </x:c>
      <x:c r="D12" s="66">
        <x:f>REMUNERACION_ENERBIT!D107</x:f>
        <x:v>0</x:v>
      </x:c>
      <x:c r="E12" s="66">
        <x:f>REMUNERACION_ENERBIT!E107</x:f>
        <x:v>0</x:v>
      </x:c>
      <x:c r="F12" s="66">
        <x:f>REMUNERACION_ENERBIT!F107</x:f>
        <x:v>0</x:v>
      </x:c>
      <x:c r="G12" s="66">
        <x:f>REMUNERACION_ENERBIT!G107</x:f>
        <x:v>0</x:v>
      </x:c>
      <x:c r="H12" s="66">
        <x:f>REMUNERACION_ENERBIT!H107</x:f>
        <x:v>0</x:v>
      </x:c>
      <x:c r="I12" s="66">
        <x:f>REMUNERACION_ENERBIT!I107</x:f>
        <x:v>0</x:v>
      </x:c>
      <x:c r="J12" s="66">
        <x:f>REMUNERACION_ENERBIT!J107</x:f>
        <x:v>0</x:v>
      </x:c>
      <x:c r="K12" s="31">
        <x:f t="shared" si="0"/>
        <x:v>0</x:v>
      </x:c>
      <x:c r="L12" s="66">
        <x:f>REMUNERACION_ENERBIT!L107</x:f>
        <x:v>0</x:v>
      </x:c>
      <x:c r="M12" s="31">
        <x:f>K12-L12</x:f>
        <x:v>0</x:v>
      </x:c>
      <x:c r="N12" s="66">
        <x:f>REMUNERACION_ENERBIT!N107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REMUNERACION_ENERBIT!U107</x:f>
        <x:v>0</x:v>
      </x:c>
      <x:c r="V12" s="66">
        <x:f>REMUNERACION_ENERBIT!V107</x:f>
        <x:v>0</x:v>
      </x:c>
      <x:c r="W12" s="66">
        <x:f>REMUNERACION_ENERBIT!W107</x:f>
        <x:v>0</x:v>
      </x:c>
      <x:c r="X12" s="66">
        <x:f>REMUNERACION_ENERBIT!X107</x:f>
        <x:v>0</x:v>
      </x:c>
      <x:c r="Y12" s="66">
        <x:f>REMUNERACION_ENERBIT!Y107</x:f>
        <x:v>0</x:v>
      </x:c>
      <x:c r="Z12" s="66">
        <x:f>REMUNERACION_ENERBIT!Z107</x:f>
        <x:v>0</x:v>
      </x:c>
      <x:c r="AA12" s="66">
        <x:f>REMUNERACION_ENERBIT!AA107</x:f>
        <x:v>0</x:v>
      </x:c>
      <x:c r="AB12" s="66">
        <x:f>REMUNERACION_ENERBIT!AB107</x:f>
        <x:v>0</x:v>
      </x:c>
      <x:c r="AC12" s="66">
        <x:f>REMUNERACION_ENERBIT!AC107</x:f>
        <x:v>0</x:v>
      </x:c>
      <x:c r="AD12" s="66">
        <x:f>REMUNERACION_ENERBIT!AD107</x:f>
        <x:v>0</x:v>
      </x:c>
      <x:c r="AE12" s="66">
        <x:f>REMUNERACION_ENERBIT!AE107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" thickBot="1" x14ac:dyDescent="0.35">
      <x:c r="B13" s="19">
        <x:v>5</x:v>
      </x:c>
      <x:c r="C13" s="63" t="s">
        <x:v>14</x:v>
      </x:c>
      <x:c r="D13" s="66">
        <x:f>REMUNERACION_ENERBIT!D108</x:f>
        <x:v>0</x:v>
      </x:c>
      <x:c r="E13" s="66">
        <x:f>REMUNERACION_ENERBIT!E108</x:f>
        <x:v>0</x:v>
      </x:c>
      <x:c r="F13" s="66">
        <x:f>REMUNERACION_ENERBIT!F108</x:f>
        <x:v>0</x:v>
      </x:c>
      <x:c r="G13" s="66">
        <x:f>REMUNERACION_ENERBIT!G108</x:f>
        <x:v>0</x:v>
      </x:c>
      <x:c r="H13" s="66">
        <x:f>REMUNERACION_ENERBIT!H108</x:f>
        <x:v>0</x:v>
      </x:c>
      <x:c r="I13" s="66">
        <x:f>REMUNERACION_ENERBIT!I108</x:f>
        <x:v>0</x:v>
      </x:c>
      <x:c r="J13" s="66">
        <x:f>REMUNERACION_ENERBIT!J108</x:f>
        <x:v>0</x:v>
      </x:c>
      <x:c r="K13" s="31">
        <x:f t="shared" si="0"/>
        <x:v>0</x:v>
      </x:c>
      <x:c r="L13" s="66">
        <x:f>REMUNERACION_ENERBIT!L108</x:f>
        <x:v>0</x:v>
      </x:c>
      <x:c r="M13" s="40">
        <x:f>K13-L13</x:f>
        <x:v>0</x:v>
      </x:c>
      <x:c r="N13" s="66">
        <x:f>REMUNERACION_ENERBIT!N108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REMUNERACION_ENERBIT!U108</x:f>
        <x:v>0</x:v>
      </x:c>
      <x:c r="V13" s="66">
        <x:f>REMUNERACION_ENERBIT!V108</x:f>
        <x:v>0</x:v>
      </x:c>
      <x:c r="W13" s="66">
        <x:f>REMUNERACION_ENERBIT!W108</x:f>
        <x:v>0</x:v>
      </x:c>
      <x:c r="X13" s="66">
        <x:f>REMUNERACION_ENERBIT!X108</x:f>
        <x:v>0</x:v>
      </x:c>
      <x:c r="Y13" s="66">
        <x:f>REMUNERACION_ENERBIT!Y108</x:f>
        <x:v>0</x:v>
      </x:c>
      <x:c r="Z13" s="66">
        <x:f>REMUNERACION_ENERBIT!Z108</x:f>
        <x:v>0</x:v>
      </x:c>
      <x:c r="AA13" s="66">
        <x:f>REMUNERACION_ENERBIT!AA108</x:f>
        <x:v>0</x:v>
      </x:c>
      <x:c r="AB13" s="66">
        <x:f>REMUNERACION_ENERBIT!AB108</x:f>
        <x:v>0</x:v>
      </x:c>
      <x:c r="AC13" s="66">
        <x:f>REMUNERACION_ENERBIT!AC108</x:f>
        <x:v>0</x:v>
      </x:c>
      <x:c r="AD13" s="66">
        <x:f>REMUNERACION_ENERBIT!AD108</x:f>
        <x:v>0</x:v>
      </x:c>
      <x:c r="AE13" s="66">
        <x:f>REMUNERACION_ENERBIT!AE108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2.9" thickBot="1" x14ac:dyDescent="0.3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" thickBot="1" x14ac:dyDescent="0.3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" thickBot="1" x14ac:dyDescent="0.3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3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3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35">
      <x:c r="Q20" s="4"/>
    </x:row>
    <x:row r="21" spans="1:35" x14ac:dyDescent="0.3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4.15" x14ac:dyDescent="0.3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REMUNERACION_ENERBIT!M117</x:f>
        <x:v>2026101</x:v>
      </x:c>
      <x:c r="O22" s="10"/>
      <x:c r="P22" s="2"/>
      <x:c r="Q22" s="4"/>
    </x:row>
    <x:row r="23" spans="1:35" ht="15.45" x14ac:dyDescent="0.4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3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3">
      <x:c r="B25" s="8"/>
      <x:c r="I25" s="2"/>
      <x:c r="J25" s="2"/>
      <x:c r="O25" s="10"/>
      <x:c r="P25" s="2"/>
      <x:c r="Q25" s="4"/>
    </x:row>
    <x:row r="26" spans="1:35" ht="15.45" x14ac:dyDescent="0.4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3">
      <x:c r="B27" s="8"/>
      <x:c r="F27" s="2" t="s">
        <x:v>27</x:v>
      </x:c>
      <x:c r="G27" s="2"/>
      <x:c r="H27" s="9">
        <x:f>REMUNERACION_ENERBIT!G122</x:f>
        <x:v>46281</x:v>
      </x:c>
      <x:c r="J27" s="2" t="s">
        <x:v>28</x:v>
      </x:c>
      <x:c r="K27" s="9">
        <x:f>REMUNERACION_ENERBIT!K122</x:f>
        <x:v>46295</x:v>
      </x:c>
      <x:c r="O27" s="10"/>
      <x:c r="P27" s="2"/>
      <x:c r="Q27" s="4"/>
    </x:row>
    <x:row r="28" spans="1:35" ht="12" thickBot="1" x14ac:dyDescent="0.3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6.75" thickBot="1" x14ac:dyDescent="0.3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3">
      <x:c r="B30" s="108">
        <x:v>1</x:v>
      </x:c>
      <x:c r="C30" s="109" t="s">
        <x:v>10</x:v>
      </x:c>
      <x:c r="D30" s="110">
        <x:f>REMUNERACION_ENERBIT!D125</x:f>
        <x:v>0</x:v>
      </x:c>
      <x:c r="E30" s="111">
        <x:f>REMUNERACION_ENERBIT!E125</x:f>
        <x:v>0</x:v>
      </x:c>
      <x:c r="G30" s="336">
        <x:f>REMUNERACION_ENERBIT!G125</x:f>
        <x:v>0</x:v>
      </x:c>
      <x:c r="H30" s="310">
        <x:f>REMUNERACION_ENERBIT!H125</x:f>
        <x:v>0</x:v>
      </x:c>
      <x:c r="I30" s="309">
        <x:f>REMUNERACION_ENERBIT!I125</x:f>
        <x:v>0</x:v>
      </x:c>
      <x:c r="J30" s="309">
        <x:f>REMUNERACION_ENERBIT!J125</x:f>
        <x:v>0</x:v>
      </x:c>
      <x:c r="K30" s="309">
        <x:f>REMUNERACION_ENERBIT!K125</x:f>
        <x:v>0</x:v>
      </x:c>
      <x:c r="L30" s="309">
        <x:f>REMUNERACION_ENERBIT!L125</x:f>
        <x:v>0</x:v>
      </x:c>
      <x:c r="O30" s="44"/>
      <x:c r="Q30" s="4"/>
    </x:row>
    <x:row r="31" spans="1:35" x14ac:dyDescent="0.3">
      <x:c r="B31" s="16">
        <x:v>2</x:v>
      </x:c>
      <x:c r="C31" s="17" t="s">
        <x:v>11</x:v>
      </x:c>
      <x:c r="D31" s="15">
        <x:f>REMUNERACION_ENERBIT!D126</x:f>
        <x:v>0</x:v>
      </x:c>
      <x:c r="E31" s="74">
        <x:f>REMUNERACION_ENERBIT!E126</x:f>
        <x:v>0</x:v>
      </x:c>
      <x:c r="G31" s="339">
        <x:f>REMUNERACION_ENERBIT!G126</x:f>
        <x:v>0</x:v>
      </x:c>
      <x:c r="H31" s="340">
        <x:f>REMUNERACION_ENERBIT!H126</x:f>
        <x:v>0</x:v>
      </x:c>
      <x:c r="I31" s="288">
        <x:f>REMUNERACION_ENERBIT!I126</x:f>
        <x:v>0</x:v>
      </x:c>
      <x:c r="J31" s="288">
        <x:f>REMUNERACION_ENERBIT!J126</x:f>
        <x:v>0</x:v>
      </x:c>
      <x:c r="K31" s="288">
        <x:f>REMUNERACION_ENERBIT!K126</x:f>
        <x:v>0</x:v>
      </x:c>
      <x:c r="L31" s="288">
        <x:f>REMUNERACION_ENERBIT!L126</x:f>
        <x:v>0</x:v>
      </x:c>
      <x:c r="O31" s="44"/>
      <x:c r="Q31" s="4"/>
    </x:row>
    <x:row r="32" spans="1:35" x14ac:dyDescent="0.3">
      <x:c r="B32" s="16">
        <x:v>3</x:v>
      </x:c>
      <x:c r="C32" s="17" t="s">
        <x:v>12</x:v>
      </x:c>
      <x:c r="D32" s="15">
        <x:f>REMUNERACION_ENERBIT!D127</x:f>
        <x:v>0</x:v>
      </x:c>
      <x:c r="E32" s="74">
        <x:f>REMUNERACION_ENERBIT!E127</x:f>
        <x:v>0</x:v>
      </x:c>
      <x:c r="G32" s="339">
        <x:f>REMUNERACION_ENERBIT!G127</x:f>
        <x:v>0</x:v>
      </x:c>
      <x:c r="H32" s="340">
        <x:f>REMUNERACION_ENERBIT!H127</x:f>
        <x:v>0</x:v>
      </x:c>
      <x:c r="I32" s="288">
        <x:f>REMUNERACION_ENERBIT!I127</x:f>
        <x:v>0</x:v>
      </x:c>
      <x:c r="J32" s="288">
        <x:f>REMUNERACION_ENERBIT!J127</x:f>
        <x:v>0</x:v>
      </x:c>
      <x:c r="K32" s="288">
        <x:f>REMUNERACION_ENERBIT!K127</x:f>
        <x:v>0</x:v>
      </x:c>
      <x:c r="L32" s="288">
        <x:f>REMUNERACION_ENERBIT!L127</x:f>
        <x:v>0</x:v>
      </x:c>
      <x:c r="O32" s="44"/>
      <x:c r="Q32" s="4"/>
    </x:row>
    <x:row r="33" spans="1:20" x14ac:dyDescent="0.3">
      <x:c r="B33" s="16">
        <x:v>4</x:v>
      </x:c>
      <x:c r="C33" s="17" t="s">
        <x:v>13</x:v>
      </x:c>
      <x:c r="D33" s="15">
        <x:f>REMUNERACION_ENERBIT!D128</x:f>
        <x:v>0</x:v>
      </x:c>
      <x:c r="E33" s="74">
        <x:f>REMUNERACION_ENERBIT!E128</x:f>
        <x:v>0</x:v>
      </x:c>
      <x:c r="G33" s="339">
        <x:f>REMUNERACION_ENERBIT!G128</x:f>
        <x:v>0</x:v>
      </x:c>
      <x:c r="H33" s="340">
        <x:f>REMUNERACION_ENERBIT!H128</x:f>
        <x:v>0</x:v>
      </x:c>
      <x:c r="I33" s="288">
        <x:f>REMUNERACION_ENERBIT!I128</x:f>
        <x:v>0</x:v>
      </x:c>
      <x:c r="J33" s="288">
        <x:f>REMUNERACION_ENERBIT!J128</x:f>
        <x:v>0</x:v>
      </x:c>
      <x:c r="K33" s="288">
        <x:f>REMUNERACION_ENERBIT!K128</x:f>
        <x:v>0</x:v>
      </x:c>
      <x:c r="L33" s="288">
        <x:f>REMUNERACION_ENERBIT!L128</x:f>
        <x:v>0</x:v>
      </x:c>
      <x:c r="O33" s="44"/>
      <x:c r="Q33" s="4"/>
    </x:row>
    <x:row r="34" spans="1:20" x14ac:dyDescent="0.3">
      <x:c r="B34" s="133">
        <x:v>5</x:v>
      </x:c>
      <x:c r="C34" s="138" t="s">
        <x:v>14</x:v>
      </x:c>
      <x:c r="D34" s="135">
        <x:f>REMUNERACION_ENERBIT!D129</x:f>
        <x:v>0</x:v>
      </x:c>
      <x:c r="E34" s="139">
        <x:f>REMUNERACION_ENERBIT!E129</x:f>
        <x:v>0</x:v>
      </x:c>
      <x:c r="G34" s="339">
        <x:f>REMUNERACION_ENERBIT!G129</x:f>
        <x:v>0</x:v>
      </x:c>
      <x:c r="H34" s="340">
        <x:f>REMUNERACION_ENERBIT!H129</x:f>
        <x:v>0</x:v>
      </x:c>
      <x:c r="I34" s="288">
        <x:f>REMUNERACION_ENERBIT!I129</x:f>
        <x:v>0</x:v>
      </x:c>
      <x:c r="J34" s="288">
        <x:f>REMUNERACION_ENERBIT!J129</x:f>
        <x:v>0</x:v>
      </x:c>
      <x:c r="K34" s="288">
        <x:f>REMUNERACION_ENERBIT!K129</x:f>
        <x:v>0</x:v>
      </x:c>
      <x:c r="L34" s="288">
        <x:f>REMUNERACION_ENERBIT!L129</x:f>
        <x:v>0</x:v>
      </x:c>
      <x:c r="O34" s="44"/>
      <x:c r="Q34" s="4"/>
    </x:row>
    <x:row r="35" spans="1:20" ht="12" thickBot="1" x14ac:dyDescent="0.35">
      <x:c r="B35" s="19" t="s">
        <x:v>89</x:v>
      </x:c>
      <x:c r="C35" s="20" t="s">
        <x:v>113</x:v>
      </x:c>
      <x:c r="D35" s="78"/>
      <x:c r="E35" s="79">
        <x:f>REMUNERACION_ENERBIT!E130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" thickBot="1" x14ac:dyDescent="0.35">
      <x:c r="B36" s="95"/>
      <x:c r="C36" s="106" t="s">
        <x:v>2</x:v>
      </x:c>
      <x:c r="D36" s="107">
        <x:f t="shared" ref="D36" si="5">SUM(D30:D34)</x:f>
        <x:v>0</x:v>
      </x:c>
      <x:c r="E36" s="107">
        <x:f>REMUNERACION_ENERBIT!E131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x14ac:dyDescent="0.3">
      <x:c r="B37" s="2"/>
      <x:c r="C37" s="2"/>
      <x:c r="D37" s="24"/>
      <x:c r="Q37" s="4"/>
    </x:row>
    <x:row r="38" spans="1:20" x14ac:dyDescent="0.3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3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3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3">
      <x:c r="N42" s="24"/>
      <x:c r="O42" s="24"/>
      <x:c r="Q42" s="24"/>
      <x:c r="T42" s="24"/>
    </x:row>
    <x:row r="43" spans="1:20" x14ac:dyDescent="0.3">
      <x:c r="N43" s="24"/>
      <x:c r="O43" s="24"/>
      <x:c r="Q43" s="24"/>
      <x:c r="T43" s="24"/>
    </x:row>
    <x:row r="44" spans="1:20" x14ac:dyDescent="0.3">
      <x:c r="N44" s="24"/>
      <x:c r="O44" s="24"/>
      <x:c r="Q44" s="24"/>
      <x:c r="T44" s="24"/>
    </x:row>
    <x:row r="45" spans="1:20" x14ac:dyDescent="0.3">
      <x:c r="D45" s="267" t="b">
        <x:f>D14=REMUNERACION_ENERBIT!D109</x:f>
        <x:v>1</x:v>
      </x:c>
      <x:c r="E45" s="267" t="b">
        <x:f>E14=REMUNERACION_ENERBIT!E109</x:f>
        <x:v>1</x:v>
      </x:c>
      <x:c r="F45" s="267" t="b">
        <x:f>F14=REMUNERACION_ENERBIT!F109</x:f>
        <x:v>1</x:v>
      </x:c>
      <x:c r="G45" s="267" t="b">
        <x:f>G14=REMUNERACION_ENERBIT!G109</x:f>
        <x:v>1</x:v>
      </x:c>
      <x:c r="H45" s="267" t="b">
        <x:f>H14=REMUNERACION_ENERBIT!H109</x:f>
        <x:v>1</x:v>
      </x:c>
      <x:c r="I45" s="267" t="b">
        <x:f>I14=REMUNERACION_ENERBIT!I109</x:f>
        <x:v>1</x:v>
      </x:c>
      <x:c r="J45" s="267" t="b">
        <x:f>J14=REMUNERACION_ENERBIT!J109</x:f>
        <x:v>1</x:v>
      </x:c>
      <x:c r="K45" s="267" t="b">
        <x:f>K14=REMUNERACION_ENERBIT!K109</x:f>
        <x:v>1</x:v>
      </x:c>
      <x:c r="L45" s="267" t="b">
        <x:f>L14=REMUNERACION_ENERBIT!L109</x:f>
        <x:v>1</x:v>
      </x:c>
      <x:c r="M45" s="267" t="b">
        <x:f>M14=REMUNERACION_ENERBIT!M109</x:f>
        <x:v>1</x:v>
      </x:c>
      <x:c r="N45" s="267" t="b">
        <x:f>N14=REMUNERACION_ENERBIT!N109</x:f>
        <x:v>1</x:v>
      </x:c>
      <x:c r="O45" s="267" t="b">
        <x:f>O14=REMUNERACION_ENERBIT!O109</x:f>
        <x:v>1</x:v>
      </x:c>
      <x:c r="Q45" s="24"/>
      <x:c r="T45" s="24"/>
    </x:row>
    <x:row r="46" spans="1:20" x14ac:dyDescent="0.3">
      <x:c r="D46" s="267" t="b">
        <x:f>D36=REMUNERACION_ENERBIT!D131</x:f>
        <x:v>1</x:v>
      </x:c>
      <x:c r="E46" s="267" t="b">
        <x:f>E36=REMUNERACION_ENERBIT!E131</x:f>
        <x:v>1</x:v>
      </x:c>
      <x:c r="F46" s="267" t="b">
        <x:f>F36=REMUNERACION_ENERBIT!F131</x:f>
        <x:v>1</x:v>
      </x:c>
      <x:c r="G46" s="267" t="b">
        <x:f>G36=REMUNERACION_ENERBIT!G131</x:f>
        <x:v>1</x:v>
      </x:c>
      <x:c r="H46" s="267" t="b">
        <x:f>H36=REMUNERACION_ENERBIT!H131</x:f>
        <x:v>1</x:v>
      </x:c>
      <x:c r="I46" s="267" t="b">
        <x:f>I36=REMUNERACION_ENERBIT!I131</x:f>
        <x:v>1</x:v>
      </x:c>
      <x:c r="J46" s="267" t="b">
        <x:f>J36=REMUNERACION_ENERBIT!J131</x:f>
        <x:v>1</x:v>
      </x:c>
      <x:c r="K46" s="267" t="b">
        <x:f>K36=REMUNERACION_ENERBIT!K131</x:f>
        <x:v>1</x:v>
      </x:c>
      <x:c r="L46" s="267" t="b">
        <x:f>L36=REMUNERACION_ENERBIT!L131</x:f>
        <x:v>1</x:v>
      </x:c>
      <x:c r="M46" s="267" t="b">
        <x:f>M36=REMUNERACION_ENERBIT!M131</x:f>
        <x:v>1</x:v>
      </x:c>
      <x:c r="N46" s="267" t="b">
        <x:f>N36=REMUNERACION_ENERBIT!N131</x:f>
        <x:v>1</x:v>
      </x:c>
      <x:c r="O46" s="267" t="b">
        <x:f>O36=REMUNERACION_ENERBIT!O131</x:f>
        <x:v>1</x:v>
      </x:c>
      <x:c r="Q46" s="24"/>
      <x:c r="T46" s="24"/>
    </x:row>
    <x:row r="47" spans="1:20" x14ac:dyDescent="0.3">
      <x:c r="N47" s="24"/>
      <x:c r="O47" s="24"/>
      <x:c r="Q47" s="24"/>
      <x:c r="T47" s="24"/>
    </x:row>
    <x:row r="48" spans="1:20" x14ac:dyDescent="0.3">
      <x:c r="N48" s="24"/>
      <x:c r="O48" s="24"/>
      <x:c r="Q48" s="24"/>
      <x:c r="T48" s="24"/>
    </x:row>
    <x:row r="49" spans="14:20" x14ac:dyDescent="0.3">
      <x:c r="N49" s="24"/>
      <x:c r="O49" s="24"/>
      <x:c r="Q49" s="24"/>
      <x:c r="T49" s="24"/>
    </x:row>
    <x:row r="50" spans="14:20" x14ac:dyDescent="0.3">
      <x:c r="N50" s="24"/>
      <x:c r="O50" s="24"/>
      <x:c r="Q50" s="24"/>
      <x:c r="T50" s="24"/>
    </x:row>
    <x:row r="51" spans="14:20" x14ac:dyDescent="0.3">
      <x:c r="Q51" s="24"/>
      <x:c r="T51" s="24"/>
    </x:row>
    <x:row r="52" spans="14:20" x14ac:dyDescent="0.3">
      <x:c r="Q52" s="24"/>
    </x:row>
  </x:sheetData>
  <x:conditionalFormatting sqref="AH9:AH14">
    <x:cfRule type="cellIs" dxfId="30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900-000000000000}" mc:Ignorable="x14ac xr xr2 xr3">
  <x:sheetPr>
    <x:tabColor rgb="FF7030A0"/>
    <x:pageSetUpPr fitToPage="1"/>
  </x:sheetPr>
  <x:dimension ref="A1:AJ165"/>
  <x:sheetViews>
    <x:sheetView topLeftCell="A115" zoomScaleNormal="100" workbookViewId="0">
      <x:selection activeCell="A124" sqref="A124"/>
    </x:sheetView>
  </x:sheetViews>
  <x:sheetFormatPr baseColWidth="10" defaultColWidth="11.3828125" defaultRowHeight="11.6" x14ac:dyDescent="0.3"/>
  <x:cols>
    <x:col min="1" max="1" width="3" style="1" customWidth="1"/>
    <x:col min="2" max="2" width="4.3828125" style="1" bestFit="1" customWidth="1"/>
    <x:col min="3" max="3" width="36.84375" style="1" customWidth="1"/>
    <x:col min="4" max="4" width="15.15234375" style="1" customWidth="1"/>
    <x:col min="5" max="5" width="16" style="1" customWidth="1"/>
    <x:col min="6" max="7" width="14.84375" style="1" customWidth="1"/>
    <x:col min="8" max="9" width="16" style="1" customWidth="1"/>
    <x:col min="10" max="10" width="15.53515625" style="1" customWidth="1"/>
    <x:col min="11" max="11" width="17.53515625" style="1" customWidth="1"/>
    <x:col min="12" max="12" width="20" style="1" bestFit="1" customWidth="1"/>
    <x:col min="13" max="13" width="21" style="1" bestFit="1" customWidth="1"/>
    <x:col min="14" max="14" width="15.15234375" style="1" customWidth="1"/>
    <x:col min="15" max="15" width="16.84375" style="1" customWidth="1"/>
    <x:col min="16" max="16" width="3.84375" style="1" customWidth="1"/>
    <x:col min="17" max="17" width="2.84375" style="1" customWidth="1"/>
    <x:col min="18" max="18" width="4.53515625" style="1" customWidth="1"/>
    <x:col min="19" max="19" width="11.15234375" style="1" customWidth="1"/>
    <x:col min="20" max="20" width="37.53515625" style="1" bestFit="1" customWidth="1"/>
    <x:col min="21" max="21" width="19.15234375" style="1" customWidth="1"/>
    <x:col min="22" max="22" width="17.84375" style="1" customWidth="1"/>
    <x:col min="23" max="23" width="16.3828125" style="1" customWidth="1"/>
    <x:col min="24" max="24" width="17.15234375" style="1" customWidth="1"/>
    <x:col min="25" max="25" width="15.84375" style="1" customWidth="1"/>
    <x:col min="26" max="26" width="16" style="1" customWidth="1"/>
    <x:col min="27" max="27" width="15" style="1" customWidth="1"/>
    <x:col min="28" max="29" width="16.84375" style="1" customWidth="1"/>
    <x:col min="30" max="31" width="15.3828125" style="1" customWidth="1"/>
    <x:col min="32" max="32" width="16.15234375" style="1" customWidth="1"/>
    <x:col min="33" max="33" width="18.15234375" style="1" customWidth="1"/>
    <x:col min="34" max="34" width="13.84375" style="1" customWidth="1"/>
    <x:col min="35" max="35" width="3.3828125" style="1" customWidth="1"/>
    <x:col min="36" max="36" width="13.84375" style="1" bestFit="1" customWidth="1"/>
    <x:col min="37" max="16384" width="11.3828125" style="1"/>
  </x:cols>
  <x:sheetData>
    <x:row r="1" spans="2:35" ht="12" thickBot="1" x14ac:dyDescent="0.35">
      <x:c r="Q1" s="4"/>
      <x:c r="AI1" s="4"/>
    </x:row>
    <x:row r="2" spans="2:35" x14ac:dyDescent="0.3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4.15" x14ac:dyDescent="0.3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2026101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2026101</x:v>
      </x:c>
      <x:c r="AE3" s="84"/>
      <x:c r="AF3" s="48"/>
      <x:c r="AG3" s="2"/>
      <x:c r="AI3" s="4"/>
    </x:row>
    <x:row r="4" spans="2:35" ht="15.45" x14ac:dyDescent="0.4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4.15" x14ac:dyDescent="0.3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45" x14ac:dyDescent="0.4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" thickBot="1" x14ac:dyDescent="0.3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" customHeight="1" thickBot="1" x14ac:dyDescent="0.3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2:35" s="305" customFormat="1" x14ac:dyDescent="0.3">
      <x:c r="B9" s="303">
        <x:v>1</x:v>
      </x:c>
      <x:c r="C9" s="304" t="s">
        <x:v>10</x:v>
      </x:c>
      <x:c r="D9" s="291">
        <x:f>'Reporte Componentes R1'!F95</x:f>
        <x:v>0</x:v>
      </x:c>
      <x:c r="E9" s="292">
        <x:f>'Reporte Componentes R1'!G95</x:f>
        <x:v>0</x:v>
      </x:c>
      <x:c r="F9" s="292">
        <x:f>'Reporte Componentes R1'!H95</x:f>
        <x:v>0</x:v>
      </x:c>
      <x:c r="G9" s="292">
        <x:f>'Reporte Componentes R1'!I95</x:f>
        <x:v>0</x:v>
      </x:c>
      <x:c r="H9" s="292">
        <x:f>'Reporte Componentes R1'!J95</x:f>
        <x:v>0</x:v>
      </x:c>
      <x:c r="I9" s="292">
        <x:f>'Reporte Componentes R1'!K95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R1'!L95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R1'!M95</x:f>
        <x:v>0</x:v>
      </x:c>
      <x:c r="V9" s="308">
        <x:f>'Reporte Componentes R1'!N95</x:f>
        <x:v>0</x:v>
      </x:c>
      <x:c r="W9" s="308">
        <x:f>'Reporte Componentes R1'!O95</x:f>
        <x:v>0</x:v>
      </x:c>
      <x:c r="X9" s="308">
        <x:f>'Reporte Componentes R1'!P95</x:f>
        <x:v>0</x:v>
      </x:c>
      <x:c r="Y9" s="309">
        <x:f>'Reporte Componentes R1'!Q95</x:f>
        <x:v>0</x:v>
      </x:c>
      <x:c r="Z9" s="310">
        <x:f>L9*-1</x:f>
        <x:v>0</x:v>
      </x:c>
      <x:c r="AA9" s="311">
        <x:f>'Reporte Componentes R1'!R95+'Reporte Componentes R1'!V95+'Reporte Componentes R1'!U95</x:f>
        <x:v>0</x:v>
      </x:c>
      <x:c r="AB9" s="294">
        <x:f>N9</x:f>
        <x:v>0</x:v>
      </x:c>
      <x:c r="AC9" s="311">
        <x:f>'Reporte Componentes R1'!T95+'Reporte Componentes R1'!W95+'Reporte Componentes R1'!X95+'Reporte Componentes R1'!Y95+'Reporte Componentes R1'!Z95+'Reporte Componentes R1'!S95</x:f>
        <x:v>0</x:v>
      </x:c>
      <x:c r="AD9" s="291">
        <x:f>-J9+AE9</x:f>
        <x:v>0</x:v>
      </x:c>
      <x:c r="AE9" s="291">
        <x:f>'Reporte Componentes R1'!F96</x:f>
        <x:v>0</x:v>
      </x:c>
      <x:c r="AF9" s="313">
        <x:f>SUM(U9:AD9)</x:f>
        <x:v>0</x:v>
      </x:c>
      <x:c r="AG9" s="311">
        <x:f>(AF9-O9)</x:f>
        <x:v>0</x:v>
      </x:c>
      <x:c r="AH9" s="1" t="b">
        <x:f>INT(AG9)=0</x:f>
        <x:v>1</x:v>
      </x:c>
      <x:c r="AI9" s="306"/>
    </x:row>
    <x:row r="10" spans="2:35" s="305" customFormat="1" x14ac:dyDescent="0.3">
      <x:c r="B10" s="314">
        <x:v>2</x:v>
      </x:c>
      <x:c r="C10" s="315" t="s">
        <x:v>11</x:v>
      </x:c>
      <x:c r="D10" s="291">
        <x:f>'Reporte Componentes R1'!F274</x:f>
        <x:v>0</x:v>
      </x:c>
      <x:c r="E10" s="292">
        <x:f>'Reporte Componentes R1'!G274</x:f>
        <x:v>0</x:v>
      </x:c>
      <x:c r="F10" s="292">
        <x:f>'Reporte Componentes R1'!H274</x:f>
        <x:v>0</x:v>
      </x:c>
      <x:c r="G10" s="292">
        <x:f>'Reporte Componentes R1'!I274</x:f>
        <x:v>0</x:v>
      </x:c>
      <x:c r="H10" s="292">
        <x:f>'Reporte Componentes R1'!J274</x:f>
        <x:v>0</x:v>
      </x:c>
      <x:c r="I10" s="292">
        <x:f>'Reporte Componentes R1'!K274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R1'!L274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R1'!M274</x:f>
        <x:v>0</x:v>
      </x:c>
      <x:c r="V10" s="317">
        <x:f>'Reporte Componentes R1'!N274</x:f>
        <x:v>0</x:v>
      </x:c>
      <x:c r="W10" s="317">
        <x:f>'Reporte Componentes R1'!O274</x:f>
        <x:v>0</x:v>
      </x:c>
      <x:c r="X10" s="317">
        <x:f>'Reporte Componentes R1'!P274</x:f>
        <x:v>0</x:v>
      </x:c>
      <x:c r="Y10" s="318">
        <x:f>'Reporte Componentes R1'!Q274</x:f>
        <x:v>0</x:v>
      </x:c>
      <x:c r="Z10" s="319">
        <x:f>L10*-1</x:f>
        <x:v>0</x:v>
      </x:c>
      <x:c r="AA10" s="320">
        <x:f>'Reporte Componentes R1'!R274+'Reporte Componentes R1'!V274+'Reporte Componentes R1'!U274</x:f>
        <x:v>0</x:v>
      </x:c>
      <x:c r="AB10" s="294">
        <x:f>N10</x:f>
        <x:v>0</x:v>
      </x:c>
      <x:c r="AC10" s="320">
        <x:f>'Reporte Componentes R1'!T274+'Reporte Componentes R1'!W274+'Reporte Componentes R1'!X274+'Reporte Componentes R1'!Y274+'Reporte Componentes R1'!Z274+'Reporte Componentes R1'!S274</x:f>
        <x:v>0</x:v>
      </x:c>
      <x:c r="AD10" s="291">
        <x:f t="shared" ref="AD10:AD13" si="2">-J10+AE10</x:f>
        <x:v>0</x:v>
      </x:c>
      <x:c r="AE10" s="291">
        <x:f>'Reporte Componentes R1'!F275</x:f>
        <x:v>0</x:v>
      </x:c>
      <x:c r="AF10" s="322">
        <x:f>SUM(U10:AD10)</x:f>
        <x:v>0</x:v>
      </x:c>
      <x:c r="AG10" s="323">
        <x:f>(AF10-O10)</x:f>
        <x:v>0</x:v>
      </x:c>
      <x:c r="AH10" s="1" t="b">
        <x:f t="shared" ref="AH10:AH14" si="3">INT(AG10)=0</x:f>
        <x:v>1</x:v>
      </x:c>
      <x:c r="AI10" s="306"/>
    </x:row>
    <x:row r="11" spans="2:35" s="305" customFormat="1" x14ac:dyDescent="0.3">
      <x:c r="B11" s="314">
        <x:v>3</x:v>
      </x:c>
      <x:c r="C11" s="315" t="s">
        <x:v>12</x:v>
      </x:c>
      <x:c r="D11" s="291">
        <x:f>'Reporte Componentes R1'!F435</x:f>
        <x:v>0</x:v>
      </x:c>
      <x:c r="E11" s="292">
        <x:f>'Reporte Componentes R1'!G435</x:f>
        <x:v>0</x:v>
      </x:c>
      <x:c r="F11" s="292">
        <x:f>'Reporte Componentes R1'!H435</x:f>
        <x:v>0</x:v>
      </x:c>
      <x:c r="G11" s="292">
        <x:f>'Reporte Componentes R1'!I435</x:f>
        <x:v>0</x:v>
      </x:c>
      <x:c r="H11" s="292">
        <x:f>'Reporte Componentes R1'!J435</x:f>
        <x:v>0</x:v>
      </x:c>
      <x:c r="I11" s="292">
        <x:f>'Reporte Componentes R1'!K435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R1'!L435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R1'!M435</x:f>
        <x:v>0</x:v>
      </x:c>
      <x:c r="V11" s="317">
        <x:f>'Reporte Componentes R1'!N435</x:f>
        <x:v>0</x:v>
      </x:c>
      <x:c r="W11" s="317">
        <x:f>'Reporte Componentes R1'!O435</x:f>
        <x:v>0</x:v>
      </x:c>
      <x:c r="X11" s="317">
        <x:f>'Reporte Componentes R1'!P435</x:f>
        <x:v>0</x:v>
      </x:c>
      <x:c r="Y11" s="318">
        <x:f>'Reporte Componentes R1'!Q435</x:f>
        <x:v>0</x:v>
      </x:c>
      <x:c r="Z11" s="319">
        <x:f>L11*-1</x:f>
        <x:v>0</x:v>
      </x:c>
      <x:c r="AA11" s="320">
        <x:f>'Reporte Componentes R1'!R435+'Reporte Componentes R1'!V435+'Reporte Componentes R1'!U435</x:f>
        <x:v>0</x:v>
      </x:c>
      <x:c r="AB11" s="294">
        <x:f>N11</x:f>
        <x:v>0</x:v>
      </x:c>
      <x:c r="AC11" s="320">
        <x:f>'Reporte Componentes R1'!T435+'Reporte Componentes R1'!W435+'Reporte Componentes R1'!X435+'Reporte Componentes R1'!Y435+'Reporte Componentes R1'!Z435+'Reporte Componentes R1'!S435</x:f>
        <x:v>0</x:v>
      </x:c>
      <x:c r="AD11" s="291">
        <x:f t="shared" si="2"/>
        <x:v>0</x:v>
      </x:c>
      <x:c r="AE11" s="291">
        <x:f>'Reporte Componentes R1'!F436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1" t="b">
        <x:f t="shared" si="3"/>
        <x:v>1</x:v>
      </x:c>
      <x:c r="AI11" s="306"/>
    </x:row>
    <x:row r="12" spans="2:35" s="305" customFormat="1" x14ac:dyDescent="0.3">
      <x:c r="B12" s="314">
        <x:v>4</x:v>
      </x:c>
      <x:c r="C12" s="315" t="s">
        <x:v>13</x:v>
      </x:c>
      <x:c r="D12" s="291">
        <x:f>'Reporte Componentes R1'!F588</x:f>
        <x:v>0</x:v>
      </x:c>
      <x:c r="E12" s="292">
        <x:f>'Reporte Componentes R1'!G588</x:f>
        <x:v>0</x:v>
      </x:c>
      <x:c r="F12" s="292">
        <x:f>'Reporte Componentes R1'!H588</x:f>
        <x:v>0</x:v>
      </x:c>
      <x:c r="G12" s="292">
        <x:f>'Reporte Componentes R1'!I588</x:f>
        <x:v>0</x:v>
      </x:c>
      <x:c r="H12" s="292">
        <x:f>'Reporte Componentes R1'!J588</x:f>
        <x:v>0</x:v>
      </x:c>
      <x:c r="I12" s="292">
        <x:f>'Reporte Componentes R1'!K588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R1'!L588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R1'!M588</x:f>
        <x:v>0</x:v>
      </x:c>
      <x:c r="V12" s="317">
        <x:f>'Reporte Componentes R1'!N588</x:f>
        <x:v>0</x:v>
      </x:c>
      <x:c r="W12" s="317">
        <x:f>'Reporte Componentes R1'!O588</x:f>
        <x:v>0</x:v>
      </x:c>
      <x:c r="X12" s="317">
        <x:f>'Reporte Componentes R1'!P588</x:f>
        <x:v>0</x:v>
      </x:c>
      <x:c r="Y12" s="318">
        <x:f>'Reporte Componentes R1'!Q588</x:f>
        <x:v>0</x:v>
      </x:c>
      <x:c r="Z12" s="319">
        <x:f>L12*-1</x:f>
        <x:v>0</x:v>
      </x:c>
      <x:c r="AA12" s="320">
        <x:f>'Reporte Componentes R1'!R588+'Reporte Componentes R1'!V588+'Reporte Componentes R1'!U588</x:f>
        <x:v>0</x:v>
      </x:c>
      <x:c r="AB12" s="294">
        <x:f>N12</x:f>
        <x:v>0</x:v>
      </x:c>
      <x:c r="AC12" s="320">
        <x:f>'Reporte Componentes R1'!T588+'Reporte Componentes R1'!W588+'Reporte Componentes R1'!X588+'Reporte Componentes R1'!Y588+'Reporte Componentes R1'!Z588+'Reporte Componentes R1'!S588</x:f>
        <x:v>0</x:v>
      </x:c>
      <x:c r="AD12" s="291">
        <x:f t="shared" si="2"/>
        <x:v>0</x:v>
      </x:c>
      <x:c r="AE12" s="291">
        <x:f>'Reporte Componentes R1'!F589</x:f>
        <x:v>0</x:v>
      </x:c>
      <x:c r="AF12" s="322">
        <x:f t="shared" si="4"/>
        <x:v>0</x:v>
      </x:c>
      <x:c r="AG12" s="323">
        <x:f>(AF12-O12)</x:f>
        <x:v>0</x:v>
      </x:c>
      <x:c r="AH12" s="1" t="b">
        <x:f t="shared" si="3"/>
        <x:v>1</x:v>
      </x:c>
      <x:c r="AI12" s="306"/>
    </x:row>
    <x:row r="13" spans="2:35" s="305" customFormat="1" ht="12" thickBot="1" x14ac:dyDescent="0.35">
      <x:c r="B13" s="324">
        <x:v>5</x:v>
      </x:c>
      <x:c r="C13" s="325" t="s">
        <x:v>14</x:v>
      </x:c>
      <x:c r="D13" s="296">
        <x:f>'Reporte Componentes R1'!F700</x:f>
        <x:v>0</x:v>
      </x:c>
      <x:c r="E13" s="297">
        <x:f>'Reporte Componentes R1'!G700</x:f>
        <x:v>0</x:v>
      </x:c>
      <x:c r="F13" s="297">
        <x:f>'Reporte Componentes R1'!H700</x:f>
        <x:v>0</x:v>
      </x:c>
      <x:c r="G13" s="297">
        <x:f>'Reporte Componentes R1'!I700</x:f>
        <x:v>0</x:v>
      </x:c>
      <x:c r="H13" s="297">
        <x:f>'Reporte Componentes R1'!J700</x:f>
        <x:v>0</x:v>
      </x:c>
      <x:c r="I13" s="297">
        <x:f>'Reporte Componentes R1'!K700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R1'!L700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R1'!M700</x:f>
        <x:v>0</x:v>
      </x:c>
      <x:c r="V13" s="297">
        <x:f>'Reporte Componentes R1'!N700</x:f>
        <x:v>0</x:v>
      </x:c>
      <x:c r="W13" s="297">
        <x:f>'Reporte Componentes R1'!O700</x:f>
        <x:v>0</x:v>
      </x:c>
      <x:c r="X13" s="297">
        <x:f>'Reporte Componentes R1'!P700</x:f>
        <x:v>0</x:v>
      </x:c>
      <x:c r="Y13" s="289">
        <x:f>'Reporte Componentes R1'!Q700</x:f>
        <x:v>0</x:v>
      </x:c>
      <x:c r="Z13" s="319">
        <x:f>L13*-1</x:f>
        <x:v>0</x:v>
      </x:c>
      <x:c r="AA13" s="320">
        <x:f>'Reporte Componentes R1'!R700+'Reporte Componentes R1'!V700+'Reporte Componentes R1'!U700</x:f>
        <x:v>0</x:v>
      </x:c>
      <x:c r="AB13" s="294">
        <x:f>N13</x:f>
        <x:v>0</x:v>
      </x:c>
      <x:c r="AC13" s="320">
        <x:f>'Reporte Componentes R1'!T700+'Reporte Componentes R1'!W700+'Reporte Componentes R1'!X700+'Reporte Componentes R1'!Y700+'Reporte Componentes R1'!Z700+'Reporte Componentes R1'!S700</x:f>
        <x:v>0</x:v>
      </x:c>
      <x:c r="AD13" s="291">
        <x:f t="shared" si="2"/>
        <x:v>0</x:v>
      </x:c>
      <x:c r="AE13" s="291">
        <x:f>'Reporte Componentes R1'!F701</x:f>
        <x:v>0</x:v>
      </x:c>
      <x:c r="AF13" s="322">
        <x:f t="shared" si="4"/>
        <x:v>0</x:v>
      </x:c>
      <x:c r="AG13" s="326">
        <x:f>(AF13-O13)</x:f>
        <x:v>0</x:v>
      </x:c>
      <x:c r="AH13" s="1" t="b">
        <x:f t="shared" si="3"/>
        <x:v>1</x:v>
      </x:c>
      <x:c r="AI13" s="306"/>
    </x:row>
    <x:row r="14" spans="2:35" s="305" customFormat="1" ht="12.9" thickBot="1" x14ac:dyDescent="0.3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1" t="b">
        <x:f t="shared" si="3"/>
        <x:v>1</x:v>
      </x:c>
      <x:c r="AI14" s="306"/>
    </x:row>
    <x:row r="15" spans="2:35" ht="12" thickBot="1" x14ac:dyDescent="0.3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" thickBot="1" x14ac:dyDescent="0.3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" thickBot="1" x14ac:dyDescent="0.3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3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3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35">
      <x:c r="Q20" s="4"/>
      <x:c r="AI20" s="4"/>
    </x:row>
    <x:row r="21" spans="1:35" x14ac:dyDescent="0.3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4.15" x14ac:dyDescent="0.3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2026101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2026101</x:v>
      </x:c>
      <x:c r="AE22" s="84"/>
      <x:c r="AF22" s="48"/>
      <x:c r="AG22" s="2"/>
      <x:c r="AI22" s="4"/>
    </x:row>
    <x:row r="23" spans="1:35" ht="15.45" x14ac:dyDescent="0.4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4.15" x14ac:dyDescent="0.3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45" x14ac:dyDescent="0.4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" thickBot="1" x14ac:dyDescent="0.3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3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x14ac:dyDescent="0.3">
      <x:c r="B28" s="303">
        <x:v>1</x:v>
      </x:c>
      <x:c r="C28" s="304" t="s">
        <x:v>10</x:v>
      </x:c>
      <x:c r="D28" s="291">
        <x:f>'Rem. Anticipos R2'!E59</x:f>
        <x:v>0</x:v>
      </x:c>
      <x:c r="E28" s="292">
        <x:f>'Rem. Anticipos R2'!F59</x:f>
        <x:v>0</x:v>
      </x:c>
      <x:c r="F28" s="292">
        <x:f>'Rem. Anticipos R2'!G59</x:f>
        <x:v>0</x:v>
      </x:c>
      <x:c r="G28" s="292">
        <x:f>'Rem. Anticipos R2'!H59</x:f>
        <x:v>0</x:v>
      </x:c>
      <x:c r="H28" s="292">
        <x:f>'Rem. Anticipos R2'!I59</x:f>
        <x:v>0</x:v>
      </x:c>
      <x:c r="I28" s="292">
        <x:f>'Rem. Anticipos R2'!J59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R2'!K59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R2'!L59</x:f>
        <x:v>0</x:v>
      </x:c>
      <x:c r="V28" s="308">
        <x:f>'Rem. Anticipos R2'!M59</x:f>
        <x:v>0</x:v>
      </x:c>
      <x:c r="W28" s="308">
        <x:f>'Rem. Anticipos R2'!N59</x:f>
        <x:v>0</x:v>
      </x:c>
      <x:c r="X28" s="308">
        <x:f>'Rem. Anticipos R2'!O59</x:f>
        <x:v>0</x:v>
      </x:c>
      <x:c r="Y28" s="308">
        <x:f>'Rem. Anticipos R2'!P59</x:f>
        <x:v>0</x:v>
      </x:c>
      <x:c r="Z28" s="310">
        <x:f>L28*-1</x:f>
        <x:v>0</x:v>
      </x:c>
      <x:c r="AA28" s="311">
        <x:f>'Rem. Anticipos R2'!Q59</x:f>
        <x:v>0</x:v>
      </x:c>
      <x:c r="AB28" s="294">
        <x:f>N28</x:f>
        <x:v>0</x:v>
      </x:c>
      <x:c r="AC28" s="311">
        <x:f>'Rem. Anticipos R2'!R59</x:f>
        <x:v>0</x:v>
      </x:c>
      <x:c r="AD28" s="291">
        <x:f>-J28+AE28</x:f>
        <x:v>0</x:v>
      </x:c>
      <x:c r="AE28" s="291">
        <x:f>'Rem. Anticipos R2'!E60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3">
      <x:c r="B29" s="314">
        <x:v>2</x:v>
      </x:c>
      <x:c r="C29" s="315" t="s">
        <x:v>11</x:v>
      </x:c>
      <x:c r="D29" s="291">
        <x:f>'Rem. Anticipos R2'!E167</x:f>
        <x:v>0</x:v>
      </x:c>
      <x:c r="E29" s="292">
        <x:f>'Rem. Anticipos R2'!F167</x:f>
        <x:v>0</x:v>
      </x:c>
      <x:c r="F29" s="292">
        <x:f>'Rem. Anticipos R2'!G167</x:f>
        <x:v>0</x:v>
      </x:c>
      <x:c r="G29" s="292">
        <x:f>'Rem. Anticipos R2'!H167</x:f>
        <x:v>0</x:v>
      </x:c>
      <x:c r="H29" s="292">
        <x:f>'Rem. Anticipos R2'!I167</x:f>
        <x:v>0</x:v>
      </x:c>
      <x:c r="I29" s="292">
        <x:f>'Rem. Anticipos R2'!J167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R2'!K167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R2'!L167</x:f>
        <x:v>0</x:v>
      </x:c>
      <x:c r="V29" s="317">
        <x:f>'Rem. Anticipos R2'!M167</x:f>
        <x:v>0</x:v>
      </x:c>
      <x:c r="W29" s="317">
        <x:f>'Rem. Anticipos R2'!N167</x:f>
        <x:v>0</x:v>
      </x:c>
      <x:c r="X29" s="317">
        <x:f>'Rem. Anticipos R2'!O167</x:f>
        <x:v>0</x:v>
      </x:c>
      <x:c r="Y29" s="318">
        <x:f>'Rem. Anticipos R2'!P167</x:f>
        <x:v>0</x:v>
      </x:c>
      <x:c r="Z29" s="319">
        <x:f>L29*-1</x:f>
        <x:v>0</x:v>
      </x:c>
      <x:c r="AA29" s="320">
        <x:f>'Rem. Anticipos R2'!Q167</x:f>
        <x:v>0</x:v>
      </x:c>
      <x:c r="AB29" s="294">
        <x:f>N29</x:f>
        <x:v>0</x:v>
      </x:c>
      <x:c r="AC29" s="320">
        <x:f>'Rem. Anticipos R2'!R167</x:f>
        <x:v>0</x:v>
      </x:c>
      <x:c r="AD29" s="291">
        <x:f>-J29+AE29</x:f>
        <x:v>0</x:v>
      </x:c>
      <x:c r="AE29" s="291">
        <x:f>'Rem. Anticipos R2'!E168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x14ac:dyDescent="0.3">
      <x:c r="B30" s="314">
        <x:v>3</x:v>
      </x:c>
      <x:c r="C30" s="315" t="s">
        <x:v>12</x:v>
      </x:c>
      <x:c r="D30" s="291">
        <x:f>'Rem. Anticipos R2'!E285</x:f>
        <x:v>0</x:v>
      </x:c>
      <x:c r="E30" s="292">
        <x:f>'Rem. Anticipos R2'!F285</x:f>
        <x:v>0</x:v>
      </x:c>
      <x:c r="F30" s="292">
        <x:f>'Rem. Anticipos R2'!G285</x:f>
        <x:v>0</x:v>
      </x:c>
      <x:c r="G30" s="292">
        <x:f>'Rem. Anticipos R2'!H285</x:f>
        <x:v>0</x:v>
      </x:c>
      <x:c r="H30" s="292">
        <x:f>'Rem. Anticipos R2'!I285</x:f>
        <x:v>0</x:v>
      </x:c>
      <x:c r="I30" s="292">
        <x:f>'Rem. Anticipos R2'!J285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R2'!K285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R2'!L285</x:f>
        <x:v>0</x:v>
      </x:c>
      <x:c r="V30" s="317">
        <x:f>'Rem. Anticipos R2'!M285</x:f>
        <x:v>0</x:v>
      </x:c>
      <x:c r="W30" s="317">
        <x:f>'Rem. Anticipos R2'!N285</x:f>
        <x:v>0</x:v>
      </x:c>
      <x:c r="X30" s="317">
        <x:f>'Rem. Anticipos R2'!O285</x:f>
        <x:v>0</x:v>
      </x:c>
      <x:c r="Y30" s="318">
        <x:f>'Rem. Anticipos R2'!P285</x:f>
        <x:v>0</x:v>
      </x:c>
      <x:c r="Z30" s="319">
        <x:f>L30*-1</x:f>
        <x:v>0</x:v>
      </x:c>
      <x:c r="AA30" s="320">
        <x:f>'Rem. Anticipos R2'!Q285</x:f>
        <x:v>0</x:v>
      </x:c>
      <x:c r="AB30" s="294">
        <x:f>N30</x:f>
        <x:v>0</x:v>
      </x:c>
      <x:c r="AC30" s="320">
        <x:f>'Rem. Anticipos R2'!R285</x:f>
        <x:v>0</x:v>
      </x:c>
      <x:c r="AD30" s="291">
        <x:f t="shared" ref="AD30:AD32" si="10">-J30+AE30</x:f>
        <x:v>0</x:v>
      </x:c>
      <x:c r="AE30" s="291">
        <x:f>'Rem. Anticipos R2'!E286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x14ac:dyDescent="0.3">
      <x:c r="B31" s="314">
        <x:v>4</x:v>
      </x:c>
      <x:c r="C31" s="315" t="s">
        <x:v>13</x:v>
      </x:c>
      <x:c r="D31" s="291">
        <x:f>'Rem. Anticipos R2'!E396</x:f>
        <x:v>0</x:v>
      </x:c>
      <x:c r="E31" s="292">
        <x:f>'Rem. Anticipos R2'!F396</x:f>
        <x:v>0</x:v>
      </x:c>
      <x:c r="F31" s="292">
        <x:f>'Rem. Anticipos R2'!G396</x:f>
        <x:v>0</x:v>
      </x:c>
      <x:c r="G31" s="292">
        <x:f>'Rem. Anticipos R2'!H396</x:f>
        <x:v>0</x:v>
      </x:c>
      <x:c r="H31" s="292">
        <x:f>'Rem. Anticipos R2'!I396</x:f>
        <x:v>0</x:v>
      </x:c>
      <x:c r="I31" s="292">
        <x:f>'Rem. Anticipos R2'!J396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R2'!K396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R2'!L396</x:f>
        <x:v>0</x:v>
      </x:c>
      <x:c r="V31" s="317">
        <x:f>'Rem. Anticipos R2'!M396</x:f>
        <x:v>0</x:v>
      </x:c>
      <x:c r="W31" s="317">
        <x:f>'Rem. Anticipos R2'!N396</x:f>
        <x:v>0</x:v>
      </x:c>
      <x:c r="X31" s="317">
        <x:f>'Rem. Anticipos R2'!O396</x:f>
        <x:v>0</x:v>
      </x:c>
      <x:c r="Y31" s="318">
        <x:f>'Rem. Anticipos R2'!P396</x:f>
        <x:v>0</x:v>
      </x:c>
      <x:c r="Z31" s="319">
        <x:f>L31*-1</x:f>
        <x:v>0</x:v>
      </x:c>
      <x:c r="AA31" s="320">
        <x:f>'Rem. Anticipos R2'!Q396</x:f>
        <x:v>0</x:v>
      </x:c>
      <x:c r="AB31" s="294">
        <x:f>N31</x:f>
        <x:v>0</x:v>
      </x:c>
      <x:c r="AC31" s="320">
        <x:f>'Rem. Anticipos R2'!R396</x:f>
        <x:v>0</x:v>
      </x:c>
      <x:c r="AD31" s="291">
        <x:f t="shared" si="10"/>
        <x:v>0</x:v>
      </x:c>
      <x:c r="AE31" s="291">
        <x:f>'Rem. Anticipos R2'!E397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9"/>
        <x:v>1</x:v>
      </x:c>
      <x:c r="AI31" s="306"/>
    </x:row>
    <x:row r="32" spans="1:35" s="305" customFormat="1" ht="12" thickBot="1" x14ac:dyDescent="0.35">
      <x:c r="B32" s="324">
        <x:v>5</x:v>
      </x:c>
      <x:c r="C32" s="325" t="s">
        <x:v>14</x:v>
      </x:c>
      <x:c r="D32" s="296">
        <x:f>'Rem. Anticipos R2'!E480</x:f>
        <x:v>0</x:v>
      </x:c>
      <x:c r="E32" s="297">
        <x:f>'Rem. Anticipos R2'!F480</x:f>
        <x:v>0</x:v>
      </x:c>
      <x:c r="F32" s="297">
        <x:f>'Rem. Anticipos R2'!G480</x:f>
        <x:v>0</x:v>
      </x:c>
      <x:c r="G32" s="297">
        <x:f>'Rem. Anticipos R2'!H480</x:f>
        <x:v>0</x:v>
      </x:c>
      <x:c r="H32" s="297">
        <x:f>'Rem. Anticipos R2'!I480</x:f>
        <x:v>0</x:v>
      </x:c>
      <x:c r="I32" s="297">
        <x:f>'Rem. Anticipos R2'!J480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R2'!K480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R2'!L480</x:f>
        <x:v>0</x:v>
      </x:c>
      <x:c r="V32" s="297">
        <x:f>'Rem. Anticipos R2'!M480</x:f>
        <x:v>0</x:v>
      </x:c>
      <x:c r="W32" s="297">
        <x:f>'Rem. Anticipos R2'!N480</x:f>
        <x:v>0</x:v>
      </x:c>
      <x:c r="X32" s="297">
        <x:f>'Rem. Anticipos R2'!O480</x:f>
        <x:v>0</x:v>
      </x:c>
      <x:c r="Y32" s="289">
        <x:f>'Rem. Anticipos R2'!P480</x:f>
        <x:v>0</x:v>
      </x:c>
      <x:c r="Z32" s="319">
        <x:f>L32*-1</x:f>
        <x:v>0</x:v>
      </x:c>
      <x:c r="AA32" s="320">
        <x:f>'Rem. Anticipos R2'!Q480</x:f>
        <x:v>0</x:v>
      </x:c>
      <x:c r="AB32" s="294">
        <x:f>N32</x:f>
        <x:v>0</x:v>
      </x:c>
      <x:c r="AC32" s="320">
        <x:f>'Rem. Anticipos R2'!R480</x:f>
        <x:v>0</x:v>
      </x:c>
      <x:c r="AD32" s="291">
        <x:f t="shared" si="10"/>
        <x:v>0</x:v>
      </x:c>
      <x:c r="AE32" s="291">
        <x:f>'Rem. Anticipos R2'!E481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9"/>
        <x:v>1</x:v>
      </x:c>
      <x:c r="AI32" s="306"/>
    </x:row>
    <x:row r="33" spans="1:35" s="305" customFormat="1" ht="12.9" thickBot="1" x14ac:dyDescent="0.3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9"/>
        <x:v>1</x:v>
      </x:c>
      <x:c r="AI33" s="306"/>
    </x:row>
    <x:row r="34" spans="1:35" ht="12" thickBot="1" x14ac:dyDescent="0.3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" thickBot="1" x14ac:dyDescent="0.3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" thickBot="1" x14ac:dyDescent="0.3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3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3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35">
      <x:c r="Q39" s="4"/>
      <x:c r="AI39" s="4"/>
    </x:row>
    <x:row r="40" spans="1:35" x14ac:dyDescent="0.3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4.15" x14ac:dyDescent="0.3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2026101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2026101</x:v>
      </x:c>
      <x:c r="AE41" s="84"/>
      <x:c r="AF41" s="48"/>
      <x:c r="AG41" s="2"/>
      <x:c r="AI41" s="4"/>
    </x:row>
    <x:row r="42" spans="1:35" ht="15.45" x14ac:dyDescent="0.4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4.15" x14ac:dyDescent="0.3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45" x14ac:dyDescent="0.4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" thickBot="1" x14ac:dyDescent="0.3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3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x14ac:dyDescent="0.3">
      <x:c r="B47" s="303">
        <x:v>1</x:v>
      </x:c>
      <x:c r="C47" s="304" t="s">
        <x:v>10</x:v>
      </x:c>
      <x:c r="D47" s="291">
        <x:f>'Reporte Componentes R1'!F97</x:f>
        <x:v>0</x:v>
      </x:c>
      <x:c r="E47" s="292">
        <x:f>'Reporte Componentes R1'!G97</x:f>
        <x:v>0</x:v>
      </x:c>
      <x:c r="F47" s="292">
        <x:f>'Reporte Componentes R1'!H97</x:f>
        <x:v>0</x:v>
      </x:c>
      <x:c r="G47" s="292">
        <x:f>'Reporte Componentes R1'!I97</x:f>
        <x:v>0</x:v>
      </x:c>
      <x:c r="H47" s="292">
        <x:f>'Reporte Componentes R1'!J97</x:f>
        <x:v>0</x:v>
      </x:c>
      <x:c r="I47" s="292">
        <x:f>'Reporte Componentes R1'!K97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R1'!L97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R1'!M97</x:f>
        <x:v>0</x:v>
      </x:c>
      <x:c r="V47" s="308">
        <x:f>'Reporte Componentes R1'!N97</x:f>
        <x:v>0</x:v>
      </x:c>
      <x:c r="W47" s="308">
        <x:f>'Reporte Componentes R1'!O97</x:f>
        <x:v>0</x:v>
      </x:c>
      <x:c r="X47" s="308">
        <x:f>'Reporte Componentes R1'!P97</x:f>
        <x:v>0</x:v>
      </x:c>
      <x:c r="Y47" s="309">
        <x:f>'Reporte Componentes R1'!Q97</x:f>
        <x:v>0</x:v>
      </x:c>
      <x:c r="Z47" s="310">
        <x:f>-L47</x:f>
        <x:v>0</x:v>
      </x:c>
      <x:c r="AA47" s="311">
        <x:f>'Reporte Componentes R1'!R97+'Reporte Componentes R1'!V97+'Reporte Componentes R1'!U97</x:f>
        <x:v>0</x:v>
      </x:c>
      <x:c r="AB47" s="294">
        <x:f>N47</x:f>
        <x:v>0</x:v>
      </x:c>
      <x:c r="AC47" s="311">
        <x:f>'Reporte Componentes R1'!T97+'Reporte Componentes R1'!S97+'Reporte Componentes R1'!W97+'Reporte Componentes R1'!X97+'Reporte Componentes R1'!Y97+'Reporte Componentes R1'!Z97</x:f>
        <x:v>0</x:v>
      </x:c>
      <x:c r="AD47" s="291">
        <x:f>-J47+AE47</x:f>
        <x:v>0</x:v>
      </x:c>
      <x:c r="AE47" s="291">
        <x:f>'Reporte Componentes R1'!F98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x14ac:dyDescent="0.3">
      <x:c r="B48" s="314">
        <x:v>2</x:v>
      </x:c>
      <x:c r="C48" s="315" t="s">
        <x:v>11</x:v>
      </x:c>
      <x:c r="D48" s="291">
        <x:f>'Reporte Componentes R1'!F276</x:f>
        <x:v>0</x:v>
      </x:c>
      <x:c r="E48" s="292">
        <x:f>'Reporte Componentes R1'!G276</x:f>
        <x:v>0</x:v>
      </x:c>
      <x:c r="F48" s="292">
        <x:f>'Reporte Componentes R1'!H276</x:f>
        <x:v>0</x:v>
      </x:c>
      <x:c r="G48" s="292">
        <x:f>'Reporte Componentes R1'!I276</x:f>
        <x:v>0</x:v>
      </x:c>
      <x:c r="H48" s="292">
        <x:f>'Reporte Componentes R1'!J276</x:f>
        <x:v>0</x:v>
      </x:c>
      <x:c r="I48" s="292">
        <x:f>'Reporte Componentes R1'!K276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R1'!L276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R1'!M276</x:f>
        <x:v>0</x:v>
      </x:c>
      <x:c r="V48" s="317">
        <x:f>'Reporte Componentes R1'!N276</x:f>
        <x:v>0</x:v>
      </x:c>
      <x:c r="W48" s="317">
        <x:f>'Reporte Componentes R1'!O276</x:f>
        <x:v>0</x:v>
      </x:c>
      <x:c r="X48" s="317">
        <x:f>'Reporte Componentes R1'!P276</x:f>
        <x:v>0</x:v>
      </x:c>
      <x:c r="Y48" s="318">
        <x:f>'Reporte Componentes R1'!Q276</x:f>
        <x:v>0</x:v>
      </x:c>
      <x:c r="Z48" s="319">
        <x:f>-L48</x:f>
        <x:v>0</x:v>
      </x:c>
      <x:c r="AA48" s="320">
        <x:f>'Reporte Componentes R1'!R276+'Reporte Componentes R1'!V276+'Reporte Componentes R1'!U276</x:f>
        <x:v>0</x:v>
      </x:c>
      <x:c r="AB48" s="294">
        <x:f>N48</x:f>
        <x:v>0</x:v>
      </x:c>
      <x:c r="AC48" s="320">
        <x:f>'Reporte Componentes R1'!T276+'Reporte Componentes R1'!S276+'Reporte Componentes R1'!W276+'Reporte Componentes R1'!X276+'Reporte Componentes R1'!Y276+'Reporte Componentes R1'!Z276</x:f>
        <x:v>0</x:v>
      </x:c>
      <x:c r="AD48" s="291">
        <x:f t="shared" ref="AD48:AD51" si="16">-J48+AE48</x:f>
        <x:v>0</x:v>
      </x:c>
      <x:c r="AE48" s="291">
        <x:f>'Reporte Componentes R1'!F277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7">INT(AG48)=0</x:f>
        <x:v>1</x:v>
      </x:c>
      <x:c r="AI48" s="306"/>
    </x:row>
    <x:row r="49" spans="1:35" s="305" customFormat="1" x14ac:dyDescent="0.3">
      <x:c r="B49" s="314">
        <x:v>3</x:v>
      </x:c>
      <x:c r="C49" s="315" t="s">
        <x:v>12</x:v>
      </x:c>
      <x:c r="D49" s="291">
        <x:f>'Reporte Componentes R1'!F437</x:f>
        <x:v>0</x:v>
      </x:c>
      <x:c r="E49" s="292">
        <x:f>'Reporte Componentes R1'!G437</x:f>
        <x:v>0</x:v>
      </x:c>
      <x:c r="F49" s="292">
        <x:f>'Reporte Componentes R1'!H437</x:f>
        <x:v>0</x:v>
      </x:c>
      <x:c r="G49" s="292">
        <x:f>'Reporte Componentes R1'!I437</x:f>
        <x:v>0</x:v>
      </x:c>
      <x:c r="H49" s="292">
        <x:f>'Reporte Componentes R1'!J437</x:f>
        <x:v>0</x:v>
      </x:c>
      <x:c r="I49" s="292">
        <x:f>'Reporte Componentes R1'!K437</x:f>
        <x:v>0</x:v>
      </x:c>
      <x:c r="J49" s="288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R1'!L437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R1'!M437</x:f>
        <x:v>0</x:v>
      </x:c>
      <x:c r="V49" s="317">
        <x:f>'Reporte Componentes R1'!N437</x:f>
        <x:v>0</x:v>
      </x:c>
      <x:c r="W49" s="317">
        <x:f>'Reporte Componentes R1'!O437</x:f>
        <x:v>0</x:v>
      </x:c>
      <x:c r="X49" s="317">
        <x:f>'Reporte Componentes R1'!P437</x:f>
        <x:v>0</x:v>
      </x:c>
      <x:c r="Y49" s="318">
        <x:f>'Reporte Componentes R1'!Q437</x:f>
        <x:v>0</x:v>
      </x:c>
      <x:c r="Z49" s="319">
        <x:f>-L49</x:f>
        <x:v>0</x:v>
      </x:c>
      <x:c r="AA49" s="320">
        <x:f>'Reporte Componentes R1'!R437+'Reporte Componentes R1'!V437+'Reporte Componentes R1'!U437</x:f>
        <x:v>0</x:v>
      </x:c>
      <x:c r="AB49" s="294">
        <x:f>N49</x:f>
        <x:v>0</x:v>
      </x:c>
      <x:c r="AC49" s="320">
        <x:f>'Reporte Componentes R1'!T437+'Reporte Componentes R1'!S437+'Reporte Componentes R1'!W437+'Reporte Componentes R1'!X437+'Reporte Componentes R1'!Y437+'Reporte Componentes R1'!Z437</x:f>
        <x:v>0</x:v>
      </x:c>
      <x:c r="AD49" s="291">
        <x:f t="shared" si="16"/>
        <x:v>0</x:v>
      </x:c>
      <x:c r="AE49" s="291">
        <x:f>'Reporte Componentes R1'!F438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1" t="b">
        <x:f t="shared" si="17"/>
        <x:v>1</x:v>
      </x:c>
      <x:c r="AI49" s="306"/>
    </x:row>
    <x:row r="50" spans="1:35" s="305" customFormat="1" x14ac:dyDescent="0.3">
      <x:c r="B50" s="314">
        <x:v>4</x:v>
      </x:c>
      <x:c r="C50" s="315" t="s">
        <x:v>13</x:v>
      </x:c>
      <x:c r="D50" s="291">
        <x:f>'Reporte Componentes R1'!F590</x:f>
        <x:v>0</x:v>
      </x:c>
      <x:c r="E50" s="292">
        <x:f>'Reporte Componentes R1'!G590</x:f>
        <x:v>0</x:v>
      </x:c>
      <x:c r="F50" s="292">
        <x:f>'Reporte Componentes R1'!H590</x:f>
        <x:v>0</x:v>
      </x:c>
      <x:c r="G50" s="292">
        <x:f>'Reporte Componentes R1'!I590</x:f>
        <x:v>0</x:v>
      </x:c>
      <x:c r="H50" s="292">
        <x:f>'Reporte Componentes R1'!J590</x:f>
        <x:v>0</x:v>
      </x:c>
      <x:c r="I50" s="292">
        <x:f>'Reporte Componentes R1'!K590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R1'!L590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R1'!M590</x:f>
        <x:v>0</x:v>
      </x:c>
      <x:c r="V50" s="317">
        <x:f>'Reporte Componentes R1'!N590</x:f>
        <x:v>0</x:v>
      </x:c>
      <x:c r="W50" s="317">
        <x:f>'Reporte Componentes R1'!O590</x:f>
        <x:v>0</x:v>
      </x:c>
      <x:c r="X50" s="317">
        <x:f>'Reporte Componentes R1'!P590</x:f>
        <x:v>0</x:v>
      </x:c>
      <x:c r="Y50" s="318">
        <x:f>'Reporte Componentes R1'!Q590</x:f>
        <x:v>0</x:v>
      </x:c>
      <x:c r="Z50" s="319">
        <x:f>-L50</x:f>
        <x:v>0</x:v>
      </x:c>
      <x:c r="AA50" s="320">
        <x:f>'Reporte Componentes R1'!R590+'Reporte Componentes R1'!V590+'Reporte Componentes R1'!U590</x:f>
        <x:v>0</x:v>
      </x:c>
      <x:c r="AB50" s="294">
        <x:f>N50</x:f>
        <x:v>0</x:v>
      </x:c>
      <x:c r="AC50" s="320">
        <x:f>'Reporte Componentes R1'!T590+'Reporte Componentes R1'!S590+'Reporte Componentes R1'!W590+'Reporte Componentes R1'!X590+'Reporte Componentes R1'!Y590+'Reporte Componentes R1'!Z590</x:f>
        <x:v>0</x:v>
      </x:c>
      <x:c r="AD50" s="291">
        <x:f t="shared" si="16"/>
        <x:v>0</x:v>
      </x:c>
      <x:c r="AE50" s="291">
        <x:f>'Reporte Componentes R1'!F591</x:f>
        <x:v>0</x:v>
      </x:c>
      <x:c r="AF50" s="322">
        <x:f t="shared" si="18"/>
        <x:v>0</x:v>
      </x:c>
      <x:c r="AG50" s="323">
        <x:f t="shared" si="19"/>
        <x:v>0</x:v>
      </x:c>
      <x:c r="AH50" s="1" t="b">
        <x:f t="shared" si="17"/>
        <x:v>1</x:v>
      </x:c>
      <x:c r="AI50" s="306"/>
    </x:row>
    <x:row r="51" spans="1:35" s="305" customFormat="1" ht="12" thickBot="1" x14ac:dyDescent="0.35">
      <x:c r="B51" s="324">
        <x:v>5</x:v>
      </x:c>
      <x:c r="C51" s="325" t="s">
        <x:v>14</x:v>
      </x:c>
      <x:c r="D51" s="296">
        <x:f>'Reporte Componentes R1'!F702</x:f>
        <x:v>0</x:v>
      </x:c>
      <x:c r="E51" s="297">
        <x:f>'Reporte Componentes R1'!G702</x:f>
        <x:v>0</x:v>
      </x:c>
      <x:c r="F51" s="297">
        <x:f>'Reporte Componentes R1'!H702</x:f>
        <x:v>0</x:v>
      </x:c>
      <x:c r="G51" s="297">
        <x:f>'Reporte Componentes R1'!I702</x:f>
        <x:v>0</x:v>
      </x:c>
      <x:c r="H51" s="297">
        <x:f>'Reporte Componentes R1'!J702</x:f>
        <x:v>0</x:v>
      </x:c>
      <x:c r="I51" s="297">
        <x:f>'Reporte Componentes R1'!K702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R1'!L702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R1'!M702</x:f>
        <x:v>0</x:v>
      </x:c>
      <x:c r="V51" s="297">
        <x:f>'Reporte Componentes R1'!N702</x:f>
        <x:v>0</x:v>
      </x:c>
      <x:c r="W51" s="297">
        <x:f>'Reporte Componentes R1'!O702</x:f>
        <x:v>0</x:v>
      </x:c>
      <x:c r="X51" s="297">
        <x:f>'Reporte Componentes R1'!P702</x:f>
        <x:v>0</x:v>
      </x:c>
      <x:c r="Y51" s="289">
        <x:f>'Reporte Componentes R1'!Q702</x:f>
        <x:v>0</x:v>
      </x:c>
      <x:c r="Z51" s="319">
        <x:f>-L51</x:f>
        <x:v>0</x:v>
      </x:c>
      <x:c r="AA51" s="320">
        <x:f>'Reporte Componentes R1'!R702+'Reporte Componentes R1'!V702+'Reporte Componentes R1'!U702</x:f>
        <x:v>0</x:v>
      </x:c>
      <x:c r="AB51" s="294">
        <x:f>N51</x:f>
        <x:v>0</x:v>
      </x:c>
      <x:c r="AC51" s="320">
        <x:f>'Reporte Componentes R1'!T702+'Reporte Componentes R1'!S702+'Reporte Componentes R1'!W702+'Reporte Componentes R1'!X702+'Reporte Componentes R1'!Y702+'Reporte Componentes R1'!Z702</x:f>
        <x:v>0</x:v>
      </x:c>
      <x:c r="AD51" s="291">
        <x:f t="shared" si="16"/>
        <x:v>0</x:v>
      </x:c>
      <x:c r="AE51" s="291">
        <x:f>'Reporte Componentes R1'!F703</x:f>
        <x:v>0</x:v>
      </x:c>
      <x:c r="AF51" s="322">
        <x:f t="shared" si="18"/>
        <x:v>0</x:v>
      </x:c>
      <x:c r="AG51" s="326">
        <x:f t="shared" si="19"/>
        <x:v>0</x:v>
      </x:c>
      <x:c r="AH51" s="1" t="b">
        <x:f t="shared" si="17"/>
        <x:v>1</x:v>
      </x:c>
      <x:c r="AI51" s="306"/>
    </x:row>
    <x:row r="52" spans="1:35" s="305" customFormat="1" ht="12.9" thickBot="1" x14ac:dyDescent="0.35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ref="AC52" si="23">SUM(AC47:AC51)</x:f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1" t="b">
        <x:f t="shared" si="17"/>
        <x:v>1</x:v>
      </x:c>
      <x:c r="AI52" s="306"/>
    </x:row>
    <x:row r="53" spans="1:35" ht="12" thickBot="1" x14ac:dyDescent="0.3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" thickBot="1" x14ac:dyDescent="0.3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" thickBot="1" x14ac:dyDescent="0.3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3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3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35">
      <x:c r="Q58" s="4"/>
      <x:c r="AI58" s="4"/>
    </x:row>
    <x:row r="59" spans="1:35" x14ac:dyDescent="0.3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4.15" x14ac:dyDescent="0.3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2026101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2026101</x:v>
      </x:c>
      <x:c r="AE60" s="84"/>
      <x:c r="AF60" s="48"/>
      <x:c r="AG60" s="2"/>
      <x:c r="AI60" s="4"/>
    </x:row>
    <x:row r="61" spans="1:35" ht="15.45" x14ac:dyDescent="0.4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4.15" x14ac:dyDescent="0.3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45" x14ac:dyDescent="0.4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" thickBot="1" x14ac:dyDescent="0.3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3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x14ac:dyDescent="0.3">
      <x:c r="B66" s="303">
        <x:v>1</x:v>
      </x:c>
      <x:c r="C66" s="304" t="s">
        <x:v>10</x:v>
      </x:c>
      <x:c r="D66" s="291">
        <x:f>'Reversion Pagos R4'!D85</x:f>
        <x:v>0</x:v>
      </x:c>
      <x:c r="E66" s="292">
        <x:f>'Reversion Pagos R4'!E85</x:f>
        <x:v>0</x:v>
      </x:c>
      <x:c r="F66" s="292">
        <x:f>'Reversion Pagos R4'!F85</x:f>
        <x:v>0</x:v>
      </x:c>
      <x:c r="G66" s="292">
        <x:f>'Reversion Pagos R4'!G85</x:f>
        <x:v>0</x:v>
      </x:c>
      <x:c r="H66" s="292">
        <x:f>'Reversion Pagos R4'!H85</x:f>
        <x:v>0</x:v>
      </x:c>
      <x:c r="I66" s="292">
        <x:f>'Reversion Pagos R4'!I85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R4'!P85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R4'!J85</x:f>
        <x:v>0</x:v>
      </x:c>
      <x:c r="V66" s="308">
        <x:f>'Reversion Pagos R4'!K85</x:f>
        <x:v>0</x:v>
      </x:c>
      <x:c r="W66" s="308">
        <x:f>'Reversion Pagos R4'!L85</x:f>
        <x:v>0</x:v>
      </x:c>
      <x:c r="X66" s="308">
        <x:f>'Reversion Pagos R4'!M85</x:f>
        <x:v>0</x:v>
      </x:c>
      <x:c r="Y66" s="308">
        <x:f>'Reversion Pagos R4'!N85</x:f>
        <x:v>0</x:v>
      </x:c>
      <x:c r="Z66" s="310">
        <x:f>-L66</x:f>
        <x:v>0</x:v>
      </x:c>
      <x:c r="AA66" s="320">
        <x:f>'Reversion Pagos R4'!O85</x:f>
        <x:v>0</x:v>
      </x:c>
      <x:c r="AB66" s="294">
        <x:f>N66</x:f>
        <x:v>0</x:v>
      </x:c>
      <x:c r="AC66" s="320">
        <x:f>+'Reversion Pagos R4'!Q85+'Reversion Pagos R4'!R85</x:f>
        <x:v>0</x:v>
      </x:c>
      <x:c r="AD66" s="291">
        <x:f>-J66+AE66</x:f>
        <x:v>0</x:v>
      </x:c>
      <x:c r="AE66" s="291">
        <x:f>'Reversion Pagos R4'!D86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x14ac:dyDescent="0.3">
      <x:c r="B67" s="314">
        <x:v>2</x:v>
      </x:c>
      <x:c r="C67" s="315" t="s">
        <x:v>11</x:v>
      </x:c>
      <x:c r="D67" s="291">
        <x:f>'Reversion Pagos R4'!D186</x:f>
        <x:v>0</x:v>
      </x:c>
      <x:c r="E67" s="292">
        <x:f>'Reversion Pagos R4'!E186</x:f>
        <x:v>0</x:v>
      </x:c>
      <x:c r="F67" s="292">
        <x:f>'Reversion Pagos R4'!F186</x:f>
        <x:v>0</x:v>
      </x:c>
      <x:c r="G67" s="292">
        <x:f>'Reversion Pagos R4'!G186</x:f>
        <x:v>0</x:v>
      </x:c>
      <x:c r="H67" s="292">
        <x:f>'Reversion Pagos R4'!H186</x:f>
        <x:v>0</x:v>
      </x:c>
      <x:c r="I67" s="292">
        <x:f>'Reversion Pagos R4'!I186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R4'!P186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R4'!J186</x:f>
        <x:v>0</x:v>
      </x:c>
      <x:c r="V67" s="317">
        <x:f>'Reversion Pagos R4'!K186</x:f>
        <x:v>0</x:v>
      </x:c>
      <x:c r="W67" s="317">
        <x:f>'Reversion Pagos R4'!L186</x:f>
        <x:v>0</x:v>
      </x:c>
      <x:c r="X67" s="317">
        <x:f>'Reversion Pagos R4'!M186</x:f>
        <x:v>0</x:v>
      </x:c>
      <x:c r="Y67" s="318">
        <x:f>'Reversion Pagos R4'!N186</x:f>
        <x:v>0</x:v>
      </x:c>
      <x:c r="Z67" s="319">
        <x:f t="shared" ref="Z67:Z70" si="26">-L67</x:f>
        <x:v>0</x:v>
      </x:c>
      <x:c r="AA67" s="320">
        <x:f>'Reversion Pagos R4'!O186</x:f>
        <x:v>0</x:v>
      </x:c>
      <x:c r="AB67" s="294">
        <x:f t="shared" ref="AB67:AB70" si="27">N67</x:f>
        <x:v>0</x:v>
      </x:c>
      <x:c r="AC67" s="320">
        <x:f>+'Reversion Pagos R4'!Q186+'Reversion Pagos R4'!R186</x:f>
        <x:v>0</x:v>
      </x:c>
      <x:c r="AD67" s="291">
        <x:f t="shared" ref="AD67:AD70" si="28">-J67+AE67</x:f>
        <x:v>0</x:v>
      </x:c>
      <x:c r="AE67" s="291">
        <x:f>'Reversion Pagos R4'!D187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9">INT(AG67)=0</x:f>
        <x:v>1</x:v>
      </x:c>
      <x:c r="AI67" s="306"/>
    </x:row>
    <x:row r="68" spans="1:35" s="305" customFormat="1" x14ac:dyDescent="0.3">
      <x:c r="B68" s="314">
        <x:v>3</x:v>
      </x:c>
      <x:c r="C68" s="315" t="s">
        <x:v>12</x:v>
      </x:c>
      <x:c r="D68" s="291">
        <x:f>'Reversion Pagos R4'!D223</x:f>
        <x:v>0</x:v>
      </x:c>
      <x:c r="E68" s="292">
        <x:f>'Reversion Pagos R4'!E223</x:f>
        <x:v>0</x:v>
      </x:c>
      <x:c r="F68" s="292">
        <x:f>'Reversion Pagos R4'!F223</x:f>
        <x:v>0</x:v>
      </x:c>
      <x:c r="G68" s="292">
        <x:f>'Reversion Pagos R4'!G223</x:f>
        <x:v>0</x:v>
      </x:c>
      <x:c r="H68" s="292">
        <x:f>'Reversion Pagos R4'!H223</x:f>
        <x:v>0</x:v>
      </x:c>
      <x:c r="I68" s="292">
        <x:f>'Reversion Pagos R4'!I223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R4'!P223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R4'!J223</x:f>
        <x:v>0</x:v>
      </x:c>
      <x:c r="V68" s="317">
        <x:f>'Reversion Pagos R4'!K223</x:f>
        <x:v>0</x:v>
      </x:c>
      <x:c r="W68" s="317">
        <x:f>'Reversion Pagos R4'!L223</x:f>
        <x:v>0</x:v>
      </x:c>
      <x:c r="X68" s="317">
        <x:f>'Reversion Pagos R4'!M223</x:f>
        <x:v>0</x:v>
      </x:c>
      <x:c r="Y68" s="318">
        <x:f>'Reversion Pagos R4'!N223</x:f>
        <x:v>0</x:v>
      </x:c>
      <x:c r="Z68" s="319">
        <x:f t="shared" si="26"/>
        <x:v>0</x:v>
      </x:c>
      <x:c r="AA68" s="320">
        <x:f>'Reversion Pagos R4'!O223</x:f>
        <x:v>0</x:v>
      </x:c>
      <x:c r="AB68" s="294">
        <x:f t="shared" si="27"/>
        <x:v>0</x:v>
      </x:c>
      <x:c r="AC68" s="320">
        <x:f>+'Reversion Pagos R4'!Q223+'Reversion Pagos R4'!R223</x:f>
        <x:v>0</x:v>
      </x:c>
      <x:c r="AD68" s="291">
        <x:f t="shared" si="28"/>
        <x:v>0</x:v>
      </x:c>
      <x:c r="AE68" s="291">
        <x:f>'Reversion Pagos R4'!D224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1" t="b">
        <x:f t="shared" si="29"/>
        <x:v>1</x:v>
      </x:c>
      <x:c r="AI68" s="306"/>
    </x:row>
    <x:row r="69" spans="1:35" s="305" customFormat="1" x14ac:dyDescent="0.3">
      <x:c r="B69" s="314">
        <x:v>4</x:v>
      </x:c>
      <x:c r="C69" s="315" t="s">
        <x:v>13</x:v>
      </x:c>
      <x:c r="D69" s="291">
        <x:f>'Reversion Pagos R4'!D338</x:f>
        <x:v>0</x:v>
      </x:c>
      <x:c r="E69" s="292">
        <x:f>'Reversion Pagos R4'!E338</x:f>
        <x:v>0</x:v>
      </x:c>
      <x:c r="F69" s="292">
        <x:f>'Reversion Pagos R4'!F338</x:f>
        <x:v>0</x:v>
      </x:c>
      <x:c r="G69" s="292">
        <x:f>'Reversion Pagos R4'!G338</x:f>
        <x:v>0</x:v>
      </x:c>
      <x:c r="H69" s="292">
        <x:f>'Reversion Pagos R4'!H338</x:f>
        <x:v>0</x:v>
      </x:c>
      <x:c r="I69" s="292">
        <x:f>'Reversion Pagos R4'!I338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R4'!P338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R4'!J338</x:f>
        <x:v>0</x:v>
      </x:c>
      <x:c r="V69" s="317">
        <x:f>'Reversion Pagos R4'!K338</x:f>
        <x:v>0</x:v>
      </x:c>
      <x:c r="W69" s="317">
        <x:f>'Reversion Pagos R4'!L338</x:f>
        <x:v>0</x:v>
      </x:c>
      <x:c r="X69" s="317">
        <x:f>'Reversion Pagos R4'!M338</x:f>
        <x:v>0</x:v>
      </x:c>
      <x:c r="Y69" s="318">
        <x:f>'Reversion Pagos R4'!N338</x:f>
        <x:v>0</x:v>
      </x:c>
      <x:c r="Z69" s="319">
        <x:f t="shared" si="26"/>
        <x:v>0</x:v>
      </x:c>
      <x:c r="AA69" s="320">
        <x:f>'Reversion Pagos R4'!O338</x:f>
        <x:v>0</x:v>
      </x:c>
      <x:c r="AB69" s="294">
        <x:f t="shared" si="27"/>
        <x:v>0</x:v>
      </x:c>
      <x:c r="AC69" s="320">
        <x:f>+'Reversion Pagos R4'!Q338+'Reversion Pagos R4'!R338</x:f>
        <x:v>0</x:v>
      </x:c>
      <x:c r="AD69" s="291">
        <x:f t="shared" si="28"/>
        <x:v>0</x:v>
      </x:c>
      <x:c r="AE69" s="291">
        <x:f>'Reversion Pagos R4'!D339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9"/>
        <x:v>1</x:v>
      </x:c>
      <x:c r="AI69" s="306"/>
    </x:row>
    <x:row r="70" spans="1:35" s="305" customFormat="1" ht="12" thickBot="1" x14ac:dyDescent="0.35">
      <x:c r="B70" s="324">
        <x:v>5</x:v>
      </x:c>
      <x:c r="C70" s="325" t="s">
        <x:v>14</x:v>
      </x:c>
      <x:c r="D70" s="296">
        <x:f>'Reversion Pagos R4'!D373</x:f>
        <x:v>0</x:v>
      </x:c>
      <x:c r="E70" s="297">
        <x:f>'Reversion Pagos R4'!E373</x:f>
        <x:v>0</x:v>
      </x:c>
      <x:c r="F70" s="297">
        <x:f>'Reversion Pagos R4'!F373</x:f>
        <x:v>0</x:v>
      </x:c>
      <x:c r="G70" s="297">
        <x:f>'Reversion Pagos R4'!G373</x:f>
        <x:v>0</x:v>
      </x:c>
      <x:c r="H70" s="297">
        <x:f>'Reversion Pagos R4'!H373</x:f>
        <x:v>0</x:v>
      </x:c>
      <x:c r="I70" s="297">
        <x:f>'Reversion Pagos R4'!I373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R4'!P373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R4'!J373</x:f>
        <x:v>0</x:v>
      </x:c>
      <x:c r="V70" s="297">
        <x:f>'Reversion Pagos R4'!K373</x:f>
        <x:v>0</x:v>
      </x:c>
      <x:c r="W70" s="297">
        <x:f>'Reversion Pagos R4'!L373</x:f>
        <x:v>0</x:v>
      </x:c>
      <x:c r="X70" s="297">
        <x:f>'Reversion Pagos R4'!M373</x:f>
        <x:v>0</x:v>
      </x:c>
      <x:c r="Y70" s="289">
        <x:f>'Reversion Pagos R4'!N373</x:f>
        <x:v>0</x:v>
      </x:c>
      <x:c r="Z70" s="319">
        <x:f t="shared" si="26"/>
        <x:v>0</x:v>
      </x:c>
      <x:c r="AA70" s="320">
        <x:f>'Reversion Pagos R4'!O373</x:f>
        <x:v>0</x:v>
      </x:c>
      <x:c r="AB70" s="294">
        <x:f t="shared" si="27"/>
        <x:v>0</x:v>
      </x:c>
      <x:c r="AC70" s="320">
        <x:f>+'Reversion Pagos R4'!Q373+'Reversion Pagos R4'!R373</x:f>
        <x:v>0</x:v>
      </x:c>
      <x:c r="AD70" s="291">
        <x:f t="shared" si="28"/>
        <x:v>0</x:v>
      </x:c>
      <x:c r="AE70" s="291">
        <x:f>'Reversion Pagos R4'!D374</x:f>
        <x:v>0</x:v>
      </x:c>
      <x:c r="AF70" s="322">
        <x:f t="shared" si="30"/>
        <x:v>0</x:v>
      </x:c>
      <x:c r="AG70" s="326">
        <x:f t="shared" si="31"/>
        <x:v>0</x:v>
      </x:c>
      <x:c r="AH70" s="1" t="b">
        <x:f t="shared" si="29"/>
        <x:v>1</x:v>
      </x:c>
      <x:c r="AI70" s="306"/>
    </x:row>
    <x:row r="71" spans="1:35" s="305" customFormat="1" ht="12.9" thickBot="1" x14ac:dyDescent="0.35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si="33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1" t="b">
        <x:f t="shared" si="29"/>
        <x:v>1</x:v>
      </x:c>
      <x:c r="AI71" s="306"/>
    </x:row>
    <x:row r="72" spans="1:35" ht="12" thickBot="1" x14ac:dyDescent="0.3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" thickBot="1" x14ac:dyDescent="0.3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F73" s="1" t="s">
        <x:v>1</x:v>
      </x:c>
      <x:c r="AI73" s="4"/>
    </x:row>
    <x:row r="74" spans="1:35" ht="12" thickBot="1" x14ac:dyDescent="0.3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3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3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35">
      <x:c r="Q77" s="4"/>
      <x:c r="AI77" s="4"/>
    </x:row>
    <x:row r="78" spans="1:35" x14ac:dyDescent="0.3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4.15" x14ac:dyDescent="0.3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2026101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2026101</x:v>
      </x:c>
      <x:c r="AE79" s="84"/>
      <x:c r="AF79" s="48"/>
      <x:c r="AG79" s="2"/>
      <x:c r="AI79" s="4"/>
    </x:row>
    <x:row r="80" spans="1:35" ht="15.45" x14ac:dyDescent="0.4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4.15" x14ac:dyDescent="0.3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45" x14ac:dyDescent="0.4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" thickBot="1" x14ac:dyDescent="0.3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3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x14ac:dyDescent="0.3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v>0</x:v>
      </x:c>
      <x:c r="AA85" s="310">
        <x:v>0</x:v>
      </x:c>
      <x:c r="AB85" s="310">
        <x:v>0</x:v>
      </x:c>
      <x:c r="AC85" s="311">
        <x:v>0</x:v>
      </x:c>
      <x:c r="AD85" s="310">
        <x:v>0</x:v>
      </x:c>
      <x:c r="AE85" s="310">
        <x:v>0</x:v>
      </x:c>
      <x:c r="AF85" s="313">
        <x:f>SUM(U85:AD85)</x:f>
        <x:v>0</x:v>
      </x:c>
      <x:c r="AG85" s="311">
        <x:f>AF85-O85</x:f>
        <x:v>0</x:v>
      </x:c>
      <x:c r="AH85" s="1" t="b">
        <x:f>INT(AG85)=0</x:f>
        <x:v>1</x:v>
      </x:c>
      <x:c r="AI85" s="306"/>
    </x:row>
    <x:row r="86" spans="1:35" s="305" customFormat="1" x14ac:dyDescent="0.3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88">
        <x:v>0</x:v>
      </x:c>
      <x:c r="K86" s="295">
        <x:f t="shared" ref="K86:K89" si="34">D86-E86-F86-G86-H86-I86-J86</x:f>
        <x:v>0</x:v>
      </x:c>
      <x:c r="L86" s="294">
        <x:v>0</x:v>
      </x:c>
      <x:c r="M86" s="295">
        <x:f>K86-L86</x:f>
        <x:v>0</x:v>
      </x:c>
      <x:c r="N86" s="294">
        <x:v>0</x:v>
      </x:c>
      <x:c r="O86" s="295">
        <x:f t="shared" ref="O86:O89" si="35">M86+N86</x:f>
        <x:v>0</x:v>
      </x:c>
      <x:c r="Q86" s="306"/>
      <x:c r="S86" s="314">
        <x:v>2</x:v>
      </x:c>
      <x:c r="T86" s="315" t="s">
        <x:v>11</x:v>
      </x:c>
      <x:c r="U86" s="316">
        <x:v>0</x:v>
      </x:c>
      <x:c r="V86" s="317">
        <x:v>0</x:v>
      </x:c>
      <x:c r="W86" s="317">
        <x:v>0</x:v>
      </x:c>
      <x:c r="X86" s="317">
        <x:v>0</x:v>
      </x:c>
      <x:c r="Y86" s="318">
        <x:v>0</x:v>
      </x:c>
      <x:c r="Z86" s="319">
        <x:v>0</x:v>
      </x:c>
      <x:c r="AA86" s="319">
        <x:v>0</x:v>
      </x:c>
      <x:c r="AB86" s="319">
        <x:v>0</x:v>
      </x:c>
      <x:c r="AC86" s="320">
        <x:v>0</x:v>
      </x:c>
      <x:c r="AD86" s="319">
        <x:v>0</x:v>
      </x:c>
      <x:c r="AE86" s="319">
        <x:v>0</x:v>
      </x:c>
      <x:c r="AF86" s="322">
        <x:f>SUM(U86:AD86)</x:f>
        <x:v>0</x:v>
      </x:c>
      <x:c r="AG86" s="323">
        <x:f>AF86-O86</x:f>
        <x:v>0</x:v>
      </x:c>
      <x:c r="AH86" s="1" t="b">
        <x:f t="shared" ref="AH86:AH90" si="36">INT(AG86)=0</x:f>
        <x:v>1</x:v>
      </x:c>
      <x:c r="AI86" s="306"/>
    </x:row>
    <x:row r="87" spans="1:35" s="305" customFormat="1" x14ac:dyDescent="0.3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4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5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v>0</x:v>
      </x:c>
      <x:c r="AA87" s="319">
        <x:v>0</x:v>
      </x:c>
      <x:c r="AB87" s="319">
        <x:v>0</x:v>
      </x:c>
      <x:c r="AC87" s="320">
        <x:v>0</x:v>
      </x:c>
      <x:c r="AD87" s="319">
        <x:v>0</x:v>
      </x:c>
      <x:c r="AE87" s="319">
        <x:v>0</x:v>
      </x:c>
      <x:c r="AF87" s="322">
        <x:f t="shared" ref="AF87:AF89" si="37">SUM(U87:AD87)</x:f>
        <x:v>0</x:v>
      </x:c>
      <x:c r="AG87" s="323">
        <x:f>AF87-O87</x:f>
        <x:v>0</x:v>
      </x:c>
      <x:c r="AH87" s="1" t="b">
        <x:f t="shared" si="36"/>
        <x:v>1</x:v>
      </x:c>
      <x:c r="AI87" s="306"/>
    </x:row>
    <x:row r="88" spans="1:35" s="305" customFormat="1" x14ac:dyDescent="0.3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88">
        <x:v>0</x:v>
      </x:c>
      <x:c r="K88" s="295">
        <x:f t="shared" si="34"/>
        <x:v>0</x:v>
      </x:c>
      <x:c r="L88" s="294">
        <x:v>0</x:v>
      </x:c>
      <x:c r="M88" s="295">
        <x:f>K88-L88</x:f>
        <x:v>0</x:v>
      </x:c>
      <x:c r="N88" s="294">
        <x:v>0</x:v>
      </x:c>
      <x:c r="O88" s="295">
        <x:f t="shared" si="35"/>
        <x:v>0</x:v>
      </x:c>
      <x:c r="Q88" s="306"/>
      <x:c r="S88" s="314">
        <x:v>4</x:v>
      </x:c>
      <x:c r="T88" s="315" t="s">
        <x:v>13</x:v>
      </x:c>
      <x:c r="U88" s="316">
        <x:v>0</x:v>
      </x:c>
      <x:c r="V88" s="317">
        <x:v>0</x:v>
      </x:c>
      <x:c r="W88" s="317">
        <x:v>0</x:v>
      </x:c>
      <x:c r="X88" s="317">
        <x:v>0</x:v>
      </x:c>
      <x:c r="Y88" s="318">
        <x:v>0</x:v>
      </x:c>
      <x:c r="Z88" s="319">
        <x:v>0</x:v>
      </x:c>
      <x:c r="AA88" s="319">
        <x:v>0</x:v>
      </x:c>
      <x:c r="AB88" s="319">
        <x:v>0</x:v>
      </x:c>
      <x:c r="AC88" s="320">
        <x:v>0</x:v>
      </x:c>
      <x:c r="AD88" s="319">
        <x:v>0</x:v>
      </x:c>
      <x:c r="AE88" s="319">
        <x:v>0</x:v>
      </x:c>
      <x:c r="AF88" s="322">
        <x:f t="shared" si="37"/>
        <x:v>0</x:v>
      </x:c>
      <x:c r="AG88" s="323">
        <x:f>AF88-O88</x:f>
        <x:v>0</x:v>
      </x:c>
      <x:c r="AH88" s="1" t="b">
        <x:f t="shared" si="36"/>
        <x:v>1</x:v>
      </x:c>
      <x:c r="AI88" s="306"/>
    </x:row>
    <x:row r="89" spans="1:35" s="305" customFormat="1" ht="12" thickBot="1" x14ac:dyDescent="0.35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4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5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v>0</x:v>
      </x:c>
      <x:c r="AA89" s="319">
        <x:v>0</x:v>
      </x:c>
      <x:c r="AB89" s="319">
        <x:v>0</x:v>
      </x:c>
      <x:c r="AC89" s="320">
        <x:v>0</x:v>
      </x:c>
      <x:c r="AD89" s="319">
        <x:v>0</x:v>
      </x:c>
      <x:c r="AE89" s="319">
        <x:v>0</x:v>
      </x:c>
      <x:c r="AF89" s="322">
        <x:f t="shared" si="37"/>
        <x:v>0</x:v>
      </x:c>
      <x:c r="AG89" s="326">
        <x:f>AF89-O89</x:f>
        <x:v>0</x:v>
      </x:c>
      <x:c r="AH89" s="1" t="b">
        <x:f t="shared" si="36"/>
        <x:v>1</x:v>
      </x:c>
      <x:c r="AI89" s="306"/>
    </x:row>
    <x:row r="90" spans="1:35" s="305" customFormat="1" ht="12.9" thickBot="1" x14ac:dyDescent="0.35">
      <x:c r="B90" s="327"/>
      <x:c r="C90" s="328" t="s">
        <x:v>2</x:v>
      </x:c>
      <x:c r="D90" s="290">
        <x:f t="shared" ref="D90:O90" si="38">SUM(D85:D89)</x:f>
        <x:v>0</x:v>
      </x:c>
      <x:c r="E90" s="290">
        <x:f t="shared" si="38"/>
        <x:v>0</x:v>
      </x:c>
      <x:c r="F90" s="290">
        <x:f t="shared" si="38"/>
        <x:v>0</x:v>
      </x:c>
      <x:c r="G90" s="290">
        <x:f t="shared" si="38"/>
        <x:v>0</x:v>
      </x:c>
      <x:c r="H90" s="290">
        <x:f t="shared" si="38"/>
        <x:v>0</x:v>
      </x:c>
      <x:c r="I90" s="290">
        <x:f t="shared" si="38"/>
        <x:v>0</x:v>
      </x:c>
      <x:c r="J90" s="290">
        <x:f t="shared" si="38"/>
        <x:v>0</x:v>
      </x:c>
      <x:c r="K90" s="300">
        <x:f t="shared" si="38"/>
        <x:v>0</x:v>
      </x:c>
      <x:c r="L90" s="301">
        <x:f t="shared" si="38"/>
        <x:v>0</x:v>
      </x:c>
      <x:c r="M90" s="302">
        <x:f t="shared" si="38"/>
        <x:v>0</x:v>
      </x:c>
      <x:c r="N90" s="301">
        <x:f t="shared" si="38"/>
        <x:v>0</x:v>
      </x:c>
      <x:c r="O90" s="302">
        <x:f t="shared" si="38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39">SUM(V85:V89)</x:f>
        <x:v>0</x:v>
      </x:c>
      <x:c r="W90" s="330">
        <x:f t="shared" si="39"/>
        <x:v>0</x:v>
      </x:c>
      <x:c r="X90" s="330">
        <x:f t="shared" si="39"/>
        <x:v>0</x:v>
      </x:c>
      <x:c r="Y90" s="330">
        <x:f t="shared" si="39"/>
        <x:v>0</x:v>
      </x:c>
      <x:c r="Z90" s="290">
        <x:f t="shared" si="39"/>
        <x:v>0</x:v>
      </x:c>
      <x:c r="AA90" s="290">
        <x:f t="shared" si="39"/>
        <x:v>0</x:v>
      </x:c>
      <x:c r="AB90" s="290">
        <x:f t="shared" si="39"/>
        <x:v>0</x:v>
      </x:c>
      <x:c r="AC90" s="290">
        <x:f t="shared" si="39"/>
        <x:v>0</x:v>
      </x:c>
      <x:c r="AD90" s="290">
        <x:f t="shared" si="39"/>
        <x:v>0</x:v>
      </x:c>
      <x:c r="AE90" s="290">
        <x:f t="shared" si="39"/>
        <x:v>0</x:v>
      </x:c>
      <x:c r="AF90" s="331">
        <x:f t="shared" si="39"/>
        <x:v>0</x:v>
      </x:c>
      <x:c r="AG90" s="332">
        <x:f t="shared" si="39"/>
        <x:v>0</x:v>
      </x:c>
      <x:c r="AH90" s="1" t="b">
        <x:f t="shared" si="36"/>
        <x:v>1</x:v>
      </x:c>
      <x:c r="AI90" s="306"/>
    </x:row>
    <x:row r="91" spans="1:35" ht="12" thickBot="1" x14ac:dyDescent="0.3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" thickBot="1" x14ac:dyDescent="0.3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" thickBot="1" x14ac:dyDescent="0.3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3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3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35">
      <x:c r="Q96" s="4"/>
      <x:c r="AI96" s="4"/>
    </x:row>
    <x:row r="97" spans="2:36" x14ac:dyDescent="0.3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4.15" x14ac:dyDescent="0.3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2026101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2026101</x:v>
      </x:c>
      <x:c r="AE98" s="84"/>
      <x:c r="AF98" s="48"/>
      <x:c r="AG98" s="2"/>
      <x:c r="AI98" s="4"/>
    </x:row>
    <x:row r="99" spans="2:36" ht="15.45" x14ac:dyDescent="0.4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4.15" x14ac:dyDescent="0.3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45" x14ac:dyDescent="0.4">
      <x:c r="B101" s="8"/>
      <x:c r="C101" s="598" t="s">
        <x:v>17</x:v>
      </x:c>
      <x:c r="D101" s="9">
        <x:f>D6</x:f>
        <x:v>46297</x:v>
      </x:c>
      <x:c r="F101" s="58" t="s">
        <x:v>219</x:v>
      </x:c>
      <x:c r="G101" s="58"/>
      <x:c r="H101" s="59"/>
      <x:c r="I101" s="60"/>
      <x:c r="J101" s="59"/>
      <x:c r="K101" s="60"/>
      <x:c r="L101" s="469"/>
      <x:c r="O101" s="10"/>
      <x:c r="P101" s="2"/>
      <x:c r="Q101" s="4"/>
      <x:c r="S101" s="8"/>
      <x:c r="T101" s="41" t="s">
        <x:v>1</x:v>
      </x:c>
      <x:c r="U101" s="58" t="s">
        <x:v>218</x:v>
      </x:c>
      <x:c r="V101" s="59"/>
      <x:c r="W101" s="60"/>
      <x:c r="X101" s="59"/>
      <x:c r="Y101" s="2"/>
      <x:c r="AF101" s="48"/>
      <x:c r="AG101" s="2"/>
      <x:c r="AI101" s="4"/>
    </x:row>
    <x:row r="102" spans="2:36" ht="18.45" thickBot="1" x14ac:dyDescent="0.6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3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3">
      <x:c r="B104" s="303">
        <x:v>1</x:v>
      </x:c>
      <x:c r="C104" s="304" t="s">
        <x:v>10</x:v>
      </x:c>
      <x:c r="D104" s="291">
        <x:f t="shared" ref="D104:J108" si="40">D9+D28+D47+D66+D85</x:f>
        <x:v>0</x:v>
      </x:c>
      <x:c r="E104" s="292">
        <x:f t="shared" si="40"/>
        <x:v>0</x:v>
      </x:c>
      <x:c r="F104" s="292">
        <x:f t="shared" si="40"/>
        <x:v>0</x:v>
      </x:c>
      <x:c r="G104" s="292">
        <x:f t="shared" si="40"/>
        <x:v>0</x:v>
      </x:c>
      <x:c r="H104" s="292">
        <x:f t="shared" si="40"/>
        <x:v>0</x:v>
      </x:c>
      <x:c r="I104" s="292">
        <x:f t="shared" si="40"/>
        <x:v>0</x:v>
      </x:c>
      <x:c r="J104" s="288">
        <x:f t="shared" si="40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B108" si="41">U9+U28+U47+U66+U85</x:f>
        <x:v>0</x:v>
      </x:c>
      <x:c r="V104" s="308">
        <x:f t="shared" si="41"/>
        <x:v>0</x:v>
      </x:c>
      <x:c r="W104" s="308">
        <x:f t="shared" si="41"/>
        <x:v>0</x:v>
      </x:c>
      <x:c r="X104" s="308">
        <x:f t="shared" si="41"/>
        <x:v>0</x:v>
      </x:c>
      <x:c r="Y104" s="309">
        <x:f t="shared" si="41"/>
        <x:v>0</x:v>
      </x:c>
      <x:c r="Z104" s="310">
        <x:f t="shared" si="41"/>
        <x:v>0</x:v>
      </x:c>
      <x:c r="AA104" s="311">
        <x:f t="shared" si="41"/>
        <x:v>0</x:v>
      </x:c>
      <x:c r="AB104" s="294">
        <x:f t="shared" si="41"/>
        <x:v>0</x:v>
      </x:c>
      <x:c r="AC104" s="312">
        <x:f t="shared" ref="AC104" si="42"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x14ac:dyDescent="0.3">
      <x:c r="B105" s="314">
        <x:v>2</x:v>
      </x:c>
      <x:c r="C105" s="315" t="s">
        <x:v>11</x:v>
      </x:c>
      <x:c r="D105" s="291">
        <x:f t="shared" si="40"/>
        <x:v>0</x:v>
      </x:c>
      <x:c r="E105" s="292">
        <x:f t="shared" si="40"/>
        <x:v>0</x:v>
      </x:c>
      <x:c r="F105" s="292">
        <x:f t="shared" si="40"/>
        <x:v>0</x:v>
      </x:c>
      <x:c r="G105" s="292">
        <x:f t="shared" si="40"/>
        <x:v>0</x:v>
      </x:c>
      <x:c r="H105" s="292">
        <x:f t="shared" si="40"/>
        <x:v>0</x:v>
      </x:c>
      <x:c r="I105" s="292">
        <x:f t="shared" si="40"/>
        <x:v>0</x:v>
      </x:c>
      <x:c r="J105" s="288">
        <x:f t="shared" si="40"/>
        <x:v>0</x:v>
      </x:c>
      <x:c r="K105" s="295">
        <x:f t="shared" ref="K105:K108" si="43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4">M105+N105</x:f>
        <x:v>0</x:v>
      </x:c>
      <x:c r="Q105" s="306"/>
      <x:c r="S105" s="314">
        <x:v>2</x:v>
      </x:c>
      <x:c r="T105" s="315" t="s">
        <x:v>11</x:v>
      </x:c>
      <x:c r="U105" s="316">
        <x:f t="shared" si="41"/>
        <x:v>0</x:v>
      </x:c>
      <x:c r="V105" s="317">
        <x:f t="shared" si="41"/>
        <x:v>0</x:v>
      </x:c>
      <x:c r="W105" s="317">
        <x:f t="shared" si="41"/>
        <x:v>0</x:v>
      </x:c>
      <x:c r="X105" s="317">
        <x:f t="shared" si="41"/>
        <x:v>0</x:v>
      </x:c>
      <x:c r="Y105" s="318">
        <x:f t="shared" si="41"/>
        <x:v>0</x:v>
      </x:c>
      <x:c r="Z105" s="319">
        <x:f t="shared" si="41"/>
        <x:v>0</x:v>
      </x:c>
      <x:c r="AA105" s="320">
        <x:f t="shared" si="41"/>
        <x:v>0</x:v>
      </x:c>
      <x:c r="AB105" s="294">
        <x:f t="shared" si="41"/>
        <x:v>0</x:v>
      </x:c>
      <x:c r="AC105" s="321">
        <x:f t="shared" ref="AC105" si="45">AC10+AC29+AC48+AC67+AC86</x:f>
        <x:v>0</x:v>
      </x:c>
      <x:c r="AD105" s="291">
        <x:f t="shared" ref="AD105:AD107" si="46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ref="AH105:AH109" si="47">INT(AG105)=0</x:f>
        <x:v>1</x:v>
      </x:c>
      <x:c r="AI105" s="306"/>
    </x:row>
    <x:row r="106" spans="2:36" s="305" customFormat="1" x14ac:dyDescent="0.3">
      <x:c r="B106" s="314">
        <x:v>3</x:v>
      </x:c>
      <x:c r="C106" s="315" t="s">
        <x:v>12</x:v>
      </x:c>
      <x:c r="D106" s="291">
        <x:f t="shared" si="40"/>
        <x:v>0</x:v>
      </x:c>
      <x:c r="E106" s="292">
        <x:f t="shared" si="40"/>
        <x:v>0</x:v>
      </x:c>
      <x:c r="F106" s="292">
        <x:f t="shared" si="40"/>
        <x:v>0</x:v>
      </x:c>
      <x:c r="G106" s="292">
        <x:f t="shared" si="40"/>
        <x:v>0</x:v>
      </x:c>
      <x:c r="H106" s="292">
        <x:f t="shared" si="40"/>
        <x:v>0</x:v>
      </x:c>
      <x:c r="I106" s="292">
        <x:f t="shared" si="40"/>
        <x:v>0</x:v>
      </x:c>
      <x:c r="J106" s="288">
        <x:f t="shared" si="40"/>
        <x:v>0</x:v>
      </x:c>
      <x:c r="K106" s="295">
        <x:f t="shared" si="43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4"/>
        <x:v>0</x:v>
      </x:c>
      <x:c r="Q106" s="306"/>
      <x:c r="S106" s="314">
        <x:v>3</x:v>
      </x:c>
      <x:c r="T106" s="315" t="s">
        <x:v>12</x:v>
      </x:c>
      <x:c r="U106" s="316">
        <x:f t="shared" si="41"/>
        <x:v>0</x:v>
      </x:c>
      <x:c r="V106" s="317">
        <x:f t="shared" si="41"/>
        <x:v>0</x:v>
      </x:c>
      <x:c r="W106" s="317">
        <x:f t="shared" si="41"/>
        <x:v>0</x:v>
      </x:c>
      <x:c r="X106" s="317">
        <x:f t="shared" si="41"/>
        <x:v>0</x:v>
      </x:c>
      <x:c r="Y106" s="318">
        <x:f t="shared" si="41"/>
        <x:v>0</x:v>
      </x:c>
      <x:c r="Z106" s="319">
        <x:f t="shared" si="41"/>
        <x:v>0</x:v>
      </x:c>
      <x:c r="AA106" s="320">
        <x:f t="shared" si="41"/>
        <x:v>0</x:v>
      </x:c>
      <x:c r="AB106" s="294">
        <x:f t="shared" si="41"/>
        <x:v>0</x:v>
      </x:c>
      <x:c r="AC106" s="321">
        <x:f t="shared" ref="AC106" si="48">AC11+AC30+AC49+AC68+AC87</x:f>
        <x:v>0</x:v>
      </x:c>
      <x:c r="AD106" s="291">
        <x:f t="shared" si="46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7"/>
        <x:v>1</x:v>
      </x:c>
      <x:c r="AI106" s="306"/>
    </x:row>
    <x:row r="107" spans="2:36" s="305" customFormat="1" x14ac:dyDescent="0.3">
      <x:c r="B107" s="314">
        <x:v>4</x:v>
      </x:c>
      <x:c r="C107" s="315" t="s">
        <x:v>13</x:v>
      </x:c>
      <x:c r="D107" s="291">
        <x:f t="shared" si="40"/>
        <x:v>0</x:v>
      </x:c>
      <x:c r="E107" s="292">
        <x:f t="shared" si="40"/>
        <x:v>0</x:v>
      </x:c>
      <x:c r="F107" s="292">
        <x:f t="shared" si="40"/>
        <x:v>0</x:v>
      </x:c>
      <x:c r="G107" s="292">
        <x:f t="shared" si="40"/>
        <x:v>0</x:v>
      </x:c>
      <x:c r="H107" s="292">
        <x:f t="shared" si="40"/>
        <x:v>0</x:v>
      </x:c>
      <x:c r="I107" s="292">
        <x:f t="shared" si="40"/>
        <x:v>0</x:v>
      </x:c>
      <x:c r="J107" s="288">
        <x:f t="shared" si="40"/>
        <x:v>0</x:v>
      </x:c>
      <x:c r="K107" s="295">
        <x:f t="shared" si="43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4"/>
        <x:v>0</x:v>
      </x:c>
      <x:c r="Q107" s="306"/>
      <x:c r="S107" s="314">
        <x:v>4</x:v>
      </x:c>
      <x:c r="T107" s="315" t="s">
        <x:v>13</x:v>
      </x:c>
      <x:c r="U107" s="316">
        <x:f t="shared" si="41"/>
        <x:v>0</x:v>
      </x:c>
      <x:c r="V107" s="317">
        <x:f t="shared" si="41"/>
        <x:v>0</x:v>
      </x:c>
      <x:c r="W107" s="317">
        <x:f t="shared" si="41"/>
        <x:v>0</x:v>
      </x:c>
      <x:c r="X107" s="317">
        <x:f t="shared" si="41"/>
        <x:v>0</x:v>
      </x:c>
      <x:c r="Y107" s="318">
        <x:f t="shared" si="41"/>
        <x:v>0</x:v>
      </x:c>
      <x:c r="Z107" s="319">
        <x:f t="shared" si="41"/>
        <x:v>0</x:v>
      </x:c>
      <x:c r="AA107" s="320">
        <x:f t="shared" si="41"/>
        <x:v>0</x:v>
      </x:c>
      <x:c r="AB107" s="294">
        <x:f t="shared" si="41"/>
        <x:v>0</x:v>
      </x:c>
      <x:c r="AC107" s="321">
        <x:f t="shared" ref="AC107" si="49">AC12+AC31+AC50+AC69+AC88</x:f>
        <x:v>0</x:v>
      </x:c>
      <x:c r="AD107" s="291">
        <x:f t="shared" si="46"/>
        <x:v>0</x:v>
      </x:c>
      <x:c r="AE107" s="291">
        <x:f>AE12+AE31+AE50+AE69+AE88</x:f>
        <x:v>0</x:v>
      </x:c>
      <x:c r="AF107" s="322">
        <x:f>SUM(U107:AD107)</x:f>
        <x:v>0</x:v>
      </x:c>
      <x:c r="AG107" s="323">
        <x:f>AF107-O107</x:f>
        <x:v>0</x:v>
      </x:c>
      <x:c r="AH107" s="1" t="b">
        <x:f t="shared" si="47"/>
        <x:v>1</x:v>
      </x:c>
      <x:c r="AI107" s="306"/>
    </x:row>
    <x:row r="108" spans="2:36" s="305" customFormat="1" ht="12" thickBot="1" x14ac:dyDescent="0.3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0"/>
        <x:v>0</x:v>
      </x:c>
      <x:c r="F108" s="297">
        <x:f t="shared" si="40"/>
        <x:v>0</x:v>
      </x:c>
      <x:c r="G108" s="297">
        <x:f t="shared" si="40"/>
        <x:v>0</x:v>
      </x:c>
      <x:c r="H108" s="297">
        <x:f t="shared" si="40"/>
        <x:v>0</x:v>
      </x:c>
      <x:c r="I108" s="297">
        <x:f t="shared" si="40"/>
        <x:v>0</x:v>
      </x:c>
      <x:c r="J108" s="289">
        <x:f t="shared" si="40"/>
        <x:v>0</x:v>
      </x:c>
      <x:c r="K108" s="295">
        <x:f t="shared" si="43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4"/>
        <x:v>0</x:v>
      </x:c>
      <x:c r="Q108" s="306"/>
      <x:c r="S108" s="324">
        <x:v>5</x:v>
      </x:c>
      <x:c r="T108" s="325" t="s">
        <x:v>14</x:v>
      </x:c>
      <x:c r="U108" s="296">
        <x:f t="shared" si="41"/>
        <x:v>0</x:v>
      </x:c>
      <x:c r="V108" s="297">
        <x:f t="shared" si="41"/>
        <x:v>0</x:v>
      </x:c>
      <x:c r="W108" s="297">
        <x:f t="shared" si="41"/>
        <x:v>0</x:v>
      </x:c>
      <x:c r="X108" s="297">
        <x:f t="shared" si="41"/>
        <x:v>0</x:v>
      </x:c>
      <x:c r="Y108" s="289">
        <x:f t="shared" si="41"/>
        <x:v>0</x:v>
      </x:c>
      <x:c r="Z108" s="319">
        <x:f t="shared" si="41"/>
        <x:v>0</x:v>
      </x:c>
      <x:c r="AA108" s="320">
        <x:f t="shared" si="41"/>
        <x:v>0</x:v>
      </x:c>
      <x:c r="AB108" s="294">
        <x:f t="shared" si="41"/>
        <x:v>0</x:v>
      </x:c>
      <x:c r="AC108" s="321">
        <x:f t="shared" ref="AC108" si="50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7"/>
        <x:v>1</x:v>
      </x:c>
      <x:c r="AI108" s="306"/>
    </x:row>
    <x:row r="109" spans="2:36" s="305" customFormat="1" ht="12.9" thickBot="1" x14ac:dyDescent="0.35">
      <x:c r="B109" s="327"/>
      <x:c r="C109" s="328" t="s">
        <x:v>2</x:v>
      </x:c>
      <x:c r="D109" s="290">
        <x:f>SUM(D104:D108)</x:f>
        <x:v>0</x:v>
      </x:c>
      <x:c r="E109" s="290">
        <x:f t="shared" ref="E109:O109" si="51">SUM(E104:E108)</x:f>
        <x:v>0</x:v>
      </x:c>
      <x:c r="F109" s="290">
        <x:f t="shared" si="51"/>
        <x:v>0</x:v>
      </x:c>
      <x:c r="G109" s="290">
        <x:f t="shared" si="51"/>
        <x:v>0</x:v>
      </x:c>
      <x:c r="H109" s="290">
        <x:f t="shared" si="51"/>
        <x:v>0</x:v>
      </x:c>
      <x:c r="I109" s="290">
        <x:f t="shared" si="51"/>
        <x:v>0</x:v>
      </x:c>
      <x:c r="J109" s="290">
        <x:f t="shared" si="51"/>
        <x:v>0</x:v>
      </x:c>
      <x:c r="K109" s="300">
        <x:f t="shared" si="51"/>
        <x:v>0</x:v>
      </x:c>
      <x:c r="L109" s="301">
        <x:f t="shared" si="51"/>
        <x:v>0</x:v>
      </x:c>
      <x:c r="M109" s="302">
        <x:f t="shared" si="51"/>
        <x:v>0</x:v>
      </x:c>
      <x:c r="N109" s="301">
        <x:f>SUM(N104:N108)</x:f>
        <x:v>0</x:v>
      </x:c>
      <x:c r="O109" s="302">
        <x:f t="shared" si="51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2">SUM(V104:V108)</x:f>
        <x:v>0</x:v>
      </x:c>
      <x:c r="W109" s="330">
        <x:f t="shared" si="52"/>
        <x:v>0</x:v>
      </x:c>
      <x:c r="X109" s="330">
        <x:f t="shared" si="52"/>
        <x:v>0</x:v>
      </x:c>
      <x:c r="Y109" s="330">
        <x:f t="shared" si="52"/>
        <x:v>0</x:v>
      </x:c>
      <x:c r="Z109" s="290">
        <x:f t="shared" si="52"/>
        <x:v>0</x:v>
      </x:c>
      <x:c r="AA109" s="290">
        <x:f t="shared" si="52"/>
        <x:v>0</x:v>
      </x:c>
      <x:c r="AB109" s="470">
        <x:f t="shared" si="52"/>
        <x:v>0</x:v>
      </x:c>
      <x:c r="AC109" s="290">
        <x:f t="shared" ref="AC109" si="53">SUM(AC104:AC108)</x:f>
        <x:v>0</x:v>
      </x:c>
      <x:c r="AD109" s="290">
        <x:f t="shared" si="52"/>
        <x:v>0</x:v>
      </x:c>
      <x:c r="AE109" s="290">
        <x:f>SUM(AE104:AE108)</x:f>
        <x:v>0</x:v>
      </x:c>
      <x:c r="AF109" s="331">
        <x:f t="shared" si="52"/>
        <x:v>0</x:v>
      </x:c>
      <x:c r="AG109" s="332">
        <x:f>SUM(AG104:AG108)</x:f>
        <x:v>0</x:v>
      </x:c>
      <x:c r="AH109" s="1" t="b">
        <x:f t="shared" si="47"/>
        <x:v>1</x:v>
      </x:c>
      <x:c r="AI109" s="306"/>
    </x:row>
    <x:row r="110" spans="2:36" ht="12" thickBot="1" x14ac:dyDescent="0.3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" thickBot="1" x14ac:dyDescent="0.3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" thickBot="1" x14ac:dyDescent="0.3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x14ac:dyDescent="0.3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3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35">
      <x:c r="Q115" s="4"/>
    </x:row>
    <x:row r="116" spans="1:35" x14ac:dyDescent="0.3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4.15" x14ac:dyDescent="0.3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2026101</x:v>
      </x:c>
      <x:c r="O117" s="10"/>
      <x:c r="P117" s="2"/>
      <x:c r="Q117" s="4"/>
    </x:row>
    <x:row r="118" spans="1:35" ht="15.45" x14ac:dyDescent="0.4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3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3">
      <x:c r="B120" s="8"/>
      <x:c r="I120" s="2"/>
      <x:c r="J120" s="2"/>
      <x:c r="O120" s="10"/>
      <x:c r="P120" s="2"/>
      <x:c r="Q120" s="4"/>
    </x:row>
    <x:row r="121" spans="1:35" ht="15.45" x14ac:dyDescent="0.4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3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" thickBot="1" x14ac:dyDescent="0.3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6.75" thickBot="1" x14ac:dyDescent="0.3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x14ac:dyDescent="0.3">
      <x:c r="B125" s="334">
        <x:v>1</x:v>
      </x:c>
      <x:c r="C125" s="335" t="s">
        <x:v>10</x:v>
      </x:c>
      <x:c r="D125" s="308">
        <x:f>'ANTICIPOS USUARIOS'!O3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USUARIOS'!O12</x:f>
        <x:v>0</x:v>
      </x:c>
      <x:c r="L125" s="309">
        <x:f>-'ANTICIPOS USUARIOS'!O21</x:f>
        <x:v>0</x:v>
      </x:c>
      <x:c r="O125" s="337"/>
      <x:c r="Q125" s="306"/>
    </x:row>
    <x:row r="126" spans="1:35" s="305" customFormat="1" x14ac:dyDescent="0.3">
      <x:c r="B126" s="314">
        <x:v>2</x:v>
      </x:c>
      <x:c r="C126" s="338" t="s">
        <x:v>11</x:v>
      </x:c>
      <x:c r="D126" s="292">
        <x:f>'ANTICIPOS USUARIOS'!O4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4">D67+N67</x:f>
        <x:v>0</x:v>
      </x:c>
      <x:c r="K126" s="288">
        <x:f>'ANTICIPOS USUARIOS'!O13</x:f>
        <x:v>0</x:v>
      </x:c>
      <x:c r="L126" s="288">
        <x:f>-'ANTICIPOS USUARIOS'!O22</x:f>
        <x:v>0</x:v>
      </x:c>
      <x:c r="O126" s="337"/>
      <x:c r="Q126" s="306"/>
    </x:row>
    <x:row r="127" spans="1:35" s="305" customFormat="1" x14ac:dyDescent="0.3">
      <x:c r="B127" s="314">
        <x:v>3</x:v>
      </x:c>
      <x:c r="C127" s="338" t="s">
        <x:v>12</x:v>
      </x:c>
      <x:c r="D127" s="292">
        <x:f>'ANTICIPOS USUARIOS'!O5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4"/>
        <x:v>0</x:v>
      </x:c>
      <x:c r="K127" s="288">
        <x:f>'ANTICIPOS USUARIOS'!O14</x:f>
        <x:v>0</x:v>
      </x:c>
      <x:c r="L127" s="288">
        <x:f>-'ANTICIPOS USUARIOS'!O23</x:f>
        <x:v>0</x:v>
      </x:c>
      <x:c r="O127" s="337"/>
      <x:c r="Q127" s="306"/>
    </x:row>
    <x:row r="128" spans="1:35" s="305" customFormat="1" x14ac:dyDescent="0.3">
      <x:c r="B128" s="314">
        <x:v>4</x:v>
      </x:c>
      <x:c r="C128" s="338" t="s">
        <x:v>13</x:v>
      </x:c>
      <x:c r="D128" s="292">
        <x:f>'ANTICIPOS USUARIOS'!O6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4"/>
        <x:v>0</x:v>
      </x:c>
      <x:c r="K128" s="288">
        <x:f>'ANTICIPOS USUARIOS'!O15</x:f>
        <x:v>0</x:v>
      </x:c>
      <x:c r="L128" s="288">
        <x:f>-'ANTICIPOS USUARIOS'!O24</x:f>
        <x:v>0</x:v>
      </x:c>
      <x:c r="O128" s="337"/>
      <x:c r="Q128" s="306"/>
    </x:row>
    <x:row r="129" spans="1:18" s="305" customFormat="1" x14ac:dyDescent="0.3">
      <x:c r="B129" s="341">
        <x:v>5</x:v>
      </x:c>
      <x:c r="C129" s="342" t="s">
        <x:v>14</x:v>
      </x:c>
      <x:c r="D129" s="292">
        <x:f>'ANTICIPOS USUARIOS'!O7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4"/>
        <x:v>0</x:v>
      </x:c>
      <x:c r="K129" s="288">
        <x:f>'ANTICIPOS USUARIOS'!O16</x:f>
        <x:v>0</x:v>
      </x:c>
      <x:c r="L129" s="288">
        <x:f>-'ANTICIPOS USUARIOS'!O25</x:f>
        <x:v>0</x:v>
      </x:c>
      <x:c r="O129" s="337"/>
      <x:c r="Q129" s="306"/>
    </x:row>
    <x:row r="130" spans="1:18" s="305" customFormat="1" ht="12" thickBot="1" x14ac:dyDescent="0.35">
      <x:c r="B130" s="324" t="s">
        <x:v>89</x:v>
      </x:c>
      <x:c r="C130" s="345" t="s">
        <x:v>113</x:v>
      </x:c>
      <x:c r="D130" s="297"/>
      <x:c r="E130" s="289">
        <x:f>'Recaudo Directa Occidente'!F26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</x:row>
    <x:row r="131" spans="1:18" s="305" customFormat="1" ht="12" thickBot="1" x14ac:dyDescent="0.35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55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</x:row>
    <x:row r="132" spans="1:18" x14ac:dyDescent="0.3">
      <x:c r="B132" s="2"/>
      <x:c r="C132" s="2"/>
      <x:c r="D132" s="24"/>
      <x:c r="Q132" s="4"/>
    </x:row>
    <x:row r="133" spans="1:18" x14ac:dyDescent="0.3">
      <x:c r="B133" s="2"/>
      <x:c r="C133" s="2"/>
      <x:c r="D133" s="24"/>
      <x:c r="L133" s="1" t="s">
        <x:v>1</x:v>
      </x:c>
      <x:c r="Q133" s="4"/>
    </x:row>
    <x:row r="134" spans="1:18" ht="12" thickBot="1" x14ac:dyDescent="0.3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3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3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3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3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3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6.75" thickBot="1" x14ac:dyDescent="0.3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3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Directa Occidente'!F21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BANCO'!E75)</x:f>
        <x:v>0</x:v>
      </x:c>
      <x:c r="J142" s="110">
        <x:f t="shared" ref="J142:K146" si="56">G125</x:f>
        <x:v>0</x:v>
      </x:c>
      <x:c r="K142" s="111">
        <x:f t="shared" si="56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3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Directa Occidente'!F22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BANCO'!E76)</x:f>
        <x:v>0</x:v>
      </x:c>
      <x:c r="J143" s="18">
        <x:f t="shared" si="56"/>
        <x:v>0</x:v>
      </x:c>
      <x:c r="K143" s="83">
        <x:f t="shared" si="56"/>
        <x:v>0</x:v>
      </x:c>
      <x:c r="L143" s="525">
        <x:f>D143-E143-F143-G143-J143-H143-I143</x:f>
        <x:v>0</x:v>
      </x:c>
      <x:c r="M143" s="1" t="b">
        <x:f t="shared" ref="M143:M147" si="57">INT(L143)=0</x:f>
        <x:v>1</x:v>
      </x:c>
      <x:c r="O143" s="130"/>
      <x:c r="P143" s="24"/>
      <x:c r="Q143" s="35"/>
      <x:c r="R143" s="24"/>
    </x:row>
    <x:row r="144" spans="1:18" x14ac:dyDescent="0.3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Directa Occidente'!F23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BANCO'!E77)</x:f>
        <x:v>0</x:v>
      </x:c>
      <x:c r="J144" s="18">
        <x:f t="shared" si="56"/>
        <x:v>0</x:v>
      </x:c>
      <x:c r="K144" s="83">
        <x:f t="shared" si="56"/>
        <x:v>0</x:v>
      </x:c>
      <x:c r="L144" s="525">
        <x:f>D144-E144-F144-G144-J144-H144-I144</x:f>
        <x:v>0</x:v>
      </x:c>
      <x:c r="M144" s="1" t="b">
        <x:f t="shared" si="57"/>
        <x:v>1</x:v>
      </x:c>
      <x:c r="O144" s="55"/>
      <x:c r="P144" s="24"/>
      <x:c r="Q144" s="35"/>
      <x:c r="R144" s="24"/>
    </x:row>
    <x:row r="145" spans="1:20" x14ac:dyDescent="0.3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Directa Occidente'!F24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BANCO'!E78)</x:f>
        <x:v>0</x:v>
      </x:c>
      <x:c r="J145" s="18">
        <x:f t="shared" si="56"/>
        <x:v>0</x:v>
      </x:c>
      <x:c r="K145" s="83">
        <x:f t="shared" si="56"/>
        <x:v>0</x:v>
      </x:c>
      <x:c r="L145" s="525">
        <x:f>D145-E145-F145-G145-J145-H145-I145</x:f>
        <x:v>0</x:v>
      </x:c>
      <x:c r="M145" s="1" t="b">
        <x:f t="shared" si="57"/>
        <x:v>1</x:v>
      </x:c>
      <x:c r="O145" s="96"/>
      <x:c r="P145" s="24"/>
      <x:c r="Q145" s="35"/>
      <x:c r="R145" s="24"/>
    </x:row>
    <x:row r="146" spans="1:20" ht="12" thickBot="1" x14ac:dyDescent="0.3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Directa Occidente'!F25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BANCO'!E79)</x:f>
        <x:v>0</x:v>
      </x:c>
      <x:c r="J146" s="134">
        <x:f t="shared" si="56"/>
        <x:v>0</x:v>
      </x:c>
      <x:c r="K146" s="136">
        <x:f t="shared" si="56"/>
        <x:v>0</x:v>
      </x:c>
      <x:c r="L146" s="525">
        <x:f>D146-E146-F146-G146-J146-H146-I146</x:f>
        <x:v>0</x:v>
      </x:c>
      <x:c r="M146" s="1" t="b">
        <x:f t="shared" si="57"/>
        <x:v>1</x:v>
      </x:c>
      <x:c r="O146" s="55"/>
      <x:c r="P146" s="24"/>
      <x:c r="Q146" s="35"/>
      <x:c r="R146" s="24"/>
    </x:row>
    <x:row r="147" spans="1:20" ht="12" thickBot="1" x14ac:dyDescent="0.3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8">SUM(F142:F146)</x:f>
        <x:v>0</x:v>
      </x:c>
      <x:c r="G147" s="47">
        <x:f t="shared" si="58"/>
        <x:v>0</x:v>
      </x:c>
      <x:c r="H147" s="47">
        <x:f t="shared" si="58"/>
        <x:v>0</x:v>
      </x:c>
      <x:c r="I147" s="47">
        <x:f t="shared" si="58"/>
        <x:v>0</x:v>
      </x:c>
      <x:c r="J147" s="47">
        <x:f t="shared" si="58"/>
        <x:v>0</x:v>
      </x:c>
      <x:c r="K147" s="47">
        <x:f t="shared" si="58"/>
        <x:v>0</x:v>
      </x:c>
      <x:c r="L147" s="525">
        <x:f>SUM(L142:L146)</x:f>
        <x:v>0</x:v>
      </x:c>
      <x:c r="M147" s="1" t="b">
        <x:f t="shared" si="57"/>
        <x:v>1</x:v>
      </x:c>
      <x:c r="P147" s="24"/>
      <x:c r="Q147" s="35"/>
      <x:c r="R147" s="24"/>
    </x:row>
    <x:row r="148" spans="1:20" x14ac:dyDescent="0.3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3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3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3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3">
      <x:c r="N152" s="24"/>
      <x:c r="O152" s="24"/>
      <x:c r="Q152" s="24"/>
      <x:c r="T152" s="24"/>
    </x:row>
    <x:row r="153" spans="1:20" x14ac:dyDescent="0.3">
      <x:c r="N153" s="24"/>
      <x:c r="O153" s="24"/>
      <x:c r="Q153" s="24"/>
      <x:c r="T153" s="24"/>
    </x:row>
    <x:row r="154" spans="1:20" x14ac:dyDescent="0.3">
      <x:c r="E154" s="305"/>
      <x:c r="N154" s="24"/>
      <x:c r="O154" s="24"/>
      <x:c r="Q154" s="24"/>
      <x:c r="T154" s="24"/>
    </x:row>
    <x:row r="155" spans="1:20" x14ac:dyDescent="0.3">
      <x:c r="E155" s="305"/>
      <x:c r="N155" s="24"/>
      <x:c r="O155" s="24"/>
      <x:c r="Q155" s="24"/>
      <x:c r="T155" s="24"/>
    </x:row>
    <x:row r="156" spans="1:20" x14ac:dyDescent="0.3">
      <x:c r="E156" s="305"/>
      <x:c r="N156" s="24"/>
      <x:c r="O156" s="24"/>
      <x:c r="Q156" s="24"/>
      <x:c r="T156" s="24"/>
    </x:row>
    <x:row r="157" spans="1:20" x14ac:dyDescent="0.3">
      <x:c r="E157" s="55"/>
      <x:c r="N157" s="24"/>
      <x:c r="O157" s="24"/>
      <x:c r="Q157" s="24"/>
      <x:c r="T157" s="24"/>
    </x:row>
    <x:row r="158" spans="1:20" x14ac:dyDescent="0.3">
      <x:c r="N158" s="24"/>
      <x:c r="O158" s="24"/>
      <x:c r="Q158" s="24"/>
      <x:c r="T158" s="24"/>
    </x:row>
    <x:row r="159" spans="1:20" x14ac:dyDescent="0.3">
      <x:c r="N159" s="24"/>
      <x:c r="O159" s="24"/>
      <x:c r="Q159" s="24"/>
      <x:c r="T159" s="24"/>
    </x:row>
    <x:row r="160" spans="1:20" x14ac:dyDescent="0.3">
      <x:c r="N160" s="24"/>
      <x:c r="O160" s="24"/>
      <x:c r="Q160" s="24"/>
      <x:c r="T160" s="24"/>
    </x:row>
    <x:row r="161" spans="14:20" x14ac:dyDescent="0.3">
      <x:c r="N161" s="24"/>
      <x:c r="O161" s="24"/>
      <x:c r="Q161" s="24"/>
      <x:c r="T161" s="24"/>
    </x:row>
    <x:row r="162" spans="14:20" x14ac:dyDescent="0.3">
      <x:c r="N162" s="24"/>
      <x:c r="O162" s="24"/>
      <x:c r="Q162" s="24"/>
      <x:c r="T162" s="24"/>
    </x:row>
    <x:row r="163" spans="14:20" x14ac:dyDescent="0.3">
      <x:c r="N163" s="24"/>
      <x:c r="O163" s="24"/>
      <x:c r="Q163" s="24"/>
      <x:c r="T163" s="24"/>
    </x:row>
    <x:row r="164" spans="14:20" x14ac:dyDescent="0.3">
      <x:c r="Q164" s="24"/>
      <x:c r="T164" s="24"/>
    </x:row>
    <x:row r="165" spans="14:20" x14ac:dyDescent="0.3">
      <x:c r="Q165" s="24"/>
    </x:row>
  </x:sheetData>
  <x:conditionalFormatting sqref="L142:L147">
    <x:cfRule type="expression" dxfId="29" priority="20">
      <x:formula>$L$142&lt;&gt;0</x:formula>
    </x:cfRule>
  </x:conditionalFormatting>
  <x:conditionalFormatting sqref="M142:M147">
    <x:cfRule type="cellIs" dxfId="28" priority="7" operator="notEqual">
      <x:formula>TRUE</x:formula>
    </x:cfRule>
  </x:conditionalFormatting>
  <x:conditionalFormatting sqref="AH9:AH14">
    <x:cfRule type="cellIs" dxfId="27" priority="1" operator="notEqual">
      <x:formula>TRUE</x:formula>
    </x:cfRule>
  </x:conditionalFormatting>
  <x:conditionalFormatting sqref="AH28:AH33">
    <x:cfRule type="cellIs" dxfId="26" priority="2" operator="notEqual">
      <x:formula>TRUE</x:formula>
    </x:cfRule>
  </x:conditionalFormatting>
  <x:conditionalFormatting sqref="AH47:AH52">
    <x:cfRule type="cellIs" dxfId="25" priority="3" operator="notEqual">
      <x:formula>TRUE</x:formula>
    </x:cfRule>
  </x:conditionalFormatting>
  <x:conditionalFormatting sqref="AH66:AH71">
    <x:cfRule type="cellIs" dxfId="24" priority="4" operator="notEqual">
      <x:formula>TRUE</x:formula>
    </x:cfRule>
  </x:conditionalFormatting>
  <x:conditionalFormatting sqref="AH85:AH90">
    <x:cfRule type="cellIs" dxfId="23" priority="5" operator="notEqual">
      <x:formula>TRUE</x:formula>
    </x:cfRule>
  </x:conditionalFormatting>
  <x:conditionalFormatting sqref="AH104:AH109">
    <x:cfRule type="cellIs" dxfId="22" priority="6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K104:K109 M104:M109" formula="1"/>
  </x:ignoredErrors>
  <x:drawing r:id="rId2"/>
</x:worksheet>
</file>

<file path=xl/worksheets/sheet3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A00-000000000000}" mc:Ignorable="x14ac xr xr2 xr3">
  <x:sheetPr>
    <x:tabColor rgb="FF7030A0"/>
  </x:sheetPr>
  <x:dimension ref="B1:P16"/>
  <x:sheetViews>
    <x:sheetView zoomScale="90" zoomScaleNormal="90" workbookViewId="0">
      <x:selection activeCell="D4" sqref="D4"/>
    </x:sheetView>
  </x:sheetViews>
  <x:sheetFormatPr baseColWidth="10" defaultRowHeight="12.45" x14ac:dyDescent="0.3"/>
  <x:cols>
    <x:col min="1" max="1" width="3" customWidth="1"/>
    <x:col min="2" max="2" width="4.15234375" bestFit="1" customWidth="1"/>
    <x:col min="3" max="3" width="16.84375" customWidth="1"/>
    <x:col min="4" max="4" width="14.15234375" customWidth="1"/>
    <x:col min="5" max="7" width="17.84375" customWidth="1"/>
    <x:col min="8" max="8" width="18.15234375" customWidth="1"/>
    <x:col min="9" max="9" width="15.84375" customWidth="1"/>
    <x:col min="10" max="10" width="16.3828125" customWidth="1"/>
    <x:col min="11" max="11" width="15.84375" customWidth="1"/>
    <x:col min="12" max="13" width="18.15234375" customWidth="1"/>
    <x:col min="14" max="14" width="15.84375" customWidth="1"/>
    <x:col min="15" max="15" width="14.15234375" customWidth="1"/>
    <x:col min="16" max="16" width="14.3828125" customWidth="1"/>
  </x:cols>
  <x:sheetData>
    <x:row r="1" spans="2:16" ht="12.9" thickBot="1" x14ac:dyDescent="0.35"/>
    <x:row r="2" spans="2:16" ht="35.15" thickBot="1" x14ac:dyDescent="0.3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3">
      <x:c r="B3" s="303">
        <x:v>1</x:v>
      </x:c>
      <x:c r="C3" s="292">
        <x:f>'Recaudo Directa Occidente'!D21</x:f>
        <x:v>0</x:v>
      </x:c>
      <x:c r="D3" s="292">
        <x:f>'REMUNERACION_OCCIDENTE_ Directa'!G125</x:f>
        <x:v>0</x:v>
      </x:c>
      <x:c r="E3" s="292">
        <x:f>'REMUNERACION_OCCIDENTE_ Directa'!D28+'REMUNERACION_OCCIDENTE_ Directa'!N28</x:f>
        <x:v>0</x:v>
      </x:c>
      <x:c r="F3" s="292">
        <x:f>'REMUNERACION_OCCIDENTE_ Directa'!I142</x:f>
        <x:v>0</x:v>
      </x:c>
      <x:c r="G3" s="292">
        <x:f>'REMUNERACION_OCCIDENTE_ Directa'!H142</x:f>
        <x:v>0</x:v>
      </x:c>
      <x:c r="H3" s="340">
        <x:f>SUM(C3:G3)</x:f>
        <x:v>0</x:v>
      </x:c>
      <x:c r="I3" s="291">
        <x:f>'REMUNERACION_OCCIDENTE_ Directa'!D104</x:f>
        <x:v>0</x:v>
      </x:c>
      <x:c r="J3" s="292">
        <x:f>'REMUNERACION_OCCIDENTE_ Directa'!N104</x:f>
        <x:v>0</x:v>
      </x:c>
      <x:c r="K3" s="292">
        <x:f>'REMUNERACION_OCCIDENTE_ Directa'!D125</x:f>
        <x:v>0</x:v>
      </x:c>
      <x:c r="L3" s="353">
        <x:f>'REMUNERACION_OCCIDENTE_ Directa'!E125</x:f>
        <x:v>0</x:v>
      </x:c>
      <x:c r="M3" s="292">
        <x:f>-'REMUNERACION_OCCIDENTE_ Directa'!D66-'REMUNERACION_OCCIDENTE_ Directa'!N66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3">
      <x:c r="B4" s="314">
        <x:v>2</x:v>
      </x:c>
      <x:c r="C4" s="317">
        <x:f>'Recaudo Directa Occidente'!D22</x:f>
        <x:v>0</x:v>
      </x:c>
      <x:c r="D4" s="292">
        <x:f>'REMUNERACION_OCCIDENTE_ Directa'!G126</x:f>
        <x:v>0</x:v>
      </x:c>
      <x:c r="E4" s="292">
        <x:f>'REMUNERACION_OCCIDENTE_ Directa'!D29+'REMUNERACION_OCCIDENTE_ Directa'!N29</x:f>
        <x:v>0</x:v>
      </x:c>
      <x:c r="F4" s="292">
        <x:f>'REMUNERACION_OCCIDENTE_ Directa'!I143</x:f>
        <x:v>0</x:v>
      </x:c>
      <x:c r="G4" s="292">
        <x:f>'REMUNERACION_OCCIDENTE_ Directa'!H143</x:f>
        <x:v>0</x:v>
      </x:c>
      <x:c r="H4" s="340">
        <x:f t="shared" ref="H4:H8" si="1">SUM(C4:G4)</x:f>
        <x:v>0</x:v>
      </x:c>
      <x:c r="I4" s="291">
        <x:f>'REMUNERACION_OCCIDENTE_ Directa'!D105</x:f>
        <x:v>0</x:v>
      </x:c>
      <x:c r="J4" s="292">
        <x:f>'REMUNERACION_OCCIDENTE_ Directa'!N105</x:f>
        <x:v>0</x:v>
      </x:c>
      <x:c r="K4" s="292">
        <x:f>'REMUNERACION_OCCIDENTE_ Directa'!D126</x:f>
        <x:v>0</x:v>
      </x:c>
      <x:c r="L4" s="353">
        <x:f>'REMUNERACION_OCCIDENTE_ Directa'!E126</x:f>
        <x:v>0</x:v>
      </x:c>
      <x:c r="M4" s="292">
        <x:f>-'REMUNERACION_OCCIDENTE_ Directa'!D67-'REMUNERACION_OCCIDENTE_ Directa'!N67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3">
      <x:c r="B5" s="314">
        <x:v>3</x:v>
      </x:c>
      <x:c r="C5" s="317">
        <x:f>'Recaudo Directa Occidente'!D23</x:f>
        <x:v>0</x:v>
      </x:c>
      <x:c r="D5" s="292">
        <x:f>'REMUNERACION_OCCIDENTE_ Directa'!G127</x:f>
        <x:v>0</x:v>
      </x:c>
      <x:c r="E5" s="292">
        <x:f>'REMUNERACION_OCCIDENTE_ Directa'!D30+'REMUNERACION_OCCIDENTE_ Directa'!N30</x:f>
        <x:v>0</x:v>
      </x:c>
      <x:c r="F5" s="292">
        <x:f>'REMUNERACION_OCCIDENTE_ Directa'!I144</x:f>
        <x:v>0</x:v>
      </x:c>
      <x:c r="G5" s="292">
        <x:f>'REMUNERACION_OCCIDENTE_ Directa'!H144</x:f>
        <x:v>0</x:v>
      </x:c>
      <x:c r="H5" s="340">
        <x:f t="shared" si="1"/>
        <x:v>0</x:v>
      </x:c>
      <x:c r="I5" s="291">
        <x:f>'REMUNERACION_OCCIDENTE_ Directa'!D106</x:f>
        <x:v>0</x:v>
      </x:c>
      <x:c r="J5" s="292">
        <x:f>'REMUNERACION_OCCIDENTE_ Directa'!N106</x:f>
        <x:v>0</x:v>
      </x:c>
      <x:c r="K5" s="292">
        <x:f>'REMUNERACION_OCCIDENTE_ Directa'!D127</x:f>
        <x:v>0</x:v>
      </x:c>
      <x:c r="L5" s="353">
        <x:f>'REMUNERACION_OCCIDENTE_ Directa'!E127</x:f>
        <x:v>0</x:v>
      </x:c>
      <x:c r="M5" s="292">
        <x:f>-'REMUNERACION_OCCIDENTE_ Directa'!D68-'REMUNERACION_OCCIDENTE_ Directa'!N68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3">
      <x:c r="B6" s="314">
        <x:v>4</x:v>
      </x:c>
      <x:c r="C6" s="317">
        <x:f>'Recaudo Directa Occidente'!D24</x:f>
        <x:v>0</x:v>
      </x:c>
      <x:c r="D6" s="292">
        <x:f>'REMUNERACION_OCCIDENTE_ Directa'!G128</x:f>
        <x:v>0</x:v>
      </x:c>
      <x:c r="E6" s="292">
        <x:f>'REMUNERACION_OCCIDENTE_ Directa'!D31+'REMUNERACION_OCCIDENTE_ Directa'!N31</x:f>
        <x:v>0</x:v>
      </x:c>
      <x:c r="F6" s="292">
        <x:f>'REMUNERACION_OCCIDENTE_ Directa'!I145</x:f>
        <x:v>0</x:v>
      </x:c>
      <x:c r="G6" s="292">
        <x:f>'REMUNERACION_OCCIDENTE_ Directa'!H145</x:f>
        <x:v>0</x:v>
      </x:c>
      <x:c r="H6" s="340">
        <x:f t="shared" si="1"/>
        <x:v>0</x:v>
      </x:c>
      <x:c r="I6" s="291">
        <x:f>'REMUNERACION_OCCIDENTE_ Directa'!D107</x:f>
        <x:v>0</x:v>
      </x:c>
      <x:c r="J6" s="292">
        <x:f>'REMUNERACION_OCCIDENTE_ Directa'!N107</x:f>
        <x:v>0</x:v>
      </x:c>
      <x:c r="K6" s="292">
        <x:f>'REMUNERACION_OCCIDENTE_ Directa'!D128</x:f>
        <x:v>0</x:v>
      </x:c>
      <x:c r="L6" s="353">
        <x:f>'REMUNERACION_OCCIDENTE_ Directa'!E128</x:f>
        <x:v>0</x:v>
      </x:c>
      <x:c r="M6" s="292">
        <x:f>-'REMUNERACION_OCCIDENTE_ Directa'!D69-'REMUNERACION_OCCIDENTE_ Directa'!N69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3">
      <x:c r="B7" s="314">
        <x:v>5</x:v>
      </x:c>
      <x:c r="C7" s="317">
        <x:f>'Recaudo Directa Occidente'!D25</x:f>
        <x:v>0</x:v>
      </x:c>
      <x:c r="D7" s="292">
        <x:f>'REMUNERACION_OCCIDENTE_ Directa'!G129</x:f>
        <x:v>0</x:v>
      </x:c>
      <x:c r="E7" s="292">
        <x:f>'REMUNERACION_OCCIDENTE_ Directa'!D32+'REMUNERACION_OCCIDENTE_ Directa'!N32</x:f>
        <x:v>0</x:v>
      </x:c>
      <x:c r="F7" s="292">
        <x:f>'REMUNERACION_OCCIDENTE_ Directa'!I146</x:f>
        <x:v>0</x:v>
      </x:c>
      <x:c r="G7" s="292">
        <x:f>'REMUNERACION_OCCIDENTE_ Directa'!H146</x:f>
        <x:v>0</x:v>
      </x:c>
      <x:c r="H7" s="340">
        <x:f t="shared" si="1"/>
        <x:v>0</x:v>
      </x:c>
      <x:c r="I7" s="291">
        <x:f>'REMUNERACION_OCCIDENTE_ Directa'!D108</x:f>
        <x:v>0</x:v>
      </x:c>
      <x:c r="J7" s="292">
        <x:f>'REMUNERACION_OCCIDENTE_ Directa'!N108</x:f>
        <x:v>0</x:v>
      </x:c>
      <x:c r="K7" s="292">
        <x:f>'REMUNERACION_OCCIDENTE_ Directa'!D129</x:f>
        <x:v>0</x:v>
      </x:c>
      <x:c r="L7" s="353">
        <x:f>'REMUNERACION_OCCIDENTE_ Directa'!E129</x:f>
        <x:v>0</x:v>
      </x:c>
      <x:c r="M7" s="292">
        <x:f>-'REMUNERACION_OCCIDENTE_ Directa'!D70-'REMUNERACION_OCCIDENTE_ Directa'!N70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2.9" thickBot="1" x14ac:dyDescent="0.35">
      <x:c r="B8" s="341" t="s">
        <x:v>89</x:v>
      </x:c>
      <x:c r="C8" s="317">
        <x:f>'Recaudo Directa Occidente'!D26</x:f>
        <x:v>0</x:v>
      </x:c>
      <x:c r="D8" s="356">
        <x:v>0</x:v>
      </x:c>
      <x:c r="E8" s="356">
        <x:v>0</x:v>
      </x:c>
      <x:c r="F8" s="292"/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'REMUNERACION_OCCIDENTE_ Directa'!E130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2.9" thickBot="1" x14ac:dyDescent="0.3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>SUM(E3:E8)</x:f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3">
      <x:c r="B11" s="102" t="s">
        <x:v>89</x:v>
      </x:c>
      <x:c r="C11" s="103" t="s">
        <x:v>90</x:v>
      </x:c>
      <x:c r="M11" s="141"/>
      <x:c r="O11" s="137"/>
    </x:row>
    <x:row r="12" spans="2:16" x14ac:dyDescent="0.3">
      <x:c r="C12" s="143"/>
    </x:row>
    <x:row r="13" spans="2:16" x14ac:dyDescent="0.3">
      <x:c r="B13" s="142"/>
      <x:c r="C13" s="143" t="s">
        <x:v>1</x:v>
      </x:c>
    </x:row>
    <x:row r="14" spans="2:16" x14ac:dyDescent="0.3">
      <x:c r="C14" s="245">
        <x:f>'Valida - Control Recaudo'!D10</x:f>
        <x:v>0</x:v>
      </x:c>
    </x:row>
    <x:row r="15" spans="2:16" x14ac:dyDescent="0.3">
      <x:c r="C15" s="249" t="b">
        <x:f>C14=C9</x:f>
        <x:v>1</x:v>
      </x:c>
    </x:row>
    <x:row r="16" spans="2:16" x14ac:dyDescent="0.3">
      <x:c r="C16" s="212" t="s">
        <x:v>1</x:v>
      </x:c>
    </x:row>
  </x:sheetData>
  <x:conditionalFormatting sqref="C15">
    <x:cfRule type="cellIs" dxfId="21" priority="4" operator="notEqual">
      <x:formula>TRUE</x:formula>
    </x:cfRule>
  </x:conditionalFormatting>
  <x:conditionalFormatting sqref="P3:P9">
    <x:cfRule type="cellIs" dxfId="20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B00-000000000000}" mc:Ignorable="x14ac xr xr2 xr3">
  <x:sheetPr>
    <x:tabColor rgb="FF7030A0"/>
    <x:pageSetUpPr fitToPage="1"/>
  </x:sheetPr>
  <x:dimension ref="A1:AI52"/>
  <x:sheetViews>
    <x:sheetView zoomScaleNormal="100" workbookViewId="0"/>
  </x:sheetViews>
  <x:sheetFormatPr baseColWidth="10" defaultColWidth="11.3828125" defaultRowHeight="11.6" x14ac:dyDescent="0.3"/>
  <x:cols>
    <x:col min="1" max="1" width="3" style="1" customWidth="1"/>
    <x:col min="2" max="2" width="4.3828125" style="1" bestFit="1" customWidth="1"/>
    <x:col min="3" max="3" width="36.84375" style="1" customWidth="1"/>
    <x:col min="4" max="4" width="15.15234375" style="1" customWidth="1"/>
    <x:col min="5" max="5" width="16" style="1" customWidth="1"/>
    <x:col min="6" max="7" width="14.84375" style="1" customWidth="1"/>
    <x:col min="8" max="8" width="16.15234375" style="1" customWidth="1"/>
    <x:col min="9" max="9" width="20.15234375" style="1" bestFit="1" customWidth="1"/>
    <x:col min="10" max="10" width="15.53515625" style="1" customWidth="1"/>
    <x:col min="11" max="11" width="17.53515625" style="1" customWidth="1"/>
    <x:col min="12" max="12" width="16.53515625" style="1" customWidth="1"/>
    <x:col min="13" max="13" width="19.84375" style="1" customWidth="1"/>
    <x:col min="14" max="14" width="15.15234375" style="1" customWidth="1"/>
    <x:col min="15" max="15" width="16.84375" style="1" customWidth="1"/>
    <x:col min="16" max="16" width="3.84375" style="1" customWidth="1"/>
    <x:col min="17" max="17" width="2.84375" style="1" customWidth="1"/>
    <x:col min="18" max="18" width="4.53515625" style="1" customWidth="1"/>
    <x:col min="19" max="19" width="11.15234375" style="1" customWidth="1"/>
    <x:col min="20" max="20" width="39.3828125" style="1" customWidth="1"/>
    <x:col min="21" max="21" width="19.15234375" style="1" customWidth="1"/>
    <x:col min="22" max="22" width="17.84375" style="1" customWidth="1"/>
    <x:col min="23" max="23" width="16.3828125" style="1" customWidth="1"/>
    <x:col min="24" max="24" width="17.15234375" style="1" customWidth="1"/>
    <x:col min="25" max="25" width="15.84375" style="1" customWidth="1"/>
    <x:col min="26" max="26" width="16" style="1" customWidth="1"/>
    <x:col min="27" max="27" width="15" style="1" customWidth="1"/>
    <x:col min="28" max="29" width="16.84375" style="1" customWidth="1"/>
    <x:col min="30" max="31" width="15.3828125" style="1" customWidth="1"/>
    <x:col min="32" max="32" width="16.15234375" style="1" customWidth="1"/>
    <x:col min="33" max="33" width="18.15234375" style="1" customWidth="1"/>
    <x:col min="34" max="34" width="13.84375" style="1" customWidth="1"/>
    <x:col min="35" max="35" width="3.3828125" style="1" customWidth="1"/>
    <x:col min="36" max="16384" width="11.3828125" style="1"/>
  </x:cols>
  <x:sheetData>
    <x:row r="1" spans="2:35" ht="12" thickBot="1" x14ac:dyDescent="0.35">
      <x:c r="Q1" s="4"/>
      <x:c r="AI1" s="4"/>
    </x:row>
    <x:row r="2" spans="2:35" x14ac:dyDescent="0.3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4.15" x14ac:dyDescent="0.3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'REMUNERACION_OCCIDENTE_ Directa'!N98</x:f>
        <x:v>2026101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2026101</x:v>
      </x:c>
      <x:c r="AE3" s="84"/>
      <x:c r="AF3" s="48"/>
      <x:c r="AG3" s="2"/>
      <x:c r="AI3" s="4"/>
    </x:row>
    <x:row r="4" spans="2:35" ht="15.45" x14ac:dyDescent="0.4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4.15" x14ac:dyDescent="0.3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45" x14ac:dyDescent="0.4">
      <x:c r="B6" s="8"/>
      <x:c r="C6" s="598" t="s">
        <x:v>17</x:v>
      </x:c>
      <x:c r="D6" s="9">
        <x:f>'REMUNERACION_OCCIDENTE_ Directa'!D101</x:f>
        <x:v>46297</x:v>
      </x:c>
      <x:c r="F6" s="58" t="str">
        <x:f>'REMUNERACION_OCCIDENTE_ Directa'!F101</x:f>
        <x:v>REPORTE CONSOLIDADO TOTAL DE RECAUDO // OCCIDENTE - Recaudo Facturación Directa</x:v>
      </x:c>
      <x:c r="G6" s="58"/>
      <x:c r="H6" s="59"/>
      <x:c r="I6" s="60"/>
      <x:c r="J6" s="59"/>
      <x:c r="K6" s="60"/>
      <x:c r="L6" s="60"/>
      <x:c r="O6" s="10"/>
      <x:c r="P6" s="2"/>
      <x:c r="Q6" s="4"/>
      <x:c r="S6" s="8"/>
      <x:c r="T6" s="41" t="s">
        <x:v>1</x:v>
      </x:c>
      <x:c r="U6" s="58" t="str">
        <x:f>'REMUNERACION_OCCIDENTE_ Directa'!U101</x:f>
        <x:v>REPORTE DETALLADO SUBBOLSA RBL DISCRIMINADO POR ACTIVIDADES // OCCIDENTE - Recaudo Facturación Directa</x:v>
      </x:c>
      <x:c r="V6" s="59"/>
      <x:c r="W6" s="60"/>
      <x:c r="X6" s="59"/>
      <x:c r="Y6" s="2"/>
      <x:c r="AF6" s="48"/>
      <x:c r="AG6" s="2"/>
      <x:c r="AI6" s="4"/>
    </x:row>
    <x:row r="7" spans="2:35" ht="12" thickBot="1" x14ac:dyDescent="0.35">
      <x:c r="B7" s="8"/>
      <x:c r="C7" s="598" t="s">
        <x:v>0</x:v>
      </x:c>
      <x:c r="D7" s="287">
        <x:f>'REMUNERACION_OCCIDENTE_ Directa'!D102</x:f>
        <x:v>0.58333333333333337</x:v>
      </x:c>
      <x:c r="F7" s="2" t="s">
        <x:v>27</x:v>
      </x:c>
      <x:c r="G7" s="9">
        <x:f>'REMUNERACION_OCCIDENTE_ Directa'!G102</x:f>
        <x:v>46281</x:v>
      </x:c>
      <x:c r="J7" s="2" t="s">
        <x:v>28</x:v>
      </x:c>
      <x:c r="K7" s="9">
        <x:f>'REMUNERACION_OCCIDENTE_ Directa'!K102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69.900000000000006" thickBot="1" x14ac:dyDescent="0.35">
      <x:c r="B8" s="11" t="s">
        <x:v>3</x:v>
      </x:c>
      <x:c r="C8" s="27" t="s">
        <x:v>9</x:v>
      </x:c>
      <x:c r="D8" s="11" t="s">
        <x:v>163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3">
      <x:c r="B9" s="14">
        <x:v>1</x:v>
      </x:c>
      <x:c r="C9" s="61" t="s">
        <x:v>10</x:v>
      </x:c>
      <x:c r="D9" s="66">
        <x:f>'REMUNERACION_OCCIDENTE_ Directa'!D104</x:f>
        <x:v>0</x:v>
      </x:c>
      <x:c r="E9" s="66">
        <x:f>'REMUNERACION_OCCIDENTE_ Directa'!E104</x:f>
        <x:v>0</x:v>
      </x:c>
      <x:c r="F9" s="66">
        <x:f>'REMUNERACION_OCCIDENTE_ Directa'!F104</x:f>
        <x:v>0</x:v>
      </x:c>
      <x:c r="G9" s="66">
        <x:f>'REMUNERACION_OCCIDENTE_ Directa'!G104</x:f>
        <x:v>0</x:v>
      </x:c>
      <x:c r="H9" s="66">
        <x:f>'REMUNERACION_OCCIDENTE_ Directa'!H104</x:f>
        <x:v>0</x:v>
      </x:c>
      <x:c r="I9" s="66">
        <x:f>'REMUNERACION_OCCIDENTE_ Directa'!I104</x:f>
        <x:v>0</x:v>
      </x:c>
      <x:c r="J9" s="66">
        <x:f>'REMUNERACION_OCCIDENTE_ Directa'!J104</x:f>
        <x:v>0</x:v>
      </x:c>
      <x:c r="K9" s="30">
        <x:f>D9-E9-F9-G9-H9-I9-J9</x:f>
        <x:v>0</x:v>
      </x:c>
      <x:c r="L9" s="66">
        <x:f>'REMUNERACION_OCCIDENTE_ Directa'!L104</x:f>
        <x:v>0</x:v>
      </x:c>
      <x:c r="M9" s="30">
        <x:f>K9-L9</x:f>
        <x:v>0</x:v>
      </x:c>
      <x:c r="N9" s="66">
        <x:f>'REMUNERACION_OCCIDENTE_ Directa'!N104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'REMUNERACION_OCCIDENTE_ Directa'!U104</x:f>
        <x:v>0</x:v>
      </x:c>
      <x:c r="V9" s="66">
        <x:f>'REMUNERACION_OCCIDENTE_ Directa'!V104</x:f>
        <x:v>0</x:v>
      </x:c>
      <x:c r="W9" s="66">
        <x:f>'REMUNERACION_OCCIDENTE_ Directa'!W104</x:f>
        <x:v>0</x:v>
      </x:c>
      <x:c r="X9" s="66">
        <x:f>'REMUNERACION_OCCIDENTE_ Directa'!X104</x:f>
        <x:v>0</x:v>
      </x:c>
      <x:c r="Y9" s="66">
        <x:f>'REMUNERACION_OCCIDENTE_ Directa'!Y104</x:f>
        <x:v>0</x:v>
      </x:c>
      <x:c r="Z9" s="66">
        <x:f>'REMUNERACION_OCCIDENTE_ Directa'!Z104</x:f>
        <x:v>0</x:v>
      </x:c>
      <x:c r="AA9" s="66">
        <x:f>'REMUNERACION_OCCIDENTE_ Directa'!AA104</x:f>
        <x:v>0</x:v>
      </x:c>
      <x:c r="AB9" s="66">
        <x:f>'REMUNERACION_OCCIDENTE_ Directa'!AB104</x:f>
        <x:v>0</x:v>
      </x:c>
      <x:c r="AC9" s="66">
        <x:f>'REMUNERACION_OCCIDENTE_ Directa'!AC104</x:f>
        <x:v>0</x:v>
      </x:c>
      <x:c r="AD9" s="66">
        <x:f>'REMUNERACION_OCCIDENTE_ Directa'!AD104</x:f>
        <x:v>0</x:v>
      </x:c>
      <x:c r="AE9" s="66">
        <x:f>'REMUNERACION_OCCIDENTE_ Directa'!AE104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3">
      <x:c r="B10" s="16">
        <x:v>2</x:v>
      </x:c>
      <x:c r="C10" s="62" t="s">
        <x:v>11</x:v>
      </x:c>
      <x:c r="D10" s="66">
        <x:f>'REMUNERACION_OCCIDENTE_ Directa'!D105</x:f>
        <x:v>0</x:v>
      </x:c>
      <x:c r="E10" s="66">
        <x:f>'REMUNERACION_OCCIDENTE_ Directa'!E105</x:f>
        <x:v>0</x:v>
      </x:c>
      <x:c r="F10" s="66">
        <x:f>'REMUNERACION_OCCIDENTE_ Directa'!F105</x:f>
        <x:v>0</x:v>
      </x:c>
      <x:c r="G10" s="66">
        <x:f>'REMUNERACION_OCCIDENTE_ Directa'!G105</x:f>
        <x:v>0</x:v>
      </x:c>
      <x:c r="H10" s="66">
        <x:f>'REMUNERACION_OCCIDENTE_ Directa'!H105</x:f>
        <x:v>0</x:v>
      </x:c>
      <x:c r="I10" s="66">
        <x:f>'REMUNERACION_OCCIDENTE_ Directa'!I105</x:f>
        <x:v>0</x:v>
      </x:c>
      <x:c r="J10" s="66">
        <x:f>'REMUNERACION_OCCIDENTE_ Directa'!J105</x:f>
        <x:v>0</x:v>
      </x:c>
      <x:c r="K10" s="31">
        <x:f t="shared" ref="K10:K13" si="0">D10-E10-F10-G10-H10-I10-J10</x:f>
        <x:v>0</x:v>
      </x:c>
      <x:c r="L10" s="66">
        <x:f>'REMUNERACION_OCCIDENTE_ Directa'!L105</x:f>
        <x:v>0</x:v>
      </x:c>
      <x:c r="M10" s="31">
        <x:f>K10-L10</x:f>
        <x:v>0</x:v>
      </x:c>
      <x:c r="N10" s="66">
        <x:f>'REMUNERACION_OCCIDENTE_ Directa'!N105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'REMUNERACION_OCCIDENTE_ Directa'!U105</x:f>
        <x:v>0</x:v>
      </x:c>
      <x:c r="V10" s="66">
        <x:f>'REMUNERACION_OCCIDENTE_ Directa'!V105</x:f>
        <x:v>0</x:v>
      </x:c>
      <x:c r="W10" s="66">
        <x:f>'REMUNERACION_OCCIDENTE_ Directa'!W105</x:f>
        <x:v>0</x:v>
      </x:c>
      <x:c r="X10" s="66">
        <x:f>'REMUNERACION_OCCIDENTE_ Directa'!X105</x:f>
        <x:v>0</x:v>
      </x:c>
      <x:c r="Y10" s="66">
        <x:f>'REMUNERACION_OCCIDENTE_ Directa'!Y105</x:f>
        <x:v>0</x:v>
      </x:c>
      <x:c r="Z10" s="66">
        <x:f>'REMUNERACION_OCCIDENTE_ Directa'!Z105</x:f>
        <x:v>0</x:v>
      </x:c>
      <x:c r="AA10" s="66">
        <x:f>'REMUNERACION_OCCIDENTE_ Directa'!AA105</x:f>
        <x:v>0</x:v>
      </x:c>
      <x:c r="AB10" s="66">
        <x:f>'REMUNERACION_OCCIDENTE_ Directa'!AB105</x:f>
        <x:v>0</x:v>
      </x:c>
      <x:c r="AC10" s="66">
        <x:f>'REMUNERACION_OCCIDENTE_ Directa'!AC105</x:f>
        <x:v>0</x:v>
      </x:c>
      <x:c r="AD10" s="66">
        <x:f>'REMUNERACION_OCCIDENTE_ Directa'!AD105</x:f>
        <x:v>0</x:v>
      </x:c>
      <x:c r="AE10" s="66">
        <x:f>'REMUNERACION_OCCIDENTE_ Directa'!AE105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3">
      <x:c r="B11" s="16">
        <x:v>3</x:v>
      </x:c>
      <x:c r="C11" s="62" t="s">
        <x:v>12</x:v>
      </x:c>
      <x:c r="D11" s="66">
        <x:f>'REMUNERACION_OCCIDENTE_ Directa'!D106</x:f>
        <x:v>0</x:v>
      </x:c>
      <x:c r="E11" s="66">
        <x:f>'REMUNERACION_OCCIDENTE_ Directa'!E106</x:f>
        <x:v>0</x:v>
      </x:c>
      <x:c r="F11" s="66">
        <x:f>'REMUNERACION_OCCIDENTE_ Directa'!F106</x:f>
        <x:v>0</x:v>
      </x:c>
      <x:c r="G11" s="66">
        <x:f>'REMUNERACION_OCCIDENTE_ Directa'!G106</x:f>
        <x:v>0</x:v>
      </x:c>
      <x:c r="H11" s="66">
        <x:f>'REMUNERACION_OCCIDENTE_ Directa'!H106</x:f>
        <x:v>0</x:v>
      </x:c>
      <x:c r="I11" s="66">
        <x:f>'REMUNERACION_OCCIDENTE_ Directa'!I106</x:f>
        <x:v>0</x:v>
      </x:c>
      <x:c r="J11" s="66">
        <x:f>'REMUNERACION_OCCIDENTE_ Directa'!J106</x:f>
        <x:v>0</x:v>
      </x:c>
      <x:c r="K11" s="31">
        <x:f t="shared" si="0"/>
        <x:v>0</x:v>
      </x:c>
      <x:c r="L11" s="66">
        <x:f>'REMUNERACION_OCCIDENTE_ Directa'!L106</x:f>
        <x:v>0</x:v>
      </x:c>
      <x:c r="M11" s="31">
        <x:f>K11-L11</x:f>
        <x:v>0</x:v>
      </x:c>
      <x:c r="N11" s="66">
        <x:f>'REMUNERACION_OCCIDENTE_ Directa'!N106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'REMUNERACION_OCCIDENTE_ Directa'!U106</x:f>
        <x:v>0</x:v>
      </x:c>
      <x:c r="V11" s="66">
        <x:f>'REMUNERACION_OCCIDENTE_ Directa'!V106</x:f>
        <x:v>0</x:v>
      </x:c>
      <x:c r="W11" s="66">
        <x:f>'REMUNERACION_OCCIDENTE_ Directa'!W106</x:f>
        <x:v>0</x:v>
      </x:c>
      <x:c r="X11" s="66">
        <x:f>'REMUNERACION_OCCIDENTE_ Directa'!X106</x:f>
        <x:v>0</x:v>
      </x:c>
      <x:c r="Y11" s="66">
        <x:f>'REMUNERACION_OCCIDENTE_ Directa'!Y106</x:f>
        <x:v>0</x:v>
      </x:c>
      <x:c r="Z11" s="66">
        <x:f>'REMUNERACION_OCCIDENTE_ Directa'!Z106</x:f>
        <x:v>0</x:v>
      </x:c>
      <x:c r="AA11" s="66">
        <x:f>'REMUNERACION_OCCIDENTE_ Directa'!AA106</x:f>
        <x:v>0</x:v>
      </x:c>
      <x:c r="AB11" s="66">
        <x:f>'REMUNERACION_OCCIDENTE_ Directa'!AB106</x:f>
        <x:v>0</x:v>
      </x:c>
      <x:c r="AC11" s="66">
        <x:f>'REMUNERACION_OCCIDENTE_ Directa'!AC106</x:f>
        <x:v>0</x:v>
      </x:c>
      <x:c r="AD11" s="66">
        <x:f>'REMUNERACION_OCCIDENTE_ Directa'!AD106</x:f>
        <x:v>0</x:v>
      </x:c>
      <x:c r="AE11" s="66">
        <x:f>'REMUNERACION_OCCIDENTE_ Directa'!AE106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3">
      <x:c r="B12" s="16">
        <x:v>4</x:v>
      </x:c>
      <x:c r="C12" s="62" t="s">
        <x:v>13</x:v>
      </x:c>
      <x:c r="D12" s="66">
        <x:f>'REMUNERACION_OCCIDENTE_ Directa'!D107</x:f>
        <x:v>0</x:v>
      </x:c>
      <x:c r="E12" s="66">
        <x:f>'REMUNERACION_OCCIDENTE_ Directa'!E107</x:f>
        <x:v>0</x:v>
      </x:c>
      <x:c r="F12" s="66">
        <x:f>'REMUNERACION_OCCIDENTE_ Directa'!F107</x:f>
        <x:v>0</x:v>
      </x:c>
      <x:c r="G12" s="66">
        <x:f>'REMUNERACION_OCCIDENTE_ Directa'!G107</x:f>
        <x:v>0</x:v>
      </x:c>
      <x:c r="H12" s="66">
        <x:f>'REMUNERACION_OCCIDENTE_ Directa'!H107</x:f>
        <x:v>0</x:v>
      </x:c>
      <x:c r="I12" s="66">
        <x:f>'REMUNERACION_OCCIDENTE_ Directa'!I107</x:f>
        <x:v>0</x:v>
      </x:c>
      <x:c r="J12" s="66">
        <x:f>'REMUNERACION_OCCIDENTE_ Directa'!J107</x:f>
        <x:v>0</x:v>
      </x:c>
      <x:c r="K12" s="31">
        <x:f t="shared" si="0"/>
        <x:v>0</x:v>
      </x:c>
      <x:c r="L12" s="66">
        <x:f>'REMUNERACION_OCCIDENTE_ Directa'!L107</x:f>
        <x:v>0</x:v>
      </x:c>
      <x:c r="M12" s="31">
        <x:f>K12-L12</x:f>
        <x:v>0</x:v>
      </x:c>
      <x:c r="N12" s="66">
        <x:f>'REMUNERACION_OCCIDENTE_ Directa'!N107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'REMUNERACION_OCCIDENTE_ Directa'!U107</x:f>
        <x:v>0</x:v>
      </x:c>
      <x:c r="V12" s="66">
        <x:f>'REMUNERACION_OCCIDENTE_ Directa'!V107</x:f>
        <x:v>0</x:v>
      </x:c>
      <x:c r="W12" s="66">
        <x:f>'REMUNERACION_OCCIDENTE_ Directa'!W107</x:f>
        <x:v>0</x:v>
      </x:c>
      <x:c r="X12" s="66">
        <x:f>'REMUNERACION_OCCIDENTE_ Directa'!X107</x:f>
        <x:v>0</x:v>
      </x:c>
      <x:c r="Y12" s="66">
        <x:f>'REMUNERACION_OCCIDENTE_ Directa'!Y107</x:f>
        <x:v>0</x:v>
      </x:c>
      <x:c r="Z12" s="66">
        <x:f>'REMUNERACION_OCCIDENTE_ Directa'!Z107</x:f>
        <x:v>0</x:v>
      </x:c>
      <x:c r="AA12" s="66">
        <x:f>'REMUNERACION_OCCIDENTE_ Directa'!AA107</x:f>
        <x:v>0</x:v>
      </x:c>
      <x:c r="AB12" s="66">
        <x:f>'REMUNERACION_OCCIDENTE_ Directa'!AB107</x:f>
        <x:v>0</x:v>
      </x:c>
      <x:c r="AC12" s="66">
        <x:f>'REMUNERACION_OCCIDENTE_ Directa'!AC107</x:f>
        <x:v>0</x:v>
      </x:c>
      <x:c r="AD12" s="66">
        <x:f>'REMUNERACION_OCCIDENTE_ Directa'!AD107</x:f>
        <x:v>0</x:v>
      </x:c>
      <x:c r="AE12" s="66">
        <x:f>'REMUNERACION_OCCIDENTE_ Directa'!AE107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" thickBot="1" x14ac:dyDescent="0.35">
      <x:c r="B13" s="19">
        <x:v>5</x:v>
      </x:c>
      <x:c r="C13" s="63" t="s">
        <x:v>14</x:v>
      </x:c>
      <x:c r="D13" s="66">
        <x:f>'REMUNERACION_OCCIDENTE_ Directa'!D108</x:f>
        <x:v>0</x:v>
      </x:c>
      <x:c r="E13" s="66">
        <x:f>'REMUNERACION_OCCIDENTE_ Directa'!E108</x:f>
        <x:v>0</x:v>
      </x:c>
      <x:c r="F13" s="66">
        <x:f>'REMUNERACION_OCCIDENTE_ Directa'!F108</x:f>
        <x:v>0</x:v>
      </x:c>
      <x:c r="G13" s="66">
        <x:f>'REMUNERACION_OCCIDENTE_ Directa'!G108</x:f>
        <x:v>0</x:v>
      </x:c>
      <x:c r="H13" s="66">
        <x:f>'REMUNERACION_OCCIDENTE_ Directa'!H108</x:f>
        <x:v>0</x:v>
      </x:c>
      <x:c r="I13" s="66">
        <x:f>'REMUNERACION_OCCIDENTE_ Directa'!I108</x:f>
        <x:v>0</x:v>
      </x:c>
      <x:c r="J13" s="66">
        <x:f>'REMUNERACION_OCCIDENTE_ Directa'!J108</x:f>
        <x:v>0</x:v>
      </x:c>
      <x:c r="K13" s="31">
        <x:f t="shared" si="0"/>
        <x:v>0</x:v>
      </x:c>
      <x:c r="L13" s="66">
        <x:f>'REMUNERACION_OCCIDENTE_ Directa'!L108</x:f>
        <x:v>0</x:v>
      </x:c>
      <x:c r="M13" s="40">
        <x:f>K13-L13</x:f>
        <x:v>0</x:v>
      </x:c>
      <x:c r="N13" s="66">
        <x:f>'REMUNERACION_OCCIDENTE_ Directa'!N108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'REMUNERACION_OCCIDENTE_ Directa'!U108</x:f>
        <x:v>0</x:v>
      </x:c>
      <x:c r="V13" s="66">
        <x:f>'REMUNERACION_OCCIDENTE_ Directa'!V108</x:f>
        <x:v>0</x:v>
      </x:c>
      <x:c r="W13" s="66">
        <x:f>'REMUNERACION_OCCIDENTE_ Directa'!W108</x:f>
        <x:v>0</x:v>
      </x:c>
      <x:c r="X13" s="66">
        <x:f>'REMUNERACION_OCCIDENTE_ Directa'!X108</x:f>
        <x:v>0</x:v>
      </x:c>
      <x:c r="Y13" s="66">
        <x:f>'REMUNERACION_OCCIDENTE_ Directa'!Y108</x:f>
        <x:v>0</x:v>
      </x:c>
      <x:c r="Z13" s="66">
        <x:f>'REMUNERACION_OCCIDENTE_ Directa'!Z108</x:f>
        <x:v>0</x:v>
      </x:c>
      <x:c r="AA13" s="66">
        <x:f>'REMUNERACION_OCCIDENTE_ Directa'!AA108</x:f>
        <x:v>0</x:v>
      </x:c>
      <x:c r="AB13" s="66">
        <x:f>'REMUNERACION_OCCIDENTE_ Directa'!AB108</x:f>
        <x:v>0</x:v>
      </x:c>
      <x:c r="AC13" s="66">
        <x:f>'REMUNERACION_OCCIDENTE_ Directa'!AC108</x:f>
        <x:v>0</x:v>
      </x:c>
      <x:c r="AD13" s="66">
        <x:f>'REMUNERACION_OCCIDENTE_ Directa'!AD108</x:f>
        <x:v>0</x:v>
      </x:c>
      <x:c r="AE13" s="66">
        <x:f>'REMUNERACION_OCCIDENTE_ Directa'!AE108</x:f>
        <x:v>0</x:v>
      </x:c>
      <x:c r="AF13" s="70">
        <x:f>SUM(U13:AD13)</x:f>
        <x:v>0</x:v>
      </x:c>
      <x:c r="AG13" s="369">
        <x:f>AF13-O13</x:f>
        <x:v>0</x:v>
      </x:c>
      <x:c r="AH13" s="1" t="b">
        <x:f t="shared" si="2"/>
        <x:v>1</x:v>
      </x:c>
      <x:c r="AI13" s="4"/>
    </x:row>
    <x:row r="14" spans="2:35" ht="12.9" thickBot="1" x14ac:dyDescent="0.35">
      <x:c r="B14" s="21"/>
      <x:c r="C14" s="22" t="s">
        <x:v>119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119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" thickBot="1" x14ac:dyDescent="0.3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" thickBot="1" x14ac:dyDescent="0.3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3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3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35">
      <x:c r="Q20" s="4"/>
    </x:row>
    <x:row r="21" spans="1:35" x14ac:dyDescent="0.3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4.15" x14ac:dyDescent="0.3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'REMUNERACION_OCCIDENTE_ Directa'!M117</x:f>
        <x:v>2026101</x:v>
      </x:c>
      <x:c r="O22" s="10"/>
      <x:c r="P22" s="2"/>
      <x:c r="Q22" s="4"/>
    </x:row>
    <x:row r="23" spans="1:35" ht="15.45" x14ac:dyDescent="0.4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3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3">
      <x:c r="B25" s="8"/>
      <x:c r="I25" s="2"/>
      <x:c r="J25" s="2"/>
      <x:c r="O25" s="10"/>
      <x:c r="P25" s="2"/>
      <x:c r="Q25" s="4"/>
    </x:row>
    <x:row r="26" spans="1:35" ht="15.45" x14ac:dyDescent="0.4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3">
      <x:c r="B27" s="8"/>
      <x:c r="F27" s="2" t="s">
        <x:v>27</x:v>
      </x:c>
      <x:c r="G27" s="2"/>
      <x:c r="H27" s="9">
        <x:f>'REMUNERACION_OCCIDENTE_ Directa'!G122</x:f>
        <x:v>46281</x:v>
      </x:c>
      <x:c r="J27" s="2" t="s">
        <x:v>28</x:v>
      </x:c>
      <x:c r="K27" s="9">
        <x:f>'REMUNERACION_OCCIDENTE_ Directa'!K122</x:f>
        <x:v>46295</x:v>
      </x:c>
      <x:c r="O27" s="10"/>
      <x:c r="P27" s="2"/>
      <x:c r="Q27" s="4"/>
    </x:row>
    <x:row r="28" spans="1:35" ht="12" thickBot="1" x14ac:dyDescent="0.3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6.75" thickBot="1" x14ac:dyDescent="0.3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3">
      <x:c r="B30" s="108">
        <x:v>1</x:v>
      </x:c>
      <x:c r="C30" s="109" t="s">
        <x:v>10</x:v>
      </x:c>
      <x:c r="D30" s="110">
        <x:f>'REMUNERACION_OCCIDENTE_ Directa'!D125</x:f>
        <x:v>0</x:v>
      </x:c>
      <x:c r="E30" s="111">
        <x:f>'REMUNERACION_OCCIDENTE_ Directa'!E125</x:f>
        <x:v>0</x:v>
      </x:c>
      <x:c r="G30" s="336">
        <x:f>'REMUNERACION_OCCIDENTE_ Directa'!G125</x:f>
        <x:v>0</x:v>
      </x:c>
      <x:c r="H30" s="310">
        <x:f>'REMUNERACION_OCCIDENTE_ Directa'!H125</x:f>
        <x:v>0</x:v>
      </x:c>
      <x:c r="I30" s="309">
        <x:f>'REMUNERACION_OCCIDENTE_ Directa'!I125</x:f>
        <x:v>0</x:v>
      </x:c>
      <x:c r="J30" s="309">
        <x:f>'REMUNERACION_OCCIDENTE_ Directa'!J125</x:f>
        <x:v>0</x:v>
      </x:c>
      <x:c r="K30" s="309">
        <x:f>'REMUNERACION_OCCIDENTE_ Directa'!K125</x:f>
        <x:v>0</x:v>
      </x:c>
      <x:c r="L30" s="309">
        <x:f>'REMUNERACION_OCCIDENTE_ Directa'!L125</x:f>
        <x:v>0</x:v>
      </x:c>
      <x:c r="O30" s="44"/>
      <x:c r="Q30" s="4"/>
    </x:row>
    <x:row r="31" spans="1:35" x14ac:dyDescent="0.3">
      <x:c r="B31" s="16">
        <x:v>2</x:v>
      </x:c>
      <x:c r="C31" s="17" t="s">
        <x:v>11</x:v>
      </x:c>
      <x:c r="D31" s="15">
        <x:f>'REMUNERACION_OCCIDENTE_ Directa'!D126</x:f>
        <x:v>0</x:v>
      </x:c>
      <x:c r="E31" s="74">
        <x:f>'REMUNERACION_OCCIDENTE_ Directa'!E126</x:f>
        <x:v>0</x:v>
      </x:c>
      <x:c r="G31" s="339">
        <x:f>'REMUNERACION_OCCIDENTE_ Directa'!G126</x:f>
        <x:v>0</x:v>
      </x:c>
      <x:c r="H31" s="340">
        <x:f>'REMUNERACION_OCCIDENTE_ Directa'!H126</x:f>
        <x:v>0</x:v>
      </x:c>
      <x:c r="I31" s="288">
        <x:f>'REMUNERACION_OCCIDENTE_ Directa'!I126</x:f>
        <x:v>0</x:v>
      </x:c>
      <x:c r="J31" s="288">
        <x:f>'REMUNERACION_OCCIDENTE_ Directa'!J126</x:f>
        <x:v>0</x:v>
      </x:c>
      <x:c r="K31" s="288">
        <x:f>'REMUNERACION_OCCIDENTE_ Directa'!K126</x:f>
        <x:v>0</x:v>
      </x:c>
      <x:c r="L31" s="288">
        <x:f>'REMUNERACION_OCCIDENTE_ Directa'!L126</x:f>
        <x:v>0</x:v>
      </x:c>
      <x:c r="O31" s="44"/>
      <x:c r="Q31" s="4"/>
    </x:row>
    <x:row r="32" spans="1:35" x14ac:dyDescent="0.3">
      <x:c r="B32" s="16">
        <x:v>3</x:v>
      </x:c>
      <x:c r="C32" s="17" t="s">
        <x:v>12</x:v>
      </x:c>
      <x:c r="D32" s="15">
        <x:f>'REMUNERACION_OCCIDENTE_ Directa'!D127</x:f>
        <x:v>0</x:v>
      </x:c>
      <x:c r="E32" s="74">
        <x:f>'REMUNERACION_OCCIDENTE_ Directa'!E127</x:f>
        <x:v>0</x:v>
      </x:c>
      <x:c r="G32" s="339">
        <x:f>'REMUNERACION_OCCIDENTE_ Directa'!G127</x:f>
        <x:v>0</x:v>
      </x:c>
      <x:c r="H32" s="340">
        <x:f>'REMUNERACION_OCCIDENTE_ Directa'!H127</x:f>
        <x:v>0</x:v>
      </x:c>
      <x:c r="I32" s="288">
        <x:f>'REMUNERACION_OCCIDENTE_ Directa'!I127</x:f>
        <x:v>0</x:v>
      </x:c>
      <x:c r="J32" s="288">
        <x:f>'REMUNERACION_OCCIDENTE_ Directa'!J127</x:f>
        <x:v>0</x:v>
      </x:c>
      <x:c r="K32" s="288">
        <x:f>'REMUNERACION_OCCIDENTE_ Directa'!K127</x:f>
        <x:v>0</x:v>
      </x:c>
      <x:c r="L32" s="288">
        <x:f>'REMUNERACION_OCCIDENTE_ Directa'!L127</x:f>
        <x:v>0</x:v>
      </x:c>
      <x:c r="O32" s="44"/>
      <x:c r="Q32" s="4"/>
    </x:row>
    <x:row r="33" spans="1:20" x14ac:dyDescent="0.3">
      <x:c r="B33" s="16">
        <x:v>4</x:v>
      </x:c>
      <x:c r="C33" s="17" t="s">
        <x:v>13</x:v>
      </x:c>
      <x:c r="D33" s="15">
        <x:f>'REMUNERACION_OCCIDENTE_ Directa'!D128</x:f>
        <x:v>0</x:v>
      </x:c>
      <x:c r="E33" s="74">
        <x:f>'REMUNERACION_OCCIDENTE_ Directa'!E128</x:f>
        <x:v>0</x:v>
      </x:c>
      <x:c r="G33" s="339">
        <x:f>'REMUNERACION_OCCIDENTE_ Directa'!G128</x:f>
        <x:v>0</x:v>
      </x:c>
      <x:c r="H33" s="340">
        <x:f>'REMUNERACION_OCCIDENTE_ Directa'!H128</x:f>
        <x:v>0</x:v>
      </x:c>
      <x:c r="I33" s="288">
        <x:f>'REMUNERACION_OCCIDENTE_ Directa'!I128</x:f>
        <x:v>0</x:v>
      </x:c>
      <x:c r="J33" s="288">
        <x:f>'REMUNERACION_OCCIDENTE_ Directa'!J128</x:f>
        <x:v>0</x:v>
      </x:c>
      <x:c r="K33" s="288">
        <x:f>'REMUNERACION_OCCIDENTE_ Directa'!K128</x:f>
        <x:v>0</x:v>
      </x:c>
      <x:c r="L33" s="288">
        <x:f>'REMUNERACION_OCCIDENTE_ Directa'!L128</x:f>
        <x:v>0</x:v>
      </x:c>
      <x:c r="O33" s="44"/>
      <x:c r="Q33" s="4"/>
    </x:row>
    <x:row r="34" spans="1:20" x14ac:dyDescent="0.3">
      <x:c r="B34" s="133">
        <x:v>5</x:v>
      </x:c>
      <x:c r="C34" s="138" t="s">
        <x:v>14</x:v>
      </x:c>
      <x:c r="D34" s="135">
        <x:f>'REMUNERACION_OCCIDENTE_ Directa'!D129</x:f>
        <x:v>0</x:v>
      </x:c>
      <x:c r="E34" s="139">
        <x:f>'REMUNERACION_OCCIDENTE_ Directa'!E129</x:f>
        <x:v>0</x:v>
      </x:c>
      <x:c r="G34" s="339">
        <x:f>'REMUNERACION_OCCIDENTE_ Directa'!G129</x:f>
        <x:v>0</x:v>
      </x:c>
      <x:c r="H34" s="340">
        <x:f>'REMUNERACION_OCCIDENTE_ Directa'!H129</x:f>
        <x:v>0</x:v>
      </x:c>
      <x:c r="I34" s="288">
        <x:f>'REMUNERACION_OCCIDENTE_ Directa'!I129</x:f>
        <x:v>0</x:v>
      </x:c>
      <x:c r="J34" s="288">
        <x:f>'REMUNERACION_OCCIDENTE_ Directa'!J129</x:f>
        <x:v>0</x:v>
      </x:c>
      <x:c r="K34" s="288">
        <x:f>'REMUNERACION_OCCIDENTE_ Directa'!K129</x:f>
        <x:v>0</x:v>
      </x:c>
      <x:c r="L34" s="288">
        <x:f>'REMUNERACION_OCCIDENTE_ Directa'!L129</x:f>
        <x:v>0</x:v>
      </x:c>
      <x:c r="O34" s="44"/>
      <x:c r="Q34" s="4"/>
    </x:row>
    <x:row r="35" spans="1:20" ht="12" thickBot="1" x14ac:dyDescent="0.35">
      <x:c r="B35" s="19" t="s">
        <x:v>89</x:v>
      </x:c>
      <x:c r="C35" s="20" t="s">
        <x:v>113</x:v>
      </x:c>
      <x:c r="D35" s="78"/>
      <x:c r="E35" s="79">
        <x:f>'REMUNERACION_OCCIDENTE_ Directa'!E130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" thickBot="1" x14ac:dyDescent="0.35">
      <x:c r="B36" s="95"/>
      <x:c r="C36" s="106" t="s">
        <x:v>119</x:v>
      </x:c>
      <x:c r="D36" s="107">
        <x:f t="shared" ref="D36" si="5">SUM(D30:D34)</x:f>
        <x:v>0</x:v>
      </x:c>
      <x:c r="E36" s="107">
        <x:f>'REMUNERACION_OCCIDENTE_ Directa'!E131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x14ac:dyDescent="0.3">
      <x:c r="B37" s="2"/>
      <x:c r="C37" s="2"/>
      <x:c r="D37" s="24"/>
      <x:c r="Q37" s="4"/>
    </x:row>
    <x:row r="38" spans="1:20" x14ac:dyDescent="0.3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3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3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3">
      <x:c r="N42" s="24"/>
      <x:c r="O42" s="24"/>
      <x:c r="Q42" s="24"/>
      <x:c r="T42" s="24"/>
    </x:row>
    <x:row r="43" spans="1:20" x14ac:dyDescent="0.3">
      <x:c r="N43" s="24"/>
      <x:c r="O43" s="24"/>
      <x:c r="Q43" s="24"/>
      <x:c r="T43" s="24"/>
    </x:row>
    <x:row r="44" spans="1:20" x14ac:dyDescent="0.3">
      <x:c r="D44" s="267" t="b">
        <x:f>D14='REMUNERACION_OCCIDENTE_ Directa'!D109</x:f>
        <x:v>1</x:v>
      </x:c>
      <x:c r="E44" s="267" t="b">
        <x:f>E14='REMUNERACION_OCCIDENTE_ Directa'!E109</x:f>
        <x:v>1</x:v>
      </x:c>
      <x:c r="F44" s="267" t="b">
        <x:f>F14='REMUNERACION_OCCIDENTE_ Directa'!F109</x:f>
        <x:v>1</x:v>
      </x:c>
      <x:c r="G44" s="267" t="b">
        <x:f>G14='REMUNERACION_OCCIDENTE_ Directa'!G109</x:f>
        <x:v>1</x:v>
      </x:c>
      <x:c r="H44" s="267" t="b">
        <x:f>H14='REMUNERACION_OCCIDENTE_ Directa'!H109</x:f>
        <x:v>1</x:v>
      </x:c>
      <x:c r="I44" s="267" t="b">
        <x:f>I14='REMUNERACION_OCCIDENTE_ Directa'!I109</x:f>
        <x:v>1</x:v>
      </x:c>
      <x:c r="J44" s="267" t="b">
        <x:f>J14='REMUNERACION_OCCIDENTE_ Directa'!J109</x:f>
        <x:v>1</x:v>
      </x:c>
      <x:c r="K44" s="267" t="b">
        <x:f>K14='REMUNERACION_OCCIDENTE_ Directa'!K109</x:f>
        <x:v>1</x:v>
      </x:c>
      <x:c r="L44" s="267" t="b">
        <x:f>L14='REMUNERACION_OCCIDENTE_ Directa'!L109</x:f>
        <x:v>1</x:v>
      </x:c>
      <x:c r="M44" s="267" t="b">
        <x:f>M14='REMUNERACION_OCCIDENTE_ Directa'!M109</x:f>
        <x:v>1</x:v>
      </x:c>
      <x:c r="N44" s="267" t="b">
        <x:f>N14='REMUNERACION_OCCIDENTE_ Directa'!N109</x:f>
        <x:v>1</x:v>
      </x:c>
      <x:c r="O44" s="267" t="b">
        <x:f>O14='REMUNERACION_OCCIDENTE_ Directa'!O109</x:f>
        <x:v>1</x:v>
      </x:c>
      <x:c r="Q44" s="24"/>
      <x:c r="T44" s="24"/>
    </x:row>
    <x:row r="45" spans="1:20" x14ac:dyDescent="0.3">
      <x:c r="D45" s="267" t="b">
        <x:f>D36='REMUNERACION_OCCIDENTE_ Directa'!D131</x:f>
        <x:v>1</x:v>
      </x:c>
      <x:c r="E45" s="267" t="b">
        <x:f>E36='REMUNERACION_OCCIDENTE_ Directa'!E131</x:f>
        <x:v>1</x:v>
      </x:c>
      <x:c r="F45" s="267" t="b">
        <x:f>F36='REMUNERACION_OCCIDENTE_ Directa'!F131</x:f>
        <x:v>1</x:v>
      </x:c>
      <x:c r="G45" s="267" t="b">
        <x:f>G36='REMUNERACION_OCCIDENTE_ Directa'!G131</x:f>
        <x:v>1</x:v>
      </x:c>
      <x:c r="H45" s="267" t="b">
        <x:f>H36='REMUNERACION_OCCIDENTE_ Directa'!H131</x:f>
        <x:v>1</x:v>
      </x:c>
      <x:c r="I45" s="267" t="b">
        <x:f>I36='REMUNERACION_OCCIDENTE_ Directa'!I131</x:f>
        <x:v>1</x:v>
      </x:c>
      <x:c r="J45" s="267" t="b">
        <x:f>J36='REMUNERACION_OCCIDENTE_ Directa'!J131</x:f>
        <x:v>1</x:v>
      </x:c>
      <x:c r="K45" s="267" t="b">
        <x:f>K36='REMUNERACION_OCCIDENTE_ Directa'!K131</x:f>
        <x:v>1</x:v>
      </x:c>
      <x:c r="L45" s="267" t="b">
        <x:f>L36='REMUNERACION_OCCIDENTE_ Directa'!L131</x:f>
        <x:v>1</x:v>
      </x:c>
      <x:c r="M45" s="267" t="b">
        <x:f>M36='REMUNERACION_OCCIDENTE_ Directa'!M131</x:f>
        <x:v>1</x:v>
      </x:c>
      <x:c r="N45" s="267" t="b">
        <x:f>N36='REMUNERACION_OCCIDENTE_ Directa'!N131</x:f>
        <x:v>1</x:v>
      </x:c>
      <x:c r="O45" s="267" t="b">
        <x:f>O36='REMUNERACION_OCCIDENTE_ Directa'!O131</x:f>
        <x:v>1</x:v>
      </x:c>
      <x:c r="Q45" s="24"/>
      <x:c r="T45" s="24"/>
    </x:row>
    <x:row r="46" spans="1:20" x14ac:dyDescent="0.3">
      <x:c r="N46" s="24"/>
      <x:c r="O46" s="24"/>
      <x:c r="Q46" s="24"/>
      <x:c r="T46" s="24"/>
    </x:row>
    <x:row r="47" spans="1:20" x14ac:dyDescent="0.3">
      <x:c r="N47" s="24"/>
      <x:c r="O47" s="24"/>
      <x:c r="Q47" s="24"/>
      <x:c r="T47" s="24"/>
    </x:row>
    <x:row r="48" spans="1:20" x14ac:dyDescent="0.3">
      <x:c r="N48" s="24"/>
      <x:c r="O48" s="24"/>
      <x:c r="Q48" s="24"/>
      <x:c r="T48" s="24"/>
    </x:row>
    <x:row r="49" spans="14:20" x14ac:dyDescent="0.3">
      <x:c r="N49" s="24"/>
      <x:c r="O49" s="24"/>
      <x:c r="Q49" s="24"/>
      <x:c r="T49" s="24"/>
    </x:row>
    <x:row r="50" spans="14:20" x14ac:dyDescent="0.3">
      <x:c r="N50" s="24"/>
      <x:c r="O50" s="24"/>
      <x:c r="Q50" s="24"/>
      <x:c r="T50" s="24"/>
    </x:row>
    <x:row r="51" spans="14:20" x14ac:dyDescent="0.3">
      <x:c r="Q51" s="24"/>
      <x:c r="T51" s="24"/>
    </x:row>
    <x:row r="52" spans="14:20" x14ac:dyDescent="0.3">
      <x:c r="Q52" s="24"/>
    </x:row>
  </x:sheetData>
  <x:conditionalFormatting sqref="AH9:AH14">
    <x:cfRule type="cellIs" dxfId="19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C00-000000000000}" mc:Ignorable="x14ac xr xr2 xr3">
  <x:sheetPr>
    <x:tabColor rgb="FFFFFF00"/>
    <x:pageSetUpPr fitToPage="1"/>
  </x:sheetPr>
  <x:dimension ref="A1:AJ167"/>
  <x:sheetViews>
    <x:sheetView topLeftCell="A95" zoomScaleNormal="100" workbookViewId="0">
      <x:selection activeCell="A95" sqref="A95"/>
    </x:sheetView>
  </x:sheetViews>
  <x:sheetFormatPr baseColWidth="10" defaultColWidth="11.3828125" defaultRowHeight="11.6" x14ac:dyDescent="0.3"/>
  <x:cols>
    <x:col min="1" max="1" width="3" style="1" customWidth="1"/>
    <x:col min="2" max="2" width="4.3828125" style="1" bestFit="1" customWidth="1"/>
    <x:col min="3" max="3" width="36.84375" style="1" customWidth="1"/>
    <x:col min="4" max="4" width="15.15234375" style="1" customWidth="1"/>
    <x:col min="5" max="5" width="16" style="1" customWidth="1"/>
    <x:col min="6" max="7" width="14.84375" style="1" customWidth="1"/>
    <x:col min="8" max="9" width="16" style="1" customWidth="1"/>
    <x:col min="10" max="10" width="15.53515625" style="1" customWidth="1"/>
    <x:col min="11" max="11" width="17.53515625" style="1" customWidth="1"/>
    <x:col min="12" max="12" width="20" style="1" bestFit="1" customWidth="1"/>
    <x:col min="13" max="13" width="21" style="1" bestFit="1" customWidth="1"/>
    <x:col min="14" max="14" width="15.15234375" style="1" customWidth="1"/>
    <x:col min="15" max="15" width="16.84375" style="1" customWidth="1"/>
    <x:col min="16" max="16" width="3.84375" style="1" customWidth="1"/>
    <x:col min="17" max="17" width="2.84375" style="1" customWidth="1"/>
    <x:col min="18" max="18" width="4.53515625" style="1" customWidth="1"/>
    <x:col min="19" max="19" width="11.15234375" style="1" customWidth="1"/>
    <x:col min="20" max="20" width="37.53515625" style="1" bestFit="1" customWidth="1"/>
    <x:col min="21" max="21" width="19.15234375" style="1" customWidth="1"/>
    <x:col min="22" max="22" width="17.84375" style="1" customWidth="1"/>
    <x:col min="23" max="23" width="16.3828125" style="1" customWidth="1"/>
    <x:col min="24" max="24" width="17.15234375" style="1" customWidth="1"/>
    <x:col min="25" max="25" width="15.84375" style="1" customWidth="1"/>
    <x:col min="26" max="26" width="16" style="1" customWidth="1"/>
    <x:col min="27" max="27" width="15" style="1" customWidth="1"/>
    <x:col min="28" max="29" width="16.84375" style="1" customWidth="1"/>
    <x:col min="30" max="31" width="15.3828125" style="1" customWidth="1"/>
    <x:col min="32" max="32" width="16.15234375" style="1" customWidth="1"/>
    <x:col min="33" max="33" width="18.15234375" style="1" customWidth="1"/>
    <x:col min="34" max="34" width="13.84375" style="1" customWidth="1"/>
    <x:col min="35" max="35" width="3.3828125" style="1" customWidth="1"/>
    <x:col min="36" max="36" width="13.84375" style="1" bestFit="1" customWidth="1"/>
    <x:col min="37" max="16384" width="11.3828125" style="1"/>
  </x:cols>
  <x:sheetData>
    <x:row r="1" spans="2:35" ht="12" thickBot="1" x14ac:dyDescent="0.35">
      <x:c r="Q1" s="4"/>
      <x:c r="AI1" s="4"/>
    </x:row>
    <x:row r="2" spans="2:35" x14ac:dyDescent="0.3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4.15" x14ac:dyDescent="0.3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2026101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2026101</x:v>
      </x:c>
      <x:c r="AE3" s="84"/>
      <x:c r="AF3" s="48"/>
      <x:c r="AG3" s="2"/>
      <x:c r="AI3" s="4"/>
    </x:row>
    <x:row r="4" spans="2:35" ht="15.45" x14ac:dyDescent="0.4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4.15" x14ac:dyDescent="0.3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45" x14ac:dyDescent="0.4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" thickBot="1" x14ac:dyDescent="0.3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" customHeight="1" thickBot="1" x14ac:dyDescent="0.3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106</x:v>
      </x:c>
      <x:c r="AF8" s="39" t="s">
        <x:v>23</x:v>
      </x:c>
      <x:c r="AG8" s="13"/>
      <x:c r="AI8" s="4"/>
    </x:row>
    <x:row r="9" spans="2:35" s="305" customFormat="1" x14ac:dyDescent="0.3">
      <x:c r="B9" s="303">
        <x:v>1</x:v>
      </x:c>
      <x:c r="C9" s="304" t="s">
        <x:v>10</x:v>
      </x:c>
      <x:c r="D9" s="291">
        <x:f>'Reporte Componentes R1'!F100</x:f>
        <x:v>0</x:v>
      </x:c>
      <x:c r="E9" s="292">
        <x:f>'Reporte Componentes R1'!G100</x:f>
        <x:v>0</x:v>
      </x:c>
      <x:c r="F9" s="292">
        <x:f>'Reporte Componentes R1'!H100</x:f>
        <x:v>0</x:v>
      </x:c>
      <x:c r="G9" s="292">
        <x:f>'Reporte Componentes R1'!I100</x:f>
        <x:v>0</x:v>
      </x:c>
      <x:c r="H9" s="292">
        <x:f>'Reporte Componentes R1'!J100</x:f>
        <x:v>0</x:v>
      </x:c>
      <x:c r="I9" s="292">
        <x:f>'Reporte Componentes R1'!K100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R1'!L100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R1'!M100</x:f>
        <x:v>0</x:v>
      </x:c>
      <x:c r="V9" s="308">
        <x:f>'Reporte Componentes R1'!N100</x:f>
        <x:v>0</x:v>
      </x:c>
      <x:c r="W9" s="308">
        <x:f>'Reporte Componentes R1'!O100</x:f>
        <x:v>0</x:v>
      </x:c>
      <x:c r="X9" s="308">
        <x:f>'Reporte Componentes R1'!P100</x:f>
        <x:v>0</x:v>
      </x:c>
      <x:c r="Y9" s="309">
        <x:f>'Reporte Componentes R1'!Q100</x:f>
        <x:v>0</x:v>
      </x:c>
      <x:c r="Z9" s="310">
        <x:f>L9*-1</x:f>
        <x:v>0</x:v>
      </x:c>
      <x:c r="AA9" s="311">
        <x:f>'Reporte Componentes R1'!R100+'Reporte Componentes R1'!S100</x:f>
        <x:v>0</x:v>
      </x:c>
      <x:c r="AB9" s="294">
        <x:f>N9</x:f>
        <x:v>0</x:v>
      </x:c>
      <x:c r="AC9" s="311">
        <x:f>'Reporte Componentes R1'!Z100</x:f>
        <x:v>0</x:v>
      </x:c>
      <x:c r="AD9" s="291">
        <x:f>-J9+AE9</x:f>
        <x:v>0</x:v>
      </x:c>
      <x:c r="AE9" s="291">
        <x:f>'Reporte Componentes R1'!F101</x:f>
        <x:v>0</x:v>
      </x:c>
      <x:c r="AF9" s="313">
        <x:f>SUM(U9:AD9)</x:f>
        <x:v>0</x:v>
      </x:c>
      <x:c r="AG9" s="311">
        <x:f>(AF9-O9)</x:f>
        <x:v>0</x:v>
      </x:c>
      <x:c r="AH9" s="305" t="b">
        <x:f>INT(AG9)=0</x:f>
        <x:v>1</x:v>
      </x:c>
      <x:c r="AI9" s="306"/>
    </x:row>
    <x:row r="10" spans="2:35" s="305" customFormat="1" x14ac:dyDescent="0.3">
      <x:c r="B10" s="314">
        <x:v>2</x:v>
      </x:c>
      <x:c r="C10" s="315" t="s">
        <x:v>11</x:v>
      </x:c>
      <x:c r="D10" s="291">
        <x:f>'Reporte Componentes R1'!F279</x:f>
        <x:v>0</x:v>
      </x:c>
      <x:c r="E10" s="292">
        <x:f>'Reporte Componentes R1'!G279</x:f>
        <x:v>0</x:v>
      </x:c>
      <x:c r="F10" s="292">
        <x:f>'Reporte Componentes R1'!H279</x:f>
        <x:v>0</x:v>
      </x:c>
      <x:c r="G10" s="292">
        <x:f>'Reporte Componentes R1'!I279</x:f>
        <x:v>0</x:v>
      </x:c>
      <x:c r="H10" s="292">
        <x:f>'Reporte Componentes R1'!J279</x:f>
        <x:v>0</x:v>
      </x:c>
      <x:c r="I10" s="292">
        <x:f>'Reporte Componentes R1'!K279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R1'!L279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R1'!M279</x:f>
        <x:v>0</x:v>
      </x:c>
      <x:c r="V10" s="317">
        <x:f>'Reporte Componentes R1'!N279</x:f>
        <x:v>0</x:v>
      </x:c>
      <x:c r="W10" s="317">
        <x:f>'Reporte Componentes R1'!O279</x:f>
        <x:v>0</x:v>
      </x:c>
      <x:c r="X10" s="317">
        <x:f>'Reporte Componentes R1'!P279</x:f>
        <x:v>0</x:v>
      </x:c>
      <x:c r="Y10" s="318">
        <x:f>'Reporte Componentes R1'!Q279</x:f>
        <x:v>0</x:v>
      </x:c>
      <x:c r="Z10" s="319">
        <x:f>L10*-1</x:f>
        <x:v>0</x:v>
      </x:c>
      <x:c r="AA10" s="320">
        <x:f>'Reporte Componentes R1'!R279+'Reporte Componentes R1'!S279+'Reporte Componentes R1'!T279</x:f>
        <x:v>0</x:v>
      </x:c>
      <x:c r="AB10" s="294">
        <x:f>N10</x:f>
        <x:v>0</x:v>
      </x:c>
      <x:c r="AC10" s="320">
        <x:f>'Reporte Componentes R1'!Z279</x:f>
        <x:v>0</x:v>
      </x:c>
      <x:c r="AD10" s="291">
        <x:f t="shared" ref="AD10:AD13" si="2">-J10+AE10</x:f>
        <x:v>0</x:v>
      </x:c>
      <x:c r="AE10" s="291">
        <x:f>'Reporte Componentes R1'!F280</x:f>
        <x:v>0</x:v>
      </x:c>
      <x:c r="AF10" s="322">
        <x:f>SUM(U10:AD10)</x:f>
        <x:v>0</x:v>
      </x:c>
      <x:c r="AG10" s="323">
        <x:f>(AF10-O10)</x:f>
        <x:v>0</x:v>
      </x:c>
      <x:c r="AH10" s="305" t="b">
        <x:f t="shared" ref="AH10:AH13" si="3">INT(AG10)=0</x:f>
        <x:v>1</x:v>
      </x:c>
      <x:c r="AI10" s="306"/>
    </x:row>
    <x:row r="11" spans="2:35" s="305" customFormat="1" x14ac:dyDescent="0.3">
      <x:c r="B11" s="314">
        <x:v>3</x:v>
      </x:c>
      <x:c r="C11" s="315" t="s">
        <x:v>12</x:v>
      </x:c>
      <x:c r="D11" s="291">
        <x:f>'Reporte Componentes R1'!F440</x:f>
        <x:v>0</x:v>
      </x:c>
      <x:c r="E11" s="292">
        <x:f>'Reporte Componentes R1'!G440</x:f>
        <x:v>0</x:v>
      </x:c>
      <x:c r="F11" s="292">
        <x:f>'Reporte Componentes R1'!H440</x:f>
        <x:v>0</x:v>
      </x:c>
      <x:c r="G11" s="292">
        <x:f>'Reporte Componentes R1'!I440</x:f>
        <x:v>0</x:v>
      </x:c>
      <x:c r="H11" s="292">
        <x:f>'Reporte Componentes R1'!J440</x:f>
        <x:v>0</x:v>
      </x:c>
      <x:c r="I11" s="292">
        <x:f>'Reporte Componentes R1'!K440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R1'!L440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R1'!M440</x:f>
        <x:v>0</x:v>
      </x:c>
      <x:c r="V11" s="317">
        <x:f>'Reporte Componentes R1'!N440</x:f>
        <x:v>0</x:v>
      </x:c>
      <x:c r="W11" s="317">
        <x:f>'Reporte Componentes R1'!O440</x:f>
        <x:v>0</x:v>
      </x:c>
      <x:c r="X11" s="317">
        <x:f>'Reporte Componentes R1'!P440</x:f>
        <x:v>0</x:v>
      </x:c>
      <x:c r="Y11" s="318">
        <x:f>'Reporte Componentes R1'!Q440</x:f>
        <x:v>0</x:v>
      </x:c>
      <x:c r="Z11" s="319">
        <x:f>L11*-1</x:f>
        <x:v>0</x:v>
      </x:c>
      <x:c r="AA11" s="320">
        <x:f>'Reporte Componentes R1'!R440+'Reporte Componentes R1'!S440+'Reporte Componentes R1'!T440</x:f>
        <x:v>0</x:v>
      </x:c>
      <x:c r="AB11" s="294">
        <x:f>N11</x:f>
        <x:v>0</x:v>
      </x:c>
      <x:c r="AC11" s="320">
        <x:f>'Reporte Componentes R1'!X440</x:f>
        <x:v>0</x:v>
      </x:c>
      <x:c r="AD11" s="291">
        <x:f t="shared" si="2"/>
        <x:v>0</x:v>
      </x:c>
      <x:c r="AE11" s="291">
        <x:f>'Reporte Componentes R1'!F441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305" t="b">
        <x:f t="shared" si="3"/>
        <x:v>1</x:v>
      </x:c>
      <x:c r="AI11" s="306"/>
    </x:row>
    <x:row r="12" spans="2:35" s="305" customFormat="1" x14ac:dyDescent="0.3">
      <x:c r="B12" s="314">
        <x:v>4</x:v>
      </x:c>
      <x:c r="C12" s="315" t="s">
        <x:v>13</x:v>
      </x:c>
      <x:c r="D12" s="291">
        <x:f>'Reporte Componentes R1'!F593</x:f>
        <x:v>0</x:v>
      </x:c>
      <x:c r="E12" s="292">
        <x:f>'Reporte Componentes R1'!G593</x:f>
        <x:v>0</x:v>
      </x:c>
      <x:c r="F12" s="292">
        <x:f>'Reporte Componentes R1'!H593</x:f>
        <x:v>0</x:v>
      </x:c>
      <x:c r="G12" s="292">
        <x:f>'Reporte Componentes R1'!I593</x:f>
        <x:v>0</x:v>
      </x:c>
      <x:c r="H12" s="292">
        <x:f>'Reporte Componentes R1'!J593</x:f>
        <x:v>0</x:v>
      </x:c>
      <x:c r="I12" s="292">
        <x:f>'Reporte Componentes R1'!K593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R1'!L593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R1'!M593</x:f>
        <x:v>0</x:v>
      </x:c>
      <x:c r="V12" s="317">
        <x:f>'Reporte Componentes R1'!N593</x:f>
        <x:v>0</x:v>
      </x:c>
      <x:c r="W12" s="317">
        <x:f>'Reporte Componentes R1'!O593</x:f>
        <x:v>0</x:v>
      </x:c>
      <x:c r="X12" s="317">
        <x:f>'Reporte Componentes R1'!P593</x:f>
        <x:v>0</x:v>
      </x:c>
      <x:c r="Y12" s="318">
        <x:f>'Reporte Componentes R1'!Q593</x:f>
        <x:v>0</x:v>
      </x:c>
      <x:c r="Z12" s="319">
        <x:f>L12*-1</x:f>
        <x:v>0</x:v>
      </x:c>
      <x:c r="AA12" s="320">
        <x:f>'Reporte Componentes R1'!R593+'Reporte Componentes R1'!S593</x:f>
        <x:v>0</x:v>
      </x:c>
      <x:c r="AB12" s="294">
        <x:f>N12</x:f>
        <x:v>0</x:v>
      </x:c>
      <x:c r="AC12" s="320">
        <x:f>'Reporte Componentes R1'!X593</x:f>
        <x:v>0</x:v>
      </x:c>
      <x:c r="AD12" s="291">
        <x:f t="shared" si="2"/>
        <x:v>0</x:v>
      </x:c>
      <x:c r="AE12" s="291">
        <x:f>'Reporte Componentes R1'!F594</x:f>
        <x:v>0</x:v>
      </x:c>
      <x:c r="AF12" s="322">
        <x:f t="shared" si="4"/>
        <x:v>0</x:v>
      </x:c>
      <x:c r="AG12" s="323">
        <x:f>(AF12-O12)</x:f>
        <x:v>0</x:v>
      </x:c>
      <x:c r="AH12" s="305" t="b">
        <x:f t="shared" si="3"/>
        <x:v>1</x:v>
      </x:c>
      <x:c r="AI12" s="306"/>
    </x:row>
    <x:row r="13" spans="2:35" s="305" customFormat="1" ht="12" thickBot="1" x14ac:dyDescent="0.35">
      <x:c r="B13" s="324">
        <x:v>5</x:v>
      </x:c>
      <x:c r="C13" s="325" t="s">
        <x:v>14</x:v>
      </x:c>
      <x:c r="D13" s="296">
        <x:f>'Reporte Componentes R1'!F705</x:f>
        <x:v>0</x:v>
      </x:c>
      <x:c r="E13" s="297">
        <x:f>'Reporte Componentes R1'!G705</x:f>
        <x:v>0</x:v>
      </x:c>
      <x:c r="F13" s="297">
        <x:f>'Reporte Componentes R1'!H705</x:f>
        <x:v>0</x:v>
      </x:c>
      <x:c r="G13" s="297">
        <x:f>'Reporte Componentes R1'!I705</x:f>
        <x:v>0</x:v>
      </x:c>
      <x:c r="H13" s="297">
        <x:f>'Reporte Componentes R1'!J705</x:f>
        <x:v>0</x:v>
      </x:c>
      <x:c r="I13" s="297">
        <x:f>'Reporte Componentes R1'!K705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R1'!L705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R1'!M705</x:f>
        <x:v>0</x:v>
      </x:c>
      <x:c r="V13" s="297">
        <x:f>'Reporte Componentes R1'!N705</x:f>
        <x:v>0</x:v>
      </x:c>
      <x:c r="W13" s="297">
        <x:f>'Reporte Componentes R1'!O705</x:f>
        <x:v>0</x:v>
      </x:c>
      <x:c r="X13" s="297">
        <x:f>'Reporte Componentes R1'!P705</x:f>
        <x:v>0</x:v>
      </x:c>
      <x:c r="Y13" s="289">
        <x:f>'Reporte Componentes R1'!Q705</x:f>
        <x:v>0</x:v>
      </x:c>
      <x:c r="Z13" s="319">
        <x:f>L13*-1</x:f>
        <x:v>0</x:v>
      </x:c>
      <x:c r="AA13" s="320">
        <x:f>'Reporte Componentes R1'!R705+'Reporte Componentes R1'!S705+'Reporte Componentes R1'!T705</x:f>
        <x:v>0</x:v>
      </x:c>
      <x:c r="AB13" s="294">
        <x:f>N13</x:f>
        <x:v>0</x:v>
      </x:c>
      <x:c r="AC13" s="320">
        <x:f>'Reporte Componentes R1'!X705</x:f>
        <x:v>0</x:v>
      </x:c>
      <x:c r="AD13" s="291">
        <x:f t="shared" si="2"/>
        <x:v>0</x:v>
      </x:c>
      <x:c r="AE13" s="291">
        <x:f>'Reporte Componentes R1'!F706</x:f>
        <x:v>0</x:v>
      </x:c>
      <x:c r="AF13" s="322">
        <x:f t="shared" si="4"/>
        <x:v>0</x:v>
      </x:c>
      <x:c r="AG13" s="326">
        <x:f>(AF13-O13)</x:f>
        <x:v>0</x:v>
      </x:c>
      <x:c r="AH13" s="305" t="b">
        <x:f t="shared" si="3"/>
        <x:v>1</x:v>
      </x:c>
      <x:c r="AI13" s="306"/>
    </x:row>
    <x:row r="14" spans="2:35" s="305" customFormat="1" ht="12.9" thickBot="1" x14ac:dyDescent="0.3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305" t="b">
        <x:f>INT(AG14)=0</x:f>
        <x:v>1</x:v>
      </x:c>
      <x:c r="AI14" s="306"/>
    </x:row>
    <x:row r="15" spans="2:35" ht="12" thickBot="1" x14ac:dyDescent="0.3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" thickBot="1" x14ac:dyDescent="0.3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" thickBot="1" x14ac:dyDescent="0.3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3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3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35">
      <x:c r="Q20" s="4"/>
      <x:c r="AI20" s="4"/>
    </x:row>
    <x:row r="21" spans="1:35" x14ac:dyDescent="0.3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4.15" x14ac:dyDescent="0.3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2026101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2026101</x:v>
      </x:c>
      <x:c r="AE22" s="84"/>
      <x:c r="AF22" s="48"/>
      <x:c r="AG22" s="2"/>
      <x:c r="AI22" s="4"/>
    </x:row>
    <x:row r="23" spans="1:35" ht="15.45" x14ac:dyDescent="0.4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4.15" x14ac:dyDescent="0.3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45" x14ac:dyDescent="0.4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" thickBot="1" x14ac:dyDescent="0.3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3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106</x:v>
      </x:c>
      <x:c r="AF27" s="39" t="s">
        <x:v>23</x:v>
      </x:c>
      <x:c r="AG27" s="13"/>
      <x:c r="AI27" s="4"/>
    </x:row>
    <x:row r="28" spans="1:35" s="305" customFormat="1" x14ac:dyDescent="0.3">
      <x:c r="B28" s="303">
        <x:v>1</x:v>
      </x:c>
      <x:c r="C28" s="304" t="s">
        <x:v>10</x:v>
      </x:c>
      <x:c r="D28" s="291">
        <x:f>'Rem. Anticipos R2'!E62</x:f>
        <x:v>0</x:v>
      </x:c>
      <x:c r="E28" s="292">
        <x:f>'Rem. Anticipos R2'!F62</x:f>
        <x:v>0</x:v>
      </x:c>
      <x:c r="F28" s="292">
        <x:f>'Rem. Anticipos R2'!G62</x:f>
        <x:v>0</x:v>
      </x:c>
      <x:c r="G28" s="292">
        <x:f>'Rem. Anticipos R2'!H62</x:f>
        <x:v>0</x:v>
      </x:c>
      <x:c r="H28" s="292">
        <x:f>'Rem. Anticipos R2'!I62</x:f>
        <x:v>0</x:v>
      </x:c>
      <x:c r="I28" s="292">
        <x:f>'Rem. Anticipos R2'!J62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R2'!K62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R2'!L62</x:f>
        <x:v>0</x:v>
      </x:c>
      <x:c r="V28" s="308">
        <x:f>'Rem. Anticipos R2'!M62</x:f>
        <x:v>0</x:v>
      </x:c>
      <x:c r="W28" s="308">
        <x:f>'Rem. Anticipos R2'!N62</x:f>
        <x:v>0</x:v>
      </x:c>
      <x:c r="X28" s="308">
        <x:f>'Rem. Anticipos R2'!O62</x:f>
        <x:v>0</x:v>
      </x:c>
      <x:c r="Y28" s="308">
        <x:f>'Rem. Anticipos R2'!P62</x:f>
        <x:v>0</x:v>
      </x:c>
      <x:c r="Z28" s="310">
        <x:f>L28*-1</x:f>
        <x:v>0</x:v>
      </x:c>
      <x:c r="AA28" s="311">
        <x:f>'Rem. Anticipos R2'!Q62</x:f>
        <x:v>0</x:v>
      </x:c>
      <x:c r="AB28" s="294">
        <x:f>N28</x:f>
        <x:v>0</x:v>
      </x:c>
      <x:c r="AC28" s="311">
        <x:v>0</x:v>
      </x:c>
      <x:c r="AD28" s="291">
        <x:f>-J28+AE28</x:f>
        <x:v>0</x:v>
      </x:c>
      <x:c r="AE28" s="291">
        <x:f>'Rem. Anticipos R2'!E63</x:f>
        <x:v>0</x:v>
      </x:c>
      <x:c r="AF28" s="313">
        <x:f>SUM(U28:AD28)</x:f>
        <x:v>0</x:v>
      </x:c>
      <x:c r="AG28" s="311">
        <x:f>(AF28-O28)</x:f>
        <x:v>0</x:v>
      </x:c>
      <x:c r="AH28" s="305" t="b">
        <x:f>INT(AG28)=0</x:f>
        <x:v>1</x:v>
      </x:c>
      <x:c r="AI28" s="306"/>
    </x:row>
    <x:row r="29" spans="1:35" s="305" customFormat="1" x14ac:dyDescent="0.3">
      <x:c r="B29" s="314">
        <x:v>2</x:v>
      </x:c>
      <x:c r="C29" s="315" t="s">
        <x:v>11</x:v>
      </x:c>
      <x:c r="D29" s="291">
        <x:f>'Rem. Anticipos R2'!E170</x:f>
        <x:v>0</x:v>
      </x:c>
      <x:c r="E29" s="292">
        <x:f>'Rem. Anticipos R2'!F170</x:f>
        <x:v>0</x:v>
      </x:c>
      <x:c r="F29" s="292">
        <x:f>'Rem. Anticipos R2'!G170</x:f>
        <x:v>0</x:v>
      </x:c>
      <x:c r="G29" s="292">
        <x:f>'Rem. Anticipos R2'!H170</x:f>
        <x:v>0</x:v>
      </x:c>
      <x:c r="H29" s="292">
        <x:f>'Rem. Anticipos R2'!I170</x:f>
        <x:v>0</x:v>
      </x:c>
      <x:c r="I29" s="292">
        <x:f>'Rem. Anticipos R2'!J170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R2'!K170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R2'!L170</x:f>
        <x:v>0</x:v>
      </x:c>
      <x:c r="V29" s="317">
        <x:f>'Rem. Anticipos R2'!M170</x:f>
        <x:v>0</x:v>
      </x:c>
      <x:c r="W29" s="317">
        <x:f>'Rem. Anticipos R2'!N170</x:f>
        <x:v>0</x:v>
      </x:c>
      <x:c r="X29" s="317">
        <x:f>'Rem. Anticipos R2'!O170</x:f>
        <x:v>0</x:v>
      </x:c>
      <x:c r="Y29" s="318">
        <x:f>'Rem. Anticipos R2'!P170</x:f>
        <x:v>0</x:v>
      </x:c>
      <x:c r="Z29" s="319">
        <x:f>L29*-1</x:f>
        <x:v>0</x:v>
      </x:c>
      <x:c r="AA29" s="320">
        <x:f>'Rem. Anticipos R2'!Q170</x:f>
        <x:v>0</x:v>
      </x:c>
      <x:c r="AB29" s="294">
        <x:f>N29</x:f>
        <x:v>0</x:v>
      </x:c>
      <x:c r="AC29" s="320">
        <x:v>0</x:v>
      </x:c>
      <x:c r="AD29" s="291">
        <x:f>-J29+AE29</x:f>
        <x:v>0</x:v>
      </x:c>
      <x:c r="AE29" s="291">
        <x:f>'Rem. Anticipos R2'!E171</x:f>
        <x:v>0</x:v>
      </x:c>
      <x:c r="AF29" s="322">
        <x:f>SUM(U29:AD29)</x:f>
        <x:v>0</x:v>
      </x:c>
      <x:c r="AG29" s="323">
        <x:f>(AF29-O29)</x:f>
        <x:v>0</x:v>
      </x:c>
      <x:c r="AH29" s="305" t="b">
        <x:f t="shared" ref="AH29:AH32" si="9">INT(AG29)=0</x:f>
        <x:v>1</x:v>
      </x:c>
      <x:c r="AI29" s="306"/>
    </x:row>
    <x:row r="30" spans="1:35" s="305" customFormat="1" x14ac:dyDescent="0.3">
      <x:c r="B30" s="314">
        <x:v>3</x:v>
      </x:c>
      <x:c r="C30" s="315" t="s">
        <x:v>12</x:v>
      </x:c>
      <x:c r="D30" s="291">
        <x:f>'Rem. Anticipos R2'!E288</x:f>
        <x:v>0</x:v>
      </x:c>
      <x:c r="E30" s="292">
        <x:f>'Rem. Anticipos R2'!F288</x:f>
        <x:v>0</x:v>
      </x:c>
      <x:c r="F30" s="292">
        <x:f>'Rem. Anticipos R2'!G288</x:f>
        <x:v>0</x:v>
      </x:c>
      <x:c r="G30" s="292">
        <x:f>'Rem. Anticipos R2'!H288</x:f>
        <x:v>0</x:v>
      </x:c>
      <x:c r="H30" s="292">
        <x:f>'Rem. Anticipos R2'!I288</x:f>
        <x:v>0</x:v>
      </x:c>
      <x:c r="I30" s="292">
        <x:f>'Rem. Anticipos R2'!J288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R2'!K288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R2'!L288</x:f>
        <x:v>0</x:v>
      </x:c>
      <x:c r="V30" s="317">
        <x:f>'Rem. Anticipos R2'!M288</x:f>
        <x:v>0</x:v>
      </x:c>
      <x:c r="W30" s="317">
        <x:f>'Rem. Anticipos R2'!N288</x:f>
        <x:v>0</x:v>
      </x:c>
      <x:c r="X30" s="317">
        <x:f>'Rem. Anticipos R2'!O288</x:f>
        <x:v>0</x:v>
      </x:c>
      <x:c r="Y30" s="318">
        <x:f>'Rem. Anticipos R2'!P288</x:f>
        <x:v>0</x:v>
      </x:c>
      <x:c r="Z30" s="319">
        <x:f>L30*-1</x:f>
        <x:v>0</x:v>
      </x:c>
      <x:c r="AA30" s="320">
        <x:f>'Rem. Anticipos R2'!Q288</x:f>
        <x:v>0</x:v>
      </x:c>
      <x:c r="AB30" s="294">
        <x:f>N30</x:f>
        <x:v>0</x:v>
      </x:c>
      <x:c r="AC30" s="320">
        <x:v>0</x:v>
      </x:c>
      <x:c r="AD30" s="291">
        <x:f t="shared" ref="AD30:AD32" si="10">-J30+AE30</x:f>
        <x:v>0</x:v>
      </x:c>
      <x:c r="AE30" s="291">
        <x:f>'Rem. Anticipos R2'!E289</x:f>
        <x:v>0</x:v>
      </x:c>
      <x:c r="AF30" s="322">
        <x:f>SUM(U30:AD30)</x:f>
        <x:v>0</x:v>
      </x:c>
      <x:c r="AG30" s="323">
        <x:f>(AF30-O30)</x:f>
        <x:v>0</x:v>
      </x:c>
      <x:c r="AH30" s="305" t="b">
        <x:f t="shared" si="9"/>
        <x:v>1</x:v>
      </x:c>
      <x:c r="AI30" s="306"/>
    </x:row>
    <x:row r="31" spans="1:35" s="305" customFormat="1" x14ac:dyDescent="0.3">
      <x:c r="B31" s="314">
        <x:v>4</x:v>
      </x:c>
      <x:c r="C31" s="315" t="s">
        <x:v>13</x:v>
      </x:c>
      <x:c r="D31" s="291">
        <x:f>'Rem. Anticipos R2'!E399</x:f>
        <x:v>0</x:v>
      </x:c>
      <x:c r="E31" s="292">
        <x:f>'Rem. Anticipos R2'!F399</x:f>
        <x:v>0</x:v>
      </x:c>
      <x:c r="F31" s="292">
        <x:f>'Rem. Anticipos R2'!G399</x:f>
        <x:v>0</x:v>
      </x:c>
      <x:c r="G31" s="292">
        <x:f>'Rem. Anticipos R2'!H399</x:f>
        <x:v>0</x:v>
      </x:c>
      <x:c r="H31" s="292">
        <x:f>'Rem. Anticipos R2'!I399</x:f>
        <x:v>0</x:v>
      </x:c>
      <x:c r="I31" s="292">
        <x:f>'Rem. Anticipos R2'!J399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R2'!K399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R2'!L399</x:f>
        <x:v>0</x:v>
      </x:c>
      <x:c r="V31" s="317">
        <x:f>'Rem. Anticipos R2'!M399</x:f>
        <x:v>0</x:v>
      </x:c>
      <x:c r="W31" s="317">
        <x:f>'Rem. Anticipos R2'!N399</x:f>
        <x:v>0</x:v>
      </x:c>
      <x:c r="X31" s="317">
        <x:f>'Rem. Anticipos R2'!O399</x:f>
        <x:v>0</x:v>
      </x:c>
      <x:c r="Y31" s="318">
        <x:f>'Rem. Anticipos R2'!P399</x:f>
        <x:v>0</x:v>
      </x:c>
      <x:c r="Z31" s="319">
        <x:f>L31*-1</x:f>
        <x:v>0</x:v>
      </x:c>
      <x:c r="AA31" s="320">
        <x:f>'Rem. Anticipos R2'!Q399</x:f>
        <x:v>0</x:v>
      </x:c>
      <x:c r="AB31" s="294">
        <x:f>N31</x:f>
        <x:v>0</x:v>
      </x:c>
      <x:c r="AC31" s="320">
        <x:v>0</x:v>
      </x:c>
      <x:c r="AD31" s="291">
        <x:f t="shared" si="10"/>
        <x:v>0</x:v>
      </x:c>
      <x:c r="AE31" s="291">
        <x:f>'Rem. Anticipos R2'!E400</x:f>
        <x:v>0</x:v>
      </x:c>
      <x:c r="AF31" s="322">
        <x:f>SUM(U31:AD31)</x:f>
        <x:v>0</x:v>
      </x:c>
      <x:c r="AG31" s="323">
        <x:f t="shared" ref="AG31" si="11">(AF31-O31)</x:f>
        <x:v>0</x:v>
      </x:c>
      <x:c r="AH31" s="305" t="b">
        <x:f t="shared" si="9"/>
        <x:v>1</x:v>
      </x:c>
      <x:c r="AI31" s="306"/>
    </x:row>
    <x:row r="32" spans="1:35" s="305" customFormat="1" ht="12" thickBot="1" x14ac:dyDescent="0.35">
      <x:c r="B32" s="324">
        <x:v>5</x:v>
      </x:c>
      <x:c r="C32" s="325" t="s">
        <x:v>14</x:v>
      </x:c>
      <x:c r="D32" s="296">
        <x:f>'Rem. Anticipos R2'!E483</x:f>
        <x:v>0</x:v>
      </x:c>
      <x:c r="E32" s="297">
        <x:f>'Rem. Anticipos R2'!F483</x:f>
        <x:v>0</x:v>
      </x:c>
      <x:c r="F32" s="297">
        <x:f>'Rem. Anticipos R2'!G483</x:f>
        <x:v>0</x:v>
      </x:c>
      <x:c r="G32" s="297">
        <x:f>'Rem. Anticipos R2'!H483</x:f>
        <x:v>0</x:v>
      </x:c>
      <x:c r="H32" s="297">
        <x:f>'Rem. Anticipos R2'!I483</x:f>
        <x:v>0</x:v>
      </x:c>
      <x:c r="I32" s="297">
        <x:f>'Rem. Anticipos R2'!J483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R2'!K483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R2'!L483</x:f>
        <x:v>0</x:v>
      </x:c>
      <x:c r="V32" s="297">
        <x:f>'Rem. Anticipos R2'!M483</x:f>
        <x:v>0</x:v>
      </x:c>
      <x:c r="W32" s="297">
        <x:f>'Rem. Anticipos R2'!N483</x:f>
        <x:v>0</x:v>
      </x:c>
      <x:c r="X32" s="297">
        <x:f>'Rem. Anticipos R2'!O483</x:f>
        <x:v>0</x:v>
      </x:c>
      <x:c r="Y32" s="289">
        <x:f>'Rem. Anticipos R2'!P483</x:f>
        <x:v>0</x:v>
      </x:c>
      <x:c r="Z32" s="319">
        <x:f>L32*-1</x:f>
        <x:v>0</x:v>
      </x:c>
      <x:c r="AA32" s="320">
        <x:f>'Rem. Anticipos R2'!Q483</x:f>
        <x:v>0</x:v>
      </x:c>
      <x:c r="AB32" s="294">
        <x:f>N32</x:f>
        <x:v>0</x:v>
      </x:c>
      <x:c r="AC32" s="320">
        <x:v>0</x:v>
      </x:c>
      <x:c r="AD32" s="291">
        <x:f t="shared" si="10"/>
        <x:v>0</x:v>
      </x:c>
      <x:c r="AE32" s="291">
        <x:f>'Rem. Anticipos R2'!E484</x:f>
        <x:v>0</x:v>
      </x:c>
      <x:c r="AF32" s="322">
        <x:f>SUM(U32:AD32)</x:f>
        <x:v>0</x:v>
      </x:c>
      <x:c r="AG32" s="326">
        <x:f>(AF32-O32)</x:f>
        <x:v>0</x:v>
      </x:c>
      <x:c r="AH32" s="305" t="b">
        <x:f t="shared" si="9"/>
        <x:v>1</x:v>
      </x:c>
      <x:c r="AI32" s="306"/>
    </x:row>
    <x:row r="33" spans="1:35" s="305" customFormat="1" ht="12.9" thickBot="1" x14ac:dyDescent="0.3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305" t="b">
        <x:f>INT(AG33)=0</x:f>
        <x:v>1</x:v>
      </x:c>
      <x:c r="AI33" s="306"/>
    </x:row>
    <x:row r="34" spans="1:35" ht="12" thickBot="1" x14ac:dyDescent="0.3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" thickBot="1" x14ac:dyDescent="0.3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" thickBot="1" x14ac:dyDescent="0.3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3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3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35">
      <x:c r="Q39" s="4"/>
      <x:c r="AI39" s="4"/>
    </x:row>
    <x:row r="40" spans="1:35" x14ac:dyDescent="0.3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4.15" x14ac:dyDescent="0.3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2026101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2026101</x:v>
      </x:c>
      <x:c r="AE41" s="84"/>
      <x:c r="AF41" s="48"/>
      <x:c r="AG41" s="2"/>
      <x:c r="AI41" s="4"/>
    </x:row>
    <x:row r="42" spans="1:35" ht="15.45" x14ac:dyDescent="0.4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4.15" x14ac:dyDescent="0.3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45" x14ac:dyDescent="0.4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" thickBot="1" x14ac:dyDescent="0.3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3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106</x:v>
      </x:c>
      <x:c r="AF46" s="39" t="s">
        <x:v>23</x:v>
      </x:c>
      <x:c r="AG46" s="13"/>
      <x:c r="AI46" s="4"/>
    </x:row>
    <x:row r="47" spans="1:35" s="305" customFormat="1" x14ac:dyDescent="0.3">
      <x:c r="B47" s="303">
        <x:v>1</x:v>
      </x:c>
      <x:c r="C47" s="304" t="s">
        <x:v>10</x:v>
      </x:c>
      <x:c r="D47" s="291">
        <x:f>'Reporte Componentes R1'!F102</x:f>
        <x:v>0</x:v>
      </x:c>
      <x:c r="E47" s="292">
        <x:f>'Reporte Componentes R1'!G102</x:f>
        <x:v>0</x:v>
      </x:c>
      <x:c r="F47" s="292">
        <x:f>'Reporte Componentes R1'!H102</x:f>
        <x:v>0</x:v>
      </x:c>
      <x:c r="G47" s="292">
        <x:f>'Reporte Componentes R1'!I102</x:f>
        <x:v>0</x:v>
      </x:c>
      <x:c r="H47" s="292">
        <x:f>'Reporte Componentes R1'!J102</x:f>
        <x:v>0</x:v>
      </x:c>
      <x:c r="I47" s="292">
        <x:f>'Reporte Componentes R1'!K102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R1'!L102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R1'!M102</x:f>
        <x:v>0</x:v>
      </x:c>
      <x:c r="V47" s="308">
        <x:f>'Reporte Componentes R1'!N102</x:f>
        <x:v>0</x:v>
      </x:c>
      <x:c r="W47" s="308">
        <x:f>'Reporte Componentes R1'!O102</x:f>
        <x:v>0</x:v>
      </x:c>
      <x:c r="X47" s="308">
        <x:f>'Reporte Componentes R1'!P102</x:f>
        <x:v>0</x:v>
      </x:c>
      <x:c r="Y47" s="309">
        <x:f>'Reporte Componentes R1'!Q102</x:f>
        <x:v>0</x:v>
      </x:c>
      <x:c r="Z47" s="310">
        <x:f>-L47</x:f>
        <x:v>0</x:v>
      </x:c>
      <x:c r="AA47" s="311">
        <x:f>'Reporte Componentes R1'!R102+'Reporte Componentes R1'!S102</x:f>
        <x:v>0</x:v>
      </x:c>
      <x:c r="AB47" s="294">
        <x:f>N47</x:f>
        <x:v>0</x:v>
      </x:c>
      <x:c r="AC47" s="311">
        <x:v>0</x:v>
      </x:c>
      <x:c r="AD47" s="291">
        <x:f>-J47+AE47</x:f>
        <x:v>0</x:v>
      </x:c>
      <x:c r="AE47" s="291">
        <x:f>'Reporte Componentes R1'!F103</x:f>
        <x:v>0</x:v>
      </x:c>
      <x:c r="AF47" s="313">
        <x:f>SUM(U47:AD47)</x:f>
        <x:v>0</x:v>
      </x:c>
      <x:c r="AG47" s="311">
        <x:f>(AF47-O47)</x:f>
        <x:v>0</x:v>
      </x:c>
      <x:c r="AH47" s="305" t="b">
        <x:f>INT(AG47)=0</x:f>
        <x:v>1</x:v>
      </x:c>
      <x:c r="AI47" s="306"/>
    </x:row>
    <x:row r="48" spans="1:35" s="305" customFormat="1" x14ac:dyDescent="0.3">
      <x:c r="B48" s="314">
        <x:v>2</x:v>
      </x:c>
      <x:c r="C48" s="315" t="s">
        <x:v>11</x:v>
      </x:c>
      <x:c r="D48" s="291">
        <x:f>'Reporte Componentes R1'!F281</x:f>
        <x:v>0</x:v>
      </x:c>
      <x:c r="E48" s="292">
        <x:f>'Reporte Componentes R1'!G281</x:f>
        <x:v>0</x:v>
      </x:c>
      <x:c r="F48" s="292">
        <x:f>'Reporte Componentes R1'!H281</x:f>
        <x:v>0</x:v>
      </x:c>
      <x:c r="G48" s="292">
        <x:f>'Reporte Componentes R1'!I281</x:f>
        <x:v>0</x:v>
      </x:c>
      <x:c r="H48" s="292">
        <x:f>'Reporte Componentes R1'!J281</x:f>
        <x:v>0</x:v>
      </x:c>
      <x:c r="I48" s="292">
        <x:f>'Reporte Componentes R1'!K281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R1'!L281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R1'!M281</x:f>
        <x:v>0</x:v>
      </x:c>
      <x:c r="V48" s="317">
        <x:f>'Reporte Componentes R1'!N281</x:f>
        <x:v>0</x:v>
      </x:c>
      <x:c r="W48" s="317">
        <x:f>'Reporte Componentes R1'!O281</x:f>
        <x:v>0</x:v>
      </x:c>
      <x:c r="X48" s="317">
        <x:f>'Reporte Componentes R1'!P281</x:f>
        <x:v>0</x:v>
      </x:c>
      <x:c r="Y48" s="318">
        <x:f>'Reporte Componentes R1'!Q281</x:f>
        <x:v>0</x:v>
      </x:c>
      <x:c r="Z48" s="319">
        <x:f>-L48</x:f>
        <x:v>0</x:v>
      </x:c>
      <x:c r="AA48" s="320">
        <x:f>'Reporte Componentes R1'!R281+'Reporte Componentes R1'!S281+'Reporte Componentes R1'!T281</x:f>
        <x:v>0</x:v>
      </x:c>
      <x:c r="AB48" s="294">
        <x:f>N48</x:f>
        <x:v>0</x:v>
      </x:c>
      <x:c r="AC48" s="320">
        <x:v>0</x:v>
      </x:c>
      <x:c r="AD48" s="291">
        <x:f t="shared" ref="AD48:AD51" si="16">-J48+AE48</x:f>
        <x:v>0</x:v>
      </x:c>
      <x:c r="AE48" s="291">
        <x:f>'Reporte Componentes R1'!F282</x:f>
        <x:v>0</x:v>
      </x:c>
      <x:c r="AF48" s="322">
        <x:f>SUM(U48:AD48)</x:f>
        <x:v>0</x:v>
      </x:c>
      <x:c r="AG48" s="323">
        <x:f>(AF48-O48)</x:f>
        <x:v>0</x:v>
      </x:c>
      <x:c r="AH48" s="305" t="b">
        <x:f t="shared" ref="AH48:AH51" si="17">INT(AG48)=0</x:f>
        <x:v>1</x:v>
      </x:c>
      <x:c r="AI48" s="306"/>
    </x:row>
    <x:row r="49" spans="1:35" s="305" customFormat="1" x14ac:dyDescent="0.3">
      <x:c r="B49" s="314">
        <x:v>3</x:v>
      </x:c>
      <x:c r="C49" s="315" t="s">
        <x:v>12</x:v>
      </x:c>
      <x:c r="D49" s="291">
        <x:f>'Reporte Componentes R1'!F442</x:f>
        <x:v>0</x:v>
      </x:c>
      <x:c r="E49" s="292">
        <x:f>'Reporte Componentes R1'!G442</x:f>
        <x:v>0</x:v>
      </x:c>
      <x:c r="F49" s="292">
        <x:f>'Reporte Componentes R1'!H442</x:f>
        <x:v>0</x:v>
      </x:c>
      <x:c r="G49" s="292">
        <x:f>'Reporte Componentes R1'!I442</x:f>
        <x:v>0</x:v>
      </x:c>
      <x:c r="H49" s="292">
        <x:f>'Reporte Componentes R1'!J442</x:f>
        <x:v>0</x:v>
      </x:c>
      <x:c r="I49" s="292">
        <x:f>'Reporte Componentes R1'!K442</x:f>
        <x:v>0</x:v>
      </x:c>
      <x:c r="J49" s="288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R1'!L442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R1'!M442</x:f>
        <x:v>0</x:v>
      </x:c>
      <x:c r="V49" s="317">
        <x:f>'Reporte Componentes R1'!N442</x:f>
        <x:v>0</x:v>
      </x:c>
      <x:c r="W49" s="317">
        <x:f>'Reporte Componentes R1'!O442</x:f>
        <x:v>0</x:v>
      </x:c>
      <x:c r="X49" s="317">
        <x:f>'Reporte Componentes R1'!P442</x:f>
        <x:v>0</x:v>
      </x:c>
      <x:c r="Y49" s="318">
        <x:f>'Reporte Componentes R1'!Q442</x:f>
        <x:v>0</x:v>
      </x:c>
      <x:c r="Z49" s="319">
        <x:f>-L49</x:f>
        <x:v>0</x:v>
      </x:c>
      <x:c r="AA49" s="320">
        <x:f>'Reporte Componentes R1'!R442+'Reporte Componentes R1'!S442+'Reporte Componentes R1'!T442</x:f>
        <x:v>0</x:v>
      </x:c>
      <x:c r="AB49" s="294">
        <x:f>N49</x:f>
        <x:v>0</x:v>
      </x:c>
      <x:c r="AC49" s="320">
        <x:v>0</x:v>
      </x:c>
      <x:c r="AD49" s="291">
        <x:f t="shared" si="16"/>
        <x:v>0</x:v>
      </x:c>
      <x:c r="AE49" s="291">
        <x:f>'Reporte Componentes R1'!F443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305" t="b">
        <x:f t="shared" si="17"/>
        <x:v>1</x:v>
      </x:c>
      <x:c r="AI49" s="306"/>
    </x:row>
    <x:row r="50" spans="1:35" s="305" customFormat="1" x14ac:dyDescent="0.3">
      <x:c r="B50" s="314">
        <x:v>4</x:v>
      </x:c>
      <x:c r="C50" s="315" t="s">
        <x:v>13</x:v>
      </x:c>
      <x:c r="D50" s="291">
        <x:f>'Reporte Componentes R1'!F595</x:f>
        <x:v>0</x:v>
      </x:c>
      <x:c r="E50" s="292">
        <x:f>'Reporte Componentes R1'!G595</x:f>
        <x:v>0</x:v>
      </x:c>
      <x:c r="F50" s="292">
        <x:f>'Reporte Componentes R1'!H595</x:f>
        <x:v>0</x:v>
      </x:c>
      <x:c r="G50" s="292">
        <x:f>'Reporte Componentes R1'!I595</x:f>
        <x:v>0</x:v>
      </x:c>
      <x:c r="H50" s="292">
        <x:f>'Reporte Componentes R1'!J595</x:f>
        <x:v>0</x:v>
      </x:c>
      <x:c r="I50" s="292">
        <x:f>'Reporte Componentes R1'!K595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R1'!L595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R1'!M595</x:f>
        <x:v>0</x:v>
      </x:c>
      <x:c r="V50" s="317">
        <x:f>'Reporte Componentes R1'!N595</x:f>
        <x:v>0</x:v>
      </x:c>
      <x:c r="W50" s="317">
        <x:f>'Reporte Componentes R1'!O595</x:f>
        <x:v>0</x:v>
      </x:c>
      <x:c r="X50" s="317">
        <x:f>'Reporte Componentes R1'!P595</x:f>
        <x:v>0</x:v>
      </x:c>
      <x:c r="Y50" s="318">
        <x:f>'Reporte Componentes R1'!Q595</x:f>
        <x:v>0</x:v>
      </x:c>
      <x:c r="Z50" s="319">
        <x:f>-L50</x:f>
        <x:v>0</x:v>
      </x:c>
      <x:c r="AA50" s="320">
        <x:f>'Reporte Componentes R1'!R595+'Reporte Componentes R1'!S595</x:f>
        <x:v>0</x:v>
      </x:c>
      <x:c r="AB50" s="294">
        <x:f>N50</x:f>
        <x:v>0</x:v>
      </x:c>
      <x:c r="AC50" s="320">
        <x:v>0</x:v>
      </x:c>
      <x:c r="AD50" s="291">
        <x:f t="shared" si="16"/>
        <x:v>0</x:v>
      </x:c>
      <x:c r="AE50" s="291">
        <x:f>'Reporte Componentes R1'!F596</x:f>
        <x:v>0</x:v>
      </x:c>
      <x:c r="AF50" s="322">
        <x:f t="shared" si="18"/>
        <x:v>0</x:v>
      </x:c>
      <x:c r="AG50" s="323">
        <x:f t="shared" si="19"/>
        <x:v>0</x:v>
      </x:c>
      <x:c r="AH50" s="305" t="b">
        <x:f t="shared" si="17"/>
        <x:v>1</x:v>
      </x:c>
      <x:c r="AI50" s="306"/>
    </x:row>
    <x:row r="51" spans="1:35" s="305" customFormat="1" ht="12" thickBot="1" x14ac:dyDescent="0.35">
      <x:c r="B51" s="324">
        <x:v>5</x:v>
      </x:c>
      <x:c r="C51" s="325" t="s">
        <x:v>14</x:v>
      </x:c>
      <x:c r="D51" s="296">
        <x:f>'Reporte Componentes R1'!F707</x:f>
        <x:v>0</x:v>
      </x:c>
      <x:c r="E51" s="297">
        <x:f>'Reporte Componentes R1'!G707</x:f>
        <x:v>0</x:v>
      </x:c>
      <x:c r="F51" s="297">
        <x:f>'Reporte Componentes R1'!H707</x:f>
        <x:v>0</x:v>
      </x:c>
      <x:c r="G51" s="297">
        <x:f>'Reporte Componentes R1'!I707</x:f>
        <x:v>0</x:v>
      </x:c>
      <x:c r="H51" s="297">
        <x:f>'Reporte Componentes R1'!J707</x:f>
        <x:v>0</x:v>
      </x:c>
      <x:c r="I51" s="297">
        <x:f>'Reporte Componentes R1'!K707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R1'!L707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R1'!M707</x:f>
        <x:v>0</x:v>
      </x:c>
      <x:c r="V51" s="297">
        <x:f>'Reporte Componentes R1'!N707</x:f>
        <x:v>0</x:v>
      </x:c>
      <x:c r="W51" s="297">
        <x:f>'Reporte Componentes R1'!O707</x:f>
        <x:v>0</x:v>
      </x:c>
      <x:c r="X51" s="297">
        <x:f>'Reporte Componentes R1'!P707</x:f>
        <x:v>0</x:v>
      </x:c>
      <x:c r="Y51" s="289">
        <x:f>'Reporte Componentes R1'!Q707</x:f>
        <x:v>0</x:v>
      </x:c>
      <x:c r="Z51" s="319">
        <x:f>-L51</x:f>
        <x:v>0</x:v>
      </x:c>
      <x:c r="AA51" s="320">
        <x:f>'Reporte Componentes R1'!R707+'Reporte Componentes R1'!S707+'Reporte Componentes R1'!T707</x:f>
        <x:v>0</x:v>
      </x:c>
      <x:c r="AB51" s="294">
        <x:f>N51</x:f>
        <x:v>0</x:v>
      </x:c>
      <x:c r="AC51" s="320">
        <x:v>0</x:v>
      </x:c>
      <x:c r="AD51" s="291">
        <x:f t="shared" si="16"/>
        <x:v>0</x:v>
      </x:c>
      <x:c r="AE51" s="291">
        <x:f>'Reporte Componentes R1'!F708</x:f>
        <x:v>0</x:v>
      </x:c>
      <x:c r="AF51" s="322">
        <x:f t="shared" si="18"/>
        <x:v>0</x:v>
      </x:c>
      <x:c r="AG51" s="326">
        <x:f t="shared" si="19"/>
        <x:v>0</x:v>
      </x:c>
      <x:c r="AH51" s="305" t="b">
        <x:f t="shared" si="17"/>
        <x:v>1</x:v>
      </x:c>
      <x:c r="AI51" s="306"/>
    </x:row>
    <x:row r="52" spans="1:35" s="305" customFormat="1" ht="12.9" thickBot="1" x14ac:dyDescent="0.35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ref="AC52" si="23">SUM(AC47:AC51)</x:f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305" t="b">
        <x:f>INT(AG52)=0</x:f>
        <x:v>1</x:v>
      </x:c>
      <x:c r="AI52" s="306"/>
    </x:row>
    <x:row r="53" spans="1:35" ht="12" thickBot="1" x14ac:dyDescent="0.3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" thickBot="1" x14ac:dyDescent="0.3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" thickBot="1" x14ac:dyDescent="0.3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3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3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35">
      <x:c r="Q58" s="4"/>
      <x:c r="AI58" s="4"/>
    </x:row>
    <x:row r="59" spans="1:35" x14ac:dyDescent="0.3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4.15" x14ac:dyDescent="0.3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2026101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2026101</x:v>
      </x:c>
      <x:c r="AE60" s="84"/>
      <x:c r="AF60" s="48"/>
      <x:c r="AG60" s="2"/>
      <x:c r="AI60" s="4"/>
    </x:row>
    <x:row r="61" spans="1:35" ht="15.45" x14ac:dyDescent="0.4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4.15" x14ac:dyDescent="0.3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45" x14ac:dyDescent="0.4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" thickBot="1" x14ac:dyDescent="0.3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3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106</x:v>
      </x:c>
      <x:c r="AF65" s="39" t="s">
        <x:v>23</x:v>
      </x:c>
      <x:c r="AG65" s="13"/>
      <x:c r="AI65" s="4"/>
    </x:row>
    <x:row r="66" spans="1:35" s="305" customFormat="1" x14ac:dyDescent="0.3">
      <x:c r="B66" s="303">
        <x:v>1</x:v>
      </x:c>
      <x:c r="C66" s="304" t="s">
        <x:v>10</x:v>
      </x:c>
      <x:c r="D66" s="291">
        <x:f>'Reversion Pagos R4'!D88</x:f>
        <x:v>0</x:v>
      </x:c>
      <x:c r="E66" s="292">
        <x:f>'Reversion Pagos R4'!E88</x:f>
        <x:v>0</x:v>
      </x:c>
      <x:c r="F66" s="292">
        <x:f>'Reversion Pagos R4'!F88</x:f>
        <x:v>0</x:v>
      </x:c>
      <x:c r="G66" s="292">
        <x:f>'Reversion Pagos R4'!G88</x:f>
        <x:v>0</x:v>
      </x:c>
      <x:c r="H66" s="292">
        <x:f>'Reversion Pagos R4'!H88</x:f>
        <x:v>0</x:v>
      </x:c>
      <x:c r="I66" s="292">
        <x:f>'Reversion Pagos R4'!I88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R4'!P88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R4'!J88</x:f>
        <x:v>0</x:v>
      </x:c>
      <x:c r="V66" s="308">
        <x:f>'Reversion Pagos R4'!K88</x:f>
        <x:v>0</x:v>
      </x:c>
      <x:c r="W66" s="308">
        <x:f>'Reversion Pagos R4'!L88</x:f>
        <x:v>0</x:v>
      </x:c>
      <x:c r="X66" s="308">
        <x:f>'Reversion Pagos R4'!M88</x:f>
        <x:v>0</x:v>
      </x:c>
      <x:c r="Y66" s="308">
        <x:f>'Reversion Pagos R4'!N88</x:f>
        <x:v>0</x:v>
      </x:c>
      <x:c r="Z66" s="310">
        <x:f>-L66</x:f>
        <x:v>0</x:v>
      </x:c>
      <x:c r="AA66" s="311">
        <x:f>'Reversion Pagos R4'!O88+'Reversion Pagos R4'!Q88</x:f>
        <x:v>0</x:v>
      </x:c>
      <x:c r="AB66" s="294">
        <x:f>N66</x:f>
        <x:v>0</x:v>
      </x:c>
      <x:c r="AC66" s="311">
        <x:v>0</x:v>
      </x:c>
      <x:c r="AD66" s="291">
        <x:f>-J66+AE66</x:f>
        <x:v>0</x:v>
      </x:c>
      <x:c r="AE66" s="291">
        <x:f>'Reversion Pagos R4'!D89</x:f>
        <x:v>0</x:v>
      </x:c>
      <x:c r="AF66" s="313">
        <x:f>SUM(U66:AD66)</x:f>
        <x:v>0</x:v>
      </x:c>
      <x:c r="AG66" s="311">
        <x:f>(AF66-O66)</x:f>
        <x:v>0</x:v>
      </x:c>
      <x:c r="AH66" s="305" t="b">
        <x:f>INT(AG66)=0</x:f>
        <x:v>1</x:v>
      </x:c>
      <x:c r="AI66" s="306"/>
    </x:row>
    <x:row r="67" spans="1:35" s="305" customFormat="1" x14ac:dyDescent="0.3">
      <x:c r="B67" s="314">
        <x:v>2</x:v>
      </x:c>
      <x:c r="C67" s="315" t="s">
        <x:v>11</x:v>
      </x:c>
      <x:c r="D67" s="291">
        <x:f>'Reversion Pagos R4'!D189</x:f>
        <x:v>0</x:v>
      </x:c>
      <x:c r="E67" s="292">
        <x:f>'Reversion Pagos R4'!E189</x:f>
        <x:v>0</x:v>
      </x:c>
      <x:c r="F67" s="292">
        <x:f>'Reversion Pagos R4'!F189</x:f>
        <x:v>0</x:v>
      </x:c>
      <x:c r="G67" s="292">
        <x:f>'Reversion Pagos R4'!G189</x:f>
        <x:v>0</x:v>
      </x:c>
      <x:c r="H67" s="292">
        <x:f>'Reversion Pagos R4'!H189</x:f>
        <x:v>0</x:v>
      </x:c>
      <x:c r="I67" s="292">
        <x:f>'Reversion Pagos R4'!I189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R4'!P189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R4'!J189</x:f>
        <x:v>0</x:v>
      </x:c>
      <x:c r="V67" s="317">
        <x:f>'Reversion Pagos R4'!K189</x:f>
        <x:v>0</x:v>
      </x:c>
      <x:c r="W67" s="317">
        <x:f>'Reversion Pagos R4'!L189</x:f>
        <x:v>0</x:v>
      </x:c>
      <x:c r="X67" s="317">
        <x:f>'Reversion Pagos R4'!M189</x:f>
        <x:v>0</x:v>
      </x:c>
      <x:c r="Y67" s="318">
        <x:f>'Reversion Pagos R4'!N189</x:f>
        <x:v>0</x:v>
      </x:c>
      <x:c r="Z67" s="319">
        <x:f t="shared" ref="Z67:Z70" si="26">-L67</x:f>
        <x:v>0</x:v>
      </x:c>
      <x:c r="AA67" s="320">
        <x:f>'Reversion Pagos R4'!O189</x:f>
        <x:v>0</x:v>
      </x:c>
      <x:c r="AB67" s="294">
        <x:f t="shared" ref="AB67:AB70" si="27">N67</x:f>
        <x:v>0</x:v>
      </x:c>
      <x:c r="AC67" s="320">
        <x:v>0</x:v>
      </x:c>
      <x:c r="AD67" s="291">
        <x:f t="shared" ref="AD67:AD70" si="28">-J67+AE67</x:f>
        <x:v>0</x:v>
      </x:c>
      <x:c r="AE67" s="291">
        <x:f>'Reversion Pagos R4'!D190</x:f>
        <x:v>0</x:v>
      </x:c>
      <x:c r="AF67" s="322">
        <x:f>SUM(U67:AD67)</x:f>
        <x:v>0</x:v>
      </x:c>
      <x:c r="AG67" s="323">
        <x:f>(AF67-O67)</x:f>
        <x:v>0</x:v>
      </x:c>
      <x:c r="AH67" s="305" t="b">
        <x:f t="shared" ref="AH67:AH70" si="29">INT(AG67)=0</x:f>
        <x:v>1</x:v>
      </x:c>
      <x:c r="AI67" s="306"/>
    </x:row>
    <x:row r="68" spans="1:35" s="305" customFormat="1" x14ac:dyDescent="0.3">
      <x:c r="B68" s="314">
        <x:v>3</x:v>
      </x:c>
      <x:c r="C68" s="315" t="s">
        <x:v>12</x:v>
      </x:c>
      <x:c r="D68" s="291">
        <x:f>'Reversion Pagos R4'!D226</x:f>
        <x:v>0</x:v>
      </x:c>
      <x:c r="E68" s="292">
        <x:f>'Reversion Pagos R4'!E226</x:f>
        <x:v>0</x:v>
      </x:c>
      <x:c r="F68" s="292">
        <x:f>'Reversion Pagos R4'!F226</x:f>
        <x:v>0</x:v>
      </x:c>
      <x:c r="G68" s="292">
        <x:f>'Reversion Pagos R4'!G226</x:f>
        <x:v>0</x:v>
      </x:c>
      <x:c r="H68" s="292">
        <x:f>'Reversion Pagos R4'!H226</x:f>
        <x:v>0</x:v>
      </x:c>
      <x:c r="I68" s="292">
        <x:f>'Reversion Pagos R4'!I226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R4'!P226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R4'!J226</x:f>
        <x:v>0</x:v>
      </x:c>
      <x:c r="V68" s="317">
        <x:f>'Reversion Pagos R4'!K226</x:f>
        <x:v>0</x:v>
      </x:c>
      <x:c r="W68" s="317">
        <x:f>'Reversion Pagos R4'!L226</x:f>
        <x:v>0</x:v>
      </x:c>
      <x:c r="X68" s="317">
        <x:f>'Reversion Pagos R4'!M226</x:f>
        <x:v>0</x:v>
      </x:c>
      <x:c r="Y68" s="318">
        <x:f>'Reversion Pagos R4'!N226</x:f>
        <x:v>0</x:v>
      </x:c>
      <x:c r="Z68" s="319">
        <x:f t="shared" si="26"/>
        <x:v>0</x:v>
      </x:c>
      <x:c r="AA68" s="320">
        <x:f>'Reversion Pagos R4'!O226</x:f>
        <x:v>0</x:v>
      </x:c>
      <x:c r="AB68" s="294">
        <x:f t="shared" si="27"/>
        <x:v>0</x:v>
      </x:c>
      <x:c r="AC68" s="320">
        <x:v>0</x:v>
      </x:c>
      <x:c r="AD68" s="291">
        <x:f t="shared" si="28"/>
        <x:v>0</x:v>
      </x:c>
      <x:c r="AE68" s="291">
        <x:f>'Reversion Pagos R4'!D227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305" t="b">
        <x:f t="shared" si="29"/>
        <x:v>1</x:v>
      </x:c>
      <x:c r="AI68" s="306"/>
    </x:row>
    <x:row r="69" spans="1:35" s="305" customFormat="1" x14ac:dyDescent="0.3">
      <x:c r="B69" s="314">
        <x:v>4</x:v>
      </x:c>
      <x:c r="C69" s="315" t="s">
        <x:v>13</x:v>
      </x:c>
      <x:c r="D69" s="291">
        <x:f>'Reversion Pagos R4'!D341</x:f>
        <x:v>0</x:v>
      </x:c>
      <x:c r="E69" s="292">
        <x:f>'Reversion Pagos R4'!E341</x:f>
        <x:v>0</x:v>
      </x:c>
      <x:c r="F69" s="292">
        <x:f>'Reversion Pagos R4'!F341</x:f>
        <x:v>0</x:v>
      </x:c>
      <x:c r="G69" s="292">
        <x:f>'Reversion Pagos R4'!G341</x:f>
        <x:v>0</x:v>
      </x:c>
      <x:c r="H69" s="292">
        <x:f>'Reversion Pagos R4'!H341</x:f>
        <x:v>0</x:v>
      </x:c>
      <x:c r="I69" s="292">
        <x:f>'Reversion Pagos R4'!I341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R4'!P341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R4'!J341</x:f>
        <x:v>0</x:v>
      </x:c>
      <x:c r="V69" s="317">
        <x:f>'Reversion Pagos R4'!K341</x:f>
        <x:v>0</x:v>
      </x:c>
      <x:c r="W69" s="317">
        <x:f>'Reversion Pagos R4'!L341</x:f>
        <x:v>0</x:v>
      </x:c>
      <x:c r="X69" s="317">
        <x:f>'Reversion Pagos R4'!M341</x:f>
        <x:v>0</x:v>
      </x:c>
      <x:c r="Y69" s="318">
        <x:f>'Reversion Pagos R4'!N341</x:f>
        <x:v>0</x:v>
      </x:c>
      <x:c r="Z69" s="319">
        <x:f t="shared" si="26"/>
        <x:v>0</x:v>
      </x:c>
      <x:c r="AA69" s="320">
        <x:f>'Reversion Pagos R4'!O341</x:f>
        <x:v>0</x:v>
      </x:c>
      <x:c r="AB69" s="294">
        <x:f t="shared" si="27"/>
        <x:v>0</x:v>
      </x:c>
      <x:c r="AC69" s="320">
        <x:v>0</x:v>
      </x:c>
      <x:c r="AD69" s="291">
        <x:f t="shared" si="28"/>
        <x:v>0</x:v>
      </x:c>
      <x:c r="AE69" s="291">
        <x:f>'Reversion Pagos R4'!D342</x:f>
        <x:v>0</x:v>
      </x:c>
      <x:c r="AF69" s="322">
        <x:f>SUM(U69:AD69)</x:f>
        <x:v>0</x:v>
      </x:c>
      <x:c r="AG69" s="323">
        <x:f>(AF69-O69)</x:f>
        <x:v>0</x:v>
      </x:c>
      <x:c r="AH69" s="305" t="b">
        <x:f t="shared" si="29"/>
        <x:v>1</x:v>
      </x:c>
      <x:c r="AI69" s="306"/>
    </x:row>
    <x:row r="70" spans="1:35" s="305" customFormat="1" ht="12" thickBot="1" x14ac:dyDescent="0.35">
      <x:c r="B70" s="324">
        <x:v>5</x:v>
      </x:c>
      <x:c r="C70" s="325" t="s">
        <x:v>14</x:v>
      </x:c>
      <x:c r="D70" s="296">
        <x:f>'Reversion Pagos R4'!D376</x:f>
        <x:v>0</x:v>
      </x:c>
      <x:c r="E70" s="297">
        <x:f>'Reversion Pagos R4'!E376</x:f>
        <x:v>0</x:v>
      </x:c>
      <x:c r="F70" s="297">
        <x:f>'Reversion Pagos R4'!F376</x:f>
        <x:v>0</x:v>
      </x:c>
      <x:c r="G70" s="297">
        <x:f>'Reversion Pagos R4'!G376</x:f>
        <x:v>0</x:v>
      </x:c>
      <x:c r="H70" s="297">
        <x:f>'Reversion Pagos R4'!H376</x:f>
        <x:v>0</x:v>
      </x:c>
      <x:c r="I70" s="297">
        <x:f>'Reversion Pagos R4'!I376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R4'!P376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R4'!J376</x:f>
        <x:v>0</x:v>
      </x:c>
      <x:c r="V70" s="297">
        <x:f>'Reversion Pagos R4'!K376</x:f>
        <x:v>0</x:v>
      </x:c>
      <x:c r="W70" s="297">
        <x:f>'Reversion Pagos R4'!L376</x:f>
        <x:v>0</x:v>
      </x:c>
      <x:c r="X70" s="297">
        <x:f>'Reversion Pagos R4'!M376</x:f>
        <x:v>0</x:v>
      </x:c>
      <x:c r="Y70" s="289">
        <x:f>'Reversion Pagos R4'!N376</x:f>
        <x:v>0</x:v>
      </x:c>
      <x:c r="Z70" s="319">
        <x:f t="shared" si="26"/>
        <x:v>0</x:v>
      </x:c>
      <x:c r="AA70" s="320">
        <x:f>'Reversion Pagos R4'!O376</x:f>
        <x:v>0</x:v>
      </x:c>
      <x:c r="AB70" s="294">
        <x:f t="shared" si="27"/>
        <x:v>0</x:v>
      </x:c>
      <x:c r="AC70" s="320">
        <x:v>0</x:v>
      </x:c>
      <x:c r="AD70" s="291">
        <x:f t="shared" si="28"/>
        <x:v>0</x:v>
      </x:c>
      <x:c r="AE70" s="291">
        <x:f>'Reversion Pagos R4'!D377</x:f>
        <x:v>0</x:v>
      </x:c>
      <x:c r="AF70" s="322">
        <x:f t="shared" si="30"/>
        <x:v>0</x:v>
      </x:c>
      <x:c r="AG70" s="326">
        <x:f t="shared" si="31"/>
        <x:v>0</x:v>
      </x:c>
      <x:c r="AH70" s="305" t="b">
        <x:f t="shared" si="29"/>
        <x:v>1</x:v>
      </x:c>
      <x:c r="AI70" s="306"/>
    </x:row>
    <x:row r="71" spans="1:35" s="305" customFormat="1" ht="12.9" thickBot="1" x14ac:dyDescent="0.35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si="33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305" t="b">
        <x:f>INT(AG71)=0</x:f>
        <x:v>1</x:v>
      </x:c>
      <x:c r="AI71" s="306"/>
    </x:row>
    <x:row r="72" spans="1:35" ht="12" thickBot="1" x14ac:dyDescent="0.3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" thickBot="1" x14ac:dyDescent="0.3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" thickBot="1" x14ac:dyDescent="0.3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3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3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35">
      <x:c r="Q77" s="4"/>
      <x:c r="AI77" s="4"/>
    </x:row>
    <x:row r="78" spans="1:35" x14ac:dyDescent="0.3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4.15" x14ac:dyDescent="0.3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2026101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2026101</x:v>
      </x:c>
      <x:c r="AE79" s="84"/>
      <x:c r="AF79" s="48"/>
      <x:c r="AG79" s="2"/>
      <x:c r="AI79" s="4"/>
    </x:row>
    <x:row r="80" spans="1:35" ht="15.45" x14ac:dyDescent="0.4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4.15" x14ac:dyDescent="0.3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45" x14ac:dyDescent="0.4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" thickBot="1" x14ac:dyDescent="0.3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3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x14ac:dyDescent="0.3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f>-L85</x:f>
        <x:v>0</x:v>
      </x:c>
      <x:c r="AA85" s="311">
        <x:v>0</x:v>
      </x:c>
      <x:c r="AB85" s="294">
        <x:f>N85</x:f>
        <x:v>0</x:v>
      </x:c>
      <x:c r="AC85" s="311">
        <x:v>0</x:v>
      </x:c>
      <x:c r="AD85" s="291">
        <x:f>-J85+AE85</x:f>
        <x:v>0</x:v>
      </x:c>
      <x:c r="AE85" s="291">
        <x:v>0</x:v>
      </x:c>
      <x:c r="AF85" s="313">
        <x:f>SUM(U85:AD85)</x:f>
        <x:v>0</x:v>
      </x:c>
      <x:c r="AG85" s="311">
        <x:f>AF85-O85</x:f>
        <x:v>0</x:v>
      </x:c>
      <x:c r="AH85" s="305" t="b">
        <x:f>INT(AG85)=0</x:f>
        <x:v>1</x:v>
      </x:c>
      <x:c r="AI85" s="306"/>
    </x:row>
    <x:row r="86" spans="1:35" s="305" customFormat="1" x14ac:dyDescent="0.3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88">
        <x:v>0</x:v>
      </x:c>
      <x:c r="K86" s="295">
        <x:f t="shared" ref="K86:K89" si="34">D86-E86-F86-G86-H86-I86-J86</x:f>
        <x:v>0</x:v>
      </x:c>
      <x:c r="L86" s="294">
        <x:v>0</x:v>
      </x:c>
      <x:c r="M86" s="295">
        <x:f>K86-L86</x:f>
        <x:v>0</x:v>
      </x:c>
      <x:c r="N86" s="294">
        <x:v>0</x:v>
      </x:c>
      <x:c r="O86" s="295">
        <x:f t="shared" ref="O86:O89" si="35">M86+N86</x:f>
        <x:v>0</x:v>
      </x:c>
      <x:c r="Q86" s="306"/>
      <x:c r="S86" s="314">
        <x:v>2</x:v>
      </x:c>
      <x:c r="T86" s="315" t="s">
        <x:v>11</x:v>
      </x:c>
      <x:c r="U86" s="316">
        <x:v>0</x:v>
      </x:c>
      <x:c r="V86" s="317">
        <x:v>0</x:v>
      </x:c>
      <x:c r="W86" s="317">
        <x:v>0</x:v>
      </x:c>
      <x:c r="X86" s="317">
        <x:v>0</x:v>
      </x:c>
      <x:c r="Y86" s="318">
        <x:v>0</x:v>
      </x:c>
      <x:c r="Z86" s="319">
        <x:f>-L86</x:f>
        <x:v>0</x:v>
      </x:c>
      <x:c r="AA86" s="320">
        <x:v>0</x:v>
      </x:c>
      <x:c r="AB86" s="294">
        <x:f>N86</x:f>
        <x:v>0</x:v>
      </x:c>
      <x:c r="AC86" s="320">
        <x:v>0</x:v>
      </x:c>
      <x:c r="AD86" s="291">
        <x:f t="shared" ref="AD86:AD89" si="36">-J86+AE86</x:f>
        <x:v>0</x:v>
      </x:c>
      <x:c r="AE86" s="291">
        <x:v>0</x:v>
      </x:c>
      <x:c r="AF86" s="322">
        <x:f>SUM(U86:AD86)</x:f>
        <x:v>0</x:v>
      </x:c>
      <x:c r="AG86" s="323">
        <x:f>AF86-O86</x:f>
        <x:v>0</x:v>
      </x:c>
      <x:c r="AH86" s="305" t="b">
        <x:f t="shared" ref="AH86:AH89" si="37">INT(AG86)=0</x:f>
        <x:v>1</x:v>
      </x:c>
      <x:c r="AI86" s="306"/>
    </x:row>
    <x:row r="87" spans="1:35" s="305" customFormat="1" x14ac:dyDescent="0.3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4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5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f>-L87</x:f>
        <x:v>0</x:v>
      </x:c>
      <x:c r="AA87" s="320">
        <x:v>0</x:v>
      </x:c>
      <x:c r="AB87" s="294">
        <x:f>N87</x:f>
        <x:v>0</x:v>
      </x:c>
      <x:c r="AC87" s="320">
        <x:v>0</x:v>
      </x:c>
      <x:c r="AD87" s="291">
        <x:f t="shared" si="36"/>
        <x:v>0</x:v>
      </x:c>
      <x:c r="AE87" s="291">
        <x:v>0</x:v>
      </x:c>
      <x:c r="AF87" s="322">
        <x:f t="shared" ref="AF87:AF89" si="38">SUM(U87:AD87)</x:f>
        <x:v>0</x:v>
      </x:c>
      <x:c r="AG87" s="323">
        <x:f>AF87-O87</x:f>
        <x:v>0</x:v>
      </x:c>
      <x:c r="AH87" s="305" t="b">
        <x:f t="shared" si="37"/>
        <x:v>1</x:v>
      </x:c>
      <x:c r="AI87" s="306"/>
    </x:row>
    <x:row r="88" spans="1:35" s="305" customFormat="1" x14ac:dyDescent="0.3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88">
        <x:v>0</x:v>
      </x:c>
      <x:c r="K88" s="295">
        <x:f t="shared" si="34"/>
        <x:v>0</x:v>
      </x:c>
      <x:c r="L88" s="294">
        <x:v>0</x:v>
      </x:c>
      <x:c r="M88" s="295">
        <x:f>K88-L88</x:f>
        <x:v>0</x:v>
      </x:c>
      <x:c r="N88" s="294">
        <x:v>0</x:v>
      </x:c>
      <x:c r="O88" s="295">
        <x:f t="shared" si="35"/>
        <x:v>0</x:v>
      </x:c>
      <x:c r="Q88" s="306"/>
      <x:c r="S88" s="314">
        <x:v>4</x:v>
      </x:c>
      <x:c r="T88" s="315" t="s">
        <x:v>13</x:v>
      </x:c>
      <x:c r="U88" s="316">
        <x:v>0</x:v>
      </x:c>
      <x:c r="V88" s="317">
        <x:v>0</x:v>
      </x:c>
      <x:c r="W88" s="317">
        <x:v>0</x:v>
      </x:c>
      <x:c r="X88" s="317">
        <x:v>0</x:v>
      </x:c>
      <x:c r="Y88" s="318">
        <x:v>0</x:v>
      </x:c>
      <x:c r="Z88" s="319">
        <x:f>-L88</x:f>
        <x:v>0</x:v>
      </x:c>
      <x:c r="AA88" s="320">
        <x:v>0</x:v>
      </x:c>
      <x:c r="AB88" s="294">
        <x:f>N88</x:f>
        <x:v>0</x:v>
      </x:c>
      <x:c r="AC88" s="320">
        <x:v>0</x:v>
      </x:c>
      <x:c r="AD88" s="291">
        <x:f t="shared" si="36"/>
        <x:v>0</x:v>
      </x:c>
      <x:c r="AE88" s="291">
        <x:v>0</x:v>
      </x:c>
      <x:c r="AF88" s="322">
        <x:f t="shared" si="38"/>
        <x:v>0</x:v>
      </x:c>
      <x:c r="AG88" s="323">
        <x:f>AF88-O88</x:f>
        <x:v>0</x:v>
      </x:c>
      <x:c r="AH88" s="305" t="b">
        <x:f t="shared" si="37"/>
        <x:v>1</x:v>
      </x:c>
      <x:c r="AI88" s="306"/>
    </x:row>
    <x:row r="89" spans="1:35" s="305" customFormat="1" ht="12" thickBot="1" x14ac:dyDescent="0.35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4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5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f>-L89</x:f>
        <x:v>0</x:v>
      </x:c>
      <x:c r="AA89" s="320">
        <x:v>0</x:v>
      </x:c>
      <x:c r="AB89" s="294">
        <x:f>N89</x:f>
        <x:v>0</x:v>
      </x:c>
      <x:c r="AC89" s="320">
        <x:v>0</x:v>
      </x:c>
      <x:c r="AD89" s="291">
        <x:f t="shared" si="36"/>
        <x:v>0</x:v>
      </x:c>
      <x:c r="AE89" s="291">
        <x:v>0</x:v>
      </x:c>
      <x:c r="AF89" s="322">
        <x:f t="shared" si="38"/>
        <x:v>0</x:v>
      </x:c>
      <x:c r="AG89" s="326">
        <x:f>AF89-O89</x:f>
        <x:v>0</x:v>
      </x:c>
      <x:c r="AH89" s="305" t="b">
        <x:f t="shared" si="37"/>
        <x:v>1</x:v>
      </x:c>
      <x:c r="AI89" s="306"/>
    </x:row>
    <x:row r="90" spans="1:35" s="305" customFormat="1" ht="12.9" thickBot="1" x14ac:dyDescent="0.35">
      <x:c r="B90" s="327"/>
      <x:c r="C90" s="328" t="s">
        <x:v>2</x:v>
      </x:c>
      <x:c r="D90" s="290">
        <x:f t="shared" ref="D90:O90" si="39">SUM(D85:D89)</x:f>
        <x:v>0</x:v>
      </x:c>
      <x:c r="E90" s="290">
        <x:f t="shared" si="39"/>
        <x:v>0</x:v>
      </x:c>
      <x:c r="F90" s="290">
        <x:f t="shared" si="39"/>
        <x:v>0</x:v>
      </x:c>
      <x:c r="G90" s="290">
        <x:f t="shared" si="39"/>
        <x:v>0</x:v>
      </x:c>
      <x:c r="H90" s="290">
        <x:f t="shared" si="39"/>
        <x:v>0</x:v>
      </x:c>
      <x:c r="I90" s="290">
        <x:f t="shared" si="39"/>
        <x:v>0</x:v>
      </x:c>
      <x:c r="J90" s="290">
        <x:f t="shared" si="39"/>
        <x:v>0</x:v>
      </x:c>
      <x:c r="K90" s="300">
        <x:f t="shared" si="39"/>
        <x:v>0</x:v>
      </x:c>
      <x:c r="L90" s="301">
        <x:f t="shared" si="39"/>
        <x:v>0</x:v>
      </x:c>
      <x:c r="M90" s="302">
        <x:f t="shared" si="39"/>
        <x:v>0</x:v>
      </x:c>
      <x:c r="N90" s="301">
        <x:f t="shared" si="39"/>
        <x:v>0</x:v>
      </x:c>
      <x:c r="O90" s="302">
        <x:f t="shared" si="39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0">SUM(V85:V89)</x:f>
        <x:v>0</x:v>
      </x:c>
      <x:c r="W90" s="330">
        <x:f t="shared" si="40"/>
        <x:v>0</x:v>
      </x:c>
      <x:c r="X90" s="330">
        <x:f t="shared" si="40"/>
        <x:v>0</x:v>
      </x:c>
      <x:c r="Y90" s="330">
        <x:f t="shared" si="40"/>
        <x:v>0</x:v>
      </x:c>
      <x:c r="Z90" s="290">
        <x:f t="shared" si="40"/>
        <x:v>0</x:v>
      </x:c>
      <x:c r="AA90" s="290">
        <x:f t="shared" si="40"/>
        <x:v>0</x:v>
      </x:c>
      <x:c r="AB90" s="290">
        <x:f t="shared" si="40"/>
        <x:v>0</x:v>
      </x:c>
      <x:c r="AC90" s="290">
        <x:f t="shared" si="40"/>
        <x:v>0</x:v>
      </x:c>
      <x:c r="AD90" s="290">
        <x:f t="shared" si="40"/>
        <x:v>0</x:v>
      </x:c>
      <x:c r="AE90" s="290">
        <x:f t="shared" si="40"/>
        <x:v>0</x:v>
      </x:c>
      <x:c r="AF90" s="331">
        <x:f t="shared" si="40"/>
        <x:v>0</x:v>
      </x:c>
      <x:c r="AG90" s="332">
        <x:f t="shared" si="40"/>
        <x:v>0</x:v>
      </x:c>
      <x:c r="AH90" s="305" t="b">
        <x:f>INT(AG90)=0</x:f>
        <x:v>1</x:v>
      </x:c>
      <x:c r="AI90" s="306"/>
    </x:row>
    <x:row r="91" spans="1:35" ht="12" thickBot="1" x14ac:dyDescent="0.3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" thickBot="1" x14ac:dyDescent="0.3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" thickBot="1" x14ac:dyDescent="0.3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3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3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35">
      <x:c r="Q96" s="4"/>
      <x:c r="AI96" s="4"/>
    </x:row>
    <x:row r="97" spans="2:36" x14ac:dyDescent="0.3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4.15" x14ac:dyDescent="0.3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2026101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2026101</x:v>
      </x:c>
      <x:c r="AE98" s="84"/>
      <x:c r="AF98" s="48"/>
      <x:c r="AG98" s="2"/>
      <x:c r="AI98" s="4"/>
    </x:row>
    <x:row r="99" spans="2:36" ht="15.45" x14ac:dyDescent="0.4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4.15" x14ac:dyDescent="0.3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45" x14ac:dyDescent="0.4">
      <x:c r="B101" s="8"/>
      <x:c r="C101" s="598" t="s">
        <x:v>17</x:v>
      </x:c>
      <x:c r="D101" s="9">
        <x:f>D6</x:f>
        <x:v>46297</x:v>
      </x:c>
      <x:c r="F101" s="58" t="s">
        <x:v>220</x:v>
      </x:c>
      <x:c r="G101" s="58"/>
      <x:c r="H101" s="59"/>
      <x:c r="I101" s="60"/>
      <x:c r="J101" s="59"/>
      <x:c r="K101" s="60"/>
      <x:c r="L101" s="91"/>
      <x:c r="O101" s="10"/>
      <x:c r="P101" s="2"/>
      <x:c r="Q101" s="4"/>
      <x:c r="S101" s="8"/>
      <x:c r="T101" s="41" t="s">
        <x:v>1</x:v>
      </x:c>
      <x:c r="U101" s="58" t="s">
        <x:v>221</x:v>
      </x:c>
      <x:c r="V101" s="59"/>
      <x:c r="W101" s="60"/>
      <x:c r="X101" s="59"/>
      <x:c r="Y101" s="2"/>
      <x:c r="AF101" s="48"/>
      <x:c r="AG101" s="2"/>
      <x:c r="AI101" s="4"/>
    </x:row>
    <x:row r="102" spans="2:36" ht="18.45" thickBot="1" x14ac:dyDescent="0.6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3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3">
      <x:c r="B104" s="303">
        <x:v>1</x:v>
      </x:c>
      <x:c r="C104" s="304" t="s">
        <x:v>10</x:v>
      </x:c>
      <x:c r="D104" s="291">
        <x:f t="shared" ref="D104:J108" si="41">D9+D28+D47+D66+D85</x:f>
        <x:v>0</x:v>
      </x:c>
      <x:c r="E104" s="292">
        <x:f t="shared" si="41"/>
        <x:v>0</x:v>
      </x:c>
      <x:c r="F104" s="292">
        <x:f t="shared" si="41"/>
        <x:v>0</x:v>
      </x:c>
      <x:c r="G104" s="292">
        <x:f t="shared" si="41"/>
        <x:v>0</x:v>
      </x:c>
      <x:c r="H104" s="292">
        <x:f t="shared" si="41"/>
        <x:v>0</x:v>
      </x:c>
      <x:c r="I104" s="292">
        <x:f t="shared" si="41"/>
        <x:v>0</x:v>
      </x:c>
      <x:c r="J104" s="288">
        <x:f t="shared" si="41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B108" si="42">U9+U28+U47+U66+U85</x:f>
        <x:v>0</x:v>
      </x:c>
      <x:c r="V104" s="308">
        <x:f t="shared" si="42"/>
        <x:v>0</x:v>
      </x:c>
      <x:c r="W104" s="308">
        <x:f t="shared" si="42"/>
        <x:v>0</x:v>
      </x:c>
      <x:c r="X104" s="308">
        <x:f t="shared" si="42"/>
        <x:v>0</x:v>
      </x:c>
      <x:c r="Y104" s="309">
        <x:f t="shared" si="42"/>
        <x:v>0</x:v>
      </x:c>
      <x:c r="Z104" s="310">
        <x:f t="shared" si="42"/>
        <x:v>0</x:v>
      </x:c>
      <x:c r="AA104" s="311">
        <x:f t="shared" si="42"/>
        <x:v>0</x:v>
      </x:c>
      <x:c r="AB104" s="294">
        <x:f t="shared" si="42"/>
        <x:v>0</x:v>
      </x:c>
      <x:c r="AC104" s="311">
        <x:f t="shared" ref="AC104" si="43"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 t="shared" ref="AH104:AH109" si="44">INT(ABS(AG104))=0</x:f>
        <x:v>1</x:v>
      </x:c>
      <x:c r="AI104" s="306"/>
    </x:row>
    <x:row r="105" spans="2:36" s="305" customFormat="1" x14ac:dyDescent="0.3">
      <x:c r="B105" s="314">
        <x:v>2</x:v>
      </x:c>
      <x:c r="C105" s="315" t="s">
        <x:v>11</x:v>
      </x:c>
      <x:c r="D105" s="291">
        <x:f t="shared" si="41"/>
        <x:v>0</x:v>
      </x:c>
      <x:c r="E105" s="292">
        <x:f t="shared" si="41"/>
        <x:v>0</x:v>
      </x:c>
      <x:c r="F105" s="292">
        <x:f t="shared" si="41"/>
        <x:v>0</x:v>
      </x:c>
      <x:c r="G105" s="292">
        <x:f t="shared" si="41"/>
        <x:v>0</x:v>
      </x:c>
      <x:c r="H105" s="292">
        <x:f t="shared" si="41"/>
        <x:v>0</x:v>
      </x:c>
      <x:c r="I105" s="292">
        <x:f t="shared" si="41"/>
        <x:v>0</x:v>
      </x:c>
      <x:c r="J105" s="288">
        <x:f t="shared" si="41"/>
        <x:v>0</x:v>
      </x:c>
      <x:c r="K105" s="295">
        <x:f t="shared" ref="K105:K108" si="45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6">M105+N105</x:f>
        <x:v>0</x:v>
      </x:c>
      <x:c r="Q105" s="306"/>
      <x:c r="S105" s="314">
        <x:v>2</x:v>
      </x:c>
      <x:c r="T105" s="315" t="s">
        <x:v>11</x:v>
      </x:c>
      <x:c r="U105" s="316">
        <x:f t="shared" si="42"/>
        <x:v>0</x:v>
      </x:c>
      <x:c r="V105" s="317">
        <x:f t="shared" si="42"/>
        <x:v>0</x:v>
      </x:c>
      <x:c r="W105" s="317">
        <x:f t="shared" si="42"/>
        <x:v>0</x:v>
      </x:c>
      <x:c r="X105" s="317">
        <x:f t="shared" si="42"/>
        <x:v>0</x:v>
      </x:c>
      <x:c r="Y105" s="318">
        <x:f t="shared" si="42"/>
        <x:v>0</x:v>
      </x:c>
      <x:c r="Z105" s="319">
        <x:f t="shared" si="42"/>
        <x:v>0</x:v>
      </x:c>
      <x:c r="AA105" s="320">
        <x:f t="shared" si="42"/>
        <x:v>0</x:v>
      </x:c>
      <x:c r="AB105" s="294">
        <x:f t="shared" si="42"/>
        <x:v>0</x:v>
      </x:c>
      <x:c r="AC105" s="320">
        <x:f t="shared" ref="AC105" si="47">AC10+AC29+AC48+AC67+AC86</x:f>
        <x:v>0</x:v>
      </x:c>
      <x:c r="AD105" s="291">
        <x:f t="shared" ref="AD105:AD107" si="48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si="44"/>
        <x:v>1</x:v>
      </x:c>
      <x:c r="AI105" s="306"/>
    </x:row>
    <x:row r="106" spans="2:36" s="305" customFormat="1" x14ac:dyDescent="0.3">
      <x:c r="B106" s="314">
        <x:v>3</x:v>
      </x:c>
      <x:c r="C106" s="315" t="s">
        <x:v>12</x:v>
      </x:c>
      <x:c r="D106" s="291">
        <x:f t="shared" si="41"/>
        <x:v>0</x:v>
      </x:c>
      <x:c r="E106" s="292">
        <x:f t="shared" si="41"/>
        <x:v>0</x:v>
      </x:c>
      <x:c r="F106" s="292">
        <x:f t="shared" si="41"/>
        <x:v>0</x:v>
      </x:c>
      <x:c r="G106" s="292">
        <x:f t="shared" si="41"/>
        <x:v>0</x:v>
      </x:c>
      <x:c r="H106" s="292">
        <x:f t="shared" si="41"/>
        <x:v>0</x:v>
      </x:c>
      <x:c r="I106" s="292">
        <x:f t="shared" si="41"/>
        <x:v>0</x:v>
      </x:c>
      <x:c r="J106" s="288">
        <x:f t="shared" si="41"/>
        <x:v>0</x:v>
      </x:c>
      <x:c r="K106" s="295">
        <x:f t="shared" si="45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6"/>
        <x:v>0</x:v>
      </x:c>
      <x:c r="Q106" s="306"/>
      <x:c r="S106" s="314">
        <x:v>3</x:v>
      </x:c>
      <x:c r="T106" s="315" t="s">
        <x:v>12</x:v>
      </x:c>
      <x:c r="U106" s="316">
        <x:f t="shared" si="42"/>
        <x:v>0</x:v>
      </x:c>
      <x:c r="V106" s="317">
        <x:f t="shared" si="42"/>
        <x:v>0</x:v>
      </x:c>
      <x:c r="W106" s="317">
        <x:f t="shared" si="42"/>
        <x:v>0</x:v>
      </x:c>
      <x:c r="X106" s="317">
        <x:f t="shared" si="42"/>
        <x:v>0</x:v>
      </x:c>
      <x:c r="Y106" s="318">
        <x:f t="shared" si="42"/>
        <x:v>0</x:v>
      </x:c>
      <x:c r="Z106" s="319">
        <x:f t="shared" si="42"/>
        <x:v>0</x:v>
      </x:c>
      <x:c r="AA106" s="320">
        <x:f t="shared" si="42"/>
        <x:v>0</x:v>
      </x:c>
      <x:c r="AB106" s="294">
        <x:f t="shared" si="42"/>
        <x:v>0</x:v>
      </x:c>
      <x:c r="AC106" s="320">
        <x:f t="shared" ref="AC106" si="49">AC11+AC30+AC49+AC68+AC87</x:f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4"/>
        <x:v>1</x:v>
      </x:c>
      <x:c r="AI106" s="306"/>
    </x:row>
    <x:row r="107" spans="2:36" s="305" customFormat="1" x14ac:dyDescent="0.3">
      <x:c r="B107" s="314">
        <x:v>4</x:v>
      </x:c>
      <x:c r="C107" s="315" t="s">
        <x:v>13</x:v>
      </x:c>
      <x:c r="D107" s="291">
        <x:f t="shared" si="41"/>
        <x:v>0</x:v>
      </x:c>
      <x:c r="E107" s="292">
        <x:f t="shared" si="41"/>
        <x:v>0</x:v>
      </x:c>
      <x:c r="F107" s="292">
        <x:f t="shared" si="41"/>
        <x:v>0</x:v>
      </x:c>
      <x:c r="G107" s="292">
        <x:f t="shared" si="41"/>
        <x:v>0</x:v>
      </x:c>
      <x:c r="H107" s="292">
        <x:f t="shared" si="41"/>
        <x:v>0</x:v>
      </x:c>
      <x:c r="I107" s="292">
        <x:f t="shared" si="41"/>
        <x:v>0</x:v>
      </x:c>
      <x:c r="J107" s="288">
        <x:f t="shared" si="41"/>
        <x:v>0</x:v>
      </x:c>
      <x:c r="K107" s="295">
        <x:f t="shared" si="45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6"/>
        <x:v>0</x:v>
      </x:c>
      <x:c r="Q107" s="306"/>
      <x:c r="S107" s="314">
        <x:v>4</x:v>
      </x:c>
      <x:c r="T107" s="315" t="s">
        <x:v>13</x:v>
      </x:c>
      <x:c r="U107" s="316">
        <x:f t="shared" si="42"/>
        <x:v>0</x:v>
      </x:c>
      <x:c r="V107" s="317">
        <x:f t="shared" si="42"/>
        <x:v>0</x:v>
      </x:c>
      <x:c r="W107" s="317">
        <x:f t="shared" si="42"/>
        <x:v>0</x:v>
      </x:c>
      <x:c r="X107" s="317">
        <x:f t="shared" si="42"/>
        <x:v>0</x:v>
      </x:c>
      <x:c r="Y107" s="318">
        <x:f t="shared" si="42"/>
        <x:v>0</x:v>
      </x:c>
      <x:c r="Z107" s="319">
        <x:f t="shared" si="42"/>
        <x:v>0</x:v>
      </x:c>
      <x:c r="AA107" s="320">
        <x:f t="shared" si="42"/>
        <x:v>0</x:v>
      </x:c>
      <x:c r="AB107" s="294">
        <x:f t="shared" si="42"/>
        <x:v>0</x:v>
      </x:c>
      <x:c r="AC107" s="320">
        <x:f t="shared" ref="AC107" si="50">AC12+AC31+AC50+AC69+AC88</x:f>
        <x:v>0</x:v>
      </x:c>
      <x:c r="AD107" s="291">
        <x:f t="shared" si="48"/>
        <x:v>0</x:v>
      </x:c>
      <x:c r="AE107" s="291">
        <x:f>AE12+AE31+AE50+AE69+AE88</x:f>
        <x:v>0</x:v>
      </x:c>
      <x:c r="AF107" s="322">
        <x:f>SUM(U107:AD107)</x:f>
        <x:v>0</x:v>
      </x:c>
      <x:c r="AG107" s="323">
        <x:f>AF107-O107</x:f>
        <x:v>0</x:v>
      </x:c>
      <x:c r="AH107" s="1" t="b">
        <x:f t="shared" si="44"/>
        <x:v>1</x:v>
      </x:c>
      <x:c r="AI107" s="306"/>
    </x:row>
    <x:row r="108" spans="2:36" s="305" customFormat="1" ht="12" thickBot="1" x14ac:dyDescent="0.3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1"/>
        <x:v>0</x:v>
      </x:c>
      <x:c r="F108" s="297">
        <x:f t="shared" si="41"/>
        <x:v>0</x:v>
      </x:c>
      <x:c r="G108" s="297">
        <x:f t="shared" si="41"/>
        <x:v>0</x:v>
      </x:c>
      <x:c r="H108" s="297">
        <x:f t="shared" si="41"/>
        <x:v>0</x:v>
      </x:c>
      <x:c r="I108" s="297">
        <x:f t="shared" si="41"/>
        <x:v>0</x:v>
      </x:c>
      <x:c r="J108" s="289">
        <x:f t="shared" si="41"/>
        <x:v>0</x:v>
      </x:c>
      <x:c r="K108" s="295">
        <x:f t="shared" si="45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6"/>
        <x:v>0</x:v>
      </x:c>
      <x:c r="Q108" s="306"/>
      <x:c r="S108" s="324">
        <x:v>5</x:v>
      </x:c>
      <x:c r="T108" s="325" t="s">
        <x:v>14</x:v>
      </x:c>
      <x:c r="U108" s="296">
        <x:f t="shared" si="42"/>
        <x:v>0</x:v>
      </x:c>
      <x:c r="V108" s="297">
        <x:f t="shared" si="42"/>
        <x:v>0</x:v>
      </x:c>
      <x:c r="W108" s="297">
        <x:f t="shared" si="42"/>
        <x:v>0</x:v>
      </x:c>
      <x:c r="X108" s="297">
        <x:f t="shared" si="42"/>
        <x:v>0</x:v>
      </x:c>
      <x:c r="Y108" s="289">
        <x:f t="shared" si="42"/>
        <x:v>0</x:v>
      </x:c>
      <x:c r="Z108" s="319">
        <x:f t="shared" si="42"/>
        <x:v>0</x:v>
      </x:c>
      <x:c r="AA108" s="320">
        <x:f t="shared" si="42"/>
        <x:v>0</x:v>
      </x:c>
      <x:c r="AB108" s="294">
        <x:f t="shared" si="42"/>
        <x:v>0</x:v>
      </x:c>
      <x:c r="AC108" s="320">
        <x:f t="shared" ref="AC108" si="51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4"/>
        <x:v>1</x:v>
      </x:c>
      <x:c r="AI108" s="306"/>
    </x:row>
    <x:row r="109" spans="2:36" s="305" customFormat="1" ht="12.9" thickBot="1" x14ac:dyDescent="0.35">
      <x:c r="B109" s="327"/>
      <x:c r="C109" s="328" t="s">
        <x:v>2</x:v>
      </x:c>
      <x:c r="D109" s="290">
        <x:f t="shared" ref="D109:O109" si="52">SUM(D104:D108)</x:f>
        <x:v>0</x:v>
      </x:c>
      <x:c r="E109" s="290">
        <x:f t="shared" si="52"/>
        <x:v>0</x:v>
      </x:c>
      <x:c r="F109" s="290">
        <x:f t="shared" si="52"/>
        <x:v>0</x:v>
      </x:c>
      <x:c r="G109" s="290">
        <x:f t="shared" si="52"/>
        <x:v>0</x:v>
      </x:c>
      <x:c r="H109" s="290">
        <x:f t="shared" si="52"/>
        <x:v>0</x:v>
      </x:c>
      <x:c r="I109" s="290">
        <x:f t="shared" si="52"/>
        <x:v>0</x:v>
      </x:c>
      <x:c r="J109" s="290">
        <x:f t="shared" si="52"/>
        <x:v>0</x:v>
      </x:c>
      <x:c r="K109" s="300">
        <x:f t="shared" si="52"/>
        <x:v>0</x:v>
      </x:c>
      <x:c r="L109" s="301">
        <x:f t="shared" si="52"/>
        <x:v>0</x:v>
      </x:c>
      <x:c r="M109" s="302">
        <x:f t="shared" si="52"/>
        <x:v>0</x:v>
      </x:c>
      <x:c r="N109" s="301">
        <x:f t="shared" si="52"/>
        <x:v>0</x:v>
      </x:c>
      <x:c r="O109" s="302">
        <x:f t="shared" si="52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3">SUM(V104:V108)</x:f>
        <x:v>0</x:v>
      </x:c>
      <x:c r="W109" s="330">
        <x:f t="shared" si="53"/>
        <x:v>0</x:v>
      </x:c>
      <x:c r="X109" s="330">
        <x:f t="shared" si="53"/>
        <x:v>0</x:v>
      </x:c>
      <x:c r="Y109" s="330">
        <x:f t="shared" si="53"/>
        <x:v>0</x:v>
      </x:c>
      <x:c r="Z109" s="290">
        <x:f t="shared" si="53"/>
        <x:v>0</x:v>
      </x:c>
      <x:c r="AA109" s="290">
        <x:f t="shared" si="53"/>
        <x:v>0</x:v>
      </x:c>
      <x:c r="AB109" s="290">
        <x:f t="shared" si="53"/>
        <x:v>0</x:v>
      </x:c>
      <x:c r="AC109" s="290">
        <x:f t="shared" ref="AC109" si="54">SUM(AC104:AC108)</x:f>
        <x:v>0</x:v>
      </x:c>
      <x:c r="AD109" s="290">
        <x:f t="shared" si="53"/>
        <x:v>0</x:v>
      </x:c>
      <x:c r="AE109" s="290">
        <x:f>SUM(AE104:AE108)</x:f>
        <x:v>0</x:v>
      </x:c>
      <x:c r="AF109" s="331">
        <x:f t="shared" si="53"/>
        <x:v>0</x:v>
      </x:c>
      <x:c r="AG109" s="332">
        <x:f>SUM(AG104:AG108)</x:f>
        <x:v>0</x:v>
      </x:c>
      <x:c r="AH109" s="1" t="b">
        <x:f t="shared" si="44"/>
        <x:v>1</x:v>
      </x:c>
      <x:c r="AI109" s="306"/>
    </x:row>
    <x:row r="110" spans="2:36" ht="12" thickBot="1" x14ac:dyDescent="0.3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" thickBot="1" x14ac:dyDescent="0.3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" thickBot="1" x14ac:dyDescent="0.3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x14ac:dyDescent="0.3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J113" s="24" t="s">
        <x:v>190</x:v>
      </x:c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3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35">
      <x:c r="Q115" s="4"/>
    </x:row>
    <x:row r="116" spans="1:35" x14ac:dyDescent="0.3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4.15" x14ac:dyDescent="0.3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2026101</x:v>
      </x:c>
      <x:c r="O117" s="10"/>
      <x:c r="P117" s="2"/>
      <x:c r="Q117" s="4"/>
    </x:row>
    <x:row r="118" spans="1:35" ht="15.45" x14ac:dyDescent="0.4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3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3">
      <x:c r="B120" s="8"/>
      <x:c r="I120" s="2"/>
      <x:c r="J120" s="2"/>
      <x:c r="O120" s="10"/>
      <x:c r="P120" s="2"/>
      <x:c r="Q120" s="4"/>
    </x:row>
    <x:row r="121" spans="1:35" ht="15.45" x14ac:dyDescent="0.4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3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" thickBot="1" x14ac:dyDescent="0.3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6.75" thickBot="1" x14ac:dyDescent="0.3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x14ac:dyDescent="0.3">
      <x:c r="B125" s="334">
        <x:v>1</x:v>
      </x:c>
      <x:c r="C125" s="335" t="s">
        <x:v>10</x:v>
      </x:c>
      <x:c r="D125" s="308">
        <x:f>'ANTICIPOS USUARIOS'!R3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USUARIOS'!R12</x:f>
        <x:v>0</x:v>
      </x:c>
      <x:c r="L125" s="309">
        <x:f>-'ANTICIPOS USUARIOS'!R21</x:f>
        <x:v>0</x:v>
      </x:c>
      <x:c r="O125" s="337"/>
      <x:c r="Q125" s="306"/>
    </x:row>
    <x:row r="126" spans="1:35" s="305" customFormat="1" x14ac:dyDescent="0.3">
      <x:c r="B126" s="314">
        <x:v>2</x:v>
      </x:c>
      <x:c r="C126" s="338" t="s">
        <x:v>11</x:v>
      </x:c>
      <x:c r="D126" s="292">
        <x:f>'ANTICIPOS USUARIOS'!R4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5">D67+N67</x:f>
        <x:v>0</x:v>
      </x:c>
      <x:c r="K126" s="288">
        <x:f>'ANTICIPOS USUARIOS'!R13</x:f>
        <x:v>0</x:v>
      </x:c>
      <x:c r="L126" s="288">
        <x:f>-'ANTICIPOS USUARIOS'!R22</x:f>
        <x:v>0</x:v>
      </x:c>
      <x:c r="O126" s="337"/>
      <x:c r="Q126" s="306"/>
    </x:row>
    <x:row r="127" spans="1:35" s="305" customFormat="1" x14ac:dyDescent="0.3">
      <x:c r="B127" s="314">
        <x:v>3</x:v>
      </x:c>
      <x:c r="C127" s="338" t="s">
        <x:v>12</x:v>
      </x:c>
      <x:c r="D127" s="292">
        <x:f>'ANTICIPOS USUARIOS'!R5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5"/>
        <x:v>0</x:v>
      </x:c>
      <x:c r="K127" s="288">
        <x:f>'ANTICIPOS USUARIOS'!R14</x:f>
        <x:v>0</x:v>
      </x:c>
      <x:c r="L127" s="288">
        <x:f>-'ANTICIPOS USUARIOS'!R23</x:f>
        <x:v>0</x:v>
      </x:c>
      <x:c r="O127" s="337"/>
      <x:c r="Q127" s="306"/>
    </x:row>
    <x:row r="128" spans="1:35" s="305" customFormat="1" x14ac:dyDescent="0.3">
      <x:c r="B128" s="314">
        <x:v>4</x:v>
      </x:c>
      <x:c r="C128" s="338" t="s">
        <x:v>13</x:v>
      </x:c>
      <x:c r="D128" s="292">
        <x:f>'ANTICIPOS USUARIOS'!R6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5"/>
        <x:v>0</x:v>
      </x:c>
      <x:c r="K128" s="288">
        <x:f>'ANTICIPOS USUARIOS'!R15</x:f>
        <x:v>0</x:v>
      </x:c>
      <x:c r="L128" s="288">
        <x:f>-'ANTICIPOS USUARIOS'!R24</x:f>
        <x:v>0</x:v>
      </x:c>
      <x:c r="O128" s="337"/>
      <x:c r="Q128" s="306"/>
    </x:row>
    <x:row r="129" spans="1:19" s="305" customFormat="1" x14ac:dyDescent="0.3">
      <x:c r="B129" s="341">
        <x:v>5</x:v>
      </x:c>
      <x:c r="C129" s="342" t="s">
        <x:v>14</x:v>
      </x:c>
      <x:c r="D129" s="292">
        <x:f>'ANTICIPOS USUARIOS'!R7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5"/>
        <x:v>0</x:v>
      </x:c>
      <x:c r="K129" s="288">
        <x:f>'ANTICIPOS USUARIOS'!R16</x:f>
        <x:v>0</x:v>
      </x:c>
      <x:c r="L129" s="288">
        <x:f>-'ANTICIPOS USUARIOS'!R25</x:f>
        <x:v>0</x:v>
      </x:c>
      <x:c r="O129" s="337"/>
      <x:c r="Q129" s="306"/>
    </x:row>
    <x:row r="130" spans="1:19" s="305" customFormat="1" ht="12" thickBot="1" x14ac:dyDescent="0.35">
      <x:c r="B130" s="324" t="s">
        <x:v>89</x:v>
      </x:c>
      <x:c r="C130" s="345" t="s">
        <x:v>113</x:v>
      </x:c>
      <x:c r="D130" s="297"/>
      <x:c r="E130" s="289">
        <x:f>'Recaudo EAAB + Ciud Limp'!D26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</x:row>
    <x:row r="131" spans="1:19" s="305" customFormat="1" ht="12" thickBot="1" x14ac:dyDescent="0.35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56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</x:row>
    <x:row r="132" spans="1:19" x14ac:dyDescent="0.3">
      <x:c r="B132" s="2"/>
      <x:c r="C132" s="2"/>
      <x:c r="D132" s="24"/>
      <x:c r="Q132" s="4"/>
    </x:row>
    <x:row r="133" spans="1:19" x14ac:dyDescent="0.3">
      <x:c r="B133" s="2"/>
      <x:c r="C133" s="2"/>
      <x:c r="D133" s="24"/>
      <x:c r="L133" s="1" t="s">
        <x:v>1</x:v>
      </x:c>
      <x:c r="Q133" s="4"/>
    </x:row>
    <x:row r="134" spans="1:19" ht="12" thickBot="1" x14ac:dyDescent="0.3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9" x14ac:dyDescent="0.3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9" x14ac:dyDescent="0.3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9" x14ac:dyDescent="0.3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9" x14ac:dyDescent="0.3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9" x14ac:dyDescent="0.3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9" ht="18.75" customHeight="1" thickBot="1" x14ac:dyDescent="0.3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9" ht="46.75" thickBot="1" x14ac:dyDescent="0.3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9" s="305" customFormat="1" x14ac:dyDescent="0.3">
      <x:c r="B142" s="334">
        <x:v>1</x:v>
      </x:c>
      <x:c r="C142" s="335" t="s">
        <x:v>10</x:v>
      </x:c>
      <x:c r="D142" s="308">
        <x:f>D104+N104+D125+E125</x:f>
        <x:v>0</x:v>
      </x:c>
      <x:c r="E142" s="308">
        <x:f>'Recaudo EAAB + Ciud Limp'!D21</x:f>
        <x:v>0</x:v>
      </x:c>
      <x:c r="F142" s="308">
        <x:f>D28+N28</x:f>
        <x:v>0</x:v>
      </x:c>
      <x:c r="G142" s="308">
        <x:f>D66+N66</x:f>
        <x:v>0</x:v>
      </x:c>
      <x:c r="H142" s="308">
        <x:f>D85+N85</x:f>
        <x:v>0</x:v>
      </x:c>
      <x:c r="I142" s="308">
        <x:v>0</x:v>
      </x:c>
      <x:c r="J142" s="308">
        <x:f t="shared" ref="J142:K146" si="57">G125</x:f>
        <x:v>0</x:v>
      </x:c>
      <x:c r="K142" s="309">
        <x:f t="shared" si="57"/>
        <x:v>0</x:v>
      </x:c>
      <x:c r="L142" s="525">
        <x:f>D142-E142-F142-G142-J142-H142-I142</x:f>
        <x:v>0</x:v>
      </x:c>
      <x:c r="M142" s="1" t="b">
        <x:f t="shared" ref="M142:M147" si="58">INT(ABS(L142))=0</x:f>
        <x:v>1</x:v>
      </x:c>
      <x:c r="P142" s="360"/>
      <x:c r="Q142" s="361"/>
      <x:c r="R142" s="360"/>
      <x:c r="S142" s="1"/>
    </x:row>
    <x:row r="143" spans="1:19" s="305" customFormat="1" x14ac:dyDescent="0.3">
      <x:c r="B143" s="314">
        <x:v>2</x:v>
      </x:c>
      <x:c r="C143" s="338" t="s">
        <x:v>11</x:v>
      </x:c>
      <x:c r="D143" s="317">
        <x:f>D105+N105+D126+E126</x:f>
        <x:v>0</x:v>
      </x:c>
      <x:c r="E143" s="317">
        <x:f>'Recaudo EAAB + Ciud Limp'!D22</x:f>
        <x:v>0</x:v>
      </x:c>
      <x:c r="F143" s="317">
        <x:f>D29+N29</x:f>
        <x:v>0</x:v>
      </x:c>
      <x:c r="G143" s="317">
        <x:f>D67+N67</x:f>
        <x:v>0</x:v>
      </x:c>
      <x:c r="H143" s="317">
        <x:f>D86+N86</x:f>
        <x:v>0</x:v>
      </x:c>
      <x:c r="I143" s="317">
        <x:v>0</x:v>
      </x:c>
      <x:c r="J143" s="317">
        <x:f t="shared" si="57"/>
        <x:v>0</x:v>
      </x:c>
      <x:c r="K143" s="318">
        <x:f t="shared" si="57"/>
        <x:v>0</x:v>
      </x:c>
      <x:c r="L143" s="525">
        <x:f>D143-E143-F143-G143-J143-H143-I143</x:f>
        <x:v>0</x:v>
      </x:c>
      <x:c r="M143" s="1" t="b">
        <x:f t="shared" si="58"/>
        <x:v>1</x:v>
      </x:c>
      <x:c r="P143" s="360"/>
      <x:c r="Q143" s="361"/>
      <x:c r="R143" s="360"/>
      <x:c r="S143" s="1"/>
    </x:row>
    <x:row r="144" spans="1:19" s="305" customFormat="1" x14ac:dyDescent="0.3">
      <x:c r="B144" s="314">
        <x:v>3</x:v>
      </x:c>
      <x:c r="C144" s="338" t="s">
        <x:v>12</x:v>
      </x:c>
      <x:c r="D144" s="317">
        <x:f>D106+N106+D127+E127</x:f>
        <x:v>0</x:v>
      </x:c>
      <x:c r="E144" s="317">
        <x:f>'Recaudo EAAB + Ciud Limp'!D23</x:f>
        <x:v>0</x:v>
      </x:c>
      <x:c r="F144" s="317">
        <x:f>D30+N30</x:f>
        <x:v>0</x:v>
      </x:c>
      <x:c r="G144" s="317">
        <x:f>D68+N68</x:f>
        <x:v>0</x:v>
      </x:c>
      <x:c r="H144" s="317">
        <x:f>D87+N87</x:f>
        <x:v>0</x:v>
      </x:c>
      <x:c r="I144" s="317">
        <x:v>0</x:v>
      </x:c>
      <x:c r="J144" s="317">
        <x:f t="shared" si="57"/>
        <x:v>0</x:v>
      </x:c>
      <x:c r="K144" s="318">
        <x:f t="shared" si="57"/>
        <x:v>0</x:v>
      </x:c>
      <x:c r="L144" s="525">
        <x:f>D144-E144-F144-G144-J144-H144-I144</x:f>
        <x:v>0</x:v>
      </x:c>
      <x:c r="M144" s="1" t="b">
        <x:f t="shared" si="58"/>
        <x:v>1</x:v>
      </x:c>
      <x:c r="P144" s="360"/>
      <x:c r="Q144" s="361"/>
      <x:c r="R144" s="360"/>
      <x:c r="S144" s="1"/>
    </x:row>
    <x:row r="145" spans="1:20" s="305" customFormat="1" x14ac:dyDescent="0.3">
      <x:c r="B145" s="314">
        <x:v>4</x:v>
      </x:c>
      <x:c r="C145" s="338" t="s">
        <x:v>13</x:v>
      </x:c>
      <x:c r="D145" s="317">
        <x:f>D107+N107+D128+E128</x:f>
        <x:v>0</x:v>
      </x:c>
      <x:c r="E145" s="317">
        <x:f>'Recaudo EAAB + Ciud Limp'!D24</x:f>
        <x:v>0</x:v>
      </x:c>
      <x:c r="F145" s="317">
        <x:f>D31+N31</x:f>
        <x:v>0</x:v>
      </x:c>
      <x:c r="G145" s="317">
        <x:f>D69+N69</x:f>
        <x:v>0</x:v>
      </x:c>
      <x:c r="H145" s="317">
        <x:f>D88+N88</x:f>
        <x:v>0</x:v>
      </x:c>
      <x:c r="I145" s="317">
        <x:v>0</x:v>
      </x:c>
      <x:c r="J145" s="317">
        <x:f t="shared" si="57"/>
        <x:v>0</x:v>
      </x:c>
      <x:c r="K145" s="318">
        <x:f t="shared" si="57"/>
        <x:v>0</x:v>
      </x:c>
      <x:c r="L145" s="525">
        <x:f>D145-E145-F145-G145-J145-H145-I145</x:f>
        <x:v>0</x:v>
      </x:c>
      <x:c r="M145" s="1" t="b">
        <x:f t="shared" si="58"/>
        <x:v>1</x:v>
      </x:c>
      <x:c r="P145" s="360"/>
      <x:c r="Q145" s="361"/>
      <x:c r="R145" s="360"/>
      <x:c r="S145" s="1"/>
    </x:row>
    <x:row r="146" spans="1:20" s="305" customFormat="1" ht="12" thickBot="1" x14ac:dyDescent="0.35">
      <x:c r="B146" s="341">
        <x:v>5</x:v>
      </x:c>
      <x:c r="C146" s="342" t="s">
        <x:v>14</x:v>
      </x:c>
      <x:c r="D146" s="356">
        <x:f>D108+N108+D129+E129</x:f>
        <x:v>0</x:v>
      </x:c>
      <x:c r="E146" s="317">
        <x:f>'Recaudo EAAB + Ciud Limp'!D25</x:f>
        <x:v>0</x:v>
      </x:c>
      <x:c r="F146" s="356">
        <x:f>D32+N32</x:f>
        <x:v>0</x:v>
      </x:c>
      <x:c r="G146" s="356">
        <x:f>D70+N70</x:f>
        <x:v>0</x:v>
      </x:c>
      <x:c r="H146" s="356">
        <x:f>D89+N89</x:f>
        <x:v>0</x:v>
      </x:c>
      <x:c r="I146" s="356">
        <x:v>0</x:v>
      </x:c>
      <x:c r="J146" s="356">
        <x:f t="shared" si="57"/>
        <x:v>0</x:v>
      </x:c>
      <x:c r="K146" s="358">
        <x:f t="shared" si="57"/>
        <x:v>0</x:v>
      </x:c>
      <x:c r="L146" s="525">
        <x:f>D146-E146-F146-G146-J146-H146-I146</x:f>
        <x:v>0</x:v>
      </x:c>
      <x:c r="M146" s="1" t="b">
        <x:f t="shared" si="58"/>
        <x:v>1</x:v>
      </x:c>
      <x:c r="P146" s="360"/>
      <x:c r="Q146" s="361"/>
      <x:c r="R146" s="360"/>
      <x:c r="S146" s="1"/>
    </x:row>
    <x:row r="147" spans="1:20" s="305" customFormat="1" ht="12" thickBot="1" x14ac:dyDescent="0.35">
      <x:c r="B147" s="327"/>
      <x:c r="C147" s="328" t="s">
        <x:v>2</x:v>
      </x:c>
      <x:c r="D147" s="362">
        <x:f>SUM(D142:D146)</x:f>
        <x:v>0</x:v>
      </x:c>
      <x:c r="E147" s="362">
        <x:f>SUM(E142:E146)</x:f>
        <x:v>0</x:v>
      </x:c>
      <x:c r="F147" s="362">
        <x:f t="shared" ref="F147:K147" si="59">SUM(F142:F146)</x:f>
        <x:v>0</x:v>
      </x:c>
      <x:c r="G147" s="362">
        <x:f t="shared" si="59"/>
        <x:v>0</x:v>
      </x:c>
      <x:c r="H147" s="362">
        <x:f t="shared" si="59"/>
        <x:v>0</x:v>
      </x:c>
      <x:c r="I147" s="362">
        <x:f t="shared" si="59"/>
        <x:v>0</x:v>
      </x:c>
      <x:c r="J147" s="362">
        <x:f t="shared" si="59"/>
        <x:v>0</x:v>
      </x:c>
      <x:c r="K147" s="362">
        <x:f t="shared" si="59"/>
        <x:v>0</x:v>
      </x:c>
      <x:c r="L147" s="525">
        <x:f>SUM(L142:L146)</x:f>
        <x:v>0</x:v>
      </x:c>
      <x:c r="M147" s="1" t="b">
        <x:f t="shared" si="58"/>
        <x:v>1</x:v>
      </x:c>
      <x:c r="P147" s="360"/>
      <x:c r="Q147" s="361"/>
      <x:c r="R147" s="360"/>
      <x:c r="S147" s="1"/>
    </x:row>
    <x:row r="148" spans="1:20" x14ac:dyDescent="0.3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3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3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3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3">
      <x:c r="N152" s="24"/>
      <x:c r="O152" s="24"/>
      <x:c r="Q152" s="24"/>
      <x:c r="T152" s="24"/>
    </x:row>
    <x:row r="153" spans="1:20" x14ac:dyDescent="0.3">
      <x:c r="N153" s="24"/>
      <x:c r="O153" s="24"/>
      <x:c r="Q153" s="24"/>
      <x:c r="T153" s="24"/>
    </x:row>
    <x:row r="154" spans="1:20" x14ac:dyDescent="0.3">
      <x:c r="N154" s="24"/>
      <x:c r="O154" s="24"/>
      <x:c r="Q154" s="24"/>
      <x:c r="T154" s="24"/>
    </x:row>
    <x:row r="155" spans="1:20" x14ac:dyDescent="0.3">
      <x:c r="N155" s="24"/>
      <x:c r="O155" s="24"/>
      <x:c r="Q155" s="24"/>
      <x:c r="T155" s="24"/>
    </x:row>
    <x:row r="156" spans="1:20" x14ac:dyDescent="0.3">
      <x:c r="N156" s="24"/>
      <x:c r="O156" s="24"/>
      <x:c r="Q156" s="24"/>
      <x:c r="T156" s="24"/>
    </x:row>
    <x:row r="157" spans="1:20" x14ac:dyDescent="0.3">
      <x:c r="N157" s="24"/>
      <x:c r="O157" s="24"/>
      <x:c r="Q157" s="24"/>
      <x:c r="T157" s="24"/>
    </x:row>
    <x:row r="158" spans="1:20" x14ac:dyDescent="0.3">
      <x:c r="N158" s="24"/>
      <x:c r="O158" s="24"/>
      <x:c r="Q158" s="24"/>
      <x:c r="T158" s="24"/>
    </x:row>
    <x:row r="159" spans="1:20" x14ac:dyDescent="0.3">
      <x:c r="N159" s="24"/>
      <x:c r="O159" s="24"/>
      <x:c r="Q159" s="24"/>
      <x:c r="T159" s="24"/>
    </x:row>
    <x:row r="160" spans="1:20" x14ac:dyDescent="0.3">
      <x:c r="N160" s="24"/>
      <x:c r="O160" s="24"/>
      <x:c r="Q160" s="24"/>
      <x:c r="T160" s="24"/>
    </x:row>
    <x:row r="161" spans="14:20" x14ac:dyDescent="0.3">
      <x:c r="N161" s="24"/>
      <x:c r="O161" s="24"/>
      <x:c r="Q161" s="24"/>
      <x:c r="T161" s="24"/>
    </x:row>
    <x:row r="162" spans="14:20" x14ac:dyDescent="0.3">
      <x:c r="N162" s="24"/>
      <x:c r="O162" s="24"/>
      <x:c r="Q162" s="24"/>
      <x:c r="T162" s="24"/>
    </x:row>
    <x:row r="163" spans="14:20" x14ac:dyDescent="0.3">
      <x:c r="N163" s="24"/>
      <x:c r="O163" s="24"/>
      <x:c r="Q163" s="24"/>
      <x:c r="T163" s="24"/>
    </x:row>
    <x:row r="164" spans="14:20" x14ac:dyDescent="0.3">
      <x:c r="N164" s="24"/>
      <x:c r="O164" s="24"/>
      <x:c r="Q164" s="24"/>
      <x:c r="T164" s="24"/>
    </x:row>
    <x:row r="165" spans="14:20" x14ac:dyDescent="0.3">
      <x:c r="N165" s="24"/>
      <x:c r="O165" s="24"/>
      <x:c r="Q165" s="24"/>
      <x:c r="T165" s="24"/>
    </x:row>
    <x:row r="166" spans="14:20" x14ac:dyDescent="0.3">
      <x:c r="Q166" s="24"/>
      <x:c r="T166" s="24"/>
    </x:row>
    <x:row r="167" spans="14:20" x14ac:dyDescent="0.3">
      <x:c r="Q167" s="24"/>
    </x:row>
  </x:sheetData>
  <x:conditionalFormatting sqref="L142:L147">
    <x:cfRule type="expression" dxfId="18" priority="11">
      <x:formula>$L$142&lt;&gt;0</x:formula>
    </x:cfRule>
  </x:conditionalFormatting>
  <x:conditionalFormatting sqref="M142:M147">
    <x:cfRule type="cellIs" dxfId="17" priority="3" operator="notEqual">
      <x:formula>TRUE</x:formula>
    </x:cfRule>
  </x:conditionalFormatting>
  <x:conditionalFormatting sqref="AH9:AH14">
    <x:cfRule type="cellIs" dxfId="16" priority="10" operator="notEqual">
      <x:formula>TRUE</x:formula>
    </x:cfRule>
  </x:conditionalFormatting>
  <x:conditionalFormatting sqref="AH28:AH33">
    <x:cfRule type="cellIs" dxfId="15" priority="9" operator="notEqual">
      <x:formula>TRUE</x:formula>
    </x:cfRule>
  </x:conditionalFormatting>
  <x:conditionalFormatting sqref="AH47:AH52">
    <x:cfRule type="cellIs" dxfId="14" priority="8" operator="notEqual">
      <x:formula>TRUE</x:formula>
    </x:cfRule>
  </x:conditionalFormatting>
  <x:conditionalFormatting sqref="AH66:AH71">
    <x:cfRule type="cellIs" dxfId="13" priority="7" operator="notEqual">
      <x:formula>TRUE</x:formula>
    </x:cfRule>
  </x:conditionalFormatting>
  <x:conditionalFormatting sqref="AH85:AH90">
    <x:cfRule type="cellIs" dxfId="12" priority="6" operator="notEqual">
      <x:formula>TRUE</x:formula>
    </x:cfRule>
  </x:conditionalFormatting>
  <x:conditionalFormatting sqref="AH104:AH109">
    <x:cfRule type="cellIs" dxfId="11" priority="1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3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D00-000000000000}" mc:Ignorable="x14ac xr xr2 xr3">
  <x:sheetPr>
    <x:tabColor rgb="FFFFFF00"/>
  </x:sheetPr>
  <x:dimension ref="B1:P16"/>
  <x:sheetViews>
    <x:sheetView zoomScale="90" zoomScaleNormal="90" workbookViewId="0">
      <x:selection activeCell="C9" sqref="C9"/>
    </x:sheetView>
  </x:sheetViews>
  <x:sheetFormatPr baseColWidth="10" defaultRowHeight="12.45" x14ac:dyDescent="0.3"/>
  <x:cols>
    <x:col min="1" max="1" width="3" customWidth="1"/>
    <x:col min="2" max="2" width="4.15234375" bestFit="1" customWidth="1"/>
    <x:col min="3" max="3" width="16.84375" customWidth="1"/>
    <x:col min="4" max="4" width="14.15234375" customWidth="1"/>
    <x:col min="5" max="7" width="17.84375" customWidth="1"/>
    <x:col min="8" max="8" width="18.15234375" customWidth="1"/>
    <x:col min="9" max="9" width="15.84375" customWidth="1"/>
    <x:col min="10" max="10" width="16.3828125" customWidth="1"/>
    <x:col min="11" max="11" width="15.84375" customWidth="1"/>
    <x:col min="12" max="13" width="18.15234375" customWidth="1"/>
    <x:col min="14" max="14" width="15.84375" customWidth="1"/>
    <x:col min="15" max="15" width="14.15234375" customWidth="1"/>
    <x:col min="16" max="16" width="14.3828125" customWidth="1"/>
  </x:cols>
  <x:sheetData>
    <x:row r="1" spans="2:16" ht="12.9" thickBot="1" x14ac:dyDescent="0.35"/>
    <x:row r="2" spans="2:16" ht="35.15" thickBot="1" x14ac:dyDescent="0.3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3">
      <x:c r="B3" s="303">
        <x:v>1</x:v>
      </x:c>
      <x:c r="C3" s="292">
        <x:f>'Recaudo EAAB + Ciud Limp'!D21</x:f>
        <x:v>0</x:v>
      </x:c>
      <x:c r="D3" s="292">
        <x:f>'REMUNERACION_EAAB-CL'!G125</x:f>
        <x:v>0</x:v>
      </x:c>
      <x:c r="E3" s="292">
        <x:f>'REMUNERACION_EAAB-CL'!H125</x:f>
        <x:v>0</x:v>
      </x:c>
      <x:c r="F3" s="292">
        <x:v>0</x:v>
      </x:c>
      <x:c r="G3" s="292">
        <x:f>'REMUNERACION_EAAB-CL'!I125</x:f>
        <x:v>0</x:v>
      </x:c>
      <x:c r="H3" s="340">
        <x:f t="shared" ref="H3:H8" si="0">SUM(C3:G3)</x:f>
        <x:v>0</x:v>
      </x:c>
      <x:c r="I3" s="291">
        <x:f>'REMUNERACION_EAAB-CL'!D104</x:f>
        <x:v>0</x:v>
      </x:c>
      <x:c r="J3" s="292">
        <x:f>'REMUNERACION_EAAB-CL'!N104</x:f>
        <x:v>0</x:v>
      </x:c>
      <x:c r="K3" s="292">
        <x:f>'REMUNERACION_EAAB-CL'!D125</x:f>
        <x:v>0</x:v>
      </x:c>
      <x:c r="L3" s="353">
        <x:f>'REMUNERACION_EAAB-CL'!E125</x:f>
        <x:v>0</x:v>
      </x:c>
      <x:c r="M3" s="292">
        <x:f>-'REMUNERACION_EAAB-CL'!D66+'REMUNERACION_EAAB-CL'!N66</x:f>
        <x:v>0</x:v>
      </x:c>
      <x:c r="N3" s="288">
        <x:f>SUM(I3:M3)</x:f>
        <x:v>0</x:v>
      </x:c>
      <x:c r="O3" s="354">
        <x:f t="shared" ref="O3:O8" si="1">H3-N3</x:f>
        <x:v>0</x:v>
      </x:c>
      <x:c r="P3" s="1" t="b">
        <x:f>INT(O3)=0</x:f>
        <x:v>1</x:v>
      </x:c>
    </x:row>
    <x:row r="4" spans="2:16" s="355" customFormat="1" x14ac:dyDescent="0.3">
      <x:c r="B4" s="314">
        <x:v>2</x:v>
      </x:c>
      <x:c r="C4" s="317">
        <x:f>'Recaudo EAAB + Ciud Limp'!D22</x:f>
        <x:v>0</x:v>
      </x:c>
      <x:c r="D4" s="292">
        <x:f>'REMUNERACION_EAAB-CL'!G126</x:f>
        <x:v>0</x:v>
      </x:c>
      <x:c r="E4" s="292">
        <x:f>'REMUNERACION_EAAB-CL'!H126</x:f>
        <x:v>0</x:v>
      </x:c>
      <x:c r="F4" s="292">
        <x:v>0</x:v>
      </x:c>
      <x:c r="G4" s="292">
        <x:f>'REMUNERACION_EAAB-CL'!I126</x:f>
        <x:v>0</x:v>
      </x:c>
      <x:c r="H4" s="340">
        <x:f t="shared" si="0"/>
        <x:v>0</x:v>
      </x:c>
      <x:c r="I4" s="291">
        <x:f>'REMUNERACION_EAAB-CL'!D105</x:f>
        <x:v>0</x:v>
      </x:c>
      <x:c r="J4" s="292">
        <x:f>'REMUNERACION_EAAB-CL'!N105</x:f>
        <x:v>0</x:v>
      </x:c>
      <x:c r="K4" s="292">
        <x:f>'REMUNERACION_EAAB-CL'!D126</x:f>
        <x:v>0</x:v>
      </x:c>
      <x:c r="L4" s="353">
        <x:f>'REMUNERACION_EAAB-CL'!E126</x:f>
        <x:v>0</x:v>
      </x:c>
      <x:c r="M4" s="292">
        <x:f>-'REMUNERACION_EAAB-CL'!D67+'REMUNERACION_EAAB-CL'!N67</x:f>
        <x:v>0</x:v>
      </x:c>
      <x:c r="N4" s="318">
        <x:f>SUM(I4:M4)</x:f>
        <x:v>0</x:v>
      </x:c>
      <x:c r="O4" s="354">
        <x:f t="shared" si="1"/>
        <x:v>0</x:v>
      </x:c>
      <x:c r="P4" s="1" t="b">
        <x:f t="shared" ref="P4:P9" si="2">INT(O4)=0</x:f>
        <x:v>1</x:v>
      </x:c>
    </x:row>
    <x:row r="5" spans="2:16" s="355" customFormat="1" x14ac:dyDescent="0.3">
      <x:c r="B5" s="314">
        <x:v>3</x:v>
      </x:c>
      <x:c r="C5" s="317">
        <x:f>'Recaudo EAAB + Ciud Limp'!D23</x:f>
        <x:v>0</x:v>
      </x:c>
      <x:c r="D5" s="292">
        <x:f>'REMUNERACION_EAAB-CL'!G127</x:f>
        <x:v>0</x:v>
      </x:c>
      <x:c r="E5" s="292">
        <x:f>'REMUNERACION_EAAB-CL'!H127</x:f>
        <x:v>0</x:v>
      </x:c>
      <x:c r="F5" s="292">
        <x:v>0</x:v>
      </x:c>
      <x:c r="G5" s="292">
        <x:f>'REMUNERACION_EAAB-CL'!I127</x:f>
        <x:v>0</x:v>
      </x:c>
      <x:c r="H5" s="340">
        <x:f t="shared" si="0"/>
        <x:v>0</x:v>
      </x:c>
      <x:c r="I5" s="291">
        <x:f>'REMUNERACION_EAAB-CL'!D106</x:f>
        <x:v>0</x:v>
      </x:c>
      <x:c r="J5" s="292">
        <x:f>'REMUNERACION_EAAB-CL'!N106</x:f>
        <x:v>0</x:v>
      </x:c>
      <x:c r="K5" s="292">
        <x:f>'REMUNERACION_EAAB-CL'!D127</x:f>
        <x:v>0</x:v>
      </x:c>
      <x:c r="L5" s="353">
        <x:f>'REMUNERACION_EAAB-CL'!E127</x:f>
        <x:v>0</x:v>
      </x:c>
      <x:c r="M5" s="292">
        <x:f>-'REMUNERACION_EAAB-CL'!D68+'REMUNERACION_EAAB-CL'!N68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3">
      <x:c r="B6" s="314">
        <x:v>4</x:v>
      </x:c>
      <x:c r="C6" s="317">
        <x:f>'Recaudo EAAB + Ciud Limp'!D24</x:f>
        <x:v>0</x:v>
      </x:c>
      <x:c r="D6" s="292">
        <x:f>'REMUNERACION_EAAB-CL'!G128</x:f>
        <x:v>0</x:v>
      </x:c>
      <x:c r="E6" s="292">
        <x:f>'REMUNERACION_EAAB-CL'!H128</x:f>
        <x:v>0</x:v>
      </x:c>
      <x:c r="F6" s="292">
        <x:v>0</x:v>
      </x:c>
      <x:c r="G6" s="292">
        <x:f>'REMUNERACION_EAAB-CL'!I128</x:f>
        <x:v>0</x:v>
      </x:c>
      <x:c r="H6" s="340">
        <x:f t="shared" si="0"/>
        <x:v>0</x:v>
      </x:c>
      <x:c r="I6" s="291">
        <x:f>'REMUNERACION_EAAB-CL'!D107</x:f>
        <x:v>0</x:v>
      </x:c>
      <x:c r="J6" s="292">
        <x:f>'REMUNERACION_EAAB-CL'!N107</x:f>
        <x:v>0</x:v>
      </x:c>
      <x:c r="K6" s="292">
        <x:f>'REMUNERACION_EAAB-CL'!D128</x:f>
        <x:v>0</x:v>
      </x:c>
      <x:c r="L6" s="353">
        <x:f>'REMUNERACION_EAAB-CL'!E128</x:f>
        <x:v>0</x:v>
      </x:c>
      <x:c r="M6" s="292">
        <x:f>-'REMUNERACION_EAAB-CL'!D69+'REMUNERACION_EAAB-CL'!N69</x:f>
        <x:v>0</x:v>
      </x:c>
      <x:c r="N6" s="318">
        <x:f t="shared" ref="N6:N7" si="3">SUM(I6:M6)</x:f>
        <x:v>0</x:v>
      </x:c>
      <x:c r="O6" s="354">
        <x:f t="shared" si="1"/>
        <x:v>0</x:v>
      </x:c>
      <x:c r="P6" s="1" t="b">
        <x:f t="shared" si="2"/>
        <x:v>1</x:v>
      </x:c>
    </x:row>
    <x:row r="7" spans="2:16" s="355" customFormat="1" x14ac:dyDescent="0.3">
      <x:c r="B7" s="314">
        <x:v>5</x:v>
      </x:c>
      <x:c r="C7" s="317">
        <x:f>'Recaudo EAAB + Ciud Limp'!D25</x:f>
        <x:v>0</x:v>
      </x:c>
      <x:c r="D7" s="292">
        <x:f>'REMUNERACION_EAAB-CL'!G129</x:f>
        <x:v>0</x:v>
      </x:c>
      <x:c r="E7" s="292">
        <x:f>'REMUNERACION_EAAB-CL'!H129</x:f>
        <x:v>0</x:v>
      </x:c>
      <x:c r="F7" s="292">
        <x:v>0</x:v>
      </x:c>
      <x:c r="G7" s="292">
        <x:f>'REMUNERACION_EAAB-CL'!I129</x:f>
        <x:v>0</x:v>
      </x:c>
      <x:c r="H7" s="340">
        <x:f t="shared" si="0"/>
        <x:v>0</x:v>
      </x:c>
      <x:c r="I7" s="291">
        <x:f>'REMUNERACION_EAAB-CL'!D108</x:f>
        <x:v>0</x:v>
      </x:c>
      <x:c r="J7" s="292">
        <x:f>'REMUNERACION_EAAB-CL'!N108</x:f>
        <x:v>0</x:v>
      </x:c>
      <x:c r="K7" s="292">
        <x:f>'REMUNERACION_EAAB-CL'!D129</x:f>
        <x:v>0</x:v>
      </x:c>
      <x:c r="L7" s="353">
        <x:f>'REMUNERACION_EAAB-CL'!E129</x:f>
        <x:v>0</x:v>
      </x:c>
      <x:c r="M7" s="292">
        <x:f>-'REMUNERACION_EAAB-CL'!D70+'REMUNERACION_EAAB-CL'!N70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2.9" thickBot="1" x14ac:dyDescent="0.35">
      <x:c r="B8" s="341" t="s">
        <x:v>89</x:v>
      </x:c>
      <x:c r="C8" s="317">
        <x:f>'Recaudo EAAB + Ciud Limp'!D26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0"/>
        <x:v>0</x:v>
      </x:c>
      <x:c r="I8" s="357">
        <x:v>0</x:v>
      </x:c>
      <x:c r="J8" s="343">
        <x:v>0</x:v>
      </x:c>
      <x:c r="K8" s="343">
        <x:v>0</x:v>
      </x:c>
      <x:c r="L8" s="353">
        <x:f>'REMUNERACION_EAAB-CL'!E130</x:f>
        <x:v>0</x:v>
      </x:c>
      <x:c r="M8" s="292">
        <x:v>0</x:v>
      </x:c>
      <x:c r="N8" s="358">
        <x:f>SUM(I8:L8)-M8</x:f>
        <x:v>0</x:v>
      </x:c>
      <x:c r="O8" s="354">
        <x:f t="shared" si="1"/>
        <x:v>0</x:v>
      </x:c>
      <x:c r="P8" s="1" t="b">
        <x:f t="shared" si="2"/>
        <x:v>1</x:v>
      </x:c>
    </x:row>
    <x:row r="9" spans="2:16" s="355" customFormat="1" ht="12.9" thickBot="1" x14ac:dyDescent="0.3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3">
      <x:c r="B11" s="102" t="s">
        <x:v>89</x:v>
      </x:c>
      <x:c r="C11" s="103" t="s">
        <x:v>90</x:v>
      </x:c>
      <x:c r="M11" s="141"/>
      <x:c r="O11" s="137"/>
    </x:row>
    <x:row r="12" spans="2:16" x14ac:dyDescent="0.3">
      <x:c r="C12" s="143"/>
    </x:row>
    <x:row r="13" spans="2:16" x14ac:dyDescent="0.3">
      <x:c r="B13" s="142"/>
      <x:c r="C13" s="103" t="s">
        <x:v>1</x:v>
      </x:c>
    </x:row>
    <x:row r="14" spans="2:16" x14ac:dyDescent="0.3">
      <x:c r="C14" s="245">
        <x:f>'Valida - Control Recaudo'!E3+'Valida - Control Recaudo'!E5</x:f>
        <x:v>0</x:v>
      </x:c>
    </x:row>
    <x:row r="15" spans="2:16" x14ac:dyDescent="0.3">
      <x:c r="C15" s="249" t="b">
        <x:f>C14=C9</x:f>
        <x:v>1</x:v>
      </x:c>
    </x:row>
    <x:row r="16" spans="2:16" x14ac:dyDescent="0.3">
      <x:c r="C16" s="212" t="s">
        <x:v>1</x:v>
      </x:c>
    </x:row>
  </x:sheetData>
  <x:conditionalFormatting sqref="C15">
    <x:cfRule type="cellIs" dxfId="10" priority="6" operator="notEqual">
      <x:formula>TRUE</x:formula>
    </x:cfRule>
  </x:conditionalFormatting>
  <x:conditionalFormatting sqref="P3:P9">
    <x:cfRule type="cellIs" dxfId="9" priority="4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E00-000000000000}" mc:Ignorable="x14ac xr xr2 xr3">
  <x:sheetPr>
    <x:tabColor rgb="FFFFFF00"/>
    <x:pageSetUpPr fitToPage="1"/>
  </x:sheetPr>
  <x:dimension ref="A1:AI52"/>
  <x:sheetViews>
    <x:sheetView zoomScale="98" zoomScaleNormal="98" workbookViewId="0"/>
  </x:sheetViews>
  <x:sheetFormatPr baseColWidth="10" defaultColWidth="11.3828125" defaultRowHeight="11.6" x14ac:dyDescent="0.3"/>
  <x:cols>
    <x:col min="1" max="1" width="3" style="1" customWidth="1"/>
    <x:col min="2" max="2" width="4.3828125" style="1" bestFit="1" customWidth="1"/>
    <x:col min="3" max="3" width="36.84375" style="1" customWidth="1"/>
    <x:col min="4" max="4" width="15.15234375" style="1" customWidth="1"/>
    <x:col min="5" max="5" width="16" style="1" customWidth="1"/>
    <x:col min="6" max="7" width="14.84375" style="1" customWidth="1"/>
    <x:col min="8" max="8" width="16.15234375" style="1" customWidth="1"/>
    <x:col min="9" max="9" width="20.15234375" style="1" bestFit="1" customWidth="1"/>
    <x:col min="10" max="10" width="15.53515625" style="1" customWidth="1"/>
    <x:col min="11" max="11" width="17.53515625" style="1" customWidth="1"/>
    <x:col min="12" max="12" width="16.53515625" style="1" customWidth="1"/>
    <x:col min="13" max="13" width="19.84375" style="1" customWidth="1"/>
    <x:col min="14" max="14" width="15.15234375" style="1" customWidth="1"/>
    <x:col min="15" max="15" width="16.84375" style="1" customWidth="1"/>
    <x:col min="16" max="16" width="3.84375" style="1" customWidth="1"/>
    <x:col min="17" max="17" width="2.84375" style="1" customWidth="1"/>
    <x:col min="18" max="18" width="4.53515625" style="1" customWidth="1"/>
    <x:col min="19" max="19" width="11.15234375" style="1" customWidth="1"/>
    <x:col min="20" max="20" width="39.3828125" style="1" customWidth="1"/>
    <x:col min="21" max="21" width="19.15234375" style="1" customWidth="1"/>
    <x:col min="22" max="22" width="17.84375" style="1" customWidth="1"/>
    <x:col min="23" max="23" width="16.3828125" style="1" customWidth="1"/>
    <x:col min="24" max="24" width="17.15234375" style="1" customWidth="1"/>
    <x:col min="25" max="25" width="15.84375" style="1" customWidth="1"/>
    <x:col min="26" max="26" width="16" style="1" customWidth="1"/>
    <x:col min="27" max="27" width="15" style="1" customWidth="1"/>
    <x:col min="28" max="29" width="16.84375" style="1" customWidth="1"/>
    <x:col min="30" max="31" width="15.3828125" style="1" customWidth="1"/>
    <x:col min="32" max="32" width="16.15234375" style="1" customWidth="1"/>
    <x:col min="33" max="33" width="18.15234375" style="1" customWidth="1"/>
    <x:col min="34" max="34" width="13.84375" style="1" customWidth="1"/>
    <x:col min="35" max="35" width="3.3828125" style="1" customWidth="1"/>
    <x:col min="36" max="16384" width="11.3828125" style="1"/>
  </x:cols>
  <x:sheetData>
    <x:row r="1" spans="2:35" ht="12" thickBot="1" x14ac:dyDescent="0.35">
      <x:c r="Q1" s="4"/>
      <x:c r="AI1" s="4"/>
    </x:row>
    <x:row r="2" spans="2:35" x14ac:dyDescent="0.3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4.15" x14ac:dyDescent="0.3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2026101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2026101</x:v>
      </x:c>
      <x:c r="AE3" s="84"/>
      <x:c r="AF3" s="48"/>
      <x:c r="AG3" s="2"/>
      <x:c r="AI3" s="4"/>
    </x:row>
    <x:row r="4" spans="2:35" ht="15.45" x14ac:dyDescent="0.4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4.15" x14ac:dyDescent="0.3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45" x14ac:dyDescent="0.4">
      <x:c r="B6" s="8"/>
      <x:c r="C6" s="598" t="s">
        <x:v>17</x:v>
      </x:c>
      <x:c r="D6" s="9">
        <x:f>'CONSOLIDADO_TOTAL RECAUDO'!D101</x:f>
        <x:v>46297</x:v>
      </x:c>
      <x:c r="F6" s="58" t="str">
        <x:f>'REMUNERACION_EAAB-CL'!F101</x:f>
        <x:v>REPORTE CONSOLIDADO TOTAL DE RECAUDO //EAAB-CIUDAD LIMPIA*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'REMUNERACION_EAAB-CL'!U101</x:f>
        <x:v>REPORTE DETALLADO SUBBOLSA RBL DISCRIMINADO POR ACTIVIDADES //EAAB-CIUDAD LIMPIA*</x:v>
      </x:c>
      <x:c r="V6" s="59"/>
      <x:c r="W6" s="60"/>
      <x:c r="X6" s="59"/>
      <x:c r="Y6" s="2"/>
      <x:c r="AF6" s="48"/>
      <x:c r="AG6" s="2"/>
      <x:c r="AI6" s="4"/>
    </x:row>
    <x:row r="7" spans="2:35" ht="12" thickBot="1" x14ac:dyDescent="0.35">
      <x:c r="B7" s="8"/>
      <x:c r="C7" s="2" t="s">
        <x:v>0</x:v>
      </x:c>
      <x:c r="D7" s="241">
        <x:f>'CONSOLIDADO_TOTAL RECAUDO'!D102</x:f>
        <x:v>0.58333333333333337</x:v>
      </x:c>
      <x:c r="F7" s="2" t="s">
        <x:v>27</x:v>
      </x:c>
      <x:c r="G7" s="9">
        <x:f>'CONSOLIDADO_TOTAL RECAUDO'!G102</x:f>
        <x:v>46281</x:v>
      </x:c>
      <x:c r="J7" s="2" t="s">
        <x:v>28</x:v>
      </x:c>
      <x:c r="K7" s="9">
        <x:f>'CONSOLIDADO_TOTAL RECAUDO'!K102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69.900000000000006" thickBot="1" x14ac:dyDescent="0.3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s="305" customFormat="1" x14ac:dyDescent="0.3">
      <x:c r="B9" s="303">
        <x:v>1</x:v>
      </x:c>
      <x:c r="C9" s="304" t="s">
        <x:v>10</x:v>
      </x:c>
      <x:c r="D9" s="291">
        <x:f>'REMUNERACION_EAAB-CL'!D104</x:f>
        <x:v>0</x:v>
      </x:c>
      <x:c r="E9" s="291">
        <x:f>'REMUNERACION_EAAB-CL'!E104</x:f>
        <x:v>0</x:v>
      </x:c>
      <x:c r="F9" s="291">
        <x:f>'REMUNERACION_EAAB-CL'!F104</x:f>
        <x:v>0</x:v>
      </x:c>
      <x:c r="G9" s="291">
        <x:f>'REMUNERACION_EAAB-CL'!G104</x:f>
        <x:v>0</x:v>
      </x:c>
      <x:c r="H9" s="291">
        <x:f>'REMUNERACION_EAAB-CL'!H104</x:f>
        <x:v>0</x:v>
      </x:c>
      <x:c r="I9" s="291">
        <x:f>'REMUNERACION_EAAB-CL'!I104</x:f>
        <x:v>0</x:v>
      </x:c>
      <x:c r="J9" s="291">
        <x:f>'REMUNERACION_EAAB-CL'!J104</x:f>
        <x:v>0</x:v>
      </x:c>
      <x:c r="K9" s="293">
        <x:f>D9-E9-F9-G9-H9-I9-J9</x:f>
        <x:v>0</x:v>
      </x:c>
      <x:c r="L9" s="291">
        <x:f>'REMUNERACION_EAAB-CL'!L104</x:f>
        <x:v>0</x:v>
      </x:c>
      <x:c r="M9" s="293">
        <x:f>K9-L9</x:f>
        <x:v>0</x:v>
      </x:c>
      <x:c r="N9" s="291">
        <x:f>'REMUNERACION_EAAB-CL'!N104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291">
        <x:f>'REMUNERACION_EAAB-CL'!U104</x:f>
        <x:v>0</x:v>
      </x:c>
      <x:c r="V9" s="291">
        <x:f>'REMUNERACION_EAAB-CL'!V104</x:f>
        <x:v>0</x:v>
      </x:c>
      <x:c r="W9" s="291">
        <x:f>'REMUNERACION_EAAB-CL'!W104</x:f>
        <x:v>0</x:v>
      </x:c>
      <x:c r="X9" s="291">
        <x:f>'REMUNERACION_EAAB-CL'!X104</x:f>
        <x:v>0</x:v>
      </x:c>
      <x:c r="Y9" s="291">
        <x:f>'REMUNERACION_EAAB-CL'!Y104</x:f>
        <x:v>0</x:v>
      </x:c>
      <x:c r="Z9" s="291">
        <x:f>'REMUNERACION_EAAB-CL'!Z104</x:f>
        <x:v>0</x:v>
      </x:c>
      <x:c r="AA9" s="291">
        <x:f>'REMUNERACION_EAAB-CL'!AA104</x:f>
        <x:v>0</x:v>
      </x:c>
      <x:c r="AB9" s="291">
        <x:f>'REMUNERACION_EAAB-CL'!AB104</x:f>
        <x:v>0</x:v>
      </x:c>
      <x:c r="AC9" s="291">
        <x:f>'REMUNERACION_EAAB-CL'!AC104</x:f>
        <x:v>0</x:v>
      </x:c>
      <x:c r="AD9" s="291">
        <x:f>'REMUNERACION_EAAB-CL'!AD104</x:f>
        <x:v>0</x:v>
      </x:c>
      <x:c r="AE9" s="291">
        <x:f>'REMUNERACION_EAAB-CL'!AE104</x:f>
        <x:v>0</x:v>
      </x:c>
      <x:c r="AF9" s="363">
        <x:f>SUM(U9:AD9)</x:f>
        <x:v>0</x:v>
      </x:c>
      <x:c r="AG9" s="364">
        <x:f>AF9-O9</x:f>
        <x:v>0</x:v>
      </x:c>
      <x:c r="AH9" s="1" t="b">
        <x:f>INT(AG9)=0</x:f>
        <x:v>1</x:v>
      </x:c>
      <x:c r="AI9" s="306"/>
    </x:row>
    <x:row r="10" spans="2:35" s="305" customFormat="1" x14ac:dyDescent="0.3">
      <x:c r="B10" s="314">
        <x:v>2</x:v>
      </x:c>
      <x:c r="C10" s="315" t="s">
        <x:v>11</x:v>
      </x:c>
      <x:c r="D10" s="291">
        <x:f>'REMUNERACION_EAAB-CL'!D105</x:f>
        <x:v>0</x:v>
      </x:c>
      <x:c r="E10" s="291">
        <x:f>'REMUNERACION_EAAB-CL'!E105</x:f>
        <x:v>0</x:v>
      </x:c>
      <x:c r="F10" s="291">
        <x:f>'REMUNERACION_EAAB-CL'!F105</x:f>
        <x:v>0</x:v>
      </x:c>
      <x:c r="G10" s="291">
        <x:f>'REMUNERACION_EAAB-CL'!G105</x:f>
        <x:v>0</x:v>
      </x:c>
      <x:c r="H10" s="291">
        <x:f>'REMUNERACION_EAAB-CL'!H105</x:f>
        <x:v>0</x:v>
      </x:c>
      <x:c r="I10" s="291">
        <x:f>'REMUNERACION_EAAB-CL'!I105</x:f>
        <x:v>0</x:v>
      </x:c>
      <x:c r="J10" s="291">
        <x:f>'REMUNERACION_EAAB-CL'!J105</x:f>
        <x:v>0</x:v>
      </x:c>
      <x:c r="K10" s="295">
        <x:f t="shared" ref="K10:K13" si="0">D10-E10-F10-G10-H10-I10-J10</x:f>
        <x:v>0</x:v>
      </x:c>
      <x:c r="L10" s="291">
        <x:f>'REMUNERACION_EAAB-CL'!L105</x:f>
        <x:v>0</x:v>
      </x:c>
      <x:c r="M10" s="295">
        <x:f>K10-L10</x:f>
        <x:v>0</x:v>
      </x:c>
      <x:c r="N10" s="291">
        <x:f>'REMUNERACION_EAAB-CL'!N105</x:f>
        <x:v>0</x:v>
      </x:c>
      <x:c r="O10" s="295">
        <x:f t="shared" ref="O10:O13" si="1">M10+N10</x:f>
        <x:v>0</x:v>
      </x:c>
      <x:c r="Q10" s="306"/>
      <x:c r="S10" s="314">
        <x:v>2</x:v>
      </x:c>
      <x:c r="T10" s="315" t="s">
        <x:v>11</x:v>
      </x:c>
      <x:c r="U10" s="291">
        <x:f>'REMUNERACION_EAAB-CL'!U105</x:f>
        <x:v>0</x:v>
      </x:c>
      <x:c r="V10" s="291">
        <x:f>'REMUNERACION_EAAB-CL'!V105</x:f>
        <x:v>0</x:v>
      </x:c>
      <x:c r="W10" s="291">
        <x:f>'REMUNERACION_EAAB-CL'!W105</x:f>
        <x:v>0</x:v>
      </x:c>
      <x:c r="X10" s="291">
        <x:f>'REMUNERACION_EAAB-CL'!X105</x:f>
        <x:v>0</x:v>
      </x:c>
      <x:c r="Y10" s="291">
        <x:f>'REMUNERACION_EAAB-CL'!Y105</x:f>
        <x:v>0</x:v>
      </x:c>
      <x:c r="Z10" s="291">
        <x:f>'REMUNERACION_EAAB-CL'!Z105</x:f>
        <x:v>0</x:v>
      </x:c>
      <x:c r="AA10" s="291">
        <x:f>'REMUNERACION_EAAB-CL'!AA105</x:f>
        <x:v>0</x:v>
      </x:c>
      <x:c r="AB10" s="291">
        <x:f>'REMUNERACION_EAAB-CL'!AB105</x:f>
        <x:v>0</x:v>
      </x:c>
      <x:c r="AC10" s="291">
        <x:f>'REMUNERACION_EAAB-CL'!AC105</x:f>
        <x:v>0</x:v>
      </x:c>
      <x:c r="AD10" s="291">
        <x:f>'REMUNERACION_EAAB-CL'!AD105</x:f>
        <x:v>0</x:v>
      </x:c>
      <x:c r="AE10" s="291">
        <x:f>'REMUNERACION_EAAB-CL'!AE105</x:f>
        <x:v>0</x:v>
      </x:c>
      <x:c r="AF10" s="365">
        <x:f>SUM(U10:AD10)</x:f>
        <x:v>0</x:v>
      </x:c>
      <x:c r="AG10" s="366">
        <x:f>AF10-O10</x:f>
        <x:v>0</x:v>
      </x:c>
      <x:c r="AH10" s="1" t="b">
        <x:f t="shared" ref="AH10:AH14" si="2">INT(AG10)=0</x:f>
        <x:v>1</x:v>
      </x:c>
      <x:c r="AI10" s="306"/>
    </x:row>
    <x:row r="11" spans="2:35" s="305" customFormat="1" x14ac:dyDescent="0.3">
      <x:c r="B11" s="314">
        <x:v>3</x:v>
      </x:c>
      <x:c r="C11" s="315" t="s">
        <x:v>12</x:v>
      </x:c>
      <x:c r="D11" s="291">
        <x:f>'REMUNERACION_EAAB-CL'!D106</x:f>
        <x:v>0</x:v>
      </x:c>
      <x:c r="E11" s="291">
        <x:f>'REMUNERACION_EAAB-CL'!E106</x:f>
        <x:v>0</x:v>
      </x:c>
      <x:c r="F11" s="291">
        <x:f>'REMUNERACION_EAAB-CL'!F106</x:f>
        <x:v>0</x:v>
      </x:c>
      <x:c r="G11" s="291">
        <x:f>'REMUNERACION_EAAB-CL'!G106</x:f>
        <x:v>0</x:v>
      </x:c>
      <x:c r="H11" s="291">
        <x:f>'REMUNERACION_EAAB-CL'!H106</x:f>
        <x:v>0</x:v>
      </x:c>
      <x:c r="I11" s="291">
        <x:f>'REMUNERACION_EAAB-CL'!I106</x:f>
        <x:v>0</x:v>
      </x:c>
      <x:c r="J11" s="291">
        <x:f>'REMUNERACION_EAAB-CL'!J106</x:f>
        <x:v>0</x:v>
      </x:c>
      <x:c r="K11" s="295">
        <x:f t="shared" si="0"/>
        <x:v>0</x:v>
      </x:c>
      <x:c r="L11" s="291">
        <x:f>'REMUNERACION_EAAB-CL'!L106</x:f>
        <x:v>0</x:v>
      </x:c>
      <x:c r="M11" s="295">
        <x:f>K11-L11</x:f>
        <x:v>0</x:v>
      </x:c>
      <x:c r="N11" s="291">
        <x:f>'REMUNERACION_EAAB-CL'!N106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291">
        <x:f>'REMUNERACION_EAAB-CL'!U106</x:f>
        <x:v>0</x:v>
      </x:c>
      <x:c r="V11" s="291">
        <x:f>'REMUNERACION_EAAB-CL'!V106</x:f>
        <x:v>0</x:v>
      </x:c>
      <x:c r="W11" s="291">
        <x:f>'REMUNERACION_EAAB-CL'!W106</x:f>
        <x:v>0</x:v>
      </x:c>
      <x:c r="X11" s="291">
        <x:f>'REMUNERACION_EAAB-CL'!X106</x:f>
        <x:v>0</x:v>
      </x:c>
      <x:c r="Y11" s="291">
        <x:f>'REMUNERACION_EAAB-CL'!Y106</x:f>
        <x:v>0</x:v>
      </x:c>
      <x:c r="Z11" s="291">
        <x:f>'REMUNERACION_EAAB-CL'!Z106</x:f>
        <x:v>0</x:v>
      </x:c>
      <x:c r="AA11" s="291">
        <x:f>'REMUNERACION_EAAB-CL'!AA106</x:f>
        <x:v>0</x:v>
      </x:c>
      <x:c r="AB11" s="291">
        <x:f>'REMUNERACION_EAAB-CL'!AB106</x:f>
        <x:v>0</x:v>
      </x:c>
      <x:c r="AC11" s="291">
        <x:f>'REMUNERACION_EAAB-CL'!AC106</x:f>
        <x:v>0</x:v>
      </x:c>
      <x:c r="AD11" s="291">
        <x:f>'REMUNERACION_EAAB-CL'!AD106</x:f>
        <x:v>0</x:v>
      </x:c>
      <x:c r="AE11" s="291">
        <x:f>'REMUNERACION_EAAB-CL'!AE106</x:f>
        <x:v>0</x:v>
      </x:c>
      <x:c r="AF11" s="365">
        <x:f>SUM(U11:AD11)</x:f>
        <x:v>0</x:v>
      </x:c>
      <x:c r="AG11" s="366">
        <x:f>AF11-O11</x:f>
        <x:v>0</x:v>
      </x:c>
      <x:c r="AH11" s="1" t="b">
        <x:f t="shared" si="2"/>
        <x:v>1</x:v>
      </x:c>
      <x:c r="AI11" s="306"/>
    </x:row>
    <x:row r="12" spans="2:35" s="305" customFormat="1" x14ac:dyDescent="0.3">
      <x:c r="B12" s="314">
        <x:v>4</x:v>
      </x:c>
      <x:c r="C12" s="315" t="s">
        <x:v>13</x:v>
      </x:c>
      <x:c r="D12" s="291">
        <x:f>'REMUNERACION_EAAB-CL'!D107</x:f>
        <x:v>0</x:v>
      </x:c>
      <x:c r="E12" s="291">
        <x:f>'REMUNERACION_EAAB-CL'!E107</x:f>
        <x:v>0</x:v>
      </x:c>
      <x:c r="F12" s="291">
        <x:f>'REMUNERACION_EAAB-CL'!F107</x:f>
        <x:v>0</x:v>
      </x:c>
      <x:c r="G12" s="291">
        <x:f>'REMUNERACION_EAAB-CL'!G107</x:f>
        <x:v>0</x:v>
      </x:c>
      <x:c r="H12" s="291">
        <x:f>'REMUNERACION_EAAB-CL'!H107</x:f>
        <x:v>0</x:v>
      </x:c>
      <x:c r="I12" s="291">
        <x:f>'REMUNERACION_EAAB-CL'!I107</x:f>
        <x:v>0</x:v>
      </x:c>
      <x:c r="J12" s="291">
        <x:f>'REMUNERACION_EAAB-CL'!J107</x:f>
        <x:v>0</x:v>
      </x:c>
      <x:c r="K12" s="295">
        <x:f t="shared" si="0"/>
        <x:v>0</x:v>
      </x:c>
      <x:c r="L12" s="291">
        <x:f>'REMUNERACION_EAAB-CL'!L107</x:f>
        <x:v>0</x:v>
      </x:c>
      <x:c r="M12" s="295">
        <x:f>K12-L12</x:f>
        <x:v>0</x:v>
      </x:c>
      <x:c r="N12" s="291">
        <x:f>'REMUNERACION_EAAB-CL'!N107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291">
        <x:f>'REMUNERACION_EAAB-CL'!U107</x:f>
        <x:v>0</x:v>
      </x:c>
      <x:c r="V12" s="291">
        <x:f>'REMUNERACION_EAAB-CL'!V107</x:f>
        <x:v>0</x:v>
      </x:c>
      <x:c r="W12" s="291">
        <x:f>'REMUNERACION_EAAB-CL'!W107</x:f>
        <x:v>0</x:v>
      </x:c>
      <x:c r="X12" s="291">
        <x:f>'REMUNERACION_EAAB-CL'!X107</x:f>
        <x:v>0</x:v>
      </x:c>
      <x:c r="Y12" s="291">
        <x:f>'REMUNERACION_EAAB-CL'!Y107</x:f>
        <x:v>0</x:v>
      </x:c>
      <x:c r="Z12" s="291">
        <x:f>'REMUNERACION_EAAB-CL'!Z107</x:f>
        <x:v>0</x:v>
      </x:c>
      <x:c r="AA12" s="291">
        <x:f>'REMUNERACION_EAAB-CL'!AA107</x:f>
        <x:v>0</x:v>
      </x:c>
      <x:c r="AB12" s="291">
        <x:f>'REMUNERACION_EAAB-CL'!AB107</x:f>
        <x:v>0</x:v>
      </x:c>
      <x:c r="AC12" s="291">
        <x:f>'REMUNERACION_EAAB-CL'!AC107</x:f>
        <x:v>0</x:v>
      </x:c>
      <x:c r="AD12" s="291">
        <x:f>'REMUNERACION_EAAB-CL'!AD107</x:f>
        <x:v>0</x:v>
      </x:c>
      <x:c r="AE12" s="291">
        <x:f>'REMUNERACION_EAAB-CL'!AE107</x:f>
        <x:v>0</x:v>
      </x:c>
      <x:c r="AF12" s="365">
        <x:f>SUM(U12:AD12)</x:f>
        <x:v>0</x:v>
      </x:c>
      <x:c r="AG12" s="366">
        <x:f>AF12-O12</x:f>
        <x:v>0</x:v>
      </x:c>
      <x:c r="AH12" s="1" t="b">
        <x:f t="shared" si="2"/>
        <x:v>1</x:v>
      </x:c>
      <x:c r="AI12" s="306"/>
    </x:row>
    <x:row r="13" spans="2:35" s="305" customFormat="1" ht="12" thickBot="1" x14ac:dyDescent="0.35">
      <x:c r="B13" s="324">
        <x:v>5</x:v>
      </x:c>
      <x:c r="C13" s="325" t="s">
        <x:v>14</x:v>
      </x:c>
      <x:c r="D13" s="291">
        <x:f>'REMUNERACION_EAAB-CL'!D108</x:f>
        <x:v>0</x:v>
      </x:c>
      <x:c r="E13" s="291">
        <x:f>'REMUNERACION_EAAB-CL'!E108</x:f>
        <x:v>0</x:v>
      </x:c>
      <x:c r="F13" s="291">
        <x:f>'REMUNERACION_EAAB-CL'!F108</x:f>
        <x:v>0</x:v>
      </x:c>
      <x:c r="G13" s="291">
        <x:f>'REMUNERACION_EAAB-CL'!G108</x:f>
        <x:v>0</x:v>
      </x:c>
      <x:c r="H13" s="291">
        <x:f>'REMUNERACION_EAAB-CL'!H108</x:f>
        <x:v>0</x:v>
      </x:c>
      <x:c r="I13" s="291">
        <x:f>'REMUNERACION_EAAB-CL'!I108</x:f>
        <x:v>0</x:v>
      </x:c>
      <x:c r="J13" s="291">
        <x:f>'REMUNERACION_EAAB-CL'!J108</x:f>
        <x:v>0</x:v>
      </x:c>
      <x:c r="K13" s="295">
        <x:f t="shared" si="0"/>
        <x:v>0</x:v>
      </x:c>
      <x:c r="L13" s="291">
        <x:f>'REMUNERACION_EAAB-CL'!L108</x:f>
        <x:v>0</x:v>
      </x:c>
      <x:c r="M13" s="298">
        <x:f>K13-L13</x:f>
        <x:v>0</x:v>
      </x:c>
      <x:c r="N13" s="291">
        <x:f>'REMUNERACION_EAAB-CL'!N108</x:f>
        <x:v>0</x:v>
      </x:c>
      <x:c r="O13" s="298">
        <x:f t="shared" si="1"/>
        <x:v>0</x:v>
      </x:c>
      <x:c r="Q13" s="306"/>
      <x:c r="S13" s="324">
        <x:v>5</x:v>
      </x:c>
      <x:c r="T13" s="325" t="s">
        <x:v>14</x:v>
      </x:c>
      <x:c r="U13" s="291">
        <x:f>'REMUNERACION_EAAB-CL'!U108</x:f>
        <x:v>0</x:v>
      </x:c>
      <x:c r="V13" s="291">
        <x:f>'REMUNERACION_EAAB-CL'!V108</x:f>
        <x:v>0</x:v>
      </x:c>
      <x:c r="W13" s="291">
        <x:f>'REMUNERACION_EAAB-CL'!W108</x:f>
        <x:v>0</x:v>
      </x:c>
      <x:c r="X13" s="291">
        <x:f>'REMUNERACION_EAAB-CL'!X108</x:f>
        <x:v>0</x:v>
      </x:c>
      <x:c r="Y13" s="291">
        <x:f>'REMUNERACION_EAAB-CL'!Y108</x:f>
        <x:v>0</x:v>
      </x:c>
      <x:c r="Z13" s="291">
        <x:f>'REMUNERACION_EAAB-CL'!Z108</x:f>
        <x:v>0</x:v>
      </x:c>
      <x:c r="AA13" s="291">
        <x:f>'REMUNERACION_EAAB-CL'!AA108</x:f>
        <x:v>0</x:v>
      </x:c>
      <x:c r="AB13" s="291">
        <x:f>'REMUNERACION_EAAB-CL'!AB108</x:f>
        <x:v>0</x:v>
      </x:c>
      <x:c r="AC13" s="291">
        <x:f>'REMUNERACION_EAAB-CL'!AC108</x:f>
        <x:v>0</x:v>
      </x:c>
      <x:c r="AD13" s="291">
        <x:f>'REMUNERACION_EAAB-CL'!AD108</x:f>
        <x:v>0</x:v>
      </x:c>
      <x:c r="AE13" s="291">
        <x:f>'REMUNERACION_EAAB-CL'!AE108</x:f>
        <x:v>0</x:v>
      </x:c>
      <x:c r="AF13" s="365">
        <x:f>SUM(U13:AD13)</x:f>
        <x:v>0</x:v>
      </x:c>
      <x:c r="AG13" s="366">
        <x:f>AF13-O13</x:f>
        <x:v>0</x:v>
      </x:c>
      <x:c r="AH13" s="1" t="b">
        <x:f t="shared" si="2"/>
        <x:v>1</x:v>
      </x:c>
      <x:c r="AI13" s="306"/>
    </x:row>
    <x:row r="14" spans="2:35" s="305" customFormat="1" ht="12.9" thickBot="1" x14ac:dyDescent="0.35">
      <x:c r="B14" s="327"/>
      <x:c r="C14" s="328" t="s">
        <x:v>2</x:v>
      </x:c>
      <x:c r="D14" s="290">
        <x:f t="shared" ref="D14:O14" si="3">SUM(D9:D13)</x:f>
        <x:v>0</x:v>
      </x:c>
      <x:c r="E14" s="290">
        <x:f t="shared" si="3"/>
        <x:v>0</x:v>
      </x:c>
      <x:c r="F14" s="290">
        <x:f t="shared" si="3"/>
        <x:v>0</x:v>
      </x:c>
      <x:c r="G14" s="290">
        <x:f t="shared" si="3"/>
        <x:v>0</x:v>
      </x:c>
      <x:c r="H14" s="290">
        <x:f t="shared" si="3"/>
        <x:v>0</x:v>
      </x:c>
      <x:c r="I14" s="290">
        <x:f t="shared" si="3"/>
        <x:v>0</x:v>
      </x:c>
      <x:c r="J14" s="290">
        <x:f t="shared" si="3"/>
        <x:v>0</x:v>
      </x:c>
      <x:c r="K14" s="300">
        <x:f t="shared" si="3"/>
        <x:v>0</x:v>
      </x:c>
      <x:c r="L14" s="301">
        <x:f t="shared" si="3"/>
        <x:v>0</x:v>
      </x:c>
      <x:c r="M14" s="302">
        <x:f t="shared" si="3"/>
        <x:v>0</x:v>
      </x:c>
      <x:c r="N14" s="301">
        <x:f t="shared" si="3"/>
        <x:v>0</x:v>
      </x:c>
      <x:c r="O14" s="302">
        <x:f t="shared" si="3"/>
        <x:v>0</x:v>
      </x:c>
      <x:c r="P14" s="329"/>
      <x:c r="Q14" s="306"/>
      <x:c r="S14" s="327"/>
      <x:c r="T14" s="328" t="s">
        <x:v>2</x:v>
      </x:c>
      <x:c r="U14" s="290">
        <x:f>SUM(U9:U13)</x:f>
        <x:v>0</x:v>
      </x:c>
      <x:c r="V14" s="290">
        <x:f t="shared" ref="V14:AG14" si="4">SUM(V9:V13)</x:f>
        <x:v>0</x:v>
      </x:c>
      <x:c r="W14" s="290">
        <x:f t="shared" si="4"/>
        <x:v>0</x:v>
      </x:c>
      <x:c r="X14" s="290">
        <x:f t="shared" si="4"/>
        <x:v>0</x:v>
      </x:c>
      <x:c r="Y14" s="290">
        <x:f t="shared" si="4"/>
        <x:v>0</x:v>
      </x:c>
      <x:c r="Z14" s="290">
        <x:f t="shared" si="4"/>
        <x:v>0</x:v>
      </x:c>
      <x:c r="AA14" s="290">
        <x:f t="shared" si="4"/>
        <x:v>0</x:v>
      </x:c>
      <x:c r="AB14" s="290">
        <x:f t="shared" si="4"/>
        <x:v>0</x:v>
      </x:c>
      <x:c r="AC14" s="290">
        <x:f t="shared" si="4"/>
        <x:v>0</x:v>
      </x:c>
      <x:c r="AD14" s="290">
        <x:f t="shared" si="4"/>
        <x:v>0</x:v>
      </x:c>
      <x:c r="AE14" s="290">
        <x:f>SUM(AE9:AE13)</x:f>
        <x:v>0</x:v>
      </x:c>
      <x:c r="AF14" s="331">
        <x:f t="shared" si="4"/>
        <x:v>0</x:v>
      </x:c>
      <x:c r="AG14" s="290">
        <x:f t="shared" si="4"/>
        <x:v>0</x:v>
      </x:c>
      <x:c r="AH14" s="1" t="b">
        <x:f t="shared" si="2"/>
        <x:v>1</x:v>
      </x:c>
      <x:c r="AI14" s="306"/>
    </x:row>
    <x:row r="15" spans="2:35" ht="12" thickBot="1" x14ac:dyDescent="0.3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" thickBot="1" x14ac:dyDescent="0.3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3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J18" s="24" t="s">
        <x:v>190</x:v>
      </x:c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3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35">
      <x:c r="Q20" s="4"/>
    </x:row>
    <x:row r="21" spans="1:35" x14ac:dyDescent="0.3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4.15" x14ac:dyDescent="0.3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2026101</x:v>
      </x:c>
      <x:c r="O22" s="10"/>
      <x:c r="P22" s="2"/>
      <x:c r="Q22" s="4"/>
    </x:row>
    <x:row r="23" spans="1:35" ht="15.45" x14ac:dyDescent="0.4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3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3">
      <x:c r="B25" s="8"/>
      <x:c r="I25" s="2"/>
      <x:c r="J25" s="2"/>
      <x:c r="O25" s="10"/>
      <x:c r="P25" s="2"/>
      <x:c r="Q25" s="4"/>
    </x:row>
    <x:row r="26" spans="1:35" ht="15.45" x14ac:dyDescent="0.4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3">
      <x:c r="B27" s="8"/>
      <x:c r="F27" s="2" t="s">
        <x:v>27</x:v>
      </x:c>
      <x:c r="G27" s="2"/>
      <x:c r="H27" s="9">
        <x:f>'CONSOLIDADO_TOTAL RECAUDO'!G122</x:f>
        <x:v>46281</x:v>
      </x:c>
      <x:c r="J27" s="2" t="s">
        <x:v>28</x:v>
      </x:c>
      <x:c r="K27" s="9">
        <x:f>'CONSOLIDADO_TOTAL RECAUDO'!K122</x:f>
        <x:v>46295</x:v>
      </x:c>
      <x:c r="O27" s="10"/>
      <x:c r="P27" s="2"/>
      <x:c r="Q27" s="4"/>
    </x:row>
    <x:row r="28" spans="1:35" ht="12" thickBot="1" x14ac:dyDescent="0.3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6.75" thickBot="1" x14ac:dyDescent="0.35">
      <x:c r="B29" s="11" t="s">
        <x:v>3</x:v>
      </x:c>
      <x:c r="C29" s="12" t="s">
        <x:v>9</x:v>
      </x:c>
      <x:c r="D29" s="105" t="s">
        <x:v>38</x:v>
      </x:c>
      <x:c r="E29" s="105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s="305" customFormat="1" x14ac:dyDescent="0.3">
      <x:c r="B30" s="334">
        <x:v>1</x:v>
      </x:c>
      <x:c r="C30" s="367" t="s">
        <x:v>10</x:v>
      </x:c>
      <x:c r="D30" s="307">
        <x:f>'REMUNERACION_EAAB-CL'!D125</x:f>
        <x:v>0</x:v>
      </x:c>
      <x:c r="E30" s="309">
        <x:f>'REMUNERACION_EAAB-CL'!E125</x:f>
        <x:v>0</x:v>
      </x:c>
      <x:c r="G30" s="336">
        <x:f>'REMUNERACION_EAAB-CL'!G125</x:f>
        <x:v>0</x:v>
      </x:c>
      <x:c r="H30" s="310">
        <x:f>'REMUNERACION_EAAB-CL'!H125</x:f>
        <x:v>0</x:v>
      </x:c>
      <x:c r="I30" s="309">
        <x:f>'REMUNERACION_EAAB-CL'!I125</x:f>
        <x:v>0</x:v>
      </x:c>
      <x:c r="J30" s="309">
        <x:f>'REMUNERACION_EAAB-CL'!J125</x:f>
        <x:v>0</x:v>
      </x:c>
      <x:c r="K30" s="309">
        <x:f>'REMUNERACION_EAAB-CL'!K125</x:f>
        <x:v>0</x:v>
      </x:c>
      <x:c r="L30" s="309">
        <x:f>'REMUNERACION_EAAB-CL'!L125</x:f>
        <x:v>0</x:v>
      </x:c>
      <x:c r="O30" s="337"/>
      <x:c r="Q30" s="306"/>
    </x:row>
    <x:row r="31" spans="1:35" s="305" customFormat="1" x14ac:dyDescent="0.3">
      <x:c r="B31" s="314">
        <x:v>2</x:v>
      </x:c>
      <x:c r="C31" s="315" t="s">
        <x:v>11</x:v>
      </x:c>
      <x:c r="D31" s="316">
        <x:f>'REMUNERACION_EAAB-CL'!D126</x:f>
        <x:v>0</x:v>
      </x:c>
      <x:c r="E31" s="318">
        <x:f>'REMUNERACION_EAAB-CL'!E126</x:f>
        <x:v>0</x:v>
      </x:c>
      <x:c r="G31" s="339">
        <x:f>'REMUNERACION_EAAB-CL'!G126</x:f>
        <x:v>0</x:v>
      </x:c>
      <x:c r="H31" s="340">
        <x:f>'REMUNERACION_EAAB-CL'!H126</x:f>
        <x:v>0</x:v>
      </x:c>
      <x:c r="I31" s="288">
        <x:f>'REMUNERACION_EAAB-CL'!I126</x:f>
        <x:v>0</x:v>
      </x:c>
      <x:c r="J31" s="288">
        <x:f>'REMUNERACION_EAAB-CL'!J126</x:f>
        <x:v>0</x:v>
      </x:c>
      <x:c r="K31" s="288">
        <x:f>'REMUNERACION_EAAB-CL'!K126</x:f>
        <x:v>0</x:v>
      </x:c>
      <x:c r="L31" s="288">
        <x:f>'REMUNERACION_EAAB-CL'!L126</x:f>
        <x:v>0</x:v>
      </x:c>
      <x:c r="O31" s="337"/>
      <x:c r="Q31" s="306"/>
    </x:row>
    <x:row r="32" spans="1:35" s="305" customFormat="1" x14ac:dyDescent="0.3">
      <x:c r="B32" s="314">
        <x:v>3</x:v>
      </x:c>
      <x:c r="C32" s="315" t="s">
        <x:v>12</x:v>
      </x:c>
      <x:c r="D32" s="316">
        <x:f>'REMUNERACION_EAAB-CL'!D127</x:f>
        <x:v>0</x:v>
      </x:c>
      <x:c r="E32" s="318">
        <x:f>'REMUNERACION_EAAB-CL'!E127</x:f>
        <x:v>0</x:v>
      </x:c>
      <x:c r="G32" s="339">
        <x:f>'REMUNERACION_EAAB-CL'!G127</x:f>
        <x:v>0</x:v>
      </x:c>
      <x:c r="H32" s="340">
        <x:f>'REMUNERACION_EAAB-CL'!H127</x:f>
        <x:v>0</x:v>
      </x:c>
      <x:c r="I32" s="288">
        <x:f>'REMUNERACION_EAAB-CL'!I127</x:f>
        <x:v>0</x:v>
      </x:c>
      <x:c r="J32" s="288">
        <x:f>'REMUNERACION_EAAB-CL'!J127</x:f>
        <x:v>0</x:v>
      </x:c>
      <x:c r="K32" s="288">
        <x:f>'REMUNERACION_EAAB-CL'!K127</x:f>
        <x:v>0</x:v>
      </x:c>
      <x:c r="L32" s="288">
        <x:f>'REMUNERACION_EAAB-CL'!L127</x:f>
        <x:v>0</x:v>
      </x:c>
      <x:c r="O32" s="337"/>
      <x:c r="Q32" s="306"/>
    </x:row>
    <x:row r="33" spans="1:35" s="305" customFormat="1" x14ac:dyDescent="0.3">
      <x:c r="B33" s="314">
        <x:v>4</x:v>
      </x:c>
      <x:c r="C33" s="315" t="s">
        <x:v>13</x:v>
      </x:c>
      <x:c r="D33" s="316">
        <x:f>'REMUNERACION_EAAB-CL'!D128</x:f>
        <x:v>0</x:v>
      </x:c>
      <x:c r="E33" s="318">
        <x:f>'REMUNERACION_EAAB-CL'!E128</x:f>
        <x:v>0</x:v>
      </x:c>
      <x:c r="G33" s="339">
        <x:f>'REMUNERACION_EAAB-CL'!G128</x:f>
        <x:v>0</x:v>
      </x:c>
      <x:c r="H33" s="340">
        <x:f>'REMUNERACION_EAAB-CL'!H128</x:f>
        <x:v>0</x:v>
      </x:c>
      <x:c r="I33" s="288">
        <x:f>'REMUNERACION_EAAB-CL'!I128</x:f>
        <x:v>0</x:v>
      </x:c>
      <x:c r="J33" s="288">
        <x:f>'REMUNERACION_EAAB-CL'!J128</x:f>
        <x:v>0</x:v>
      </x:c>
      <x:c r="K33" s="288">
        <x:f>'REMUNERACION_EAAB-CL'!K128</x:f>
        <x:v>0</x:v>
      </x:c>
      <x:c r="L33" s="288">
        <x:f>'REMUNERACION_EAAB-CL'!L128</x:f>
        <x:v>0</x:v>
      </x:c>
      <x:c r="O33" s="337"/>
      <x:c r="Q33" s="306"/>
    </x:row>
    <x:row r="34" spans="1:35" s="305" customFormat="1" x14ac:dyDescent="0.3">
      <x:c r="B34" s="341">
        <x:v>5</x:v>
      </x:c>
      <x:c r="C34" s="368" t="s">
        <x:v>14</x:v>
      </x:c>
      <x:c r="D34" s="316">
        <x:f>'REMUNERACION_EAAB-CL'!D129</x:f>
        <x:v>0</x:v>
      </x:c>
      <x:c r="E34" s="318">
        <x:f>'REMUNERACION_EAAB-CL'!E129</x:f>
        <x:v>0</x:v>
      </x:c>
      <x:c r="G34" s="339">
        <x:f>'REMUNERACION_EAAB-CL'!G129</x:f>
        <x:v>0</x:v>
      </x:c>
      <x:c r="H34" s="340">
        <x:f>'REMUNERACION_EAAB-CL'!H129</x:f>
        <x:v>0</x:v>
      </x:c>
      <x:c r="I34" s="288">
        <x:f>'REMUNERACION_EAAB-CL'!I129</x:f>
        <x:v>0</x:v>
      </x:c>
      <x:c r="J34" s="288">
        <x:f>'REMUNERACION_EAAB-CL'!J129</x:f>
        <x:v>0</x:v>
      </x:c>
      <x:c r="K34" s="288">
        <x:f>'REMUNERACION_EAAB-CL'!K129</x:f>
        <x:v>0</x:v>
      </x:c>
      <x:c r="L34" s="288">
        <x:f>'REMUNERACION_EAAB-CL'!L129</x:f>
        <x:v>0</x:v>
      </x:c>
      <x:c r="O34" s="337"/>
      <x:c r="Q34" s="306"/>
    </x:row>
    <x:row r="35" spans="1:35" s="305" customFormat="1" ht="12" thickBot="1" x14ac:dyDescent="0.35">
      <x:c r="B35" s="324" t="s">
        <x:v>89</x:v>
      </x:c>
      <x:c r="C35" s="325" t="s">
        <x:v>113</x:v>
      </x:c>
      <x:c r="D35" s="296">
        <x:f>'REMUNERACION_EAAB-CL'!D130</x:f>
        <x:v>0</x:v>
      </x:c>
      <x:c r="E35" s="289">
        <x:f>'REMUNERACION_EAAB-CL'!E130</x:f>
        <x:v>0</x:v>
      </x:c>
      <x:c r="G35" s="346"/>
      <x:c r="H35" s="347"/>
      <x:c r="I35" s="289"/>
      <x:c r="J35" s="289"/>
      <x:c r="K35" s="289"/>
      <x:c r="L35" s="289"/>
      <x:c r="O35" s="337"/>
      <x:c r="Q35" s="306"/>
    </x:row>
    <x:row r="36" spans="1:35" s="305" customFormat="1" ht="12" thickBot="1" x14ac:dyDescent="0.35">
      <x:c r="B36" s="348"/>
      <x:c r="C36" s="349" t="s">
        <x:v>2</x:v>
      </x:c>
      <x:c r="D36" s="350">
        <x:f t="shared" ref="D36:E36" si="5">SUM(D30:D34)</x:f>
        <x:v>0</x:v>
      </x:c>
      <x:c r="E36" s="350">
        <x:f t="shared" si="5"/>
        <x:v>0</x:v>
      </x:c>
      <x:c r="F36" s="351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351"/>
      <x:c r="N36" s="351"/>
      <x:c r="O36" s="352"/>
      <x:c r="P36" s="329"/>
      <x:c r="Q36" s="306"/>
    </x:row>
    <x:row r="37" spans="1:35" x14ac:dyDescent="0.3">
      <x:c r="B37" s="2"/>
      <x:c r="C37" s="2"/>
      <x:c r="D37" s="24"/>
      <x:c r="Q37" s="4"/>
      <x:c r="AI37" s="305"/>
    </x:row>
    <x:row r="38" spans="1:35" x14ac:dyDescent="0.3">
      <x:c r="B38" s="2"/>
      <x:c r="C38" s="2"/>
      <x:c r="D38" s="24"/>
      <x:c r="L38" s="1" t="s">
        <x:v>1</x:v>
      </x:c>
      <x:c r="Q38" s="4"/>
      <x:c r="AI38" s="305"/>
    </x:row>
    <x:row r="39" spans="1:35" ht="64.5" customHeight="1" thickBot="1" x14ac:dyDescent="0.3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  <x:c r="AI39" s="305"/>
    </x:row>
    <x:row r="40" spans="1:35" x14ac:dyDescent="0.3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35" x14ac:dyDescent="0.3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35" x14ac:dyDescent="0.3">
      <x:c r="N42" s="24"/>
      <x:c r="O42" s="24"/>
      <x:c r="Q42" s="24"/>
      <x:c r="T42" s="24"/>
    </x:row>
    <x:row r="43" spans="1:35" x14ac:dyDescent="0.3">
      <x:c r="N43" s="24"/>
      <x:c r="O43" s="24"/>
      <x:c r="Q43" s="24"/>
      <x:c r="T43" s="24"/>
    </x:row>
    <x:row r="44" spans="1:35" x14ac:dyDescent="0.3">
      <x:c r="D44" s="267" t="b">
        <x:f>D14='REMUNERACION_EAAB-CL'!D109</x:f>
        <x:v>1</x:v>
      </x:c>
      <x:c r="E44" s="267" t="b">
        <x:f>E14='REMUNERACION_EAAB-CL'!E109</x:f>
        <x:v>1</x:v>
      </x:c>
      <x:c r="F44" s="267" t="b">
        <x:f>F14='REMUNERACION_EAAB-CL'!F109</x:f>
        <x:v>1</x:v>
      </x:c>
      <x:c r="G44" s="267" t="b">
        <x:f>G14='REMUNERACION_EAAB-CL'!G109</x:f>
        <x:v>1</x:v>
      </x:c>
      <x:c r="H44" s="267" t="b">
        <x:f>H14='REMUNERACION_EAAB-CL'!H109</x:f>
        <x:v>1</x:v>
      </x:c>
      <x:c r="I44" s="267" t="b">
        <x:f>I14='REMUNERACION_EAAB-CL'!I109</x:f>
        <x:v>1</x:v>
      </x:c>
      <x:c r="J44" s="267" t="b">
        <x:f>J14='REMUNERACION_EAAB-CL'!J109</x:f>
        <x:v>1</x:v>
      </x:c>
      <x:c r="K44" s="267" t="b">
        <x:f>K14='REMUNERACION_EAAB-CL'!K109</x:f>
        <x:v>1</x:v>
      </x:c>
      <x:c r="L44" s="267" t="b">
        <x:f>L14='REMUNERACION_EAAB-CL'!L109</x:f>
        <x:v>1</x:v>
      </x:c>
      <x:c r="M44" s="267" t="b">
        <x:f>M14='REMUNERACION_EAAB-CL'!M109</x:f>
        <x:v>1</x:v>
      </x:c>
      <x:c r="N44" s="267" t="b">
        <x:f>N14='REMUNERACION_EAAB-CL'!N109</x:f>
        <x:v>1</x:v>
      </x:c>
      <x:c r="O44" s="267" t="b">
        <x:f>O14='REMUNERACION_EAAB-CL'!O109</x:f>
        <x:v>1</x:v>
      </x:c>
      <x:c r="Q44" s="24"/>
      <x:c r="T44" s="24"/>
    </x:row>
    <x:row r="45" spans="1:35" x14ac:dyDescent="0.3">
      <x:c r="D45" s="267" t="b">
        <x:f>D36='REMUNERACION_EAAB-CL'!D131</x:f>
        <x:v>1</x:v>
      </x:c>
      <x:c r="E45" s="267" t="b">
        <x:f>E36='REMUNERACION_EAAB-CL'!E131</x:f>
        <x:v>1</x:v>
      </x:c>
      <x:c r="F45" s="267" t="b">
        <x:f>F36='REMUNERACION_EAAB-CL'!F131</x:f>
        <x:v>1</x:v>
      </x:c>
      <x:c r="G45" s="267" t="b">
        <x:f>G36='REMUNERACION_EAAB-CL'!G131</x:f>
        <x:v>1</x:v>
      </x:c>
      <x:c r="H45" s="267" t="b">
        <x:f>H36='REMUNERACION_EAAB-CL'!H131</x:f>
        <x:v>1</x:v>
      </x:c>
      <x:c r="I45" s="267" t="b">
        <x:f>I36='REMUNERACION_EAAB-CL'!I131</x:f>
        <x:v>1</x:v>
      </x:c>
      <x:c r="J45" s="267" t="b">
        <x:f>J36='REMUNERACION_EAAB-CL'!J131</x:f>
        <x:v>1</x:v>
      </x:c>
      <x:c r="K45" s="267" t="b">
        <x:f>K36='REMUNERACION_EAAB-CL'!K131</x:f>
        <x:v>1</x:v>
      </x:c>
      <x:c r="L45" s="267" t="b">
        <x:f>L36='REMUNERACION_EAAB-CL'!L131</x:f>
        <x:v>1</x:v>
      </x:c>
      <x:c r="M45" s="267" t="b">
        <x:f>M36='REMUNERACION_EAAB-CL'!M131</x:f>
        <x:v>1</x:v>
      </x:c>
      <x:c r="N45" s="267" t="b">
        <x:f>N36='REMUNERACION_EAAB-CL'!N131</x:f>
        <x:v>1</x:v>
      </x:c>
      <x:c r="O45" s="267" t="b">
        <x:f>O36='REMUNERACION_EAAB-CL'!O131</x:f>
        <x:v>1</x:v>
      </x:c>
      <x:c r="Q45" s="24"/>
      <x:c r="T45" s="24"/>
    </x:row>
    <x:row r="46" spans="1:35" x14ac:dyDescent="0.3">
      <x:c r="N46" s="24"/>
      <x:c r="O46" s="24"/>
      <x:c r="Q46" s="24"/>
      <x:c r="T46" s="24"/>
    </x:row>
    <x:row r="47" spans="1:35" x14ac:dyDescent="0.3">
      <x:c r="N47" s="24"/>
      <x:c r="O47" s="24"/>
      <x:c r="Q47" s="24"/>
      <x:c r="T47" s="24"/>
    </x:row>
    <x:row r="48" spans="1:35" x14ac:dyDescent="0.3">
      <x:c r="N48" s="24"/>
      <x:c r="O48" s="24"/>
      <x:c r="Q48" s="24"/>
      <x:c r="T48" s="24"/>
    </x:row>
    <x:row r="49" spans="14:20" x14ac:dyDescent="0.3">
      <x:c r="N49" s="24"/>
      <x:c r="O49" s="24"/>
      <x:c r="Q49" s="24"/>
      <x:c r="T49" s="24"/>
    </x:row>
    <x:row r="50" spans="14:20" x14ac:dyDescent="0.3">
      <x:c r="N50" s="24"/>
      <x:c r="O50" s="24"/>
      <x:c r="Q50" s="24"/>
      <x:c r="T50" s="24"/>
    </x:row>
    <x:row r="51" spans="14:20" x14ac:dyDescent="0.3">
      <x:c r="Q51" s="24"/>
      <x:c r="T51" s="24"/>
    </x:row>
    <x:row r="52" spans="14:20" x14ac:dyDescent="0.3">
      <x:c r="Q52" s="24"/>
    </x:row>
  </x:sheetData>
  <x:conditionalFormatting sqref="AH9:AH14">
    <x:cfRule type="cellIs" dxfId="8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C1700FB-0ECC-41B8-9748-81AD38759882}" mc:Ignorable="x14ac xr xr2 xr3">
  <x:sheetPr>
    <x:tabColor rgb="FFFF0000"/>
  </x:sheetPr>
  <x:dimension ref="B1:T39"/>
  <x:sheetViews>
    <x:sheetView topLeftCell="D1" workbookViewId="0">
      <x:selection activeCell="D9" sqref="D9:O14"/>
    </x:sheetView>
  </x:sheetViews>
  <x:sheetFormatPr baseColWidth="10" defaultColWidth="11.3828125" defaultRowHeight="14.6" x14ac:dyDescent="0.4"/>
  <x:cols>
    <x:col min="1" max="1" width="2.84375" style="609" customWidth="1"/>
    <x:col min="2" max="2" width="7.15234375" style="609" customWidth="1"/>
    <x:col min="3" max="3" width="42.84375" style="609" customWidth="1"/>
    <x:col min="4" max="15" width="28.53515625" style="609" customWidth="1"/>
    <x:col min="16" max="16384" width="11.3828125" style="609"/>
  </x:cols>
  <x:sheetData>
    <x:row r="1" spans="2:20" customFormat="1" ht="12.45" x14ac:dyDescent="0.3"/>
    <x:row r="2" spans="2:20" customFormat="1" ht="12.45" x14ac:dyDescent="0.3">
      <x:c r="T2" s="142" t="s">
        <x:v>329</x:v>
      </x:c>
    </x:row>
    <x:row r="3" spans="2:20" customFormat="1" x14ac:dyDescent="0.3">
      <x:c r="F3" s="660" t="s">
        <x:v>8</x:v>
      </x:c>
      <x:c r="H3" s="660" t="s">
        <x:v>16</x:v>
      </x:c>
      <x:c r="L3" s="660" t="s">
        <x:v>227</x:v>
      </x:c>
      <x:c r="M3" s="660" t="s">
        <x:v>340</x:v>
      </x:c>
      <x:c r="T3" s="142"/>
    </x:row>
    <x:row r="4" spans="2:20" customFormat="1" x14ac:dyDescent="0.3">
      <x:c r="F4" s="660" t="s">
        <x:v>29</x:v>
      </x:c>
    </x:row>
    <x:row r="5" spans="2:20" customFormat="1" x14ac:dyDescent="0.3">
      <x:c r="F5" s="660" t="s">
        <x:v>228</x:v>
      </x:c>
    </x:row>
    <x:row r="6" spans="2:20" customFormat="1" x14ac:dyDescent="0.3">
      <x:c r="C6" s="660" t="s">
        <x:v>229</x:v>
      </x:c>
      <x:c r="D6" s="660" t="inlineStr">
        <x:is>
          <x:t>18/10/2026</x:t>
        </x:is>
      </x:c>
      <x:c r="F6" s="660" t="s">
        <x:v>230</x:v>
      </x:c>
    </x:row>
    <x:row r="7" spans="2:20" customFormat="1" x14ac:dyDescent="0.3">
      <x:c r="C7" s="660" t="s">
        <x:v>231</x:v>
      </x:c>
      <x:c r="D7" s="660" t="inlineStr">
        <x:is>
          <x:t>04:03 PM</x:t>
        </x:is>
      </x:c>
      <x:c r="F7" s="660" t="s">
        <x:v>27</x:v>
      </x:c>
      <x:c r="G7" s="660" t="s">
        <x:v>343</x:v>
      </x:c>
      <x:c r="I7" s="660" t="s">
        <x:v>232</x:v>
      </x:c>
      <x:c r="J7" s="660" t="s">
        <x:v>344</x:v>
      </x:c>
    </x:row>
    <x:row r="8" spans="2:20" customFormat="1" ht="43.75" x14ac:dyDescent="0.3">
      <x:c r="B8" s="661" t="s">
        <x:v>3</x:v>
      </x:c>
      <x:c r="C8" s="661" t="s">
        <x:v>233</x:v>
      </x:c>
      <x:c r="D8" s="661" t="s">
        <x:v>234</x:v>
      </x:c>
      <x:c r="E8" s="661" t="s">
        <x:v>235</x:v>
      </x:c>
      <x:c r="F8" s="661" t="s">
        <x:v>236</x:v>
      </x:c>
      <x:c r="G8" s="661" t="s">
        <x:v>237</x:v>
      </x:c>
      <x:c r="H8" s="661" t="s">
        <x:v>238</x:v>
      </x:c>
      <x:c r="I8" s="661" t="s">
        <x:v>239</x:v>
      </x:c>
      <x:c r="J8" s="661" t="s">
        <x:v>240</x:v>
      </x:c>
      <x:c r="K8" s="661" t="s">
        <x:v>241</x:v>
      </x:c>
      <x:c r="L8" s="661" t="s">
        <x:v>242</x:v>
      </x:c>
      <x:c r="M8" s="661" t="s">
        <x:v>243</x:v>
      </x:c>
      <x:c r="N8" s="661" t="s">
        <x:v>244</x:v>
      </x:c>
      <x:c r="O8" s="661" t="s">
        <x:v>245</x:v>
      </x:c>
    </x:row>
    <x:row r="9" spans="2:20" customFormat="1" ht="12.45" x14ac:dyDescent="0.3">
      <x:c r="B9" s="641" t="s">
        <x:v>115</x:v>
      </x:c>
      <x:c r="C9" s="641" t="s">
        <x:v>10</x:v>
      </x:c>
      <x:c r="D9" s="642">
        <x:v>0</x:v>
      </x:c>
      <x:c r="E9" s="642">
        <x:v>0</x:v>
      </x:c>
      <x:c r="F9" s="642">
        <x:v>0</x:v>
      </x:c>
      <x:c r="G9" s="642">
        <x:v>0</x:v>
      </x:c>
      <x:c r="H9" s="642">
        <x:v>0</x:v>
      </x:c>
      <x:c r="I9" s="642">
        <x:v>0</x:v>
      </x:c>
      <x:c r="J9" s="642">
        <x:v>0</x:v>
      </x:c>
      <x:c r="K9" s="642">
        <x:v>0</x:v>
      </x:c>
      <x:c r="L9" s="642">
        <x:v>0</x:v>
      </x:c>
      <x:c r="M9" s="642">
        <x:v>0</x:v>
      </x:c>
      <x:c r="N9" s="642">
        <x:v>0</x:v>
      </x:c>
      <x:c r="O9" s="642">
        <x:v>0</x:v>
      </x:c>
    </x:row>
    <x:row r="10" spans="2:20" customFormat="1" ht="12.45" x14ac:dyDescent="0.3">
      <x:c r="B10" s="641" t="s">
        <x:v>116</x:v>
      </x:c>
      <x:c r="C10" s="641" t="s">
        <x:v>11</x:v>
      </x:c>
      <x:c r="D10" s="642">
        <x:v>0</x:v>
      </x:c>
      <x:c r="E10" s="642">
        <x:v>0</x:v>
      </x:c>
      <x:c r="F10" s="642">
        <x:v>0</x:v>
      </x:c>
      <x:c r="G10" s="642">
        <x:v>0</x:v>
      </x:c>
      <x:c r="H10" s="642">
        <x:v>0</x:v>
      </x:c>
      <x:c r="I10" s="642">
        <x:v>0</x:v>
      </x:c>
      <x:c r="J10" s="642">
        <x:v>0</x:v>
      </x:c>
      <x:c r="K10" s="642">
        <x:v>0</x:v>
      </x:c>
      <x:c r="L10" s="642">
        <x:v>0</x:v>
      </x:c>
      <x:c r="M10" s="642">
        <x:v>0</x:v>
      </x:c>
      <x:c r="N10" s="642">
        <x:v>0</x:v>
      </x:c>
      <x:c r="O10" s="642">
        <x:v>0</x:v>
      </x:c>
    </x:row>
    <x:row r="11" spans="2:20" customFormat="1" ht="12.45" x14ac:dyDescent="0.3">
      <x:c r="B11" s="641" t="s">
        <x:v>117</x:v>
      </x:c>
      <x:c r="C11" s="641" t="s">
        <x:v>246</x:v>
      </x:c>
      <x:c r="D11" s="642">
        <x:v>0</x:v>
      </x:c>
      <x:c r="E11" s="642">
        <x:v>0</x:v>
      </x:c>
      <x:c r="F11" s="642">
        <x:v>0</x:v>
      </x:c>
      <x:c r="G11" s="642">
        <x:v>0</x:v>
      </x:c>
      <x:c r="H11" s="642">
        <x:v>0</x:v>
      </x:c>
      <x:c r="I11" s="642">
        <x:v>0</x:v>
      </x:c>
      <x:c r="J11" s="642">
        <x:v>0</x:v>
      </x:c>
      <x:c r="K11" s="642">
        <x:v>0</x:v>
      </x:c>
      <x:c r="L11" s="642">
        <x:v>0</x:v>
      </x:c>
      <x:c r="M11" s="642">
        <x:v>0</x:v>
      </x:c>
      <x:c r="N11" s="642">
        <x:v>0</x:v>
      </x:c>
      <x:c r="O11" s="642">
        <x:v>0</x:v>
      </x:c>
    </x:row>
    <x:row r="12" spans="2:20" customFormat="1" ht="12.45" x14ac:dyDescent="0.3">
      <x:c r="B12" s="641" t="s">
        <x:v>247</x:v>
      </x:c>
      <x:c r="C12" s="641" t="s">
        <x:v>13</x:v>
      </x:c>
      <x:c r="D12" s="642">
        <x:v>0</x:v>
      </x:c>
      <x:c r="E12" s="642">
        <x:v>0</x:v>
      </x:c>
      <x:c r="F12" s="642">
        <x:v>0</x:v>
      </x:c>
      <x:c r="G12" s="642">
        <x:v>0</x:v>
      </x:c>
      <x:c r="H12" s="642">
        <x:v>0</x:v>
      </x:c>
      <x:c r="I12" s="642">
        <x:v>0</x:v>
      </x:c>
      <x:c r="J12" s="642">
        <x:v>0</x:v>
      </x:c>
      <x:c r="K12" s="642">
        <x:v>0</x:v>
      </x:c>
      <x:c r="L12" s="642">
        <x:v>0</x:v>
      </x:c>
      <x:c r="M12" s="642">
        <x:v>0</x:v>
      </x:c>
      <x:c r="N12" s="642">
        <x:v>0</x:v>
      </x:c>
      <x:c r="O12" s="642">
        <x:v>0</x:v>
      </x:c>
    </x:row>
    <x:row r="13" spans="2:20" customFormat="1" ht="12.45" x14ac:dyDescent="0.3">
      <x:c r="B13" s="641" t="s">
        <x:v>118</x:v>
      </x:c>
      <x:c r="C13" s="641" t="s">
        <x:v>14</x:v>
      </x:c>
      <x:c r="D13" s="642">
        <x:v>0</x:v>
      </x:c>
      <x:c r="E13" s="642">
        <x:v>0</x:v>
      </x:c>
      <x:c r="F13" s="642">
        <x:v>0</x:v>
      </x:c>
      <x:c r="G13" s="642">
        <x:v>0</x:v>
      </x:c>
      <x:c r="H13" s="642">
        <x:v>0</x:v>
      </x:c>
      <x:c r="I13" s="642">
        <x:v>0</x:v>
      </x:c>
      <x:c r="J13" s="642">
        <x:v>0</x:v>
      </x:c>
      <x:c r="K13" s="642">
        <x:v>0</x:v>
      </x:c>
      <x:c r="L13" s="642">
        <x:v>0</x:v>
      </x:c>
      <x:c r="M13" s="642">
        <x:v>0</x:v>
      </x:c>
      <x:c r="N13" s="642">
        <x:v>0</x:v>
      </x:c>
      <x:c r="O13" s="642">
        <x:v>0</x:v>
      </x:c>
    </x:row>
    <x:row r="14" spans="2:20" customFormat="1" ht="12.45" x14ac:dyDescent="0.3">
      <x:c r="B14" s="641" t="s">
        <x:v>248</x:v>
      </x:c>
      <x:c r="C14" s="641" t="s">
        <x:v>70</x:v>
      </x:c>
      <x:c r="D14" s="642">
        <x:v>0</x:v>
      </x:c>
      <x:c r="E14" s="642">
        <x:v>0</x:v>
      </x:c>
      <x:c r="F14" s="642">
        <x:v>0</x:v>
      </x:c>
      <x:c r="G14" s="642">
        <x:v>0</x:v>
      </x:c>
      <x:c r="H14" s="642">
        <x:v>0</x:v>
      </x:c>
      <x:c r="I14" s="642">
        <x:v>0</x:v>
      </x:c>
      <x:c r="J14" s="642">
        <x:v>0</x:v>
      </x:c>
      <x:c r="K14" s="642">
        <x:v>0</x:v>
      </x:c>
      <x:c r="L14" s="642">
        <x:v>0</x:v>
      </x:c>
      <x:c r="M14" s="642">
        <x:v>0</x:v>
      </x:c>
      <x:c r="N14" s="642">
        <x:v>0</x:v>
      </x:c>
      <x:c r="O14" s="642">
        <x:v>0</x:v>
      </x:c>
    </x:row>
    <x:row r="15" spans="2:20" customFormat="1" ht="12.45" x14ac:dyDescent="0.3"/>
    <x:row r="16" spans="2:20" customFormat="1" ht="12.45" x14ac:dyDescent="0.3">
      <x:c r="C16" s="662" t="s">
        <x:v>323</x:v>
      </x:c>
    </x:row>
    <x:row r="18" spans="2:15" x14ac:dyDescent="0.4">
      <x:c r="E18" s="611" t="s">
        <x:v>249</x:v>
      </x:c>
    </x:row>
    <x:row r="19" spans="2:15" x14ac:dyDescent="0.4">
      <x:c r="F19" s="611" t="s">
        <x:v>25</x:v>
      </x:c>
    </x:row>
    <x:row r="22" spans="2:15" ht="34.75" x14ac:dyDescent="0.4">
      <x:c r="C22" s="646" t="s">
        <x:v>9</x:v>
      </x:c>
      <x:c r="D22" s="646" t="s">
        <x:v>4</x:v>
      </x:c>
      <x:c r="E22" s="646" t="s">
        <x:v>5</x:v>
      </x:c>
      <x:c r="F22" s="646" t="s">
        <x:v>6</x:v>
      </x:c>
      <x:c r="G22" s="646" t="s">
        <x:v>159</x:v>
      </x:c>
      <x:c r="H22" s="646" t="s">
        <x:v>18</x:v>
      </x:c>
      <x:c r="I22" s="646" t="s">
        <x:v>24</x:v>
      </x:c>
      <x:c r="J22" s="646" t="s">
        <x:v>19</x:v>
      </x:c>
      <x:c r="K22" s="647" t="s">
        <x:v>20</x:v>
      </x:c>
      <x:c r="L22" s="646" t="s">
        <x:v>21</x:v>
      </x:c>
      <x:c r="M22" s="647" t="s">
        <x:v>22</x:v>
      </x:c>
      <x:c r="N22" s="646" t="s">
        <x:v>7</x:v>
      </x:c>
      <x:c r="O22" s="647" t="s">
        <x:v>23</x:v>
      </x:c>
    </x:row>
    <x:row r="23" spans="2:15" x14ac:dyDescent="0.4">
      <x:c r="B23" s="610" t="s">
        <x:v>115</x:v>
      </x:c>
      <x:c r="C23" s="610" t="s">
        <x:v>10</x:v>
      </x:c>
      <x:c r="D23" s="648">
        <x:f>D9-'CONSOLIDADO_TOTAL RECAUDO'!D104</x:f>
        <x:v>0</x:v>
      </x:c>
      <x:c r="E23" s="648">
        <x:f>E9-'CONSOLIDADO_TOTAL RECAUDO'!E104</x:f>
        <x:v>0</x:v>
      </x:c>
      <x:c r="F23" s="648">
        <x:f>F9-'CONSOLIDADO_TOTAL RECAUDO'!F104</x:f>
        <x:v>0</x:v>
      </x:c>
      <x:c r="G23" s="648">
        <x:f>G9-'CONSOLIDADO_TOTAL RECAUDO'!G104</x:f>
        <x:v>0</x:v>
      </x:c>
      <x:c r="H23" s="648">
        <x:f>H9-'CONSOLIDADO_TOTAL RECAUDO'!H104</x:f>
        <x:v>0</x:v>
      </x:c>
      <x:c r="I23" s="648">
        <x:f>I9-'CONSOLIDADO_TOTAL RECAUDO'!I104</x:f>
        <x:v>0</x:v>
      </x:c>
      <x:c r="J23" s="648">
        <x:f>J9-'CONSOLIDADO_TOTAL RECAUDO'!J104</x:f>
        <x:v>0</x:v>
      </x:c>
      <x:c r="K23" s="648">
        <x:f>K9-'CONSOLIDADO_TOTAL RECAUDO'!K104</x:f>
        <x:v>0</x:v>
      </x:c>
      <x:c r="L23" s="648">
        <x:f>L9-'CONSOLIDADO_TOTAL RECAUDO'!L104</x:f>
        <x:v>-189185988</x:v>
      </x:c>
      <x:c r="M23" s="648">
        <x:f>M9-'CONSOLIDADO_TOTAL RECAUDO'!M104</x:f>
        <x:v>189185988</x:v>
      </x:c>
      <x:c r="N23" s="648">
        <x:f>N9-'CONSOLIDADO_TOTAL RECAUDO'!N104</x:f>
        <x:v>0</x:v>
      </x:c>
      <x:c r="O23" s="648">
        <x:f>O9-'CONSOLIDADO_TOTAL RECAUDO'!O104</x:f>
        <x:v>189185988</x:v>
      </x:c>
    </x:row>
    <x:row r="24" spans="2:15" x14ac:dyDescent="0.4">
      <x:c r="B24" s="610" t="s">
        <x:v>116</x:v>
      </x:c>
      <x:c r="C24" s="610" t="s">
        <x:v>11</x:v>
      </x:c>
      <x:c r="D24" s="648">
        <x:f>D10-'CONSOLIDADO_TOTAL RECAUDO'!D105</x:f>
        <x:v>0</x:v>
      </x:c>
      <x:c r="E24" s="648">
        <x:f>E10-'CONSOLIDADO_TOTAL RECAUDO'!E105</x:f>
        <x:v>0</x:v>
      </x:c>
      <x:c r="F24" s="648">
        <x:f>F10-'CONSOLIDADO_TOTAL RECAUDO'!F105</x:f>
        <x:v>0</x:v>
      </x:c>
      <x:c r="G24" s="648">
        <x:f>G10-'CONSOLIDADO_TOTAL RECAUDO'!G105</x:f>
        <x:v>0</x:v>
      </x:c>
      <x:c r="H24" s="648">
        <x:f>H10-'CONSOLIDADO_TOTAL RECAUDO'!H105</x:f>
        <x:v>0</x:v>
      </x:c>
      <x:c r="I24" s="648">
        <x:f>I10-'CONSOLIDADO_TOTAL RECAUDO'!I105</x:f>
        <x:v>0</x:v>
      </x:c>
      <x:c r="J24" s="648">
        <x:f>J10-'CONSOLIDADO_TOTAL RECAUDO'!J105</x:f>
        <x:v>0</x:v>
      </x:c>
      <x:c r="K24" s="648">
        <x:f>K10-'CONSOLIDADO_TOTAL RECAUDO'!K105</x:f>
        <x:v>0</x:v>
      </x:c>
      <x:c r="L24" s="648">
        <x:f>L10-'CONSOLIDADO_TOTAL RECAUDO'!L105</x:f>
        <x:v>-266580256</x:v>
      </x:c>
      <x:c r="M24" s="648">
        <x:f>M10-'CONSOLIDADO_TOTAL RECAUDO'!M105</x:f>
        <x:v>266580256</x:v>
      </x:c>
      <x:c r="N24" s="648">
        <x:f>N10-'CONSOLIDADO_TOTAL RECAUDO'!N105</x:f>
        <x:v>0</x:v>
      </x:c>
      <x:c r="O24" s="648">
        <x:f>O10-'CONSOLIDADO_TOTAL RECAUDO'!O105</x:f>
        <x:v>266580256</x:v>
      </x:c>
    </x:row>
    <x:row r="25" spans="2:15" x14ac:dyDescent="0.4">
      <x:c r="B25" s="610" t="s">
        <x:v>117</x:v>
      </x:c>
      <x:c r="C25" s="610" t="s">
        <x:v>246</x:v>
      </x:c>
      <x:c r="D25" s="648">
        <x:f>D11-'CONSOLIDADO_TOTAL RECAUDO'!D106</x:f>
        <x:v>0</x:v>
      </x:c>
      <x:c r="E25" s="648">
        <x:f>E11-'CONSOLIDADO_TOTAL RECAUDO'!E106</x:f>
        <x:v>0</x:v>
      </x:c>
      <x:c r="F25" s="648">
        <x:f>F11-'CONSOLIDADO_TOTAL RECAUDO'!F106</x:f>
        <x:v>0</x:v>
      </x:c>
      <x:c r="G25" s="648">
        <x:f>G11-'CONSOLIDADO_TOTAL RECAUDO'!G106</x:f>
        <x:v>0</x:v>
      </x:c>
      <x:c r="H25" s="648">
        <x:f>H11-'CONSOLIDADO_TOTAL RECAUDO'!H106</x:f>
        <x:v>0</x:v>
      </x:c>
      <x:c r="I25" s="648">
        <x:f>I11-'CONSOLIDADO_TOTAL RECAUDO'!I106</x:f>
        <x:v>0</x:v>
      </x:c>
      <x:c r="J25" s="648">
        <x:f>J11-'CONSOLIDADO_TOTAL RECAUDO'!J106</x:f>
        <x:v>0</x:v>
      </x:c>
      <x:c r="K25" s="648">
        <x:f>K11-'CONSOLIDADO_TOTAL RECAUDO'!K106</x:f>
        <x:v>0</x:v>
      </x:c>
      <x:c r="L25" s="648">
        <x:f>L11-'CONSOLIDADO_TOTAL RECAUDO'!L106</x:f>
        <x:v>-154788536</x:v>
      </x:c>
      <x:c r="M25" s="648">
        <x:f>M11-'CONSOLIDADO_TOTAL RECAUDO'!M106</x:f>
        <x:v>154788536</x:v>
      </x:c>
      <x:c r="N25" s="648">
        <x:f>N11-'CONSOLIDADO_TOTAL RECAUDO'!N106</x:f>
        <x:v>0</x:v>
      </x:c>
      <x:c r="O25" s="648">
        <x:f>O11-'CONSOLIDADO_TOTAL RECAUDO'!O106</x:f>
        <x:v>154788536</x:v>
      </x:c>
    </x:row>
    <x:row r="26" spans="2:15" x14ac:dyDescent="0.4">
      <x:c r="B26" s="610" t="s">
        <x:v>247</x:v>
      </x:c>
      <x:c r="C26" s="610" t="s">
        <x:v>13</x:v>
      </x:c>
      <x:c r="D26" s="648">
        <x:f>D12-'CONSOLIDADO_TOTAL RECAUDO'!D107</x:f>
        <x:v>0</x:v>
      </x:c>
      <x:c r="E26" s="648">
        <x:f>E12-'CONSOLIDADO_TOTAL RECAUDO'!E107</x:f>
        <x:v>0</x:v>
      </x:c>
      <x:c r="F26" s="648">
        <x:f>F12-'CONSOLIDADO_TOTAL RECAUDO'!F107</x:f>
        <x:v>0</x:v>
      </x:c>
      <x:c r="G26" s="648">
        <x:f>G12-'CONSOLIDADO_TOTAL RECAUDO'!G107</x:f>
        <x:v>0</x:v>
      </x:c>
      <x:c r="H26" s="648">
        <x:f>H12-'CONSOLIDADO_TOTAL RECAUDO'!H107</x:f>
        <x:v>0</x:v>
      </x:c>
      <x:c r="I26" s="648">
        <x:f>I12-'CONSOLIDADO_TOTAL RECAUDO'!I107</x:f>
        <x:v>0</x:v>
      </x:c>
      <x:c r="J26" s="648">
        <x:f>J12-'CONSOLIDADO_TOTAL RECAUDO'!J107</x:f>
        <x:v>0</x:v>
      </x:c>
      <x:c r="K26" s="648">
        <x:f>K12-'CONSOLIDADO_TOTAL RECAUDO'!K107</x:f>
        <x:v>0</x:v>
      </x:c>
      <x:c r="L26" s="648">
        <x:f>L12-'CONSOLIDADO_TOTAL RECAUDO'!L107</x:f>
        <x:v>-120391083</x:v>
      </x:c>
      <x:c r="M26" s="648">
        <x:f>M12-'CONSOLIDADO_TOTAL RECAUDO'!M107</x:f>
        <x:v>120391083</x:v>
      </x:c>
      <x:c r="N26" s="648">
        <x:f>N12-'CONSOLIDADO_TOTAL RECAUDO'!N107</x:f>
        <x:v>0</x:v>
      </x:c>
      <x:c r="O26" s="648">
        <x:f>O12-'CONSOLIDADO_TOTAL RECAUDO'!O107</x:f>
        <x:v>120391083</x:v>
      </x:c>
    </x:row>
    <x:row r="27" spans="2:15" x14ac:dyDescent="0.4">
      <x:c r="B27" s="610" t="s">
        <x:v>118</x:v>
      </x:c>
      <x:c r="C27" s="610" t="s">
        <x:v>14</x:v>
      </x:c>
      <x:c r="D27" s="648">
        <x:f>D13-'CONSOLIDADO_TOTAL RECAUDO'!D108</x:f>
        <x:v>0</x:v>
      </x:c>
      <x:c r="E27" s="648">
        <x:f>E13-'CONSOLIDADO_TOTAL RECAUDO'!E108</x:f>
        <x:v>0</x:v>
      </x:c>
      <x:c r="F27" s="648">
        <x:f>F13-'CONSOLIDADO_TOTAL RECAUDO'!F108</x:f>
        <x:v>0</x:v>
      </x:c>
      <x:c r="G27" s="648">
        <x:f>G13-'CONSOLIDADO_TOTAL RECAUDO'!G108</x:f>
        <x:v>0</x:v>
      </x:c>
      <x:c r="H27" s="648">
        <x:f>H13-'CONSOLIDADO_TOTAL RECAUDO'!H108</x:f>
        <x:v>0</x:v>
      </x:c>
      <x:c r="I27" s="648">
        <x:f>I13-'CONSOLIDADO_TOTAL RECAUDO'!I108</x:f>
        <x:v>0</x:v>
      </x:c>
      <x:c r="J27" s="648">
        <x:f>J13-'CONSOLIDADO_TOTAL RECAUDO'!J108</x:f>
        <x:v>0</x:v>
      </x:c>
      <x:c r="K27" s="648">
        <x:f>K13-'CONSOLIDADO_TOTAL RECAUDO'!K108</x:f>
        <x:v>0</x:v>
      </x:c>
      <x:c r="L27" s="648">
        <x:f>L13-'CONSOLIDADO_TOTAL RECAUDO'!L108</x:f>
        <x:v>-128990446</x:v>
      </x:c>
      <x:c r="M27" s="648">
        <x:f>M13-'CONSOLIDADO_TOTAL RECAUDO'!M108</x:f>
        <x:v>128990446</x:v>
      </x:c>
      <x:c r="N27" s="648">
        <x:f>N13-'CONSOLIDADO_TOTAL RECAUDO'!N108</x:f>
        <x:v>0</x:v>
      </x:c>
      <x:c r="O27" s="648">
        <x:f>O13-'CONSOLIDADO_TOTAL RECAUDO'!O108</x:f>
        <x:v>128990446</x:v>
      </x:c>
    </x:row>
    <x:row r="28" spans="2:15" x14ac:dyDescent="0.4">
      <x:c r="B28" s="610" t="s">
        <x:v>248</x:v>
      </x:c>
      <x:c r="C28" s="610" t="s">
        <x:v>70</x:v>
      </x:c>
      <x:c r="D28" s="648">
        <x:f>D14-'CONSOLIDADO_TOTAL RECAUDO'!D109</x:f>
        <x:v>0</x:v>
      </x:c>
      <x:c r="E28" s="648">
        <x:f>E14-'CONSOLIDADO_TOTAL RECAUDO'!E109</x:f>
        <x:v>0</x:v>
      </x:c>
      <x:c r="F28" s="648">
        <x:f>F14-'CONSOLIDADO_TOTAL RECAUDO'!F109</x:f>
        <x:v>0</x:v>
      </x:c>
      <x:c r="G28" s="648">
        <x:f>G14-'CONSOLIDADO_TOTAL RECAUDO'!G109</x:f>
        <x:v>0</x:v>
      </x:c>
      <x:c r="H28" s="648">
        <x:f>H14-'CONSOLIDADO_TOTAL RECAUDO'!H109</x:f>
        <x:v>0</x:v>
      </x:c>
      <x:c r="I28" s="648">
        <x:f>I14-'CONSOLIDADO_TOTAL RECAUDO'!I109</x:f>
        <x:v>0</x:v>
      </x:c>
      <x:c r="J28" s="648">
        <x:f>J14-'CONSOLIDADO_TOTAL RECAUDO'!J109</x:f>
        <x:v>0</x:v>
      </x:c>
      <x:c r="K28" s="648">
        <x:f>K14-'CONSOLIDADO_TOTAL RECAUDO'!K109</x:f>
        <x:v>0</x:v>
      </x:c>
      <x:c r="L28" s="648">
        <x:f>L14-'CONSOLIDADO_TOTAL RECAUDO'!L109</x:f>
        <x:v>-859936309</x:v>
      </x:c>
      <x:c r="M28" s="648">
        <x:f>M14-'CONSOLIDADO_TOTAL RECAUDO'!M109</x:f>
        <x:v>859936309</x:v>
      </x:c>
      <x:c r="N28" s="648">
        <x:f>N14-'CONSOLIDADO_TOTAL RECAUDO'!N109</x:f>
        <x:v>0</x:v>
      </x:c>
      <x:c r="O28" s="648">
        <x:f>O14-'CONSOLIDADO_TOTAL RECAUDO'!O109</x:f>
        <x:v>859936309</x:v>
      </x:c>
    </x:row>
    <x:row r="31" spans="2:15" ht="34.75" x14ac:dyDescent="0.4">
      <x:c r="C31" s="646" t="s">
        <x:v>9</x:v>
      </x:c>
      <x:c r="D31" s="646" t="s">
        <x:v>4</x:v>
      </x:c>
      <x:c r="E31" s="646" t="s">
        <x:v>5</x:v>
      </x:c>
      <x:c r="F31" s="646" t="s">
        <x:v>6</x:v>
      </x:c>
      <x:c r="G31" s="646" t="s">
        <x:v>159</x:v>
      </x:c>
      <x:c r="H31" s="646" t="s">
        <x:v>18</x:v>
      </x:c>
      <x:c r="I31" s="646" t="s">
        <x:v>24</x:v>
      </x:c>
      <x:c r="J31" s="709" t="s">
        <x:v>19</x:v>
      </x:c>
      <x:c r="K31" s="647" t="s">
        <x:v>20</x:v>
      </x:c>
      <x:c r="L31" s="709" t="s">
        <x:v>21</x:v>
      </x:c>
      <x:c r="M31" s="647" t="s">
        <x:v>22</x:v>
      </x:c>
      <x:c r="N31" s="646" t="s">
        <x:v>7</x:v>
      </x:c>
      <x:c r="O31" s="647" t="s">
        <x:v>23</x:v>
      </x:c>
    </x:row>
    <x:row r="32" spans="2:15" x14ac:dyDescent="0.4">
      <x:c r="B32" s="610" t="s">
        <x:v>115</x:v>
      </x:c>
      <x:c r="C32" s="338" t="s">
        <x:v>10</x:v>
      </x:c>
      <x:c r="D32" s="651" t="b">
        <x:f>+D23+'Reporte Componentes R1'!F75+'Rem. Anticipos R2'!E47+'Reversion Pagos R4'!D73+'Reporte Componentes R1'!F77+'AJUSTES - SF-T'!D47=D9</x:f>
        <x:v>1</x:v>
      </x:c>
      <x:c r="E32" s="651" t="b">
        <x:f>+E23+'Reporte Componentes R1'!G75+'Rem. Anticipos R2'!F47+'Reversion Pagos R4'!E73+'Reporte Componentes R1'!G77+'AJUSTES - SF-T'!E47=E9</x:f>
        <x:v>1</x:v>
      </x:c>
      <x:c r="F32" s="651" t="b">
        <x:f>+F23+'Reporte Componentes R1'!H75+'Rem. Anticipos R2'!G47+'Reversion Pagos R4'!F73+'Reporte Componentes R1'!H77+'AJUSTES - SF-T'!F47=F9</x:f>
        <x:v>1</x:v>
      </x:c>
      <x:c r="G32" s="651" t="b">
        <x:f>+G23+'Reporte Componentes R1'!I75+'Rem. Anticipos R2'!H47+'Reversion Pagos R4'!G73+'Reporte Componentes R1'!I77+'AJUSTES - SF-T'!G47=G9</x:f>
        <x:v>1</x:v>
      </x:c>
      <x:c r="H32" s="651" t="b">
        <x:f>+H23+'Reporte Componentes R1'!J75+'Rem. Anticipos R2'!I47+'Reversion Pagos R4'!H73+'Reporte Componentes R1'!J77+'AJUSTES - SF-T'!H47=H9</x:f>
        <x:v>1</x:v>
      </x:c>
      <x:c r="I32" s="651" t="b">
        <x:f>+I23+'Reporte Componentes R1'!K75+'Rem. Anticipos R2'!J47+'Reversion Pagos R4'!I73+'Reporte Componentes R1'!K77+'AJUSTES - SF-T'!I47=I9</x:f>
        <x:v>1</x:v>
      </x:c>
      <x:c r="J32" s="651" t="b">
        <x:f>+'BCE SC POR FACT.'!F3+J23=J9</x:f>
        <x:v>1</x:v>
      </x:c>
      <x:c r="K32" s="651" t="b">
        <x:f>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FACT.'!F3)+K23)+'AJUSTES - SF-T'!K47=K9</x:f>
        <x:v>1</x:v>
      </x:c>
      <x:c r="L32" s="698" t="b">
        <x:f>INTERVENTORIA!N26+L23=L9</x:f>
        <x:v>1</x:v>
      </x:c>
      <x:c r="M32" s="648" t="b">
        <x:f>((('Reporte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FACT.'!F3))-INTERVENTORIA!F15)+M23)+'AJUSTES - SF-T'!M47=M9</x:f>
        <x:v>1</x:v>
      </x:c>
      <x:c r="N32" s="648" t="b">
        <x:f>'Reporte Componentes R1'!L75+'Rem. Anticipos R2'!K47+'Reversion Pagos R4'!P73+'Reporte Componentes R1'!L77+N23=N9</x:f>
        <x:v>1</x:v>
      </x:c>
      <x:c r="O32" s="648" t="b">
        <x:f>((('Reporte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FACT.'!F3))-INTERVENTORIA!N26))+'Reporte Componentes R1'!L75+'Rem. Anticipos R2'!K47+'Reversion Pagos R4'!P73+'Reporte Componentes R1'!L77+O23+'AJUSTES - SF-T'!O47=O9</x:f>
        <x:v>1</x:v>
      </x:c>
    </x:row>
    <x:row r="33" spans="2:15" x14ac:dyDescent="0.4">
      <x:c r="B33" s="610" t="s">
        <x:v>116</x:v>
      </x:c>
      <x:c r="C33" s="338" t="s">
        <x:v>11</x:v>
      </x:c>
      <x:c r="D33" s="651" t="b">
        <x:f>+D24+'Reporte Componentes R1'!F254+'Rem. Anticipos R2'!E155+'Reversion Pagos R4'!D174+'Reporte Componentes R1'!F256+'AJUSTES - SF-T'!D48=D10</x:f>
        <x:v>1</x:v>
      </x:c>
      <x:c r="E33" s="651" t="b">
        <x:f>+E24+'Reporte Componentes R1'!G254+'Rem. Anticipos R2'!F155+'Reversion Pagos R4'!E174+'Reporte Componentes R1'!G256+'AJUSTES - SF-T'!E48=E10</x:f>
        <x:v>1</x:v>
      </x:c>
      <x:c r="F33" s="651" t="b">
        <x:f>+F24+'Reporte Componentes R1'!H254+'Rem. Anticipos R2'!G155+'Reversion Pagos R4'!F174+'Reporte Componentes R1'!H256+'AJUSTES - SF-T'!F48=F10</x:f>
        <x:v>1</x:v>
      </x:c>
      <x:c r="G33" s="651" t="b">
        <x:f>+G24+'Reporte Componentes R1'!I254+'Rem. Anticipos R2'!H155+'Reversion Pagos R4'!G174+'Reporte Componentes R1'!I256+'AJUSTES - SF-T'!G48=G10</x:f>
        <x:v>1</x:v>
      </x:c>
      <x:c r="H33" s="651" t="b">
        <x:f>+H24+'Reporte Componentes R1'!J254+'Rem. Anticipos R2'!I155+'Reversion Pagos R4'!H174+'Reporte Componentes R1'!J256+'AJUSTES - SF-T'!H48=H10</x:f>
        <x:v>1</x:v>
      </x:c>
      <x:c r="I33" s="651" t="b">
        <x:f>+I24+'Reporte Componentes R1'!K254+'Rem. Anticipos R2'!J155+'Reversion Pagos R4'!I174+'Reporte Componentes R1'!K256+'AJUSTES - SF-T'!I48=I10</x:f>
        <x:v>1</x:v>
      </x:c>
      <x:c r="J33" s="651" t="b">
        <x:f>+'BCE SC POR FACT.'!F4+J24=J10</x:f>
        <x:v>1</x:v>
      </x:c>
      <x:c r="K33" s="648" t="b">
        <x:f>('Reporte Componentes R1'!F254+'Rem. Anticipos R2'!E155+'Reversion Pagos R4'!D174+'Reporte Componentes R1'!F256-('Reporte Componentes R1'!G254+'Rem. Anticipos R2'!F155+'Reversion Pagos R4'!E174+'Reporte Componentes R1'!G256+'Reporte Componentes R1'!H254+'Rem. Anticipos R2'!G155+'Reversion Pagos R4'!F174+'Reporte Componentes R1'!H256+'Reporte Componentes R1'!I254+'Rem. Anticipos R2'!H155+'Reversion Pagos R4'!G174+'Reporte Componentes R1'!I256+'Reporte Componentes R1'!J254+'Rem. Anticipos R2'!I155+'Reversion Pagos R4'!H174+'Reporte Componentes R1'!J256+'Reporte Componentes R1'!K254+'Rem. Anticipos R2'!J155+'Reversion Pagos R4'!I174+'Reporte Componentes R1'!K256+'BCE SC POR FACT.'!F4)+K24)+'AJUSTES - SF-T'!K48=K10</x:f>
        <x:v>1</x:v>
      </x:c>
      <x:c r="L33" s="698" t="b">
        <x:f>INTERVENTORIA!N27+L24=L10</x:f>
        <x:v>1</x:v>
      </x:c>
      <x:c r="M33" s="648" t="b">
        <x:f>((('Reporte Componentes R1'!F254+'Rem. Anticipos R2'!E155+'Reversion Pagos R4'!D174+'Reporte Componentes R1'!F256-('Reporte Componentes R1'!G254+'Rem. Anticipos R2'!F155+'Reversion Pagos R4'!E174+'Reporte Componentes R1'!G256+'Reporte Componentes R1'!H254+'Rem. Anticipos R2'!G155+'Reversion Pagos R4'!F174+'Reporte Componentes R1'!H256+'Reporte Componentes R1'!I254+'Rem. Anticipos R2'!H155+'Reversion Pagos R4'!G174+'Reporte Componentes R1'!I256+'Reporte Componentes R1'!J254+'Rem. Anticipos R2'!I155+'Reversion Pagos R4'!H174+'Reporte Componentes R1'!J256+'Reporte Componentes R1'!K254+'Rem. Anticipos R2'!J155+'Reversion Pagos R4'!I174+'Reporte Componentes R1'!K256+'BCE SC POR FACT.'!F4))+M24)-INTERVENTORIA!F16)+'AJUSTES - SF-T'!M48=M10</x:f>
        <x:v>1</x:v>
      </x:c>
      <x:c r="N33" s="648" t="b">
        <x:f>+'Reporte Componentes R1'!L254+'Rem. Anticipos R2'!K155+'Reversion Pagos R4'!P174+'Reporte Componentes R1'!L256+N24=N10</x:f>
        <x:v>1</x:v>
      </x:c>
      <x:c r="O33" s="648" t="b">
        <x:f>((('Reporte Componentes R1'!F254+'Rem. Anticipos R2'!E155+'Reversion Pagos R4'!D174+'Reporte Componentes R1'!F256-('Reporte Componentes R1'!G254+'Rem. Anticipos R2'!F155+'Reversion Pagos R4'!E174+'Reporte Componentes R1'!G256+'Reporte Componentes R1'!H254+'Rem. Anticipos R2'!G155+'Reversion Pagos R4'!F174+'Reporte Componentes R1'!H256+'Reporte Componentes R1'!I254+'Rem. Anticipos R2'!H155+'Reversion Pagos R4'!G174+'Reporte Componentes R1'!I256+'Reporte Componentes R1'!J254+'Rem. Anticipos R2'!I155+'Reversion Pagos R4'!H174+'Reporte Componentes R1'!J256+'Reporte Componentes R1'!K254+'Rem. Anticipos R2'!J155+'Reversion Pagos R4'!I174+'Reporte Componentes R1'!K256+'BCE SC POR FACT.'!F4)))-INTERVENTORIA!N27)+O24+'Reporte Componentes R1'!L254+'Rem. Anticipos R2'!K155+'Reversion Pagos R4'!P174+'Reporte Componentes R1'!L256+'AJUSTES - SF-T'!O48=O10</x:f>
        <x:v>1</x:v>
      </x:c>
    </x:row>
    <x:row r="34" spans="2:15" x14ac:dyDescent="0.4">
      <x:c r="B34" s="610" t="s">
        <x:v>117</x:v>
      </x:c>
      <x:c r="C34" s="338" t="s">
        <x:v>12</x:v>
      </x:c>
      <x:c r="D34" s="651" t="b">
        <x:f>+'Reporte Componentes R1'!F415+'Reporte Componentes R1'!F417+'Rem. Anticipos R2'!E273+'Reversion Pagos R4'!D211+D25+'AJUSTES - SF-T'!D49=D11</x:f>
        <x:v>1</x:v>
      </x:c>
      <x:c r="E34" s="651" t="b">
        <x:f>+'Reporte Componentes R1'!G415+'Reporte Componentes R1'!G417+'Rem. Anticipos R2'!F273+'Reversion Pagos R4'!E211+E25+'AJUSTES - SF-T'!E49=E11</x:f>
        <x:v>1</x:v>
      </x:c>
      <x:c r="F34" s="651" t="b">
        <x:f>+'Reporte Componentes R1'!H415+'Reporte Componentes R1'!H417+'Rem. Anticipos R2'!G273+'Reversion Pagos R4'!F211+F25+'AJUSTES - SF-T'!F49=F11</x:f>
        <x:v>1</x:v>
      </x:c>
      <x:c r="G34" s="651" t="b">
        <x:f>+'Reporte Componentes R1'!I415+'Reporte Componentes R1'!I417+'Rem. Anticipos R2'!H273+'Reversion Pagos R4'!G211+G25+'AJUSTES - SF-T'!G49=G11</x:f>
        <x:v>1</x:v>
      </x:c>
      <x:c r="H34" s="651" t="b">
        <x:f>+'Reporte Componentes R1'!J415+'Reporte Componentes R1'!J417+'Rem. Anticipos R2'!I273+'Reversion Pagos R4'!H211+H25+'AJUSTES - SF-T'!H49=H11</x:f>
        <x:v>1</x:v>
      </x:c>
      <x:c r="I34" s="651" t="b">
        <x:f>+'Reporte Componentes R1'!K415+'Reporte Componentes R1'!K417+'Rem. Anticipos R2'!J273+'Reversion Pagos R4'!I211+I25+'AJUSTES - SF-T'!I49=I11</x:f>
        <x:v>1</x:v>
      </x:c>
      <x:c r="J34" s="651" t="b">
        <x:f>+'BCE SC POR FACT.'!F5+J25=J11</x:f>
        <x:v>1</x:v>
      </x:c>
      <x:c r="K34" s="648" t="b">
        <x:f>+'Reporte Componentes R1'!F415+'Reporte Componentes R1'!F417+'Rem. Anticipos R2'!E273+'Reversion Pagos R4'!D211-('Reporte Componentes R1'!G415+'Reporte Componentes R1'!G417+'Rem. Anticipos R2'!F273+'Reversion Pagos R4'!E211+'Reporte Componentes R1'!H415+'Reporte Componentes R1'!H417+'Rem. Anticipos R2'!G273+'Reversion Pagos R4'!F211+'Reporte Componentes R1'!I415+'Reporte Componentes R1'!I417+'Rem. Anticipos R2'!H273+'Reversion Pagos R4'!G211+'Reporte Componentes R1'!J415+'Reporte Componentes R1'!J417+'Rem. Anticipos R2'!I273+'Reversion Pagos R4'!H211+'Reporte Componentes R1'!K415+'Reporte Componentes R1'!K417+'Rem. Anticipos R2'!J273+'Reversion Pagos R4'!I211+'BCE SC POR FACT.'!F5)+K25+'AJUSTES - SF-T'!K49=K11</x:f>
        <x:v>1</x:v>
      </x:c>
      <x:c r="L34" s="698" t="b">
        <x:f>INTERVENTORIA!N28+L25=L11</x:f>
        <x:v>1</x:v>
      </x:c>
      <x:c r="M34" s="648" t="b">
        <x:f>((('Reporte Componentes R1'!F415+'Reporte Componentes R1'!F417+'Rem. Anticipos R2'!E273+'Reversion Pagos R4'!D211-('Reporte Componentes R1'!G415+'Reporte Componentes R1'!G417+'Rem. Anticipos R2'!F273+'Reversion Pagos R4'!E211+'Reporte Componentes R1'!H415+'Reporte Componentes R1'!H417+'Rem. Anticipos R2'!G273+'Reversion Pagos R4'!F211+'Reporte Componentes R1'!I415+'Reporte Componentes R1'!I417+'Rem. Anticipos R2'!H273+'Reversion Pagos R4'!G211+'Reporte Componentes R1'!J415+'Reporte Componentes R1'!J417+'Rem. Anticipos R2'!I273+'Reversion Pagos R4'!H211+'Reporte Componentes R1'!K415+'Reporte Componentes R1'!K417+'Rem. Anticipos R2'!J273+'Reversion Pagos R4'!I211+'BCE SC POR FACT.'!F5))+M25)-INTERVENTORIA!F17)+'AJUSTES - SF-T'!M49=M11</x:f>
        <x:v>1</x:v>
      </x:c>
      <x:c r="N34" s="648" t="b">
        <x:f>+'Reporte Componentes R1'!L415+'Reporte Componentes R1'!L417+'Rem. Anticipos R2'!K273+'Reversion Pagos R4'!P211+N25=N11</x:f>
        <x:v>1</x:v>
      </x:c>
      <x:c r="O34" s="648" t="b">
        <x:f>((('Reporte Componentes R1'!F415+'Reporte Componentes R1'!F417+'Rem. Anticipos R2'!E273+'Reversion Pagos R4'!D211-('Reporte Componentes R1'!G415+'Reporte Componentes R1'!G417+'Rem. Anticipos R2'!F273+'Reversion Pagos R4'!E211+'Reporte Componentes R1'!H415+'Reporte Componentes R1'!H417+'Rem. Anticipos R2'!G273+'Reversion Pagos R4'!F211+'Reporte Componentes R1'!I415+'Reporte Componentes R1'!I417+'Rem. Anticipos R2'!H273+'Reversion Pagos R4'!G211+'Reporte Componentes R1'!J415+'Reporte Componentes R1'!J417+'Rem. Anticipos R2'!I273+'Reversion Pagos R4'!H211+'Reporte Componentes R1'!K415+'Reporte Componentes R1'!K417+'Rem. Anticipos R2'!J273+'Reversion Pagos R4'!I211+'BCE SC POR FACT.'!F5)))-INTERVENTORIA!N28)++'Reporte Componentes R1'!L415+'Reporte Componentes R1'!L417+'Rem. Anticipos R2'!K273+'Reversion Pagos R4'!P211+O25+'AJUSTES - SF-T'!O49=O11</x:f>
        <x:v>1</x:v>
      </x:c>
    </x:row>
    <x:row r="35" spans="2:15" x14ac:dyDescent="0.4">
      <x:c r="B35" s="610" t="s">
        <x:v>247</x:v>
      </x:c>
      <x:c r="C35" s="338" t="s">
        <x:v>13</x:v>
      </x:c>
      <x:c r="D35" s="651" t="b">
        <x:f>+'Reporte Componentes R1'!F568+'Reporte Componentes R1'!F570+'Rem. Anticipos R2'!E384+'Reversion Pagos R4'!D326+D26+'AJUSTES - SF-T'!D50=D12</x:f>
        <x:v>1</x:v>
      </x:c>
      <x:c r="E35" s="651" t="b">
        <x:f>+'Reporte Componentes R1'!G568+'Reporte Componentes R1'!G570+'Rem. Anticipos R2'!F384+'Reversion Pagos R4'!E326+E26+'AJUSTES - SF-T'!E50=E12</x:f>
        <x:v>1</x:v>
      </x:c>
      <x:c r="F35" s="651" t="b">
        <x:f>+'Reporte Componentes R1'!H568+'Reporte Componentes R1'!H570+'Rem. Anticipos R2'!G384+'Reversion Pagos R4'!F326+F26+'AJUSTES - SF-T'!F50=F12</x:f>
        <x:v>1</x:v>
      </x:c>
      <x:c r="G35" s="651" t="b">
        <x:f>+'Reporte Componentes R1'!I568+'Reporte Componentes R1'!I570+'Rem. Anticipos R2'!H384+'Reversion Pagos R4'!G326+G26+'AJUSTES - SF-T'!G50=G12</x:f>
        <x:v>1</x:v>
      </x:c>
      <x:c r="H35" s="651" t="b">
        <x:f>+'Reporte Componentes R1'!J568+'Reporte Componentes R1'!J570+'Rem. Anticipos R2'!I384+'Reversion Pagos R4'!H326+H26+'AJUSTES - SF-T'!H50=H12</x:f>
        <x:v>1</x:v>
      </x:c>
      <x:c r="I35" s="651" t="b">
        <x:f>+'Reporte Componentes R1'!K568+'Reporte Componentes R1'!K570+'Rem. Anticipos R2'!J384+'Reversion Pagos R4'!I326+I26+'AJUSTES - SF-T'!I50=I12</x:f>
        <x:v>1</x:v>
      </x:c>
      <x:c r="J35" s="651" t="b">
        <x:f>+J26+'BCE SC POR FACT.'!F6=J12</x:f>
        <x:v>1</x:v>
      </x:c>
      <x:c r="K35" s="648" t="b">
        <x:f>+'Reporte Componentes R1'!F568+'Reporte Componentes R1'!F570+'Rem. Anticipos R2'!E384+'Reversion Pagos R4'!D326-('Reporte Componentes R1'!G568+'Reporte Componentes R1'!G570+'Rem. Anticipos R2'!F384+'Reversion Pagos R4'!E326+'Reporte Componentes R1'!H568+'Reporte Componentes R1'!H570+'Rem. Anticipos R2'!G384+'Reversion Pagos R4'!F326+'Reporte Componentes R1'!I568+'Reporte Componentes R1'!I570+'Rem. Anticipos R2'!H384+'Reversion Pagos R4'!G326+'Reporte Componentes R1'!J568+'Reporte Componentes R1'!J570+'Rem. Anticipos R2'!I384+'Reversion Pagos R4'!H326+'Reporte Componentes R1'!K568+'Reporte Componentes R1'!K570+'Rem. Anticipos R2'!J384+'Reversion Pagos R4'!I326+'BCE SC POR FACT.'!F6)+K26+'AJUSTES - SF-T'!K50=K12</x:f>
        <x:v>1</x:v>
      </x:c>
      <x:c r="L35" s="698" t="b">
        <x:f>INTERVENTORIA!N29+L26=L12</x:f>
        <x:v>1</x:v>
      </x:c>
      <x:c r="M35" s="648" t="b">
        <x:f>((('Reporte Componentes R1'!F568+'Reporte Componentes R1'!F570+'Rem. Anticipos R2'!E384+'Reversion Pagos R4'!D326-('Reporte Componentes R1'!G568+'Reporte Componentes R1'!G570+'Rem. Anticipos R2'!F384+'Reversion Pagos R4'!E326+'Reporte Componentes R1'!H568+'Reporte Componentes R1'!H570+'Rem. Anticipos R2'!G384+'Reversion Pagos R4'!F326+'Reporte Componentes R1'!I568+'Reporte Componentes R1'!I570+'Rem. Anticipos R2'!H384+'Reversion Pagos R4'!G326+'Reporte Componentes R1'!J568+'Reporte Componentes R1'!J570+'Rem. Anticipos R2'!I384+'Reversion Pagos R4'!H326+'Reporte Componentes R1'!K568+'Reporte Componentes R1'!K570+'Rem. Anticipos R2'!J384+'Reversion Pagos R4'!I326+'BCE SC POR FACT.'!F6))+M26)-INTERVENTORIA!F18)+'AJUSTES - SF-T'!M50=M12</x:f>
        <x:v>1</x:v>
      </x:c>
      <x:c r="N35" s="648" t="b">
        <x:f>+'Reporte Componentes R1'!L568+'Reporte Componentes R1'!L570+'Rem. Anticipos R2'!K384+'Reversion Pagos R4'!P326+N26=N12</x:f>
        <x:v>1</x:v>
      </x:c>
      <x:c r="O35" s="648" t="b">
        <x:f>((('Reporte Componentes R1'!F568+'Reporte Componentes R1'!F570+'Rem. Anticipos R2'!E384+'Reversion Pagos R4'!D326-('Reporte Componentes R1'!G568+'Reporte Componentes R1'!G570+'Rem. Anticipos R2'!F384+'Reversion Pagos R4'!E326+'Reporte Componentes R1'!H568+'Reporte Componentes R1'!H570+'Rem. Anticipos R2'!G384+'Reversion Pagos R4'!F326+'Reporte Componentes R1'!I568+'Reporte Componentes R1'!I570+'Rem. Anticipos R2'!H384+'Reversion Pagos R4'!G326+'Reporte Componentes R1'!J568+'Reporte Componentes R1'!J570+'Rem. Anticipos R2'!I384+'Reversion Pagos R4'!H326+'Reporte Componentes R1'!K568+'Reporte Componentes R1'!K570+'Rem. Anticipos R2'!J384+'Reversion Pagos R4'!I326+'BCE SC POR FACT.'!F6)))-INTERVENTORIA!N29)+'Reporte Componentes R1'!L568+'Reporte Componentes R1'!L570+'Rem. Anticipos R2'!K384+'Reversion Pagos R4'!P326+O26+'AJUSTES - SF-T'!O50=O12</x:f>
        <x:v>1</x:v>
      </x:c>
    </x:row>
    <x:row r="36" spans="2:15" x14ac:dyDescent="0.4">
      <x:c r="B36" s="610" t="s">
        <x:v>118</x:v>
      </x:c>
      <x:c r="C36" s="338" t="s">
        <x:v>14</x:v>
      </x:c>
      <x:c r="D36" s="651" t="b">
        <x:f>+D27+'Reporte Componentes R1'!F680+'Reporte Componentes R1'!F682+'Rem. Anticipos R2'!E468+'Reversion Pagos R4'!D361+'AJUSTES - SF-T'!D51=D13</x:f>
        <x:v>1</x:v>
      </x:c>
      <x:c r="E36" s="651" t="b">
        <x:f>+E27+'Reporte Componentes R1'!G680+'Reporte Componentes R1'!G682+'Rem. Anticipos R2'!F468+'Reversion Pagos R4'!E361+'AJUSTES - SF-T'!E51=E13</x:f>
        <x:v>1</x:v>
      </x:c>
      <x:c r="F36" s="651" t="b">
        <x:f>+F27+'Reporte Componentes R1'!H680+'Reporte Componentes R1'!H682+'Rem. Anticipos R2'!G468+'Reversion Pagos R4'!F361+'AJUSTES - SF-T'!F51=F13</x:f>
        <x:v>1</x:v>
      </x:c>
      <x:c r="G36" s="651" t="b">
        <x:f>+G27+'Reporte Componentes R1'!I680+'Reporte Componentes R1'!I682+'Rem. Anticipos R2'!H468+'Reversion Pagos R4'!G361+'AJUSTES - SF-T'!G51=G13</x:f>
        <x:v>1</x:v>
      </x:c>
      <x:c r="H36" s="651" t="b">
        <x:f>+H27+'Reporte Componentes R1'!J680+'Reporte Componentes R1'!J682+'Rem. Anticipos R2'!I468+'Reversion Pagos R4'!H361+'AJUSTES - SF-T'!H51=H13</x:f>
        <x:v>1</x:v>
      </x:c>
      <x:c r="I36" s="651" t="b">
        <x:f>+I27+'Reporte Componentes R1'!K680+'Reporte Componentes R1'!K682+'Rem. Anticipos R2'!J468+'Reversion Pagos R4'!I361+'AJUSTES - SF-T'!I51=I13</x:f>
        <x:v>1</x:v>
      </x:c>
      <x:c r="J36" s="651" t="b">
        <x:f>+'BCE SC POR FACT.'!F7+J27=J13</x:f>
        <x:v>1</x:v>
      </x:c>
      <x:c r="K36" s="648" t="b">
        <x:f>+'Reporte Componentes R1'!F680+'Reporte Componentes R1'!F682+'Rem. Anticipos R2'!E468+'Reversion Pagos R4'!D361-('Reporte Componentes R1'!G680+'Reporte Componentes R1'!G682+'Rem. Anticipos R2'!F468+'Reversion Pagos R4'!E361+'Reporte Componentes R1'!H680+'Reporte Componentes R1'!H682+'Rem. Anticipos R2'!G468+'Reversion Pagos R4'!F361+'Reporte Componentes R1'!I680+'Reporte Componentes R1'!I682+'Rem. Anticipos R2'!H468+'Reversion Pagos R4'!G361+'Reporte Componentes R1'!J680+'Reporte Componentes R1'!J682+'Rem. Anticipos R2'!I468+'Reversion Pagos R4'!H361+'Reporte Componentes R1'!K680+'Reporte Componentes R1'!K682+'Rem. Anticipos R2'!J468+'Reversion Pagos R4'!I361+'BCE SC POR FACT.'!F7)+K27+'AJUSTES - SF-T'!K51=K13</x:f>
        <x:v>1</x:v>
      </x:c>
      <x:c r="L36" s="698" t="b">
        <x:f>INTERVENTORIA!N30+L27=L13</x:f>
        <x:v>1</x:v>
      </x:c>
      <x:c r="M36" s="648" t="b">
        <x:f>((('Reporte Componentes R1'!F680+'Reporte Componentes R1'!F682+'Rem. Anticipos R2'!E468+'Reversion Pagos R4'!D361-('Reporte Componentes R1'!G680+'Reporte Componentes R1'!G682+'Rem. Anticipos R2'!F468+'Reversion Pagos R4'!E361+'Reporte Componentes R1'!H680+'Reporte Componentes R1'!H682+'Rem. Anticipos R2'!G468+'Reversion Pagos R4'!F361+'Reporte Componentes R1'!I680+'Reporte Componentes R1'!I682+'Rem. Anticipos R2'!H468+'Reversion Pagos R4'!G361+'Reporte Componentes R1'!J680+'Reporte Componentes R1'!J682+'Rem. Anticipos R2'!I468+'Reversion Pagos R4'!H361+'Reporte Componentes R1'!K680+'Reporte Componentes R1'!K682+'Rem. Anticipos R2'!J468+'Reversion Pagos R4'!I361+'BCE SC POR FACT.'!F7))+M27)-INTERVENTORIA!F19)+'AJUSTES - SF-T'!M51=M13</x:f>
        <x:v>1</x:v>
      </x:c>
      <x:c r="N36" s="648" t="b">
        <x:f>+'Reporte Componentes R1'!L680+'Reporte Componentes R1'!L682+'Rem. Anticipos R2'!K468+'Reversion Pagos R4'!P361+N27=N13</x:f>
        <x:v>1</x:v>
      </x:c>
      <x:c r="O36" s="648" t="b">
        <x:f>((('Reporte Componentes R1'!F680+'Reporte Componentes R1'!F682+'Rem. Anticipos R2'!E468+'Reversion Pagos R4'!D361-('Reporte Componentes R1'!G680+'Reporte Componentes R1'!G682+'Rem. Anticipos R2'!F468+'Reversion Pagos R4'!E361+'Reporte Componentes R1'!H680+'Reporte Componentes R1'!H682+'Rem. Anticipos R2'!G468+'Reversion Pagos R4'!F361+'Reporte Componentes R1'!I680+'Reporte Componentes R1'!I682+'Rem. Anticipos R2'!H468+'Reversion Pagos R4'!G361+'Reporte Componentes R1'!J680+'Reporte Componentes R1'!J682+'Rem. Anticipos R2'!I468+'Reversion Pagos R4'!H361+'Reporte Componentes R1'!K680+'Reporte Componentes R1'!K682+'Rem. Anticipos R2'!J468+'Reversion Pagos R4'!I361+'BCE SC POR FACT.'!F7)))-INTERVENTORIA!N30)+'Reporte Componentes R1'!L680+'Reporte Componentes R1'!L682+'Rem. Anticipos R2'!K468+'Reversion Pagos R4'!P361+O27+'AJUSTES - SF-T'!O51=O13</x:f>
        <x:v>1</x:v>
      </x:c>
    </x:row>
    <x:row r="38" spans="2:15" x14ac:dyDescent="0.4">
      <x:c r="N38" s="652"/>
    </x:row>
    <x:row r="39" spans="2:15" x14ac:dyDescent="0.4">
      <x:c r="D39" s="652"/>
      <x:c r="L39" s="697"/>
    </x:row>
  </x:sheetData>
  <x:conditionalFormatting sqref="D32:K36 M32:O36">
    <x:cfRule type="cellIs" dxfId="7" priority="1" operator="notEqual">
      <x:formula>TRUE</x:formula>
    </x:cfRule>
  </x:conditionalFormatting>
  <x:conditionalFormatting sqref="D23:O28">
    <x:cfRule type="cellIs" dxfId="6" priority="4" operator="lessThan">
      <x:formula>-1.5</x:formula>
    </x:cfRule>
    <x:cfRule type="cellIs" dxfId="5" priority="6" operator="greaterThan">
      <x:formula>1.5</x:formula>
    </x:cfRule>
  </x:conditionalFormatting>
  <x:pageMargins left="0.7" right="0.7" top="0.75" bottom="0.75" header="0.3" footer="0.3"/>
  <x:drawing r:id="rId1"/>
</x:worksheet>
</file>

<file path=xl/worksheets/sheet3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95EC5F-2F5B-4020-A70E-0620EAB168D4}" mc:Ignorable="x14ac xr xr2 xr3">
  <x:dimension ref="B1:P32"/>
  <x:sheetViews>
    <x:sheetView topLeftCell="A10" workbookViewId="0">
      <x:selection activeCell="A28" sqref="A28"/>
    </x:sheetView>
  </x:sheetViews>
  <x:sheetFormatPr baseColWidth="10" defaultColWidth="11.3828125" defaultRowHeight="14.6" x14ac:dyDescent="0.4"/>
  <x:cols>
    <x:col min="1" max="1" width="2.84375" style="609" customWidth="1"/>
    <x:col min="2" max="2" width="7.15234375" style="609" customWidth="1"/>
    <x:col min="3" max="3" width="42.84375" style="609" customWidth="1"/>
    <x:col min="4" max="15" width="28.53515625" style="609" customWidth="1"/>
    <x:col min="16" max="16384" width="11.3828125" style="609"/>
  </x:cols>
  <x:sheetData>
    <x:row r="1" spans="2:15" customFormat="1" ht="12.45" x14ac:dyDescent="0.3"/>
    <x:row r="2" spans="2:15" customFormat="1" ht="12.45" x14ac:dyDescent="0.3"/>
    <x:row r="3" spans="2:15" customFormat="1" x14ac:dyDescent="0.3">
      <x:c r="F3" s="660" t="s">
        <x:v>8</x:v>
      </x:c>
      <x:c r="H3" s="660" t="s">
        <x:v>16</x:v>
      </x:c>
      <x:c r="J3" s="660" t="s">
        <x:v>227</x:v>
      </x:c>
      <x:c r="K3" s="660" t="s">
        <x:v>340</x:v>
      </x:c>
    </x:row>
    <x:row r="4" spans="2:15" customFormat="1" x14ac:dyDescent="0.3">
      <x:c r="F4" s="660" t="s">
        <x:v>29</x:v>
      </x:c>
    </x:row>
    <x:row r="5" spans="2:15" customFormat="1" x14ac:dyDescent="0.3">
      <x:c r="F5" s="660" t="s">
        <x:v>228</x:v>
      </x:c>
    </x:row>
    <x:row r="6" spans="2:15" customFormat="1" x14ac:dyDescent="0.3">
      <x:c r="C6" s="660" t="s">
        <x:v>229</x:v>
      </x:c>
      <x:c r="D6" s="660" t="inlineStr">
        <x:is>
          <x:t>18/10/2026</x:t>
        </x:is>
      </x:c>
      <x:c r="F6" s="660" t="s">
        <x:v>230</x:v>
      </x:c>
    </x:row>
    <x:row r="7" spans="2:15" customFormat="1" x14ac:dyDescent="0.3">
      <x:c r="C7" s="660" t="s">
        <x:v>231</x:v>
      </x:c>
      <x:c r="D7" s="660" t="inlineStr">
        <x:is>
          <x:t>04:03 PM</x:t>
        </x:is>
      </x:c>
      <x:c r="F7" s="660" t="s">
        <x:v>27</x:v>
      </x:c>
      <x:c r="G7" s="660" t="s">
        <x:v>343</x:v>
      </x:c>
      <x:c r="I7" s="660" t="s">
        <x:v>232</x:v>
      </x:c>
      <x:c r="J7" s="660" t="s">
        <x:v>344</x:v>
      </x:c>
    </x:row>
    <x:row r="8" spans="2:15" customFormat="1" ht="43.75" x14ac:dyDescent="0.3">
      <x:c r="B8" s="661" t="s">
        <x:v>3</x:v>
      </x:c>
      <x:c r="C8" s="661" t="s">
        <x:v>233</x:v>
      </x:c>
      <x:c r="D8" s="661" t="s">
        <x:v>250</x:v>
      </x:c>
      <x:c r="E8" s="661" t="s">
        <x:v>251</x:v>
      </x:c>
      <x:c r="F8" s="661" t="s">
        <x:v>252</x:v>
      </x:c>
      <x:c r="G8" s="661" t="s">
        <x:v>253</x:v>
      </x:c>
      <x:c r="H8" s="661" t="s">
        <x:v>254</x:v>
      </x:c>
      <x:c r="I8" s="661" t="s">
        <x:v>255</x:v>
      </x:c>
      <x:c r="J8" s="661" t="s">
        <x:v>256</x:v>
      </x:c>
      <x:c r="K8" s="661" t="s">
        <x:v>244</x:v>
      </x:c>
      <x:c r="L8" s="661" t="s">
        <x:v>257</x:v>
      </x:c>
      <x:c r="M8" s="661" t="s">
        <x:v>258</x:v>
      </x:c>
      <x:c r="N8" s="661" t="s">
        <x:v>245</x:v>
      </x:c>
      <x:c r="O8" s="661" t="s">
        <x:v>259</x:v>
      </x:c>
    </x:row>
    <x:row r="9" spans="2:15" customFormat="1" ht="12.45" x14ac:dyDescent="0.3">
      <x:c r="B9" s="641" t="s">
        <x:v>115</x:v>
      </x:c>
      <x:c r="C9" s="641" t="s">
        <x:v>10</x:v>
      </x:c>
      <x:c r="D9" s="642">
        <x:v>0</x:v>
      </x:c>
      <x:c r="E9" s="642">
        <x:v>0</x:v>
      </x:c>
      <x:c r="F9" s="642">
        <x:v>0</x:v>
      </x:c>
      <x:c r="G9" s="642">
        <x:v>0</x:v>
      </x:c>
      <x:c r="H9" s="642">
        <x:v>0</x:v>
      </x:c>
      <x:c r="I9" s="642">
        <x:v>0</x:v>
      </x:c>
      <x:c r="J9" s="642">
        <x:v>0</x:v>
      </x:c>
      <x:c r="K9" s="642">
        <x:v>0</x:v>
      </x:c>
      <x:c r="L9" s="642">
        <x:v>0</x:v>
      </x:c>
      <x:c r="M9" s="642">
        <x:v>0</x:v>
      </x:c>
      <x:c r="N9" s="642">
        <x:v>0</x:v>
      </x:c>
      <x:c r="O9" s="642">
        <x:v>0</x:v>
      </x:c>
    </x:row>
    <x:row r="10" spans="2:15" customFormat="1" ht="12.45" x14ac:dyDescent="0.3">
      <x:c r="B10" s="641" t="s">
        <x:v>116</x:v>
      </x:c>
      <x:c r="C10" s="641" t="s">
        <x:v>11</x:v>
      </x:c>
      <x:c r="D10" s="642">
        <x:v>0</x:v>
      </x:c>
      <x:c r="E10" s="642">
        <x:v>0</x:v>
      </x:c>
      <x:c r="F10" s="642">
        <x:v>0</x:v>
      </x:c>
      <x:c r="G10" s="642">
        <x:v>0</x:v>
      </x:c>
      <x:c r="H10" s="642">
        <x:v>0</x:v>
      </x:c>
      <x:c r="I10" s="642">
        <x:v>0</x:v>
      </x:c>
      <x:c r="J10" s="642">
        <x:v>0</x:v>
      </x:c>
      <x:c r="K10" s="642">
        <x:v>0</x:v>
      </x:c>
      <x:c r="L10" s="642">
        <x:v>0</x:v>
      </x:c>
      <x:c r="M10" s="642">
        <x:v>0</x:v>
      </x:c>
      <x:c r="N10" s="642">
        <x:v>0</x:v>
      </x:c>
      <x:c r="O10" s="642">
        <x:v>0</x:v>
      </x:c>
    </x:row>
    <x:row r="11" spans="2:15" customFormat="1" ht="12.45" x14ac:dyDescent="0.3">
      <x:c r="B11" s="641" t="s">
        <x:v>117</x:v>
      </x:c>
      <x:c r="C11" s="641" t="s">
        <x:v>246</x:v>
      </x:c>
      <x:c r="D11" s="642">
        <x:v>0</x:v>
      </x:c>
      <x:c r="E11" s="642">
        <x:v>0</x:v>
      </x:c>
      <x:c r="F11" s="642">
        <x:v>0</x:v>
      </x:c>
      <x:c r="G11" s="642">
        <x:v>0</x:v>
      </x:c>
      <x:c r="H11" s="642">
        <x:v>0</x:v>
      </x:c>
      <x:c r="I11" s="642">
        <x:v>0</x:v>
      </x:c>
      <x:c r="J11" s="642">
        <x:v>0</x:v>
      </x:c>
      <x:c r="K11" s="642">
        <x:v>0</x:v>
      </x:c>
      <x:c r="L11" s="642">
        <x:v>0</x:v>
      </x:c>
      <x:c r="M11" s="642">
        <x:v>0</x:v>
      </x:c>
      <x:c r="N11" s="642">
        <x:v>0</x:v>
      </x:c>
      <x:c r="O11" s="642">
        <x:v>0</x:v>
      </x:c>
    </x:row>
    <x:row r="12" spans="2:15" customFormat="1" ht="12.45" x14ac:dyDescent="0.3">
      <x:c r="B12" s="641" t="s">
        <x:v>247</x:v>
      </x:c>
      <x:c r="C12" s="641" t="s">
        <x:v>13</x:v>
      </x:c>
      <x:c r="D12" s="642">
        <x:v>0</x:v>
      </x:c>
      <x:c r="E12" s="642">
        <x:v>0</x:v>
      </x:c>
      <x:c r="F12" s="642">
        <x:v>0</x:v>
      </x:c>
      <x:c r="G12" s="642">
        <x:v>0</x:v>
      </x:c>
      <x:c r="H12" s="642">
        <x:v>0</x:v>
      </x:c>
      <x:c r="I12" s="642">
        <x:v>0</x:v>
      </x:c>
      <x:c r="J12" s="642">
        <x:v>0</x:v>
      </x:c>
      <x:c r="K12" s="642">
        <x:v>0</x:v>
      </x:c>
      <x:c r="L12" s="642">
        <x:v>0</x:v>
      </x:c>
      <x:c r="M12" s="642">
        <x:v>0</x:v>
      </x:c>
      <x:c r="N12" s="642">
        <x:v>0</x:v>
      </x:c>
      <x:c r="O12" s="642">
        <x:v>0</x:v>
      </x:c>
    </x:row>
    <x:row r="13" spans="2:15" customFormat="1" ht="12.45" x14ac:dyDescent="0.3">
      <x:c r="B13" s="641" t="s">
        <x:v>118</x:v>
      </x:c>
      <x:c r="C13" s="641" t="s">
        <x:v>14</x:v>
      </x:c>
      <x:c r="D13" s="642">
        <x:v>0</x:v>
      </x:c>
      <x:c r="E13" s="642">
        <x:v>0</x:v>
      </x:c>
      <x:c r="F13" s="642">
        <x:v>0</x:v>
      </x:c>
      <x:c r="G13" s="642">
        <x:v>0</x:v>
      </x:c>
      <x:c r="H13" s="642">
        <x:v>0</x:v>
      </x:c>
      <x:c r="I13" s="642">
        <x:v>0</x:v>
      </x:c>
      <x:c r="J13" s="642">
        <x:v>0</x:v>
      </x:c>
      <x:c r="K13" s="642">
        <x:v>0</x:v>
      </x:c>
      <x:c r="L13" s="642">
        <x:v>0</x:v>
      </x:c>
      <x:c r="M13" s="642">
        <x:v>0</x:v>
      </x:c>
      <x:c r="N13" s="642">
        <x:v>0</x:v>
      </x:c>
      <x:c r="O13" s="642">
        <x:v>0</x:v>
      </x:c>
    </x:row>
    <x:row r="14" spans="2:15" customFormat="1" ht="12.45" x14ac:dyDescent="0.3">
      <x:c r="B14" s="641" t="s">
        <x:v>248</x:v>
      </x:c>
      <x:c r="C14" s="641" t="s">
        <x:v>70</x:v>
      </x:c>
      <x:c r="D14" s="642">
        <x:v>0</x:v>
      </x:c>
      <x:c r="E14" s="642">
        <x:v>0</x:v>
      </x:c>
      <x:c r="F14" s="642">
        <x:v>0</x:v>
      </x:c>
      <x:c r="G14" s="642">
        <x:v>0</x:v>
      </x:c>
      <x:c r="H14" s="642">
        <x:v>0</x:v>
      </x:c>
      <x:c r="I14" s="642">
        <x:v>0</x:v>
      </x:c>
      <x:c r="J14" s="642">
        <x:v>0</x:v>
      </x:c>
      <x:c r="K14" s="642">
        <x:v>0</x:v>
      </x:c>
      <x:c r="L14" s="642">
        <x:v>0</x:v>
      </x:c>
      <x:c r="M14" s="642">
        <x:v>0</x:v>
      </x:c>
      <x:c r="N14" s="642">
        <x:v>0</x:v>
      </x:c>
      <x:c r="O14" s="642">
        <x:v>0</x:v>
      </x:c>
    </x:row>
    <x:row r="16" spans="2:15" x14ac:dyDescent="0.4">
      <x:c r="B16" s="610" t="s">
        <x:v>115</x:v>
      </x:c>
      <x:c r="C16" s="610" t="s">
        <x:v>10</x:v>
      </x:c>
      <x:c r="D16" s="648">
        <x:f>D9-'CONSOLIDADO_TOTAL RECAUDO'!U104</x:f>
        <x:v>0</x:v>
      </x:c>
      <x:c r="E16" s="648">
        <x:f>E9-'CONSOLIDADO_TOTAL RECAUDO'!V104</x:f>
        <x:v>0</x:v>
      </x:c>
      <x:c r="F16" s="648">
        <x:f>F9-'CONSOLIDADO_TOTAL RECAUDO'!W104</x:f>
        <x:v>0</x:v>
      </x:c>
      <x:c r="G16" s="648">
        <x:f>G9-'CONSOLIDADO_TOTAL RECAUDO'!X104</x:f>
        <x:v>0</x:v>
      </x:c>
      <x:c r="H16" s="648">
        <x:f>H9-'CONSOLIDADO_TOTAL RECAUDO'!Y104</x:f>
        <x:v>0</x:v>
      </x:c>
      <x:c r="I16" s="648">
        <x:f>I9-'CONSOLIDADO_TOTAL RECAUDO'!Z104</x:f>
        <x:v>189185988</x:v>
      </x:c>
      <x:c r="J16" s="648">
        <x:f>J9-'CONSOLIDADO_TOTAL RECAUDO'!AA104-'CONSOLIDADO_TOTAL RECAUDO'!AC104</x:f>
        <x:v>0</x:v>
      </x:c>
      <x:c r="K16" s="648">
        <x:f>K9-'CONSOLIDADO_TOTAL RECAUDO'!AB104</x:f>
        <x:v>0</x:v>
      </x:c>
      <x:c r="L16" s="648">
        <x:f>L9-'CONSOLIDADO_TOTAL RECAUDO'!AE104</x:f>
        <x:v>0</x:v>
      </x:c>
      <x:c r="M16" s="648">
        <x:f>M9-'CONSOLIDADO_TOTAL RECAUDO'!AD104</x:f>
        <x:v>0</x:v>
      </x:c>
      <x:c r="N16" s="648">
        <x:f>N9-'CONSOLIDADO_TOTAL RECAUDO'!AF104</x:f>
        <x:v>189185988</x:v>
      </x:c>
      <x:c r="O16" s="648">
        <x:f>O9-'CONSOLIDADO_TOTAL RECAUDO'!AG104</x:f>
        <x:v>0</x:v>
      </x:c>
    </x:row>
    <x:row r="17" spans="2:16" x14ac:dyDescent="0.4">
      <x:c r="B17" s="610" t="s">
        <x:v>116</x:v>
      </x:c>
      <x:c r="C17" s="610" t="s">
        <x:v>11</x:v>
      </x:c>
      <x:c r="D17" s="648">
        <x:f>D10-'CONSOLIDADO_TOTAL RECAUDO'!U105</x:f>
        <x:v>0</x:v>
      </x:c>
      <x:c r="E17" s="648">
        <x:f>E10-'CONSOLIDADO_TOTAL RECAUDO'!V105</x:f>
        <x:v>0</x:v>
      </x:c>
      <x:c r="F17" s="648">
        <x:f>F10-'CONSOLIDADO_TOTAL RECAUDO'!W105</x:f>
        <x:v>0</x:v>
      </x:c>
      <x:c r="G17" s="648">
        <x:f>G10-'CONSOLIDADO_TOTAL RECAUDO'!X105</x:f>
        <x:v>0</x:v>
      </x:c>
      <x:c r="H17" s="648">
        <x:f>H10-'CONSOLIDADO_TOTAL RECAUDO'!Y105</x:f>
        <x:v>0</x:v>
      </x:c>
      <x:c r="I17" s="648">
        <x:f>I10-'CONSOLIDADO_TOTAL RECAUDO'!Z105</x:f>
        <x:v>266580256</x:v>
      </x:c>
      <x:c r="J17" s="648">
        <x:f>J10-'CONSOLIDADO_TOTAL RECAUDO'!AA105-'CONSOLIDADO_TOTAL RECAUDO'!AC105</x:f>
        <x:v>0</x:v>
      </x:c>
      <x:c r="K17" s="648">
        <x:f>K10-'CONSOLIDADO_TOTAL RECAUDO'!AB105</x:f>
        <x:v>0</x:v>
      </x:c>
      <x:c r="L17" s="648">
        <x:f>L10-'CONSOLIDADO_TOTAL RECAUDO'!AE105</x:f>
        <x:v>0</x:v>
      </x:c>
      <x:c r="M17" s="648">
        <x:f>M10-'CONSOLIDADO_TOTAL RECAUDO'!AD105</x:f>
        <x:v>0</x:v>
      </x:c>
      <x:c r="N17" s="648">
        <x:f>N10-'CONSOLIDADO_TOTAL RECAUDO'!AF105</x:f>
        <x:v>266580256</x:v>
      </x:c>
      <x:c r="O17" s="648">
        <x:f>O10-'CONSOLIDADO_TOTAL RECAUDO'!AG105</x:f>
        <x:v>0</x:v>
      </x:c>
    </x:row>
    <x:row r="18" spans="2:16" x14ac:dyDescent="0.4">
      <x:c r="B18" s="610" t="s">
        <x:v>117</x:v>
      </x:c>
      <x:c r="C18" s="610" t="s">
        <x:v>246</x:v>
      </x:c>
      <x:c r="D18" s="648">
        <x:f>D11-'CONSOLIDADO_TOTAL RECAUDO'!U106</x:f>
        <x:v>0</x:v>
      </x:c>
      <x:c r="E18" s="648">
        <x:f>E11-'CONSOLIDADO_TOTAL RECAUDO'!V106</x:f>
        <x:v>0</x:v>
      </x:c>
      <x:c r="F18" s="648">
        <x:f>F11-'CONSOLIDADO_TOTAL RECAUDO'!W106</x:f>
        <x:v>0</x:v>
      </x:c>
      <x:c r="G18" s="648">
        <x:f>G11-'CONSOLIDADO_TOTAL RECAUDO'!X106</x:f>
        <x:v>0</x:v>
      </x:c>
      <x:c r="H18" s="648">
        <x:f>H11-'CONSOLIDADO_TOTAL RECAUDO'!Y106</x:f>
        <x:v>0</x:v>
      </x:c>
      <x:c r="I18" s="648">
        <x:f>I11-'CONSOLIDADO_TOTAL RECAUDO'!Z106</x:f>
        <x:v>154788536</x:v>
      </x:c>
      <x:c r="J18" s="648">
        <x:f>J11-'CONSOLIDADO_TOTAL RECAUDO'!AA106-'CONSOLIDADO_TOTAL RECAUDO'!AC106</x:f>
        <x:v>0</x:v>
      </x:c>
      <x:c r="K18" s="648">
        <x:f>K11-'CONSOLIDADO_TOTAL RECAUDO'!AB106</x:f>
        <x:v>0</x:v>
      </x:c>
      <x:c r="L18" s="648">
        <x:f>L11-'CONSOLIDADO_TOTAL RECAUDO'!AE106</x:f>
        <x:v>0</x:v>
      </x:c>
      <x:c r="M18" s="648">
        <x:f>M11-'CONSOLIDADO_TOTAL RECAUDO'!AD106</x:f>
        <x:v>0</x:v>
      </x:c>
      <x:c r="N18" s="648">
        <x:f>N11-'CONSOLIDADO_TOTAL RECAUDO'!AF106</x:f>
        <x:v>154788536</x:v>
      </x:c>
      <x:c r="O18" s="648">
        <x:f>O11-'CONSOLIDADO_TOTAL RECAUDO'!AG106</x:f>
        <x:v>0</x:v>
      </x:c>
    </x:row>
    <x:row r="19" spans="2:16" x14ac:dyDescent="0.4">
      <x:c r="B19" s="610" t="s">
        <x:v>247</x:v>
      </x:c>
      <x:c r="C19" s="610" t="s">
        <x:v>13</x:v>
      </x:c>
      <x:c r="D19" s="648">
        <x:f>D12-'CONSOLIDADO_TOTAL RECAUDO'!U107</x:f>
        <x:v>0</x:v>
      </x:c>
      <x:c r="E19" s="648">
        <x:f>E12-'CONSOLIDADO_TOTAL RECAUDO'!V107</x:f>
        <x:v>0</x:v>
      </x:c>
      <x:c r="F19" s="648">
        <x:f>F12-'CONSOLIDADO_TOTAL RECAUDO'!W107</x:f>
        <x:v>0</x:v>
      </x:c>
      <x:c r="G19" s="648">
        <x:f>G12-'CONSOLIDADO_TOTAL RECAUDO'!X107</x:f>
        <x:v>0</x:v>
      </x:c>
      <x:c r="H19" s="648">
        <x:f>H12-'CONSOLIDADO_TOTAL RECAUDO'!Y107</x:f>
        <x:v>0</x:v>
      </x:c>
      <x:c r="I19" s="648">
        <x:f>I12-'CONSOLIDADO_TOTAL RECAUDO'!Z107</x:f>
        <x:v>120391083</x:v>
      </x:c>
      <x:c r="J19" s="648">
        <x:f>J12-'CONSOLIDADO_TOTAL RECAUDO'!AA107-'CONSOLIDADO_TOTAL RECAUDO'!AC107</x:f>
        <x:v>0</x:v>
      </x:c>
      <x:c r="K19" s="648">
        <x:f>K12-'CONSOLIDADO_TOTAL RECAUDO'!AB107</x:f>
        <x:v>0</x:v>
      </x:c>
      <x:c r="L19" s="648">
        <x:f>L12-'CONSOLIDADO_TOTAL RECAUDO'!AE107</x:f>
        <x:v>0</x:v>
      </x:c>
      <x:c r="M19" s="648">
        <x:f>M12-'CONSOLIDADO_TOTAL RECAUDO'!AD107</x:f>
        <x:v>0</x:v>
      </x:c>
      <x:c r="N19" s="648">
        <x:f>N12-'CONSOLIDADO_TOTAL RECAUDO'!AF107</x:f>
        <x:v>120391083</x:v>
      </x:c>
      <x:c r="O19" s="648">
        <x:f>O12-'CONSOLIDADO_TOTAL RECAUDO'!AG107</x:f>
        <x:v>0</x:v>
      </x:c>
    </x:row>
    <x:row r="20" spans="2:16" x14ac:dyDescent="0.4">
      <x:c r="B20" s="610" t="s">
        <x:v>118</x:v>
      </x:c>
      <x:c r="C20" s="610" t="s">
        <x:v>14</x:v>
      </x:c>
      <x:c r="D20" s="648">
        <x:f>D13-'CONSOLIDADO_TOTAL RECAUDO'!U108</x:f>
        <x:v>0</x:v>
      </x:c>
      <x:c r="E20" s="648">
        <x:f>E13-'CONSOLIDADO_TOTAL RECAUDO'!V108</x:f>
        <x:v>0</x:v>
      </x:c>
      <x:c r="F20" s="648">
        <x:f>F13-'CONSOLIDADO_TOTAL RECAUDO'!W108</x:f>
        <x:v>0</x:v>
      </x:c>
      <x:c r="G20" s="648">
        <x:f>G13-'CONSOLIDADO_TOTAL RECAUDO'!X108</x:f>
        <x:v>0</x:v>
      </x:c>
      <x:c r="H20" s="648">
        <x:f>H13-'CONSOLIDADO_TOTAL RECAUDO'!Y108</x:f>
        <x:v>0</x:v>
      </x:c>
      <x:c r="I20" s="648">
        <x:f>I13-'CONSOLIDADO_TOTAL RECAUDO'!Z108</x:f>
        <x:v>128990446</x:v>
      </x:c>
      <x:c r="J20" s="648">
        <x:f>J13-'CONSOLIDADO_TOTAL RECAUDO'!AA108-'CONSOLIDADO_TOTAL RECAUDO'!AC108</x:f>
        <x:v>0</x:v>
      </x:c>
      <x:c r="K20" s="648">
        <x:f>K13-'CONSOLIDADO_TOTAL RECAUDO'!AB108</x:f>
        <x:v>0</x:v>
      </x:c>
      <x:c r="L20" s="648">
        <x:f>L13-'CONSOLIDADO_TOTAL RECAUDO'!AE108</x:f>
        <x:v>0</x:v>
      </x:c>
      <x:c r="M20" s="648">
        <x:f>M13-'CONSOLIDADO_TOTAL RECAUDO'!AD108</x:f>
        <x:v>0</x:v>
      </x:c>
      <x:c r="N20" s="648">
        <x:f>N13-'CONSOLIDADO_TOTAL RECAUDO'!AF108</x:f>
        <x:v>128990446</x:v>
      </x:c>
      <x:c r="O20" s="648">
        <x:f>O13-'CONSOLIDADO_TOTAL RECAUDO'!AG108</x:f>
        <x:v>0</x:v>
      </x:c>
    </x:row>
    <x:row r="21" spans="2:16" x14ac:dyDescent="0.4">
      <x:c r="B21" s="610" t="s">
        <x:v>248</x:v>
      </x:c>
      <x:c r="C21" s="610" t="s">
        <x:v>70</x:v>
      </x:c>
      <x:c r="D21" s="648">
        <x:f>D14-'CONSOLIDADO_TOTAL RECAUDO'!U109</x:f>
        <x:v>0</x:v>
      </x:c>
      <x:c r="E21" s="648">
        <x:f>E14-'CONSOLIDADO_TOTAL RECAUDO'!V109</x:f>
        <x:v>0</x:v>
      </x:c>
      <x:c r="F21" s="648">
        <x:f>F14-'CONSOLIDADO_TOTAL RECAUDO'!W109</x:f>
        <x:v>0</x:v>
      </x:c>
      <x:c r="G21" s="648">
        <x:f>G14-'CONSOLIDADO_TOTAL RECAUDO'!X109</x:f>
        <x:v>0</x:v>
      </x:c>
      <x:c r="H21" s="648">
        <x:f>H14-'CONSOLIDADO_TOTAL RECAUDO'!Y109</x:f>
        <x:v>0</x:v>
      </x:c>
      <x:c r="I21" s="648">
        <x:f>I14-'CONSOLIDADO_TOTAL RECAUDO'!Z109</x:f>
        <x:v>859936309</x:v>
      </x:c>
      <x:c r="J21" s="648">
        <x:f>J14-'CONSOLIDADO_TOTAL RECAUDO'!AA109-'CONSOLIDADO_TOTAL RECAUDO'!AC109</x:f>
        <x:v>0</x:v>
      </x:c>
      <x:c r="K21" s="648">
        <x:f>K14-'CONSOLIDADO_TOTAL RECAUDO'!AB109</x:f>
        <x:v>0</x:v>
      </x:c>
      <x:c r="L21" s="648">
        <x:f>L14-'CONSOLIDADO_TOTAL RECAUDO'!AE109</x:f>
        <x:v>0</x:v>
      </x:c>
      <x:c r="M21" s="648">
        <x:f>M14-'CONSOLIDADO_TOTAL RECAUDO'!AD109</x:f>
        <x:v>0</x:v>
      </x:c>
      <x:c r="N21" s="648">
        <x:f>N14-'CONSOLIDADO_TOTAL RECAUDO'!AF109</x:f>
        <x:v>859936309</x:v>
      </x:c>
      <x:c r="O21" s="648">
        <x:f>O14-'CONSOLIDADO_TOTAL RECAUDO'!AG109</x:f>
        <x:v>0</x:v>
      </x:c>
    </x:row>
    <x:row r="22" spans="2:16" ht="15" thickBot="1" x14ac:dyDescent="0.45">
      <x:c r="M22" s="652"/>
    </x:row>
    <x:row r="23" spans="2:16" ht="35.15" thickBot="1" x14ac:dyDescent="0.45">
      <x:c r="C23" s="27" t="s">
        <x:v>9</x:v>
      </x:c>
      <x:c r="D23" s="162" t="s">
        <x:v>39</x:v>
      </x:c>
      <x:c r="E23" s="580" t="s">
        <x:v>40</x:v>
      </x:c>
      <x:c r="F23" s="580" t="s">
        <x:v>41</x:v>
      </x:c>
      <x:c r="G23" s="163" t="s">
        <x:v>42</x:v>
      </x:c>
      <x:c r="H23" s="164" t="s">
        <x:v>43</x:v>
      </x:c>
      <x:c r="I23" s="554" t="s">
        <x:v>21</x:v>
      </x:c>
      <x:c r="J23" s="65" t="s">
        <x:v>46</x:v>
      </x:c>
      <x:c r="K23" s="65" t="s">
        <x:v>7</x:v>
      </x:c>
      <x:c r="L23" s="85" t="s">
        <x:v>168</x:v>
      </x:c>
      <x:c r="M23" s="121" t="s">
        <x:v>105</x:v>
      </x:c>
      <x:c r="N23" s="121" t="s">
        <x:v>104</x:v>
      </x:c>
      <x:c r="O23" s="39" t="s">
        <x:v>23</x:v>
      </x:c>
    </x:row>
    <x:row r="24" spans="2:16" x14ac:dyDescent="0.4">
      <x:c r="B24" s="610" t="s">
        <x:v>115</x:v>
      </x:c>
      <x:c r="C24" s="338" t="s">
        <x:v>10</x:v>
      </x:c>
      <x:c r="D24" s="663" t="b">
        <x:f>+'Reporte Componentes R1'!M75+'Reporte Componentes R1'!M77+'Rem. Anticipos R2'!L47+'Reversion Pagos R4'!J73+D16+'AJUSTES - SF-T'!U47=D9</x:f>
        <x:v>1</x:v>
      </x:c>
      <x:c r="E24" s="648" t="b">
        <x:f>+'Reporte Componentes R1'!N75+'Reporte Componentes R1'!N77+'Rem. Anticipos R2'!M47+'Reversion Pagos R4'!K73+E16+'AJUSTES - SF-T'!V47=E9</x:f>
        <x:v>1</x:v>
      </x:c>
      <x:c r="F24" s="648" t="b">
        <x:f>+'Reporte Componentes R1'!O75+'Reporte Componentes R1'!O77+'Rem. Anticipos R2'!N47+'Reversion Pagos R4'!L73+F16+'AJUSTES - SF-T'!W47=F9</x:f>
        <x:v>1</x:v>
      </x:c>
      <x:c r="G24" s="648" t="b">
        <x:f>+'Reporte Componentes R1'!P75+'Reporte Componentes R1'!P77+'Rem. Anticipos R2'!O47+'Reversion Pagos R4'!M73+G16+'AJUSTES - SF-T'!X47=G9</x:f>
        <x:v>1</x:v>
      </x:c>
      <x:c r="H24" s="648" t="b">
        <x:f>+'Reporte Componentes R1'!Q75+'Reporte Componentes R1'!Q77+'Rem. Anticipos R2'!P47+'Reversion Pagos R4'!N73+H16+'AJUSTES - SF-T'!Y47=H9</x:f>
        <x:v>1</x:v>
      </x:c>
      <x:c r="I24" s="698" t="b">
        <x:f>-INTERVENTORIA!N26+I16=I9</x:f>
        <x:v>1</x:v>
      </x:c>
      <x:c r="J24" s="648" t="b">
        <x:f>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SF-T'!AA47+J16=J9</x:f>
        <x:v>1</x:v>
      </x:c>
      <x:c r="K24" s="648" t="b">
        <x:f>+DetRetri2026101!N32</x:f>
        <x:v>1</x:v>
      </x:c>
      <x:c r="L24" s="648" t="b">
        <x:f>'Reporte Componentes R1'!F76+'Rem. Anticipos R2'!E48+'Reporte Componentes R1'!F78+'Reversion Pagos R4'!D74+'AJUSTES - SF-T'!AD47+L16=L9</x:f>
        <x:v>1</x:v>
      </x:c>
      <x:c r="M24" s="648" t="b">
        <x:f>-'BCE SC POR FACT.'!F3+'Reporte Componentes R1'!F76+'Rem. Anticipos R2'!E48+'Reporte Componentes R1'!F78+'Reversion Pagos R4'!D74+'AJUSTES - SF-T'!AD47+M16=M9</x:f>
        <x:v>1</x:v>
      </x:c>
      <x:c r="N24" s="648" t="b">
        <x:f>'Reporte Componentes R1'!F76+'Rem. Anticipos R2'!E48+'Reporte Componentes R1'!F78+'Reversion Pagos R4'!D74+'AJUSTES - SF-T'!AD47+L16=L9</x:f>
        <x:v>1</x:v>
      </x:c>
      <x:c r="O24" s="648" t="b">
        <x:f>'Reporte Componentes R1'!M75+'Reporte Componentes R1'!M77+'Rem. Anticipos R2'!L47+'Reversion Pagos R4'!J73+'Reporte Componentes R1'!N75+'Reporte Componentes R1'!N77+'Rem. Anticipos R2'!M47+'Reversion Pagos R4'!K73+'Reporte Componentes R1'!O75+'Reporte Componentes R1'!O77+'Rem. Anticipos R2'!N47+'Reversion Pagos R4'!L73+'Reporte Componentes R1'!P75+'Reporte Componentes R1'!P77+'Rem. Anticipos R2'!O47+'Reversion Pagos R4'!M73+'Reporte Componentes R1'!Q75+'Reporte Componentes R1'!Q77+'Rem. Anticipos R2'!P47+'Reversion Pagos R4'!N73-INTERVENTORIA!J4+'Reporte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R1'!L75+'Rem. Anticipos R2'!K47+'Reversion Pagos R4'!P73+'Reporte Componentes R1'!L77-'BCE SC POR FACT.'!F3+'Reporte Componentes R1'!F76+'Rem. Anticipos R2'!E48+'Reporte Componentes R1'!F78+'Reversion Pagos R4'!D74+'AJUSTES - SF-T'!AD47+N16=N9</x:f>
        <x:v>1</x:v>
      </x:c>
    </x:row>
    <x:row r="25" spans="2:16" x14ac:dyDescent="0.4">
      <x:c r="B25" s="610" t="s">
        <x:v>116</x:v>
      </x:c>
      <x:c r="C25" s="338" t="s">
        <x:v>11</x:v>
      </x:c>
      <x:c r="D25" s="654" t="b">
        <x:f>+'Reporte Componentes R1'!M254+'Rem. Anticipos R2'!L155+'Reversion Pagos R4'!J174+'Reporte Componentes R1'!M256+D17+'AJUSTES - SF-T'!U48=D10</x:f>
        <x:v>1</x:v>
      </x:c>
      <x:c r="E25" s="654" t="b">
        <x:f>+'Reporte Componentes R1'!N254+'Rem. Anticipos R2'!M155+'Reversion Pagos R4'!K174+'Reporte Componentes R1'!N256+E17+'AJUSTES - SF-T'!V48=E10</x:f>
        <x:v>1</x:v>
      </x:c>
      <x:c r="F25" s="654" t="b">
        <x:f>+'Reporte Componentes R1'!O254+'Rem. Anticipos R2'!N155+'Reversion Pagos R4'!L174+'Reporte Componentes R1'!O256+F17+'AJUSTES - SF-T'!W48=F10</x:f>
        <x:v>1</x:v>
      </x:c>
      <x:c r="G25" s="654" t="b">
        <x:f>+'Reporte Componentes R1'!P254+'Rem. Anticipos R2'!O155+'Reversion Pagos R4'!M174+'Reporte Componentes R1'!P256+G17+'AJUSTES - SF-T'!X48=G10</x:f>
        <x:v>1</x:v>
      </x:c>
      <x:c r="H25" s="654" t="b">
        <x:f>+'Reporte Componentes R1'!Q254+'Rem. Anticipos R2'!P155+'Reversion Pagos R4'!N174+'Reporte Componentes R1'!Q256+H17+'AJUSTES - SF-T'!Y48=H10</x:f>
        <x:v>1</x:v>
      </x:c>
      <x:c r="I25" s="698" t="b">
        <x:f>-INTERVENTORIA!N27+I17=I10</x:f>
        <x:v>1</x:v>
      </x:c>
      <x:c r="J25" s="654" t="b">
        <x:f>+'Reporte Componentes R1'!R254+'Reporte Componentes R1'!V254+'Rem. Anticipos R2'!Q155+'Reporte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R2'!R155+'Reporte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SF-T'!AA48+J17=J10</x:f>
        <x:v>1</x:v>
      </x:c>
      <x:c r="K25" s="654" t="b">
        <x:f>+DetRetri2026101!N33</x:f>
        <x:v>1</x:v>
      </x:c>
      <x:c r="L25" s="648" t="b">
        <x:f>+'Reporte Componentes R1'!F255+'Rem. Anticipos R2'!E156+'Reporte Componentes R1'!F257+'Reversion Pagos R4'!D175+'AJUSTES - SF-T'!AD48+L17=L10</x:f>
        <x:v>1</x:v>
      </x:c>
      <x:c r="M25" s="715">
        <x:f>-'BCE SC POR FACT.'!F4+'Reporte Componentes R1'!F255+'Rem. Anticipos R2'!E156+'Reporte Componentes R1'!F257+'Reversion Pagos R4'!D175+'AJUSTES - SF-T'!AD48+M17-M10</x:f>
        <x:v>0</x:v>
      </x:c>
      <x:c r="N25" s="648" t="b">
        <x:f>'Reporte Componentes R1'!F255+'Rem. Anticipos R2'!E156+'Reporte Componentes R1'!F257+'Reversion Pagos R4'!D175+'AJUSTES - SF-T'!AD48+L17=L10</x:f>
        <x:v>1</x:v>
      </x:c>
      <x:c r="O25" s="648" t="b">
        <x:f>'Reporte Componentes R1'!M254+'Rem. Anticipos R2'!L155+'Reversion Pagos R4'!J174+'Reporte Componentes R1'!M256+'Reporte Componentes R1'!N254+'Rem. Anticipos R2'!M155+'Reversion Pagos R4'!K174+'Reporte Componentes R1'!N256+'Reporte Componentes R1'!O254+'Rem. Anticipos R2'!N155+'Reversion Pagos R4'!L174+'Reporte Componentes R1'!O256+'Reporte Componentes R1'!P254+'Rem. Anticipos R2'!O155+'Reversion Pagos R4'!M174+'Reporte Componentes R1'!P256+'Reporte Componentes R1'!Q254+'Rem. Anticipos R2'!P155+'Reversion Pagos R4'!N174+'Reporte Componentes R1'!Q256-INTERVENTORIA!I5+'Reporte Componentes R1'!R254+'Reporte Componentes R1'!V254+'Rem. Anticipos R2'!Q155+'Reporte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R2'!R155+'Reporte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R1'!L254+'Rem. Anticipos R2'!K155+'Reversion Pagos R4'!P174+'Reporte Componentes R1'!L256-'BCE SC POR FACT.'!F4+'Reporte Componentes R1'!F255+'Rem. Anticipos R2'!E156+'Reporte Componentes R1'!F257+'Reversion Pagos R4'!D175+'AJUSTES - SF-T'!AD48+N17=N10</x:f>
        <x:v>0</x:v>
      </x:c>
      <x:c r="P25" s="653"/>
    </x:row>
    <x:row r="26" spans="2:16" x14ac:dyDescent="0.4">
      <x:c r="B26" s="610" t="s">
        <x:v>117</x:v>
      </x:c>
      <x:c r="C26" s="338" t="s">
        <x:v>12</x:v>
      </x:c>
      <x:c r="D26" s="648" t="b">
        <x:f>+'Reporte Componentes R1'!M415+'Reporte Componentes R1'!M417+'Rem. Anticipos R2'!L273+'Reversion Pagos R4'!J211+D18+'AJUSTES - SF-T'!U49=D11</x:f>
        <x:v>1</x:v>
      </x:c>
      <x:c r="E26" s="648" t="b">
        <x:f>+'Reporte Componentes R1'!N415+'Reporte Componentes R1'!N417+'Rem. Anticipos R2'!M273+'Reversion Pagos R4'!K211+E18+'AJUSTES - SF-T'!V49=E11</x:f>
        <x:v>1</x:v>
      </x:c>
      <x:c r="F26" s="648" t="b">
        <x:f>+'Reporte Componentes R1'!O415+'Reporte Componentes R1'!O417+'Rem. Anticipos R2'!N273+'Reversion Pagos R4'!L211+F18+'AJUSTES - SF-T'!W49=F11</x:f>
        <x:v>1</x:v>
      </x:c>
      <x:c r="G26" s="648" t="b">
        <x:f>+'Reporte Componentes R1'!P415+'Reporte Componentes R1'!P417+'Rem. Anticipos R2'!O273+'Reversion Pagos R4'!M211+G18+'AJUSTES - SF-T'!X49=G11</x:f>
        <x:v>1</x:v>
      </x:c>
      <x:c r="H26" s="648" t="b">
        <x:f>+'Reporte Componentes R1'!Q415+'Reporte Componentes R1'!Q417+'Rem. Anticipos R2'!P273+'Reversion Pagos R4'!N211+H18+'AJUSTES - SF-T'!Y49=H11</x:f>
        <x:v>1</x:v>
      </x:c>
      <x:c r="I26" s="698" t="b">
        <x:f>-INTERVENTORIA!N28+I18=I11</x:f>
        <x:v>1</x:v>
      </x:c>
      <x:c r="J26" s="648" t="b">
        <x:f>+'Reporte Componentes R1'!R415+'Reporte Componentes R1'!V415+'Rem. Anticipos R2'!Q273+'Reporte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R2'!R273+'Reporte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SF-T'!AA49+J18=J11</x:f>
        <x:v>1</x:v>
      </x:c>
      <x:c r="K26" s="648" t="b">
        <x:f>+DetRetri2026101!N34</x:f>
        <x:v>1</x:v>
      </x:c>
      <x:c r="L26" s="648" t="b">
        <x:f>+'Reporte Componentes R1'!F416+'Rem. Anticipos R2'!E274+'Reporte Componentes R1'!F418+'Reversion Pagos R4'!D212+'AJUSTES - SF-T'!AD49+L18=L11</x:f>
        <x:v>1</x:v>
      </x:c>
      <x:c r="M26" s="715">
        <x:f>-'BCE SC POR FACT.'!F5+'Reporte Componentes R1'!F416+'Rem. Anticipos R2'!E274+'Reporte Componentes R1'!F418+'Reversion Pagos R4'!D212+'AJUSTES - SF-T'!AD49+M18-M11</x:f>
        <x:v>0</x:v>
      </x:c>
      <x:c r="N26" s="648" t="b">
        <x:f>'Reporte Componentes R1'!F416+'Rem. Anticipos R2'!E274+'Reporte Componentes R1'!F418+'Reversion Pagos R4'!D212+'AJUSTES - SF-T'!AD49+L18=L11</x:f>
        <x:v>1</x:v>
      </x:c>
      <x:c r="O26" s="712" t="b">
        <x:f>'Reporte Componentes R1'!M415+'Reporte Componentes R1'!M417+'Rem. Anticipos R2'!L273+'Reversion Pagos R4'!J211+'Reporte Componentes R1'!N415+'Reporte Componentes R1'!N417+'Rem. Anticipos R2'!M273+'Reversion Pagos R4'!K211+'Reporte Componentes R1'!O415+'Reporte Componentes R1'!O417+'Rem. Anticipos R2'!N273+'Reversion Pagos R4'!L211+'Reporte Componentes R1'!P415+'Reporte Componentes R1'!P417+'Rem. Anticipos R2'!O273+'Reversion Pagos R4'!M211+'Reporte Componentes R1'!Q415+'Reporte Componentes R1'!Q417+'Rem. Anticipos R2'!P273+'Reversion Pagos R4'!N211-INTERVENTORIA!I6+'Reporte Componentes R1'!R415+'Reporte Componentes R1'!V415+'Rem. Anticipos R2'!Q273+'Reporte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R2'!R273+'Reporte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R1'!L415+'Reporte Componentes R1'!L417+'Rem. Anticipos R2'!K273+'Reversion Pagos R4'!P211-'BCE SC POR FACT.'!F5+'Reporte Componentes R1'!F416+'Rem. Anticipos R2'!E274+'Reporte Componentes R1'!F418+'Reversion Pagos R4'!D212+'AJUSTES - SF-T'!AD49+N18=N11</x:f>
        <x:v>0</x:v>
      </x:c>
    </x:row>
    <x:row r="27" spans="2:16" x14ac:dyDescent="0.4">
      <x:c r="B27" s="610" t="s">
        <x:v>247</x:v>
      </x:c>
      <x:c r="C27" s="338" t="s">
        <x:v>13</x:v>
      </x:c>
      <x:c r="D27" s="648" t="b">
        <x:f>+'Reporte Componentes R1'!M568+'Reporte Componentes R1'!M570+'Rem. Anticipos R2'!L384+'Reversion Pagos R4'!J326+D19+'AJUSTES - SF-T'!U50=D12</x:f>
        <x:v>1</x:v>
      </x:c>
      <x:c r="E27" s="648" t="b">
        <x:f>+'Reporte Componentes R1'!N568+'Reporte Componentes R1'!N570+'Rem. Anticipos R2'!M384+'Reversion Pagos R4'!K326+E19+'AJUSTES - SF-T'!V50=E12</x:f>
        <x:v>1</x:v>
      </x:c>
      <x:c r="F27" s="648" t="b">
        <x:f>+'Reporte Componentes R1'!O568+'Reporte Componentes R1'!O570+'Rem. Anticipos R2'!N384+'Reversion Pagos R4'!L326+F19+'AJUSTES - SF-T'!W50=F12</x:f>
        <x:v>1</x:v>
      </x:c>
      <x:c r="G27" s="648" t="b">
        <x:f>+'Reporte Componentes R1'!P568+'Reporte Componentes R1'!P570+'Rem. Anticipos R2'!O384+'Reversion Pagos R4'!M326+G19+'AJUSTES - SF-T'!X50=G12</x:f>
        <x:v>1</x:v>
      </x:c>
      <x:c r="H27" s="648" t="b">
        <x:f>+'Reporte Componentes R1'!Q568+'Reporte Componentes R1'!Q570+'Rem. Anticipos R2'!P384+'Reversion Pagos R4'!N326+H19+'AJUSTES - SF-T'!Y50=H12</x:f>
        <x:v>1</x:v>
      </x:c>
      <x:c r="I27" s="698" t="b">
        <x:f>-INTERVENTORIA!N29+I19=I12</x:f>
        <x:v>1</x:v>
      </x:c>
      <x:c r="J27" s="648" t="b">
        <x:f>+'Reporte Componentes R1'!R568+'Reporte Componentes R1'!V568+'Rem. Anticipos R2'!Q384+'Reporte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R2'!R384+'Reporte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SF-T'!AA50+J19=J12</x:f>
        <x:v>1</x:v>
      </x:c>
      <x:c r="K27" s="648" t="b">
        <x:f>+DetRetri2026101!N35</x:f>
        <x:v>1</x:v>
      </x:c>
      <x:c r="L27" s="648" t="b">
        <x:f>+'Reporte Componentes R1'!F569+'Rem. Anticipos R2'!E385+'Reporte Componentes R1'!F571+'Reversion Pagos R4'!D327+'AJUSTES - SF-T'!AD50+L19=L12</x:f>
        <x:v>1</x:v>
      </x:c>
      <x:c r="M27" s="715">
        <x:f>-'BCE SC POR FACT.'!F6+'Reporte Componentes R1'!F569+'Rem. Anticipos R2'!E385+'Reporte Componentes R1'!F571+'Reversion Pagos R4'!D327+'AJUSTES - SF-T'!AD50+M19-M12</x:f>
        <x:v>0</x:v>
      </x:c>
      <x:c r="N27" s="648" t="b">
        <x:f>'Reporte Componentes R1'!F569+'Rem. Anticipos R2'!E385+'Reporte Componentes R1'!F571+'Reversion Pagos R4'!D327+'AJUSTES - SF-T'!AD50+L19=L12</x:f>
        <x:v>1</x:v>
      </x:c>
      <x:c r="O27" s="712" t="b">
        <x:f>'Reporte Componentes R1'!M568+'Reporte Componentes R1'!M570+'Rem. Anticipos R2'!L384+'Reversion Pagos R4'!J326+'Reporte Componentes R1'!N568+'Reporte Componentes R1'!N570+'Rem. Anticipos R2'!M384+'Reversion Pagos R4'!K326+'Reporte Componentes R1'!O568+'Reporte Componentes R1'!O570+'Rem. Anticipos R2'!N384+'Reversion Pagos R4'!L326+'Reporte Componentes R1'!P568+'Reporte Componentes R1'!P570+'Rem. Anticipos R2'!O384+'Reversion Pagos R4'!M326+'Reporte Componentes R1'!Q568+'Reporte Componentes R1'!Q570+'Rem. Anticipos R2'!P384+'Reversion Pagos R4'!N326-INTERVENTORIA!I7+'Reporte Componentes R1'!R568+'Reporte Componentes R1'!V568+'Rem. Anticipos R2'!Q384+'Reporte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R2'!R384+'Reporte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SF-T'!AA50+'Reporte Componentes R1'!L568+'Reporte Componentes R1'!L570+'Rem. Anticipos R2'!K384+'Reversion Pagos R4'!P326-'BCE SC POR FACT.'!F6+'Reporte Componentes R1'!F569+'Rem. Anticipos R2'!E385+'Reporte Componentes R1'!F571+'Reversion Pagos R4'!D327+'AJUSTES - SF-T'!AD50+N19=N12</x:f>
        <x:v>1</x:v>
      </x:c>
    </x:row>
    <x:row r="28" spans="2:16" x14ac:dyDescent="0.4">
      <x:c r="B28" s="610" t="s">
        <x:v>118</x:v>
      </x:c>
      <x:c r="C28" s="338" t="s">
        <x:v>14</x:v>
      </x:c>
      <x:c r="D28" s="648" t="b">
        <x:f>+'Reporte Componentes R1'!M680+'Reporte Componentes R1'!M682+'Rem. Anticipos R2'!L468+'Reversion Pagos R4'!J361+D20+'AJUSTES - SF-T'!U51=D13</x:f>
        <x:v>1</x:v>
      </x:c>
      <x:c r="E28" s="648" t="b">
        <x:f>+'Reporte Componentes R1'!N680+'Reporte Componentes R1'!N682+'Rem. Anticipos R2'!M468+'Reversion Pagos R4'!K361+E20+'AJUSTES - SF-T'!V51=E13</x:f>
        <x:v>1</x:v>
      </x:c>
      <x:c r="F28" s="648" t="b">
        <x:f>+'Reporte Componentes R1'!O680+'Reporte Componentes R1'!O682+'Rem. Anticipos R2'!N468+'Reversion Pagos R4'!L361+F20+'AJUSTES - SF-T'!W51=F13</x:f>
        <x:v>1</x:v>
      </x:c>
      <x:c r="G28" s="648" t="b">
        <x:f>+'Reporte Componentes R1'!P680+'Reporte Componentes R1'!P682+'Rem. Anticipos R2'!O468+'Reversion Pagos R4'!M361+G20+'AJUSTES - SF-T'!X51=G13</x:f>
        <x:v>1</x:v>
      </x:c>
      <x:c r="H28" s="648" t="b">
        <x:f>+'Reporte Componentes R1'!Q680+'Reporte Componentes R1'!Q682+'Rem. Anticipos R2'!P468+'Reversion Pagos R4'!N361+H20+'AJUSTES - SF-T'!Y51=H13</x:f>
        <x:v>1</x:v>
      </x:c>
      <x:c r="I28" s="698" t="b">
        <x:f>-INTERVENTORIA!N30+I20=I13</x:f>
        <x:v>1</x:v>
      </x:c>
      <x:c r="J28" s="650" t="b">
        <x:f>+'Reporte Componentes R1'!R680+'Reporte Componentes R1'!V680+'Rem. Anticipos R2'!Q468+'Reporte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R2'!R468+'Reporte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SF-T'!AA51+J20=J13</x:f>
        <x:v>1</x:v>
      </x:c>
      <x:c r="K28" s="648" t="b">
        <x:f>+DetRetri2026101!N36</x:f>
        <x:v>1</x:v>
      </x:c>
      <x:c r="L28" s="648" t="b">
        <x:f>+'Reporte Componentes R1'!F681+'Rem. Anticipos R2'!E469+'Reporte Componentes R1'!F683+'Reversion Pagos R4'!D362+'AJUSTES - SF-T'!AD51+L20=L13</x:f>
        <x:v>1</x:v>
      </x:c>
      <x:c r="M28" s="648" t="b">
        <x:f>-'BCE SC POR FACT.'!F7+'Reporte Componentes R1'!F681+'Rem. Anticipos R2'!E469+'Reporte Componentes R1'!F683+'Reversion Pagos R4'!D362+'AJUSTES - SF-T'!AD51+M20=M13</x:f>
        <x:v>1</x:v>
      </x:c>
      <x:c r="N28" s="648" t="b">
        <x:f>'Reporte Componentes R1'!F681+'Rem. Anticipos R2'!E469+'Reporte Componentes R1'!F683+'Reversion Pagos R4'!D362+'AJUSTES - SF-T'!AD51+L20=L13</x:f>
        <x:v>1</x:v>
      </x:c>
      <x:c r="O28" s="648" t="b">
        <x:f>'Reporte Componentes R1'!M680+'Reporte Componentes R1'!M682+'Rem. Anticipos R2'!L468+'Reversion Pagos R4'!J361+'Reporte Componentes R1'!N680+'Reporte Componentes R1'!N682+'Rem. Anticipos R2'!M468+'Reversion Pagos R4'!K361+'Reporte Componentes R1'!O680+'Reporte Componentes R1'!O682+'Rem. Anticipos R2'!N468+'Reversion Pagos R4'!L361+'Reporte Componentes R1'!P680+'Reporte Componentes R1'!P682+'Rem. Anticipos R2'!O468+'Reversion Pagos R4'!M361+'Reporte Componentes R1'!Q680+'Reporte Componentes R1'!Q682+'Rem. Anticipos R2'!P468+'Reversion Pagos R4'!N361-INTERVENTORIA!I8+'Reporte Componentes R1'!R680+'Reporte Componentes R1'!V680+'Rem. Anticipos R2'!Q468+'Reporte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R2'!R468+'Reporte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SF-T'!AA51+'Reporte Componentes R1'!L680+'Reporte Componentes R1'!L682+'Rem. Anticipos R2'!K468+'Reversion Pagos R4'!P361-'BCE SC POR FACT.'!F7+'Reporte Componentes R1'!F681+'Rem. Anticipos R2'!E469+'Reporte Componentes R1'!F683+'Reversion Pagos R4'!D362+'AJUSTES - SF-T'!AD51+N20=N13</x:f>
        <x:v>0</x:v>
      </x:c>
    </x:row>
    <x:row r="29" spans="2:16" x14ac:dyDescent="0.4">
      <x:c r="C29" s="649" t="s">
        <x:v>2</x:v>
      </x:c>
      <x:c r="D29" s="648" t="b">
        <x:f>'Reporte Componentes R1'!M75+'Reporte Componentes R1'!M77+'Rem. Anticipos R2'!L47+'Reversion Pagos R4'!J73+'Reporte Componentes R1'!M254+'Rem. Anticipos R2'!L155+'Reversion Pagos R4'!J174+'Reporte Componentes R1'!M256+'Reporte Componentes R1'!M415+'Reporte Componentes R1'!M417+'Rem. Anticipos R2'!L273+'Reversion Pagos R4'!J211+'Reporte Componentes R1'!M568+'Reporte Componentes R1'!M570+'Rem. Anticipos R2'!L384+'Reversion Pagos R4'!J326+'Reporte Componentes R1'!M680+'Reporte Componentes R1'!M682+'Rem. Anticipos R2'!L468+'Reversion Pagos R4'!J361+D21+'AJUSTES - SF-T'!U52=D14</x:f>
        <x:v>1</x:v>
      </x:c>
      <x:c r="E29" s="648" t="b">
        <x:f>'Reporte Componentes R1'!N75+'Reporte Componentes R1'!N77+'Rem. Anticipos R2'!M47+'Reversion Pagos R4'!K73+'Reporte Componentes R1'!N254+'Rem. Anticipos R2'!M155+'Reversion Pagos R4'!K174+'Reporte Componentes R1'!N256+'Reporte Componentes R1'!N415+'Reporte Componentes R1'!N417+'Rem. Anticipos R2'!M273+'Reversion Pagos R4'!K211+'Reporte Componentes R1'!N568+'Reporte Componentes R1'!N570+'Rem. Anticipos R2'!M384+'Reversion Pagos R4'!K326+'Reporte Componentes R1'!N680+'Reporte Componentes R1'!N682+'Rem. Anticipos R2'!M468+'Reversion Pagos R4'!K361+E21+'AJUSTES - SF-T'!V52=E14</x:f>
        <x:v>1</x:v>
      </x:c>
      <x:c r="F29" s="648" t="b">
        <x:f>'Reporte Componentes R1'!O75+'Reporte Componentes R1'!O77+'Rem. Anticipos R2'!N47+'Reversion Pagos R4'!L73+'Reporte Componentes R1'!O254+'Rem. Anticipos R2'!N155+'Reversion Pagos R4'!L174+'Reporte Componentes R1'!O256+'Reporte Componentes R1'!O415+'Reporte Componentes R1'!O417+'Rem. Anticipos R2'!N273+'Reversion Pagos R4'!L211+'Reporte Componentes R1'!O568+'Reporte Componentes R1'!O570+'Rem. Anticipos R2'!N384+'Reversion Pagos R4'!L326+'Reporte Componentes R1'!O680+'Reporte Componentes R1'!O682+'Rem. Anticipos R2'!N468+'Reversion Pagos R4'!L361+F21+'AJUSTES - SF-T'!W52=F14</x:f>
        <x:v>1</x:v>
      </x:c>
      <x:c r="G29" s="648" t="b">
        <x:f>'Reporte Componentes R1'!P75+'Reporte Componentes R1'!P77+'Rem. Anticipos R2'!O47+'Reversion Pagos R4'!M73+'Reporte Componentes R1'!P254+'Rem. Anticipos R2'!O155+'Reversion Pagos R4'!M174+'Reporte Componentes R1'!P256+'Reporte Componentes R1'!P415+'Reporte Componentes R1'!P417+'Rem. Anticipos R2'!O273+'Reversion Pagos R4'!M211+'Reporte Componentes R1'!P568+'Reporte Componentes R1'!P570+'Rem. Anticipos R2'!O384+'Reversion Pagos R4'!M326+'Reporte Componentes R1'!P680+'Reporte Componentes R1'!P682+'Rem. Anticipos R2'!O468+'Reversion Pagos R4'!M361+G21+'AJUSTES - SF-T'!X52=G14</x:f>
        <x:v>1</x:v>
      </x:c>
      <x:c r="H29" s="648" t="b">
        <x:f>'Reporte Componentes R1'!Q75+'Reporte Componentes R1'!Q77+'Rem. Anticipos R2'!P47+'Reversion Pagos R4'!N73+'Reporte Componentes R1'!Q254+'Rem. Anticipos R2'!P155+'Reversion Pagos R4'!N174+'Reporte Componentes R1'!Q256+'Reporte Componentes R1'!Q415+'Reporte Componentes R1'!Q417+'Rem. Anticipos R2'!P273+'Reversion Pagos R4'!N211+'Reporte Componentes R1'!Q568+'Reporte Componentes R1'!Q570+'Rem. Anticipos R2'!P384+'Reversion Pagos R4'!N326+'Reporte Componentes R1'!Q680+'Reporte Componentes R1'!Q682+'Rem. Anticipos R2'!P468+'Reversion Pagos R4'!N361+H21+'AJUSTES - SF-T'!Y52=H14</x:f>
        <x:v>1</x:v>
      </x:c>
      <x:c r="I29" s="698" t="b">
        <x:f>-INTERVENTORIA!N31+I21=I14</x:f>
        <x:v>1</x:v>
      </x:c>
      <x:c r="J29" s="648" t="b">
        <x:f>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R1'!R254+'Reporte Componentes R1'!V254+'Rem. Anticipos R2'!Q155+'Reporte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R2'!R155+'Reporte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R1'!R415+'Reporte Componentes R1'!V415+'Rem. Anticipos R2'!Q273+'Reporte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R2'!R273+'Reporte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R1'!R568+'Reporte Componentes R1'!V568+'Rem. Anticipos R2'!Q384+'Reporte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R2'!R384+'Reporte Componentes R1'!T570+'Reporte Componentes R1'!U570+'Reporte Componentes R1'!W570+'Reporte Componentes R1'!X570+'Reporte Componentes R1'!Y570+'Reporte Componentes R1'!Z570+'Reporte Componentes R1'!S570+'Reversion Pagos R4'!Q326+'Reversion Pagos R4'!R326+'Reporte Componentes R1'!R680+'Reporte Componentes R1'!V680+'Rem. Anticipos R2'!Q468+'Reporte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R2'!R468+'Reporte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SF-T'!AA52+J21=J14</x:f>
        <x:v>1</x:v>
      </x:c>
      <x:c r="K29" s="648" t="b">
        <x:f>'Reporte Componentes R1'!L75+'Rem. Anticipos R2'!K47+'Reversion Pagos R4'!P73+'Reporte Componentes R1'!L77+'Reporte Componentes R1'!L254+'Rem. Anticipos R2'!K155+'Reversion Pagos R4'!P174+'Reporte Componentes R1'!L256+'Reporte Componentes R1'!L415+'Reporte Componentes R1'!L417+'Rem. Anticipos R2'!K273+'Reversion Pagos R4'!P211+'Reporte Componentes R1'!L568+'Reporte Componentes R1'!L570+'Rem. Anticipos R2'!K384+'Reversion Pagos R4'!P326+'Reporte Componentes R1'!L680+'Reporte Componentes R1'!L682+'Rem. Anticipos R2'!K468+'Reversion Pagos R4'!P361+K21=K14</x:f>
        <x:v>1</x:v>
      </x:c>
      <x:c r="L29" s="711" t="b">
        <x:f>'Reporte Componentes R1'!F76+'Rem. Anticipos R2'!E48+'Reporte Componentes R1'!F78+'Reversion Pagos R4'!D74+'AJUSTES - SF-T'!AD47+'Reporte Componentes R1'!F255+'Rem. Anticipos R2'!E156+'Reporte Componentes R1'!F257+'Reversion Pagos R4'!D175+'AJUSTES - SF-T'!AD48+'Reporte Componentes R1'!F416+'Rem. Anticipos R2'!E274+'Reporte Componentes R1'!F418+'Reversion Pagos R4'!D212+'AJUSTES - SF-T'!AD49+'Reporte Componentes R1'!F569+'Rem. Anticipos R2'!E385+'Reporte Componentes R1'!F571+'Reversion Pagos R4'!D327+'AJUSTES - SF-T'!AD50+'Reporte Componentes R1'!F681+'Rem. Anticipos R2'!E469+'Reporte Componentes R1'!F683+'Reversion Pagos R4'!D362+'AJUSTES - SF-T'!AD51+L21=L14</x:f>
        <x:v>1</x:v>
      </x:c>
      <x:c r="M29" s="648" t="b">
        <x:f>-'BCE SC POR FACT.'!F3+'Reporte Componentes R1'!F76+'Rem. Anticipos R2'!E48+'Reporte Componentes R1'!F78+'Reversion Pagos R4'!D74+'AJUSTES - SF-T'!AD47-'BCE SC POR FACT.'!F4+'Reporte Componentes R1'!F255+'Rem. Anticipos R2'!E156+'Reporte Componentes R1'!F257+'Reversion Pagos R4'!D175+'AJUSTES - SF-T'!AD48-'BCE SC POR FACT.'!F5+'Reporte Componentes R1'!F416+'Rem. Anticipos R2'!E274+'Reporte Componentes R1'!F418+'Reversion Pagos R4'!D212+'AJUSTES - SF-T'!AD49-'BCE SC POR FACT.'!F6+'Reporte Componentes R1'!F569+'Rem. Anticipos R2'!E385+'Reporte Componentes R1'!F571+'Reversion Pagos R4'!D327+'AJUSTES - SF-T'!AD50-'BCE SC POR FACT.'!F7+'Reporte Componentes R1'!F681+'Rem. Anticipos R2'!E469+'Reporte Componentes R1'!F683+'Reversion Pagos R4'!D362+'AJUSTES - SF-T'!AD51+M21=M14</x:f>
        <x:v>1</x:v>
      </x:c>
      <x:c r="N29" s="648" t="b">
        <x:f>'Reporte Componentes R1'!F76+'Rem. Anticipos R2'!E48+'Reporte Componentes R1'!F78+'Reversion Pagos R4'!D74+'AJUSTES - SF-T'!AD47+'Reporte Componentes R1'!F255+'Rem. Anticipos R2'!E156+'Reporte Componentes R1'!F257+'Reversion Pagos R4'!D175+'AJUSTES - SF-T'!AD48+'Reporte Componentes R1'!F416+'Rem. Anticipos R2'!E274+'Reporte Componentes R1'!F418+'Reversion Pagos R4'!D212+'AJUSTES - SF-T'!AD49+'Reporte Componentes R1'!F569+'Rem. Anticipos R2'!E385+'Reporte Componentes R1'!F571+'Reversion Pagos R4'!D327+'AJUSTES - SF-T'!AD50+'Reporte Componentes R1'!F681+'Rem. Anticipos R2'!E469+'Reporte Componentes R1'!F683+'Reversion Pagos R4'!D362+'AJUSTES - SF-T'!AD51+L21=L14</x:f>
        <x:v>1</x:v>
      </x:c>
      <x:c r="O29" s="648" t="b">
        <x:f>'Reporte Componentes R1'!M75+'Reporte Componentes R1'!M77+'Rem. Anticipos R2'!L47+'Reversion Pagos R4'!J73+'Reporte Componentes R1'!N75+'Reporte Componentes R1'!N77+'Rem. Anticipos R2'!M47+'Reversion Pagos R4'!K73+'Reporte Componentes R1'!O75+'Reporte Componentes R1'!O77+'Rem. Anticipos R2'!N47+'Reversion Pagos R4'!L73+'Reporte Componentes R1'!P75+'Reporte Componentes R1'!P77+'Rem. Anticipos R2'!O47+'Reversion Pagos R4'!M73+'Reporte Componentes R1'!Q75+'Reporte Componentes R1'!Q77+'Rem. Anticipos R2'!P47+'Reversion Pagos R4'!N73-INTERVENTORIA!K15+'Reporte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R1'!L75+'Rem. Anticipos R2'!K47+'Reversion Pagos R4'!P73+'Reporte Componentes R1'!L77-'BCE SC POR FACT.'!F3+'Reporte Componentes R1'!F76+'Rem. Anticipos R2'!E48+'Reporte Componentes R1'!F78+'Reversion Pagos R4'!D74+'AJUSTES - SF-T'!AD47+'Reporte Componentes R1'!M254+'Rem. Anticipos R2'!L155+'Reversion Pagos R4'!J174+'Reporte Componentes R1'!M256+'Reporte Componentes R1'!N254+'Rem. Anticipos R2'!M155+'Reversion Pagos R4'!K174+'Reporte Componentes R1'!N256+'Reporte Componentes R1'!O254+'Rem. Anticipos R2'!N155+'Reversion Pagos R4'!L174+'Reporte Componentes R1'!O256+'Reporte Componentes R1'!P254+'Rem. Anticipos R2'!O155+'Reversion Pagos R4'!M174+'Reporte Componentes R1'!P256+'Reporte Componentes R1'!Q254+'Rem. Anticipos R2'!P155+'Reversion Pagos R4'!N174+'Reporte Componentes R1'!Q256-INTERVENTORIA!K16+'Reporte Componentes R1'!R254+'Reporte Componentes R1'!V254+'Rem. Anticipos R2'!Q155+'Reporte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R2'!R155+'Reporte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R1'!L254+'Rem. Anticipos R2'!K155+'Reversion Pagos R4'!P174+'Reporte Componentes R1'!L256-'BCE SC POR FACT.'!F4+'Reporte Componentes R1'!F255+'Rem. Anticipos R2'!E156+'Reporte Componentes R1'!F257+'Reversion Pagos R4'!D175+'AJUSTES - SF-T'!AD48+'Reporte Componentes R1'!M415+'Reporte Componentes R1'!M417+'Rem. Anticipos R2'!L273+'Reversion Pagos R4'!J211+'Reporte Componentes R1'!N415+'Reporte Componentes R1'!N417+'Rem. Anticipos R2'!M273+'Reversion Pagos R4'!K211+'Reporte Componentes R1'!O415+'Reporte Componentes R1'!O417+'Rem. Anticipos R2'!N273+'Reversion Pagos R4'!L211+'Reporte Componentes R1'!P415+'Reporte Componentes R1'!P417+'Rem. Anticipos R2'!O273+'Reversion Pagos R4'!M211+'Reporte Componentes R1'!Q415+'Reporte Componentes R1'!Q417+'Rem. Anticipos R2'!P273+'Reversion Pagos R4'!N211-INTERVENTORIA!K17+'Reporte Componentes R1'!R415+'Reporte Componentes R1'!V415+'Rem. Anticipos R2'!Q273+'Reporte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R2'!R273+'Reporte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R1'!L415+'Reporte Componentes R1'!L417+'Rem. Anticipos R2'!K273+'Reversion Pagos R4'!P211-'BCE SC POR FACT.'!F5+'Reporte Componentes R1'!F416+'Rem. Anticipos R2'!E274+'Reporte Componentes R1'!F418+'Reversion Pagos R4'!D212+'AJUSTES - SF-T'!AD49+'Reporte Componentes R1'!M568+'Reporte Componentes R1'!M570+'Rem. Anticipos R2'!L384+'Reversion Pagos R4'!J326+'Reporte Componentes R1'!N568+'Reporte Componentes R1'!N570+'Rem. Anticipos R2'!M384+'Reversion Pagos R4'!K326+'Reporte Componentes R1'!O568+'Reporte Componentes R1'!O570+'Rem. Anticipos R2'!N384+'Reversion Pagos R4'!L326+'Reporte Componentes R1'!P568+'Reporte Componentes R1'!P570+'Rem. Anticipos R2'!O384+'Reversion Pagos R4'!M326+'Reporte Componentes R1'!Q568+'Reporte Componentes R1'!Q570+'Rem. Anticipos R2'!P384+'Reversion Pagos R4'!N326-INTERVENTORIA!K18+'Reporte Componentes R1'!R568+'Reporte Componentes R1'!V568+'Rem. Anticipos R2'!Q384+'Reporte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R2'!R384+'Reporte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SF-T'!AA50+'Reporte Componentes R1'!L568+'Reporte Componentes R1'!L570+'Rem. Anticipos R2'!K384+'Reversion Pagos R4'!P326-'BCE SC POR FACT.'!F6+'Reporte Componentes R1'!F569+'Rem. Anticipos R2'!E385+'Reporte Componentes R1'!F571+'Reversion Pagos R4'!D327+'AJUSTES - SF-T'!AD50+'Reporte Componentes R1'!M680+'Reporte Componentes R1'!M682+'Rem. Anticipos R2'!L468+'Reversion Pagos R4'!J361+'Reporte Componentes R1'!N680+'Reporte Componentes R1'!N682+'Rem. Anticipos R2'!M468+'Reversion Pagos R4'!K361+'Reporte Componentes R1'!O680+'Reporte Componentes R1'!O682+'Rem. Anticipos R2'!N468+'Reversion Pagos R4'!L361+'Reporte Componentes R1'!P680+'Reporte Componentes R1'!P682+'Rem. Anticipos R2'!O468+'Reversion Pagos R4'!M361+'Reporte Componentes R1'!Q680+'Reporte Componentes R1'!Q682+'Rem. Anticipos R2'!P468+'Reversion Pagos R4'!N361-INTERVENTORIA!Q19+'Reporte Componentes R1'!R680+'Reporte Componentes R1'!V680+'Rem. Anticipos R2'!Q468+'Reporte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R2'!R468+'Reporte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SF-T'!AA51+'Reporte Componentes R1'!L680+'Reporte Componentes R1'!L682+'Rem. Anticipos R2'!K468+'Reversion Pagos R4'!P361-'BCE SC POR FACT.'!F7+'Reporte Componentes R1'!F681+'Rem. Anticipos R2'!E469+'Reporte Componentes R1'!F683+'Reversion Pagos R4'!D362+'AJUSTES - SF-T'!AD51+N21=N14</x:f>
        <x:v>0</x:v>
      </x:c>
    </x:row>
    <x:row r="30" spans="2:16" x14ac:dyDescent="0.4">
      <x:c r="M30" s="655"/>
    </x:row>
    <x:row r="31" spans="2:16" x14ac:dyDescent="0.4">
      <x:c r="I31" s="697"/>
      <x:c r="J31" s="699"/>
    </x:row>
    <x:row r="32" spans="2:16" x14ac:dyDescent="0.4">
      <x:c r="J32" s="700"/>
    </x:row>
  </x:sheetData>
  <x:conditionalFormatting sqref="D24:H29 J24:L29">
    <x:cfRule type="cellIs" dxfId="4" priority="2" operator="notEqual">
      <x:formula>TRUE</x:formula>
    </x:cfRule>
  </x:conditionalFormatting>
  <x:conditionalFormatting sqref="M24:O28">
    <x:cfRule type="cellIs" dxfId="3" priority="1" operator="notEqual">
      <x:formula>TRUE</x:formula>
    </x:cfRule>
  </x:conditionalFormatting>
  <x:pageMargins left="0.7" right="0.7" top="0.75" bottom="0.75" header="0.3" footer="0.3"/>
  <x:pageSetup paperSize="9" orientation="portrait" r:id="rId1"/>
  <x:drawing r:id="rId2"/>
</x:worksheet>
</file>

<file path=xl/worksheets/sheet3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F00-000000000000}" mc:Ignorable="x14ac xr xr2 xr3">
  <x:dimension ref="A1:AM125"/>
  <x:sheetViews>
    <x:sheetView topLeftCell="A104" zoomScaleNormal="100" workbookViewId="0">
      <x:selection activeCell="A112" sqref="A112"/>
    </x:sheetView>
  </x:sheetViews>
  <x:sheetFormatPr baseColWidth="10" defaultColWidth="11.3828125" defaultRowHeight="11.6" x14ac:dyDescent="0.3"/>
  <x:cols>
    <x:col min="1" max="1" width="3" style="1" customWidth="1"/>
    <x:col min="2" max="2" width="4.3828125" style="1" bestFit="1" customWidth="1"/>
    <x:col min="3" max="3" width="36.84375" style="1" customWidth="1"/>
    <x:col min="4" max="4" width="13.84375" style="1" bestFit="1" customWidth="1"/>
    <x:col min="5" max="5" width="16" style="1" customWidth="1"/>
    <x:col min="6" max="7" width="14.84375" style="1" customWidth="1"/>
    <x:col min="8" max="8" width="16.15234375" style="1" customWidth="1"/>
    <x:col min="9" max="9" width="20.15234375" style="1" bestFit="1" customWidth="1"/>
    <x:col min="10" max="10" width="15.53515625" style="1" customWidth="1"/>
    <x:col min="11" max="11" width="17.53515625" style="1" customWidth="1"/>
    <x:col min="12" max="12" width="17" style="1" bestFit="1" customWidth="1"/>
    <x:col min="13" max="13" width="19.84375" style="1" customWidth="1"/>
    <x:col min="14" max="14" width="15.15234375" style="1" customWidth="1"/>
    <x:col min="15" max="15" width="16.84375" style="1" customWidth="1"/>
    <x:col min="16" max="16" width="3.84375" style="1" customWidth="1"/>
    <x:col min="17" max="17" width="2.84375" style="1" customWidth="1"/>
    <x:col min="18" max="18" width="4.53515625" style="1" customWidth="1"/>
    <x:col min="19" max="19" width="11.15234375" style="1" customWidth="1"/>
    <x:col min="20" max="20" width="37.53515625" style="1" bestFit="1" customWidth="1"/>
    <x:col min="21" max="21" width="19.15234375" style="1" customWidth="1"/>
    <x:col min="22" max="22" width="17.84375" style="1" customWidth="1"/>
    <x:col min="23" max="23" width="16.3828125" style="1" customWidth="1"/>
    <x:col min="24" max="24" width="17.15234375" style="1" customWidth="1"/>
    <x:col min="25" max="25" width="15.84375" style="1" customWidth="1"/>
    <x:col min="26" max="26" width="16" style="1" customWidth="1"/>
    <x:col min="27" max="27" width="15" style="1" customWidth="1"/>
    <x:col min="28" max="29" width="16.84375" style="1" customWidth="1"/>
    <x:col min="30" max="31" width="15.3828125" style="1" customWidth="1"/>
    <x:col min="32" max="32" width="16.15234375" style="1" customWidth="1"/>
    <x:col min="33" max="33" width="18.15234375" style="1" customWidth="1"/>
    <x:col min="34" max="34" width="13.84375" style="1" customWidth="1"/>
    <x:col min="35" max="35" width="3.3828125" style="1" customWidth="1"/>
    <x:col min="36" max="36" width="13.84375" style="1" bestFit="1" customWidth="1"/>
    <x:col min="37" max="16384" width="11.3828125" style="1"/>
  </x:cols>
  <x:sheetData>
    <x:row r="1" spans="2:39" ht="12" thickBot="1" x14ac:dyDescent="0.35">
      <x:c r="Q1" s="4"/>
      <x:c r="AI1" s="4"/>
    </x:row>
    <x:row r="2" spans="2:39" x14ac:dyDescent="0.3">
      <x:c r="B2" s="5"/>
      <x:c r="C2" s="3"/>
      <x:c r="D2" s="6"/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9" ht="14.15" x14ac:dyDescent="0.35">
      <x:c r="B3" s="8"/>
      <x:c r="F3" s="26" t="s">
        <x:v>8</x:v>
      </x:c>
      <x:c r="G3" s="26"/>
      <x:c r="I3" s="26" t="s">
        <x:v>16</x:v>
      </x:c>
      <x:c r="J3" s="25"/>
      <x:c r="M3" s="2"/>
      <x:c r="N3" s="50"/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/>
      <x:c r="AD3" s="50"/>
      <x:c r="AE3" s="84"/>
      <x:c r="AF3" s="48"/>
      <x:c r="AG3" s="2"/>
      <x:c r="AI3" s="4"/>
    </x:row>
    <x:row r="4" spans="2:39" ht="15.45" x14ac:dyDescent="0.4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9" ht="14.15" x14ac:dyDescent="0.3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9" ht="15.45" x14ac:dyDescent="0.4">
      <x:c r="B6" s="8"/>
      <x:c r="C6" s="2"/>
      <x:c r="D6" s="9"/>
      <x:c r="F6" s="471" t="s">
        <x:v>121</x:v>
      </x:c>
      <x:c r="G6" s="471"/>
      <x:c r="H6" s="472"/>
      <x:c r="I6" s="473"/>
      <x:c r="J6" s="2"/>
      <x:c r="O6" s="10"/>
      <x:c r="P6" s="2"/>
      <x:c r="Q6" s="4"/>
      <x:c r="S6" s="8"/>
      <x:c r="T6" s="41" t="s">
        <x:v>1</x:v>
      </x:c>
      <x:c r="U6" s="41" t="s">
        <x:v>35</x:v>
      </x:c>
      <x:c r="V6" s="2"/>
      <x:c r="X6" s="2"/>
      <x:c r="Y6" s="2"/>
      <x:c r="AF6" s="48"/>
      <x:c r="AG6" s="2"/>
      <x:c r="AI6" s="4"/>
    </x:row>
    <x:row r="7" spans="2:39" ht="12" thickBot="1" x14ac:dyDescent="0.35">
      <x:c r="B7" s="8"/>
      <x:c r="C7" s="2"/>
      <x:c r="D7" s="241"/>
      <x:c r="F7" s="2"/>
      <x:c r="G7" s="9"/>
      <x:c r="H7" s="9"/>
      <x:c r="J7" s="2"/>
      <x:c r="K7" s="9"/>
      <x:c r="O7" s="10"/>
      <x:c r="P7" s="2"/>
      <x:c r="Q7" s="4"/>
      <x:c r="S7" s="8"/>
      <x:c r="V7" s="9"/>
      <x:c r="Y7" s="9"/>
      <x:c r="AF7" s="48"/>
      <x:c r="AG7" s="2"/>
      <x:c r="AI7" s="4"/>
      <x:c r="AJ7" s="1" t="s">
        <x:v>1</x:v>
      </x:c>
    </x:row>
    <x:row r="8" spans="2:39" ht="72" customHeight="1" thickBot="1" x14ac:dyDescent="0.3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68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105</x:v>
      </x:c>
      <x:c r="AE8" s="121" t="s">
        <x:v>104</x:v>
      </x:c>
      <x:c r="AF8" s="39" t="s">
        <x:v>23</x:v>
      </x:c>
      <x:c r="AG8" s="273"/>
      <x:c r="AI8" s="4"/>
    </x:row>
    <x:row r="9" spans="2:39" s="305" customFormat="1" x14ac:dyDescent="0.3">
      <x:c r="B9" s="303">
        <x:v>1</x:v>
      </x:c>
      <x:c r="C9" s="304" t="s">
        <x:v>10</x:v>
      </x:c>
      <x:c r="D9" s="291">
        <x:f>'CONSOLIDADO_TOTAL RECAUDO'!D104</x:f>
        <x:v>0</x:v>
      </x:c>
      <x:c r="E9" s="292">
        <x:f>'CONSOLIDADO_TOTAL RECAUDO'!E104</x:f>
        <x:v>0</x:v>
      </x:c>
      <x:c r="F9" s="292">
        <x:f>'CONSOLIDADO_TOTAL RECAUDO'!F104</x:f>
        <x:v>0</x:v>
      </x:c>
      <x:c r="G9" s="292">
        <x:f>'CONSOLIDADO_TOTAL RECAUDO'!G104</x:f>
        <x:v>0</x:v>
      </x:c>
      <x:c r="H9" s="292">
        <x:f>'CONSOLIDADO_TOTAL RECAUDO'!H104</x:f>
        <x:v>0</x:v>
      </x:c>
      <x:c r="I9" s="292">
        <x:f>'CONSOLIDADO_TOTAL RECAUDO'!I104</x:f>
        <x:v>0</x:v>
      </x:c>
      <x:c r="J9" s="288">
        <x:f>'CONSOLIDADO_TOTAL RECAUDO'!J104</x:f>
        <x:v>0</x:v>
      </x:c>
      <x:c r="K9" s="293">
        <x:f>'CONSOLIDADO_TOTAL RECAUDO'!K104</x:f>
        <x:v>0</x:v>
      </x:c>
      <x:c r="L9" s="294">
        <x:f>'CONSOLIDADO_TOTAL RECAUDO'!L104</x:f>
        <x:v>189185988</x:v>
      </x:c>
      <x:c r="M9" s="293">
        <x:f>'CONSOLIDADO_TOTAL RECAUDO'!M104</x:f>
        <x:v>-189185988</x:v>
      </x:c>
      <x:c r="N9" s="294">
        <x:f>'CONSOLIDADO_TOTAL RECAUDO'!N104</x:f>
        <x:v>0</x:v>
      </x:c>
      <x:c r="O9" s="293">
        <x:f>'CONSOLIDADO_TOTAL RECAUDO'!O104</x:f>
        <x:v>-189185988</x:v>
      </x:c>
      <x:c r="Q9" s="306"/>
      <x:c r="S9" s="303">
        <x:v>1</x:v>
      </x:c>
      <x:c r="T9" s="304" t="s">
        <x:v>10</x:v>
      </x:c>
      <x:c r="U9" s="307">
        <x:f>'CONSOLIDADO_TOTAL RECAUDO'!U104</x:f>
        <x:v>0</x:v>
      </x:c>
      <x:c r="V9" s="308">
        <x:f>'CONSOLIDADO_TOTAL RECAUDO'!V104</x:f>
        <x:v>0</x:v>
      </x:c>
      <x:c r="W9" s="308">
        <x:f>'CONSOLIDADO_TOTAL RECAUDO'!W104</x:f>
        <x:v>0</x:v>
      </x:c>
      <x:c r="X9" s="308">
        <x:f>'CONSOLIDADO_TOTAL RECAUDO'!X104</x:f>
        <x:v>0</x:v>
      </x:c>
      <x:c r="Y9" s="309">
        <x:f>'CONSOLIDADO_TOTAL RECAUDO'!Y104</x:f>
        <x:v>0</x:v>
      </x:c>
      <x:c r="Z9" s="310">
        <x:f>'CONSOLIDADO_TOTAL RECAUDO'!Z104</x:f>
        <x:v>-189185988</x:v>
      </x:c>
      <x:c r="AA9" s="311">
        <x:f>'CONSOLIDADO_TOTAL RECAUDO'!AA104</x:f>
        <x:v>0</x:v>
      </x:c>
      <x:c r="AB9" s="294">
        <x:f>'CONSOLIDADO_TOTAL RECAUDO'!AB104</x:f>
        <x:v>0</x:v>
      </x:c>
      <x:c r="AC9" s="311">
        <x:f>'CONSOLIDADO_TOTAL RECAUDO'!AC104</x:f>
        <x:v>0</x:v>
      </x:c>
      <x:c r="AD9" s="291">
        <x:f>'CONSOLIDADO_TOTAL RECAUDO'!AD104</x:f>
        <x:v>0</x:v>
      </x:c>
      <x:c r="AE9" s="291">
        <x:f>'CONSOLIDADO_TOTAL RECAUDO'!AE104</x:f>
        <x:v>0</x:v>
      </x:c>
      <x:c r="AF9" s="313">
        <x:f>'CONSOLIDADO_TOTAL RECAUDO'!AF104</x:f>
        <x:v>-189185988</x:v>
      </x:c>
      <x:c r="AG9" s="521">
        <x:f>'CONSOLIDADO_TOTAL RECAUDO'!AG104</x:f>
        <x:v>0</x:v>
      </x:c>
      <x:c r="AH9" s="1" t="s">
        <x:v>1</x:v>
      </x:c>
      <x:c r="AI9" s="306"/>
      <x:c r="AM9" s="333"/>
    </x:row>
    <x:row r="10" spans="2:39" s="305" customFormat="1" x14ac:dyDescent="0.3">
      <x:c r="B10" s="314">
        <x:v>2</x:v>
      </x:c>
      <x:c r="C10" s="315" t="s">
        <x:v>11</x:v>
      </x:c>
      <x:c r="D10" s="291">
        <x:f>'CONSOLIDADO_TOTAL RECAUDO'!D105</x:f>
        <x:v>0</x:v>
      </x:c>
      <x:c r="E10" s="292">
        <x:f>'CONSOLIDADO_TOTAL RECAUDO'!E105</x:f>
        <x:v>0</x:v>
      </x:c>
      <x:c r="F10" s="292">
        <x:f>'CONSOLIDADO_TOTAL RECAUDO'!F105</x:f>
        <x:v>0</x:v>
      </x:c>
      <x:c r="G10" s="292">
        <x:f>'CONSOLIDADO_TOTAL RECAUDO'!G105</x:f>
        <x:v>0</x:v>
      </x:c>
      <x:c r="H10" s="292">
        <x:f>'CONSOLIDADO_TOTAL RECAUDO'!H105</x:f>
        <x:v>0</x:v>
      </x:c>
      <x:c r="I10" s="292">
        <x:f>'CONSOLIDADO_TOTAL RECAUDO'!I105</x:f>
        <x:v>0</x:v>
      </x:c>
      <x:c r="J10" s="288">
        <x:f>'CONSOLIDADO_TOTAL RECAUDO'!J105</x:f>
        <x:v>0</x:v>
      </x:c>
      <x:c r="K10" s="295">
        <x:f>'CONSOLIDADO_TOTAL RECAUDO'!K105</x:f>
        <x:v>0</x:v>
      </x:c>
      <x:c r="L10" s="294">
        <x:f>'CONSOLIDADO_TOTAL RECAUDO'!L105</x:f>
        <x:v>266580256</x:v>
      </x:c>
      <x:c r="M10" s="295">
        <x:f>'CONSOLIDADO_TOTAL RECAUDO'!M105</x:f>
        <x:v>-266580256</x:v>
      </x:c>
      <x:c r="N10" s="294">
        <x:f>'CONSOLIDADO_TOTAL RECAUDO'!N105</x:f>
        <x:v>0</x:v>
      </x:c>
      <x:c r="O10" s="295">
        <x:f>'CONSOLIDADO_TOTAL RECAUDO'!O105</x:f>
        <x:v>-266580256</x:v>
      </x:c>
      <x:c r="Q10" s="306"/>
      <x:c r="S10" s="314">
        <x:v>2</x:v>
      </x:c>
      <x:c r="T10" s="315" t="s">
        <x:v>11</x:v>
      </x:c>
      <x:c r="U10" s="316">
        <x:f>'CONSOLIDADO_TOTAL RECAUDO'!U105</x:f>
        <x:v>0</x:v>
      </x:c>
      <x:c r="V10" s="317">
        <x:f>'CONSOLIDADO_TOTAL RECAUDO'!V105</x:f>
        <x:v>0</x:v>
      </x:c>
      <x:c r="W10" s="317">
        <x:f>'CONSOLIDADO_TOTAL RECAUDO'!W105</x:f>
        <x:v>0</x:v>
      </x:c>
      <x:c r="X10" s="317">
        <x:f>'CONSOLIDADO_TOTAL RECAUDO'!X105</x:f>
        <x:v>0</x:v>
      </x:c>
      <x:c r="Y10" s="318">
        <x:f>'CONSOLIDADO_TOTAL RECAUDO'!Y105</x:f>
        <x:v>0</x:v>
      </x:c>
      <x:c r="Z10" s="319">
        <x:f>'CONSOLIDADO_TOTAL RECAUDO'!Z105</x:f>
        <x:v>-266580256</x:v>
      </x:c>
      <x:c r="AA10" s="320">
        <x:f>'CONSOLIDADO_TOTAL RECAUDO'!AA105</x:f>
        <x:v>0</x:v>
      </x:c>
      <x:c r="AB10" s="294">
        <x:f>'CONSOLIDADO_TOTAL RECAUDO'!AB105</x:f>
        <x:v>0</x:v>
      </x:c>
      <x:c r="AC10" s="320">
        <x:f>'CONSOLIDADO_TOTAL RECAUDO'!AC105</x:f>
        <x:v>0</x:v>
      </x:c>
      <x:c r="AD10" s="291">
        <x:f>'CONSOLIDADO_TOTAL RECAUDO'!AD105</x:f>
        <x:v>0</x:v>
      </x:c>
      <x:c r="AE10" s="291">
        <x:f>'CONSOLIDADO_TOTAL RECAUDO'!AE105</x:f>
        <x:v>0</x:v>
      </x:c>
      <x:c r="AF10" s="322">
        <x:f>'CONSOLIDADO_TOTAL RECAUDO'!AF105</x:f>
        <x:v>-266580256</x:v>
      </x:c>
      <x:c r="AG10" s="522">
        <x:f>'CONSOLIDADO_TOTAL RECAUDO'!AG105</x:f>
        <x:v>0</x:v>
      </x:c>
      <x:c r="AH10" s="1" t="s">
        <x:v>1</x:v>
      </x:c>
      <x:c r="AI10" s="306"/>
      <x:c r="AM10" s="333"/>
    </x:row>
    <x:row r="11" spans="2:39" s="305" customFormat="1" x14ac:dyDescent="0.3">
      <x:c r="B11" s="314">
        <x:v>3</x:v>
      </x:c>
      <x:c r="C11" s="315" t="s">
        <x:v>12</x:v>
      </x:c>
      <x:c r="D11" s="291">
        <x:f>'CONSOLIDADO_TOTAL RECAUDO'!D106</x:f>
        <x:v>0</x:v>
      </x:c>
      <x:c r="E11" s="292">
        <x:f>'CONSOLIDADO_TOTAL RECAUDO'!E106</x:f>
        <x:v>0</x:v>
      </x:c>
      <x:c r="F11" s="292">
        <x:f>'CONSOLIDADO_TOTAL RECAUDO'!F106</x:f>
        <x:v>0</x:v>
      </x:c>
      <x:c r="G11" s="292">
        <x:f>'CONSOLIDADO_TOTAL RECAUDO'!G106</x:f>
        <x:v>0</x:v>
      </x:c>
      <x:c r="H11" s="292">
        <x:f>'CONSOLIDADO_TOTAL RECAUDO'!H106</x:f>
        <x:v>0</x:v>
      </x:c>
      <x:c r="I11" s="292">
        <x:f>'CONSOLIDADO_TOTAL RECAUDO'!I106</x:f>
        <x:v>0</x:v>
      </x:c>
      <x:c r="J11" s="288">
        <x:f>'CONSOLIDADO_TOTAL RECAUDO'!J106</x:f>
        <x:v>0</x:v>
      </x:c>
      <x:c r="K11" s="295">
        <x:f>'CONSOLIDADO_TOTAL RECAUDO'!K106</x:f>
        <x:v>0</x:v>
      </x:c>
      <x:c r="L11" s="294">
        <x:f>'CONSOLIDADO_TOTAL RECAUDO'!L106</x:f>
        <x:v>154788536</x:v>
      </x:c>
      <x:c r="M11" s="295">
        <x:f>'CONSOLIDADO_TOTAL RECAUDO'!M106</x:f>
        <x:v>-154788536</x:v>
      </x:c>
      <x:c r="N11" s="294">
        <x:f>'CONSOLIDADO_TOTAL RECAUDO'!N106</x:f>
        <x:v>0</x:v>
      </x:c>
      <x:c r="O11" s="295">
        <x:f>'CONSOLIDADO_TOTAL RECAUDO'!O106</x:f>
        <x:v>-154788536</x:v>
      </x:c>
      <x:c r="Q11" s="306"/>
      <x:c r="S11" s="314">
        <x:v>3</x:v>
      </x:c>
      <x:c r="T11" s="315" t="s">
        <x:v>12</x:v>
      </x:c>
      <x:c r="U11" s="316">
        <x:f>'CONSOLIDADO_TOTAL RECAUDO'!U106</x:f>
        <x:v>0</x:v>
      </x:c>
      <x:c r="V11" s="317">
        <x:f>'CONSOLIDADO_TOTAL RECAUDO'!V106</x:f>
        <x:v>0</x:v>
      </x:c>
      <x:c r="W11" s="317">
        <x:f>'CONSOLIDADO_TOTAL RECAUDO'!W106</x:f>
        <x:v>0</x:v>
      </x:c>
      <x:c r="X11" s="317">
        <x:f>'CONSOLIDADO_TOTAL RECAUDO'!X106</x:f>
        <x:v>0</x:v>
      </x:c>
      <x:c r="Y11" s="318">
        <x:f>'CONSOLIDADO_TOTAL RECAUDO'!Y106</x:f>
        <x:v>0</x:v>
      </x:c>
      <x:c r="Z11" s="319">
        <x:f>'CONSOLIDADO_TOTAL RECAUDO'!Z106</x:f>
        <x:v>-154788536</x:v>
      </x:c>
      <x:c r="AA11" s="320">
        <x:f>'CONSOLIDADO_TOTAL RECAUDO'!AA106</x:f>
        <x:v>0</x:v>
      </x:c>
      <x:c r="AB11" s="294">
        <x:f>'CONSOLIDADO_TOTAL RECAUDO'!AB106</x:f>
        <x:v>0</x:v>
      </x:c>
      <x:c r="AC11" s="320">
        <x:f>'CONSOLIDADO_TOTAL RECAUDO'!AC106</x:f>
        <x:v>0</x:v>
      </x:c>
      <x:c r="AD11" s="291">
        <x:f>'CONSOLIDADO_TOTAL RECAUDO'!AD106</x:f>
        <x:v>0</x:v>
      </x:c>
      <x:c r="AE11" s="291">
        <x:f>'CONSOLIDADO_TOTAL RECAUDO'!AE106</x:f>
        <x:v>0</x:v>
      </x:c>
      <x:c r="AF11" s="322">
        <x:f>'CONSOLIDADO_TOTAL RECAUDO'!AF106</x:f>
        <x:v>-154788536</x:v>
      </x:c>
      <x:c r="AG11" s="522">
        <x:f>'CONSOLIDADO_TOTAL RECAUDO'!AG106</x:f>
        <x:v>0</x:v>
      </x:c>
      <x:c r="AH11" s="1" t="s">
        <x:v>1</x:v>
      </x:c>
      <x:c r="AI11" s="306"/>
      <x:c r="AM11" s="333"/>
    </x:row>
    <x:row r="12" spans="2:39" s="305" customFormat="1" x14ac:dyDescent="0.3">
      <x:c r="B12" s="314">
        <x:v>4</x:v>
      </x:c>
      <x:c r="C12" s="315" t="s">
        <x:v>13</x:v>
      </x:c>
      <x:c r="D12" s="291">
        <x:f>'CONSOLIDADO_TOTAL RECAUDO'!D107</x:f>
        <x:v>0</x:v>
      </x:c>
      <x:c r="E12" s="292">
        <x:f>'CONSOLIDADO_TOTAL RECAUDO'!E107</x:f>
        <x:v>0</x:v>
      </x:c>
      <x:c r="F12" s="292">
        <x:f>'CONSOLIDADO_TOTAL RECAUDO'!F107</x:f>
        <x:v>0</x:v>
      </x:c>
      <x:c r="G12" s="292">
        <x:f>'CONSOLIDADO_TOTAL RECAUDO'!G107</x:f>
        <x:v>0</x:v>
      </x:c>
      <x:c r="H12" s="292">
        <x:f>'CONSOLIDADO_TOTAL RECAUDO'!H107</x:f>
        <x:v>0</x:v>
      </x:c>
      <x:c r="I12" s="292">
        <x:f>'CONSOLIDADO_TOTAL RECAUDO'!I107</x:f>
        <x:v>0</x:v>
      </x:c>
      <x:c r="J12" s="288">
        <x:f>'CONSOLIDADO_TOTAL RECAUDO'!J107</x:f>
        <x:v>0</x:v>
      </x:c>
      <x:c r="K12" s="295">
        <x:f>'CONSOLIDADO_TOTAL RECAUDO'!K107</x:f>
        <x:v>0</x:v>
      </x:c>
      <x:c r="L12" s="294">
        <x:f>'CONSOLIDADO_TOTAL RECAUDO'!L107</x:f>
        <x:v>120391083</x:v>
      </x:c>
      <x:c r="M12" s="295">
        <x:f>'CONSOLIDADO_TOTAL RECAUDO'!M107</x:f>
        <x:v>-120391083</x:v>
      </x:c>
      <x:c r="N12" s="294">
        <x:f>'CONSOLIDADO_TOTAL RECAUDO'!N107</x:f>
        <x:v>0</x:v>
      </x:c>
      <x:c r="O12" s="295">
        <x:f>'CONSOLIDADO_TOTAL RECAUDO'!O107</x:f>
        <x:v>-120391083</x:v>
      </x:c>
      <x:c r="Q12" s="306"/>
      <x:c r="S12" s="314">
        <x:v>4</x:v>
      </x:c>
      <x:c r="T12" s="315" t="s">
        <x:v>13</x:v>
      </x:c>
      <x:c r="U12" s="316">
        <x:f>'CONSOLIDADO_TOTAL RECAUDO'!U107</x:f>
        <x:v>0</x:v>
      </x:c>
      <x:c r="V12" s="317">
        <x:f>'CONSOLIDADO_TOTAL RECAUDO'!V107</x:f>
        <x:v>0</x:v>
      </x:c>
      <x:c r="W12" s="317">
        <x:f>'CONSOLIDADO_TOTAL RECAUDO'!W107</x:f>
        <x:v>0</x:v>
      </x:c>
      <x:c r="X12" s="317">
        <x:f>'CONSOLIDADO_TOTAL RECAUDO'!X107</x:f>
        <x:v>0</x:v>
      </x:c>
      <x:c r="Y12" s="318">
        <x:f>'CONSOLIDADO_TOTAL RECAUDO'!Y107</x:f>
        <x:v>0</x:v>
      </x:c>
      <x:c r="Z12" s="319">
        <x:f>'CONSOLIDADO_TOTAL RECAUDO'!Z107</x:f>
        <x:v>-120391083</x:v>
      </x:c>
      <x:c r="AA12" s="320">
        <x:f>'CONSOLIDADO_TOTAL RECAUDO'!AA107</x:f>
        <x:v>0</x:v>
      </x:c>
      <x:c r="AB12" s="294">
        <x:f>'CONSOLIDADO_TOTAL RECAUDO'!AB107</x:f>
        <x:v>0</x:v>
      </x:c>
      <x:c r="AC12" s="320">
        <x:f>'CONSOLIDADO_TOTAL RECAUDO'!AC107</x:f>
        <x:v>0</x:v>
      </x:c>
      <x:c r="AD12" s="291">
        <x:f>'CONSOLIDADO_TOTAL RECAUDO'!AD107</x:f>
        <x:v>0</x:v>
      </x:c>
      <x:c r="AE12" s="291">
        <x:f>'CONSOLIDADO_TOTAL RECAUDO'!AE107</x:f>
        <x:v>0</x:v>
      </x:c>
      <x:c r="AF12" s="322">
        <x:f>'CONSOLIDADO_TOTAL RECAUDO'!AF107</x:f>
        <x:v>-120391083</x:v>
      </x:c>
      <x:c r="AG12" s="522">
        <x:f>'CONSOLIDADO_TOTAL RECAUDO'!AG107</x:f>
        <x:v>0</x:v>
      </x:c>
      <x:c r="AH12" s="1" t="s">
        <x:v>1</x:v>
      </x:c>
      <x:c r="AI12" s="306"/>
      <x:c r="AM12" s="333"/>
    </x:row>
    <x:row r="13" spans="2:39" s="305" customFormat="1" ht="12" thickBot="1" x14ac:dyDescent="0.35">
      <x:c r="B13" s="324">
        <x:v>5</x:v>
      </x:c>
      <x:c r="C13" s="325" t="s">
        <x:v>14</x:v>
      </x:c>
      <x:c r="D13" s="296">
        <x:f>'CONSOLIDADO_TOTAL RECAUDO'!D108</x:f>
        <x:v>0</x:v>
      </x:c>
      <x:c r="E13" s="297">
        <x:f>'CONSOLIDADO_TOTAL RECAUDO'!E108</x:f>
        <x:v>0</x:v>
      </x:c>
      <x:c r="F13" s="297">
        <x:f>'CONSOLIDADO_TOTAL RECAUDO'!F108</x:f>
        <x:v>0</x:v>
      </x:c>
      <x:c r="G13" s="297">
        <x:f>'CONSOLIDADO_TOTAL RECAUDO'!G108</x:f>
        <x:v>0</x:v>
      </x:c>
      <x:c r="H13" s="297">
        <x:f>'CONSOLIDADO_TOTAL RECAUDO'!H108</x:f>
        <x:v>0</x:v>
      </x:c>
      <x:c r="I13" s="297">
        <x:f>'CONSOLIDADO_TOTAL RECAUDO'!I108</x:f>
        <x:v>0</x:v>
      </x:c>
      <x:c r="J13" s="289">
        <x:f>'CONSOLIDADO_TOTAL RECAUDO'!J108</x:f>
        <x:v>0</x:v>
      </x:c>
      <x:c r="K13" s="295">
        <x:f>'CONSOLIDADO_TOTAL RECAUDO'!K108</x:f>
        <x:v>0</x:v>
      </x:c>
      <x:c r="L13" s="294">
        <x:f>'CONSOLIDADO_TOTAL RECAUDO'!L108</x:f>
        <x:v>128990446</x:v>
      </x:c>
      <x:c r="M13" s="298">
        <x:f>'CONSOLIDADO_TOTAL RECAUDO'!M108</x:f>
        <x:v>-128990446</x:v>
      </x:c>
      <x:c r="N13" s="299">
        <x:f>'CONSOLIDADO_TOTAL RECAUDO'!N108</x:f>
        <x:v>0</x:v>
      </x:c>
      <x:c r="O13" s="298">
        <x:f>'CONSOLIDADO_TOTAL RECAUDO'!O108</x:f>
        <x:v>-128990446</x:v>
      </x:c>
      <x:c r="Q13" s="306"/>
      <x:c r="S13" s="324">
        <x:v>5</x:v>
      </x:c>
      <x:c r="T13" s="325" t="s">
        <x:v>14</x:v>
      </x:c>
      <x:c r="U13" s="296">
        <x:f>'CONSOLIDADO_TOTAL RECAUDO'!U108</x:f>
        <x:v>0</x:v>
      </x:c>
      <x:c r="V13" s="297">
        <x:f>'CONSOLIDADO_TOTAL RECAUDO'!V108</x:f>
        <x:v>0</x:v>
      </x:c>
      <x:c r="W13" s="297">
        <x:f>'CONSOLIDADO_TOTAL RECAUDO'!W108</x:f>
        <x:v>0</x:v>
      </x:c>
      <x:c r="X13" s="297">
        <x:f>'CONSOLIDADO_TOTAL RECAUDO'!X108</x:f>
        <x:v>0</x:v>
      </x:c>
      <x:c r="Y13" s="289">
        <x:f>'CONSOLIDADO_TOTAL RECAUDO'!Y108</x:f>
        <x:v>0</x:v>
      </x:c>
      <x:c r="Z13" s="319">
        <x:f>'CONSOLIDADO_TOTAL RECAUDO'!Z108</x:f>
        <x:v>-128990446</x:v>
      </x:c>
      <x:c r="AA13" s="320">
        <x:f>'CONSOLIDADO_TOTAL RECAUDO'!AA108</x:f>
        <x:v>0</x:v>
      </x:c>
      <x:c r="AB13" s="294">
        <x:f>'CONSOLIDADO_TOTAL RECAUDO'!AB108</x:f>
        <x:v>0</x:v>
      </x:c>
      <x:c r="AC13" s="320">
        <x:f>'CONSOLIDADO_TOTAL RECAUDO'!AC108</x:f>
        <x:v>0</x:v>
      </x:c>
      <x:c r="AD13" s="291">
        <x:f>'CONSOLIDADO_TOTAL RECAUDO'!AD108</x:f>
        <x:v>0</x:v>
      </x:c>
      <x:c r="AE13" s="291">
        <x:f>'CONSOLIDADO_TOTAL RECAUDO'!AE108</x:f>
        <x:v>0</x:v>
      </x:c>
      <x:c r="AF13" s="322">
        <x:f>'CONSOLIDADO_TOTAL RECAUDO'!AF108</x:f>
        <x:v>-128990446</x:v>
      </x:c>
      <x:c r="AG13" s="523">
        <x:f>'CONSOLIDADO_TOTAL RECAUDO'!AG108</x:f>
        <x:v>0</x:v>
      </x:c>
      <x:c r="AH13" s="1" t="s">
        <x:v>1</x:v>
      </x:c>
      <x:c r="AI13" s="306"/>
      <x:c r="AM13" s="333"/>
    </x:row>
    <x:row r="14" spans="2:39" s="305" customFormat="1" ht="12.9" thickBot="1" x14ac:dyDescent="0.35">
      <x:c r="B14" s="327"/>
      <x:c r="C14" s="328" t="s">
        <x:v>2</x:v>
      </x:c>
      <x:c r="D14" s="290">
        <x:f>'CONSOLIDADO_TOTAL RECAUDO'!D109</x:f>
        <x:v>0</x:v>
      </x:c>
      <x:c r="E14" s="290">
        <x:f>'CONSOLIDADO_TOTAL RECAUDO'!E109</x:f>
        <x:v>0</x:v>
      </x:c>
      <x:c r="F14" s="290">
        <x:f>'CONSOLIDADO_TOTAL RECAUDO'!F109</x:f>
        <x:v>0</x:v>
      </x:c>
      <x:c r="G14" s="290">
        <x:f>'CONSOLIDADO_TOTAL RECAUDO'!G109</x:f>
        <x:v>0</x:v>
      </x:c>
      <x:c r="H14" s="290">
        <x:f>'CONSOLIDADO_TOTAL RECAUDO'!H109</x:f>
        <x:v>0</x:v>
      </x:c>
      <x:c r="I14" s="290">
        <x:f>'CONSOLIDADO_TOTAL RECAUDO'!I109</x:f>
        <x:v>0</x:v>
      </x:c>
      <x:c r="J14" s="290">
        <x:f>'CONSOLIDADO_TOTAL RECAUDO'!J109</x:f>
        <x:v>0</x:v>
      </x:c>
      <x:c r="K14" s="300">
        <x:f>'CONSOLIDADO_TOTAL RECAUDO'!K109</x:f>
        <x:v>0</x:v>
      </x:c>
      <x:c r="L14" s="301">
        <x:f>'CONSOLIDADO_TOTAL RECAUDO'!L109</x:f>
        <x:v>859936309</x:v>
      </x:c>
      <x:c r="M14" s="302">
        <x:f>'CONSOLIDADO_TOTAL RECAUDO'!M109</x:f>
        <x:v>-859936309</x:v>
      </x:c>
      <x:c r="N14" s="301">
        <x:f>'CONSOLIDADO_TOTAL RECAUDO'!N109</x:f>
        <x:v>0</x:v>
      </x:c>
      <x:c r="O14" s="302">
        <x:f>'CONSOLIDADO_TOTAL RECAUDO'!O109</x:f>
        <x:v>-859936309</x:v>
      </x:c>
      <x:c r="P14" s="329"/>
      <x:c r="Q14" s="306"/>
      <x:c r="S14" s="327"/>
      <x:c r="T14" s="328" t="s">
        <x:v>2</x:v>
      </x:c>
      <x:c r="U14" s="330">
        <x:f>'CONSOLIDADO_TOTAL RECAUDO'!U109</x:f>
        <x:v>0</x:v>
      </x:c>
      <x:c r="V14" s="330">
        <x:f>'CONSOLIDADO_TOTAL RECAUDO'!V109</x:f>
        <x:v>0</x:v>
      </x:c>
      <x:c r="W14" s="330">
        <x:f>'CONSOLIDADO_TOTAL RECAUDO'!W109</x:f>
        <x:v>0</x:v>
      </x:c>
      <x:c r="X14" s="330">
        <x:f>'CONSOLIDADO_TOTAL RECAUDO'!X109</x:f>
        <x:v>0</x:v>
      </x:c>
      <x:c r="Y14" s="330">
        <x:f>'CONSOLIDADO_TOTAL RECAUDO'!Y109</x:f>
        <x:v>0</x:v>
      </x:c>
      <x:c r="Z14" s="290">
        <x:f>'CONSOLIDADO_TOTAL RECAUDO'!Z109</x:f>
        <x:v>-859936309</x:v>
      </x:c>
      <x:c r="AA14" s="290">
        <x:f>'CONSOLIDADO_TOTAL RECAUDO'!AA109</x:f>
        <x:v>0</x:v>
      </x:c>
      <x:c r="AB14" s="290">
        <x:f>'CONSOLIDADO_TOTAL RECAUDO'!AB109</x:f>
        <x:v>0</x:v>
      </x:c>
      <x:c r="AC14" s="290">
        <x:f>'CONSOLIDADO_TOTAL RECAUDO'!AC109</x:f>
        <x:v>0</x:v>
      </x:c>
      <x:c r="AD14" s="290">
        <x:f>'CONSOLIDADO_TOTAL RECAUDO'!AD109</x:f>
        <x:v>0</x:v>
      </x:c>
      <x:c r="AE14" s="290">
        <x:f>'CONSOLIDADO_TOTAL RECAUDO'!AE109</x:f>
        <x:v>0</x:v>
      </x:c>
      <x:c r="AF14" s="331">
        <x:f>'CONSOLIDADO_TOTAL RECAUDO'!AF109</x:f>
        <x:v>-859936309</x:v>
      </x:c>
      <x:c r="AG14" s="524">
        <x:f>'CONSOLIDADO_TOTAL RECAUDO'!AG109</x:f>
        <x:v>0</x:v>
      </x:c>
      <x:c r="AH14" s="1" t="s">
        <x:v>1</x:v>
      </x:c>
      <x:c r="AI14" s="306"/>
      <x:c r="AM14" s="333"/>
    </x:row>
    <x:row r="15" spans="2:39" x14ac:dyDescent="0.3">
      <x:c r="B15" s="2"/>
      <x:c r="C15" s="2"/>
      <x:c r="D15" s="448"/>
      <x:c r="E15" s="448"/>
      <x:c r="F15" s="448"/>
      <x:c r="G15" s="448"/>
      <x:c r="H15" s="448"/>
      <x:c r="I15" s="448"/>
      <x:c r="K15" s="448"/>
      <x:c r="L15" s="448"/>
      <x:c r="M15" s="448"/>
      <x:c r="N15" s="448"/>
      <x:c r="O15" s="448"/>
      <x:c r="Q15" s="4"/>
      <x:c r="S15" s="2"/>
      <x:c r="T15" s="2"/>
      <x:c r="U15" s="448"/>
      <x:c r="V15" s="448"/>
      <x:c r="W15" s="448"/>
      <x:c r="X15" s="448"/>
      <x:c r="Y15" s="448"/>
      <x:c r="AF15" s="448"/>
      <x:c r="AH15" s="1" t="s">
        <x:v>1</x:v>
      </x:c>
      <x:c r="AI15" s="4"/>
    </x:row>
    <x:row r="16" spans="2:39" x14ac:dyDescent="0.3">
      <x:c r="B16" s="2"/>
      <x:c r="C16" s="2" t="s">
        <x:v>1</x:v>
      </x:c>
      <x:c r="D16" s="549"/>
      <x:c r="E16" s="549"/>
      <x:c r="F16" s="549"/>
      <x:c r="G16" s="549"/>
      <x:c r="H16" s="549"/>
      <x:c r="I16" s="549"/>
      <x:c r="K16" s="549"/>
      <x:c r="L16" s="549"/>
      <x:c r="M16" s="549"/>
      <x:c r="N16" s="549"/>
      <x:c r="O16" s="549"/>
      <x:c r="Q16" s="4"/>
      <x:c r="T16" s="1" t="s">
        <x:v>1</x:v>
      </x:c>
      <x:c r="U16" s="1" t="s">
        <x:v>1</x:v>
      </x:c>
      <x:c r="V16" s="1" t="s">
        <x:v>1</x:v>
      </x:c>
      <x:c r="W16" s="1" t="s">
        <x:v>1</x:v>
      </x:c>
      <x:c r="X16" s="1" t="s">
        <x:v>1</x:v>
      </x:c>
      <x:c r="Y16" s="1" t="s">
        <x:v>1</x:v>
      </x:c>
      <x:c r="Z16" s="1" t="s">
        <x:v>1</x:v>
      </x:c>
      <x:c r="AA16" s="1" t="s">
        <x:v>1</x:v>
      </x:c>
      <x:c r="AB16" s="1" t="s">
        <x:v>1</x:v>
      </x:c>
      <x:c r="AC16" s="1" t="s">
        <x:v>1</x:v>
      </x:c>
      <x:c r="AD16" s="1" t="s">
        <x:v>1</x:v>
      </x:c>
      <x:c r="AE16" s="1" t="s">
        <x:v>1</x:v>
      </x:c>
      <x:c r="AF16" s="1" t="s">
        <x:v>1</x:v>
      </x:c>
      <x:c r="AG16" s="1" t="s">
        <x:v>1</x:v>
      </x:c>
      <x:c r="AH16" s="1" t="s">
        <x:v>1</x:v>
      </x:c>
      <x:c r="AI16" s="4"/>
    </x:row>
    <x:row r="17" spans="1:39" x14ac:dyDescent="0.3">
      <x:c r="A17" s="4"/>
      <x:c r="B17" s="34"/>
      <x:c r="C17" s="34"/>
      <x:c r="D17" s="474"/>
      <x:c r="E17" s="474"/>
      <x:c r="F17" s="474"/>
      <x:c r="G17" s="474"/>
      <x:c r="H17" s="474"/>
      <x:c r="I17" s="474"/>
      <x:c r="J17" s="4"/>
      <x:c r="K17" s="474"/>
      <x:c r="L17" s="474"/>
      <x:c r="M17" s="474"/>
      <x:c r="N17" s="474"/>
      <x:c r="O17" s="47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</x:row>
    <x:row r="18" spans="1:39" ht="12" thickBot="1" x14ac:dyDescent="0.35">
      <x:c r="Q18" s="4"/>
      <x:c r="AI18" s="4"/>
    </x:row>
    <x:row r="19" spans="1:39" x14ac:dyDescent="0.3">
      <x:c r="B19" s="5"/>
      <x:c r="C19" s="3" t="s">
        <x:v>1</x:v>
      </x:c>
      <x:c r="D19" s="6" t="s">
        <x:v>1</x:v>
      </x:c>
      <x:c r="E19" s="3"/>
      <x:c r="F19" s="3"/>
      <x:c r="G19" s="3"/>
      <x:c r="H19" s="3" t="s">
        <x:v>1</x:v>
      </x:c>
      <x:c r="I19" s="3"/>
      <x:c r="J19" s="3"/>
      <x:c r="K19" s="3"/>
      <x:c r="L19" s="3"/>
      <x:c r="M19" s="3"/>
      <x:c r="N19" s="3"/>
      <x:c r="O19" s="7"/>
      <x:c r="P19" s="2"/>
      <x:c r="Q19" s="4"/>
      <x:c r="S19" s="5"/>
      <x:c r="T19" s="3" t="s">
        <x:v>1</x:v>
      </x:c>
      <x:c r="U19" s="6" t="s">
        <x:v>1</x:v>
      </x:c>
      <x:c r="V19" s="3"/>
      <x:c r="W19" s="3"/>
      <x:c r="X19" s="3" t="s">
        <x:v>1</x:v>
      </x:c>
      <x:c r="Y19" s="3"/>
      <x:c r="Z19" s="3"/>
      <x:c r="AA19" s="3"/>
      <x:c r="AB19" s="3"/>
      <x:c r="AC19" s="3"/>
      <x:c r="AD19" s="3"/>
      <x:c r="AE19" s="3"/>
      <x:c r="AF19" s="7"/>
      <x:c r="AG19" s="2"/>
      <x:c r="AI19" s="4"/>
    </x:row>
    <x:row r="20" spans="1:39" ht="14.15" x14ac:dyDescent="0.35">
      <x:c r="B20" s="8"/>
      <x:c r="F20" s="26" t="s">
        <x:v>8</x:v>
      </x:c>
      <x:c r="G20" s="26"/>
      <x:c r="I20" s="26" t="s">
        <x:v>16</x:v>
      </x:c>
      <x:c r="J20" s="25"/>
      <x:c r="M20" s="2"/>
      <x:c r="N20" s="50"/>
      <x:c r="O20" s="10"/>
      <x:c r="P20" s="2"/>
      <x:c r="Q20" s="4"/>
      <x:c r="S20" s="8"/>
      <x:c r="U20" s="26" t="s">
        <x:v>8</x:v>
      </x:c>
      <x:c r="W20" s="26" t="s">
        <x:v>16</x:v>
      </x:c>
      <x:c r="X20" s="25"/>
      <x:c r="Y20" s="2"/>
      <x:c r="AA20" s="2"/>
      <x:c r="AD20" s="50"/>
      <x:c r="AE20" s="84"/>
      <x:c r="AF20" s="48"/>
      <x:c r="AG20" s="2"/>
      <x:c r="AI20" s="4"/>
    </x:row>
    <x:row r="21" spans="1:39" ht="15.45" x14ac:dyDescent="0.4">
      <x:c r="B21" s="8"/>
      <x:c r="F21" s="36" t="s">
        <x:v>29</x:v>
      </x:c>
      <x:c r="G21" s="36"/>
      <x:c r="O21" s="10"/>
      <x:c r="P21" s="2"/>
      <x:c r="Q21" s="4"/>
      <x:c r="S21" s="8"/>
      <x:c r="T21" s="26" t="s">
        <x:v>1</x:v>
      </x:c>
      <x:c r="U21" s="36" t="s">
        <x:v>29</x:v>
      </x:c>
      <x:c r="Y21" s="2" t="s">
        <x:v>1</x:v>
      </x:c>
      <x:c r="AA21" s="50"/>
      <x:c r="AB21" s="2"/>
      <x:c r="AC21" s="2"/>
      <x:c r="AD21" s="2"/>
      <x:c r="AE21" s="2"/>
      <x:c r="AF21" s="10" t="s">
        <x:v>1</x:v>
      </x:c>
      <x:c r="AG21" s="2"/>
      <x:c r="AI21" s="4"/>
    </x:row>
    <x:row r="22" spans="1:39" ht="14.15" x14ac:dyDescent="0.35">
      <x:c r="B22" s="8"/>
      <x:c r="F22" s="2" t="s">
        <x:v>30</x:v>
      </x:c>
      <x:c r="G22" s="2"/>
      <x:c r="M22" s="2" t="s">
        <x:v>1</x:v>
      </x:c>
      <x:c r="O22" s="10"/>
      <x:c r="P22" s="2"/>
      <x:c r="Q22" s="4"/>
      <x:c r="S22" s="8"/>
      <x:c r="T22" s="49" t="s">
        <x:v>1</x:v>
      </x:c>
      <x:c r="U22" s="2" t="s">
        <x:v>30</x:v>
      </x:c>
      <x:c r="AF22" s="44"/>
      <x:c r="AG22" s="2"/>
      <x:c r="AI22" s="4"/>
    </x:row>
    <x:row r="23" spans="1:39" ht="15.45" x14ac:dyDescent="0.4">
      <x:c r="B23" s="8"/>
      <x:c r="C23" s="2"/>
      <x:c r="D23" s="9"/>
      <x:c r="F23" s="475" t="s">
        <x:v>187</x:v>
      </x:c>
      <x:c r="G23" s="475"/>
      <x:c r="H23" s="34"/>
      <x:c r="I23" s="4"/>
      <x:c r="J23" s="34"/>
      <x:c r="O23" s="10"/>
      <x:c r="P23" s="2"/>
      <x:c r="Q23" s="4"/>
      <x:c r="S23" s="8"/>
      <x:c r="T23" s="41" t="s">
        <x:v>1</x:v>
      </x:c>
      <x:c r="U23" s="41" t="s">
        <x:v>35</x:v>
      </x:c>
      <x:c r="V23" s="2"/>
      <x:c r="X23" s="2"/>
      <x:c r="Y23" s="2"/>
      <x:c r="AF23" s="48"/>
      <x:c r="AG23" s="2"/>
      <x:c r="AI23" s="4"/>
    </x:row>
    <x:row r="24" spans="1:39" ht="12" thickBot="1" x14ac:dyDescent="0.35">
      <x:c r="B24" s="8"/>
      <x:c r="C24" s="2"/>
      <x:c r="D24" s="241"/>
      <x:c r="F24" s="2"/>
      <x:c r="G24" s="9"/>
      <x:c r="H24" s="9"/>
      <x:c r="J24" s="2"/>
      <x:c r="K24" s="9"/>
      <x:c r="O24" s="10"/>
      <x:c r="P24" s="2"/>
      <x:c r="Q24" s="4"/>
      <x:c r="S24" s="8"/>
      <x:c r="V24" s="9"/>
      <x:c r="Y24" s="9"/>
      <x:c r="AF24" s="48"/>
      <x:c r="AG24" s="2"/>
      <x:c r="AI24" s="4"/>
      <x:c r="AJ24" s="1" t="s">
        <x:v>1</x:v>
      </x:c>
    </x:row>
    <x:row r="25" spans="1:39" ht="69.900000000000006" thickBot="1" x14ac:dyDescent="0.35">
      <x:c r="B25" s="11" t="s">
        <x:v>3</x:v>
      </x:c>
      <x:c r="C25" s="27" t="s">
        <x:v>9</x:v>
      </x:c>
      <x:c r="D25" s="11" t="s">
        <x:v>4</x:v>
      </x:c>
      <x:c r="E25" s="12" t="s">
        <x:v>5</x:v>
      </x:c>
      <x:c r="F25" s="12" t="s">
        <x:v>6</x:v>
      </x:c>
      <x:c r="G25" s="27" t="s">
        <x:v>159</x:v>
      </x:c>
      <x:c r="H25" s="12" t="s">
        <x:v>18</x:v>
      </x:c>
      <x:c r="I25" s="12" t="s">
        <x:v>24</x:v>
      </x:c>
      <x:c r="J25" s="73" t="s">
        <x:v>19</x:v>
      </x:c>
      <x:c r="K25" s="29" t="s">
        <x:v>20</x:v>
      </x:c>
      <x:c r="L25" s="28" t="s">
        <x:v>21</x:v>
      </x:c>
      <x:c r="M25" s="39" t="s">
        <x:v>22</x:v>
      </x:c>
      <x:c r="N25" s="12" t="s">
        <x:v>7</x:v>
      </x:c>
      <x:c r="O25" s="39" t="s">
        <x:v>23</x:v>
      </x:c>
      <x:c r="P25" s="13"/>
      <x:c r="Q25" s="4"/>
      <x:c r="S25" s="11" t="s">
        <x:v>3</x:v>
      </x:c>
      <x:c r="T25" s="27" t="s">
        <x:v>9</x:v>
      </x:c>
      <x:c r="U25" s="80" t="s">
        <x:v>39</x:v>
      </x:c>
      <x:c r="V25" s="51" t="s">
        <x:v>40</x:v>
      </x:c>
      <x:c r="W25" s="51" t="s">
        <x:v>41</x:v>
      </x:c>
      <x:c r="X25" s="51" t="s">
        <x:v>42</x:v>
      </x:c>
      <x:c r="Y25" s="81" t="s">
        <x:v>43</x:v>
      </x:c>
      <x:c r="Z25" s="85" t="s">
        <x:v>21</x:v>
      </x:c>
      <x:c r="AA25" s="65" t="s">
        <x:v>46</x:v>
      </x:c>
      <x:c r="AB25" s="65" t="s">
        <x:v>7</x:v>
      </x:c>
      <x:c r="AC25" s="85" t="s">
        <x:v>168</x:v>
      </x:c>
      <x:c r="AD25" s="121" t="s">
        <x:v>105</x:v>
      </x:c>
      <x:c r="AE25" s="121" t="s">
        <x:v>104</x:v>
      </x:c>
      <x:c r="AF25" s="39" t="s">
        <x:v>23</x:v>
      </x:c>
      <x:c r="AG25" s="13"/>
      <x:c r="AI25" s="4"/>
    </x:row>
    <x:row r="26" spans="1:39" s="305" customFormat="1" x14ac:dyDescent="0.3">
      <x:c r="B26" s="303">
        <x:v>1</x:v>
      </x:c>
      <x:c r="C26" s="304" t="s">
        <x:v>10</x:v>
      </x:c>
      <x:c r="D26" s="291">
        <x:f>'REMUNERACION Reciprocidad EAAB'!D104</x:f>
        <x:v>0</x:v>
      </x:c>
      <x:c r="E26" s="292">
        <x:f>'REMUNERACION Reciprocidad EAAB'!E104</x:f>
        <x:v>0</x:v>
      </x:c>
      <x:c r="F26" s="292">
        <x:f>'REMUNERACION Reciprocidad EAAB'!F104</x:f>
        <x:v>0</x:v>
      </x:c>
      <x:c r="G26" s="292">
        <x:f>'REMUNERACION Reciprocidad EAAB'!G104</x:f>
        <x:v>0</x:v>
      </x:c>
      <x:c r="H26" s="292">
        <x:f>'REMUNERACION Reciprocidad EAAB'!H104</x:f>
        <x:v>0</x:v>
      </x:c>
      <x:c r="I26" s="292">
        <x:f>'REMUNERACION Reciprocidad EAAB'!I104</x:f>
        <x:v>0</x:v>
      </x:c>
      <x:c r="J26" s="288">
        <x:f>'REMUNERACION Reciprocidad EAAB'!J104</x:f>
        <x:v>0</x:v>
      </x:c>
      <x:c r="K26" s="293">
        <x:f>'REMUNERACION Reciprocidad EAAB'!K104</x:f>
        <x:v>0</x:v>
      </x:c>
      <x:c r="L26" s="294">
        <x:f>'REMUNERACION Reciprocidad EAAB'!L104</x:f>
        <x:v>0</x:v>
      </x:c>
      <x:c r="M26" s="293">
        <x:f>'REMUNERACION Reciprocidad EAAB'!M104</x:f>
        <x:v>0</x:v>
      </x:c>
      <x:c r="N26" s="294">
        <x:f>'REMUNERACION Reciprocidad EAAB'!N104</x:f>
        <x:v>0</x:v>
      </x:c>
      <x:c r="O26" s="293">
        <x:f>'REMUNERACION Reciprocidad EAAB'!O104</x:f>
        <x:v>0</x:v>
      </x:c>
      <x:c r="Q26" s="306"/>
      <x:c r="S26" s="303">
        <x:v>1</x:v>
      </x:c>
      <x:c r="T26" s="304" t="s">
        <x:v>10</x:v>
      </x:c>
      <x:c r="U26" s="307">
        <x:f>'REMUNERACION Reciprocidad EAAB'!U104</x:f>
        <x:v>0</x:v>
      </x:c>
      <x:c r="V26" s="308">
        <x:f>'REMUNERACION Reciprocidad EAAB'!V104</x:f>
        <x:v>0</x:v>
      </x:c>
      <x:c r="W26" s="308">
        <x:f>'REMUNERACION Reciprocidad EAAB'!W104</x:f>
        <x:v>0</x:v>
      </x:c>
      <x:c r="X26" s="308">
        <x:f>'REMUNERACION Reciprocidad EAAB'!X104</x:f>
        <x:v>0</x:v>
      </x:c>
      <x:c r="Y26" s="309">
        <x:f>'REMUNERACION Reciprocidad EAAB'!Y104</x:f>
        <x:v>0</x:v>
      </x:c>
      <x:c r="Z26" s="310">
        <x:f>'REMUNERACION Reciprocidad EAAB'!Z104</x:f>
        <x:v>0</x:v>
      </x:c>
      <x:c r="AA26" s="311">
        <x:f>'REMUNERACION Reciprocidad EAAB'!AA104</x:f>
        <x:v>0</x:v>
      </x:c>
      <x:c r="AB26" s="294">
        <x:f>'REMUNERACION Reciprocidad EAAB'!AB104</x:f>
        <x:v>0</x:v>
      </x:c>
      <x:c r="AC26" s="311">
        <x:f>'REMUNERACION Reciprocidad EAAB'!AC104</x:f>
        <x:v>0</x:v>
      </x:c>
      <x:c r="AD26" s="291">
        <x:f>'REMUNERACION Reciprocidad EAAB'!AD104</x:f>
        <x:v>0</x:v>
      </x:c>
      <x:c r="AE26" s="291">
        <x:f>'REMUNERACION Reciprocidad EAAB'!AE104</x:f>
        <x:v>0</x:v>
      </x:c>
      <x:c r="AF26" s="313">
        <x:f>'REMUNERACION Reciprocidad EAAB'!AF104</x:f>
        <x:v>0</x:v>
      </x:c>
      <x:c r="AG26" s="521">
        <x:f>'REMUNERACION Reciprocidad EAAB'!AG104</x:f>
        <x:v>0</x:v>
      </x:c>
      <x:c r="AH26" s="1"/>
      <x:c r="AI26" s="306"/>
      <x:c r="AM26" s="333"/>
    </x:row>
    <x:row r="27" spans="1:39" s="305" customFormat="1" x14ac:dyDescent="0.3">
      <x:c r="B27" s="314">
        <x:v>2</x:v>
      </x:c>
      <x:c r="C27" s="315" t="s">
        <x:v>11</x:v>
      </x:c>
      <x:c r="D27" s="291">
        <x:f>'REMUNERACION Reciprocidad EAAB'!D105</x:f>
        <x:v>0</x:v>
      </x:c>
      <x:c r="E27" s="292">
        <x:f>'REMUNERACION Reciprocidad EAAB'!E105</x:f>
        <x:v>0</x:v>
      </x:c>
      <x:c r="F27" s="292">
        <x:f>'REMUNERACION Reciprocidad EAAB'!F105</x:f>
        <x:v>0</x:v>
      </x:c>
      <x:c r="G27" s="292">
        <x:f>'REMUNERACION Reciprocidad EAAB'!G105</x:f>
        <x:v>0</x:v>
      </x:c>
      <x:c r="H27" s="292">
        <x:f>'REMUNERACION Reciprocidad EAAB'!H105</x:f>
        <x:v>0</x:v>
      </x:c>
      <x:c r="I27" s="292">
        <x:f>'REMUNERACION Reciprocidad EAAB'!I105</x:f>
        <x:v>0</x:v>
      </x:c>
      <x:c r="J27" s="288">
        <x:f>'REMUNERACION Reciprocidad EAAB'!J105</x:f>
        <x:v>0</x:v>
      </x:c>
      <x:c r="K27" s="295">
        <x:f>'REMUNERACION Reciprocidad EAAB'!K105</x:f>
        <x:v>0</x:v>
      </x:c>
      <x:c r="L27" s="294">
        <x:f>'REMUNERACION Reciprocidad EAAB'!L105</x:f>
        <x:v>0</x:v>
      </x:c>
      <x:c r="M27" s="295">
        <x:f>'REMUNERACION Reciprocidad EAAB'!M105</x:f>
        <x:v>0</x:v>
      </x:c>
      <x:c r="N27" s="294">
        <x:f>'REMUNERACION Reciprocidad EAAB'!N105</x:f>
        <x:v>0</x:v>
      </x:c>
      <x:c r="O27" s="295">
        <x:f>'REMUNERACION Reciprocidad EAAB'!O105</x:f>
        <x:v>0</x:v>
      </x:c>
      <x:c r="Q27" s="306"/>
      <x:c r="S27" s="314">
        <x:v>2</x:v>
      </x:c>
      <x:c r="T27" s="315" t="s">
        <x:v>11</x:v>
      </x:c>
      <x:c r="U27" s="316">
        <x:f>'REMUNERACION Reciprocidad EAAB'!U105</x:f>
        <x:v>0</x:v>
      </x:c>
      <x:c r="V27" s="317">
        <x:f>'REMUNERACION Reciprocidad EAAB'!V105</x:f>
        <x:v>0</x:v>
      </x:c>
      <x:c r="W27" s="317">
        <x:f>'REMUNERACION Reciprocidad EAAB'!W105</x:f>
        <x:v>0</x:v>
      </x:c>
      <x:c r="X27" s="317">
        <x:f>'REMUNERACION Reciprocidad EAAB'!X105</x:f>
        <x:v>0</x:v>
      </x:c>
      <x:c r="Y27" s="318">
        <x:f>'REMUNERACION Reciprocidad EAAB'!Y105</x:f>
        <x:v>0</x:v>
      </x:c>
      <x:c r="Z27" s="319">
        <x:f>'REMUNERACION Reciprocidad EAAB'!Z105</x:f>
        <x:v>0</x:v>
      </x:c>
      <x:c r="AA27" s="320">
        <x:f>'REMUNERACION Reciprocidad EAAB'!AA105</x:f>
        <x:v>0</x:v>
      </x:c>
      <x:c r="AB27" s="294">
        <x:f>'REMUNERACION Reciprocidad EAAB'!AB105</x:f>
        <x:v>0</x:v>
      </x:c>
      <x:c r="AC27" s="320">
        <x:f>'REMUNERACION Reciprocidad EAAB'!AC105</x:f>
        <x:v>0</x:v>
      </x:c>
      <x:c r="AD27" s="291">
        <x:f>'REMUNERACION Reciprocidad EAAB'!AD105</x:f>
        <x:v>0</x:v>
      </x:c>
      <x:c r="AE27" s="291">
        <x:f>'REMUNERACION Reciprocidad EAAB'!AE105</x:f>
        <x:v>0</x:v>
      </x:c>
      <x:c r="AF27" s="322">
        <x:f>'REMUNERACION Reciprocidad EAAB'!AF105</x:f>
        <x:v>0</x:v>
      </x:c>
      <x:c r="AG27" s="522">
        <x:f>'REMUNERACION Reciprocidad EAAB'!AG105</x:f>
        <x:v>0</x:v>
      </x:c>
      <x:c r="AH27" s="1"/>
      <x:c r="AI27" s="306"/>
      <x:c r="AM27" s="333"/>
    </x:row>
    <x:row r="28" spans="1:39" s="305" customFormat="1" x14ac:dyDescent="0.3">
      <x:c r="B28" s="314">
        <x:v>3</x:v>
      </x:c>
      <x:c r="C28" s="315" t="s">
        <x:v>12</x:v>
      </x:c>
      <x:c r="D28" s="291">
        <x:f>'REMUNERACION Reciprocidad EAAB'!D106</x:f>
        <x:v>0</x:v>
      </x:c>
      <x:c r="E28" s="292">
        <x:f>'REMUNERACION Reciprocidad EAAB'!E106</x:f>
        <x:v>0</x:v>
      </x:c>
      <x:c r="F28" s="292">
        <x:f>'REMUNERACION Reciprocidad EAAB'!F106</x:f>
        <x:v>0</x:v>
      </x:c>
      <x:c r="G28" s="292">
        <x:f>'REMUNERACION Reciprocidad EAAB'!G106</x:f>
        <x:v>0</x:v>
      </x:c>
      <x:c r="H28" s="292">
        <x:f>'REMUNERACION Reciprocidad EAAB'!H106</x:f>
        <x:v>0</x:v>
      </x:c>
      <x:c r="I28" s="292">
        <x:f>'REMUNERACION Reciprocidad EAAB'!I106</x:f>
        <x:v>0</x:v>
      </x:c>
      <x:c r="J28" s="288">
        <x:f>'REMUNERACION Reciprocidad EAAB'!J106</x:f>
        <x:v>0</x:v>
      </x:c>
      <x:c r="K28" s="295">
        <x:f>'REMUNERACION Reciprocidad EAAB'!K106</x:f>
        <x:v>0</x:v>
      </x:c>
      <x:c r="L28" s="294">
        <x:f>'REMUNERACION Reciprocidad EAAB'!L106</x:f>
        <x:v>0</x:v>
      </x:c>
      <x:c r="M28" s="295">
        <x:f>'REMUNERACION Reciprocidad EAAB'!M106</x:f>
        <x:v>0</x:v>
      </x:c>
      <x:c r="N28" s="294">
        <x:f>'REMUNERACION Reciprocidad EAAB'!N106</x:f>
        <x:v>0</x:v>
      </x:c>
      <x:c r="O28" s="295">
        <x:f>'REMUNERACION Reciprocidad EAAB'!O106</x:f>
        <x:v>0</x:v>
      </x:c>
      <x:c r="Q28" s="306"/>
      <x:c r="S28" s="314">
        <x:v>3</x:v>
      </x:c>
      <x:c r="T28" s="315" t="s">
        <x:v>12</x:v>
      </x:c>
      <x:c r="U28" s="316">
        <x:f>'REMUNERACION Reciprocidad EAAB'!U106</x:f>
        <x:v>0</x:v>
      </x:c>
      <x:c r="V28" s="317">
        <x:f>'REMUNERACION Reciprocidad EAAB'!V106</x:f>
        <x:v>0</x:v>
      </x:c>
      <x:c r="W28" s="317">
        <x:f>'REMUNERACION Reciprocidad EAAB'!W106</x:f>
        <x:v>0</x:v>
      </x:c>
      <x:c r="X28" s="317">
        <x:f>'REMUNERACION Reciprocidad EAAB'!X106</x:f>
        <x:v>0</x:v>
      </x:c>
      <x:c r="Y28" s="318">
        <x:f>'REMUNERACION Reciprocidad EAAB'!Y106</x:f>
        <x:v>0</x:v>
      </x:c>
      <x:c r="Z28" s="319">
        <x:f>'REMUNERACION Reciprocidad EAAB'!Z106</x:f>
        <x:v>0</x:v>
      </x:c>
      <x:c r="AA28" s="320">
        <x:f>'REMUNERACION Reciprocidad EAAB'!AA106</x:f>
        <x:v>0</x:v>
      </x:c>
      <x:c r="AB28" s="294">
        <x:f>'REMUNERACION Reciprocidad EAAB'!AB106</x:f>
        <x:v>0</x:v>
      </x:c>
      <x:c r="AC28" s="320">
        <x:f>'REMUNERACION Reciprocidad EAAB'!AC106</x:f>
        <x:v>0</x:v>
      </x:c>
      <x:c r="AD28" s="291">
        <x:f>'REMUNERACION Reciprocidad EAAB'!AD106</x:f>
        <x:v>0</x:v>
      </x:c>
      <x:c r="AE28" s="291">
        <x:f>'REMUNERACION Reciprocidad EAAB'!AE106</x:f>
        <x:v>0</x:v>
      </x:c>
      <x:c r="AF28" s="322">
        <x:f>'REMUNERACION Reciprocidad EAAB'!AF106</x:f>
        <x:v>0</x:v>
      </x:c>
      <x:c r="AG28" s="522">
        <x:f>'REMUNERACION Reciprocidad EAAB'!AG106</x:f>
        <x:v>0</x:v>
      </x:c>
      <x:c r="AH28" s="1"/>
      <x:c r="AI28" s="306"/>
      <x:c r="AM28" s="333"/>
    </x:row>
    <x:row r="29" spans="1:39" s="305" customFormat="1" x14ac:dyDescent="0.3">
      <x:c r="B29" s="314">
        <x:v>4</x:v>
      </x:c>
      <x:c r="C29" s="315" t="s">
        <x:v>13</x:v>
      </x:c>
      <x:c r="D29" s="291">
        <x:f>'REMUNERACION Reciprocidad EAAB'!D107</x:f>
        <x:v>0</x:v>
      </x:c>
      <x:c r="E29" s="292">
        <x:f>'REMUNERACION Reciprocidad EAAB'!E107</x:f>
        <x:v>0</x:v>
      </x:c>
      <x:c r="F29" s="292">
        <x:f>'REMUNERACION Reciprocidad EAAB'!F107</x:f>
        <x:v>0</x:v>
      </x:c>
      <x:c r="G29" s="292">
        <x:f>'REMUNERACION Reciprocidad EAAB'!G107</x:f>
        <x:v>0</x:v>
      </x:c>
      <x:c r="H29" s="292">
        <x:f>'REMUNERACION Reciprocidad EAAB'!H107</x:f>
        <x:v>0</x:v>
      </x:c>
      <x:c r="I29" s="292">
        <x:f>'REMUNERACION Reciprocidad EAAB'!I107</x:f>
        <x:v>0</x:v>
      </x:c>
      <x:c r="J29" s="288">
        <x:f>'REMUNERACION Reciprocidad EAAB'!J107</x:f>
        <x:v>0</x:v>
      </x:c>
      <x:c r="K29" s="295">
        <x:f>'REMUNERACION Reciprocidad EAAB'!K107</x:f>
        <x:v>0</x:v>
      </x:c>
      <x:c r="L29" s="294">
        <x:f>'REMUNERACION Reciprocidad EAAB'!L107</x:f>
        <x:v>0</x:v>
      </x:c>
      <x:c r="M29" s="295">
        <x:f>'REMUNERACION Reciprocidad EAAB'!M107</x:f>
        <x:v>0</x:v>
      </x:c>
      <x:c r="N29" s="294">
        <x:f>'REMUNERACION Reciprocidad EAAB'!N107</x:f>
        <x:v>0</x:v>
      </x:c>
      <x:c r="O29" s="295">
        <x:f>'REMUNERACION Reciprocidad EAAB'!O107</x:f>
        <x:v>0</x:v>
      </x:c>
      <x:c r="Q29" s="306"/>
      <x:c r="S29" s="314">
        <x:v>4</x:v>
      </x:c>
      <x:c r="T29" s="315" t="s">
        <x:v>13</x:v>
      </x:c>
      <x:c r="U29" s="316">
        <x:f>'REMUNERACION Reciprocidad EAAB'!U107</x:f>
        <x:v>0</x:v>
      </x:c>
      <x:c r="V29" s="317">
        <x:f>'REMUNERACION Reciprocidad EAAB'!V107</x:f>
        <x:v>0</x:v>
      </x:c>
      <x:c r="W29" s="317">
        <x:f>'REMUNERACION Reciprocidad EAAB'!W107</x:f>
        <x:v>0</x:v>
      </x:c>
      <x:c r="X29" s="317">
        <x:f>'REMUNERACION Reciprocidad EAAB'!X107</x:f>
        <x:v>0</x:v>
      </x:c>
      <x:c r="Y29" s="318">
        <x:f>'REMUNERACION Reciprocidad EAAB'!Y107</x:f>
        <x:v>0</x:v>
      </x:c>
      <x:c r="Z29" s="319">
        <x:f>'REMUNERACION Reciprocidad EAAB'!Z107</x:f>
        <x:v>0</x:v>
      </x:c>
      <x:c r="AA29" s="320">
        <x:f>'REMUNERACION Reciprocidad EAAB'!AA107</x:f>
        <x:v>0</x:v>
      </x:c>
      <x:c r="AB29" s="294">
        <x:f>'REMUNERACION Reciprocidad EAAB'!AB107</x:f>
        <x:v>0</x:v>
      </x:c>
      <x:c r="AC29" s="320">
        <x:f>'REMUNERACION Reciprocidad EAAB'!AC107</x:f>
        <x:v>0</x:v>
      </x:c>
      <x:c r="AD29" s="291">
        <x:f>'REMUNERACION Reciprocidad EAAB'!AD107</x:f>
        <x:v>0</x:v>
      </x:c>
      <x:c r="AE29" s="291">
        <x:f>'REMUNERACION Reciprocidad EAAB'!AE107</x:f>
        <x:v>0</x:v>
      </x:c>
      <x:c r="AF29" s="322">
        <x:f>'REMUNERACION Reciprocidad EAAB'!AF107</x:f>
        <x:v>0</x:v>
      </x:c>
      <x:c r="AG29" s="522">
        <x:f>'REMUNERACION Reciprocidad EAAB'!AG107</x:f>
        <x:v>0</x:v>
      </x:c>
      <x:c r="AH29" s="1"/>
      <x:c r="AI29" s="306"/>
      <x:c r="AM29" s="333"/>
    </x:row>
    <x:row r="30" spans="1:39" s="305" customFormat="1" ht="12" thickBot="1" x14ac:dyDescent="0.35">
      <x:c r="B30" s="324">
        <x:v>5</x:v>
      </x:c>
      <x:c r="C30" s="325" t="s">
        <x:v>14</x:v>
      </x:c>
      <x:c r="D30" s="296">
        <x:f>'REMUNERACION Reciprocidad EAAB'!D108</x:f>
        <x:v>0</x:v>
      </x:c>
      <x:c r="E30" s="297">
        <x:f>'REMUNERACION Reciprocidad EAAB'!E108</x:f>
        <x:v>0</x:v>
      </x:c>
      <x:c r="F30" s="297">
        <x:f>'REMUNERACION Reciprocidad EAAB'!F108</x:f>
        <x:v>0</x:v>
      </x:c>
      <x:c r="G30" s="297">
        <x:f>'REMUNERACION Reciprocidad EAAB'!G108</x:f>
        <x:v>0</x:v>
      </x:c>
      <x:c r="H30" s="297">
        <x:f>'REMUNERACION Reciprocidad EAAB'!H108</x:f>
        <x:v>0</x:v>
      </x:c>
      <x:c r="I30" s="297">
        <x:f>'REMUNERACION Reciprocidad EAAB'!I108</x:f>
        <x:v>0</x:v>
      </x:c>
      <x:c r="J30" s="289">
        <x:f>'REMUNERACION Reciprocidad EAAB'!J108</x:f>
        <x:v>0</x:v>
      </x:c>
      <x:c r="K30" s="295">
        <x:f>'REMUNERACION Reciprocidad EAAB'!K108</x:f>
        <x:v>0</x:v>
      </x:c>
      <x:c r="L30" s="294">
        <x:f>'REMUNERACION Reciprocidad EAAB'!L108</x:f>
        <x:v>0</x:v>
      </x:c>
      <x:c r="M30" s="298">
        <x:f>'REMUNERACION Reciprocidad EAAB'!M108</x:f>
        <x:v>0</x:v>
      </x:c>
      <x:c r="N30" s="299">
        <x:f>'REMUNERACION Reciprocidad EAAB'!N108</x:f>
        <x:v>0</x:v>
      </x:c>
      <x:c r="O30" s="298">
        <x:f>'REMUNERACION Reciprocidad EAAB'!O108</x:f>
        <x:v>0</x:v>
      </x:c>
      <x:c r="Q30" s="306"/>
      <x:c r="S30" s="324">
        <x:v>5</x:v>
      </x:c>
      <x:c r="T30" s="325" t="s">
        <x:v>14</x:v>
      </x:c>
      <x:c r="U30" s="296">
        <x:f>'REMUNERACION Reciprocidad EAAB'!U108</x:f>
        <x:v>0</x:v>
      </x:c>
      <x:c r="V30" s="297">
        <x:f>'REMUNERACION Reciprocidad EAAB'!V108</x:f>
        <x:v>0</x:v>
      </x:c>
      <x:c r="W30" s="297">
        <x:f>'REMUNERACION Reciprocidad EAAB'!W108</x:f>
        <x:v>0</x:v>
      </x:c>
      <x:c r="X30" s="297">
        <x:f>'REMUNERACION Reciprocidad EAAB'!X108</x:f>
        <x:v>0</x:v>
      </x:c>
      <x:c r="Y30" s="289">
        <x:f>'REMUNERACION Reciprocidad EAAB'!Y108</x:f>
        <x:v>0</x:v>
      </x:c>
      <x:c r="Z30" s="319">
        <x:f>'REMUNERACION Reciprocidad EAAB'!Z108</x:f>
        <x:v>0</x:v>
      </x:c>
      <x:c r="AA30" s="320">
        <x:f>'REMUNERACION Reciprocidad EAAB'!AA108</x:f>
        <x:v>0</x:v>
      </x:c>
      <x:c r="AB30" s="294">
        <x:f>'REMUNERACION Reciprocidad EAAB'!AB108</x:f>
        <x:v>0</x:v>
      </x:c>
      <x:c r="AC30" s="320">
        <x:f>'REMUNERACION Reciprocidad EAAB'!AC108</x:f>
        <x:v>0</x:v>
      </x:c>
      <x:c r="AD30" s="291">
        <x:f>'REMUNERACION Reciprocidad EAAB'!AD108</x:f>
        <x:v>0</x:v>
      </x:c>
      <x:c r="AE30" s="291">
        <x:f>'REMUNERACION Reciprocidad EAAB'!AE108</x:f>
        <x:v>0</x:v>
      </x:c>
      <x:c r="AF30" s="322">
        <x:f>'REMUNERACION Reciprocidad EAAB'!AF108</x:f>
        <x:v>0</x:v>
      </x:c>
      <x:c r="AG30" s="523">
        <x:f>'REMUNERACION Reciprocidad EAAB'!AG108</x:f>
        <x:v>0</x:v>
      </x:c>
      <x:c r="AH30" s="1"/>
      <x:c r="AI30" s="306"/>
      <x:c r="AM30" s="333"/>
    </x:row>
    <x:row r="31" spans="1:39" s="305" customFormat="1" ht="12.9" thickBot="1" x14ac:dyDescent="0.35">
      <x:c r="B31" s="327"/>
      <x:c r="C31" s="328" t="s">
        <x:v>2</x:v>
      </x:c>
      <x:c r="D31" s="290">
        <x:f>'REMUNERACION Reciprocidad EAAB'!D109</x:f>
        <x:v>0</x:v>
      </x:c>
      <x:c r="E31" s="290">
        <x:f>'REMUNERACION Reciprocidad EAAB'!E109</x:f>
        <x:v>0</x:v>
      </x:c>
      <x:c r="F31" s="290">
        <x:f>'REMUNERACION Reciprocidad EAAB'!F109</x:f>
        <x:v>0</x:v>
      </x:c>
      <x:c r="G31" s="290">
        <x:f>'REMUNERACION Reciprocidad EAAB'!G109</x:f>
        <x:v>0</x:v>
      </x:c>
      <x:c r="H31" s="290">
        <x:f>'REMUNERACION Reciprocidad EAAB'!H109</x:f>
        <x:v>0</x:v>
      </x:c>
      <x:c r="I31" s="290">
        <x:f>'REMUNERACION Reciprocidad EAAB'!I109</x:f>
        <x:v>0</x:v>
      </x:c>
      <x:c r="J31" s="290">
        <x:f>'REMUNERACION Reciprocidad EAAB'!J109</x:f>
        <x:v>0</x:v>
      </x:c>
      <x:c r="K31" s="300">
        <x:f>'REMUNERACION Reciprocidad EAAB'!K109</x:f>
        <x:v>0</x:v>
      </x:c>
      <x:c r="L31" s="301">
        <x:f>'REMUNERACION Reciprocidad EAAB'!L109</x:f>
        <x:v>0</x:v>
      </x:c>
      <x:c r="M31" s="302">
        <x:f>'REMUNERACION Reciprocidad EAAB'!M109</x:f>
        <x:v>0</x:v>
      </x:c>
      <x:c r="N31" s="301">
        <x:f>'REMUNERACION Reciprocidad EAAB'!N109</x:f>
        <x:v>0</x:v>
      </x:c>
      <x:c r="O31" s="302">
        <x:f>'REMUNERACION Reciprocidad EAAB'!O109</x:f>
        <x:v>0</x:v>
      </x:c>
      <x:c r="P31" s="329"/>
      <x:c r="Q31" s="306"/>
      <x:c r="S31" s="327"/>
      <x:c r="T31" s="328" t="s">
        <x:v>2</x:v>
      </x:c>
      <x:c r="U31" s="330">
        <x:f>'REMUNERACION Reciprocidad EAAB'!U109</x:f>
        <x:v>0</x:v>
      </x:c>
      <x:c r="V31" s="330">
        <x:f>'REMUNERACION Reciprocidad EAAB'!V109</x:f>
        <x:v>0</x:v>
      </x:c>
      <x:c r="W31" s="330">
        <x:f>'REMUNERACION Reciprocidad EAAB'!W109</x:f>
        <x:v>0</x:v>
      </x:c>
      <x:c r="X31" s="330">
        <x:f>'REMUNERACION Reciprocidad EAAB'!X109</x:f>
        <x:v>0</x:v>
      </x:c>
      <x:c r="Y31" s="330">
        <x:f>'REMUNERACION Reciprocidad EAAB'!Y109</x:f>
        <x:v>0</x:v>
      </x:c>
      <x:c r="Z31" s="290">
        <x:f>'REMUNERACION Reciprocidad EAAB'!Z109</x:f>
        <x:v>0</x:v>
      </x:c>
      <x:c r="AA31" s="290">
        <x:f>'REMUNERACION Reciprocidad EAAB'!AA109</x:f>
        <x:v>0</x:v>
      </x:c>
      <x:c r="AB31" s="290">
        <x:f>'REMUNERACION Reciprocidad EAAB'!AB109</x:f>
        <x:v>0</x:v>
      </x:c>
      <x:c r="AC31" s="290">
        <x:f>'REMUNERACION Reciprocidad EAAB'!AC109</x:f>
        <x:v>0</x:v>
      </x:c>
      <x:c r="AD31" s="290">
        <x:f>'REMUNERACION Reciprocidad EAAB'!AD109</x:f>
        <x:v>0</x:v>
      </x:c>
      <x:c r="AE31" s="290">
        <x:f>'REMUNERACION Reciprocidad EAAB'!AE109</x:f>
        <x:v>0</x:v>
      </x:c>
      <x:c r="AF31" s="331">
        <x:f>'REMUNERACION Reciprocidad EAAB'!AF109</x:f>
        <x:v>0</x:v>
      </x:c>
      <x:c r="AG31" s="524">
        <x:f>'REMUNERACION Reciprocidad EAAB'!AG109</x:f>
        <x:v>0</x:v>
      </x:c>
      <x:c r="AH31" s="1"/>
      <x:c r="AI31" s="306"/>
      <x:c r="AM31" s="333"/>
    </x:row>
    <x:row r="32" spans="1:39" x14ac:dyDescent="0.3">
      <x:c r="B32" s="2"/>
      <x:c r="C32" s="2"/>
      <x:c r="D32" s="448"/>
      <x:c r="E32" s="448"/>
      <x:c r="F32" s="448"/>
      <x:c r="G32" s="448"/>
      <x:c r="H32" s="448"/>
      <x:c r="I32" s="448"/>
      <x:c r="K32" s="448"/>
      <x:c r="L32" s="448"/>
      <x:c r="M32" s="448"/>
      <x:c r="N32" s="448"/>
      <x:c r="O32" s="448"/>
      <x:c r="Q32" s="4"/>
      <x:c r="S32" s="2"/>
      <x:c r="T32" s="2"/>
      <x:c r="U32" s="448"/>
      <x:c r="V32" s="448"/>
      <x:c r="W32" s="448"/>
      <x:c r="X32" s="448"/>
      <x:c r="Y32" s="448"/>
      <x:c r="AF32" s="448"/>
      <x:c r="AI32" s="4"/>
    </x:row>
    <x:row r="33" spans="1:39" x14ac:dyDescent="0.3">
      <x:c r="B33" s="2"/>
      <x:c r="C33" s="2"/>
      <x:c r="D33" s="549"/>
      <x:c r="E33" s="549"/>
      <x:c r="F33" s="549"/>
      <x:c r="G33" s="549"/>
      <x:c r="H33" s="549"/>
      <x:c r="I33" s="549"/>
      <x:c r="K33" s="549"/>
      <x:c r="L33" s="549"/>
      <x:c r="M33" s="549"/>
      <x:c r="N33" s="549"/>
      <x:c r="O33" s="549"/>
      <x:c r="Q33" s="4"/>
      <x:c r="AI33" s="4"/>
    </x:row>
    <x:row r="34" spans="1:39" x14ac:dyDescent="0.3">
      <x:c r="A34" s="4"/>
      <x:c r="B34" s="34"/>
      <x:c r="C34" s="34"/>
      <x:c r="D34" s="474"/>
      <x:c r="E34" s="474"/>
      <x:c r="F34" s="474"/>
      <x:c r="G34" s="474"/>
      <x:c r="H34" s="474"/>
      <x:c r="I34" s="474"/>
      <x:c r="J34" s="4"/>
      <x:c r="K34" s="474"/>
      <x:c r="L34" s="474"/>
      <x:c r="M34" s="474"/>
      <x:c r="N34" s="474"/>
      <x:c r="O34" s="47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</x:row>
    <x:row r="35" spans="1:39" ht="12" thickBot="1" x14ac:dyDescent="0.35">
      <x:c r="Q35" s="4"/>
      <x:c r="AI35" s="4"/>
    </x:row>
    <x:row r="36" spans="1:39" x14ac:dyDescent="0.3">
      <x:c r="B36" s="5"/>
      <x:c r="C36" s="3" t="s">
        <x:v>1</x:v>
      </x:c>
      <x:c r="D36" s="6" t="s">
        <x:v>1</x:v>
      </x:c>
      <x:c r="E36" s="3"/>
      <x:c r="F36" s="3"/>
      <x:c r="G36" s="3"/>
      <x:c r="H36" s="3" t="s">
        <x:v>1</x:v>
      </x:c>
      <x:c r="I36" s="3"/>
      <x:c r="J36" s="3"/>
      <x:c r="K36" s="3"/>
      <x:c r="L36" s="3"/>
      <x:c r="M36" s="3"/>
      <x:c r="N36" s="3"/>
      <x:c r="O36" s="7"/>
      <x:c r="P36" s="2"/>
      <x:c r="Q36" s="4"/>
      <x:c r="S36" s="5"/>
      <x:c r="T36" s="3" t="s">
        <x:v>1</x:v>
      </x:c>
      <x:c r="U36" s="6" t="s">
        <x:v>1</x:v>
      </x:c>
      <x:c r="V36" s="3"/>
      <x:c r="W36" s="3"/>
      <x:c r="X36" s="3" t="s">
        <x:v>1</x:v>
      </x:c>
      <x:c r="Y36" s="3"/>
      <x:c r="Z36" s="3"/>
      <x:c r="AA36" s="3"/>
      <x:c r="AB36" s="3"/>
      <x:c r="AC36" s="3"/>
      <x:c r="AD36" s="3"/>
      <x:c r="AE36" s="3"/>
      <x:c r="AF36" s="7"/>
      <x:c r="AG36" s="2"/>
      <x:c r="AI36" s="4"/>
    </x:row>
    <x:row r="37" spans="1:39" ht="14.15" x14ac:dyDescent="0.35">
      <x:c r="B37" s="8"/>
      <x:c r="F37" s="26" t="s">
        <x:v>8</x:v>
      </x:c>
      <x:c r="G37" s="26"/>
      <x:c r="I37" s="26" t="s">
        <x:v>16</x:v>
      </x:c>
      <x:c r="J37" s="25"/>
      <x:c r="M37" s="2"/>
      <x:c r="N37" s="50"/>
      <x:c r="O37" s="10"/>
      <x:c r="P37" s="2"/>
      <x:c r="Q37" s="4"/>
      <x:c r="S37" s="8"/>
      <x:c r="U37" s="26" t="s">
        <x:v>8</x:v>
      </x:c>
      <x:c r="W37" s="26" t="s">
        <x:v>16</x:v>
      </x:c>
      <x:c r="X37" s="25"/>
      <x:c r="Y37" s="2"/>
      <x:c r="AA37" s="2" t="s">
        <x:v>1</x:v>
      </x:c>
      <x:c r="AD37" s="84" t="s">
        <x:v>1</x:v>
      </x:c>
      <x:c r="AE37" s="84"/>
      <x:c r="AF37" s="48"/>
      <x:c r="AG37" s="2"/>
      <x:c r="AI37" s="4"/>
    </x:row>
    <x:row r="38" spans="1:39" ht="15.45" x14ac:dyDescent="0.4">
      <x:c r="B38" s="8"/>
      <x:c r="F38" s="36" t="s">
        <x:v>29</x:v>
      </x:c>
      <x:c r="G38" s="36"/>
      <x:c r="O38" s="10"/>
      <x:c r="P38" s="2"/>
      <x:c r="Q38" s="4"/>
      <x:c r="S38" s="8"/>
      <x:c r="T38" s="26" t="s">
        <x:v>1</x:v>
      </x:c>
      <x:c r="U38" s="36" t="s">
        <x:v>29</x:v>
      </x:c>
      <x:c r="Y38" s="2" t="s">
        <x:v>1</x:v>
      </x:c>
      <x:c r="AA38" s="50" t="s">
        <x:v>1</x:v>
      </x:c>
      <x:c r="AB38" s="2"/>
      <x:c r="AC38" s="2"/>
      <x:c r="AD38" s="2"/>
      <x:c r="AE38" s="2"/>
      <x:c r="AF38" s="10" t="s">
        <x:v>1</x:v>
      </x:c>
      <x:c r="AG38" s="2"/>
      <x:c r="AI38" s="4"/>
    </x:row>
    <x:row r="39" spans="1:39" ht="14.15" x14ac:dyDescent="0.35">
      <x:c r="B39" s="8"/>
      <x:c r="F39" s="2" t="s">
        <x:v>30</x:v>
      </x:c>
      <x:c r="G39" s="2"/>
      <x:c r="L39" s="91"/>
      <x:c r="M39" s="2" t="s">
        <x:v>1</x:v>
      </x:c>
      <x:c r="O39" s="10"/>
      <x:c r="P39" s="2"/>
      <x:c r="Q39" s="4"/>
      <x:c r="S39" s="8"/>
      <x:c r="T39" s="49" t="s">
        <x:v>1</x:v>
      </x:c>
      <x:c r="U39" s="2" t="s">
        <x:v>30</x:v>
      </x:c>
      <x:c r="AF39" s="44"/>
      <x:c r="AG39" s="2"/>
      <x:c r="AI39" s="4"/>
    </x:row>
    <x:row r="40" spans="1:39" ht="15.45" x14ac:dyDescent="0.4">
      <x:c r="B40" s="8"/>
      <x:c r="C40" s="2"/>
      <x:c r="D40" s="9"/>
      <x:c r="F40" s="58" t="s">
        <x:v>162</x:v>
      </x:c>
      <x:c r="G40" s="58"/>
      <x:c r="H40" s="59"/>
      <x:c r="I40" s="60"/>
      <x:c r="J40" s="59"/>
      <x:c r="L40" s="91"/>
      <x:c r="O40" s="10"/>
      <x:c r="P40" s="2"/>
      <x:c r="Q40" s="4"/>
      <x:c r="S40" s="8"/>
      <x:c r="T40" s="41" t="s">
        <x:v>1</x:v>
      </x:c>
      <x:c r="U40" s="58" t="s">
        <x:v>35</x:v>
      </x:c>
      <x:c r="V40" s="59"/>
      <x:c r="W40" s="60"/>
      <x:c r="X40" s="59"/>
      <x:c r="Y40" s="2"/>
      <x:c r="AF40" s="48"/>
      <x:c r="AG40" s="2"/>
      <x:c r="AI40" s="4"/>
    </x:row>
    <x:row r="41" spans="1:39" ht="18.45" thickBot="1" x14ac:dyDescent="0.6">
      <x:c r="B41" s="8"/>
      <x:c r="C41" s="2"/>
      <x:c r="D41" s="241"/>
      <x:c r="F41" s="2"/>
      <x:c r="G41" s="9"/>
      <x:c r="J41" s="2"/>
      <x:c r="K41" s="9"/>
      <x:c r="L41" s="92"/>
      <x:c r="O41" s="10"/>
      <x:c r="P41" s="2"/>
      <x:c r="Q41" s="4"/>
      <x:c r="S41" s="8"/>
      <x:c r="V41" s="9"/>
      <x:c r="Y41" s="9"/>
      <x:c r="Z41" s="1" t="s">
        <x:v>1</x:v>
      </x:c>
      <x:c r="AF41" s="48"/>
      <x:c r="AG41" s="2"/>
      <x:c r="AI41" s="4"/>
      <x:c r="AJ41" s="112" t="s">
        <x:v>1</x:v>
      </x:c>
    </x:row>
    <x:row r="42" spans="1:39" ht="72" customHeight="1" thickBot="1" x14ac:dyDescent="0.35">
      <x:c r="B42" s="11" t="s">
        <x:v>3</x:v>
      </x:c>
      <x:c r="C42" s="27" t="s">
        <x:v>9</x:v>
      </x:c>
      <x:c r="D42" s="11" t="s">
        <x:v>4</x:v>
      </x:c>
      <x:c r="E42" s="12" t="s">
        <x:v>5</x:v>
      </x:c>
      <x:c r="F42" s="27" t="s">
        <x:v>6</x:v>
      </x:c>
      <x:c r="G42" s="27" t="s">
        <x:v>159</x:v>
      </x:c>
      <x:c r="H42" s="27" t="s">
        <x:v>18</x:v>
      </x:c>
      <x:c r="I42" s="12" t="s">
        <x:v>24</x:v>
      </x:c>
      <x:c r="J42" s="73" t="s">
        <x:v>19</x:v>
      </x:c>
      <x:c r="K42" s="29" t="s">
        <x:v>20</x:v>
      </x:c>
      <x:c r="L42" s="28" t="s">
        <x:v>21</x:v>
      </x:c>
      <x:c r="M42" s="39" t="s">
        <x:v>22</x:v>
      </x:c>
      <x:c r="N42" s="12" t="s">
        <x:v>7</x:v>
      </x:c>
      <x:c r="O42" s="39" t="s">
        <x:v>23</x:v>
      </x:c>
      <x:c r="P42" s="13"/>
      <x:c r="Q42" s="4"/>
      <x:c r="S42" s="11" t="s">
        <x:v>3</x:v>
      </x:c>
      <x:c r="T42" s="27" t="s">
        <x:v>9</x:v>
      </x:c>
      <x:c r="U42" s="162" t="s">
        <x:v>39</x:v>
      </x:c>
      <x:c r="V42" s="163" t="s">
        <x:v>40</x:v>
      </x:c>
      <x:c r="W42" s="163" t="s">
        <x:v>41</x:v>
      </x:c>
      <x:c r="X42" s="163" t="s">
        <x:v>42</x:v>
      </x:c>
      <x:c r="Y42" s="164" t="s">
        <x:v>43</x:v>
      </x:c>
      <x:c r="Z42" s="85" t="s">
        <x:v>21</x:v>
      </x:c>
      <x:c r="AA42" s="65" t="s">
        <x:v>46</x:v>
      </x:c>
      <x:c r="AB42" s="65" t="s">
        <x:v>7</x:v>
      </x:c>
      <x:c r="AC42" s="85" t="s">
        <x:v>168</x:v>
      </x:c>
      <x:c r="AD42" s="121" t="s">
        <x:v>105</x:v>
      </x:c>
      <x:c r="AE42" s="121" t="s">
        <x:v>104</x:v>
      </x:c>
      <x:c r="AF42" s="39" t="s">
        <x:v>23</x:v>
      </x:c>
      <x:c r="AG42" s="13"/>
      <x:c r="AI42" s="4"/>
    </x:row>
    <x:row r="43" spans="1:39" s="305" customFormat="1" x14ac:dyDescent="0.3">
      <x:c r="B43" s="303">
        <x:v>1</x:v>
      </x:c>
      <x:c r="C43" s="304" t="s">
        <x:v>10</x:v>
      </x:c>
      <x:c r="D43" s="291">
        <x:f>REMUNERACION_ENEL!D104</x:f>
        <x:v>0</x:v>
      </x:c>
      <x:c r="E43" s="292">
        <x:f>REMUNERACION_ENEL!E104</x:f>
        <x:v>0</x:v>
      </x:c>
      <x:c r="F43" s="292">
        <x:f>REMUNERACION_ENEL!F104</x:f>
        <x:v>0</x:v>
      </x:c>
      <x:c r="G43" s="292">
        <x:f>REMUNERACION_ENEL!G104</x:f>
        <x:v>0</x:v>
      </x:c>
      <x:c r="H43" s="292">
        <x:f>REMUNERACION_ENEL!H104</x:f>
        <x:v>0</x:v>
      </x:c>
      <x:c r="I43" s="292">
        <x:f>REMUNERACION_ENEL!I104</x:f>
        <x:v>0</x:v>
      </x:c>
      <x:c r="J43" s="288">
        <x:f>REMUNERACION_ENEL!J104</x:f>
        <x:v>0</x:v>
      </x:c>
      <x:c r="K43" s="293">
        <x:f>REMUNERACION_ENEL!K104</x:f>
        <x:v>0</x:v>
      </x:c>
      <x:c r="L43" s="294">
        <x:f>REMUNERACION_ENEL!L104</x:f>
        <x:v>189185988</x:v>
      </x:c>
      <x:c r="M43" s="293">
        <x:f>REMUNERACION_ENEL!M104</x:f>
        <x:v>-189185988</x:v>
      </x:c>
      <x:c r="N43" s="294">
        <x:f>REMUNERACION_ENEL!N104</x:f>
        <x:v>0</x:v>
      </x:c>
      <x:c r="O43" s="293">
        <x:f>REMUNERACION_ENEL!O104</x:f>
        <x:v>-189185988</x:v>
      </x:c>
      <x:c r="Q43" s="306"/>
      <x:c r="S43" s="303">
        <x:v>1</x:v>
      </x:c>
      <x:c r="T43" s="304" t="s">
        <x:v>10</x:v>
      </x:c>
      <x:c r="U43" s="307">
        <x:f>REMUNERACION_ENEL!U104</x:f>
        <x:v>0</x:v>
      </x:c>
      <x:c r="V43" s="308">
        <x:f>REMUNERACION_ENEL!V104</x:f>
        <x:v>0</x:v>
      </x:c>
      <x:c r="W43" s="308">
        <x:f>REMUNERACION_ENEL!W104</x:f>
        <x:v>0</x:v>
      </x:c>
      <x:c r="X43" s="308">
        <x:f>REMUNERACION_ENEL!X104</x:f>
        <x:v>0</x:v>
      </x:c>
      <x:c r="Y43" s="309">
        <x:f>REMUNERACION_ENEL!Y104</x:f>
        <x:v>0</x:v>
      </x:c>
      <x:c r="Z43" s="310">
        <x:f>REMUNERACION_ENEL!Z104</x:f>
        <x:v>-189185988</x:v>
      </x:c>
      <x:c r="AA43" s="311">
        <x:f>REMUNERACION_ENEL!AA104</x:f>
        <x:v>0</x:v>
      </x:c>
      <x:c r="AB43" s="294">
        <x:f>REMUNERACION_ENEL!AB104</x:f>
        <x:v>0</x:v>
      </x:c>
      <x:c r="AC43" s="311">
        <x:f>REMUNERACION_ENEL!AC104</x:f>
        <x:v>0</x:v>
      </x:c>
      <x:c r="AD43" s="291">
        <x:f>REMUNERACION_ENEL!AD104</x:f>
        <x:v>0</x:v>
      </x:c>
      <x:c r="AE43" s="291">
        <x:f>REMUNERACION_ENEL!AE104</x:f>
        <x:v>0</x:v>
      </x:c>
      <x:c r="AF43" s="313">
        <x:f>REMUNERACION_ENEL!AF104</x:f>
        <x:v>-189185988</x:v>
      </x:c>
      <x:c r="AG43" s="521">
        <x:f>REMUNERACION_ENEL!AG104</x:f>
        <x:v>0</x:v>
      </x:c>
      <x:c r="AH43" s="1"/>
      <x:c r="AI43" s="306"/>
      <x:c r="AM43" s="333"/>
    </x:row>
    <x:row r="44" spans="1:39" s="305" customFormat="1" x14ac:dyDescent="0.3">
      <x:c r="B44" s="314">
        <x:v>2</x:v>
      </x:c>
      <x:c r="C44" s="315" t="s">
        <x:v>11</x:v>
      </x:c>
      <x:c r="D44" s="291">
        <x:f>REMUNERACION_ENEL!D105</x:f>
        <x:v>0</x:v>
      </x:c>
      <x:c r="E44" s="292">
        <x:f>REMUNERACION_ENEL!E105</x:f>
        <x:v>0</x:v>
      </x:c>
      <x:c r="F44" s="292">
        <x:f>REMUNERACION_ENEL!F105</x:f>
        <x:v>0</x:v>
      </x:c>
      <x:c r="G44" s="292">
        <x:f>REMUNERACION_ENEL!G105</x:f>
        <x:v>0</x:v>
      </x:c>
      <x:c r="H44" s="292">
        <x:f>REMUNERACION_ENEL!H105</x:f>
        <x:v>0</x:v>
      </x:c>
      <x:c r="I44" s="292">
        <x:f>REMUNERACION_ENEL!I105</x:f>
        <x:v>0</x:v>
      </x:c>
      <x:c r="J44" s="288">
        <x:f>REMUNERACION_ENEL!J105</x:f>
        <x:v>0</x:v>
      </x:c>
      <x:c r="K44" s="295">
        <x:f>REMUNERACION_ENEL!K105</x:f>
        <x:v>0</x:v>
      </x:c>
      <x:c r="L44" s="294">
        <x:f>REMUNERACION_ENEL!L105</x:f>
        <x:v>266580256</x:v>
      </x:c>
      <x:c r="M44" s="295">
        <x:f>REMUNERACION_ENEL!M105</x:f>
        <x:v>-266580256</x:v>
      </x:c>
      <x:c r="N44" s="294">
        <x:f>REMUNERACION_ENEL!N105</x:f>
        <x:v>0</x:v>
      </x:c>
      <x:c r="O44" s="295">
        <x:f>REMUNERACION_ENEL!O105</x:f>
        <x:v>-266580256</x:v>
      </x:c>
      <x:c r="Q44" s="306"/>
      <x:c r="S44" s="314">
        <x:v>2</x:v>
      </x:c>
      <x:c r="T44" s="315" t="s">
        <x:v>11</x:v>
      </x:c>
      <x:c r="U44" s="316">
        <x:f>REMUNERACION_ENEL!U105</x:f>
        <x:v>0</x:v>
      </x:c>
      <x:c r="V44" s="317">
        <x:f>REMUNERACION_ENEL!V105</x:f>
        <x:v>0</x:v>
      </x:c>
      <x:c r="W44" s="317">
        <x:f>REMUNERACION_ENEL!W105</x:f>
        <x:v>0</x:v>
      </x:c>
      <x:c r="X44" s="317">
        <x:f>REMUNERACION_ENEL!X105</x:f>
        <x:v>0</x:v>
      </x:c>
      <x:c r="Y44" s="318">
        <x:f>REMUNERACION_ENEL!Y105</x:f>
        <x:v>0</x:v>
      </x:c>
      <x:c r="Z44" s="319">
        <x:f>REMUNERACION_ENEL!Z105</x:f>
        <x:v>-266580256</x:v>
      </x:c>
      <x:c r="AA44" s="320">
        <x:f>REMUNERACION_ENEL!AA105</x:f>
        <x:v>0</x:v>
      </x:c>
      <x:c r="AB44" s="294">
        <x:f>REMUNERACION_ENEL!AB105</x:f>
        <x:v>0</x:v>
      </x:c>
      <x:c r="AC44" s="320">
        <x:f>REMUNERACION_ENEL!AC105</x:f>
        <x:v>0</x:v>
      </x:c>
      <x:c r="AD44" s="291">
        <x:f>REMUNERACION_ENEL!AD105</x:f>
        <x:v>0</x:v>
      </x:c>
      <x:c r="AE44" s="291">
        <x:f>REMUNERACION_ENEL!AE105</x:f>
        <x:v>0</x:v>
      </x:c>
      <x:c r="AF44" s="322">
        <x:f>REMUNERACION_ENEL!AF105</x:f>
        <x:v>-266580256</x:v>
      </x:c>
      <x:c r="AG44" s="522">
        <x:f>REMUNERACION_ENEL!AG105</x:f>
        <x:v>0</x:v>
      </x:c>
      <x:c r="AH44" s="1"/>
      <x:c r="AI44" s="306"/>
      <x:c r="AM44" s="333"/>
    </x:row>
    <x:row r="45" spans="1:39" s="305" customFormat="1" x14ac:dyDescent="0.3">
      <x:c r="B45" s="314">
        <x:v>3</x:v>
      </x:c>
      <x:c r="C45" s="315" t="s">
        <x:v>12</x:v>
      </x:c>
      <x:c r="D45" s="291">
        <x:f>REMUNERACION_ENEL!D106</x:f>
        <x:v>0</x:v>
      </x:c>
      <x:c r="E45" s="292">
        <x:f>REMUNERACION_ENEL!E106</x:f>
        <x:v>0</x:v>
      </x:c>
      <x:c r="F45" s="292">
        <x:f>REMUNERACION_ENEL!F106</x:f>
        <x:v>0</x:v>
      </x:c>
      <x:c r="G45" s="292">
        <x:f>REMUNERACION_ENEL!G106</x:f>
        <x:v>0</x:v>
      </x:c>
      <x:c r="H45" s="292">
        <x:f>REMUNERACION_ENEL!H106</x:f>
        <x:v>0</x:v>
      </x:c>
      <x:c r="I45" s="292">
        <x:f>REMUNERACION_ENEL!I106</x:f>
        <x:v>0</x:v>
      </x:c>
      <x:c r="J45" s="288">
        <x:f>REMUNERACION_ENEL!J106</x:f>
        <x:v>0</x:v>
      </x:c>
      <x:c r="K45" s="295">
        <x:f>REMUNERACION_ENEL!K106</x:f>
        <x:v>0</x:v>
      </x:c>
      <x:c r="L45" s="294">
        <x:f>REMUNERACION_ENEL!L106</x:f>
        <x:v>154788536</x:v>
      </x:c>
      <x:c r="M45" s="295">
        <x:f>REMUNERACION_ENEL!M106</x:f>
        <x:v>-154788536</x:v>
      </x:c>
      <x:c r="N45" s="294">
        <x:f>REMUNERACION_ENEL!N106</x:f>
        <x:v>0</x:v>
      </x:c>
      <x:c r="O45" s="295">
        <x:f>REMUNERACION_ENEL!O106</x:f>
        <x:v>-154788536</x:v>
      </x:c>
      <x:c r="Q45" s="306"/>
      <x:c r="S45" s="314">
        <x:v>3</x:v>
      </x:c>
      <x:c r="T45" s="315" t="s">
        <x:v>12</x:v>
      </x:c>
      <x:c r="U45" s="316">
        <x:f>REMUNERACION_ENEL!U106</x:f>
        <x:v>0</x:v>
      </x:c>
      <x:c r="V45" s="317">
        <x:f>REMUNERACION_ENEL!V106</x:f>
        <x:v>0</x:v>
      </x:c>
      <x:c r="W45" s="317">
        <x:f>REMUNERACION_ENEL!W106</x:f>
        <x:v>0</x:v>
      </x:c>
      <x:c r="X45" s="317">
        <x:f>REMUNERACION_ENEL!X106</x:f>
        <x:v>0</x:v>
      </x:c>
      <x:c r="Y45" s="318">
        <x:f>REMUNERACION_ENEL!Y106</x:f>
        <x:v>0</x:v>
      </x:c>
      <x:c r="Z45" s="319">
        <x:f>REMUNERACION_ENEL!Z106</x:f>
        <x:v>-154788536</x:v>
      </x:c>
      <x:c r="AA45" s="320">
        <x:f>REMUNERACION_ENEL!AA106</x:f>
        <x:v>0</x:v>
      </x:c>
      <x:c r="AB45" s="294">
        <x:f>REMUNERACION_ENEL!AB106</x:f>
        <x:v>0</x:v>
      </x:c>
      <x:c r="AC45" s="320">
        <x:f>REMUNERACION_ENEL!AC106</x:f>
        <x:v>0</x:v>
      </x:c>
      <x:c r="AD45" s="291">
        <x:f>REMUNERACION_ENEL!AD106</x:f>
        <x:v>0</x:v>
      </x:c>
      <x:c r="AE45" s="291">
        <x:f>REMUNERACION_ENEL!AE106</x:f>
        <x:v>0</x:v>
      </x:c>
      <x:c r="AF45" s="322">
        <x:f>REMUNERACION_ENEL!AF106</x:f>
        <x:v>-154788536</x:v>
      </x:c>
      <x:c r="AG45" s="522">
        <x:f>REMUNERACION_ENEL!AG106</x:f>
        <x:v>0</x:v>
      </x:c>
      <x:c r="AH45" s="1"/>
      <x:c r="AI45" s="306"/>
      <x:c r="AM45" s="333"/>
    </x:row>
    <x:row r="46" spans="1:39" s="305" customFormat="1" x14ac:dyDescent="0.3">
      <x:c r="B46" s="314">
        <x:v>4</x:v>
      </x:c>
      <x:c r="C46" s="315" t="s">
        <x:v>13</x:v>
      </x:c>
      <x:c r="D46" s="291">
        <x:f>REMUNERACION_ENEL!D107</x:f>
        <x:v>0</x:v>
      </x:c>
      <x:c r="E46" s="292">
        <x:f>REMUNERACION_ENEL!E107</x:f>
        <x:v>0</x:v>
      </x:c>
      <x:c r="F46" s="292">
        <x:f>REMUNERACION_ENEL!F107</x:f>
        <x:v>0</x:v>
      </x:c>
      <x:c r="G46" s="292">
        <x:f>REMUNERACION_ENEL!G107</x:f>
        <x:v>0</x:v>
      </x:c>
      <x:c r="H46" s="292">
        <x:f>REMUNERACION_ENEL!H107</x:f>
        <x:v>0</x:v>
      </x:c>
      <x:c r="I46" s="292">
        <x:f>REMUNERACION_ENEL!I107</x:f>
        <x:v>0</x:v>
      </x:c>
      <x:c r="J46" s="288">
        <x:f>REMUNERACION_ENEL!J107</x:f>
        <x:v>0</x:v>
      </x:c>
      <x:c r="K46" s="295">
        <x:f>REMUNERACION_ENEL!K107</x:f>
        <x:v>0</x:v>
      </x:c>
      <x:c r="L46" s="294">
        <x:f>REMUNERACION_ENEL!L107</x:f>
        <x:v>120391083</x:v>
      </x:c>
      <x:c r="M46" s="295">
        <x:f>REMUNERACION_ENEL!M107</x:f>
        <x:v>-120391083</x:v>
      </x:c>
      <x:c r="N46" s="294">
        <x:f>REMUNERACION_ENEL!N107</x:f>
        <x:v>0</x:v>
      </x:c>
      <x:c r="O46" s="295">
        <x:f>REMUNERACION_ENEL!O107</x:f>
        <x:v>-120391083</x:v>
      </x:c>
      <x:c r="Q46" s="306"/>
      <x:c r="S46" s="314">
        <x:v>4</x:v>
      </x:c>
      <x:c r="T46" s="315" t="s">
        <x:v>13</x:v>
      </x:c>
      <x:c r="U46" s="316">
        <x:f>REMUNERACION_ENEL!U107</x:f>
        <x:v>0</x:v>
      </x:c>
      <x:c r="V46" s="317">
        <x:f>REMUNERACION_ENEL!V107</x:f>
        <x:v>0</x:v>
      </x:c>
      <x:c r="W46" s="317">
        <x:f>REMUNERACION_ENEL!W107</x:f>
        <x:v>0</x:v>
      </x:c>
      <x:c r="X46" s="317">
        <x:f>REMUNERACION_ENEL!X107</x:f>
        <x:v>0</x:v>
      </x:c>
      <x:c r="Y46" s="318">
        <x:f>REMUNERACION_ENEL!Y107</x:f>
        <x:v>0</x:v>
      </x:c>
      <x:c r="Z46" s="319">
        <x:f>REMUNERACION_ENEL!Z107</x:f>
        <x:v>-120391083</x:v>
      </x:c>
      <x:c r="AA46" s="320">
        <x:f>REMUNERACION_ENEL!AA107</x:f>
        <x:v>0</x:v>
      </x:c>
      <x:c r="AB46" s="294">
        <x:f>REMUNERACION_ENEL!AB107</x:f>
        <x:v>0</x:v>
      </x:c>
      <x:c r="AC46" s="320">
        <x:f>REMUNERACION_ENEL!AC107</x:f>
        <x:v>0</x:v>
      </x:c>
      <x:c r="AD46" s="291">
        <x:f>REMUNERACION_ENEL!AD107</x:f>
        <x:v>0</x:v>
      </x:c>
      <x:c r="AE46" s="291">
        <x:f>REMUNERACION_ENEL!AE107</x:f>
        <x:v>0</x:v>
      </x:c>
      <x:c r="AF46" s="322">
        <x:f>REMUNERACION_ENEL!AF107</x:f>
        <x:v>-120391083</x:v>
      </x:c>
      <x:c r="AG46" s="522">
        <x:f>REMUNERACION_ENEL!AG107</x:f>
        <x:v>0</x:v>
      </x:c>
      <x:c r="AH46" s="1"/>
      <x:c r="AI46" s="306"/>
      <x:c r="AM46" s="333"/>
    </x:row>
    <x:row r="47" spans="1:39" s="305" customFormat="1" ht="12" thickBot="1" x14ac:dyDescent="0.35">
      <x:c r="B47" s="324">
        <x:v>5</x:v>
      </x:c>
      <x:c r="C47" s="325" t="s">
        <x:v>14</x:v>
      </x:c>
      <x:c r="D47" s="296">
        <x:f>REMUNERACION_ENEL!D108</x:f>
        <x:v>0</x:v>
      </x:c>
      <x:c r="E47" s="297">
        <x:f>REMUNERACION_ENEL!E108</x:f>
        <x:v>0</x:v>
      </x:c>
      <x:c r="F47" s="297">
        <x:f>REMUNERACION_ENEL!F108</x:f>
        <x:v>0</x:v>
      </x:c>
      <x:c r="G47" s="297">
        <x:f>REMUNERACION_ENEL!G108</x:f>
        <x:v>0</x:v>
      </x:c>
      <x:c r="H47" s="297">
        <x:f>REMUNERACION_ENEL!H108</x:f>
        <x:v>0</x:v>
      </x:c>
      <x:c r="I47" s="297">
        <x:f>REMUNERACION_ENEL!I108</x:f>
        <x:v>0</x:v>
      </x:c>
      <x:c r="J47" s="289">
        <x:f>REMUNERACION_ENEL!J108</x:f>
        <x:v>0</x:v>
      </x:c>
      <x:c r="K47" s="295">
        <x:f>REMUNERACION_ENEL!K108</x:f>
        <x:v>0</x:v>
      </x:c>
      <x:c r="L47" s="294">
        <x:f>REMUNERACION_ENEL!L108</x:f>
        <x:v>128990446</x:v>
      </x:c>
      <x:c r="M47" s="298">
        <x:f>REMUNERACION_ENEL!M108</x:f>
        <x:v>-128990446</x:v>
      </x:c>
      <x:c r="N47" s="299">
        <x:f>REMUNERACION_ENEL!N108</x:f>
        <x:v>0</x:v>
      </x:c>
      <x:c r="O47" s="298">
        <x:f>REMUNERACION_ENEL!O108</x:f>
        <x:v>-128990446</x:v>
      </x:c>
      <x:c r="Q47" s="306"/>
      <x:c r="S47" s="324">
        <x:v>5</x:v>
      </x:c>
      <x:c r="T47" s="325" t="s">
        <x:v>14</x:v>
      </x:c>
      <x:c r="U47" s="296">
        <x:f>REMUNERACION_ENEL!U108</x:f>
        <x:v>0</x:v>
      </x:c>
      <x:c r="V47" s="297">
        <x:f>REMUNERACION_ENEL!V108</x:f>
        <x:v>0</x:v>
      </x:c>
      <x:c r="W47" s="297">
        <x:f>REMUNERACION_ENEL!W108</x:f>
        <x:v>0</x:v>
      </x:c>
      <x:c r="X47" s="297">
        <x:f>REMUNERACION_ENEL!X108</x:f>
        <x:v>0</x:v>
      </x:c>
      <x:c r="Y47" s="289">
        <x:f>REMUNERACION_ENEL!Y108</x:f>
        <x:v>0</x:v>
      </x:c>
      <x:c r="Z47" s="319">
        <x:f>REMUNERACION_ENEL!Z108</x:f>
        <x:v>-128990446</x:v>
      </x:c>
      <x:c r="AA47" s="320">
        <x:f>REMUNERACION_ENEL!AA108</x:f>
        <x:v>0</x:v>
      </x:c>
      <x:c r="AB47" s="294">
        <x:f>REMUNERACION_ENEL!AB108</x:f>
        <x:v>0</x:v>
      </x:c>
      <x:c r="AC47" s="320">
        <x:f>REMUNERACION_ENEL!AC108</x:f>
        <x:v>0</x:v>
      </x:c>
      <x:c r="AD47" s="291">
        <x:f>REMUNERACION_ENEL!AD108</x:f>
        <x:v>0</x:v>
      </x:c>
      <x:c r="AE47" s="291">
        <x:f>REMUNERACION_ENEL!AE108</x:f>
        <x:v>0</x:v>
      </x:c>
      <x:c r="AF47" s="322">
        <x:f>REMUNERACION_ENEL!AF108</x:f>
        <x:v>-128990446</x:v>
      </x:c>
      <x:c r="AG47" s="523">
        <x:f>REMUNERACION_ENEL!AG108</x:f>
        <x:v>0</x:v>
      </x:c>
      <x:c r="AH47" s="1"/>
      <x:c r="AI47" s="306"/>
      <x:c r="AM47" s="333"/>
    </x:row>
    <x:row r="48" spans="1:39" s="305" customFormat="1" ht="12.9" thickBot="1" x14ac:dyDescent="0.35">
      <x:c r="B48" s="327"/>
      <x:c r="C48" s="328" t="s">
        <x:v>2</x:v>
      </x:c>
      <x:c r="D48" s="290">
        <x:f>REMUNERACION_ENEL!D109</x:f>
        <x:v>0</x:v>
      </x:c>
      <x:c r="E48" s="290">
        <x:f>REMUNERACION_ENEL!E109</x:f>
        <x:v>0</x:v>
      </x:c>
      <x:c r="F48" s="290">
        <x:f>REMUNERACION_ENEL!F109</x:f>
        <x:v>0</x:v>
      </x:c>
      <x:c r="G48" s="290">
        <x:f>REMUNERACION_ENEL!G109</x:f>
        <x:v>0</x:v>
      </x:c>
      <x:c r="H48" s="290">
        <x:f>REMUNERACION_ENEL!H109</x:f>
        <x:v>0</x:v>
      </x:c>
      <x:c r="I48" s="290">
        <x:f>REMUNERACION_ENEL!I109</x:f>
        <x:v>0</x:v>
      </x:c>
      <x:c r="J48" s="290">
        <x:f>REMUNERACION_ENEL!J109</x:f>
        <x:v>0</x:v>
      </x:c>
      <x:c r="K48" s="300">
        <x:f>REMUNERACION_ENEL!K109</x:f>
        <x:v>0</x:v>
      </x:c>
      <x:c r="L48" s="301">
        <x:f>REMUNERACION_ENEL!L109</x:f>
        <x:v>859936309</x:v>
      </x:c>
      <x:c r="M48" s="302">
        <x:f>REMUNERACION_ENEL!M109</x:f>
        <x:v>-859936309</x:v>
      </x:c>
      <x:c r="N48" s="301">
        <x:f>REMUNERACION_ENEL!N109</x:f>
        <x:v>0</x:v>
      </x:c>
      <x:c r="O48" s="302">
        <x:f>REMUNERACION_ENEL!O109</x:f>
        <x:v>-859936309</x:v>
      </x:c>
      <x:c r="P48" s="329"/>
      <x:c r="Q48" s="306"/>
      <x:c r="S48" s="327"/>
      <x:c r="T48" s="328" t="s">
        <x:v>2</x:v>
      </x:c>
      <x:c r="U48" s="330">
        <x:f>REMUNERACION_ENEL!U109</x:f>
        <x:v>0</x:v>
      </x:c>
      <x:c r="V48" s="330">
        <x:f>REMUNERACION_ENEL!V109</x:f>
        <x:v>0</x:v>
      </x:c>
      <x:c r="W48" s="330">
        <x:f>REMUNERACION_ENEL!W109</x:f>
        <x:v>0</x:v>
      </x:c>
      <x:c r="X48" s="330">
        <x:f>REMUNERACION_ENEL!X109</x:f>
        <x:v>0</x:v>
      </x:c>
      <x:c r="Y48" s="330">
        <x:f>REMUNERACION_ENEL!Y109</x:f>
        <x:v>0</x:v>
      </x:c>
      <x:c r="Z48" s="290">
        <x:f>REMUNERACION_ENEL!Z109</x:f>
        <x:v>-859936309</x:v>
      </x:c>
      <x:c r="AA48" s="290">
        <x:f>REMUNERACION_ENEL!AA109</x:f>
        <x:v>0</x:v>
      </x:c>
      <x:c r="AB48" s="290">
        <x:f>REMUNERACION_ENEL!AB109</x:f>
        <x:v>0</x:v>
      </x:c>
      <x:c r="AC48" s="290">
        <x:f>REMUNERACION_ENEL!AC109</x:f>
        <x:v>0</x:v>
      </x:c>
      <x:c r="AD48" s="290">
        <x:f>REMUNERACION_ENEL!AD109</x:f>
        <x:v>0</x:v>
      </x:c>
      <x:c r="AE48" s="290">
        <x:f>REMUNERACION_ENEL!AE109</x:f>
        <x:v>0</x:v>
      </x:c>
      <x:c r="AF48" s="331">
        <x:f>REMUNERACION_ENEL!AF109</x:f>
        <x:v>-859936309</x:v>
      </x:c>
      <x:c r="AG48" s="524">
        <x:f>REMUNERACION_ENEL!AG109</x:f>
        <x:v>0</x:v>
      </x:c>
      <x:c r="AH48" s="1"/>
      <x:c r="AI48" s="306"/>
      <x:c r="AM48" s="333"/>
    </x:row>
    <x:row r="49" spans="1:39" x14ac:dyDescent="0.3">
      <x:c r="B49" s="2"/>
      <x:c r="C49" s="2"/>
      <x:c r="D49" s="448"/>
      <x:c r="E49" s="448"/>
      <x:c r="F49" s="448"/>
      <x:c r="G49" s="448"/>
      <x:c r="H49" s="448"/>
      <x:c r="I49" s="448"/>
      <x:c r="K49" s="448"/>
      <x:c r="L49" s="448"/>
      <x:c r="M49" s="448"/>
      <x:c r="N49" s="448"/>
      <x:c r="O49" s="448"/>
      <x:c r="Q49" s="4"/>
      <x:c r="S49" s="2"/>
      <x:c r="T49" s="2"/>
      <x:c r="U49" s="448"/>
      <x:c r="V49" s="448"/>
      <x:c r="W49" s="448"/>
      <x:c r="X49" s="448"/>
      <x:c r="Y49" s="448"/>
      <x:c r="AF49" s="448"/>
      <x:c r="AI49" s="4"/>
    </x:row>
    <x:row r="50" spans="1:39" x14ac:dyDescent="0.3">
      <x:c r="B50" s="2"/>
      <x:c r="C50" s="2"/>
      <x:c r="D50" s="549"/>
      <x:c r="E50" s="549"/>
      <x:c r="F50" s="549"/>
      <x:c r="G50" s="549"/>
      <x:c r="H50" s="549"/>
      <x:c r="I50" s="549"/>
      <x:c r="K50" s="549"/>
      <x:c r="L50" s="549"/>
      <x:c r="M50" s="549"/>
      <x:c r="N50" s="549"/>
      <x:c r="O50" s="549"/>
      <x:c r="Q50" s="4"/>
      <x:c r="AI50" s="4"/>
    </x:row>
    <x:row r="51" spans="1:39" x14ac:dyDescent="0.3">
      <x:c r="A51" s="4"/>
      <x:c r="B51" s="34"/>
      <x:c r="C51" s="34"/>
      <x:c r="D51" s="474"/>
      <x:c r="E51" s="474"/>
      <x:c r="F51" s="474"/>
      <x:c r="G51" s="474"/>
      <x:c r="H51" s="474"/>
      <x:c r="I51" s="474"/>
      <x:c r="J51" s="4"/>
      <x:c r="K51" s="474"/>
      <x:c r="L51" s="474"/>
      <x:c r="M51" s="474"/>
      <x:c r="N51" s="474"/>
      <x:c r="O51" s="47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</x:row>
    <x:row r="52" spans="1:39" ht="12" thickBot="1" x14ac:dyDescent="0.35">
      <x:c r="B52" s="2"/>
      <x:c r="C52" s="2"/>
      <x:c r="D52" s="549"/>
      <x:c r="E52" s="549"/>
      <x:c r="F52" s="549"/>
      <x:c r="G52" s="549"/>
      <x:c r="H52" s="549"/>
      <x:c r="I52" s="549"/>
      <x:c r="K52" s="549"/>
      <x:c r="L52" s="549"/>
      <x:c r="M52" s="549"/>
      <x:c r="N52" s="549"/>
      <x:c r="O52" s="549"/>
    </x:row>
    <x:row r="53" spans="1:39" x14ac:dyDescent="0.3">
      <x:c r="B53" s="5"/>
      <x:c r="C53" s="3" t="s">
        <x:v>1</x:v>
      </x:c>
      <x:c r="D53" s="6" t="s">
        <x:v>1</x:v>
      </x:c>
      <x:c r="E53" s="3"/>
      <x:c r="F53" s="3"/>
      <x:c r="G53" s="3"/>
      <x:c r="H53" s="3" t="s">
        <x:v>1</x:v>
      </x:c>
      <x:c r="I53" s="3"/>
      <x:c r="J53" s="3"/>
      <x:c r="K53" s="3"/>
      <x:c r="L53" s="3"/>
      <x:c r="M53" s="3"/>
      <x:c r="N53" s="3"/>
      <x:c r="O53" s="7"/>
      <x:c r="P53" s="2"/>
      <x:c r="Q53" s="4"/>
      <x:c r="S53" s="5"/>
      <x:c r="T53" s="3" t="s">
        <x:v>1</x:v>
      </x:c>
      <x:c r="U53" s="6" t="s">
        <x:v>1</x:v>
      </x:c>
      <x:c r="V53" s="3"/>
      <x:c r="W53" s="3"/>
      <x:c r="X53" s="3" t="s">
        <x:v>1</x:v>
      </x:c>
      <x:c r="Y53" s="3"/>
      <x:c r="Z53" s="3"/>
      <x:c r="AA53" s="3"/>
      <x:c r="AB53" s="3"/>
      <x:c r="AC53" s="3"/>
      <x:c r="AD53" s="3"/>
      <x:c r="AE53" s="3"/>
      <x:c r="AF53" s="7"/>
      <x:c r="AG53" s="2"/>
      <x:c r="AI53" s="4"/>
    </x:row>
    <x:row r="54" spans="1:39" ht="14.15" x14ac:dyDescent="0.35">
      <x:c r="B54" s="8"/>
      <x:c r="F54" s="26" t="s">
        <x:v>8</x:v>
      </x:c>
      <x:c r="G54" s="26"/>
      <x:c r="I54" s="26" t="s">
        <x:v>16</x:v>
      </x:c>
      <x:c r="J54" s="25"/>
      <x:c r="M54" s="2"/>
      <x:c r="N54" s="50"/>
      <x:c r="O54" s="10"/>
      <x:c r="P54" s="2"/>
      <x:c r="Q54" s="4"/>
      <x:c r="S54" s="8"/>
      <x:c r="U54" s="26" t="s">
        <x:v>8</x:v>
      </x:c>
      <x:c r="W54" s="26" t="s">
        <x:v>16</x:v>
      </x:c>
      <x:c r="X54" s="25"/>
      <x:c r="Y54" s="2"/>
      <x:c r="AA54" s="2" t="s">
        <x:v>1</x:v>
      </x:c>
      <x:c r="AD54" s="84" t="s">
        <x:v>1</x:v>
      </x:c>
      <x:c r="AE54" s="84"/>
      <x:c r="AF54" s="48"/>
      <x:c r="AG54" s="2"/>
      <x:c r="AI54" s="4"/>
    </x:row>
    <x:row r="55" spans="1:39" ht="15.45" x14ac:dyDescent="0.4">
      <x:c r="B55" s="8"/>
      <x:c r="F55" s="36" t="s">
        <x:v>29</x:v>
      </x:c>
      <x:c r="G55" s="36"/>
      <x:c r="O55" s="10"/>
      <x:c r="P55" s="2"/>
      <x:c r="Q55" s="4"/>
      <x:c r="S55" s="8"/>
      <x:c r="T55" s="26" t="s">
        <x:v>1</x:v>
      </x:c>
      <x:c r="U55" s="36" t="s">
        <x:v>29</x:v>
      </x:c>
      <x:c r="Y55" s="2" t="s">
        <x:v>1</x:v>
      </x:c>
      <x:c r="AA55" s="50" t="s">
        <x:v>1</x:v>
      </x:c>
      <x:c r="AB55" s="2"/>
      <x:c r="AC55" s="2"/>
      <x:c r="AD55" s="2"/>
      <x:c r="AE55" s="2"/>
      <x:c r="AF55" s="10" t="s">
        <x:v>1</x:v>
      </x:c>
      <x:c r="AG55" s="2"/>
      <x:c r="AI55" s="4"/>
    </x:row>
    <x:row r="56" spans="1:39" ht="14.15" x14ac:dyDescent="0.35">
      <x:c r="B56" s="8"/>
      <x:c r="F56" s="2" t="s">
        <x:v>30</x:v>
      </x:c>
      <x:c r="G56" s="2"/>
      <x:c r="L56" s="91"/>
      <x:c r="M56" s="2" t="s">
        <x:v>1</x:v>
      </x:c>
      <x:c r="O56" s="10"/>
      <x:c r="P56" s="2"/>
      <x:c r="Q56" s="4"/>
      <x:c r="S56" s="8"/>
      <x:c r="T56" s="49" t="s">
        <x:v>1</x:v>
      </x:c>
      <x:c r="U56" s="2" t="s">
        <x:v>30</x:v>
      </x:c>
      <x:c r="AF56" s="44"/>
      <x:c r="AG56" s="2"/>
      <x:c r="AI56" s="4"/>
    </x:row>
    <x:row r="57" spans="1:39" ht="15.45" x14ac:dyDescent="0.4">
      <x:c r="B57" s="8"/>
      <x:c r="C57" s="2"/>
      <x:c r="D57" s="9"/>
      <x:c r="F57" s="58" t="s">
        <x:v>330</x:v>
      </x:c>
      <x:c r="G57" s="58"/>
      <x:c r="H57" s="59"/>
      <x:c r="I57" s="60"/>
      <x:c r="J57" s="59"/>
      <x:c r="L57" s="91"/>
      <x:c r="O57" s="10"/>
      <x:c r="P57" s="2"/>
      <x:c r="Q57" s="4"/>
      <x:c r="S57" s="8"/>
      <x:c r="T57" s="41" t="s">
        <x:v>1</x:v>
      </x:c>
      <x:c r="U57" s="58" t="s">
        <x:v>35</x:v>
      </x:c>
      <x:c r="V57" s="59"/>
      <x:c r="W57" s="60"/>
      <x:c r="X57" s="59"/>
      <x:c r="Y57" s="2"/>
      <x:c r="AF57" s="48"/>
      <x:c r="AG57" s="2"/>
      <x:c r="AI57" s="4"/>
    </x:row>
    <x:row r="58" spans="1:39" ht="18.45" thickBot="1" x14ac:dyDescent="0.6">
      <x:c r="B58" s="8"/>
      <x:c r="C58" s="2"/>
      <x:c r="D58" s="241"/>
      <x:c r="F58" s="2"/>
      <x:c r="G58" s="9"/>
      <x:c r="J58" s="2"/>
      <x:c r="K58" s="9"/>
      <x:c r="L58" s="92"/>
      <x:c r="O58" s="10"/>
      <x:c r="P58" s="2"/>
      <x:c r="Q58" s="4"/>
      <x:c r="S58" s="8"/>
      <x:c r="V58" s="9"/>
      <x:c r="Y58" s="9"/>
      <x:c r="Z58" s="1" t="s">
        <x:v>1</x:v>
      </x:c>
      <x:c r="AF58" s="48"/>
      <x:c r="AG58" s="2"/>
      <x:c r="AI58" s="4"/>
      <x:c r="AJ58" s="112" t="s">
        <x:v>1</x:v>
      </x:c>
    </x:row>
    <x:row r="59" spans="1:39" ht="72" customHeight="1" thickBot="1" x14ac:dyDescent="0.35">
      <x:c r="B59" s="11" t="s">
        <x:v>3</x:v>
      </x:c>
      <x:c r="C59" s="27" t="s">
        <x:v>9</x:v>
      </x:c>
      <x:c r="D59" s="11" t="s">
        <x:v>4</x:v>
      </x:c>
      <x:c r="E59" s="12" t="s">
        <x:v>5</x:v>
      </x:c>
      <x:c r="F59" s="27" t="s">
        <x:v>6</x:v>
      </x:c>
      <x:c r="G59" s="27" t="s">
        <x:v>159</x:v>
      </x:c>
      <x:c r="H59" s="27" t="s">
        <x:v>18</x:v>
      </x:c>
      <x:c r="I59" s="12" t="s">
        <x:v>24</x:v>
      </x:c>
      <x:c r="J59" s="73" t="s">
        <x:v>19</x:v>
      </x:c>
      <x:c r="K59" s="29" t="s">
        <x:v>20</x:v>
      </x:c>
      <x:c r="L59" s="28" t="s">
        <x:v>21</x:v>
      </x:c>
      <x:c r="M59" s="39" t="s">
        <x:v>22</x:v>
      </x:c>
      <x:c r="N59" s="12" t="s">
        <x:v>7</x:v>
      </x:c>
      <x:c r="O59" s="39" t="s">
        <x:v>23</x:v>
      </x:c>
      <x:c r="P59" s="13"/>
      <x:c r="Q59" s="4"/>
      <x:c r="S59" s="11" t="s">
        <x:v>3</x:v>
      </x:c>
      <x:c r="T59" s="27" t="s">
        <x:v>9</x:v>
      </x:c>
      <x:c r="U59" s="162" t="s">
        <x:v>39</x:v>
      </x:c>
      <x:c r="V59" s="163" t="s">
        <x:v>40</x:v>
      </x:c>
      <x:c r="W59" s="163" t="s">
        <x:v>41</x:v>
      </x:c>
      <x:c r="X59" s="163" t="s">
        <x:v>42</x:v>
      </x:c>
      <x:c r="Y59" s="164" t="s">
        <x:v>43</x:v>
      </x:c>
      <x:c r="Z59" s="85" t="s">
        <x:v>21</x:v>
      </x:c>
      <x:c r="AA59" s="65" t="s">
        <x:v>46</x:v>
      </x:c>
      <x:c r="AB59" s="65" t="s">
        <x:v>7</x:v>
      </x:c>
      <x:c r="AC59" s="85" t="s">
        <x:v>168</x:v>
      </x:c>
      <x:c r="AD59" s="121" t="s">
        <x:v>105</x:v>
      </x:c>
      <x:c r="AE59" s="121" t="s">
        <x:v>104</x:v>
      </x:c>
      <x:c r="AF59" s="39" t="s">
        <x:v>23</x:v>
      </x:c>
      <x:c r="AG59" s="13"/>
      <x:c r="AI59" s="4"/>
    </x:row>
    <x:row r="60" spans="1:39" s="305" customFormat="1" x14ac:dyDescent="0.3">
      <x:c r="B60" s="303">
        <x:v>1</x:v>
      </x:c>
      <x:c r="C60" s="304" t="s">
        <x:v>10</x:v>
      </x:c>
      <x:c r="D60" s="291">
        <x:f>REMUNERACION_ENERBIT!D104</x:f>
        <x:v>0</x:v>
      </x:c>
      <x:c r="E60" s="291">
        <x:f>REMUNERACION_ENERBIT!E104</x:f>
        <x:v>0</x:v>
      </x:c>
      <x:c r="F60" s="291">
        <x:f>REMUNERACION_ENERBIT!F104</x:f>
        <x:v>0</x:v>
      </x:c>
      <x:c r="G60" s="291">
        <x:f>REMUNERACION_ENERBIT!G104</x:f>
        <x:v>0</x:v>
      </x:c>
      <x:c r="H60" s="291">
        <x:f>REMUNERACION_ENERBIT!H104</x:f>
        <x:v>0</x:v>
      </x:c>
      <x:c r="I60" s="291">
        <x:f>REMUNERACION_ENERBIT!I104</x:f>
        <x:v>0</x:v>
      </x:c>
      <x:c r="J60" s="291">
        <x:f>REMUNERACION_ENERBIT!J104</x:f>
        <x:v>0</x:v>
      </x:c>
      <x:c r="K60" s="293">
        <x:f>REMUNERACION_ENERBIT!K104</x:f>
        <x:v>0</x:v>
      </x:c>
      <x:c r="L60" s="294">
        <x:f>REMUNERACION_ENERBIT!L104</x:f>
        <x:v>0</x:v>
      </x:c>
      <x:c r="M60" s="293">
        <x:f>REMUNERACION_ENERBIT!M104</x:f>
        <x:v>0</x:v>
      </x:c>
      <x:c r="N60" s="294">
        <x:f>REMUNERACION_ENERBIT!N104</x:f>
        <x:v>0</x:v>
      </x:c>
      <x:c r="O60" s="293">
        <x:f>REMUNERACION_ENERBIT!O104</x:f>
        <x:v>0</x:v>
      </x:c>
      <x:c r="Q60" s="306"/>
      <x:c r="S60" s="303">
        <x:v>1</x:v>
      </x:c>
      <x:c r="T60" s="304" t="s">
        <x:v>10</x:v>
      </x:c>
      <x:c r="U60" s="307">
        <x:f>REMUNERACION_ENERBIT!U104</x:f>
        <x:v>0</x:v>
      </x:c>
      <x:c r="V60" s="308">
        <x:f>REMUNERACION_ENERBIT!V104</x:f>
        <x:v>0</x:v>
      </x:c>
      <x:c r="W60" s="308">
        <x:f>REMUNERACION_ENERBIT!W104</x:f>
        <x:v>0</x:v>
      </x:c>
      <x:c r="X60" s="308">
        <x:f>REMUNERACION_ENERBIT!X104</x:f>
        <x:v>0</x:v>
      </x:c>
      <x:c r="Y60" s="309">
        <x:f>REMUNERACION_ENERBIT!Y104</x:f>
        <x:v>0</x:v>
      </x:c>
      <x:c r="Z60" s="309">
        <x:f>REMUNERACION_ENERBIT!Z104</x:f>
        <x:v>0</x:v>
      </x:c>
      <x:c r="AA60" s="309">
        <x:f>REMUNERACION_ENERBIT!AA104</x:f>
        <x:v>0</x:v>
      </x:c>
      <x:c r="AB60" s="309">
        <x:f>REMUNERACION_ENERBIT!AB104</x:f>
        <x:v>0</x:v>
      </x:c>
      <x:c r="AC60" s="309">
        <x:f>REMUNERACION_ENERBIT!AC104</x:f>
        <x:v>0</x:v>
      </x:c>
      <x:c r="AD60" s="309">
        <x:f>REMUNERACION_ENERBIT!AD104</x:f>
        <x:v>0</x:v>
      </x:c>
      <x:c r="AE60" s="309">
        <x:f>REMUNERACION_ENERBIT!AE104</x:f>
        <x:v>0</x:v>
      </x:c>
      <x:c r="AF60" s="313">
        <x:f>REMUNERACION_ENERBIT!AF104</x:f>
        <x:v>0</x:v>
      </x:c>
      <x:c r="AG60" s="521">
        <x:f>REMUNERACION_ENEL!AG121</x:f>
        <x:v>0</x:v>
      </x:c>
      <x:c r="AH60" s="1"/>
      <x:c r="AI60" s="306"/>
      <x:c r="AM60" s="333"/>
    </x:row>
    <x:row r="61" spans="1:39" s="305" customFormat="1" x14ac:dyDescent="0.3">
      <x:c r="B61" s="314">
        <x:v>2</x:v>
      </x:c>
      <x:c r="C61" s="315" t="s">
        <x:v>11</x:v>
      </x:c>
      <x:c r="D61" s="291">
        <x:f>REMUNERACION_ENERBIT!D105</x:f>
        <x:v>0</x:v>
      </x:c>
      <x:c r="E61" s="291">
        <x:f>REMUNERACION_ENERBIT!E105</x:f>
        <x:v>0</x:v>
      </x:c>
      <x:c r="F61" s="291">
        <x:f>REMUNERACION_ENERBIT!F105</x:f>
        <x:v>0</x:v>
      </x:c>
      <x:c r="G61" s="291">
        <x:f>REMUNERACION_ENERBIT!G105</x:f>
        <x:v>0</x:v>
      </x:c>
      <x:c r="H61" s="291">
        <x:f>REMUNERACION_ENERBIT!H105</x:f>
        <x:v>0</x:v>
      </x:c>
      <x:c r="I61" s="291">
        <x:f>REMUNERACION_ENERBIT!I105</x:f>
        <x:v>0</x:v>
      </x:c>
      <x:c r="J61" s="291">
        <x:f>REMUNERACION_ENERBIT!J105</x:f>
        <x:v>0</x:v>
      </x:c>
      <x:c r="K61" s="295">
        <x:f>REMUNERACION_ENERBIT!K105</x:f>
        <x:v>0</x:v>
      </x:c>
      <x:c r="L61" s="294">
        <x:f>REMUNERACION_ENERBIT!L105</x:f>
        <x:v>0</x:v>
      </x:c>
      <x:c r="M61" s="295">
        <x:f>REMUNERACION_ENERBIT!M105</x:f>
        <x:v>0</x:v>
      </x:c>
      <x:c r="N61" s="294">
        <x:f>REMUNERACION_ENERBIT!N105</x:f>
        <x:v>0</x:v>
      </x:c>
      <x:c r="O61" s="295">
        <x:f>REMUNERACION_ENERBIT!O105</x:f>
        <x:v>0</x:v>
      </x:c>
      <x:c r="Q61" s="306"/>
      <x:c r="S61" s="314">
        <x:v>2</x:v>
      </x:c>
      <x:c r="T61" s="315" t="s">
        <x:v>11</x:v>
      </x:c>
      <x:c r="U61" s="316">
        <x:f>REMUNERACION_ENERBIT!U105</x:f>
        <x:v>0</x:v>
      </x:c>
      <x:c r="V61" s="317">
        <x:f>REMUNERACION_ENERBIT!V105</x:f>
        <x:v>0</x:v>
      </x:c>
      <x:c r="W61" s="317">
        <x:f>REMUNERACION_ENERBIT!W105</x:f>
        <x:v>0</x:v>
      </x:c>
      <x:c r="X61" s="317">
        <x:f>REMUNERACION_ENERBIT!X105</x:f>
        <x:v>0</x:v>
      </x:c>
      <x:c r="Y61" s="318">
        <x:f>REMUNERACION_ENERBIT!Y105</x:f>
        <x:v>0</x:v>
      </x:c>
      <x:c r="Z61" s="318">
        <x:f>REMUNERACION_ENERBIT!Z105</x:f>
        <x:v>0</x:v>
      </x:c>
      <x:c r="AA61" s="318">
        <x:f>REMUNERACION_ENERBIT!AA105</x:f>
        <x:v>0</x:v>
      </x:c>
      <x:c r="AB61" s="318">
        <x:f>REMUNERACION_ENERBIT!AB105</x:f>
        <x:v>0</x:v>
      </x:c>
      <x:c r="AC61" s="318">
        <x:f>REMUNERACION_ENERBIT!AC105</x:f>
        <x:v>0</x:v>
      </x:c>
      <x:c r="AD61" s="318">
        <x:f>REMUNERACION_ENERBIT!AD105</x:f>
        <x:v>0</x:v>
      </x:c>
      <x:c r="AE61" s="318">
        <x:f>REMUNERACION_ENERBIT!AE105</x:f>
        <x:v>0</x:v>
      </x:c>
      <x:c r="AF61" s="322">
        <x:f>REMUNERACION_ENERBIT!AF105</x:f>
        <x:v>0</x:v>
      </x:c>
      <x:c r="AG61" s="522">
        <x:f>REMUNERACION_ENEL!AG122</x:f>
        <x:v>0</x:v>
      </x:c>
      <x:c r="AH61" s="1"/>
      <x:c r="AI61" s="306"/>
      <x:c r="AM61" s="333"/>
    </x:row>
    <x:row r="62" spans="1:39" s="305" customFormat="1" x14ac:dyDescent="0.3">
      <x:c r="B62" s="314">
        <x:v>3</x:v>
      </x:c>
      <x:c r="C62" s="315" t="s">
        <x:v>12</x:v>
      </x:c>
      <x:c r="D62" s="291">
        <x:f>REMUNERACION_ENERBIT!D106</x:f>
        <x:v>0</x:v>
      </x:c>
      <x:c r="E62" s="291">
        <x:f>REMUNERACION_ENERBIT!E106</x:f>
        <x:v>0</x:v>
      </x:c>
      <x:c r="F62" s="291">
        <x:f>REMUNERACION_ENERBIT!F106</x:f>
        <x:v>0</x:v>
      </x:c>
      <x:c r="G62" s="291">
        <x:f>REMUNERACION_ENERBIT!G106</x:f>
        <x:v>0</x:v>
      </x:c>
      <x:c r="H62" s="291">
        <x:f>REMUNERACION_ENERBIT!H106</x:f>
        <x:v>0</x:v>
      </x:c>
      <x:c r="I62" s="291">
        <x:f>REMUNERACION_ENERBIT!I106</x:f>
        <x:v>0</x:v>
      </x:c>
      <x:c r="J62" s="291">
        <x:f>REMUNERACION_ENERBIT!J106</x:f>
        <x:v>0</x:v>
      </x:c>
      <x:c r="K62" s="295">
        <x:f>REMUNERACION_ENERBIT!K106</x:f>
        <x:v>0</x:v>
      </x:c>
      <x:c r="L62" s="294">
        <x:f>REMUNERACION_ENERBIT!L106</x:f>
        <x:v>0</x:v>
      </x:c>
      <x:c r="M62" s="295">
        <x:f>REMUNERACION_ENERBIT!M106</x:f>
        <x:v>0</x:v>
      </x:c>
      <x:c r="N62" s="294">
        <x:f>REMUNERACION_ENERBIT!N106</x:f>
        <x:v>0</x:v>
      </x:c>
      <x:c r="O62" s="295">
        <x:f>REMUNERACION_ENERBIT!O106</x:f>
        <x:v>0</x:v>
      </x:c>
      <x:c r="Q62" s="306"/>
      <x:c r="S62" s="314">
        <x:v>3</x:v>
      </x:c>
      <x:c r="T62" s="315" t="s">
        <x:v>12</x:v>
      </x:c>
      <x:c r="U62" s="316">
        <x:f>REMUNERACION_ENERBIT!U106</x:f>
        <x:v>0</x:v>
      </x:c>
      <x:c r="V62" s="317">
        <x:f>REMUNERACION_ENERBIT!V106</x:f>
        <x:v>0</x:v>
      </x:c>
      <x:c r="W62" s="317">
        <x:f>REMUNERACION_ENERBIT!W106</x:f>
        <x:v>0</x:v>
      </x:c>
      <x:c r="X62" s="317">
        <x:f>REMUNERACION_ENERBIT!X106</x:f>
        <x:v>0</x:v>
      </x:c>
      <x:c r="Y62" s="318">
        <x:f>REMUNERACION_ENERBIT!Y106</x:f>
        <x:v>0</x:v>
      </x:c>
      <x:c r="Z62" s="318">
        <x:f>REMUNERACION_ENERBIT!Z106</x:f>
        <x:v>0</x:v>
      </x:c>
      <x:c r="AA62" s="318">
        <x:f>REMUNERACION_ENERBIT!AA106</x:f>
        <x:v>0</x:v>
      </x:c>
      <x:c r="AB62" s="318">
        <x:f>REMUNERACION_ENERBIT!AB106</x:f>
        <x:v>0</x:v>
      </x:c>
      <x:c r="AC62" s="318">
        <x:f>REMUNERACION_ENERBIT!AC106</x:f>
        <x:v>0</x:v>
      </x:c>
      <x:c r="AD62" s="318">
        <x:f>REMUNERACION_ENERBIT!AD106</x:f>
        <x:v>0</x:v>
      </x:c>
      <x:c r="AE62" s="318">
        <x:f>REMUNERACION_ENERBIT!AE106</x:f>
        <x:v>0</x:v>
      </x:c>
      <x:c r="AF62" s="322">
        <x:f>REMUNERACION_ENERBIT!AF106</x:f>
        <x:v>0</x:v>
      </x:c>
      <x:c r="AG62" s="522">
        <x:f>REMUNERACION_ENEL!AG123</x:f>
        <x:v>0</x:v>
      </x:c>
      <x:c r="AH62" s="1"/>
      <x:c r="AI62" s="306"/>
      <x:c r="AM62" s="333"/>
    </x:row>
    <x:row r="63" spans="1:39" s="305" customFormat="1" x14ac:dyDescent="0.3">
      <x:c r="B63" s="314">
        <x:v>4</x:v>
      </x:c>
      <x:c r="C63" s="315" t="s">
        <x:v>13</x:v>
      </x:c>
      <x:c r="D63" s="291">
        <x:f>REMUNERACION_ENERBIT!D107</x:f>
        <x:v>0</x:v>
      </x:c>
      <x:c r="E63" s="291">
        <x:f>REMUNERACION_ENERBIT!E107</x:f>
        <x:v>0</x:v>
      </x:c>
      <x:c r="F63" s="291">
        <x:f>REMUNERACION_ENERBIT!F107</x:f>
        <x:v>0</x:v>
      </x:c>
      <x:c r="G63" s="291">
        <x:f>REMUNERACION_ENERBIT!G107</x:f>
        <x:v>0</x:v>
      </x:c>
      <x:c r="H63" s="291">
        <x:f>REMUNERACION_ENERBIT!H107</x:f>
        <x:v>0</x:v>
      </x:c>
      <x:c r="I63" s="291">
        <x:f>REMUNERACION_ENERBIT!I107</x:f>
        <x:v>0</x:v>
      </x:c>
      <x:c r="J63" s="291">
        <x:f>REMUNERACION_ENERBIT!J107</x:f>
        <x:v>0</x:v>
      </x:c>
      <x:c r="K63" s="295">
        <x:f>REMUNERACION_ENERBIT!K107</x:f>
        <x:v>0</x:v>
      </x:c>
      <x:c r="L63" s="294">
        <x:f>REMUNERACION_ENERBIT!L107</x:f>
        <x:v>0</x:v>
      </x:c>
      <x:c r="M63" s="295">
        <x:f>REMUNERACION_ENERBIT!M107</x:f>
        <x:v>0</x:v>
      </x:c>
      <x:c r="N63" s="294">
        <x:f>REMUNERACION_ENERBIT!N107</x:f>
        <x:v>0</x:v>
      </x:c>
      <x:c r="O63" s="295">
        <x:f>REMUNERACION_ENERBIT!O107</x:f>
        <x:v>0</x:v>
      </x:c>
      <x:c r="Q63" s="306"/>
      <x:c r="S63" s="314">
        <x:v>4</x:v>
      </x:c>
      <x:c r="T63" s="315" t="s">
        <x:v>13</x:v>
      </x:c>
      <x:c r="U63" s="316">
        <x:f>REMUNERACION_ENERBIT!U107</x:f>
        <x:v>0</x:v>
      </x:c>
      <x:c r="V63" s="317">
        <x:f>REMUNERACION_ENERBIT!V107</x:f>
        <x:v>0</x:v>
      </x:c>
      <x:c r="W63" s="317">
        <x:f>REMUNERACION_ENERBIT!W107</x:f>
        <x:v>0</x:v>
      </x:c>
      <x:c r="X63" s="317">
        <x:f>REMUNERACION_ENERBIT!X107</x:f>
        <x:v>0</x:v>
      </x:c>
      <x:c r="Y63" s="318">
        <x:f>REMUNERACION_ENERBIT!Y107</x:f>
        <x:v>0</x:v>
      </x:c>
      <x:c r="Z63" s="318">
        <x:f>REMUNERACION_ENERBIT!Z107</x:f>
        <x:v>0</x:v>
      </x:c>
      <x:c r="AA63" s="318">
        <x:f>REMUNERACION_ENERBIT!AA107</x:f>
        <x:v>0</x:v>
      </x:c>
      <x:c r="AB63" s="318">
        <x:f>REMUNERACION_ENERBIT!AB107</x:f>
        <x:v>0</x:v>
      </x:c>
      <x:c r="AC63" s="318">
        <x:f>REMUNERACION_ENERBIT!AC107</x:f>
        <x:v>0</x:v>
      </x:c>
      <x:c r="AD63" s="318">
        <x:f>REMUNERACION_ENERBIT!AD107</x:f>
        <x:v>0</x:v>
      </x:c>
      <x:c r="AE63" s="318">
        <x:f>REMUNERACION_ENERBIT!AE107</x:f>
        <x:v>0</x:v>
      </x:c>
      <x:c r="AF63" s="322">
        <x:f>REMUNERACION_ENERBIT!AF107</x:f>
        <x:v>0</x:v>
      </x:c>
      <x:c r="AG63" s="522">
        <x:f>REMUNERACION_ENEL!AG124</x:f>
        <x:v>0</x:v>
      </x:c>
      <x:c r="AH63" s="1"/>
      <x:c r="AI63" s="306"/>
      <x:c r="AM63" s="333"/>
    </x:row>
    <x:row r="64" spans="1:39" s="305" customFormat="1" ht="12" thickBot="1" x14ac:dyDescent="0.35">
      <x:c r="B64" s="324">
        <x:v>5</x:v>
      </x:c>
      <x:c r="C64" s="325" t="s">
        <x:v>14</x:v>
      </x:c>
      <x:c r="D64" s="291">
        <x:f>REMUNERACION_ENERBIT!D108</x:f>
        <x:v>0</x:v>
      </x:c>
      <x:c r="E64" s="291">
        <x:f>REMUNERACION_ENERBIT!E108</x:f>
        <x:v>0</x:v>
      </x:c>
      <x:c r="F64" s="291">
        <x:f>REMUNERACION_ENERBIT!F108</x:f>
        <x:v>0</x:v>
      </x:c>
      <x:c r="G64" s="291">
        <x:f>REMUNERACION_ENERBIT!G108</x:f>
        <x:v>0</x:v>
      </x:c>
      <x:c r="H64" s="291">
        <x:f>REMUNERACION_ENERBIT!H108</x:f>
        <x:v>0</x:v>
      </x:c>
      <x:c r="I64" s="291">
        <x:f>REMUNERACION_ENERBIT!I108</x:f>
        <x:v>0</x:v>
      </x:c>
      <x:c r="J64" s="291">
        <x:f>REMUNERACION_ENERBIT!J108</x:f>
        <x:v>0</x:v>
      </x:c>
      <x:c r="K64" s="295">
        <x:f>REMUNERACION_ENERBIT!K108</x:f>
        <x:v>0</x:v>
      </x:c>
      <x:c r="L64" s="294">
        <x:f>REMUNERACION_ENERBIT!L108</x:f>
        <x:v>0</x:v>
      </x:c>
      <x:c r="M64" s="298">
        <x:f>REMUNERACION_ENERBIT!M108</x:f>
        <x:v>0</x:v>
      </x:c>
      <x:c r="N64" s="299">
        <x:f>REMUNERACION_ENERBIT!N108</x:f>
        <x:v>0</x:v>
      </x:c>
      <x:c r="O64" s="298">
        <x:f>REMUNERACION_ENERBIT!O108</x:f>
        <x:v>0</x:v>
      </x:c>
      <x:c r="Q64" s="306"/>
      <x:c r="S64" s="324">
        <x:v>5</x:v>
      </x:c>
      <x:c r="T64" s="325" t="s">
        <x:v>14</x:v>
      </x:c>
      <x:c r="U64" s="296">
        <x:f>REMUNERACION_ENERBIT!U108</x:f>
        <x:v>0</x:v>
      </x:c>
      <x:c r="V64" s="297">
        <x:f>REMUNERACION_ENERBIT!V108</x:f>
        <x:v>0</x:v>
      </x:c>
      <x:c r="W64" s="297">
        <x:f>REMUNERACION_ENERBIT!W108</x:f>
        <x:v>0</x:v>
      </x:c>
      <x:c r="X64" s="297">
        <x:f>REMUNERACION_ENERBIT!X108</x:f>
        <x:v>0</x:v>
      </x:c>
      <x:c r="Y64" s="289">
        <x:f>REMUNERACION_ENERBIT!Y108</x:f>
        <x:v>0</x:v>
      </x:c>
      <x:c r="Z64" s="289">
        <x:f>REMUNERACION_ENERBIT!Z108</x:f>
        <x:v>0</x:v>
      </x:c>
      <x:c r="AA64" s="289">
        <x:f>REMUNERACION_ENERBIT!AA108</x:f>
        <x:v>0</x:v>
      </x:c>
      <x:c r="AB64" s="289">
        <x:f>REMUNERACION_ENERBIT!AB108</x:f>
        <x:v>0</x:v>
      </x:c>
      <x:c r="AC64" s="289">
        <x:f>REMUNERACION_ENERBIT!AC108</x:f>
        <x:v>0</x:v>
      </x:c>
      <x:c r="AD64" s="289">
        <x:f>REMUNERACION_ENERBIT!AD108</x:f>
        <x:v>0</x:v>
      </x:c>
      <x:c r="AE64" s="289">
        <x:f>REMUNERACION_ENERBIT!AE108</x:f>
        <x:v>0</x:v>
      </x:c>
      <x:c r="AF64" s="322">
        <x:f>REMUNERACION_ENERBIT!AF108</x:f>
        <x:v>0</x:v>
      </x:c>
      <x:c r="AG64" s="523">
        <x:f>REMUNERACION_ENEL!AG125</x:f>
        <x:v>0</x:v>
      </x:c>
      <x:c r="AH64" s="1"/>
      <x:c r="AI64" s="306"/>
      <x:c r="AM64" s="333"/>
    </x:row>
    <x:row r="65" spans="1:39" s="305" customFormat="1" ht="12.9" thickBot="1" x14ac:dyDescent="0.35">
      <x:c r="B65" s="327"/>
      <x:c r="C65" s="328" t="s">
        <x:v>2</x:v>
      </x:c>
      <x:c r="D65" s="290">
        <x:f>REMUNERACION_ENERBIT!D109</x:f>
        <x:v>0</x:v>
      </x:c>
      <x:c r="E65" s="290">
        <x:f>REMUNERACION_ENERBIT!E109</x:f>
        <x:v>0</x:v>
      </x:c>
      <x:c r="F65" s="290">
        <x:f>REMUNERACION_ENERBIT!F109</x:f>
        <x:v>0</x:v>
      </x:c>
      <x:c r="G65" s="290">
        <x:f>REMUNERACION_ENERBIT!G109</x:f>
        <x:v>0</x:v>
      </x:c>
      <x:c r="H65" s="290">
        <x:f>REMUNERACION_ENERBIT!H109</x:f>
        <x:v>0</x:v>
      </x:c>
      <x:c r="I65" s="290">
        <x:f>REMUNERACION_ENERBIT!I109</x:f>
        <x:v>0</x:v>
      </x:c>
      <x:c r="J65" s="290">
        <x:f>REMUNERACION_ENERBIT!J109</x:f>
        <x:v>0</x:v>
      </x:c>
      <x:c r="K65" s="300">
        <x:f>REMUNERACION_ENERBIT!K109</x:f>
        <x:v>0</x:v>
      </x:c>
      <x:c r="L65" s="301">
        <x:f>REMUNERACION_ENERBIT!L109</x:f>
        <x:v>0</x:v>
      </x:c>
      <x:c r="M65" s="302">
        <x:f>REMUNERACION_ENERBIT!M109</x:f>
        <x:v>0</x:v>
      </x:c>
      <x:c r="N65" s="301">
        <x:f>REMUNERACION_ENERBIT!N109</x:f>
        <x:v>0</x:v>
      </x:c>
      <x:c r="O65" s="302">
        <x:f>REMUNERACION_ENERBIT!O109</x:f>
        <x:v>0</x:v>
      </x:c>
      <x:c r="P65" s="329"/>
      <x:c r="Q65" s="306"/>
      <x:c r="S65" s="327"/>
      <x:c r="T65" s="328" t="s">
        <x:v>2</x:v>
      </x:c>
      <x:c r="U65" s="330">
        <x:f>REMUNERACION_ENERBIT!U109</x:f>
        <x:v>0</x:v>
      </x:c>
      <x:c r="V65" s="330">
        <x:f>REMUNERACION_ENERBIT!V109</x:f>
        <x:v>0</x:v>
      </x:c>
      <x:c r="W65" s="330">
        <x:f>REMUNERACION_ENERBIT!W109</x:f>
        <x:v>0</x:v>
      </x:c>
      <x:c r="X65" s="330">
        <x:f>REMUNERACION_ENERBIT!X109</x:f>
        <x:v>0</x:v>
      </x:c>
      <x:c r="Y65" s="330">
        <x:f>REMUNERACION_ENERBIT!Y109</x:f>
        <x:v>0</x:v>
      </x:c>
      <x:c r="Z65" s="330">
        <x:f>REMUNERACION_ENERBIT!Z109</x:f>
        <x:v>0</x:v>
      </x:c>
      <x:c r="AA65" s="330">
        <x:f>REMUNERACION_ENERBIT!AA109</x:f>
        <x:v>0</x:v>
      </x:c>
      <x:c r="AB65" s="330">
        <x:f>REMUNERACION_ENERBIT!AB109</x:f>
        <x:v>0</x:v>
      </x:c>
      <x:c r="AC65" s="330">
        <x:f>REMUNERACION_ENERBIT!AC109</x:f>
        <x:v>0</x:v>
      </x:c>
      <x:c r="AD65" s="330">
        <x:f>REMUNERACION_ENERBIT!AD109</x:f>
        <x:v>0</x:v>
      </x:c>
      <x:c r="AE65" s="330">
        <x:f>REMUNERACION_ENERBIT!AE109</x:f>
        <x:v>0</x:v>
      </x:c>
      <x:c r="AF65" s="331">
        <x:f>REMUNERACION_ENERBIT!AF109</x:f>
        <x:v>0</x:v>
      </x:c>
      <x:c r="AG65" s="524">
        <x:f>REMUNERACION_ENEL!AG126</x:f>
        <x:v>0</x:v>
      </x:c>
      <x:c r="AH65" s="1"/>
      <x:c r="AI65" s="306"/>
      <x:c r="AM65" s="333"/>
    </x:row>
    <x:row r="66" spans="1:39" x14ac:dyDescent="0.3">
      <x:c r="B66" s="2"/>
      <x:c r="C66" s="2"/>
      <x:c r="D66" s="448"/>
      <x:c r="E66" s="448"/>
      <x:c r="F66" s="448"/>
      <x:c r="G66" s="448"/>
      <x:c r="H66" s="448"/>
      <x:c r="I66" s="448"/>
      <x:c r="K66" s="448"/>
      <x:c r="L66" s="448"/>
      <x:c r="M66" s="448"/>
      <x:c r="N66" s="448"/>
      <x:c r="O66" s="448"/>
      <x:c r="Q66" s="4"/>
      <x:c r="S66" s="2"/>
      <x:c r="T66" s="2"/>
      <x:c r="U66" s="448"/>
      <x:c r="V66" s="448"/>
      <x:c r="W66" s="448"/>
      <x:c r="X66" s="448"/>
      <x:c r="Y66" s="448"/>
      <x:c r="AF66" s="448"/>
      <x:c r="AI66" s="4"/>
    </x:row>
    <x:row r="67" spans="1:39" x14ac:dyDescent="0.3">
      <x:c r="B67" s="2"/>
      <x:c r="C67" s="2"/>
      <x:c r="D67" s="549"/>
      <x:c r="E67" s="549"/>
      <x:c r="F67" s="549"/>
      <x:c r="G67" s="549"/>
      <x:c r="H67" s="549"/>
      <x:c r="I67" s="549"/>
      <x:c r="K67" s="549"/>
      <x:c r="L67" s="549"/>
      <x:c r="M67" s="549"/>
      <x:c r="N67" s="549"/>
      <x:c r="O67" s="549"/>
      <x:c r="Q67" s="4"/>
      <x:c r="AI67" s="4"/>
    </x:row>
    <x:row r="68" spans="1:39" ht="12" thickBot="1" x14ac:dyDescent="0.35">
      <x:c r="A68" s="4"/>
      <x:c r="B68" s="34"/>
      <x:c r="C68" s="34"/>
      <x:c r="D68" s="474"/>
      <x:c r="E68" s="474"/>
      <x:c r="F68" s="474"/>
      <x:c r="G68" s="474"/>
      <x:c r="H68" s="474"/>
      <x:c r="I68" s="474"/>
      <x:c r="J68" s="4"/>
      <x:c r="K68" s="474"/>
      <x:c r="L68" s="474"/>
      <x:c r="M68" s="474"/>
      <x:c r="N68" s="474"/>
      <x:c r="O68" s="47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</x:row>
    <x:row r="69" spans="1:39" x14ac:dyDescent="0.3">
      <x:c r="B69" s="5"/>
      <x:c r="C69" s="3" t="s">
        <x:v>1</x:v>
      </x:c>
      <x:c r="D69" s="6" t="s">
        <x:v>1</x:v>
      </x:c>
      <x:c r="E69" s="3"/>
      <x:c r="F69" s="3"/>
      <x:c r="G69" s="3"/>
      <x:c r="H69" s="3" t="s">
        <x:v>1</x:v>
      </x:c>
      <x:c r="I69" s="3"/>
      <x:c r="J69" s="3"/>
      <x:c r="K69" s="3"/>
      <x:c r="L69" s="3"/>
      <x:c r="M69" s="3"/>
      <x:c r="N69" s="3"/>
      <x:c r="O69" s="7"/>
      <x:c r="P69" s="2"/>
      <x:c r="Q69" s="4"/>
      <x:c r="S69" s="5"/>
      <x:c r="T69" s="3" t="s">
        <x:v>1</x:v>
      </x:c>
      <x:c r="U69" s="6" t="s">
        <x:v>1</x:v>
      </x:c>
      <x:c r="V69" s="3"/>
      <x:c r="W69" s="3"/>
      <x:c r="X69" s="3" t="s">
        <x:v>1</x:v>
      </x:c>
      <x:c r="Y69" s="3"/>
      <x:c r="Z69" s="3"/>
      <x:c r="AA69" s="3"/>
      <x:c r="AB69" s="3"/>
      <x:c r="AC69" s="3"/>
      <x:c r="AD69" s="3"/>
      <x:c r="AE69" s="3"/>
      <x:c r="AF69" s="7"/>
      <x:c r="AG69" s="2"/>
      <x:c r="AI69" s="4"/>
    </x:row>
    <x:row r="70" spans="1:39" ht="14.15" x14ac:dyDescent="0.35">
      <x:c r="B70" s="8"/>
      <x:c r="F70" s="26" t="s">
        <x:v>8</x:v>
      </x:c>
      <x:c r="G70" s="26"/>
      <x:c r="I70" s="26" t="s">
        <x:v>16</x:v>
      </x:c>
      <x:c r="J70" s="25"/>
      <x:c r="M70" s="2"/>
      <x:c r="N70" s="50"/>
      <x:c r="O70" s="10"/>
      <x:c r="P70" s="2"/>
      <x:c r="Q70" s="4"/>
      <x:c r="S70" s="8"/>
      <x:c r="U70" s="26" t="s">
        <x:v>8</x:v>
      </x:c>
      <x:c r="W70" s="26" t="s">
        <x:v>16</x:v>
      </x:c>
      <x:c r="X70" s="25"/>
      <x:c r="Y70" s="2"/>
      <x:c r="AA70" s="2"/>
      <x:c r="AD70" s="50"/>
      <x:c r="AE70" s="84"/>
      <x:c r="AF70" s="48"/>
      <x:c r="AG70" s="2"/>
      <x:c r="AI70" s="4"/>
    </x:row>
    <x:row r="71" spans="1:39" ht="15.45" x14ac:dyDescent="0.4">
      <x:c r="B71" s="8"/>
      <x:c r="F71" s="36" t="s">
        <x:v>29</x:v>
      </x:c>
      <x:c r="G71" s="36"/>
      <x:c r="O71" s="10"/>
      <x:c r="P71" s="2"/>
      <x:c r="Q71" s="4"/>
      <x:c r="S71" s="8"/>
      <x:c r="T71" s="26" t="s">
        <x:v>1</x:v>
      </x:c>
      <x:c r="U71" s="36" t="s">
        <x:v>29</x:v>
      </x:c>
      <x:c r="Y71" s="2" t="s">
        <x:v>1</x:v>
      </x:c>
      <x:c r="AA71" s="50" t="s">
        <x:v>1</x:v>
      </x:c>
      <x:c r="AB71" s="2"/>
      <x:c r="AC71" s="2"/>
      <x:c r="AD71" s="2"/>
      <x:c r="AE71" s="2"/>
      <x:c r="AF71" s="10" t="s">
        <x:v>1</x:v>
      </x:c>
      <x:c r="AG71" s="2"/>
      <x:c r="AI71" s="4"/>
    </x:row>
    <x:row r="72" spans="1:39" ht="14.15" x14ac:dyDescent="0.35">
      <x:c r="B72" s="8"/>
      <x:c r="F72" s="2" t="s">
        <x:v>30</x:v>
      </x:c>
      <x:c r="G72" s="2"/>
      <x:c r="M72" s="2" t="s">
        <x:v>1</x:v>
      </x:c>
      <x:c r="O72" s="10"/>
      <x:c r="P72" s="2"/>
      <x:c r="Q72" s="4"/>
      <x:c r="S72" s="8"/>
      <x:c r="T72" s="49" t="s">
        <x:v>1</x:v>
      </x:c>
      <x:c r="U72" s="2" t="s">
        <x:v>30</x:v>
      </x:c>
      <x:c r="AF72" s="44"/>
      <x:c r="AG72" s="2"/>
      <x:c r="AI72" s="4"/>
    </x:row>
    <x:row r="73" spans="1:39" ht="15.45" x14ac:dyDescent="0.4">
      <x:c r="B73" s="8"/>
      <x:c r="C73" s="2"/>
      <x:c r="D73" s="9"/>
      <x:c r="F73" s="476" t="s">
        <x:v>188</x:v>
      </x:c>
      <x:c r="G73" s="476"/>
      <x:c r="H73" s="477"/>
      <x:c r="I73" s="478"/>
      <x:c r="J73" s="477"/>
      <x:c r="O73" s="10"/>
      <x:c r="P73" s="2"/>
      <x:c r="Q73" s="4"/>
      <x:c r="S73" s="8"/>
      <x:c r="T73" s="41" t="s">
        <x:v>1</x:v>
      </x:c>
      <x:c r="U73" s="41" t="s">
        <x:v>35</x:v>
      </x:c>
      <x:c r="V73" s="2"/>
      <x:c r="X73" s="2"/>
      <x:c r="Y73" s="2"/>
      <x:c r="AF73" s="48"/>
      <x:c r="AG73" s="2"/>
      <x:c r="AI73" s="4"/>
    </x:row>
    <x:row r="74" spans="1:39" ht="12" thickBot="1" x14ac:dyDescent="0.35">
      <x:c r="B74" s="8"/>
      <x:c r="C74" s="2"/>
      <x:c r="D74" s="241"/>
      <x:c r="F74" s="2"/>
      <x:c r="G74" s="9"/>
      <x:c r="H74" s="9"/>
      <x:c r="J74" s="2"/>
      <x:c r="K74" s="9"/>
      <x:c r="O74" s="10"/>
      <x:c r="P74" s="2"/>
      <x:c r="Q74" s="4"/>
      <x:c r="S74" s="8"/>
      <x:c r="V74" s="9"/>
      <x:c r="Y74" s="9"/>
      <x:c r="AF74" s="48"/>
      <x:c r="AG74" s="2"/>
      <x:c r="AI74" s="4"/>
      <x:c r="AJ74" s="1" t="s">
        <x:v>1</x:v>
      </x:c>
    </x:row>
    <x:row r="75" spans="1:39" ht="69.900000000000006" thickBot="1" x14ac:dyDescent="0.35">
      <x:c r="B75" s="11" t="s">
        <x:v>3</x:v>
      </x:c>
      <x:c r="C75" s="27" t="s">
        <x:v>9</x:v>
      </x:c>
      <x:c r="D75" s="11" t="s">
        <x:v>4</x:v>
      </x:c>
      <x:c r="E75" s="12" t="s">
        <x:v>5</x:v>
      </x:c>
      <x:c r="F75" s="12" t="s">
        <x:v>6</x:v>
      </x:c>
      <x:c r="G75" s="27" t="s">
        <x:v>159</x:v>
      </x:c>
      <x:c r="H75" s="12" t="s">
        <x:v>18</x:v>
      </x:c>
      <x:c r="I75" s="12" t="s">
        <x:v>24</x:v>
      </x:c>
      <x:c r="J75" s="73" t="s">
        <x:v>19</x:v>
      </x:c>
      <x:c r="K75" s="29" t="s">
        <x:v>20</x:v>
      </x:c>
      <x:c r="L75" s="28" t="s">
        <x:v>21</x:v>
      </x:c>
      <x:c r="M75" s="39" t="s">
        <x:v>22</x:v>
      </x:c>
      <x:c r="N75" s="12" t="s">
        <x:v>7</x:v>
      </x:c>
      <x:c r="O75" s="39" t="s">
        <x:v>23</x:v>
      </x:c>
      <x:c r="P75" s="13"/>
      <x:c r="Q75" s="4"/>
      <x:c r="S75" s="11" t="s">
        <x:v>3</x:v>
      </x:c>
      <x:c r="T75" s="27" t="s">
        <x:v>9</x:v>
      </x:c>
      <x:c r="U75" s="80" t="s">
        <x:v>39</x:v>
      </x:c>
      <x:c r="V75" s="51" t="s">
        <x:v>40</x:v>
      </x:c>
      <x:c r="W75" s="51" t="s">
        <x:v>41</x:v>
      </x:c>
      <x:c r="X75" s="51" t="s">
        <x:v>42</x:v>
      </x:c>
      <x:c r="Y75" s="81" t="s">
        <x:v>43</x:v>
      </x:c>
      <x:c r="Z75" s="85" t="s">
        <x:v>21</x:v>
      </x:c>
      <x:c r="AA75" s="65" t="s">
        <x:v>46</x:v>
      </x:c>
      <x:c r="AB75" s="65" t="s">
        <x:v>7</x:v>
      </x:c>
      <x:c r="AC75" s="85" t="s">
        <x:v>168</x:v>
      </x:c>
      <x:c r="AD75" s="121" t="s">
        <x:v>105</x:v>
      </x:c>
      <x:c r="AE75" s="121" t="s">
        <x:v>104</x:v>
      </x:c>
      <x:c r="AF75" s="39" t="s">
        <x:v>23</x:v>
      </x:c>
      <x:c r="AG75" s="13"/>
      <x:c r="AI75" s="4"/>
    </x:row>
    <x:row r="76" spans="1:39" s="305" customFormat="1" x14ac:dyDescent="0.3">
      <x:c r="B76" s="303">
        <x:v>1</x:v>
      </x:c>
      <x:c r="C76" s="304" t="s">
        <x:v>10</x:v>
      </x:c>
      <x:c r="D76" s="291">
        <x:f>'REMUNERACION_OCCIDENTE_ Directa'!D104</x:f>
        <x:v>0</x:v>
      </x:c>
      <x:c r="E76" s="292">
        <x:f>'REMUNERACION_OCCIDENTE_ Directa'!E104</x:f>
        <x:v>0</x:v>
      </x:c>
      <x:c r="F76" s="292">
        <x:f>'REMUNERACION_OCCIDENTE_ Directa'!F104</x:f>
        <x:v>0</x:v>
      </x:c>
      <x:c r="G76" s="292">
        <x:f>'REMUNERACION_OCCIDENTE_ Directa'!G104</x:f>
        <x:v>0</x:v>
      </x:c>
      <x:c r="H76" s="292">
        <x:f>'REMUNERACION_OCCIDENTE_ Directa'!H104</x:f>
        <x:v>0</x:v>
      </x:c>
      <x:c r="I76" s="292">
        <x:f>'REMUNERACION_OCCIDENTE_ Directa'!I104</x:f>
        <x:v>0</x:v>
      </x:c>
      <x:c r="J76" s="288">
        <x:f>'REMUNERACION_OCCIDENTE_ Directa'!J104</x:f>
        <x:v>0</x:v>
      </x:c>
      <x:c r="K76" s="293">
        <x:f>'REMUNERACION_OCCIDENTE_ Directa'!K104</x:f>
        <x:v>0</x:v>
      </x:c>
      <x:c r="L76" s="294">
        <x:f>'REMUNERACION_OCCIDENTE_ Directa'!L104</x:f>
        <x:v>0</x:v>
      </x:c>
      <x:c r="M76" s="293">
        <x:f>'REMUNERACION_OCCIDENTE_ Directa'!M104</x:f>
        <x:v>0</x:v>
      </x:c>
      <x:c r="N76" s="294">
        <x:f>'REMUNERACION_OCCIDENTE_ Directa'!N104</x:f>
        <x:v>0</x:v>
      </x:c>
      <x:c r="O76" s="293">
        <x:f>'REMUNERACION_OCCIDENTE_ Directa'!O104</x:f>
        <x:v>0</x:v>
      </x:c>
      <x:c r="Q76" s="306"/>
      <x:c r="S76" s="303">
        <x:v>1</x:v>
      </x:c>
      <x:c r="T76" s="304" t="s">
        <x:v>10</x:v>
      </x:c>
      <x:c r="U76" s="307">
        <x:f>'REMUNERACION_OCCIDENTE_ Directa'!U104</x:f>
        <x:v>0</x:v>
      </x:c>
      <x:c r="V76" s="308">
        <x:f>'REMUNERACION_OCCIDENTE_ Directa'!V104</x:f>
        <x:v>0</x:v>
      </x:c>
      <x:c r="W76" s="308">
        <x:f>'REMUNERACION_OCCIDENTE_ Directa'!W104</x:f>
        <x:v>0</x:v>
      </x:c>
      <x:c r="X76" s="308">
        <x:f>'REMUNERACION_OCCIDENTE_ Directa'!X104</x:f>
        <x:v>0</x:v>
      </x:c>
      <x:c r="Y76" s="309">
        <x:f>'REMUNERACION_OCCIDENTE_ Directa'!Y104</x:f>
        <x:v>0</x:v>
      </x:c>
      <x:c r="Z76" s="310">
        <x:f>'REMUNERACION_OCCIDENTE_ Directa'!Z104</x:f>
        <x:v>0</x:v>
      </x:c>
      <x:c r="AA76" s="311">
        <x:f>'REMUNERACION_OCCIDENTE_ Directa'!AA104</x:f>
        <x:v>0</x:v>
      </x:c>
      <x:c r="AB76" s="294">
        <x:f>'REMUNERACION_OCCIDENTE_ Directa'!AB104</x:f>
        <x:v>0</x:v>
      </x:c>
      <x:c r="AC76" s="311">
        <x:f>'REMUNERACION_OCCIDENTE_ Directa'!AC104</x:f>
        <x:v>0</x:v>
      </x:c>
      <x:c r="AD76" s="291">
        <x:f>'REMUNERACION_OCCIDENTE_ Directa'!AD104</x:f>
        <x:v>0</x:v>
      </x:c>
      <x:c r="AE76" s="291">
        <x:f>'REMUNERACION_OCCIDENTE_ Directa'!AE104</x:f>
        <x:v>0</x:v>
      </x:c>
      <x:c r="AF76" s="313">
        <x:f>'REMUNERACION_OCCIDENTE_ Directa'!AF104</x:f>
        <x:v>0</x:v>
      </x:c>
      <x:c r="AG76" s="521">
        <x:f>'REMUNERACION_OCCIDENTE_ Directa'!AG104</x:f>
        <x:v>0</x:v>
      </x:c>
      <x:c r="AH76" s="1"/>
      <x:c r="AI76" s="306"/>
      <x:c r="AM76" s="333"/>
    </x:row>
    <x:row r="77" spans="1:39" s="305" customFormat="1" x14ac:dyDescent="0.3">
      <x:c r="B77" s="314">
        <x:v>2</x:v>
      </x:c>
      <x:c r="C77" s="315" t="s">
        <x:v>11</x:v>
      </x:c>
      <x:c r="D77" s="291">
        <x:f>'REMUNERACION_OCCIDENTE_ Directa'!D105</x:f>
        <x:v>0</x:v>
      </x:c>
      <x:c r="E77" s="292">
        <x:f>'REMUNERACION_OCCIDENTE_ Directa'!E105</x:f>
        <x:v>0</x:v>
      </x:c>
      <x:c r="F77" s="292">
        <x:f>'REMUNERACION_OCCIDENTE_ Directa'!F105</x:f>
        <x:v>0</x:v>
      </x:c>
      <x:c r="G77" s="292">
        <x:f>'REMUNERACION_OCCIDENTE_ Directa'!G105</x:f>
        <x:v>0</x:v>
      </x:c>
      <x:c r="H77" s="292">
        <x:f>'REMUNERACION_OCCIDENTE_ Directa'!H105</x:f>
        <x:v>0</x:v>
      </x:c>
      <x:c r="I77" s="292">
        <x:f>'REMUNERACION_OCCIDENTE_ Directa'!I105</x:f>
        <x:v>0</x:v>
      </x:c>
      <x:c r="J77" s="288">
        <x:f>'REMUNERACION_OCCIDENTE_ Directa'!J105</x:f>
        <x:v>0</x:v>
      </x:c>
      <x:c r="K77" s="295">
        <x:f>'REMUNERACION_OCCIDENTE_ Directa'!K105</x:f>
        <x:v>0</x:v>
      </x:c>
      <x:c r="L77" s="294">
        <x:f>'REMUNERACION_OCCIDENTE_ Directa'!L105</x:f>
        <x:v>0</x:v>
      </x:c>
      <x:c r="M77" s="295">
        <x:f>'REMUNERACION_OCCIDENTE_ Directa'!M105</x:f>
        <x:v>0</x:v>
      </x:c>
      <x:c r="N77" s="294">
        <x:f>'REMUNERACION_OCCIDENTE_ Directa'!N105</x:f>
        <x:v>0</x:v>
      </x:c>
      <x:c r="O77" s="295">
        <x:f>'REMUNERACION_OCCIDENTE_ Directa'!O105</x:f>
        <x:v>0</x:v>
      </x:c>
      <x:c r="Q77" s="306"/>
      <x:c r="S77" s="314">
        <x:v>2</x:v>
      </x:c>
      <x:c r="T77" s="315" t="s">
        <x:v>11</x:v>
      </x:c>
      <x:c r="U77" s="316">
        <x:f>'REMUNERACION_OCCIDENTE_ Directa'!U105</x:f>
        <x:v>0</x:v>
      </x:c>
      <x:c r="V77" s="317">
        <x:f>'REMUNERACION_OCCIDENTE_ Directa'!V105</x:f>
        <x:v>0</x:v>
      </x:c>
      <x:c r="W77" s="317">
        <x:f>'REMUNERACION_OCCIDENTE_ Directa'!W105</x:f>
        <x:v>0</x:v>
      </x:c>
      <x:c r="X77" s="317">
        <x:f>'REMUNERACION_OCCIDENTE_ Directa'!X105</x:f>
        <x:v>0</x:v>
      </x:c>
      <x:c r="Y77" s="318">
        <x:f>'REMUNERACION_OCCIDENTE_ Directa'!Y105</x:f>
        <x:v>0</x:v>
      </x:c>
      <x:c r="Z77" s="319">
        <x:f>'REMUNERACION_OCCIDENTE_ Directa'!Z105</x:f>
        <x:v>0</x:v>
      </x:c>
      <x:c r="AA77" s="320">
        <x:f>'REMUNERACION_OCCIDENTE_ Directa'!AA105</x:f>
        <x:v>0</x:v>
      </x:c>
      <x:c r="AB77" s="294">
        <x:f>'REMUNERACION_OCCIDENTE_ Directa'!AB105</x:f>
        <x:v>0</x:v>
      </x:c>
      <x:c r="AC77" s="320">
        <x:f>'REMUNERACION_OCCIDENTE_ Directa'!AC105</x:f>
        <x:v>0</x:v>
      </x:c>
      <x:c r="AD77" s="291">
        <x:f>'REMUNERACION_OCCIDENTE_ Directa'!AD105</x:f>
        <x:v>0</x:v>
      </x:c>
      <x:c r="AE77" s="291">
        <x:f>'REMUNERACION_OCCIDENTE_ Directa'!AE105</x:f>
        <x:v>0</x:v>
      </x:c>
      <x:c r="AF77" s="322">
        <x:f>'REMUNERACION_OCCIDENTE_ Directa'!AF105</x:f>
        <x:v>0</x:v>
      </x:c>
      <x:c r="AG77" s="522">
        <x:f>'REMUNERACION_OCCIDENTE_ Directa'!AG105</x:f>
        <x:v>0</x:v>
      </x:c>
      <x:c r="AH77" s="1"/>
      <x:c r="AI77" s="306"/>
      <x:c r="AM77" s="333"/>
    </x:row>
    <x:row r="78" spans="1:39" s="305" customFormat="1" x14ac:dyDescent="0.3">
      <x:c r="B78" s="314">
        <x:v>3</x:v>
      </x:c>
      <x:c r="C78" s="315" t="s">
        <x:v>12</x:v>
      </x:c>
      <x:c r="D78" s="291">
        <x:f>'REMUNERACION_OCCIDENTE_ Directa'!D106</x:f>
        <x:v>0</x:v>
      </x:c>
      <x:c r="E78" s="292">
        <x:f>'REMUNERACION_OCCIDENTE_ Directa'!E106</x:f>
        <x:v>0</x:v>
      </x:c>
      <x:c r="F78" s="292">
        <x:f>'REMUNERACION_OCCIDENTE_ Directa'!F106</x:f>
        <x:v>0</x:v>
      </x:c>
      <x:c r="G78" s="292">
        <x:f>'REMUNERACION_OCCIDENTE_ Directa'!G106</x:f>
        <x:v>0</x:v>
      </x:c>
      <x:c r="H78" s="292">
        <x:f>'REMUNERACION_OCCIDENTE_ Directa'!H106</x:f>
        <x:v>0</x:v>
      </x:c>
      <x:c r="I78" s="292">
        <x:f>'REMUNERACION_OCCIDENTE_ Directa'!I106</x:f>
        <x:v>0</x:v>
      </x:c>
      <x:c r="J78" s="288">
        <x:f>'REMUNERACION_OCCIDENTE_ Directa'!J106</x:f>
        <x:v>0</x:v>
      </x:c>
      <x:c r="K78" s="295">
        <x:f>'REMUNERACION_OCCIDENTE_ Directa'!K106</x:f>
        <x:v>0</x:v>
      </x:c>
      <x:c r="L78" s="294">
        <x:f>'REMUNERACION_OCCIDENTE_ Directa'!L106</x:f>
        <x:v>0</x:v>
      </x:c>
      <x:c r="M78" s="295">
        <x:f>'REMUNERACION_OCCIDENTE_ Directa'!M106</x:f>
        <x:v>0</x:v>
      </x:c>
      <x:c r="N78" s="294">
        <x:f>'REMUNERACION_OCCIDENTE_ Directa'!N106</x:f>
        <x:v>0</x:v>
      </x:c>
      <x:c r="O78" s="295">
        <x:f>'REMUNERACION_OCCIDENTE_ Directa'!O106</x:f>
        <x:v>0</x:v>
      </x:c>
      <x:c r="Q78" s="306"/>
      <x:c r="S78" s="314">
        <x:v>3</x:v>
      </x:c>
      <x:c r="T78" s="315" t="s">
        <x:v>12</x:v>
      </x:c>
      <x:c r="U78" s="316">
        <x:f>'REMUNERACION_OCCIDENTE_ Directa'!U106</x:f>
        <x:v>0</x:v>
      </x:c>
      <x:c r="V78" s="317">
        <x:f>'REMUNERACION_OCCIDENTE_ Directa'!V106</x:f>
        <x:v>0</x:v>
      </x:c>
      <x:c r="W78" s="317">
        <x:f>'REMUNERACION_OCCIDENTE_ Directa'!W106</x:f>
        <x:v>0</x:v>
      </x:c>
      <x:c r="X78" s="317">
        <x:f>'REMUNERACION_OCCIDENTE_ Directa'!X106</x:f>
        <x:v>0</x:v>
      </x:c>
      <x:c r="Y78" s="318">
        <x:f>'REMUNERACION_OCCIDENTE_ Directa'!Y106</x:f>
        <x:v>0</x:v>
      </x:c>
      <x:c r="Z78" s="319">
        <x:f>'REMUNERACION_OCCIDENTE_ Directa'!Z106</x:f>
        <x:v>0</x:v>
      </x:c>
      <x:c r="AA78" s="320">
        <x:f>'REMUNERACION_OCCIDENTE_ Directa'!AA106</x:f>
        <x:v>0</x:v>
      </x:c>
      <x:c r="AB78" s="294">
        <x:f>'REMUNERACION_OCCIDENTE_ Directa'!AB106</x:f>
        <x:v>0</x:v>
      </x:c>
      <x:c r="AC78" s="320">
        <x:f>'REMUNERACION_OCCIDENTE_ Directa'!AC106</x:f>
        <x:v>0</x:v>
      </x:c>
      <x:c r="AD78" s="291">
        <x:f>'REMUNERACION_OCCIDENTE_ Directa'!AD106</x:f>
        <x:v>0</x:v>
      </x:c>
      <x:c r="AE78" s="291">
        <x:f>'REMUNERACION_OCCIDENTE_ Directa'!AE106</x:f>
        <x:v>0</x:v>
      </x:c>
      <x:c r="AF78" s="322">
        <x:f>'REMUNERACION_OCCIDENTE_ Directa'!AF106</x:f>
        <x:v>0</x:v>
      </x:c>
      <x:c r="AG78" s="522">
        <x:f>'REMUNERACION_OCCIDENTE_ Directa'!AG106</x:f>
        <x:v>0</x:v>
      </x:c>
      <x:c r="AH78" s="1"/>
      <x:c r="AI78" s="306"/>
      <x:c r="AM78" s="333"/>
    </x:row>
    <x:row r="79" spans="1:39" s="305" customFormat="1" x14ac:dyDescent="0.3">
      <x:c r="B79" s="314">
        <x:v>4</x:v>
      </x:c>
      <x:c r="C79" s="315" t="s">
        <x:v>13</x:v>
      </x:c>
      <x:c r="D79" s="291">
        <x:f>'REMUNERACION_OCCIDENTE_ Directa'!D107</x:f>
        <x:v>0</x:v>
      </x:c>
      <x:c r="E79" s="292">
        <x:f>'REMUNERACION_OCCIDENTE_ Directa'!E107</x:f>
        <x:v>0</x:v>
      </x:c>
      <x:c r="F79" s="292">
        <x:f>'REMUNERACION_OCCIDENTE_ Directa'!F107</x:f>
        <x:v>0</x:v>
      </x:c>
      <x:c r="G79" s="292">
        <x:f>'REMUNERACION_OCCIDENTE_ Directa'!G107</x:f>
        <x:v>0</x:v>
      </x:c>
      <x:c r="H79" s="292">
        <x:f>'REMUNERACION_OCCIDENTE_ Directa'!H107</x:f>
        <x:v>0</x:v>
      </x:c>
      <x:c r="I79" s="292">
        <x:f>'REMUNERACION_OCCIDENTE_ Directa'!I107</x:f>
        <x:v>0</x:v>
      </x:c>
      <x:c r="J79" s="288">
        <x:f>'REMUNERACION_OCCIDENTE_ Directa'!J107</x:f>
        <x:v>0</x:v>
      </x:c>
      <x:c r="K79" s="295">
        <x:f>'REMUNERACION_OCCIDENTE_ Directa'!K107</x:f>
        <x:v>0</x:v>
      </x:c>
      <x:c r="L79" s="294">
        <x:f>'REMUNERACION_OCCIDENTE_ Directa'!L107</x:f>
        <x:v>0</x:v>
      </x:c>
      <x:c r="M79" s="295">
        <x:f>'REMUNERACION_OCCIDENTE_ Directa'!M107</x:f>
        <x:v>0</x:v>
      </x:c>
      <x:c r="N79" s="294">
        <x:f>'REMUNERACION_OCCIDENTE_ Directa'!N107</x:f>
        <x:v>0</x:v>
      </x:c>
      <x:c r="O79" s="295">
        <x:f>'REMUNERACION_OCCIDENTE_ Directa'!O107</x:f>
        <x:v>0</x:v>
      </x:c>
      <x:c r="Q79" s="306"/>
      <x:c r="S79" s="314">
        <x:v>4</x:v>
      </x:c>
      <x:c r="T79" s="315" t="s">
        <x:v>13</x:v>
      </x:c>
      <x:c r="U79" s="316">
        <x:f>'REMUNERACION_OCCIDENTE_ Directa'!U107</x:f>
        <x:v>0</x:v>
      </x:c>
      <x:c r="V79" s="317">
        <x:f>'REMUNERACION_OCCIDENTE_ Directa'!V107</x:f>
        <x:v>0</x:v>
      </x:c>
      <x:c r="W79" s="317">
        <x:f>'REMUNERACION_OCCIDENTE_ Directa'!W107</x:f>
        <x:v>0</x:v>
      </x:c>
      <x:c r="X79" s="317">
        <x:f>'REMUNERACION_OCCIDENTE_ Directa'!X107</x:f>
        <x:v>0</x:v>
      </x:c>
      <x:c r="Y79" s="318">
        <x:f>'REMUNERACION_OCCIDENTE_ Directa'!Y107</x:f>
        <x:v>0</x:v>
      </x:c>
      <x:c r="Z79" s="319">
        <x:f>'REMUNERACION_OCCIDENTE_ Directa'!Z107</x:f>
        <x:v>0</x:v>
      </x:c>
      <x:c r="AA79" s="320">
        <x:f>'REMUNERACION_OCCIDENTE_ Directa'!AA107</x:f>
        <x:v>0</x:v>
      </x:c>
      <x:c r="AB79" s="294">
        <x:f>'REMUNERACION_OCCIDENTE_ Directa'!AB107</x:f>
        <x:v>0</x:v>
      </x:c>
      <x:c r="AC79" s="320">
        <x:f>'REMUNERACION_OCCIDENTE_ Directa'!AC107</x:f>
        <x:v>0</x:v>
      </x:c>
      <x:c r="AD79" s="291">
        <x:f>'REMUNERACION_OCCIDENTE_ Directa'!AD107</x:f>
        <x:v>0</x:v>
      </x:c>
      <x:c r="AE79" s="291">
        <x:f>'REMUNERACION_OCCIDENTE_ Directa'!AE107</x:f>
        <x:v>0</x:v>
      </x:c>
      <x:c r="AF79" s="322">
        <x:f>'REMUNERACION_OCCIDENTE_ Directa'!AF107</x:f>
        <x:v>0</x:v>
      </x:c>
      <x:c r="AG79" s="522">
        <x:f>'REMUNERACION_OCCIDENTE_ Directa'!AG107</x:f>
        <x:v>0</x:v>
      </x:c>
      <x:c r="AH79" s="1"/>
      <x:c r="AI79" s="306"/>
      <x:c r="AM79" s="333"/>
    </x:row>
    <x:row r="80" spans="1:39" s="305" customFormat="1" ht="12" thickBot="1" x14ac:dyDescent="0.35">
      <x:c r="B80" s="324">
        <x:v>5</x:v>
      </x:c>
      <x:c r="C80" s="325" t="s">
        <x:v>14</x:v>
      </x:c>
      <x:c r="D80" s="296">
        <x:f>'REMUNERACION_OCCIDENTE_ Directa'!D108</x:f>
        <x:v>0</x:v>
      </x:c>
      <x:c r="E80" s="297">
        <x:f>'REMUNERACION_OCCIDENTE_ Directa'!E108</x:f>
        <x:v>0</x:v>
      </x:c>
      <x:c r="F80" s="297">
        <x:f>'REMUNERACION_OCCIDENTE_ Directa'!F108</x:f>
        <x:v>0</x:v>
      </x:c>
      <x:c r="G80" s="297">
        <x:f>'REMUNERACION_OCCIDENTE_ Directa'!G108</x:f>
        <x:v>0</x:v>
      </x:c>
      <x:c r="H80" s="297">
        <x:f>'REMUNERACION_OCCIDENTE_ Directa'!H108</x:f>
        <x:v>0</x:v>
      </x:c>
      <x:c r="I80" s="297">
        <x:f>'REMUNERACION_OCCIDENTE_ Directa'!I108</x:f>
        <x:v>0</x:v>
      </x:c>
      <x:c r="J80" s="289">
        <x:f>'REMUNERACION_OCCIDENTE_ Directa'!J108</x:f>
        <x:v>0</x:v>
      </x:c>
      <x:c r="K80" s="295">
        <x:f>'REMUNERACION_OCCIDENTE_ Directa'!K108</x:f>
        <x:v>0</x:v>
      </x:c>
      <x:c r="L80" s="294">
        <x:f>'REMUNERACION_OCCIDENTE_ Directa'!L108</x:f>
        <x:v>0</x:v>
      </x:c>
      <x:c r="M80" s="298">
        <x:f>'REMUNERACION_OCCIDENTE_ Directa'!M108</x:f>
        <x:v>0</x:v>
      </x:c>
      <x:c r="N80" s="299">
        <x:f>'REMUNERACION_OCCIDENTE_ Directa'!N108</x:f>
        <x:v>0</x:v>
      </x:c>
      <x:c r="O80" s="298">
        <x:f>'REMUNERACION_OCCIDENTE_ Directa'!O108</x:f>
        <x:v>0</x:v>
      </x:c>
      <x:c r="Q80" s="306"/>
      <x:c r="S80" s="324">
        <x:v>5</x:v>
      </x:c>
      <x:c r="T80" s="325" t="s">
        <x:v>14</x:v>
      </x:c>
      <x:c r="U80" s="296">
        <x:f>'REMUNERACION_OCCIDENTE_ Directa'!U108</x:f>
        <x:v>0</x:v>
      </x:c>
      <x:c r="V80" s="297">
        <x:f>'REMUNERACION_OCCIDENTE_ Directa'!V108</x:f>
        <x:v>0</x:v>
      </x:c>
      <x:c r="W80" s="297">
        <x:f>'REMUNERACION_OCCIDENTE_ Directa'!W108</x:f>
        <x:v>0</x:v>
      </x:c>
      <x:c r="X80" s="297">
        <x:f>'REMUNERACION_OCCIDENTE_ Directa'!X108</x:f>
        <x:v>0</x:v>
      </x:c>
      <x:c r="Y80" s="289">
        <x:f>'REMUNERACION_OCCIDENTE_ Directa'!Y108</x:f>
        <x:v>0</x:v>
      </x:c>
      <x:c r="Z80" s="319">
        <x:f>'REMUNERACION_OCCIDENTE_ Directa'!Z108</x:f>
        <x:v>0</x:v>
      </x:c>
      <x:c r="AA80" s="320">
        <x:f>'REMUNERACION_OCCIDENTE_ Directa'!AA108</x:f>
        <x:v>0</x:v>
      </x:c>
      <x:c r="AB80" s="294">
        <x:f>'REMUNERACION_OCCIDENTE_ Directa'!AB108</x:f>
        <x:v>0</x:v>
      </x:c>
      <x:c r="AC80" s="320">
        <x:f>'REMUNERACION_OCCIDENTE_ Directa'!AC108</x:f>
        <x:v>0</x:v>
      </x:c>
      <x:c r="AD80" s="291">
        <x:f>'REMUNERACION_OCCIDENTE_ Directa'!AD108</x:f>
        <x:v>0</x:v>
      </x:c>
      <x:c r="AE80" s="291">
        <x:f>'REMUNERACION_OCCIDENTE_ Directa'!AE108</x:f>
        <x:v>0</x:v>
      </x:c>
      <x:c r="AF80" s="322">
        <x:f>'REMUNERACION_OCCIDENTE_ Directa'!AF108</x:f>
        <x:v>0</x:v>
      </x:c>
      <x:c r="AG80" s="523">
        <x:f>'REMUNERACION_OCCIDENTE_ Directa'!AG108</x:f>
        <x:v>0</x:v>
      </x:c>
      <x:c r="AH80" s="1"/>
      <x:c r="AI80" s="306"/>
      <x:c r="AM80" s="333"/>
    </x:row>
    <x:row r="81" spans="1:39" s="305" customFormat="1" ht="12.9" thickBot="1" x14ac:dyDescent="0.35">
      <x:c r="B81" s="327"/>
      <x:c r="C81" s="328" t="s">
        <x:v>2</x:v>
      </x:c>
      <x:c r="D81" s="290">
        <x:f>'REMUNERACION_OCCIDENTE_ Directa'!D109</x:f>
        <x:v>0</x:v>
      </x:c>
      <x:c r="E81" s="290">
        <x:f>'REMUNERACION_OCCIDENTE_ Directa'!E109</x:f>
        <x:v>0</x:v>
      </x:c>
      <x:c r="F81" s="290">
        <x:f>'REMUNERACION_OCCIDENTE_ Directa'!F109</x:f>
        <x:v>0</x:v>
      </x:c>
      <x:c r="G81" s="290">
        <x:f>'REMUNERACION_OCCIDENTE_ Directa'!G109</x:f>
        <x:v>0</x:v>
      </x:c>
      <x:c r="H81" s="290">
        <x:f>'REMUNERACION_OCCIDENTE_ Directa'!H109</x:f>
        <x:v>0</x:v>
      </x:c>
      <x:c r="I81" s="290">
        <x:f>'REMUNERACION_OCCIDENTE_ Directa'!I109</x:f>
        <x:v>0</x:v>
      </x:c>
      <x:c r="J81" s="290">
        <x:f>'REMUNERACION_OCCIDENTE_ Directa'!J109</x:f>
        <x:v>0</x:v>
      </x:c>
      <x:c r="K81" s="300">
        <x:f>'REMUNERACION_OCCIDENTE_ Directa'!K109</x:f>
        <x:v>0</x:v>
      </x:c>
      <x:c r="L81" s="301">
        <x:f>'REMUNERACION_OCCIDENTE_ Directa'!L109</x:f>
        <x:v>0</x:v>
      </x:c>
      <x:c r="M81" s="302">
        <x:f>'REMUNERACION_OCCIDENTE_ Directa'!M109</x:f>
        <x:v>0</x:v>
      </x:c>
      <x:c r="N81" s="301">
        <x:f>'REMUNERACION_OCCIDENTE_ Directa'!N109</x:f>
        <x:v>0</x:v>
      </x:c>
      <x:c r="O81" s="302">
        <x:f>'REMUNERACION_OCCIDENTE_ Directa'!O109</x:f>
        <x:v>0</x:v>
      </x:c>
      <x:c r="P81" s="329"/>
      <x:c r="Q81" s="306"/>
      <x:c r="S81" s="327"/>
      <x:c r="T81" s="328" t="s">
        <x:v>2</x:v>
      </x:c>
      <x:c r="U81" s="330">
        <x:f>'REMUNERACION_OCCIDENTE_ Directa'!U109</x:f>
        <x:v>0</x:v>
      </x:c>
      <x:c r="V81" s="330">
        <x:f>'REMUNERACION_OCCIDENTE_ Directa'!V109</x:f>
        <x:v>0</x:v>
      </x:c>
      <x:c r="W81" s="330">
        <x:f>'REMUNERACION_OCCIDENTE_ Directa'!W109</x:f>
        <x:v>0</x:v>
      </x:c>
      <x:c r="X81" s="330">
        <x:f>'REMUNERACION_OCCIDENTE_ Directa'!X109</x:f>
        <x:v>0</x:v>
      </x:c>
      <x:c r="Y81" s="330">
        <x:f>'REMUNERACION_OCCIDENTE_ Directa'!Y109</x:f>
        <x:v>0</x:v>
      </x:c>
      <x:c r="Z81" s="290">
        <x:f>'REMUNERACION_OCCIDENTE_ Directa'!Z109</x:f>
        <x:v>0</x:v>
      </x:c>
      <x:c r="AA81" s="290">
        <x:f>'REMUNERACION_OCCIDENTE_ Directa'!AA109</x:f>
        <x:v>0</x:v>
      </x:c>
      <x:c r="AB81" s="290">
        <x:f>'REMUNERACION_OCCIDENTE_ Directa'!AB109</x:f>
        <x:v>0</x:v>
      </x:c>
      <x:c r="AC81" s="290">
        <x:f>'REMUNERACION_OCCIDENTE_ Directa'!AC109</x:f>
        <x:v>0</x:v>
      </x:c>
      <x:c r="AD81" s="290">
        <x:f>'REMUNERACION_OCCIDENTE_ Directa'!AD109</x:f>
        <x:v>0</x:v>
      </x:c>
      <x:c r="AE81" s="290">
        <x:f>'REMUNERACION_OCCIDENTE_ Directa'!AE109</x:f>
        <x:v>0</x:v>
      </x:c>
      <x:c r="AF81" s="331">
        <x:f>'REMUNERACION_OCCIDENTE_ Directa'!AF109</x:f>
        <x:v>0</x:v>
      </x:c>
      <x:c r="AG81" s="524">
        <x:f>'REMUNERACION_OCCIDENTE_ Directa'!AG109</x:f>
        <x:v>0</x:v>
      </x:c>
      <x:c r="AH81" s="1"/>
      <x:c r="AI81" s="306"/>
      <x:c r="AM81" s="333"/>
    </x:row>
    <x:row r="82" spans="1:39" ht="12" thickBot="1" x14ac:dyDescent="0.35">
      <x:c r="B82" s="2"/>
      <x:c r="C82" s="2"/>
      <x:c r="D82" s="448"/>
      <x:c r="E82" s="448"/>
      <x:c r="F82" s="448"/>
      <x:c r="G82" s="448"/>
      <x:c r="H82" s="448"/>
      <x:c r="I82" s="448"/>
      <x:c r="K82" s="448"/>
      <x:c r="L82" s="448"/>
      <x:c r="M82" s="448"/>
      <x:c r="N82" s="448"/>
      <x:c r="O82" s="448"/>
      <x:c r="Q82" s="4"/>
      <x:c r="S82" s="2"/>
      <x:c r="T82" s="2"/>
      <x:c r="U82" s="448"/>
      <x:c r="V82" s="448"/>
      <x:c r="W82" s="448"/>
      <x:c r="X82" s="448"/>
      <x:c r="Y82" s="448"/>
      <x:c r="AF82" s="448"/>
      <x:c r="AI82" s="4"/>
    </x:row>
    <x:row r="83" spans="1:39" ht="12" thickBot="1" x14ac:dyDescent="0.35">
      <x:c r="B83" s="2"/>
      <x:c r="C83" s="2"/>
      <x:c r="D83" s="448"/>
      <x:c r="E83" s="448"/>
      <x:c r="F83" s="448"/>
      <x:c r="G83" s="448"/>
      <x:c r="H83" s="448"/>
      <x:c r="I83" s="448"/>
      <x:c r="K83" s="448"/>
      <x:c r="L83" s="448"/>
      <x:c r="M83" s="448"/>
      <x:c r="N83" s="448"/>
      <x:c r="O83" s="448"/>
      <x:c r="Q83" s="4"/>
      <x:c r="Y83" s="449"/>
      <x:c r="AI83" s="4"/>
    </x:row>
    <x:row r="84" spans="1:39" x14ac:dyDescent="0.3">
      <x:c r="A84" s="4"/>
      <x:c r="B84" s="34"/>
      <x:c r="C84" s="34"/>
      <x:c r="D84" s="474"/>
      <x:c r="E84" s="474"/>
      <x:c r="F84" s="474"/>
      <x:c r="G84" s="474"/>
      <x:c r="H84" s="474"/>
      <x:c r="I84" s="474"/>
      <x:c r="J84" s="4"/>
      <x:c r="K84" s="474"/>
      <x:c r="L84" s="474"/>
      <x:c r="M84" s="474"/>
      <x:c r="N84" s="474"/>
      <x:c r="O84" s="47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</x:row>
    <x:row r="85" spans="1:39" ht="12" thickBot="1" x14ac:dyDescent="0.35">
      <x:c r="Q85" s="4"/>
      <x:c r="AI85" s="4"/>
    </x:row>
    <x:row r="86" spans="1:39" x14ac:dyDescent="0.3">
      <x:c r="B86" s="5"/>
      <x:c r="C86" s="3" t="s">
        <x:v>1</x:v>
      </x:c>
      <x:c r="D86" s="6" t="s">
        <x:v>1</x:v>
      </x:c>
      <x:c r="E86" s="3"/>
      <x:c r="F86" s="3"/>
      <x:c r="G86" s="3"/>
      <x:c r="H86" s="3" t="s">
        <x:v>1</x:v>
      </x:c>
      <x:c r="I86" s="3"/>
      <x:c r="J86" s="3"/>
      <x:c r="K86" s="3"/>
      <x:c r="L86" s="3"/>
      <x:c r="M86" s="3"/>
      <x:c r="N86" s="3"/>
      <x:c r="O86" s="7"/>
      <x:c r="P86" s="2"/>
      <x:c r="Q86" s="4"/>
      <x:c r="S86" s="5"/>
      <x:c r="T86" s="3" t="s">
        <x:v>1</x:v>
      </x:c>
      <x:c r="U86" s="6" t="s">
        <x:v>1</x:v>
      </x:c>
      <x:c r="V86" s="3"/>
      <x:c r="W86" s="3"/>
      <x:c r="X86" s="3" t="s">
        <x:v>1</x:v>
      </x:c>
      <x:c r="Y86" s="3"/>
      <x:c r="Z86" s="3"/>
      <x:c r="AA86" s="3"/>
      <x:c r="AB86" s="3"/>
      <x:c r="AC86" s="3"/>
      <x:c r="AD86" s="3"/>
      <x:c r="AE86" s="3"/>
      <x:c r="AF86" s="7"/>
      <x:c r="AG86" s="2"/>
      <x:c r="AI86" s="4"/>
    </x:row>
    <x:row r="87" spans="1:39" ht="14.15" x14ac:dyDescent="0.35">
      <x:c r="B87" s="8"/>
      <x:c r="F87" s="26" t="s">
        <x:v>8</x:v>
      </x:c>
      <x:c r="G87" s="26"/>
      <x:c r="I87" s="26" t="s">
        <x:v>16</x:v>
      </x:c>
      <x:c r="J87" s="25"/>
      <x:c r="M87" s="2"/>
      <x:c r="N87" s="50"/>
      <x:c r="O87" s="10"/>
      <x:c r="P87" s="2"/>
      <x:c r="Q87" s="4"/>
      <x:c r="S87" s="8"/>
      <x:c r="U87" s="26" t="s">
        <x:v>8</x:v>
      </x:c>
      <x:c r="W87" s="26" t="s">
        <x:v>16</x:v>
      </x:c>
      <x:c r="X87" s="25"/>
      <x:c r="Y87" s="2"/>
      <x:c r="AA87" s="2"/>
      <x:c r="AD87" s="50"/>
      <x:c r="AE87" s="84"/>
      <x:c r="AF87" s="48"/>
      <x:c r="AG87" s="2"/>
      <x:c r="AI87" s="4"/>
    </x:row>
    <x:row r="88" spans="1:39" ht="15.45" x14ac:dyDescent="0.4">
      <x:c r="B88" s="8"/>
      <x:c r="F88" s="36" t="s">
        <x:v>29</x:v>
      </x:c>
      <x:c r="G88" s="36"/>
      <x:c r="O88" s="10"/>
      <x:c r="P88" s="2"/>
      <x:c r="Q88" s="4"/>
      <x:c r="S88" s="8"/>
      <x:c r="T88" s="26" t="s">
        <x:v>1</x:v>
      </x:c>
      <x:c r="U88" s="36" t="s">
        <x:v>29</x:v>
      </x:c>
      <x:c r="Y88" s="2" t="s">
        <x:v>1</x:v>
      </x:c>
      <x:c r="AA88" s="50" t="s">
        <x:v>1</x:v>
      </x:c>
      <x:c r="AB88" s="2"/>
      <x:c r="AC88" s="2"/>
      <x:c r="AD88" s="2"/>
      <x:c r="AE88" s="2"/>
      <x:c r="AF88" s="10" t="s">
        <x:v>1</x:v>
      </x:c>
      <x:c r="AG88" s="2"/>
      <x:c r="AI88" s="4"/>
    </x:row>
    <x:row r="89" spans="1:39" ht="14.15" x14ac:dyDescent="0.35">
      <x:c r="B89" s="8"/>
      <x:c r="F89" s="2" t="s">
        <x:v>30</x:v>
      </x:c>
      <x:c r="G89" s="2"/>
      <x:c r="L89" s="91"/>
      <x:c r="M89" s="2" t="s">
        <x:v>1</x:v>
      </x:c>
      <x:c r="O89" s="10"/>
      <x:c r="P89" s="2"/>
      <x:c r="Q89" s="4"/>
      <x:c r="S89" s="8"/>
      <x:c r="T89" s="49" t="s">
        <x:v>1</x:v>
      </x:c>
      <x:c r="U89" s="2" t="s">
        <x:v>30</x:v>
      </x:c>
      <x:c r="AF89" s="44"/>
      <x:c r="AG89" s="2"/>
      <x:c r="AI89" s="4"/>
    </x:row>
    <x:row r="90" spans="1:39" ht="15.45" x14ac:dyDescent="0.4">
      <x:c r="B90" s="8"/>
      <x:c r="C90" s="2"/>
      <x:c r="D90" s="9"/>
      <x:c r="F90" s="58" t="s">
        <x:v>189</x:v>
      </x:c>
      <x:c r="G90" s="58"/>
      <x:c r="H90" s="59"/>
      <x:c r="I90" s="60"/>
      <x:c r="J90" s="59"/>
      <x:c r="K90" s="60"/>
      <x:c r="L90" s="91"/>
      <x:c r="O90" s="10"/>
      <x:c r="P90" s="2"/>
      <x:c r="Q90" s="4"/>
      <x:c r="S90" s="8"/>
      <x:c r="T90" s="41" t="s">
        <x:v>1</x:v>
      </x:c>
      <x:c r="U90" s="58" t="s">
        <x:v>35</x:v>
      </x:c>
      <x:c r="V90" s="59"/>
      <x:c r="W90" s="60"/>
      <x:c r="X90" s="59"/>
      <x:c r="Y90" s="2"/>
      <x:c r="AF90" s="48"/>
      <x:c r="AG90" s="2"/>
      <x:c r="AI90" s="4"/>
    </x:row>
    <x:row r="91" spans="1:39" ht="18.45" thickBot="1" x14ac:dyDescent="0.6">
      <x:c r="B91" s="8"/>
      <x:c r="C91" s="2"/>
      <x:c r="D91" s="241"/>
      <x:c r="F91" s="2"/>
      <x:c r="G91" s="9"/>
      <x:c r="J91" s="2"/>
      <x:c r="K91" s="9"/>
      <x:c r="L91" s="92"/>
      <x:c r="O91" s="10"/>
      <x:c r="P91" s="2"/>
      <x:c r="Q91" s="4"/>
      <x:c r="S91" s="8"/>
      <x:c r="V91" s="9"/>
      <x:c r="Y91" s="9"/>
      <x:c r="AF91" s="48"/>
      <x:c r="AG91" s="2"/>
      <x:c r="AI91" s="4"/>
      <x:c r="AJ91" s="112" t="s">
        <x:v>1</x:v>
      </x:c>
    </x:row>
    <x:row r="92" spans="1:39" ht="72" customHeight="1" thickBot="1" x14ac:dyDescent="0.35">
      <x:c r="B92" s="11" t="s">
        <x:v>3</x:v>
      </x:c>
      <x:c r="C92" s="27" t="s">
        <x:v>9</x:v>
      </x:c>
      <x:c r="D92" s="11" t="s">
        <x:v>4</x:v>
      </x:c>
      <x:c r="E92" s="12" t="s">
        <x:v>5</x:v>
      </x:c>
      <x:c r="F92" s="27" t="s">
        <x:v>6</x:v>
      </x:c>
      <x:c r="G92" s="27" t="s">
        <x:v>159</x:v>
      </x:c>
      <x:c r="H92" s="27" t="s">
        <x:v>18</x:v>
      </x:c>
      <x:c r="I92" s="12" t="s">
        <x:v>24</x:v>
      </x:c>
      <x:c r="J92" s="73" t="s">
        <x:v>19</x:v>
      </x:c>
      <x:c r="K92" s="29" t="s">
        <x:v>20</x:v>
      </x:c>
      <x:c r="L92" s="28" t="s">
        <x:v>21</x:v>
      </x:c>
      <x:c r="M92" s="39" t="s">
        <x:v>22</x:v>
      </x:c>
      <x:c r="N92" s="12" t="s">
        <x:v>7</x:v>
      </x:c>
      <x:c r="O92" s="39" t="s">
        <x:v>23</x:v>
      </x:c>
      <x:c r="P92" s="13"/>
      <x:c r="Q92" s="4"/>
      <x:c r="S92" s="11" t="s">
        <x:v>3</x:v>
      </x:c>
      <x:c r="T92" s="27" t="s">
        <x:v>9</x:v>
      </x:c>
      <x:c r="U92" s="162" t="s">
        <x:v>39</x:v>
      </x:c>
      <x:c r="V92" s="163" t="s">
        <x:v>40</x:v>
      </x:c>
      <x:c r="W92" s="163" t="s">
        <x:v>41</x:v>
      </x:c>
      <x:c r="X92" s="163" t="s">
        <x:v>42</x:v>
      </x:c>
      <x:c r="Y92" s="164" t="s">
        <x:v>43</x:v>
      </x:c>
      <x:c r="Z92" s="85" t="s">
        <x:v>21</x:v>
      </x:c>
      <x:c r="AA92" s="65" t="s">
        <x:v>46</x:v>
      </x:c>
      <x:c r="AB92" s="65" t="s">
        <x:v>7</x:v>
      </x:c>
      <x:c r="AC92" s="85" t="s">
        <x:v>168</x:v>
      </x:c>
      <x:c r="AD92" s="121" t="s">
        <x:v>105</x:v>
      </x:c>
      <x:c r="AE92" s="121" t="s">
        <x:v>104</x:v>
      </x:c>
      <x:c r="AF92" s="39" t="s">
        <x:v>23</x:v>
      </x:c>
      <x:c r="AG92" s="13"/>
      <x:c r="AI92" s="4"/>
    </x:row>
    <x:row r="93" spans="1:39" s="305" customFormat="1" x14ac:dyDescent="0.3">
      <x:c r="B93" s="303">
        <x:v>1</x:v>
      </x:c>
      <x:c r="C93" s="304" t="s">
        <x:v>10</x:v>
      </x:c>
      <x:c r="D93" s="291">
        <x:f>'REMUNERACION_EAAB-CL'!D104</x:f>
        <x:v>0</x:v>
      </x:c>
      <x:c r="E93" s="292">
        <x:f>'REMUNERACION_EAAB-CL'!E104</x:f>
        <x:v>0</x:v>
      </x:c>
      <x:c r="F93" s="292">
        <x:f>'REMUNERACION_EAAB-CL'!F104</x:f>
        <x:v>0</x:v>
      </x:c>
      <x:c r="G93" s="292">
        <x:f>'REMUNERACION_EAAB-CL'!G104</x:f>
        <x:v>0</x:v>
      </x:c>
      <x:c r="H93" s="292">
        <x:f>'REMUNERACION_EAAB-CL'!H104</x:f>
        <x:v>0</x:v>
      </x:c>
      <x:c r="I93" s="292">
        <x:f>'REMUNERACION_EAAB-CL'!I104</x:f>
        <x:v>0</x:v>
      </x:c>
      <x:c r="J93" s="288">
        <x:f>'REMUNERACION_EAAB-CL'!J104</x:f>
        <x:v>0</x:v>
      </x:c>
      <x:c r="K93" s="293">
        <x:f>'REMUNERACION_EAAB-CL'!K104</x:f>
        <x:v>0</x:v>
      </x:c>
      <x:c r="L93" s="294">
        <x:f>'REMUNERACION_EAAB-CL'!L104</x:f>
        <x:v>0</x:v>
      </x:c>
      <x:c r="M93" s="293">
        <x:f>'REMUNERACION_EAAB-CL'!M104</x:f>
        <x:v>0</x:v>
      </x:c>
      <x:c r="N93" s="294">
        <x:f>'REMUNERACION_EAAB-CL'!N104</x:f>
        <x:v>0</x:v>
      </x:c>
      <x:c r="O93" s="293">
        <x:f>'REMUNERACION_EAAB-CL'!O104</x:f>
        <x:v>0</x:v>
      </x:c>
      <x:c r="Q93" s="306"/>
      <x:c r="S93" s="303">
        <x:v>1</x:v>
      </x:c>
      <x:c r="T93" s="304" t="s">
        <x:v>10</x:v>
      </x:c>
      <x:c r="U93" s="307">
        <x:f>'REMUNERACION_EAAB-CL'!U104</x:f>
        <x:v>0</x:v>
      </x:c>
      <x:c r="V93" s="308">
        <x:f>'REMUNERACION_EAAB-CL'!V104</x:f>
        <x:v>0</x:v>
      </x:c>
      <x:c r="W93" s="308">
        <x:f>'REMUNERACION_EAAB-CL'!W104</x:f>
        <x:v>0</x:v>
      </x:c>
      <x:c r="X93" s="308">
        <x:f>'REMUNERACION_EAAB-CL'!X104</x:f>
        <x:v>0</x:v>
      </x:c>
      <x:c r="Y93" s="309">
        <x:f>'REMUNERACION_EAAB-CL'!Y104</x:f>
        <x:v>0</x:v>
      </x:c>
      <x:c r="Z93" s="310">
        <x:f>'REMUNERACION_EAAB-CL'!Z104</x:f>
        <x:v>0</x:v>
      </x:c>
      <x:c r="AA93" s="311">
        <x:f>'REMUNERACION_EAAB-CL'!AA104</x:f>
        <x:v>0</x:v>
      </x:c>
      <x:c r="AB93" s="294">
        <x:f>'REMUNERACION_EAAB-CL'!AB104</x:f>
        <x:v>0</x:v>
      </x:c>
      <x:c r="AC93" s="311">
        <x:f>'REMUNERACION_EAAB-CL'!AC104</x:f>
        <x:v>0</x:v>
      </x:c>
      <x:c r="AD93" s="291">
        <x:f>'REMUNERACION_EAAB-CL'!AD104</x:f>
        <x:v>0</x:v>
      </x:c>
      <x:c r="AE93" s="291">
        <x:f>'REMUNERACION_EAAB-CL'!AE104</x:f>
        <x:v>0</x:v>
      </x:c>
      <x:c r="AF93" s="313">
        <x:f>'REMUNERACION_EAAB-CL'!AF104</x:f>
        <x:v>0</x:v>
      </x:c>
      <x:c r="AG93" s="521">
        <x:f>'REMUNERACION_EAAB-CL'!AG104</x:f>
        <x:v>0</x:v>
      </x:c>
      <x:c r="AH93" s="1"/>
      <x:c r="AI93" s="306"/>
      <x:c r="AM93" s="333"/>
    </x:row>
    <x:row r="94" spans="1:39" s="305" customFormat="1" x14ac:dyDescent="0.3">
      <x:c r="B94" s="314">
        <x:v>2</x:v>
      </x:c>
      <x:c r="C94" s="315" t="s">
        <x:v>11</x:v>
      </x:c>
      <x:c r="D94" s="291">
        <x:f>'REMUNERACION_EAAB-CL'!D105</x:f>
        <x:v>0</x:v>
      </x:c>
      <x:c r="E94" s="292">
        <x:f>'REMUNERACION_EAAB-CL'!E105</x:f>
        <x:v>0</x:v>
      </x:c>
      <x:c r="F94" s="292">
        <x:f>'REMUNERACION_EAAB-CL'!F105</x:f>
        <x:v>0</x:v>
      </x:c>
      <x:c r="G94" s="292">
        <x:f>'REMUNERACION_EAAB-CL'!G105</x:f>
        <x:v>0</x:v>
      </x:c>
      <x:c r="H94" s="292">
        <x:f>'REMUNERACION_EAAB-CL'!H105</x:f>
        <x:v>0</x:v>
      </x:c>
      <x:c r="I94" s="292">
        <x:f>'REMUNERACION_EAAB-CL'!I105</x:f>
        <x:v>0</x:v>
      </x:c>
      <x:c r="J94" s="288">
        <x:f>'REMUNERACION_EAAB-CL'!J105</x:f>
        <x:v>0</x:v>
      </x:c>
      <x:c r="K94" s="295">
        <x:f>'REMUNERACION_EAAB-CL'!K105</x:f>
        <x:v>0</x:v>
      </x:c>
      <x:c r="L94" s="294">
        <x:f>'REMUNERACION_EAAB-CL'!L105</x:f>
        <x:v>0</x:v>
      </x:c>
      <x:c r="M94" s="295">
        <x:f>'REMUNERACION_EAAB-CL'!M105</x:f>
        <x:v>0</x:v>
      </x:c>
      <x:c r="N94" s="294">
        <x:f>'REMUNERACION_EAAB-CL'!N105</x:f>
        <x:v>0</x:v>
      </x:c>
      <x:c r="O94" s="295">
        <x:f>'REMUNERACION_EAAB-CL'!O105</x:f>
        <x:v>0</x:v>
      </x:c>
      <x:c r="Q94" s="306"/>
      <x:c r="S94" s="314">
        <x:v>2</x:v>
      </x:c>
      <x:c r="T94" s="315" t="s">
        <x:v>11</x:v>
      </x:c>
      <x:c r="U94" s="316">
        <x:f>'REMUNERACION_EAAB-CL'!U105</x:f>
        <x:v>0</x:v>
      </x:c>
      <x:c r="V94" s="317">
        <x:f>'REMUNERACION_EAAB-CL'!V105</x:f>
        <x:v>0</x:v>
      </x:c>
      <x:c r="W94" s="317">
        <x:f>'REMUNERACION_EAAB-CL'!W105</x:f>
        <x:v>0</x:v>
      </x:c>
      <x:c r="X94" s="317">
        <x:f>'REMUNERACION_EAAB-CL'!X105</x:f>
        <x:v>0</x:v>
      </x:c>
      <x:c r="Y94" s="318">
        <x:f>'REMUNERACION_EAAB-CL'!Y105</x:f>
        <x:v>0</x:v>
      </x:c>
      <x:c r="Z94" s="319">
        <x:f>'REMUNERACION_EAAB-CL'!Z105</x:f>
        <x:v>0</x:v>
      </x:c>
      <x:c r="AA94" s="320">
        <x:f>'REMUNERACION_EAAB-CL'!AA105</x:f>
        <x:v>0</x:v>
      </x:c>
      <x:c r="AB94" s="294">
        <x:f>'REMUNERACION_EAAB-CL'!AB105</x:f>
        <x:v>0</x:v>
      </x:c>
      <x:c r="AC94" s="320">
        <x:f>'REMUNERACION_EAAB-CL'!AC105</x:f>
        <x:v>0</x:v>
      </x:c>
      <x:c r="AD94" s="291">
        <x:f>'REMUNERACION_EAAB-CL'!AD105</x:f>
        <x:v>0</x:v>
      </x:c>
      <x:c r="AE94" s="291">
        <x:f>'REMUNERACION_EAAB-CL'!AE105</x:f>
        <x:v>0</x:v>
      </x:c>
      <x:c r="AF94" s="322">
        <x:f>'REMUNERACION_EAAB-CL'!AF105</x:f>
        <x:v>0</x:v>
      </x:c>
      <x:c r="AG94" s="522">
        <x:f>'REMUNERACION_EAAB-CL'!AG105</x:f>
        <x:v>0</x:v>
      </x:c>
      <x:c r="AH94" s="1"/>
      <x:c r="AI94" s="306"/>
      <x:c r="AM94" s="333"/>
    </x:row>
    <x:row r="95" spans="1:39" s="305" customFormat="1" x14ac:dyDescent="0.3">
      <x:c r="B95" s="314">
        <x:v>3</x:v>
      </x:c>
      <x:c r="C95" s="315" t="s">
        <x:v>12</x:v>
      </x:c>
      <x:c r="D95" s="291">
        <x:f>'REMUNERACION_EAAB-CL'!D106</x:f>
        <x:v>0</x:v>
      </x:c>
      <x:c r="E95" s="292">
        <x:f>'REMUNERACION_EAAB-CL'!E106</x:f>
        <x:v>0</x:v>
      </x:c>
      <x:c r="F95" s="292">
        <x:f>'REMUNERACION_EAAB-CL'!F106</x:f>
        <x:v>0</x:v>
      </x:c>
      <x:c r="G95" s="292">
        <x:f>'REMUNERACION_EAAB-CL'!G106</x:f>
        <x:v>0</x:v>
      </x:c>
      <x:c r="H95" s="292">
        <x:f>'REMUNERACION_EAAB-CL'!H106</x:f>
        <x:v>0</x:v>
      </x:c>
      <x:c r="I95" s="292">
        <x:f>'REMUNERACION_EAAB-CL'!I106</x:f>
        <x:v>0</x:v>
      </x:c>
      <x:c r="J95" s="288">
        <x:f>'REMUNERACION_EAAB-CL'!J106</x:f>
        <x:v>0</x:v>
      </x:c>
      <x:c r="K95" s="295">
        <x:f>'REMUNERACION_EAAB-CL'!K106</x:f>
        <x:v>0</x:v>
      </x:c>
      <x:c r="L95" s="294">
        <x:f>'REMUNERACION_EAAB-CL'!L106</x:f>
        <x:v>0</x:v>
      </x:c>
      <x:c r="M95" s="295">
        <x:f>'REMUNERACION_EAAB-CL'!M106</x:f>
        <x:v>0</x:v>
      </x:c>
      <x:c r="N95" s="294">
        <x:f>'REMUNERACION_EAAB-CL'!N106</x:f>
        <x:v>0</x:v>
      </x:c>
      <x:c r="O95" s="295">
        <x:f>'REMUNERACION_EAAB-CL'!O106</x:f>
        <x:v>0</x:v>
      </x:c>
      <x:c r="Q95" s="306"/>
      <x:c r="S95" s="314">
        <x:v>3</x:v>
      </x:c>
      <x:c r="T95" s="315" t="s">
        <x:v>12</x:v>
      </x:c>
      <x:c r="U95" s="316">
        <x:f>'REMUNERACION_EAAB-CL'!U106</x:f>
        <x:v>0</x:v>
      </x:c>
      <x:c r="V95" s="317">
        <x:f>'REMUNERACION_EAAB-CL'!V106</x:f>
        <x:v>0</x:v>
      </x:c>
      <x:c r="W95" s="317">
        <x:f>'REMUNERACION_EAAB-CL'!W106</x:f>
        <x:v>0</x:v>
      </x:c>
      <x:c r="X95" s="317">
        <x:f>'REMUNERACION_EAAB-CL'!X106</x:f>
        <x:v>0</x:v>
      </x:c>
      <x:c r="Y95" s="318">
        <x:f>'REMUNERACION_EAAB-CL'!Y106</x:f>
        <x:v>0</x:v>
      </x:c>
      <x:c r="Z95" s="319">
        <x:f>'REMUNERACION_EAAB-CL'!Z106</x:f>
        <x:v>0</x:v>
      </x:c>
      <x:c r="AA95" s="320">
        <x:f>'REMUNERACION_EAAB-CL'!AA106</x:f>
        <x:v>0</x:v>
      </x:c>
      <x:c r="AB95" s="294">
        <x:f>'REMUNERACION_EAAB-CL'!AB106</x:f>
        <x:v>0</x:v>
      </x:c>
      <x:c r="AC95" s="320">
        <x:f>'REMUNERACION_EAAB-CL'!AC106</x:f>
        <x:v>0</x:v>
      </x:c>
      <x:c r="AD95" s="291">
        <x:f>'REMUNERACION_EAAB-CL'!AD106</x:f>
        <x:v>0</x:v>
      </x:c>
      <x:c r="AE95" s="291">
        <x:f>'REMUNERACION_EAAB-CL'!AE106</x:f>
        <x:v>0</x:v>
      </x:c>
      <x:c r="AF95" s="322">
        <x:f>'REMUNERACION_EAAB-CL'!AF106</x:f>
        <x:v>0</x:v>
      </x:c>
      <x:c r="AG95" s="522">
        <x:f>'REMUNERACION_EAAB-CL'!AG106</x:f>
        <x:v>0</x:v>
      </x:c>
      <x:c r="AH95" s="1"/>
      <x:c r="AI95" s="306"/>
      <x:c r="AM95" s="333"/>
    </x:row>
    <x:row r="96" spans="1:39" s="305" customFormat="1" x14ac:dyDescent="0.3">
      <x:c r="B96" s="314">
        <x:v>4</x:v>
      </x:c>
      <x:c r="C96" s="315" t="s">
        <x:v>13</x:v>
      </x:c>
      <x:c r="D96" s="291">
        <x:f>'REMUNERACION_EAAB-CL'!D107</x:f>
        <x:v>0</x:v>
      </x:c>
      <x:c r="E96" s="292">
        <x:f>'REMUNERACION_EAAB-CL'!E107</x:f>
        <x:v>0</x:v>
      </x:c>
      <x:c r="F96" s="292">
        <x:f>'REMUNERACION_EAAB-CL'!F107</x:f>
        <x:v>0</x:v>
      </x:c>
      <x:c r="G96" s="292">
        <x:f>'REMUNERACION_EAAB-CL'!G107</x:f>
        <x:v>0</x:v>
      </x:c>
      <x:c r="H96" s="292">
        <x:f>'REMUNERACION_EAAB-CL'!H107</x:f>
        <x:v>0</x:v>
      </x:c>
      <x:c r="I96" s="292">
        <x:f>'REMUNERACION_EAAB-CL'!I107</x:f>
        <x:v>0</x:v>
      </x:c>
      <x:c r="J96" s="288">
        <x:f>'REMUNERACION_EAAB-CL'!J107</x:f>
        <x:v>0</x:v>
      </x:c>
      <x:c r="K96" s="295">
        <x:f>'REMUNERACION_EAAB-CL'!K107</x:f>
        <x:v>0</x:v>
      </x:c>
      <x:c r="L96" s="294">
        <x:f>'REMUNERACION_EAAB-CL'!L107</x:f>
        <x:v>0</x:v>
      </x:c>
      <x:c r="M96" s="295">
        <x:f>'REMUNERACION_EAAB-CL'!M107</x:f>
        <x:v>0</x:v>
      </x:c>
      <x:c r="N96" s="294">
        <x:f>'REMUNERACION_EAAB-CL'!N107</x:f>
        <x:v>0</x:v>
      </x:c>
      <x:c r="O96" s="295">
        <x:f>'REMUNERACION_EAAB-CL'!O107</x:f>
        <x:v>0</x:v>
      </x:c>
      <x:c r="Q96" s="306"/>
      <x:c r="S96" s="314">
        <x:v>4</x:v>
      </x:c>
      <x:c r="T96" s="315" t="s">
        <x:v>13</x:v>
      </x:c>
      <x:c r="U96" s="316">
        <x:f>'REMUNERACION_EAAB-CL'!U107</x:f>
        <x:v>0</x:v>
      </x:c>
      <x:c r="V96" s="317">
        <x:f>'REMUNERACION_EAAB-CL'!V107</x:f>
        <x:v>0</x:v>
      </x:c>
      <x:c r="W96" s="317">
        <x:f>'REMUNERACION_EAAB-CL'!W107</x:f>
        <x:v>0</x:v>
      </x:c>
      <x:c r="X96" s="317">
        <x:f>'REMUNERACION_EAAB-CL'!X107</x:f>
        <x:v>0</x:v>
      </x:c>
      <x:c r="Y96" s="318">
        <x:f>'REMUNERACION_EAAB-CL'!Y107</x:f>
        <x:v>0</x:v>
      </x:c>
      <x:c r="Z96" s="319">
        <x:f>'REMUNERACION_EAAB-CL'!Z107</x:f>
        <x:v>0</x:v>
      </x:c>
      <x:c r="AA96" s="320">
        <x:f>'REMUNERACION_EAAB-CL'!AA107</x:f>
        <x:v>0</x:v>
      </x:c>
      <x:c r="AB96" s="294">
        <x:f>'REMUNERACION_EAAB-CL'!AB107</x:f>
        <x:v>0</x:v>
      </x:c>
      <x:c r="AC96" s="320">
        <x:f>'REMUNERACION_EAAB-CL'!AC107</x:f>
        <x:v>0</x:v>
      </x:c>
      <x:c r="AD96" s="291">
        <x:f>'REMUNERACION_EAAB-CL'!AD107</x:f>
        <x:v>0</x:v>
      </x:c>
      <x:c r="AE96" s="291">
        <x:f>'REMUNERACION_EAAB-CL'!AE107</x:f>
        <x:v>0</x:v>
      </x:c>
      <x:c r="AF96" s="322">
        <x:f>'REMUNERACION_EAAB-CL'!AF107</x:f>
        <x:v>0</x:v>
      </x:c>
      <x:c r="AG96" s="522">
        <x:f>'REMUNERACION_EAAB-CL'!AG107</x:f>
        <x:v>0</x:v>
      </x:c>
      <x:c r="AH96" s="1"/>
      <x:c r="AI96" s="306"/>
      <x:c r="AM96" s="333"/>
    </x:row>
    <x:row r="97" spans="1:39" s="305" customFormat="1" ht="12" thickBot="1" x14ac:dyDescent="0.35">
      <x:c r="B97" s="324">
        <x:v>5</x:v>
      </x:c>
      <x:c r="C97" s="325" t="s">
        <x:v>14</x:v>
      </x:c>
      <x:c r="D97" s="296">
        <x:f>'REMUNERACION_EAAB-CL'!D108</x:f>
        <x:v>0</x:v>
      </x:c>
      <x:c r="E97" s="297">
        <x:f>'REMUNERACION_EAAB-CL'!E108</x:f>
        <x:v>0</x:v>
      </x:c>
      <x:c r="F97" s="297">
        <x:f>'REMUNERACION_EAAB-CL'!F108</x:f>
        <x:v>0</x:v>
      </x:c>
      <x:c r="G97" s="297">
        <x:f>'REMUNERACION_EAAB-CL'!G108</x:f>
        <x:v>0</x:v>
      </x:c>
      <x:c r="H97" s="297">
        <x:f>'REMUNERACION_EAAB-CL'!H108</x:f>
        <x:v>0</x:v>
      </x:c>
      <x:c r="I97" s="297">
        <x:f>'REMUNERACION_EAAB-CL'!I108</x:f>
        <x:v>0</x:v>
      </x:c>
      <x:c r="J97" s="289">
        <x:f>'REMUNERACION_EAAB-CL'!J108</x:f>
        <x:v>0</x:v>
      </x:c>
      <x:c r="K97" s="295">
        <x:f>'REMUNERACION_EAAB-CL'!K108</x:f>
        <x:v>0</x:v>
      </x:c>
      <x:c r="L97" s="294">
        <x:f>'REMUNERACION_EAAB-CL'!L108</x:f>
        <x:v>0</x:v>
      </x:c>
      <x:c r="M97" s="298">
        <x:f>'REMUNERACION_EAAB-CL'!M108</x:f>
        <x:v>0</x:v>
      </x:c>
      <x:c r="N97" s="299">
        <x:f>'REMUNERACION_EAAB-CL'!N108</x:f>
        <x:v>0</x:v>
      </x:c>
      <x:c r="O97" s="298">
        <x:f>'REMUNERACION_EAAB-CL'!O108</x:f>
        <x:v>0</x:v>
      </x:c>
      <x:c r="Q97" s="306"/>
      <x:c r="S97" s="324">
        <x:v>5</x:v>
      </x:c>
      <x:c r="T97" s="325" t="s">
        <x:v>14</x:v>
      </x:c>
      <x:c r="U97" s="296">
        <x:f>'REMUNERACION_EAAB-CL'!U108</x:f>
        <x:v>0</x:v>
      </x:c>
      <x:c r="V97" s="297">
        <x:f>'REMUNERACION_EAAB-CL'!V108</x:f>
        <x:v>0</x:v>
      </x:c>
      <x:c r="W97" s="297">
        <x:f>'REMUNERACION_EAAB-CL'!W108</x:f>
        <x:v>0</x:v>
      </x:c>
      <x:c r="X97" s="297">
        <x:f>'REMUNERACION_EAAB-CL'!X108</x:f>
        <x:v>0</x:v>
      </x:c>
      <x:c r="Y97" s="289">
        <x:f>'REMUNERACION_EAAB-CL'!Y108</x:f>
        <x:v>0</x:v>
      </x:c>
      <x:c r="Z97" s="319">
        <x:f>'REMUNERACION_EAAB-CL'!Z108</x:f>
        <x:v>0</x:v>
      </x:c>
      <x:c r="AA97" s="320">
        <x:f>'REMUNERACION_EAAB-CL'!AA108</x:f>
        <x:v>0</x:v>
      </x:c>
      <x:c r="AB97" s="294">
        <x:f>'REMUNERACION_EAAB-CL'!AB108</x:f>
        <x:v>0</x:v>
      </x:c>
      <x:c r="AC97" s="320">
        <x:f>'REMUNERACION_EAAB-CL'!AC108</x:f>
        <x:v>0</x:v>
      </x:c>
      <x:c r="AD97" s="291">
        <x:f>'REMUNERACION_EAAB-CL'!AD108</x:f>
        <x:v>0</x:v>
      </x:c>
      <x:c r="AE97" s="291">
        <x:f>'REMUNERACION_EAAB-CL'!AE108</x:f>
        <x:v>0</x:v>
      </x:c>
      <x:c r="AF97" s="322">
        <x:f>'REMUNERACION_EAAB-CL'!AF108</x:f>
        <x:v>0</x:v>
      </x:c>
      <x:c r="AG97" s="523">
        <x:f>'REMUNERACION_EAAB-CL'!AG108</x:f>
        <x:v>0</x:v>
      </x:c>
      <x:c r="AH97" s="1"/>
      <x:c r="AI97" s="306"/>
      <x:c r="AM97" s="333"/>
    </x:row>
    <x:row r="98" spans="1:39" s="305" customFormat="1" ht="12.9" thickBot="1" x14ac:dyDescent="0.35">
      <x:c r="B98" s="327"/>
      <x:c r="C98" s="328" t="s">
        <x:v>2</x:v>
      </x:c>
      <x:c r="D98" s="290">
        <x:f>'REMUNERACION_EAAB-CL'!D109</x:f>
        <x:v>0</x:v>
      </x:c>
      <x:c r="E98" s="290">
        <x:f>'REMUNERACION_EAAB-CL'!E109</x:f>
        <x:v>0</x:v>
      </x:c>
      <x:c r="F98" s="290">
        <x:f>'REMUNERACION_EAAB-CL'!F109</x:f>
        <x:v>0</x:v>
      </x:c>
      <x:c r="G98" s="290">
        <x:f>'REMUNERACION_EAAB-CL'!G109</x:f>
        <x:v>0</x:v>
      </x:c>
      <x:c r="H98" s="290">
        <x:f>'REMUNERACION_EAAB-CL'!H109</x:f>
        <x:v>0</x:v>
      </x:c>
      <x:c r="I98" s="290">
        <x:f>'REMUNERACION_EAAB-CL'!I109</x:f>
        <x:v>0</x:v>
      </x:c>
      <x:c r="J98" s="290">
        <x:f>'REMUNERACION_EAAB-CL'!J109</x:f>
        <x:v>0</x:v>
      </x:c>
      <x:c r="K98" s="300">
        <x:f>'REMUNERACION_EAAB-CL'!K109</x:f>
        <x:v>0</x:v>
      </x:c>
      <x:c r="L98" s="301">
        <x:f>'REMUNERACION_EAAB-CL'!L109</x:f>
        <x:v>0</x:v>
      </x:c>
      <x:c r="M98" s="302">
        <x:f>'REMUNERACION_EAAB-CL'!M109</x:f>
        <x:v>0</x:v>
      </x:c>
      <x:c r="N98" s="301">
        <x:f>'REMUNERACION_EAAB-CL'!N109</x:f>
        <x:v>0</x:v>
      </x:c>
      <x:c r="O98" s="302">
        <x:f>'REMUNERACION_EAAB-CL'!O109</x:f>
        <x:v>0</x:v>
      </x:c>
      <x:c r="P98" s="329"/>
      <x:c r="Q98" s="306"/>
      <x:c r="S98" s="327"/>
      <x:c r="T98" s="328" t="s">
        <x:v>2</x:v>
      </x:c>
      <x:c r="U98" s="330">
        <x:f>'REMUNERACION_EAAB-CL'!U109</x:f>
        <x:v>0</x:v>
      </x:c>
      <x:c r="V98" s="330">
        <x:f>'REMUNERACION_EAAB-CL'!V109</x:f>
        <x:v>0</x:v>
      </x:c>
      <x:c r="W98" s="330">
        <x:f>'REMUNERACION_EAAB-CL'!W109</x:f>
        <x:v>0</x:v>
      </x:c>
      <x:c r="X98" s="330">
        <x:f>'REMUNERACION_EAAB-CL'!X109</x:f>
        <x:v>0</x:v>
      </x:c>
      <x:c r="Y98" s="330">
        <x:f>'REMUNERACION_EAAB-CL'!Y109</x:f>
        <x:v>0</x:v>
      </x:c>
      <x:c r="Z98" s="290">
        <x:f>'REMUNERACION_EAAB-CL'!Z109</x:f>
        <x:v>0</x:v>
      </x:c>
      <x:c r="AA98" s="290">
        <x:f>'REMUNERACION_EAAB-CL'!AA109</x:f>
        <x:v>0</x:v>
      </x:c>
      <x:c r="AB98" s="290">
        <x:f>'REMUNERACION_EAAB-CL'!AB109</x:f>
        <x:v>0</x:v>
      </x:c>
      <x:c r="AC98" s="290">
        <x:f>'REMUNERACION_EAAB-CL'!AC109</x:f>
        <x:v>0</x:v>
      </x:c>
      <x:c r="AD98" s="290">
        <x:f>'REMUNERACION_EAAB-CL'!AD109</x:f>
        <x:v>0</x:v>
      </x:c>
      <x:c r="AE98" s="290">
        <x:f>'REMUNERACION_EAAB-CL'!AE109</x:f>
        <x:v>0</x:v>
      </x:c>
      <x:c r="AF98" s="331">
        <x:f>'REMUNERACION_EAAB-CL'!AF109</x:f>
        <x:v>0</x:v>
      </x:c>
      <x:c r="AG98" s="524">
        <x:f>'REMUNERACION_EAAB-CL'!AG109</x:f>
        <x:v>0</x:v>
      </x:c>
      <x:c r="AH98" s="1"/>
      <x:c r="AI98" s="306"/>
      <x:c r="AM98" s="333"/>
    </x:row>
    <x:row r="99" spans="1:39" ht="12" thickBot="1" x14ac:dyDescent="0.35">
      <x:c r="B99" s="2"/>
      <x:c r="C99" s="2"/>
      <x:c r="D99" s="165"/>
      <x:c r="E99" s="448"/>
      <x:c r="F99" s="448"/>
      <x:c r="G99" s="448"/>
      <x:c r="H99" s="448"/>
      <x:c r="I99" s="448"/>
      <x:c r="J99" s="165"/>
      <x:c r="K99" s="448"/>
      <x:c r="L99" s="448"/>
      <x:c r="M99" s="448"/>
      <x:c r="N99" s="448"/>
      <x:c r="O99" s="448"/>
      <x:c r="Q99" s="4"/>
      <x:c r="S99" s="2"/>
      <x:c r="T99" s="2"/>
      <x:c r="U99" s="448"/>
      <x:c r="V99" s="448"/>
      <x:c r="W99" s="448"/>
      <x:c r="X99" s="448"/>
      <x:c r="Y99" s="448"/>
      <x:c r="AF99" s="448"/>
      <x:c r="AI99" s="4"/>
    </x:row>
    <x:row r="100" spans="1:39" ht="12" thickBot="1" x14ac:dyDescent="0.35">
      <x:c r="B100" s="2"/>
      <x:c r="C100" s="2"/>
      <x:c r="D100" s="448"/>
      <x:c r="E100" s="448"/>
      <x:c r="F100" s="448"/>
      <x:c r="G100" s="448"/>
      <x:c r="H100" s="448"/>
      <x:c r="I100" s="448"/>
      <x:c r="K100" s="448"/>
      <x:c r="L100" s="448"/>
      <x:c r="M100" s="448"/>
      <x:c r="N100" s="448"/>
      <x:c r="O100" s="448"/>
      <x:c r="Q100" s="4"/>
      <x:c r="Y100" s="449"/>
      <x:c r="AI100" s="4"/>
    </x:row>
    <x:row r="101" spans="1:39" x14ac:dyDescent="0.3">
      <x:c r="A101" s="4"/>
      <x:c r="B101" s="34"/>
      <x:c r="C101" s="34"/>
      <x:c r="D101" s="474"/>
      <x:c r="E101" s="474"/>
      <x:c r="F101" s="474"/>
      <x:c r="G101" s="474"/>
      <x:c r="H101" s="474"/>
      <x:c r="I101" s="474"/>
      <x:c r="J101" s="4"/>
      <x:c r="K101" s="474"/>
      <x:c r="L101" s="474"/>
      <x:c r="M101" s="474"/>
      <x:c r="N101" s="474"/>
      <x:c r="O101" s="47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  <x:c r="AF101" s="4"/>
      <x:c r="AG101" s="4"/>
      <x:c r="AH101" s="4"/>
      <x:c r="AI101" s="4"/>
    </x:row>
    <x:row r="102" spans="1:39" ht="12" thickBot="1" x14ac:dyDescent="0.35">
      <x:c r="Q102" s="4"/>
      <x:c r="AI102" s="4"/>
    </x:row>
    <x:row r="103" spans="1:39" x14ac:dyDescent="0.3">
      <x:c r="B103" s="5"/>
      <x:c r="C103" s="3" t="s">
        <x:v>1</x:v>
      </x:c>
      <x:c r="D103" s="6" t="s">
        <x:v>1</x:v>
      </x:c>
      <x:c r="E103" s="3"/>
      <x:c r="F103" s="3"/>
      <x:c r="G103" s="3"/>
      <x:c r="H103" s="3" t="s">
        <x:v>1</x:v>
      </x:c>
      <x:c r="I103" s="3"/>
      <x:c r="J103" s="3"/>
      <x:c r="K103" s="3"/>
      <x:c r="L103" s="3"/>
      <x:c r="M103" s="3"/>
      <x:c r="N103" s="3"/>
      <x:c r="O103" s="7"/>
      <x:c r="P103" s="2"/>
      <x:c r="Q103" s="4"/>
      <x:c r="S103" s="5"/>
      <x:c r="T103" s="3" t="s">
        <x:v>1</x:v>
      </x:c>
      <x:c r="U103" s="6" t="s">
        <x:v>1</x:v>
      </x:c>
      <x:c r="V103" s="3"/>
      <x:c r="W103" s="3"/>
      <x:c r="X103" s="3" t="s">
        <x:v>1</x:v>
      </x:c>
      <x:c r="Y103" s="3"/>
      <x:c r="Z103" s="3"/>
      <x:c r="AA103" s="3"/>
      <x:c r="AB103" s="3"/>
      <x:c r="AC103" s="3"/>
      <x:c r="AD103" s="3"/>
      <x:c r="AE103" s="3"/>
      <x:c r="AF103" s="7"/>
      <x:c r="AG103" s="2"/>
      <x:c r="AI103" s="4"/>
    </x:row>
    <x:row r="104" spans="1:39" ht="14.15" x14ac:dyDescent="0.35">
      <x:c r="B104" s="8"/>
      <x:c r="F104" s="26" t="s">
        <x:v>8</x:v>
      </x:c>
      <x:c r="G104" s="26"/>
      <x:c r="I104" s="26" t="s">
        <x:v>16</x:v>
      </x:c>
      <x:c r="J104" s="25"/>
      <x:c r="M104" s="2"/>
      <x:c r="N104" s="50"/>
      <x:c r="O104" s="10"/>
      <x:c r="P104" s="2"/>
      <x:c r="Q104" s="4"/>
      <x:c r="S104" s="8"/>
      <x:c r="U104" s="26" t="s">
        <x:v>8</x:v>
      </x:c>
      <x:c r="W104" s="26" t="s">
        <x:v>16</x:v>
      </x:c>
      <x:c r="X104" s="25"/>
      <x:c r="Y104" s="2"/>
      <x:c r="AA104" s="2"/>
      <x:c r="AD104" s="50"/>
      <x:c r="AE104" s="84"/>
      <x:c r="AF104" s="48"/>
      <x:c r="AG104" s="2"/>
      <x:c r="AI104" s="4"/>
    </x:row>
    <x:row r="105" spans="1:39" ht="15.45" x14ac:dyDescent="0.4">
      <x:c r="B105" s="8"/>
      <x:c r="F105" s="36" t="s">
        <x:v>29</x:v>
      </x:c>
      <x:c r="G105" s="36"/>
      <x:c r="O105" s="10"/>
      <x:c r="P105" s="2"/>
      <x:c r="Q105" s="4"/>
      <x:c r="S105" s="8"/>
      <x:c r="T105" s="26" t="s">
        <x:v>1</x:v>
      </x:c>
      <x:c r="U105" s="36" t="s">
        <x:v>29</x:v>
      </x:c>
      <x:c r="Y105" s="2" t="s">
        <x:v>1</x:v>
      </x:c>
      <x:c r="AA105" s="50" t="s">
        <x:v>1</x:v>
      </x:c>
      <x:c r="AB105" s="2"/>
      <x:c r="AC105" s="2"/>
      <x:c r="AD105" s="2"/>
      <x:c r="AE105" s="2"/>
      <x:c r="AF105" s="10" t="s">
        <x:v>1</x:v>
      </x:c>
      <x:c r="AG105" s="2"/>
      <x:c r="AI105" s="4"/>
    </x:row>
    <x:row r="106" spans="1:39" ht="14.15" x14ac:dyDescent="0.35">
      <x:c r="B106" s="8"/>
      <x:c r="F106" s="2" t="s">
        <x:v>30</x:v>
      </x:c>
      <x:c r="G106" s="2"/>
      <x:c r="M106" s="2" t="s">
        <x:v>1</x:v>
      </x:c>
      <x:c r="O106" s="10"/>
      <x:c r="P106" s="2"/>
      <x:c r="Q106" s="4"/>
      <x:c r="S106" s="8"/>
      <x:c r="T106" s="49" t="s">
        <x:v>1</x:v>
      </x:c>
      <x:c r="U106" s="2" t="s">
        <x:v>30</x:v>
      </x:c>
      <x:c r="AF106" s="44"/>
      <x:c r="AG106" s="2"/>
      <x:c r="AI106" s="4"/>
    </x:row>
    <x:row r="107" spans="1:39" ht="15.45" x14ac:dyDescent="0.4">
      <x:c r="B107" s="8"/>
      <x:c r="C107" s="2"/>
      <x:c r="D107" s="9"/>
      <x:c r="F107" s="41" t="s">
        <x:v>191</x:v>
      </x:c>
      <x:c r="G107" s="41"/>
      <x:c r="H107" s="2"/>
      <x:c r="J107" s="2"/>
      <x:c r="O107" s="10"/>
      <x:c r="P107" s="2"/>
      <x:c r="Q107" s="4"/>
      <x:c r="S107" s="8"/>
      <x:c r="T107" s="41" t="s">
        <x:v>1</x:v>
      </x:c>
      <x:c r="U107" s="41" t="s">
        <x:v>191</x:v>
      </x:c>
      <x:c r="V107" s="2"/>
      <x:c r="X107" s="2"/>
      <x:c r="Y107" s="2"/>
      <x:c r="AF107" s="48"/>
      <x:c r="AG107" s="2"/>
      <x:c r="AI107" s="4"/>
    </x:row>
    <x:row r="108" spans="1:39" ht="12" thickBot="1" x14ac:dyDescent="0.35">
      <x:c r="B108" s="8"/>
      <x:c r="C108" s="2"/>
      <x:c r="D108" s="241"/>
      <x:c r="F108" s="2"/>
      <x:c r="G108" s="9"/>
      <x:c r="J108" s="2"/>
      <x:c r="K108" s="9"/>
      <x:c r="O108" s="10"/>
      <x:c r="P108" s="2"/>
      <x:c r="Q108" s="4"/>
      <x:c r="S108" s="8"/>
      <x:c r="V108" s="9"/>
      <x:c r="Y108" s="9"/>
      <x:c r="Z108" s="1" t="s">
        <x:v>1</x:v>
      </x:c>
      <x:c r="AF108" s="48"/>
      <x:c r="AG108" s="2"/>
      <x:c r="AI108" s="4"/>
    </x:row>
    <x:row r="109" spans="1:39" ht="69.900000000000006" thickBot="1" x14ac:dyDescent="0.35">
      <x:c r="B109" s="11" t="s">
        <x:v>3</x:v>
      </x:c>
      <x:c r="C109" s="27" t="s">
        <x:v>9</x:v>
      </x:c>
      <x:c r="D109" s="104" t="s">
        <x:v>4</x:v>
      </x:c>
      <x:c r="E109" s="105" t="s">
        <x:v>5</x:v>
      </x:c>
      <x:c r="F109" s="105" t="s">
        <x:v>6</x:v>
      </x:c>
      <x:c r="G109" s="550" t="s">
        <x:v>159</x:v>
      </x:c>
      <x:c r="H109" s="105" t="s">
        <x:v>18</x:v>
      </x:c>
      <x:c r="I109" s="105" t="s">
        <x:v>24</x:v>
      </x:c>
      <x:c r="J109" s="147" t="s">
        <x:v>19</x:v>
      </x:c>
      <x:c r="K109" s="39" t="s">
        <x:v>20</x:v>
      </x:c>
      <x:c r="L109" s="551" t="s">
        <x:v>21</x:v>
      </x:c>
      <x:c r="M109" s="39" t="s">
        <x:v>22</x:v>
      </x:c>
      <x:c r="N109" s="105" t="s">
        <x:v>7</x:v>
      </x:c>
      <x:c r="O109" s="39" t="s">
        <x:v>23</x:v>
      </x:c>
      <x:c r="P109" s="13"/>
      <x:c r="Q109" s="4"/>
      <x:c r="S109" s="11" t="s">
        <x:v>3</x:v>
      </x:c>
      <x:c r="T109" s="27" t="s">
        <x:v>9</x:v>
      </x:c>
      <x:c r="U109" s="162" t="s">
        <x:v>39</x:v>
      </x:c>
      <x:c r="V109" s="163" t="s">
        <x:v>40</x:v>
      </x:c>
      <x:c r="W109" s="163" t="s">
        <x:v>41</x:v>
      </x:c>
      <x:c r="X109" s="163" t="s">
        <x:v>42</x:v>
      </x:c>
      <x:c r="Y109" s="164" t="s">
        <x:v>43</x:v>
      </x:c>
      <x:c r="Z109" s="554" t="s">
        <x:v>21</x:v>
      </x:c>
      <x:c r="AA109" s="380" t="s">
        <x:v>46</x:v>
      </x:c>
      <x:c r="AB109" s="380" t="s">
        <x:v>7</x:v>
      </x:c>
      <x:c r="AC109" s="554" t="s">
        <x:v>168</x:v>
      </x:c>
      <x:c r="AD109" s="550" t="s">
        <x:v>105</x:v>
      </x:c>
      <x:c r="AE109" s="550" t="s">
        <x:v>104</x:v>
      </x:c>
      <x:c r="AF109" s="39" t="s">
        <x:v>23</x:v>
      </x:c>
      <x:c r="AG109" s="13"/>
      <x:c r="AI109" s="4"/>
    </x:row>
    <x:row r="110" spans="1:39" x14ac:dyDescent="0.3">
      <x:c r="B110" s="14">
        <x:v>1</x:v>
      </x:c>
      <x:c r="C110" s="61" t="s">
        <x:v>10</x:v>
      </x:c>
      <x:c r="D110" s="552">
        <x:f>D9-(D26+D60+D43+D76+D93)</x:f>
        <x:v>0</x:v>
      </x:c>
      <x:c r="E110" s="552">
        <x:f t="shared" ref="E110:O110" si="0">E9-(E26+E60+E43+E76+E93)</x:f>
        <x:v>0</x:v>
      </x:c>
      <x:c r="F110" s="552">
        <x:f t="shared" si="0"/>
        <x:v>0</x:v>
      </x:c>
      <x:c r="G110" s="552">
        <x:f t="shared" si="0"/>
        <x:v>0</x:v>
      </x:c>
      <x:c r="H110" s="552">
        <x:f t="shared" si="0"/>
        <x:v>0</x:v>
      </x:c>
      <x:c r="I110" s="552">
        <x:f t="shared" si="0"/>
        <x:v>0</x:v>
      </x:c>
      <x:c r="J110" s="552">
        <x:f t="shared" si="0"/>
        <x:v>0</x:v>
      </x:c>
      <x:c r="K110" s="552">
        <x:f t="shared" si="0"/>
        <x:v>0</x:v>
      </x:c>
      <x:c r="L110" s="552">
        <x:f t="shared" si="0"/>
        <x:v>0</x:v>
      </x:c>
      <x:c r="M110" s="552">
        <x:f t="shared" si="0"/>
        <x:v>0</x:v>
      </x:c>
      <x:c r="N110" s="552">
        <x:f t="shared" si="0"/>
        <x:v>0</x:v>
      </x:c>
      <x:c r="O110" s="552">
        <x:f t="shared" si="0"/>
        <x:v>0</x:v>
      </x:c>
      <x:c r="P110" s="480"/>
      <x:c r="Q110" s="481"/>
      <x:c r="R110" s="480"/>
      <x:c r="S110" s="482">
        <x:v>1</x:v>
      </x:c>
      <x:c r="T110" s="483" t="s">
        <x:v>10</x:v>
      </x:c>
      <x:c r="U110" s="552">
        <x:f>U9-(U26+U43+U60++U76+U93)</x:f>
        <x:v>0</x:v>
      </x:c>
      <x:c r="V110" s="552">
        <x:f t="shared" ref="V110:AF110" si="1">V9-(V26+V43+V60++V76+V93)</x:f>
        <x:v>0</x:v>
      </x:c>
      <x:c r="W110" s="552">
        <x:f t="shared" si="1"/>
        <x:v>0</x:v>
      </x:c>
      <x:c r="X110" s="552">
        <x:f t="shared" si="1"/>
        <x:v>0</x:v>
      </x:c>
      <x:c r="Y110" s="552">
        <x:f t="shared" si="1"/>
        <x:v>0</x:v>
      </x:c>
      <x:c r="Z110" s="552">
        <x:f t="shared" si="1"/>
        <x:v>0</x:v>
      </x:c>
      <x:c r="AA110" s="552">
        <x:f t="shared" si="1"/>
        <x:v>0</x:v>
      </x:c>
      <x:c r="AB110" s="552">
        <x:f t="shared" si="1"/>
        <x:v>0</x:v>
      </x:c>
      <x:c r="AC110" s="552">
        <x:f t="shared" si="1"/>
        <x:v>0</x:v>
      </x:c>
      <x:c r="AD110" s="552">
        <x:f t="shared" ref="AD110:AD115" si="2">AD9-(AD26+AD43+AD60+AD76+AD93)</x:f>
        <x:v>0</x:v>
      </x:c>
      <x:c r="AE110" s="552">
        <x:f t="shared" si="1"/>
        <x:v>0</x:v>
      </x:c>
      <x:c r="AF110" s="552">
        <x:f t="shared" si="1"/>
        <x:v>0</x:v>
      </x:c>
      <x:c r="AG110" s="552">
        <x:f t="shared" ref="AG110" si="3">AG9-(AG26+AG43+AG60++AG76+AG93)</x:f>
        <x:v>0</x:v>
      </x:c>
      <x:c r="AI110" s="481"/>
      <x:c r="AJ110" s="480"/>
    </x:row>
    <x:row r="111" spans="1:39" x14ac:dyDescent="0.3">
      <x:c r="B111" s="16">
        <x:v>2</x:v>
      </x:c>
      <x:c r="C111" s="62" t="s">
        <x:v>11</x:v>
      </x:c>
      <x:c r="D111" s="479">
        <x:f t="shared" ref="D111:O115" si="4">D10-(D27+D61+D44+D77+D94)</x:f>
        <x:v>0</x:v>
      </x:c>
      <x:c r="E111" s="479">
        <x:f t="shared" si="4"/>
        <x:v>0</x:v>
      </x:c>
      <x:c r="F111" s="479">
        <x:f t="shared" si="4"/>
        <x:v>0</x:v>
      </x:c>
      <x:c r="G111" s="479">
        <x:f t="shared" si="4"/>
        <x:v>0</x:v>
      </x:c>
      <x:c r="H111" s="479">
        <x:f t="shared" si="4"/>
        <x:v>0</x:v>
      </x:c>
      <x:c r="I111" s="479">
        <x:f t="shared" si="4"/>
        <x:v>0</x:v>
      </x:c>
      <x:c r="J111" s="479">
        <x:f t="shared" si="4"/>
        <x:v>0</x:v>
      </x:c>
      <x:c r="K111" s="479">
        <x:f t="shared" si="4"/>
        <x:v>0</x:v>
      </x:c>
      <x:c r="L111" s="479">
        <x:f t="shared" si="4"/>
        <x:v>0</x:v>
      </x:c>
      <x:c r="M111" s="479">
        <x:f t="shared" si="4"/>
        <x:v>0</x:v>
      </x:c>
      <x:c r="N111" s="479">
        <x:f t="shared" si="4"/>
        <x:v>0</x:v>
      </x:c>
      <x:c r="O111" s="479">
        <x:f t="shared" si="4"/>
        <x:v>0</x:v>
      </x:c>
      <x:c r="P111" s="480"/>
      <x:c r="Q111" s="481"/>
      <x:c r="R111" s="480"/>
      <x:c r="S111" s="484">
        <x:v>2</x:v>
      </x:c>
      <x:c r="T111" s="485" t="s">
        <x:v>11</x:v>
      </x:c>
      <x:c r="U111" s="479">
        <x:f t="shared" ref="U111:AF115" si="5">U10-(U27+U44+U61++U77+U94)</x:f>
        <x:v>0</x:v>
      </x:c>
      <x:c r="V111" s="479">
        <x:f t="shared" si="5"/>
        <x:v>0</x:v>
      </x:c>
      <x:c r="W111" s="479">
        <x:f t="shared" si="5"/>
        <x:v>0</x:v>
      </x:c>
      <x:c r="X111" s="479">
        <x:f t="shared" si="5"/>
        <x:v>0</x:v>
      </x:c>
      <x:c r="Y111" s="479">
        <x:f t="shared" si="5"/>
        <x:v>0</x:v>
      </x:c>
      <x:c r="Z111" s="479">
        <x:f t="shared" si="5"/>
        <x:v>0</x:v>
      </x:c>
      <x:c r="AA111" s="479">
        <x:f t="shared" si="5"/>
        <x:v>0</x:v>
      </x:c>
      <x:c r="AB111" s="479">
        <x:f t="shared" si="5"/>
        <x:v>0</x:v>
      </x:c>
      <x:c r="AC111" s="479">
        <x:f t="shared" si="5"/>
        <x:v>0</x:v>
      </x:c>
      <x:c r="AD111" s="479">
        <x:f t="shared" si="2"/>
        <x:v>0</x:v>
      </x:c>
      <x:c r="AE111" s="479">
        <x:f t="shared" si="5"/>
        <x:v>0</x:v>
      </x:c>
      <x:c r="AF111" s="479">
        <x:f t="shared" si="5"/>
        <x:v>0</x:v>
      </x:c>
      <x:c r="AG111" s="479">
        <x:f t="shared" ref="AG111" si="6">AG10-(AG27+AG44+AG61++AG77+AG94)</x:f>
        <x:v>0</x:v>
      </x:c>
      <x:c r="AI111" s="481"/>
      <x:c r="AJ111" s="480"/>
    </x:row>
    <x:row r="112" spans="1:39" x14ac:dyDescent="0.3">
      <x:c r="B112" s="16">
        <x:v>3</x:v>
      </x:c>
      <x:c r="C112" s="62" t="s">
        <x:v>12</x:v>
      </x:c>
      <x:c r="D112" s="479">
        <x:f t="shared" si="4"/>
        <x:v>0</x:v>
      </x:c>
      <x:c r="E112" s="479">
        <x:f t="shared" si="4"/>
        <x:v>0</x:v>
      </x:c>
      <x:c r="F112" s="479">
        <x:f t="shared" si="4"/>
        <x:v>0</x:v>
      </x:c>
      <x:c r="G112" s="479">
        <x:f t="shared" si="4"/>
        <x:v>0</x:v>
      </x:c>
      <x:c r="H112" s="479">
        <x:f t="shared" si="4"/>
        <x:v>0</x:v>
      </x:c>
      <x:c r="I112" s="479">
        <x:f t="shared" si="4"/>
        <x:v>0</x:v>
      </x:c>
      <x:c r="J112" s="479">
        <x:f t="shared" si="4"/>
        <x:v>0</x:v>
      </x:c>
      <x:c r="K112" s="479">
        <x:f t="shared" si="4"/>
        <x:v>0</x:v>
      </x:c>
      <x:c r="L112" s="479">
        <x:f t="shared" si="4"/>
        <x:v>0</x:v>
      </x:c>
      <x:c r="M112" s="479">
        <x:f t="shared" si="4"/>
        <x:v>0</x:v>
      </x:c>
      <x:c r="N112" s="479">
        <x:f t="shared" si="4"/>
        <x:v>0</x:v>
      </x:c>
      <x:c r="O112" s="479">
        <x:f t="shared" si="4"/>
        <x:v>0</x:v>
      </x:c>
      <x:c r="P112" s="480"/>
      <x:c r="Q112" s="481"/>
      <x:c r="R112" s="480"/>
      <x:c r="S112" s="484">
        <x:v>3</x:v>
      </x:c>
      <x:c r="T112" s="485" t="s">
        <x:v>12</x:v>
      </x:c>
      <x:c r="U112" s="479">
        <x:f t="shared" si="5"/>
        <x:v>0</x:v>
      </x:c>
      <x:c r="V112" s="479">
        <x:f t="shared" si="5"/>
        <x:v>0</x:v>
      </x:c>
      <x:c r="W112" s="479">
        <x:f t="shared" si="5"/>
        <x:v>0</x:v>
      </x:c>
      <x:c r="X112" s="479">
        <x:f t="shared" si="5"/>
        <x:v>0</x:v>
      </x:c>
      <x:c r="Y112" s="479">
        <x:f t="shared" si="5"/>
        <x:v>0</x:v>
      </x:c>
      <x:c r="Z112" s="479">
        <x:f t="shared" si="5"/>
        <x:v>0</x:v>
      </x:c>
      <x:c r="AA112" s="479">
        <x:f t="shared" si="5"/>
        <x:v>0</x:v>
      </x:c>
      <x:c r="AB112" s="479">
        <x:f t="shared" si="5"/>
        <x:v>0</x:v>
      </x:c>
      <x:c r="AC112" s="479">
        <x:f t="shared" si="5"/>
        <x:v>0</x:v>
      </x:c>
      <x:c r="AD112" s="479">
        <x:f t="shared" si="2"/>
        <x:v>0</x:v>
      </x:c>
      <x:c r="AE112" s="479">
        <x:f t="shared" si="5"/>
        <x:v>0</x:v>
      </x:c>
      <x:c r="AF112" s="479">
        <x:f t="shared" si="5"/>
        <x:v>0</x:v>
      </x:c>
      <x:c r="AG112" s="479">
        <x:f t="shared" ref="AG112" si="7">AG11-(AG28+AG45+AG62++AG78+AG95)</x:f>
        <x:v>0</x:v>
      </x:c>
      <x:c r="AI112" s="481"/>
      <x:c r="AJ112" s="480"/>
    </x:row>
    <x:row r="113" spans="1:36" x14ac:dyDescent="0.3">
      <x:c r="B113" s="16">
        <x:v>4</x:v>
      </x:c>
      <x:c r="C113" s="62" t="s">
        <x:v>13</x:v>
      </x:c>
      <x:c r="D113" s="479">
        <x:f t="shared" si="4"/>
        <x:v>0</x:v>
      </x:c>
      <x:c r="E113" s="479">
        <x:f t="shared" si="4"/>
        <x:v>0</x:v>
      </x:c>
      <x:c r="F113" s="479">
        <x:f t="shared" si="4"/>
        <x:v>0</x:v>
      </x:c>
      <x:c r="G113" s="479">
        <x:f t="shared" si="4"/>
        <x:v>0</x:v>
      </x:c>
      <x:c r="H113" s="479">
        <x:f t="shared" si="4"/>
        <x:v>0</x:v>
      </x:c>
      <x:c r="I113" s="479">
        <x:f t="shared" si="4"/>
        <x:v>0</x:v>
      </x:c>
      <x:c r="J113" s="479">
        <x:f t="shared" si="4"/>
        <x:v>0</x:v>
      </x:c>
      <x:c r="K113" s="479">
        <x:f t="shared" si="4"/>
        <x:v>0</x:v>
      </x:c>
      <x:c r="L113" s="479">
        <x:f t="shared" si="4"/>
        <x:v>0</x:v>
      </x:c>
      <x:c r="M113" s="479">
        <x:f t="shared" si="4"/>
        <x:v>0</x:v>
      </x:c>
      <x:c r="N113" s="479">
        <x:f t="shared" si="4"/>
        <x:v>0</x:v>
      </x:c>
      <x:c r="O113" s="479">
        <x:f t="shared" si="4"/>
        <x:v>0</x:v>
      </x:c>
      <x:c r="P113" s="480"/>
      <x:c r="Q113" s="481"/>
      <x:c r="R113" s="480"/>
      <x:c r="S113" s="484">
        <x:v>4</x:v>
      </x:c>
      <x:c r="T113" s="485" t="s">
        <x:v>13</x:v>
      </x:c>
      <x:c r="U113" s="479">
        <x:f t="shared" si="5"/>
        <x:v>0</x:v>
      </x:c>
      <x:c r="V113" s="479">
        <x:f t="shared" si="5"/>
        <x:v>0</x:v>
      </x:c>
      <x:c r="W113" s="479">
        <x:f t="shared" si="5"/>
        <x:v>0</x:v>
      </x:c>
      <x:c r="X113" s="479">
        <x:f t="shared" si="5"/>
        <x:v>0</x:v>
      </x:c>
      <x:c r="Y113" s="479">
        <x:f t="shared" si="5"/>
        <x:v>0</x:v>
      </x:c>
      <x:c r="Z113" s="479">
        <x:f t="shared" si="5"/>
        <x:v>0</x:v>
      </x:c>
      <x:c r="AA113" s="479">
        <x:f t="shared" si="5"/>
        <x:v>0</x:v>
      </x:c>
      <x:c r="AB113" s="479">
        <x:f t="shared" si="5"/>
        <x:v>0</x:v>
      </x:c>
      <x:c r="AC113" s="479">
        <x:f t="shared" si="5"/>
        <x:v>0</x:v>
      </x:c>
      <x:c r="AD113" s="479">
        <x:f t="shared" si="2"/>
        <x:v>0</x:v>
      </x:c>
      <x:c r="AE113" s="479">
        <x:f t="shared" si="5"/>
        <x:v>0</x:v>
      </x:c>
      <x:c r="AF113" s="479">
        <x:f t="shared" si="5"/>
        <x:v>0</x:v>
      </x:c>
      <x:c r="AG113" s="479">
        <x:f t="shared" ref="AG113" si="8">AG12-(AG29+AG46+AG63++AG79+AG96)</x:f>
        <x:v>0</x:v>
      </x:c>
      <x:c r="AI113" s="481"/>
      <x:c r="AJ113" s="480"/>
    </x:row>
    <x:row r="114" spans="1:36" ht="12" thickBot="1" x14ac:dyDescent="0.35">
      <x:c r="B114" s="19">
        <x:v>5</x:v>
      </x:c>
      <x:c r="C114" s="63" t="s">
        <x:v>14</x:v>
      </x:c>
      <x:c r="D114" s="479">
        <x:f t="shared" si="4"/>
        <x:v>0</x:v>
      </x:c>
      <x:c r="E114" s="479">
        <x:f t="shared" si="4"/>
        <x:v>0</x:v>
      </x:c>
      <x:c r="F114" s="479">
        <x:f t="shared" si="4"/>
        <x:v>0</x:v>
      </x:c>
      <x:c r="G114" s="479">
        <x:f t="shared" si="4"/>
        <x:v>0</x:v>
      </x:c>
      <x:c r="H114" s="479">
        <x:f t="shared" si="4"/>
        <x:v>0</x:v>
      </x:c>
      <x:c r="I114" s="479">
        <x:f t="shared" si="4"/>
        <x:v>0</x:v>
      </x:c>
      <x:c r="J114" s="479">
        <x:f t="shared" si="4"/>
        <x:v>0</x:v>
      </x:c>
      <x:c r="K114" s="479">
        <x:f t="shared" si="4"/>
        <x:v>0</x:v>
      </x:c>
      <x:c r="L114" s="479">
        <x:f t="shared" si="4"/>
        <x:v>0</x:v>
      </x:c>
      <x:c r="M114" s="479">
        <x:f t="shared" si="4"/>
        <x:v>0</x:v>
      </x:c>
      <x:c r="N114" s="479">
        <x:f t="shared" si="4"/>
        <x:v>0</x:v>
      </x:c>
      <x:c r="O114" s="479">
        <x:f t="shared" si="4"/>
        <x:v>0</x:v>
      </x:c>
      <x:c r="P114" s="480"/>
      <x:c r="Q114" s="481"/>
      <x:c r="R114" s="480"/>
      <x:c r="S114" s="486">
        <x:v>5</x:v>
      </x:c>
      <x:c r="T114" s="487" t="s">
        <x:v>14</x:v>
      </x:c>
      <x:c r="U114" s="479">
        <x:f t="shared" si="5"/>
        <x:v>0</x:v>
      </x:c>
      <x:c r="V114" s="479">
        <x:f t="shared" si="5"/>
        <x:v>0</x:v>
      </x:c>
      <x:c r="W114" s="479">
        <x:f t="shared" si="5"/>
        <x:v>0</x:v>
      </x:c>
      <x:c r="X114" s="479">
        <x:f t="shared" si="5"/>
        <x:v>0</x:v>
      </x:c>
      <x:c r="Y114" s="479">
        <x:f t="shared" si="5"/>
        <x:v>0</x:v>
      </x:c>
      <x:c r="Z114" s="479">
        <x:f t="shared" si="5"/>
        <x:v>0</x:v>
      </x:c>
      <x:c r="AA114" s="479">
        <x:f t="shared" si="5"/>
        <x:v>0</x:v>
      </x:c>
      <x:c r="AB114" s="479">
        <x:f t="shared" si="5"/>
        <x:v>0</x:v>
      </x:c>
      <x:c r="AC114" s="479">
        <x:f t="shared" si="5"/>
        <x:v>0</x:v>
      </x:c>
      <x:c r="AD114" s="479">
        <x:f t="shared" si="2"/>
        <x:v>0</x:v>
      </x:c>
      <x:c r="AE114" s="479">
        <x:f t="shared" si="5"/>
        <x:v>0</x:v>
      </x:c>
      <x:c r="AF114" s="479">
        <x:f t="shared" si="5"/>
        <x:v>0</x:v>
      </x:c>
      <x:c r="AG114" s="479">
        <x:f t="shared" ref="AG114" si="9">AG13-(AG30+AG47+AG64++AG80+AG97)</x:f>
        <x:v>0</x:v>
      </x:c>
      <x:c r="AI114" s="481"/>
      <x:c r="AJ114" s="480"/>
    </x:row>
    <x:row r="115" spans="1:36" ht="12" thickBot="1" x14ac:dyDescent="0.35">
      <x:c r="B115" s="21"/>
      <x:c r="C115" s="22" t="s">
        <x:v>2</x:v>
      </x:c>
      <x:c r="D115" s="553">
        <x:f t="shared" si="4"/>
        <x:v>0</x:v>
      </x:c>
      <x:c r="E115" s="553">
        <x:f t="shared" si="4"/>
        <x:v>0</x:v>
      </x:c>
      <x:c r="F115" s="553">
        <x:f t="shared" si="4"/>
        <x:v>0</x:v>
      </x:c>
      <x:c r="G115" s="553">
        <x:f t="shared" si="4"/>
        <x:v>0</x:v>
      </x:c>
      <x:c r="H115" s="553">
        <x:f t="shared" si="4"/>
        <x:v>0</x:v>
      </x:c>
      <x:c r="I115" s="553">
        <x:f t="shared" si="4"/>
        <x:v>0</x:v>
      </x:c>
      <x:c r="J115" s="553">
        <x:f t="shared" si="4"/>
        <x:v>0</x:v>
      </x:c>
      <x:c r="K115" s="553">
        <x:f t="shared" si="4"/>
        <x:v>0</x:v>
      </x:c>
      <x:c r="L115" s="553">
        <x:f t="shared" si="4"/>
        <x:v>0</x:v>
      </x:c>
      <x:c r="M115" s="553">
        <x:f t="shared" si="4"/>
        <x:v>0</x:v>
      </x:c>
      <x:c r="N115" s="553">
        <x:f t="shared" si="4"/>
        <x:v>0</x:v>
      </x:c>
      <x:c r="O115" s="553">
        <x:f t="shared" si="4"/>
        <x:v>0</x:v>
      </x:c>
      <x:c r="P115" s="488"/>
      <x:c r="Q115" s="481"/>
      <x:c r="R115" s="480"/>
      <x:c r="S115" s="489"/>
      <x:c r="T115" s="490" t="s">
        <x:v>2</x:v>
      </x:c>
      <x:c r="U115" s="553">
        <x:f t="shared" si="5"/>
        <x:v>0</x:v>
      </x:c>
      <x:c r="V115" s="553">
        <x:f t="shared" si="5"/>
        <x:v>0</x:v>
      </x:c>
      <x:c r="W115" s="553">
        <x:f t="shared" si="5"/>
        <x:v>0</x:v>
      </x:c>
      <x:c r="X115" s="553">
        <x:f t="shared" si="5"/>
        <x:v>0</x:v>
      </x:c>
      <x:c r="Y115" s="553">
        <x:f t="shared" si="5"/>
        <x:v>0</x:v>
      </x:c>
      <x:c r="Z115" s="553">
        <x:f t="shared" si="5"/>
        <x:v>0</x:v>
      </x:c>
      <x:c r="AA115" s="553">
        <x:f t="shared" si="5"/>
        <x:v>0</x:v>
      </x:c>
      <x:c r="AB115" s="553">
        <x:f t="shared" si="5"/>
        <x:v>0</x:v>
      </x:c>
      <x:c r="AC115" s="553">
        <x:f t="shared" si="5"/>
        <x:v>0</x:v>
      </x:c>
      <x:c r="AD115" s="553">
        <x:f t="shared" si="2"/>
        <x:v>0</x:v>
      </x:c>
      <x:c r="AE115" s="553">
        <x:f t="shared" si="5"/>
        <x:v>0</x:v>
      </x:c>
      <x:c r="AF115" s="553">
        <x:f t="shared" si="5"/>
        <x:v>0</x:v>
      </x:c>
      <x:c r="AG115" s="553">
        <x:f t="shared" ref="AG115" si="10">AG14-(AG31+AG48+AG65++AG81+AG98)</x:f>
        <x:v>0</x:v>
      </x:c>
      <x:c r="AI115" s="481"/>
      <x:c r="AJ115" s="480"/>
    </x:row>
    <x:row r="116" spans="1:36" x14ac:dyDescent="0.3">
      <x:c r="B116" s="2"/>
      <x:c r="C116" s="2"/>
      <x:c r="D116" s="448"/>
      <x:c r="E116" s="448"/>
      <x:c r="F116" s="448"/>
      <x:c r="G116" s="448"/>
      <x:c r="H116" s="448"/>
      <x:c r="I116" s="448"/>
      <x:c r="K116" s="448"/>
      <x:c r="L116" s="448"/>
      <x:c r="M116" s="448"/>
      <x:c r="N116" s="448"/>
      <x:c r="O116" s="448"/>
      <x:c r="Q116" s="4"/>
      <x:c r="S116" s="2"/>
      <x:c r="T116" s="2"/>
      <x:c r="U116" s="448"/>
      <x:c r="V116" s="448"/>
      <x:c r="W116" s="448"/>
      <x:c r="X116" s="448"/>
      <x:c r="Y116" s="448"/>
      <x:c r="AF116" s="448"/>
      <x:c r="AI116" s="4"/>
    </x:row>
    <x:row r="117" spans="1:36" x14ac:dyDescent="0.3">
      <x:c r="B117" s="2"/>
      <x:c r="C117" s="2"/>
      <x:c r="D117" s="448" t="s">
        <x:v>1</x:v>
      </x:c>
      <x:c r="E117" s="448"/>
      <x:c r="F117" s="448"/>
      <x:c r="G117" s="448"/>
      <x:c r="H117" s="448"/>
      <x:c r="I117" s="448"/>
      <x:c r="K117" s="448"/>
      <x:c r="L117" s="448"/>
      <x:c r="M117" s="448"/>
      <x:c r="N117" s="448"/>
      <x:c r="O117" s="448"/>
      <x:c r="Q117" s="4"/>
      <x:c r="AA117" s="1" t="s">
        <x:v>1</x:v>
      </x:c>
      <x:c r="AB117" s="1" t="s">
        <x:v>1</x:v>
      </x:c>
      <x:c r="AD117" s="1" t="s">
        <x:v>1</x:v>
      </x:c>
      <x:c r="AF117" s="1" t="s">
        <x:v>1</x:v>
      </x:c>
      <x:c r="AI117" s="4"/>
    </x:row>
    <x:row r="118" spans="1:36" x14ac:dyDescent="0.3">
      <x:c r="A118" s="4"/>
      <x:c r="B118" s="34"/>
      <x:c r="C118" s="34"/>
      <x:c r="D118" s="474"/>
      <x:c r="E118" s="474"/>
      <x:c r="F118" s="474"/>
      <x:c r="G118" s="474"/>
      <x:c r="H118" s="474"/>
      <x:c r="I118" s="474"/>
      <x:c r="J118" s="4"/>
      <x:c r="K118" s="474"/>
      <x:c r="L118" s="474"/>
      <x:c r="M118" s="474"/>
      <x:c r="N118" s="474"/>
      <x:c r="O118" s="47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  <x:c r="AF118" s="4"/>
      <x:c r="AG118" s="4"/>
      <x:c r="AH118" s="4"/>
      <x:c r="AI118" s="4"/>
    </x:row>
    <x:row r="119" spans="1:36" ht="12" thickBot="1" x14ac:dyDescent="0.35">
      <x:c r="Q119" s="4"/>
      <x:c r="AI119" s="4"/>
    </x:row>
    <x:row r="120" spans="1:36" x14ac:dyDescent="0.3">
      <x:c r="B120" s="5"/>
      <x:c r="C120" s="3" t="s">
        <x:v>1</x:v>
      </x:c>
      <x:c r="D120" s="6" t="s">
        <x:v>1</x:v>
      </x:c>
      <x:c r="E120" s="3"/>
      <x:c r="F120" s="3"/>
      <x:c r="G120" s="3"/>
      <x:c r="H120" s="3" t="s">
        <x:v>1</x:v>
      </x:c>
      <x:c r="I120" s="3"/>
      <x:c r="J120" s="3"/>
      <x:c r="K120" s="3"/>
      <x:c r="L120" s="3"/>
      <x:c r="M120" s="3"/>
      <x:c r="N120" s="3"/>
      <x:c r="O120" s="7"/>
      <x:c r="P120" s="2"/>
      <x:c r="Q120" s="4"/>
      <x:c r="S120" s="5"/>
      <x:c r="T120" s="3" t="s">
        <x:v>1</x:v>
      </x:c>
      <x:c r="U120" s="6" t="s">
        <x:v>1</x:v>
      </x:c>
      <x:c r="V120" s="3"/>
      <x:c r="W120" s="3"/>
      <x:c r="X120" s="3" t="s">
        <x:v>1</x:v>
      </x:c>
      <x:c r="Y120" s="3"/>
      <x:c r="Z120" s="3"/>
      <x:c r="AA120" s="3"/>
      <x:c r="AB120" s="3"/>
      <x:c r="AC120" s="3"/>
      <x:c r="AD120" s="3"/>
      <x:c r="AE120" s="3"/>
      <x:c r="AF120" s="7"/>
      <x:c r="AG120" s="2"/>
      <x:c r="AI120" s="4"/>
    </x:row>
    <x:row r="121" spans="1:36" ht="14.15" x14ac:dyDescent="0.35">
      <x:c r="B121" s="8"/>
      <x:c r="F121" s="26" t="s">
        <x:v>8</x:v>
      </x:c>
      <x:c r="G121" s="26"/>
      <x:c r="I121" s="26" t="s">
        <x:v>16</x:v>
      </x:c>
      <x:c r="J121" s="25"/>
      <x:c r="M121" s="2" t="s">
        <x:v>15</x:v>
      </x:c>
      <x:c r="N121" s="50">
        <x:f>'REMUNERACION_EAAB-CL'!N98</x:f>
        <x:v>2026101</x:v>
      </x:c>
      <x:c r="O121" s="10"/>
      <x:c r="P121" s="2"/>
      <x:c r="Q121" s="4"/>
      <x:c r="S121" s="8"/>
      <x:c r="U121" s="26" t="s">
        <x:v>8</x:v>
      </x:c>
      <x:c r="W121" s="26" t="s">
        <x:v>16</x:v>
      </x:c>
      <x:c r="X121" s="25"/>
      <x:c r="Y121" s="2"/>
      <x:c r="AA121" s="2" t="s">
        <x:v>15</x:v>
      </x:c>
      <x:c r="AD121" s="84">
        <x:f>'REMUNERACION_EAAB-CL'!AD98</x:f>
        <x:v>2026101</x:v>
      </x:c>
      <x:c r="AE121" s="84"/>
      <x:c r="AF121" s="48"/>
      <x:c r="AG121" s="2"/>
      <x:c r="AI121" s="4"/>
    </x:row>
    <x:row r="122" spans="1:36" ht="15.45" x14ac:dyDescent="0.4">
      <x:c r="B122" s="8"/>
      <x:c r="F122" s="36" t="s">
        <x:v>29</x:v>
      </x:c>
      <x:c r="G122" s="36"/>
      <x:c r="O122" s="10"/>
      <x:c r="P122" s="2"/>
      <x:c r="Q122" s="4"/>
      <x:c r="S122" s="8"/>
      <x:c r="T122" s="26" t="s">
        <x:v>1</x:v>
      </x:c>
      <x:c r="U122" s="36" t="s">
        <x:v>29</x:v>
      </x:c>
      <x:c r="Y122" s="2" t="s">
        <x:v>1</x:v>
      </x:c>
      <x:c r="AA122" s="50" t="s">
        <x:v>1</x:v>
      </x:c>
      <x:c r="AB122" s="2"/>
      <x:c r="AC122" s="2"/>
      <x:c r="AD122" s="2"/>
      <x:c r="AE122" s="2"/>
      <x:c r="AF122" s="10" t="s">
        <x:v>1</x:v>
      </x:c>
      <x:c r="AG122" s="2"/>
      <x:c r="AI122" s="4"/>
    </x:row>
    <x:row r="123" spans="1:36" ht="14.15" x14ac:dyDescent="0.35">
      <x:c r="B123" s="8"/>
      <x:c r="F123" s="2" t="s">
        <x:v>30</x:v>
      </x:c>
      <x:c r="G123" s="2"/>
      <x:c r="L123" s="91"/>
      <x:c r="M123" s="2" t="s">
        <x:v>1</x:v>
      </x:c>
      <x:c r="O123" s="10"/>
      <x:c r="P123" s="2"/>
      <x:c r="Q123" s="4"/>
      <x:c r="S123" s="8"/>
      <x:c r="T123" s="49" t="s">
        <x:v>1</x:v>
      </x:c>
      <x:c r="U123" s="2" t="s">
        <x:v>30</x:v>
      </x:c>
      <x:c r="AF123" s="44"/>
      <x:c r="AG123" s="2"/>
      <x:c r="AI123" s="4"/>
    </x:row>
    <x:row r="124" spans="1:36" ht="15.45" x14ac:dyDescent="0.4">
      <x:c r="B124" s="8"/>
      <x:c r="C124" s="2" t="s">
        <x:v>17</x:v>
      </x:c>
      <x:c r="D124" s="9">
        <x:f>'REMUNERACION_EAAB-CL'!D101</x:f>
        <x:v>46297</x:v>
      </x:c>
      <x:c r="F124" s="58" t="s">
        <x:v>189</x:v>
      </x:c>
      <x:c r="G124" s="58"/>
      <x:c r="H124" s="59"/>
      <x:c r="I124" s="60"/>
      <x:c r="J124" s="59"/>
      <x:c r="K124" s="60"/>
      <x:c r="L124" s="91"/>
      <x:c r="O124" s="10"/>
      <x:c r="P124" s="2"/>
      <x:c r="Q124" s="4"/>
      <x:c r="S124" s="8"/>
      <x:c r="T124" s="41" t="s">
        <x:v>1</x:v>
      </x:c>
      <x:c r="U124" s="58" t="s">
        <x:v>35</x:v>
      </x:c>
      <x:c r="V124" s="59"/>
      <x:c r="W124" s="60"/>
      <x:c r="X124" s="59"/>
      <x:c r="Y124" s="2"/>
      <x:c r="AF124" s="48"/>
      <x:c r="AG124" s="2"/>
      <x:c r="AI124" s="4"/>
    </x:row>
    <x:row r="125" spans="1:36" ht="18.45" thickBot="1" x14ac:dyDescent="0.6">
      <x:c r="B125" s="95"/>
      <x:c r="C125" s="555" t="s">
        <x:v>0</x:v>
      </x:c>
      <x:c r="D125" s="556">
        <x:f>'REMUNERACION_EAAB-CL'!D102</x:f>
        <x:v>0.58333333333333337</x:v>
      </x:c>
      <x:c r="E125" s="45"/>
      <x:c r="F125" s="555" t="s">
        <x:v>27</x:v>
      </x:c>
      <x:c r="G125" s="557">
        <x:f>'REMUNERACION_EAAB-CL'!G102</x:f>
        <x:v>46281</x:v>
      </x:c>
      <x:c r="H125" s="45"/>
      <x:c r="I125" s="45"/>
      <x:c r="J125" s="555" t="s">
        <x:v>28</x:v>
      </x:c>
      <x:c r="K125" s="557">
        <x:f>'REMUNERACION_EAAB-CL'!K102</x:f>
        <x:v>46295</x:v>
      </x:c>
      <x:c r="L125" s="92"/>
      <x:c r="M125" s="45"/>
      <x:c r="N125" s="45"/>
      <x:c r="O125" s="558"/>
      <x:c r="P125" s="2"/>
      <x:c r="Q125" s="4"/>
      <x:c r="S125" s="95"/>
      <x:c r="T125" s="45"/>
      <x:c r="U125" s="45" t="str">
        <x:f>F125</x:f>
        <x:v>Fecha Desde:</x:v>
      </x:c>
      <x:c r="V125" s="557">
        <x:f>'REMUNERACION_EAAB-CL'!V102</x:f>
        <x:v>46281</x:v>
      </x:c>
      <x:c r="W125" s="45" t="s">
        <x:v>1</x:v>
      </x:c>
      <x:c r="X125" s="45" t="str">
        <x:f>J125</x:f>
        <x:v>Feha Hasta:</x:v>
      </x:c>
      <x:c r="Y125" s="557">
        <x:f>'REMUNERACION_EAAB-CL'!Y102</x:f>
        <x:v>46295</x:v>
      </x:c>
      <x:c r="Z125" s="45" t="s">
        <x:v>1</x:v>
      </x:c>
      <x:c r="AA125" s="45"/>
      <x:c r="AB125" s="45"/>
      <x:c r="AC125" s="45"/>
      <x:c r="AD125" s="45"/>
      <x:c r="AE125" s="45"/>
      <x:c r="AF125" s="559"/>
      <x:c r="AG125" s="2"/>
      <x:c r="AI125" s="4"/>
      <x:c r="AJ125" s="112" t="s">
        <x:v>1</x:v>
      </x:c>
    </x:row>
  </x:sheetData>
  <x:conditionalFormatting sqref="D110:O115">
    <x:cfRule type="cellIs" dxfId="2" priority="2" operator="notEqual">
      <x:formula>0</x:formula>
    </x:cfRule>
  </x:conditionalFormatting>
  <x:conditionalFormatting sqref="U110:AG115">
    <x:cfRule type="cellIs" dxfId="1" priority="1" operator="notEqual">
      <x:formula>0</x:formula>
    </x:cfRule>
  </x:conditionalFormatting>
  <x:printOptions horizontalCentered="1" verticalCentered="1"/>
  <x:pageMargins left="0.31496062992125984" right="0.11811023622047245" top="0.55118110236220474" bottom="0.55118110236220474" header="0.31496062992125984" footer="0.31496062992125984"/>
  <x:pageSetup scale="40" orientation="landscape" r:id="rId1"/>
  <x:ignoredErrors>
    <x:ignoredError sqref="AD110:AD115" formula="1"/>
  </x:ignoredErrors>
</x:worksheet>
</file>

<file path=xl/worksheets/sheet3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000-000000000000}" mc:Ignorable="x14ac xr xr2 xr3">
  <x:dimension ref="A1:AG101"/>
  <x:sheetViews>
    <x:sheetView topLeftCell="A85" workbookViewId="0">
      <x:selection activeCell="F106" sqref="F106"/>
    </x:sheetView>
  </x:sheetViews>
  <x:sheetFormatPr baseColWidth="10" defaultRowHeight="12.45" x14ac:dyDescent="0.3"/>
  <x:cols>
    <x:col min="1" max="1" width="2.3828125" customWidth="1"/>
    <x:col min="3" max="3" width="36.84375" bestFit="1" customWidth="1"/>
    <x:col min="4" max="4" width="12" bestFit="1" customWidth="1"/>
    <x:col min="5" max="5" width="12.15234375" customWidth="1"/>
    <x:col min="6" max="6" width="9.15234375" customWidth="1"/>
    <x:col min="7" max="7" width="14.84375" customWidth="1"/>
    <x:col min="8" max="8" width="15.15234375" customWidth="1"/>
    <x:col min="9" max="9" width="20.15234375" bestFit="1" customWidth="1"/>
    <x:col min="10" max="10" width="15.3828125" customWidth="1"/>
    <x:col min="11" max="11" width="17.84375" customWidth="1"/>
    <x:col min="12" max="12" width="20.84375" customWidth="1"/>
    <x:col min="17" max="17" width="1.15234375" customWidth="1"/>
  </x:cols>
  <x:sheetData>
    <x:row r="1" spans="1:33" s="1" customFormat="1" ht="12" thickBot="1" x14ac:dyDescent="0.35">
      <x:c r="Q1" s="4"/>
    </x:row>
    <x:row r="2" spans="1:33" s="1" customFormat="1" ht="11.6" x14ac:dyDescent="0.3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74"/>
    </x:row>
    <x:row r="3" spans="1:33" s="1" customFormat="1" ht="15.45" x14ac:dyDescent="0.4">
      <x:c r="B3" s="8"/>
      <x:c r="F3" s="471" t="s">
        <x:v>37</x:v>
      </x:c>
      <x:c r="G3" s="471"/>
      <x:c r="H3" s="472"/>
      <x:c r="I3" s="473"/>
      <x:c r="J3" s="472"/>
      <x:c r="K3" s="473"/>
      <x:c r="O3" s="10"/>
      <x:c r="P3" s="2"/>
      <x:c r="Q3" s="4"/>
    </x:row>
    <x:row r="4" spans="1:33" s="1" customFormat="1" ht="12" thickBot="1" x14ac:dyDescent="0.35">
      <x:c r="B4" s="8"/>
      <x:c r="C4" s="2" t="s">
        <x:v>1</x:v>
      </x:c>
      <x:c r="D4" s="2" t="s">
        <x:v>1</x:v>
      </x:c>
      <x:c r="O4" s="44"/>
      <x:c r="P4" s="2"/>
      <x:c r="Q4" s="4"/>
      <x:c r="AG4" s="480"/>
    </x:row>
    <x:row r="5" spans="1:33" s="1" customFormat="1" ht="63.75" customHeight="1" thickBot="1" x14ac:dyDescent="0.35">
      <x:c r="B5" s="11" t="s">
        <x:v>3</x:v>
      </x:c>
      <x:c r="C5" s="12" t="s">
        <x:v>9</x:v>
      </x:c>
      <x:c r="D5" s="12" t="s">
        <x:v>38</x:v>
      </x:c>
      <x:c r="E5" s="73" t="s">
        <x:v>48</x:v>
      </x:c>
      <x:c r="G5" s="104" t="s">
        <x:v>47</x:v>
      </x:c>
      <x:c r="H5" s="73" t="s">
        <x:v>56</x:v>
      </x:c>
      <x:c r="I5" s="73" t="s">
        <x:v>130</x:v>
      </x:c>
      <x:c r="J5" s="73" t="s">
        <x:v>172</x:v>
      </x:c>
      <x:c r="K5" s="73" t="s">
        <x:v>143</x:v>
      </x:c>
      <x:c r="L5" s="73" t="s">
        <x:v>144</x:v>
      </x:c>
      <x:c r="O5" s="44"/>
      <x:c r="P5" s="13"/>
      <x:c r="Q5" s="4"/>
    </x:row>
    <x:row r="6" spans="1:33" s="305" customFormat="1" ht="11.6" x14ac:dyDescent="0.3">
      <x:c r="B6" s="334">
        <x:v>1</x:v>
      </x:c>
      <x:c r="C6" s="335" t="s">
        <x:v>10</x:v>
      </x:c>
      <x:c r="D6" s="308">
        <x:f>'CONSOLIDADO_TOTAL RECAUDO'!D125</x:f>
        <x:v>0</x:v>
      </x:c>
      <x:c r="E6" s="309">
        <x:f>'CONSOLIDADO_TOTAL RECAUDO'!E125</x:f>
        <x:v>0</x:v>
      </x:c>
      <x:c r="G6" s="336">
        <x:f>'CONSOLIDADO_TOTAL RECAUDO'!G125</x:f>
        <x:v>0</x:v>
      </x:c>
      <x:c r="H6" s="310">
        <x:f>'CONSOLIDADO_TOTAL RECAUDO'!H125</x:f>
        <x:v>0</x:v>
      </x:c>
      <x:c r="I6" s="309">
        <x:f>'CONSOLIDADO_TOTAL RECAUDO'!I125</x:f>
        <x:v>0</x:v>
      </x:c>
      <x:c r="J6" s="309">
        <x:f>'CONSOLIDADO_TOTAL RECAUDO'!J125</x:f>
        <x:v>0</x:v>
      </x:c>
      <x:c r="K6" s="309">
        <x:f>'CONSOLIDADO_TOTAL RECAUDO'!K125</x:f>
        <x:v>0</x:v>
      </x:c>
      <x:c r="L6" s="309">
        <x:f>'CONSOLIDADO_TOTAL RECAUDO'!L125</x:f>
        <x:v>0</x:v>
      </x:c>
      <x:c r="O6" s="337"/>
      <x:c r="Q6" s="306"/>
    </x:row>
    <x:row r="7" spans="1:33" s="305" customFormat="1" ht="11.6" x14ac:dyDescent="0.3">
      <x:c r="B7" s="314">
        <x:v>2</x:v>
      </x:c>
      <x:c r="C7" s="338" t="s">
        <x:v>11</x:v>
      </x:c>
      <x:c r="D7" s="292">
        <x:f>'CONSOLIDADO_TOTAL RECAUDO'!D126</x:f>
        <x:v>0</x:v>
      </x:c>
      <x:c r="E7" s="288">
        <x:f>'CONSOLIDADO_TOTAL RECAUDO'!E126</x:f>
        <x:v>0</x:v>
      </x:c>
      <x:c r="G7" s="339">
        <x:f>'CONSOLIDADO_TOTAL RECAUDO'!G126</x:f>
        <x:v>0</x:v>
      </x:c>
      <x:c r="H7" s="340">
        <x:f>'CONSOLIDADO_TOTAL RECAUDO'!H126</x:f>
        <x:v>0</x:v>
      </x:c>
      <x:c r="I7" s="288">
        <x:f>'CONSOLIDADO_TOTAL RECAUDO'!I126</x:f>
        <x:v>0</x:v>
      </x:c>
      <x:c r="J7" s="288">
        <x:f>'CONSOLIDADO_TOTAL RECAUDO'!J126</x:f>
        <x:v>0</x:v>
      </x:c>
      <x:c r="K7" s="288">
        <x:f>'CONSOLIDADO_TOTAL RECAUDO'!K126</x:f>
        <x:v>0</x:v>
      </x:c>
      <x:c r="L7" s="288">
        <x:f>'CONSOLIDADO_TOTAL RECAUDO'!L126</x:f>
        <x:v>0</x:v>
      </x:c>
      <x:c r="O7" s="337"/>
      <x:c r="Q7" s="306"/>
    </x:row>
    <x:row r="8" spans="1:33" s="305" customFormat="1" ht="11.6" x14ac:dyDescent="0.3">
      <x:c r="B8" s="314">
        <x:v>3</x:v>
      </x:c>
      <x:c r="C8" s="338" t="s">
        <x:v>12</x:v>
      </x:c>
      <x:c r="D8" s="292">
        <x:f>'CONSOLIDADO_TOTAL RECAUDO'!D127</x:f>
        <x:v>0</x:v>
      </x:c>
      <x:c r="E8" s="288">
        <x:f>'CONSOLIDADO_TOTAL RECAUDO'!E127</x:f>
        <x:v>0</x:v>
      </x:c>
      <x:c r="G8" s="339">
        <x:f>'CONSOLIDADO_TOTAL RECAUDO'!G127</x:f>
        <x:v>0</x:v>
      </x:c>
      <x:c r="H8" s="340">
        <x:f>'CONSOLIDADO_TOTAL RECAUDO'!H127</x:f>
        <x:v>0</x:v>
      </x:c>
      <x:c r="I8" s="288">
        <x:f>'CONSOLIDADO_TOTAL RECAUDO'!I127</x:f>
        <x:v>0</x:v>
      </x:c>
      <x:c r="J8" s="288">
        <x:f>'CONSOLIDADO_TOTAL RECAUDO'!J127</x:f>
        <x:v>0</x:v>
      </x:c>
      <x:c r="K8" s="288">
        <x:f>'CONSOLIDADO_TOTAL RECAUDO'!K127</x:f>
        <x:v>0</x:v>
      </x:c>
      <x:c r="L8" s="288">
        <x:f>'CONSOLIDADO_TOTAL RECAUDO'!L127</x:f>
        <x:v>0</x:v>
      </x:c>
      <x:c r="O8" s="337"/>
      <x:c r="Q8" s="306"/>
    </x:row>
    <x:row r="9" spans="1:33" s="305" customFormat="1" ht="11.6" x14ac:dyDescent="0.3">
      <x:c r="B9" s="314">
        <x:v>4</x:v>
      </x:c>
      <x:c r="C9" s="338" t="s">
        <x:v>13</x:v>
      </x:c>
      <x:c r="D9" s="292">
        <x:f>'CONSOLIDADO_TOTAL RECAUDO'!D128</x:f>
        <x:v>0</x:v>
      </x:c>
      <x:c r="E9" s="288">
        <x:f>'CONSOLIDADO_TOTAL RECAUDO'!E128</x:f>
        <x:v>0</x:v>
      </x:c>
      <x:c r="G9" s="339">
        <x:f>'CONSOLIDADO_TOTAL RECAUDO'!G128</x:f>
        <x:v>0</x:v>
      </x:c>
      <x:c r="H9" s="340">
        <x:f>'CONSOLIDADO_TOTAL RECAUDO'!H128</x:f>
        <x:v>0</x:v>
      </x:c>
      <x:c r="I9" s="288">
        <x:f>'CONSOLIDADO_TOTAL RECAUDO'!I128</x:f>
        <x:v>0</x:v>
      </x:c>
      <x:c r="J9" s="288">
        <x:f>'CONSOLIDADO_TOTAL RECAUDO'!J128</x:f>
        <x:v>0</x:v>
      </x:c>
      <x:c r="K9" s="288">
        <x:f>'CONSOLIDADO_TOTAL RECAUDO'!K128</x:f>
        <x:v>0</x:v>
      </x:c>
      <x:c r="L9" s="288">
        <x:f>'CONSOLIDADO_TOTAL RECAUDO'!L128</x:f>
        <x:v>0</x:v>
      </x:c>
      <x:c r="O9" s="337"/>
      <x:c r="Q9" s="306"/>
    </x:row>
    <x:row r="10" spans="1:33" s="305" customFormat="1" ht="11.6" x14ac:dyDescent="0.3">
      <x:c r="B10" s="341">
        <x:v>5</x:v>
      </x:c>
      <x:c r="C10" s="342" t="s">
        <x:v>14</x:v>
      </x:c>
      <x:c r="D10" s="292">
        <x:f>'CONSOLIDADO_TOTAL RECAUDO'!D129</x:f>
        <x:v>0</x:v>
      </x:c>
      <x:c r="E10" s="344">
        <x:f>'CONSOLIDADO_TOTAL RECAUDO'!E129</x:f>
        <x:v>0</x:v>
      </x:c>
      <x:c r="G10" s="339">
        <x:f>'CONSOLIDADO_TOTAL RECAUDO'!G129</x:f>
        <x:v>0</x:v>
      </x:c>
      <x:c r="H10" s="340">
        <x:f>'CONSOLIDADO_TOTAL RECAUDO'!H129</x:f>
        <x:v>0</x:v>
      </x:c>
      <x:c r="I10" s="288">
        <x:f>'CONSOLIDADO_TOTAL RECAUDO'!I129</x:f>
        <x:v>0</x:v>
      </x:c>
      <x:c r="J10" s="288">
        <x:f>'CONSOLIDADO_TOTAL RECAUDO'!J129</x:f>
        <x:v>0</x:v>
      </x:c>
      <x:c r="K10" s="288">
        <x:f>'CONSOLIDADO_TOTAL RECAUDO'!K129</x:f>
        <x:v>0</x:v>
      </x:c>
      <x:c r="L10" s="288">
        <x:f>'CONSOLIDADO_TOTAL RECAUDO'!L129</x:f>
        <x:v>0</x:v>
      </x:c>
      <x:c r="O10" s="337"/>
      <x:c r="Q10" s="306"/>
    </x:row>
    <x:row r="11" spans="1:33" s="305" customFormat="1" ht="12" thickBot="1" x14ac:dyDescent="0.35">
      <x:c r="B11" s="324" t="s">
        <x:v>89</x:v>
      </x:c>
      <x:c r="C11" s="345" t="s">
        <x:v>113</x:v>
      </x:c>
      <x:c r="D11" s="297">
        <x:f>'CONSOLIDADO_TOTAL RECAUDO'!D130</x:f>
        <x:v>0</x:v>
      </x:c>
      <x:c r="E11" s="289">
        <x:f>'CONSOLIDADO_TOTAL RECAUDO'!E130</x:f>
        <x:v>0</x:v>
      </x:c>
      <x:c r="G11" s="346">
        <x:f>'CONSOLIDADO_TOTAL RECAUDO'!G130</x:f>
        <x:v>0</x:v>
      </x:c>
      <x:c r="H11" s="347">
        <x:f>'CONSOLIDADO_TOTAL RECAUDO'!H130</x:f>
        <x:v>0</x:v>
      </x:c>
      <x:c r="I11" s="289">
        <x:f>'CONSOLIDADO_TOTAL RECAUDO'!I130</x:f>
        <x:v>0</x:v>
      </x:c>
      <x:c r="J11" s="289">
        <x:f>'CONSOLIDADO_TOTAL RECAUDO'!J130</x:f>
        <x:v>0</x:v>
      </x:c>
      <x:c r="K11" s="289">
        <x:f>'CONSOLIDADO_TOTAL RECAUDO'!K130</x:f>
        <x:v>0</x:v>
      </x:c>
      <x:c r="L11" s="289">
        <x:f>'CONSOLIDADO_TOTAL RECAUDO'!L130</x:f>
        <x:v>0</x:v>
      </x:c>
      <x:c r="O11" s="337"/>
      <x:c r="Q11" s="306"/>
    </x:row>
    <x:row r="12" spans="1:33" s="305" customFormat="1" ht="12" thickBot="1" x14ac:dyDescent="0.35">
      <x:c r="B12" s="348"/>
      <x:c r="C12" s="349" t="s">
        <x:v>2</x:v>
      </x:c>
      <x:c r="D12" s="350">
        <x:f>'CONSOLIDADO_TOTAL RECAUDO'!D131</x:f>
        <x:v>0</x:v>
      </x:c>
      <x:c r="E12" s="350">
        <x:f>'CONSOLIDADO_TOTAL RECAUDO'!E131</x:f>
        <x:v>0</x:v>
      </x:c>
      <x:c r="F12" s="351"/>
      <x:c r="G12" s="350">
        <x:f>'CONSOLIDADO_TOTAL RECAUDO'!G131</x:f>
        <x:v>0</x:v>
      </x:c>
      <x:c r="H12" s="350">
        <x:f>'CONSOLIDADO_TOTAL RECAUDO'!H131</x:f>
        <x:v>0</x:v>
      </x:c>
      <x:c r="I12" s="350">
        <x:f>'CONSOLIDADO_TOTAL RECAUDO'!I131</x:f>
        <x:v>0</x:v>
      </x:c>
      <x:c r="J12" s="350">
        <x:f>'CONSOLIDADO_TOTAL RECAUDO'!J131</x:f>
        <x:v>0</x:v>
      </x:c>
      <x:c r="K12" s="350">
        <x:f>'CONSOLIDADO_TOTAL RECAUDO'!K131</x:f>
        <x:v>0</x:v>
      </x:c>
      <x:c r="L12" s="350">
        <x:f>'CONSOLIDADO_TOTAL RECAUDO'!L131</x:f>
        <x:v>0</x:v>
      </x:c>
      <x:c r="M12" s="351"/>
      <x:c r="N12" s="351"/>
      <x:c r="O12" s="352"/>
      <x:c r="P12" s="329"/>
      <x:c r="Q12" s="306"/>
    </x:row>
    <x:row r="13" spans="1:33" s="1" customFormat="1" ht="11.6" x14ac:dyDescent="0.3">
      <x:c r="B13" s="2"/>
      <x:c r="C13" s="2"/>
      <x:c r="D13" s="448"/>
      <x:c r="Q13" s="4"/>
    </x:row>
    <x:row r="14" spans="1:33" s="1" customFormat="1" ht="11.6" x14ac:dyDescent="0.3">
      <x:c r="B14" s="2"/>
      <x:c r="C14" s="2"/>
      <x:c r="D14" s="448"/>
      <x:c r="Q14" s="4"/>
    </x:row>
    <x:row r="15" spans="1:33" s="1" customFormat="1" ht="11.6" x14ac:dyDescent="0.3">
      <x:c r="A15" s="52"/>
      <x:c r="B15" s="53"/>
      <x:c r="C15" s="53"/>
      <x:c r="D15" s="454"/>
      <x:c r="E15" s="454"/>
      <x:c r="F15" s="454"/>
      <x:c r="G15" s="454"/>
      <x:c r="H15" s="454"/>
      <x:c r="I15" s="454"/>
      <x:c r="J15" s="52"/>
      <x:c r="K15" s="454"/>
      <x:c r="L15" s="454"/>
      <x:c r="M15" s="454"/>
      <x:c r="N15" s="454"/>
      <x:c r="O15" s="454"/>
      <x:c r="P15" s="52"/>
      <x:c r="Q15" s="4"/>
    </x:row>
    <x:row r="16" spans="1:33" ht="12.9" thickBot="1" x14ac:dyDescent="0.35"/>
    <x:row r="17" spans="1:17" s="1" customFormat="1" ht="11.6" x14ac:dyDescent="0.3">
      <x:c r="B17" s="5"/>
      <x:c r="C17" s="3" t="s">
        <x:v>1</x:v>
      </x:c>
      <x:c r="D17" s="6" t="s">
        <x:v>1</x:v>
      </x:c>
      <x:c r="E17" s="3"/>
      <x:c r="F17" s="3"/>
      <x:c r="G17" s="3"/>
      <x:c r="H17" s="3" t="s">
        <x:v>1</x:v>
      </x:c>
      <x:c r="I17" s="3"/>
      <x:c r="J17" s="3"/>
      <x:c r="K17" s="3"/>
      <x:c r="L17" s="3"/>
      <x:c r="M17" s="3"/>
      <x:c r="N17" s="3"/>
      <x:c r="O17" s="7"/>
      <x:c r="P17" s="2"/>
      <x:c r="Q17" s="474"/>
    </x:row>
    <x:row r="18" spans="1:17" s="1" customFormat="1" ht="15.45" x14ac:dyDescent="0.4">
      <x:c r="B18" s="8"/>
      <x:c r="F18" s="475" t="s">
        <x:v>192</x:v>
      </x:c>
      <x:c r="G18" s="475"/>
      <x:c r="H18" s="34"/>
      <x:c r="I18" s="4"/>
      <x:c r="J18" s="34"/>
      <x:c r="K18" s="4"/>
      <x:c r="O18" s="10"/>
      <x:c r="P18" s="2"/>
      <x:c r="Q18" s="4"/>
    </x:row>
    <x:row r="19" spans="1:17" s="1" customFormat="1" ht="12" thickBot="1" x14ac:dyDescent="0.35">
      <x:c r="B19" s="8"/>
      <x:c r="C19" s="2" t="s">
        <x:v>1</x:v>
      </x:c>
      <x:c r="D19" s="2" t="s">
        <x:v>1</x:v>
      </x:c>
      <x:c r="J19" s="1" t="s">
        <x:v>1</x:v>
      </x:c>
      <x:c r="O19" s="44"/>
      <x:c r="P19" s="2"/>
      <x:c r="Q19" s="4"/>
    </x:row>
    <x:row r="20" spans="1:17" s="1" customFormat="1" ht="60.75" customHeight="1" thickBot="1" x14ac:dyDescent="0.35">
      <x:c r="B20" s="11" t="s">
        <x:v>3</x:v>
      </x:c>
      <x:c r="C20" s="12" t="s">
        <x:v>9</x:v>
      </x:c>
      <x:c r="D20" s="12" t="s">
        <x:v>38</x:v>
      </x:c>
      <x:c r="E20" s="73" t="s">
        <x:v>48</x:v>
      </x:c>
      <x:c r="G20" s="104" t="s">
        <x:v>47</x:v>
      </x:c>
      <x:c r="H20" s="73" t="s">
        <x:v>56</x:v>
      </x:c>
      <x:c r="I20" s="73" t="s">
        <x:v>130</x:v>
      </x:c>
      <x:c r="J20" s="73" t="s">
        <x:v>172</x:v>
      </x:c>
      <x:c r="K20" s="73" t="s">
        <x:v>143</x:v>
      </x:c>
      <x:c r="L20" s="73" t="s">
        <x:v>144</x:v>
      </x:c>
      <x:c r="O20" s="44"/>
      <x:c r="P20" s="13"/>
      <x:c r="Q20" s="4"/>
    </x:row>
    <x:row r="21" spans="1:17" s="305" customFormat="1" ht="11.6" x14ac:dyDescent="0.3">
      <x:c r="B21" s="334">
        <x:v>1</x:v>
      </x:c>
      <x:c r="C21" s="335" t="s">
        <x:v>10</x:v>
      </x:c>
      <x:c r="D21" s="308">
        <x:f>'REMUNERACION Reciprocidad EAAB'!D125</x:f>
        <x:v>0</x:v>
      </x:c>
      <x:c r="E21" s="309">
        <x:f>'REMUNERACION Reciprocidad EAAB'!E125</x:f>
        <x:v>0</x:v>
      </x:c>
      <x:c r="G21" s="336">
        <x:f>'REMUNERACION Reciprocidad EAAB'!G125</x:f>
        <x:v>0</x:v>
      </x:c>
      <x:c r="H21" s="310">
        <x:f>'REMUNERACION Reciprocidad EAAB'!H125</x:f>
        <x:v>0</x:v>
      </x:c>
      <x:c r="I21" s="309">
        <x:f>'REMUNERACION Reciprocidad EAAB'!I125</x:f>
        <x:v>0</x:v>
      </x:c>
      <x:c r="J21" s="309">
        <x:f>'REMUNERACION Reciprocidad EAAB'!J125</x:f>
        <x:v>0</x:v>
      </x:c>
      <x:c r="K21" s="309">
        <x:f>'REMUNERACION Reciprocidad EAAB'!K125</x:f>
        <x:v>0</x:v>
      </x:c>
      <x:c r="L21" s="309">
        <x:f>'REMUNERACION Reciprocidad EAAB'!L125</x:f>
        <x:v>0</x:v>
      </x:c>
      <x:c r="O21" s="337"/>
      <x:c r="Q21" s="306"/>
    </x:row>
    <x:row r="22" spans="1:17" s="305" customFormat="1" ht="11.6" x14ac:dyDescent="0.3">
      <x:c r="B22" s="314">
        <x:v>2</x:v>
      </x:c>
      <x:c r="C22" s="338" t="s">
        <x:v>11</x:v>
      </x:c>
      <x:c r="D22" s="292">
        <x:f>'REMUNERACION Reciprocidad EAAB'!D126</x:f>
        <x:v>0</x:v>
      </x:c>
      <x:c r="E22" s="288">
        <x:f>'REMUNERACION Reciprocidad EAAB'!E126</x:f>
        <x:v>0</x:v>
      </x:c>
      <x:c r="G22" s="339">
        <x:f>'REMUNERACION Reciprocidad EAAB'!G126</x:f>
        <x:v>0</x:v>
      </x:c>
      <x:c r="H22" s="340">
        <x:f>'REMUNERACION Reciprocidad EAAB'!H126</x:f>
        <x:v>0</x:v>
      </x:c>
      <x:c r="I22" s="288">
        <x:f>'REMUNERACION Reciprocidad EAAB'!I126</x:f>
        <x:v>0</x:v>
      </x:c>
      <x:c r="J22" s="288">
        <x:f>'REMUNERACION Reciprocidad EAAB'!J126</x:f>
        <x:v>0</x:v>
      </x:c>
      <x:c r="K22" s="288">
        <x:f>'REMUNERACION Reciprocidad EAAB'!K126</x:f>
        <x:v>0</x:v>
      </x:c>
      <x:c r="L22" s="288">
        <x:f>'REMUNERACION Reciprocidad EAAB'!L126</x:f>
        <x:v>0</x:v>
      </x:c>
      <x:c r="O22" s="337"/>
      <x:c r="Q22" s="306"/>
    </x:row>
    <x:row r="23" spans="1:17" s="305" customFormat="1" ht="11.6" x14ac:dyDescent="0.3">
      <x:c r="B23" s="314">
        <x:v>3</x:v>
      </x:c>
      <x:c r="C23" s="338" t="s">
        <x:v>12</x:v>
      </x:c>
      <x:c r="D23" s="292">
        <x:f>'REMUNERACION Reciprocidad EAAB'!D127</x:f>
        <x:v>0</x:v>
      </x:c>
      <x:c r="E23" s="288">
        <x:f>'REMUNERACION Reciprocidad EAAB'!E127</x:f>
        <x:v>0</x:v>
      </x:c>
      <x:c r="G23" s="339">
        <x:f>'REMUNERACION Reciprocidad EAAB'!G127</x:f>
        <x:v>0</x:v>
      </x:c>
      <x:c r="H23" s="340">
        <x:f>'REMUNERACION Reciprocidad EAAB'!H127</x:f>
        <x:v>0</x:v>
      </x:c>
      <x:c r="I23" s="288">
        <x:f>'REMUNERACION Reciprocidad EAAB'!I127</x:f>
        <x:v>0</x:v>
      </x:c>
      <x:c r="J23" s="288">
        <x:f>'REMUNERACION Reciprocidad EAAB'!J127</x:f>
        <x:v>0</x:v>
      </x:c>
      <x:c r="K23" s="288">
        <x:f>'REMUNERACION Reciprocidad EAAB'!K127</x:f>
        <x:v>0</x:v>
      </x:c>
      <x:c r="L23" s="288">
        <x:f>'REMUNERACION Reciprocidad EAAB'!L127</x:f>
        <x:v>0</x:v>
      </x:c>
      <x:c r="O23" s="337"/>
      <x:c r="Q23" s="306"/>
    </x:row>
    <x:row r="24" spans="1:17" s="305" customFormat="1" ht="11.6" x14ac:dyDescent="0.3">
      <x:c r="B24" s="314">
        <x:v>4</x:v>
      </x:c>
      <x:c r="C24" s="338" t="s">
        <x:v>13</x:v>
      </x:c>
      <x:c r="D24" s="292">
        <x:f>'REMUNERACION Reciprocidad EAAB'!D128</x:f>
        <x:v>0</x:v>
      </x:c>
      <x:c r="E24" s="288">
        <x:f>'REMUNERACION Reciprocidad EAAB'!E128</x:f>
        <x:v>0</x:v>
      </x:c>
      <x:c r="G24" s="339">
        <x:f>'REMUNERACION Reciprocidad EAAB'!G128</x:f>
        <x:v>0</x:v>
      </x:c>
      <x:c r="H24" s="340">
        <x:f>'REMUNERACION Reciprocidad EAAB'!H128</x:f>
        <x:v>0</x:v>
      </x:c>
      <x:c r="I24" s="288">
        <x:f>'REMUNERACION Reciprocidad EAAB'!I128</x:f>
        <x:v>0</x:v>
      </x:c>
      <x:c r="J24" s="288">
        <x:f>'REMUNERACION Reciprocidad EAAB'!J128</x:f>
        <x:v>0</x:v>
      </x:c>
      <x:c r="K24" s="288">
        <x:f>'REMUNERACION Reciprocidad EAAB'!K128</x:f>
        <x:v>0</x:v>
      </x:c>
      <x:c r="L24" s="288">
        <x:f>'REMUNERACION Reciprocidad EAAB'!L128</x:f>
        <x:v>0</x:v>
      </x:c>
      <x:c r="O24" s="337"/>
      <x:c r="Q24" s="306"/>
    </x:row>
    <x:row r="25" spans="1:17" s="305" customFormat="1" ht="11.6" x14ac:dyDescent="0.3">
      <x:c r="B25" s="341">
        <x:v>5</x:v>
      </x:c>
      <x:c r="C25" s="342" t="s">
        <x:v>14</x:v>
      </x:c>
      <x:c r="D25" s="292">
        <x:f>'REMUNERACION Reciprocidad EAAB'!D129</x:f>
        <x:v>0</x:v>
      </x:c>
      <x:c r="E25" s="344">
        <x:f>'REMUNERACION Reciprocidad EAAB'!E129</x:f>
        <x:v>0</x:v>
      </x:c>
      <x:c r="G25" s="339">
        <x:f>'REMUNERACION Reciprocidad EAAB'!G129</x:f>
        <x:v>0</x:v>
      </x:c>
      <x:c r="H25" s="340">
        <x:f>'REMUNERACION Reciprocidad EAAB'!H129</x:f>
        <x:v>0</x:v>
      </x:c>
      <x:c r="I25" s="288">
        <x:f>'REMUNERACION Reciprocidad EAAB'!I129</x:f>
        <x:v>0</x:v>
      </x:c>
      <x:c r="J25" s="288">
        <x:f>'REMUNERACION Reciprocidad EAAB'!J129</x:f>
        <x:v>0</x:v>
      </x:c>
      <x:c r="K25" s="288">
        <x:f>'REMUNERACION Reciprocidad EAAB'!K129</x:f>
        <x:v>0</x:v>
      </x:c>
      <x:c r="L25" s="288">
        <x:f>'REMUNERACION Reciprocidad EAAB'!L129</x:f>
        <x:v>0</x:v>
      </x:c>
      <x:c r="O25" s="337"/>
      <x:c r="Q25" s="306"/>
    </x:row>
    <x:row r="26" spans="1:17" s="305" customFormat="1" ht="12" thickBot="1" x14ac:dyDescent="0.35">
      <x:c r="B26" s="324" t="s">
        <x:v>89</x:v>
      </x:c>
      <x:c r="C26" s="345" t="s">
        <x:v>113</x:v>
      </x:c>
      <x:c r="D26" s="297">
        <x:f>'REMUNERACION Reciprocidad EAAB'!D130</x:f>
        <x:v>0</x:v>
      </x:c>
      <x:c r="E26" s="289">
        <x:f>'REMUNERACION Reciprocidad EAAB'!E130</x:f>
        <x:v>0</x:v>
      </x:c>
      <x:c r="G26" s="346">
        <x:f>'REMUNERACION Reciprocidad EAAB'!G130</x:f>
        <x:v>0</x:v>
      </x:c>
      <x:c r="H26" s="347">
        <x:f>'REMUNERACION Reciprocidad EAAB'!H130</x:f>
        <x:v>0</x:v>
      </x:c>
      <x:c r="I26" s="289">
        <x:f>'REMUNERACION Reciprocidad EAAB'!I130</x:f>
        <x:v>0</x:v>
      </x:c>
      <x:c r="J26" s="289">
        <x:f>'REMUNERACION Reciprocidad EAAB'!J130</x:f>
        <x:v>0</x:v>
      </x:c>
      <x:c r="K26" s="289">
        <x:f>'REMUNERACION Reciprocidad EAAB'!K130</x:f>
        <x:v>0</x:v>
      </x:c>
      <x:c r="L26" s="289">
        <x:f>'REMUNERACION Reciprocidad EAAB'!L130</x:f>
        <x:v>0</x:v>
      </x:c>
      <x:c r="O26" s="337"/>
      <x:c r="Q26" s="306"/>
    </x:row>
    <x:row r="27" spans="1:17" s="305" customFormat="1" ht="12" thickBot="1" x14ac:dyDescent="0.35">
      <x:c r="B27" s="348"/>
      <x:c r="C27" s="349" t="s">
        <x:v>2</x:v>
      </x:c>
      <x:c r="D27" s="350">
        <x:f>'REMUNERACION Reciprocidad EAAB'!D131</x:f>
        <x:v>0</x:v>
      </x:c>
      <x:c r="E27" s="350">
        <x:f>'REMUNERACION Reciprocidad EAAB'!E131</x:f>
        <x:v>0</x:v>
      </x:c>
      <x:c r="F27" s="351"/>
      <x:c r="G27" s="350">
        <x:f>'REMUNERACION Reciprocidad EAAB'!G131</x:f>
        <x:v>0</x:v>
      </x:c>
      <x:c r="H27" s="350">
        <x:f>'REMUNERACION Reciprocidad EAAB'!H131</x:f>
        <x:v>0</x:v>
      </x:c>
      <x:c r="I27" s="350">
        <x:f>'REMUNERACION Reciprocidad EAAB'!I131</x:f>
        <x:v>0</x:v>
      </x:c>
      <x:c r="J27" s="350">
        <x:f>'REMUNERACION Reciprocidad EAAB'!J131</x:f>
        <x:v>0</x:v>
      </x:c>
      <x:c r="K27" s="350">
        <x:f>'REMUNERACION Reciprocidad EAAB'!K131</x:f>
        <x:v>0</x:v>
      </x:c>
      <x:c r="L27" s="350">
        <x:f>'REMUNERACION Reciprocidad EAAB'!L131</x:f>
        <x:v>0</x:v>
      </x:c>
      <x:c r="M27" s="351"/>
      <x:c r="N27" s="351"/>
      <x:c r="O27" s="352"/>
      <x:c r="P27" s="329"/>
      <x:c r="Q27" s="306"/>
    </x:row>
    <x:row r="28" spans="1:17" s="1" customFormat="1" ht="11.6" x14ac:dyDescent="0.3">
      <x:c r="B28" s="2"/>
      <x:c r="C28" s="2"/>
      <x:c r="D28" s="448"/>
      <x:c r="Q28" s="4"/>
    </x:row>
    <x:row r="29" spans="1:17" s="1" customFormat="1" ht="11.6" x14ac:dyDescent="0.3">
      <x:c r="B29" s="2"/>
      <x:c r="C29" s="2"/>
      <x:c r="D29" s="448"/>
      <x:c r="Q29" s="4"/>
    </x:row>
    <x:row r="30" spans="1:17" s="1" customFormat="1" ht="11.6" x14ac:dyDescent="0.3">
      <x:c r="A30" s="52"/>
      <x:c r="B30" s="53"/>
      <x:c r="C30" s="53"/>
      <x:c r="D30" s="454"/>
      <x:c r="E30" s="454"/>
      <x:c r="F30" s="454"/>
      <x:c r="G30" s="454"/>
      <x:c r="H30" s="454"/>
      <x:c r="I30" s="454"/>
      <x:c r="J30" s="52"/>
      <x:c r="K30" s="454"/>
      <x:c r="L30" s="454"/>
      <x:c r="M30" s="454"/>
      <x:c r="N30" s="454"/>
      <x:c r="O30" s="454"/>
      <x:c r="P30" s="52"/>
      <x:c r="Q30" s="4"/>
    </x:row>
    <x:row r="32" spans="1:17" s="1" customFormat="1" ht="15.45" x14ac:dyDescent="0.4">
      <x:c r="B32" s="8"/>
      <x:c r="F32" s="491" t="s">
        <x:v>193</x:v>
      </x:c>
      <x:c r="G32" s="491"/>
      <x:c r="H32" s="492"/>
      <x:c r="I32" s="493"/>
      <x:c r="J32" s="492"/>
      <x:c r="K32" s="493"/>
      <x:c r="O32" s="10"/>
      <x:c r="P32" s="2"/>
      <x:c r="Q32" s="4"/>
    </x:row>
    <x:row r="33" spans="1:17" s="1" customFormat="1" ht="12" thickBot="1" x14ac:dyDescent="0.35">
      <x:c r="B33" s="8"/>
      <x:c r="C33" s="2" t="s">
        <x:v>1</x:v>
      </x:c>
      <x:c r="D33" s="2" t="s">
        <x:v>1</x:v>
      </x:c>
      <x:c r="O33" s="44"/>
      <x:c r="P33" s="2"/>
      <x:c r="Q33" s="4"/>
    </x:row>
    <x:row r="34" spans="1:17" s="1" customFormat="1" ht="57.75" customHeight="1" thickBot="1" x14ac:dyDescent="0.35">
      <x:c r="B34" s="11" t="s">
        <x:v>3</x:v>
      </x:c>
      <x:c r="C34" s="12" t="s">
        <x:v>9</x:v>
      </x:c>
      <x:c r="D34" s="12" t="s">
        <x:v>38</x:v>
      </x:c>
      <x:c r="E34" s="73" t="s">
        <x:v>48</x:v>
      </x:c>
      <x:c r="G34" s="104" t="s">
        <x:v>47</x:v>
      </x:c>
      <x:c r="H34" s="73" t="s">
        <x:v>56</x:v>
      </x:c>
      <x:c r="I34" s="73" t="s">
        <x:v>130</x:v>
      </x:c>
      <x:c r="J34" s="73" t="s">
        <x:v>172</x:v>
      </x:c>
      <x:c r="K34" s="73" t="s">
        <x:v>143</x:v>
      </x:c>
      <x:c r="L34" s="73" t="s">
        <x:v>144</x:v>
      </x:c>
      <x:c r="O34" s="44"/>
      <x:c r="P34" s="13"/>
      <x:c r="Q34" s="4"/>
    </x:row>
    <x:row r="35" spans="1:17" s="305" customFormat="1" ht="11.6" x14ac:dyDescent="0.3">
      <x:c r="B35" s="334">
        <x:v>1</x:v>
      </x:c>
      <x:c r="C35" s="335" t="s">
        <x:v>10</x:v>
      </x:c>
      <x:c r="D35" s="308">
        <x:f>REMUNERACION_ENEL!D125</x:f>
        <x:v>0</x:v>
      </x:c>
      <x:c r="E35" s="309">
        <x:f>REMUNERACION_ENEL!E125</x:f>
        <x:v>0</x:v>
      </x:c>
      <x:c r="G35" s="336">
        <x:f>REMUNERACION_ENEL!G125</x:f>
        <x:v>0</x:v>
      </x:c>
      <x:c r="H35" s="310">
        <x:f>REMUNERACION_ENEL!H125</x:f>
        <x:v>0</x:v>
      </x:c>
      <x:c r="I35" s="309">
        <x:f>REMUNERACION_ENEL!I125</x:f>
        <x:v>0</x:v>
      </x:c>
      <x:c r="J35" s="309">
        <x:f>REMUNERACION_ENEL!J125</x:f>
        <x:v>0</x:v>
      </x:c>
      <x:c r="K35" s="309">
        <x:f>REMUNERACION_ENEL!K125</x:f>
        <x:v>0</x:v>
      </x:c>
      <x:c r="L35" s="309">
        <x:f>REMUNERACION_ENEL!L125</x:f>
        <x:v>0</x:v>
      </x:c>
      <x:c r="O35" s="337"/>
      <x:c r="Q35" s="306"/>
    </x:row>
    <x:row r="36" spans="1:17" s="305" customFormat="1" ht="11.6" x14ac:dyDescent="0.3">
      <x:c r="B36" s="314">
        <x:v>2</x:v>
      </x:c>
      <x:c r="C36" s="338" t="s">
        <x:v>11</x:v>
      </x:c>
      <x:c r="D36" s="292">
        <x:f>REMUNERACION_ENEL!D126</x:f>
        <x:v>0</x:v>
      </x:c>
      <x:c r="E36" s="288">
        <x:f>REMUNERACION_ENEL!E126</x:f>
        <x:v>0</x:v>
      </x:c>
      <x:c r="G36" s="339">
        <x:f>REMUNERACION_ENEL!G126</x:f>
        <x:v>0</x:v>
      </x:c>
      <x:c r="H36" s="340">
        <x:f>REMUNERACION_ENEL!H126</x:f>
        <x:v>0</x:v>
      </x:c>
      <x:c r="I36" s="288">
        <x:f>REMUNERACION_ENEL!I126</x:f>
        <x:v>0</x:v>
      </x:c>
      <x:c r="J36" s="288">
        <x:f>REMUNERACION_ENEL!J126</x:f>
        <x:v>0</x:v>
      </x:c>
      <x:c r="K36" s="288">
        <x:f>REMUNERACION_ENEL!K126</x:f>
        <x:v>0</x:v>
      </x:c>
      <x:c r="L36" s="288">
        <x:f>REMUNERACION_ENEL!L126</x:f>
        <x:v>0</x:v>
      </x:c>
      <x:c r="O36" s="337"/>
      <x:c r="Q36" s="306"/>
    </x:row>
    <x:row r="37" spans="1:17" s="305" customFormat="1" ht="11.6" x14ac:dyDescent="0.3">
      <x:c r="B37" s="314">
        <x:v>3</x:v>
      </x:c>
      <x:c r="C37" s="338" t="s">
        <x:v>12</x:v>
      </x:c>
      <x:c r="D37" s="292">
        <x:f>REMUNERACION_ENEL!D127</x:f>
        <x:v>0</x:v>
      </x:c>
      <x:c r="E37" s="288">
        <x:f>REMUNERACION_ENEL!E127</x:f>
        <x:v>0</x:v>
      </x:c>
      <x:c r="G37" s="339">
        <x:f>REMUNERACION_ENEL!G127</x:f>
        <x:v>0</x:v>
      </x:c>
      <x:c r="H37" s="340">
        <x:f>REMUNERACION_ENEL!H127</x:f>
        <x:v>0</x:v>
      </x:c>
      <x:c r="I37" s="288">
        <x:f>REMUNERACION_ENEL!I127</x:f>
        <x:v>0</x:v>
      </x:c>
      <x:c r="J37" s="288">
        <x:f>REMUNERACION_ENEL!J127</x:f>
        <x:v>0</x:v>
      </x:c>
      <x:c r="K37" s="288">
        <x:f>REMUNERACION_ENEL!K127</x:f>
        <x:v>0</x:v>
      </x:c>
      <x:c r="L37" s="288">
        <x:f>REMUNERACION_ENEL!L127</x:f>
        <x:v>0</x:v>
      </x:c>
      <x:c r="O37" s="337"/>
      <x:c r="Q37" s="306"/>
    </x:row>
    <x:row r="38" spans="1:17" s="305" customFormat="1" ht="11.6" x14ac:dyDescent="0.3">
      <x:c r="B38" s="314">
        <x:v>4</x:v>
      </x:c>
      <x:c r="C38" s="338" t="s">
        <x:v>13</x:v>
      </x:c>
      <x:c r="D38" s="292">
        <x:f>REMUNERACION_ENEL!D128</x:f>
        <x:v>0</x:v>
      </x:c>
      <x:c r="E38" s="288">
        <x:f>REMUNERACION_ENEL!E128</x:f>
        <x:v>0</x:v>
      </x:c>
      <x:c r="G38" s="339">
        <x:f>REMUNERACION_ENEL!G128</x:f>
        <x:v>0</x:v>
      </x:c>
      <x:c r="H38" s="340">
        <x:f>REMUNERACION_ENEL!H128</x:f>
        <x:v>0</x:v>
      </x:c>
      <x:c r="I38" s="288">
        <x:f>REMUNERACION_ENEL!I128</x:f>
        <x:v>0</x:v>
      </x:c>
      <x:c r="J38" s="288">
        <x:f>REMUNERACION_ENEL!J128</x:f>
        <x:v>0</x:v>
      </x:c>
      <x:c r="K38" s="288">
        <x:f>REMUNERACION_ENEL!K128</x:f>
        <x:v>0</x:v>
      </x:c>
      <x:c r="L38" s="288">
        <x:f>REMUNERACION_ENEL!L128</x:f>
        <x:v>0</x:v>
      </x:c>
      <x:c r="O38" s="337"/>
      <x:c r="Q38" s="306"/>
    </x:row>
    <x:row r="39" spans="1:17" s="305" customFormat="1" ht="11.6" x14ac:dyDescent="0.3">
      <x:c r="B39" s="341">
        <x:v>5</x:v>
      </x:c>
      <x:c r="C39" s="342" t="s">
        <x:v>14</x:v>
      </x:c>
      <x:c r="D39" s="292">
        <x:f>REMUNERACION_ENEL!D129</x:f>
        <x:v>0</x:v>
      </x:c>
      <x:c r="E39" s="344">
        <x:f>REMUNERACION_ENEL!E129</x:f>
        <x:v>0</x:v>
      </x:c>
      <x:c r="G39" s="339">
        <x:f>REMUNERACION_ENEL!G129</x:f>
        <x:v>0</x:v>
      </x:c>
      <x:c r="H39" s="340">
        <x:f>REMUNERACION_ENEL!H129</x:f>
        <x:v>0</x:v>
      </x:c>
      <x:c r="I39" s="288">
        <x:f>REMUNERACION_ENEL!I129</x:f>
        <x:v>0</x:v>
      </x:c>
      <x:c r="J39" s="288">
        <x:f>REMUNERACION_ENEL!J129</x:f>
        <x:v>0</x:v>
      </x:c>
      <x:c r="K39" s="288">
        <x:f>REMUNERACION_ENEL!K129</x:f>
        <x:v>0</x:v>
      </x:c>
      <x:c r="L39" s="288">
        <x:f>REMUNERACION_ENEL!L129</x:f>
        <x:v>0</x:v>
      </x:c>
      <x:c r="O39" s="337"/>
      <x:c r="Q39" s="306"/>
    </x:row>
    <x:row r="40" spans="1:17" s="305" customFormat="1" ht="12" thickBot="1" x14ac:dyDescent="0.35">
      <x:c r="B40" s="324" t="s">
        <x:v>89</x:v>
      </x:c>
      <x:c r="C40" s="345" t="s">
        <x:v>113</x:v>
      </x:c>
      <x:c r="D40" s="297">
        <x:f>REMUNERACION_ENEL!D130</x:f>
        <x:v>0</x:v>
      </x:c>
      <x:c r="E40" s="289">
        <x:f>REMUNERACION_ENEL!E130</x:f>
        <x:v>0</x:v>
      </x:c>
      <x:c r="G40" s="346">
        <x:f>REMUNERACION_ENEL!G130</x:f>
        <x:v>0</x:v>
      </x:c>
      <x:c r="H40" s="347">
        <x:f>REMUNERACION_ENEL!H130</x:f>
        <x:v>0</x:v>
      </x:c>
      <x:c r="I40" s="289">
        <x:f>REMUNERACION_ENEL!I130</x:f>
        <x:v>0</x:v>
      </x:c>
      <x:c r="J40" s="289">
        <x:f>REMUNERACION_ENEL!J130</x:f>
        <x:v>0</x:v>
      </x:c>
      <x:c r="K40" s="289">
        <x:f>REMUNERACION_ENEL!K130</x:f>
        <x:v>0</x:v>
      </x:c>
      <x:c r="L40" s="289">
        <x:f>REMUNERACION_ENEL!L130</x:f>
        <x:v>0</x:v>
      </x:c>
      <x:c r="O40" s="337"/>
      <x:c r="Q40" s="306"/>
    </x:row>
    <x:row r="41" spans="1:17" s="305" customFormat="1" ht="12" thickBot="1" x14ac:dyDescent="0.35">
      <x:c r="B41" s="348"/>
      <x:c r="C41" s="349" t="s">
        <x:v>2</x:v>
      </x:c>
      <x:c r="D41" s="350">
        <x:f>REMUNERACION_ENEL!D131</x:f>
        <x:v>0</x:v>
      </x:c>
      <x:c r="E41" s="350">
        <x:f>REMUNERACION_ENEL!E131</x:f>
        <x:v>0</x:v>
      </x:c>
      <x:c r="F41" s="351"/>
      <x:c r="G41" s="350">
        <x:f>REMUNERACION_ENEL!G131</x:f>
        <x:v>0</x:v>
      </x:c>
      <x:c r="H41" s="350">
        <x:f>REMUNERACION_ENEL!H131</x:f>
        <x:v>0</x:v>
      </x:c>
      <x:c r="I41" s="350">
        <x:f>REMUNERACION_ENEL!I131</x:f>
        <x:v>0</x:v>
      </x:c>
      <x:c r="J41" s="350">
        <x:f>REMUNERACION_ENEL!J131</x:f>
        <x:v>0</x:v>
      </x:c>
      <x:c r="K41" s="350">
        <x:f>REMUNERACION_ENEL!K131</x:f>
        <x:v>0</x:v>
      </x:c>
      <x:c r="L41" s="350">
        <x:f>REMUNERACION_ENEL!L131</x:f>
        <x:v>0</x:v>
      </x:c>
      <x:c r="M41" s="351"/>
      <x:c r="N41" s="351"/>
      <x:c r="O41" s="352"/>
      <x:c r="P41" s="329"/>
      <x:c r="Q41" s="306"/>
    </x:row>
    <x:row r="42" spans="1:17" s="1" customFormat="1" ht="11.6" x14ac:dyDescent="0.3">
      <x:c r="B42" s="2"/>
      <x:c r="C42" s="2"/>
      <x:c r="D42" s="448"/>
      <x:c r="Q42" s="4"/>
    </x:row>
    <x:row r="43" spans="1:17" s="1" customFormat="1" ht="11.6" x14ac:dyDescent="0.3">
      <x:c r="B43" s="2"/>
      <x:c r="C43" s="2"/>
      <x:c r="D43" s="448"/>
      <x:c r="Q43" s="4"/>
    </x:row>
    <x:row r="44" spans="1:17" s="1" customFormat="1" ht="11.6" x14ac:dyDescent="0.3">
      <x:c r="A44" s="52"/>
      <x:c r="B44" s="53"/>
      <x:c r="C44" s="53"/>
      <x:c r="D44" s="454"/>
      <x:c r="E44" s="454"/>
      <x:c r="F44" s="454"/>
      <x:c r="G44" s="454"/>
      <x:c r="H44" s="454"/>
      <x:c r="I44" s="454"/>
      <x:c r="J44" s="52"/>
      <x:c r="K44" s="454"/>
      <x:c r="L44" s="454"/>
      <x:c r="M44" s="454"/>
      <x:c r="N44" s="454"/>
      <x:c r="O44" s="454"/>
      <x:c r="P44" s="52"/>
      <x:c r="Q44" s="4"/>
    </x:row>
    <x:row r="45" spans="1:17" s="1" customFormat="1" ht="11.6" x14ac:dyDescent="0.3">
      <x:c r="B45" s="2"/>
      <x:c r="C45" s="2"/>
      <x:c r="D45" s="448"/>
      <x:c r="Q45" s="4"/>
    </x:row>
    <x:row r="46" spans="1:17" s="1" customFormat="1" ht="15.45" x14ac:dyDescent="0.4">
      <x:c r="B46" s="8"/>
      <x:c r="F46" s="491" t="s">
        <x:v>331</x:v>
      </x:c>
      <x:c r="G46" s="491"/>
      <x:c r="H46" s="492"/>
      <x:c r="I46" s="493"/>
      <x:c r="J46" s="492"/>
      <x:c r="K46" s="493"/>
      <x:c r="O46" s="10"/>
      <x:c r="P46" s="2"/>
      <x:c r="Q46" s="4"/>
    </x:row>
    <x:row r="47" spans="1:17" s="1" customFormat="1" ht="12" thickBot="1" x14ac:dyDescent="0.35">
      <x:c r="B47" s="8"/>
      <x:c r="C47" s="2" t="s">
        <x:v>1</x:v>
      </x:c>
      <x:c r="D47" s="2" t="s">
        <x:v>1</x:v>
      </x:c>
      <x:c r="O47" s="44"/>
      <x:c r="P47" s="2"/>
      <x:c r="Q47" s="4"/>
    </x:row>
    <x:row r="48" spans="1:17" s="1" customFormat="1" ht="57.75" customHeight="1" thickBot="1" x14ac:dyDescent="0.35">
      <x:c r="B48" s="11" t="s">
        <x:v>3</x:v>
      </x:c>
      <x:c r="C48" s="12" t="s">
        <x:v>9</x:v>
      </x:c>
      <x:c r="D48" s="12" t="s">
        <x:v>38</x:v>
      </x:c>
      <x:c r="E48" s="73" t="s">
        <x:v>48</x:v>
      </x:c>
      <x:c r="G48" s="104" t="s">
        <x:v>47</x:v>
      </x:c>
      <x:c r="H48" s="73" t="s">
        <x:v>56</x:v>
      </x:c>
      <x:c r="I48" s="73" t="s">
        <x:v>130</x:v>
      </x:c>
      <x:c r="J48" s="73" t="s">
        <x:v>172</x:v>
      </x:c>
      <x:c r="K48" s="73" t="s">
        <x:v>143</x:v>
      </x:c>
      <x:c r="L48" s="73" t="s">
        <x:v>144</x:v>
      </x:c>
      <x:c r="O48" s="44"/>
      <x:c r="P48" s="13"/>
      <x:c r="Q48" s="4"/>
    </x:row>
    <x:row r="49" spans="1:17" s="305" customFormat="1" ht="11.6" x14ac:dyDescent="0.3">
      <x:c r="B49" s="334">
        <x:v>1</x:v>
      </x:c>
      <x:c r="C49" s="335" t="s">
        <x:v>10</x:v>
      </x:c>
      <x:c r="D49" s="308">
        <x:f>REMUNERACION_ENERBIT!D125</x:f>
        <x:v>0</x:v>
      </x:c>
      <x:c r="E49" s="308">
        <x:f>REMUNERACION_ENERBIT!E125</x:f>
        <x:v>0</x:v>
      </x:c>
      <x:c r="G49" s="336">
        <x:f>REMUNERACION_ENERBIT!G125</x:f>
        <x:v>0</x:v>
      </x:c>
      <x:c r="H49" s="336">
        <x:f>REMUNERACION_ENERBIT!H125</x:f>
        <x:v>0</x:v>
      </x:c>
      <x:c r="I49" s="336">
        <x:f>REMUNERACION_ENERBIT!I125</x:f>
        <x:v>0</x:v>
      </x:c>
      <x:c r="J49" s="336">
        <x:f>REMUNERACION_ENERBIT!J125</x:f>
        <x:v>0</x:v>
      </x:c>
      <x:c r="K49" s="336">
        <x:f>REMUNERACION_ENERBIT!K125</x:f>
        <x:v>0</x:v>
      </x:c>
      <x:c r="L49" s="336">
        <x:f>REMUNERACION_ENERBIT!L125</x:f>
        <x:v>0</x:v>
      </x:c>
      <x:c r="O49" s="337"/>
      <x:c r="Q49" s="306"/>
    </x:row>
    <x:row r="50" spans="1:17" s="305" customFormat="1" ht="11.6" x14ac:dyDescent="0.3">
      <x:c r="B50" s="314">
        <x:v>2</x:v>
      </x:c>
      <x:c r="C50" s="338" t="s">
        <x:v>11</x:v>
      </x:c>
      <x:c r="D50" s="292">
        <x:f>REMUNERACION_ENERBIT!D126</x:f>
        <x:v>0</x:v>
      </x:c>
      <x:c r="E50" s="292">
        <x:f>REMUNERACION_ENERBIT!E126</x:f>
        <x:v>0</x:v>
      </x:c>
      <x:c r="G50" s="339">
        <x:f>REMUNERACION_ENERBIT!G126</x:f>
        <x:v>0</x:v>
      </x:c>
      <x:c r="H50" s="339">
        <x:f>REMUNERACION_ENERBIT!H126</x:f>
        <x:v>0</x:v>
      </x:c>
      <x:c r="I50" s="339">
        <x:f>REMUNERACION_ENERBIT!I126</x:f>
        <x:v>0</x:v>
      </x:c>
      <x:c r="J50" s="339">
        <x:f>REMUNERACION_ENERBIT!J126</x:f>
        <x:v>0</x:v>
      </x:c>
      <x:c r="K50" s="339">
        <x:f>REMUNERACION_ENERBIT!K126</x:f>
        <x:v>0</x:v>
      </x:c>
      <x:c r="L50" s="339">
        <x:f>REMUNERACION_ENERBIT!L126</x:f>
        <x:v>0</x:v>
      </x:c>
      <x:c r="O50" s="337"/>
      <x:c r="Q50" s="306"/>
    </x:row>
    <x:row r="51" spans="1:17" s="305" customFormat="1" ht="11.6" x14ac:dyDescent="0.3">
      <x:c r="B51" s="314">
        <x:v>3</x:v>
      </x:c>
      <x:c r="C51" s="338" t="s">
        <x:v>12</x:v>
      </x:c>
      <x:c r="D51" s="292">
        <x:f>REMUNERACION_ENERBIT!D127</x:f>
        <x:v>0</x:v>
      </x:c>
      <x:c r="E51" s="292">
        <x:f>REMUNERACION_ENERBIT!E127</x:f>
        <x:v>0</x:v>
      </x:c>
      <x:c r="G51" s="339">
        <x:f>REMUNERACION_ENERBIT!G127</x:f>
        <x:v>0</x:v>
      </x:c>
      <x:c r="H51" s="339">
        <x:f>REMUNERACION_ENERBIT!H127</x:f>
        <x:v>0</x:v>
      </x:c>
      <x:c r="I51" s="339">
        <x:f>REMUNERACION_ENERBIT!I127</x:f>
        <x:v>0</x:v>
      </x:c>
      <x:c r="J51" s="339">
        <x:f>REMUNERACION_ENERBIT!J127</x:f>
        <x:v>0</x:v>
      </x:c>
      <x:c r="K51" s="339">
        <x:f>REMUNERACION_ENERBIT!K127</x:f>
        <x:v>0</x:v>
      </x:c>
      <x:c r="L51" s="339">
        <x:f>REMUNERACION_ENERBIT!L127</x:f>
        <x:v>0</x:v>
      </x:c>
      <x:c r="O51" s="337"/>
      <x:c r="Q51" s="306"/>
    </x:row>
    <x:row r="52" spans="1:17" s="305" customFormat="1" ht="11.6" x14ac:dyDescent="0.3">
      <x:c r="B52" s="314">
        <x:v>4</x:v>
      </x:c>
      <x:c r="C52" s="338" t="s">
        <x:v>13</x:v>
      </x:c>
      <x:c r="D52" s="292">
        <x:f>REMUNERACION_ENERBIT!D128</x:f>
        <x:v>0</x:v>
      </x:c>
      <x:c r="E52" s="292">
        <x:f>REMUNERACION_ENERBIT!E128</x:f>
        <x:v>0</x:v>
      </x:c>
      <x:c r="G52" s="339">
        <x:f>REMUNERACION_ENERBIT!G128</x:f>
        <x:v>0</x:v>
      </x:c>
      <x:c r="H52" s="339">
        <x:f>REMUNERACION_ENERBIT!H128</x:f>
        <x:v>0</x:v>
      </x:c>
      <x:c r="I52" s="339">
        <x:f>REMUNERACION_ENERBIT!I128</x:f>
        <x:v>0</x:v>
      </x:c>
      <x:c r="J52" s="339">
        <x:f>REMUNERACION_ENERBIT!J128</x:f>
        <x:v>0</x:v>
      </x:c>
      <x:c r="K52" s="339">
        <x:f>REMUNERACION_ENERBIT!K128</x:f>
        <x:v>0</x:v>
      </x:c>
      <x:c r="L52" s="339">
        <x:f>REMUNERACION_ENERBIT!L128</x:f>
        <x:v>0</x:v>
      </x:c>
      <x:c r="O52" s="337"/>
      <x:c r="Q52" s="306"/>
    </x:row>
    <x:row r="53" spans="1:17" s="305" customFormat="1" ht="11.6" x14ac:dyDescent="0.3">
      <x:c r="B53" s="341">
        <x:v>5</x:v>
      </x:c>
      <x:c r="C53" s="342" t="s">
        <x:v>14</x:v>
      </x:c>
      <x:c r="D53" s="292">
        <x:f>REMUNERACION_ENERBIT!D129</x:f>
        <x:v>0</x:v>
      </x:c>
      <x:c r="E53" s="292">
        <x:f>REMUNERACION_ENERBIT!E129</x:f>
        <x:v>0</x:v>
      </x:c>
      <x:c r="G53" s="339">
        <x:f>REMUNERACION_ENERBIT!G129</x:f>
        <x:v>0</x:v>
      </x:c>
      <x:c r="H53" s="339">
        <x:f>REMUNERACION_ENERBIT!H129</x:f>
        <x:v>0</x:v>
      </x:c>
      <x:c r="I53" s="339">
        <x:f>REMUNERACION_ENERBIT!I129</x:f>
        <x:v>0</x:v>
      </x:c>
      <x:c r="J53" s="339">
        <x:f>REMUNERACION_ENERBIT!J129</x:f>
        <x:v>0</x:v>
      </x:c>
      <x:c r="K53" s="339">
        <x:f>REMUNERACION_ENERBIT!K129</x:f>
        <x:v>0</x:v>
      </x:c>
      <x:c r="L53" s="339">
        <x:f>REMUNERACION_ENERBIT!L129</x:f>
        <x:v>0</x:v>
      </x:c>
      <x:c r="O53" s="337"/>
      <x:c r="Q53" s="306"/>
    </x:row>
    <x:row r="54" spans="1:17" s="305" customFormat="1" ht="12" thickBot="1" x14ac:dyDescent="0.35">
      <x:c r="B54" s="324" t="s">
        <x:v>89</x:v>
      </x:c>
      <x:c r="C54" s="345" t="s">
        <x:v>113</x:v>
      </x:c>
      <x:c r="D54" s="297">
        <x:f>REMUNERACION_ENERBIT!D130</x:f>
        <x:v>0</x:v>
      </x:c>
      <x:c r="E54" s="297">
        <x:f>REMUNERACION_ENERBIT!E130</x:f>
        <x:v>0</x:v>
      </x:c>
      <x:c r="G54" s="346">
        <x:f>REMUNERACION_ENERBIT!G130</x:f>
        <x:v>0</x:v>
      </x:c>
      <x:c r="H54" s="346">
        <x:f>REMUNERACION_ENERBIT!H130</x:f>
        <x:v>0</x:v>
      </x:c>
      <x:c r="I54" s="346">
        <x:f>REMUNERACION_ENERBIT!I130</x:f>
        <x:v>0</x:v>
      </x:c>
      <x:c r="J54" s="346">
        <x:f>REMUNERACION_ENERBIT!J130</x:f>
        <x:v>0</x:v>
      </x:c>
      <x:c r="K54" s="346">
        <x:f>REMUNERACION_ENERBIT!K130</x:f>
        <x:v>0</x:v>
      </x:c>
      <x:c r="L54" s="346">
        <x:f>REMUNERACION_ENERBIT!L130</x:f>
        <x:v>0</x:v>
      </x:c>
      <x:c r="O54" s="337"/>
      <x:c r="Q54" s="306"/>
    </x:row>
    <x:row r="55" spans="1:17" s="305" customFormat="1" ht="12" thickBot="1" x14ac:dyDescent="0.35">
      <x:c r="B55" s="348"/>
      <x:c r="C55" s="349" t="s">
        <x:v>2</x:v>
      </x:c>
      <x:c r="D55" s="350">
        <x:f>REMUNERACION_ENERBIT!D131</x:f>
        <x:v>0</x:v>
      </x:c>
      <x:c r="E55" s="350">
        <x:f>REMUNERACION_ENERBIT!E131</x:f>
        <x:v>0</x:v>
      </x:c>
      <x:c r="F55" s="351"/>
      <x:c r="G55" s="350">
        <x:f>REMUNERACION_ENERBIT!G131</x:f>
        <x:v>0</x:v>
      </x:c>
      <x:c r="H55" s="350">
        <x:f>REMUNERACION_ENERBIT!H131</x:f>
        <x:v>0</x:v>
      </x:c>
      <x:c r="I55" s="350">
        <x:f>REMUNERACION_ENERBIT!I131</x:f>
        <x:v>0</x:v>
      </x:c>
      <x:c r="J55" s="350">
        <x:f>REMUNERACION_ENERBIT!J131</x:f>
        <x:v>0</x:v>
      </x:c>
      <x:c r="K55" s="350">
        <x:f>REMUNERACION_ENERBIT!K131</x:f>
        <x:v>0</x:v>
      </x:c>
      <x:c r="L55" s="350">
        <x:f>REMUNERACION_ENERBIT!L131</x:f>
        <x:v>0</x:v>
      </x:c>
      <x:c r="M55" s="351"/>
      <x:c r="N55" s="351"/>
      <x:c r="O55" s="352"/>
      <x:c r="P55" s="329"/>
      <x:c r="Q55" s="306"/>
    </x:row>
    <x:row r="56" spans="1:17" s="1" customFormat="1" ht="11.6" x14ac:dyDescent="0.3">
      <x:c r="B56" s="2"/>
      <x:c r="C56" s="2"/>
      <x:c r="D56" s="448"/>
      <x:c r="Q56" s="4"/>
    </x:row>
    <x:row r="57" spans="1:17" s="1" customFormat="1" ht="11.6" x14ac:dyDescent="0.3">
      <x:c r="B57" s="2"/>
      <x:c r="C57" s="2"/>
      <x:c r="D57" s="448"/>
      <x:c r="Q57" s="4"/>
    </x:row>
    <x:row r="58" spans="1:17" s="1" customFormat="1" ht="11.6" x14ac:dyDescent="0.3">
      <x:c r="A58" s="52"/>
      <x:c r="B58" s="53"/>
      <x:c r="C58" s="53"/>
      <x:c r="D58" s="454"/>
      <x:c r="E58" s="454"/>
      <x:c r="F58" s="454"/>
      <x:c r="G58" s="454"/>
      <x:c r="H58" s="454"/>
      <x:c r="I58" s="454"/>
      <x:c r="J58" s="52"/>
      <x:c r="K58" s="454"/>
      <x:c r="L58" s="454"/>
      <x:c r="M58" s="454"/>
      <x:c r="N58" s="454"/>
      <x:c r="O58" s="454"/>
      <x:c r="P58" s="52"/>
      <x:c r="Q58" s="4"/>
    </x:row>
    <x:row r="60" spans="1:17" s="1" customFormat="1" ht="15.45" x14ac:dyDescent="0.4">
      <x:c r="B60" s="8"/>
      <x:c r="F60" s="476" t="s">
        <x:v>194</x:v>
      </x:c>
      <x:c r="G60" s="476"/>
      <x:c r="H60" s="477"/>
      <x:c r="I60" s="478"/>
      <x:c r="J60" s="477"/>
      <x:c r="K60" s="478"/>
      <x:c r="O60" s="10"/>
      <x:c r="P60" s="2"/>
      <x:c r="Q60" s="4"/>
    </x:row>
    <x:row r="61" spans="1:17" s="1" customFormat="1" ht="12" thickBot="1" x14ac:dyDescent="0.35">
      <x:c r="B61" s="8"/>
      <x:c r="C61" s="2" t="s">
        <x:v>1</x:v>
      </x:c>
      <x:c r="D61" s="2" t="s">
        <x:v>1</x:v>
      </x:c>
      <x:c r="J61" s="1" t="s">
        <x:v>1</x:v>
      </x:c>
      <x:c r="O61" s="44"/>
      <x:c r="P61" s="2"/>
      <x:c r="Q61" s="4"/>
    </x:row>
    <x:row r="62" spans="1:17" s="1" customFormat="1" ht="60.75" customHeight="1" thickBot="1" x14ac:dyDescent="0.35">
      <x:c r="B62" s="11" t="s">
        <x:v>3</x:v>
      </x:c>
      <x:c r="C62" s="12" t="s">
        <x:v>9</x:v>
      </x:c>
      <x:c r="D62" s="12" t="s">
        <x:v>38</x:v>
      </x:c>
      <x:c r="E62" s="73" t="s">
        <x:v>48</x:v>
      </x:c>
      <x:c r="G62" s="104" t="s">
        <x:v>47</x:v>
      </x:c>
      <x:c r="H62" s="73" t="s">
        <x:v>56</x:v>
      </x:c>
      <x:c r="I62" s="73" t="s">
        <x:v>130</x:v>
      </x:c>
      <x:c r="J62" s="73" t="s">
        <x:v>172</x:v>
      </x:c>
      <x:c r="K62" s="73" t="s">
        <x:v>143</x:v>
      </x:c>
      <x:c r="L62" s="73" t="s">
        <x:v>144</x:v>
      </x:c>
      <x:c r="O62" s="44"/>
      <x:c r="P62" s="13"/>
      <x:c r="Q62" s="4"/>
    </x:row>
    <x:row r="63" spans="1:17" s="305" customFormat="1" ht="11.6" x14ac:dyDescent="0.3">
      <x:c r="B63" s="334">
        <x:v>1</x:v>
      </x:c>
      <x:c r="C63" s="335" t="s">
        <x:v>10</x:v>
      </x:c>
      <x:c r="D63" s="308">
        <x:f>'REMUNERACION_OCCIDENTE_ Directa'!D125</x:f>
        <x:v>0</x:v>
      </x:c>
      <x:c r="E63" s="309">
        <x:f>'REMUNERACION_OCCIDENTE_ Directa'!E125</x:f>
        <x:v>0</x:v>
      </x:c>
      <x:c r="G63" s="336">
        <x:f>'REMUNERACION_OCCIDENTE_ Directa'!G125</x:f>
        <x:v>0</x:v>
      </x:c>
      <x:c r="H63" s="310">
        <x:f>'REMUNERACION_OCCIDENTE_ Directa'!H125</x:f>
        <x:v>0</x:v>
      </x:c>
      <x:c r="I63" s="309">
        <x:f>'REMUNERACION_OCCIDENTE_ Directa'!I125</x:f>
        <x:v>0</x:v>
      </x:c>
      <x:c r="J63" s="309">
        <x:f>'REMUNERACION_OCCIDENTE_ Directa'!J125</x:f>
        <x:v>0</x:v>
      </x:c>
      <x:c r="K63" s="309">
        <x:f>'REMUNERACION_OCCIDENTE_ Directa'!K125</x:f>
        <x:v>0</x:v>
      </x:c>
      <x:c r="L63" s="309">
        <x:f>'REMUNERACION_OCCIDENTE_ Directa'!L125</x:f>
        <x:v>0</x:v>
      </x:c>
      <x:c r="O63" s="337"/>
      <x:c r="Q63" s="306"/>
    </x:row>
    <x:row r="64" spans="1:17" s="305" customFormat="1" ht="11.6" x14ac:dyDescent="0.3">
      <x:c r="B64" s="314">
        <x:v>2</x:v>
      </x:c>
      <x:c r="C64" s="338" t="s">
        <x:v>11</x:v>
      </x:c>
      <x:c r="D64" s="292">
        <x:f>'REMUNERACION_OCCIDENTE_ Directa'!D126</x:f>
        <x:v>0</x:v>
      </x:c>
      <x:c r="E64" s="288">
        <x:f>'REMUNERACION_OCCIDENTE_ Directa'!E126</x:f>
        <x:v>0</x:v>
      </x:c>
      <x:c r="G64" s="339">
        <x:f>'REMUNERACION_OCCIDENTE_ Directa'!G126</x:f>
        <x:v>0</x:v>
      </x:c>
      <x:c r="H64" s="340">
        <x:f>'REMUNERACION_OCCIDENTE_ Directa'!H126</x:f>
        <x:v>0</x:v>
      </x:c>
      <x:c r="I64" s="288">
        <x:f>'REMUNERACION_OCCIDENTE_ Directa'!I126</x:f>
        <x:v>0</x:v>
      </x:c>
      <x:c r="J64" s="288">
        <x:f>'REMUNERACION_OCCIDENTE_ Directa'!J126</x:f>
        <x:v>0</x:v>
      </x:c>
      <x:c r="K64" s="288">
        <x:f>'REMUNERACION_OCCIDENTE_ Directa'!K126</x:f>
        <x:v>0</x:v>
      </x:c>
      <x:c r="L64" s="288">
        <x:f>'REMUNERACION_OCCIDENTE_ Directa'!L126</x:f>
        <x:v>0</x:v>
      </x:c>
      <x:c r="O64" s="337"/>
      <x:c r="Q64" s="306"/>
    </x:row>
    <x:row r="65" spans="1:17" s="305" customFormat="1" ht="11.6" x14ac:dyDescent="0.3">
      <x:c r="B65" s="314">
        <x:v>3</x:v>
      </x:c>
      <x:c r="C65" s="338" t="s">
        <x:v>12</x:v>
      </x:c>
      <x:c r="D65" s="292">
        <x:f>'REMUNERACION_OCCIDENTE_ Directa'!D127</x:f>
        <x:v>0</x:v>
      </x:c>
      <x:c r="E65" s="288">
        <x:f>'REMUNERACION_OCCIDENTE_ Directa'!E127</x:f>
        <x:v>0</x:v>
      </x:c>
      <x:c r="G65" s="339">
        <x:f>'REMUNERACION_OCCIDENTE_ Directa'!G127</x:f>
        <x:v>0</x:v>
      </x:c>
      <x:c r="H65" s="340">
        <x:f>'REMUNERACION_OCCIDENTE_ Directa'!H127</x:f>
        <x:v>0</x:v>
      </x:c>
      <x:c r="I65" s="288">
        <x:f>'REMUNERACION_OCCIDENTE_ Directa'!I127</x:f>
        <x:v>0</x:v>
      </x:c>
      <x:c r="J65" s="288">
        <x:f>'REMUNERACION_OCCIDENTE_ Directa'!J127</x:f>
        <x:v>0</x:v>
      </x:c>
      <x:c r="K65" s="288">
        <x:f>'REMUNERACION_OCCIDENTE_ Directa'!K127</x:f>
        <x:v>0</x:v>
      </x:c>
      <x:c r="L65" s="288">
        <x:f>'REMUNERACION_OCCIDENTE_ Directa'!L127</x:f>
        <x:v>0</x:v>
      </x:c>
      <x:c r="O65" s="337"/>
      <x:c r="Q65" s="306"/>
    </x:row>
    <x:row r="66" spans="1:17" s="305" customFormat="1" ht="11.6" x14ac:dyDescent="0.3">
      <x:c r="B66" s="314">
        <x:v>4</x:v>
      </x:c>
      <x:c r="C66" s="338" t="s">
        <x:v>13</x:v>
      </x:c>
      <x:c r="D66" s="292">
        <x:f>'REMUNERACION_OCCIDENTE_ Directa'!D128</x:f>
        <x:v>0</x:v>
      </x:c>
      <x:c r="E66" s="288">
        <x:f>'REMUNERACION_OCCIDENTE_ Directa'!E128</x:f>
        <x:v>0</x:v>
      </x:c>
      <x:c r="G66" s="339">
        <x:f>'REMUNERACION_OCCIDENTE_ Directa'!G128</x:f>
        <x:v>0</x:v>
      </x:c>
      <x:c r="H66" s="340">
        <x:f>'REMUNERACION_OCCIDENTE_ Directa'!H128</x:f>
        <x:v>0</x:v>
      </x:c>
      <x:c r="I66" s="288">
        <x:f>'REMUNERACION_OCCIDENTE_ Directa'!I128</x:f>
        <x:v>0</x:v>
      </x:c>
      <x:c r="J66" s="288">
        <x:f>'REMUNERACION_OCCIDENTE_ Directa'!J128</x:f>
        <x:v>0</x:v>
      </x:c>
      <x:c r="K66" s="288">
        <x:f>'REMUNERACION_OCCIDENTE_ Directa'!K128</x:f>
        <x:v>0</x:v>
      </x:c>
      <x:c r="L66" s="288">
        <x:f>'REMUNERACION_OCCIDENTE_ Directa'!L128</x:f>
        <x:v>0</x:v>
      </x:c>
      <x:c r="O66" s="337"/>
      <x:c r="Q66" s="306"/>
    </x:row>
    <x:row r="67" spans="1:17" s="305" customFormat="1" ht="11.6" x14ac:dyDescent="0.3">
      <x:c r="B67" s="341">
        <x:v>5</x:v>
      </x:c>
      <x:c r="C67" s="342" t="s">
        <x:v>14</x:v>
      </x:c>
      <x:c r="D67" s="292">
        <x:f>'REMUNERACION_OCCIDENTE_ Directa'!D129</x:f>
        <x:v>0</x:v>
      </x:c>
      <x:c r="E67" s="344">
        <x:f>'REMUNERACION_OCCIDENTE_ Directa'!E129</x:f>
        <x:v>0</x:v>
      </x:c>
      <x:c r="G67" s="339">
        <x:f>'REMUNERACION_OCCIDENTE_ Directa'!G129</x:f>
        <x:v>0</x:v>
      </x:c>
      <x:c r="H67" s="340">
        <x:f>'REMUNERACION_OCCIDENTE_ Directa'!H129</x:f>
        <x:v>0</x:v>
      </x:c>
      <x:c r="I67" s="288">
        <x:f>'REMUNERACION_OCCIDENTE_ Directa'!I129</x:f>
        <x:v>0</x:v>
      </x:c>
      <x:c r="J67" s="288">
        <x:f>'REMUNERACION_OCCIDENTE_ Directa'!J129</x:f>
        <x:v>0</x:v>
      </x:c>
      <x:c r="K67" s="288">
        <x:f>'REMUNERACION_OCCIDENTE_ Directa'!K129</x:f>
        <x:v>0</x:v>
      </x:c>
      <x:c r="L67" s="288">
        <x:f>'REMUNERACION_OCCIDENTE_ Directa'!L129</x:f>
        <x:v>0</x:v>
      </x:c>
      <x:c r="O67" s="337"/>
      <x:c r="Q67" s="306"/>
    </x:row>
    <x:row r="68" spans="1:17" s="305" customFormat="1" ht="12" thickBot="1" x14ac:dyDescent="0.35">
      <x:c r="B68" s="324" t="s">
        <x:v>89</x:v>
      </x:c>
      <x:c r="C68" s="345" t="s">
        <x:v>113</x:v>
      </x:c>
      <x:c r="D68" s="297">
        <x:f>'REMUNERACION_OCCIDENTE_ Directa'!D130</x:f>
        <x:v>0</x:v>
      </x:c>
      <x:c r="E68" s="289">
        <x:f>'REMUNERACION_OCCIDENTE_ Directa'!E130</x:f>
        <x:v>0</x:v>
      </x:c>
      <x:c r="G68" s="346">
        <x:f>'REMUNERACION_OCCIDENTE_ Directa'!G130</x:f>
        <x:v>0</x:v>
      </x:c>
      <x:c r="H68" s="347">
        <x:f>'REMUNERACION_OCCIDENTE_ Directa'!H130</x:f>
        <x:v>0</x:v>
      </x:c>
      <x:c r="I68" s="289">
        <x:f>'REMUNERACION_OCCIDENTE_ Directa'!I130</x:f>
        <x:v>0</x:v>
      </x:c>
      <x:c r="J68" s="289">
        <x:f>'REMUNERACION_OCCIDENTE_ Directa'!J130</x:f>
        <x:v>0</x:v>
      </x:c>
      <x:c r="K68" s="289">
        <x:f>'REMUNERACION_OCCIDENTE_ Directa'!K130</x:f>
        <x:v>0</x:v>
      </x:c>
      <x:c r="L68" s="289">
        <x:f>'REMUNERACION_OCCIDENTE_ Directa'!L130</x:f>
        <x:v>0</x:v>
      </x:c>
      <x:c r="O68" s="337"/>
      <x:c r="Q68" s="306"/>
    </x:row>
    <x:row r="69" spans="1:17" s="305" customFormat="1" ht="12" thickBot="1" x14ac:dyDescent="0.35">
      <x:c r="B69" s="348"/>
      <x:c r="C69" s="349" t="s">
        <x:v>2</x:v>
      </x:c>
      <x:c r="D69" s="350">
        <x:f>'REMUNERACION_OCCIDENTE_ Directa'!D131</x:f>
        <x:v>0</x:v>
      </x:c>
      <x:c r="E69" s="350">
        <x:f>'REMUNERACION_OCCIDENTE_ Directa'!E131</x:f>
        <x:v>0</x:v>
      </x:c>
      <x:c r="F69" s="351"/>
      <x:c r="G69" s="350">
        <x:f>'REMUNERACION_OCCIDENTE_ Directa'!G131</x:f>
        <x:v>0</x:v>
      </x:c>
      <x:c r="H69" s="350">
        <x:f>'REMUNERACION_OCCIDENTE_ Directa'!H131</x:f>
        <x:v>0</x:v>
      </x:c>
      <x:c r="I69" s="350">
        <x:f>'REMUNERACION_OCCIDENTE_ Directa'!I131</x:f>
        <x:v>0</x:v>
      </x:c>
      <x:c r="J69" s="350">
        <x:f>'REMUNERACION_OCCIDENTE_ Directa'!J131</x:f>
        <x:v>0</x:v>
      </x:c>
      <x:c r="K69" s="350">
        <x:f>'REMUNERACION_OCCIDENTE_ Directa'!K131</x:f>
        <x:v>0</x:v>
      </x:c>
      <x:c r="L69" s="350">
        <x:f>'REMUNERACION_OCCIDENTE_ Directa'!L131</x:f>
        <x:v>0</x:v>
      </x:c>
      <x:c r="M69" s="351"/>
      <x:c r="N69" s="351"/>
      <x:c r="O69" s="352"/>
      <x:c r="P69" s="329"/>
      <x:c r="Q69" s="306"/>
    </x:row>
    <x:row r="70" spans="1:17" s="1" customFormat="1" ht="11.6" x14ac:dyDescent="0.3">
      <x:c r="B70" s="2"/>
      <x:c r="C70" s="2"/>
      <x:c r="D70" s="448"/>
      <x:c r="Q70" s="4"/>
    </x:row>
    <x:row r="71" spans="1:17" s="1" customFormat="1" ht="11.6" x14ac:dyDescent="0.3">
      <x:c r="B71" s="2"/>
      <x:c r="C71" s="2"/>
      <x:c r="D71" s="448"/>
      <x:c r="Q71" s="4"/>
    </x:row>
    <x:row r="72" spans="1:17" s="1" customFormat="1" ht="11.6" x14ac:dyDescent="0.3">
      <x:c r="A72" s="52"/>
      <x:c r="B72" s="53"/>
      <x:c r="C72" s="53"/>
      <x:c r="D72" s="454"/>
      <x:c r="E72" s="454"/>
      <x:c r="F72" s="454"/>
      <x:c r="G72" s="454"/>
      <x:c r="H72" s="454"/>
      <x:c r="I72" s="454"/>
      <x:c r="J72" s="52"/>
      <x:c r="K72" s="454"/>
      <x:c r="L72" s="454"/>
      <x:c r="M72" s="454"/>
      <x:c r="N72" s="454"/>
      <x:c r="O72" s="454"/>
      <x:c r="P72" s="52"/>
      <x:c r="Q72" s="4"/>
    </x:row>
    <x:row r="74" spans="1:17" s="1" customFormat="1" ht="15.45" x14ac:dyDescent="0.4">
      <x:c r="B74" s="8"/>
      <x:c r="F74" s="58" t="s">
        <x:v>195</x:v>
      </x:c>
      <x:c r="G74" s="58"/>
      <x:c r="H74" s="59"/>
      <x:c r="I74" s="60"/>
      <x:c r="J74" s="59"/>
      <x:c r="K74" s="60"/>
      <x:c r="L74" s="60"/>
      <x:c r="O74" s="10"/>
      <x:c r="P74" s="2"/>
      <x:c r="Q74" s="4"/>
    </x:row>
    <x:row r="75" spans="1:17" s="1" customFormat="1" ht="12" thickBot="1" x14ac:dyDescent="0.35">
      <x:c r="B75" s="8"/>
      <x:c r="C75" s="2" t="s">
        <x:v>1</x:v>
      </x:c>
      <x:c r="D75" s="2" t="s">
        <x:v>1</x:v>
      </x:c>
      <x:c r="J75" s="1" t="s">
        <x:v>1</x:v>
      </x:c>
      <x:c r="O75" s="44"/>
      <x:c r="P75" s="2"/>
      <x:c r="Q75" s="4"/>
    </x:row>
    <x:row r="76" spans="1:17" s="1" customFormat="1" ht="62.25" customHeight="1" thickBot="1" x14ac:dyDescent="0.35">
      <x:c r="B76" s="11" t="s">
        <x:v>3</x:v>
      </x:c>
      <x:c r="C76" s="12" t="s">
        <x:v>9</x:v>
      </x:c>
      <x:c r="D76" s="12" t="s">
        <x:v>38</x:v>
      </x:c>
      <x:c r="E76" s="73" t="s">
        <x:v>48</x:v>
      </x:c>
      <x:c r="G76" s="104" t="s">
        <x:v>47</x:v>
      </x:c>
      <x:c r="H76" s="73" t="s">
        <x:v>56</x:v>
      </x:c>
      <x:c r="I76" s="73" t="s">
        <x:v>130</x:v>
      </x:c>
      <x:c r="J76" s="73" t="s">
        <x:v>172</x:v>
      </x:c>
      <x:c r="K76" s="73" t="s">
        <x:v>143</x:v>
      </x:c>
      <x:c r="L76" s="73" t="s">
        <x:v>144</x:v>
      </x:c>
      <x:c r="O76" s="44"/>
      <x:c r="P76" s="13"/>
      <x:c r="Q76" s="4"/>
    </x:row>
    <x:row r="77" spans="1:17" s="305" customFormat="1" ht="11.6" x14ac:dyDescent="0.3">
      <x:c r="B77" s="334">
        <x:v>1</x:v>
      </x:c>
      <x:c r="C77" s="335" t="s">
        <x:v>10</x:v>
      </x:c>
      <x:c r="D77" s="308">
        <x:f>'REMUNERACION_EAAB-CL'!D125</x:f>
        <x:v>0</x:v>
      </x:c>
      <x:c r="E77" s="309">
        <x:f>'REMUNERACION_EAAB-CL'!E125</x:f>
        <x:v>0</x:v>
      </x:c>
      <x:c r="G77" s="336">
        <x:f>'REMUNERACION_EAAB-CL'!G125</x:f>
        <x:v>0</x:v>
      </x:c>
      <x:c r="H77" s="310">
        <x:f>'REMUNERACION_EAAB-CL'!H125</x:f>
        <x:v>0</x:v>
      </x:c>
      <x:c r="I77" s="309">
        <x:f>'REMUNERACION_EAAB-CL'!I125</x:f>
        <x:v>0</x:v>
      </x:c>
      <x:c r="J77" s="309">
        <x:f>'REMUNERACION_EAAB-CL'!J125</x:f>
        <x:v>0</x:v>
      </x:c>
      <x:c r="K77" s="309">
        <x:f>'REMUNERACION_EAAB-CL'!K125</x:f>
        <x:v>0</x:v>
      </x:c>
      <x:c r="L77" s="309">
        <x:f>'REMUNERACION_EAAB-CL'!L125</x:f>
        <x:v>0</x:v>
      </x:c>
      <x:c r="O77" s="337"/>
      <x:c r="Q77" s="306"/>
    </x:row>
    <x:row r="78" spans="1:17" s="305" customFormat="1" ht="11.6" x14ac:dyDescent="0.3">
      <x:c r="B78" s="314">
        <x:v>2</x:v>
      </x:c>
      <x:c r="C78" s="338" t="s">
        <x:v>11</x:v>
      </x:c>
      <x:c r="D78" s="292">
        <x:f>'REMUNERACION_EAAB-CL'!D126</x:f>
        <x:v>0</x:v>
      </x:c>
      <x:c r="E78" s="288">
        <x:f>'REMUNERACION_EAAB-CL'!E126</x:f>
        <x:v>0</x:v>
      </x:c>
      <x:c r="G78" s="339">
        <x:f>'REMUNERACION_EAAB-CL'!G126</x:f>
        <x:v>0</x:v>
      </x:c>
      <x:c r="H78" s="340">
        <x:f>'REMUNERACION_EAAB-CL'!H126</x:f>
        <x:v>0</x:v>
      </x:c>
      <x:c r="I78" s="288">
        <x:f>'REMUNERACION_EAAB-CL'!I126</x:f>
        <x:v>0</x:v>
      </x:c>
      <x:c r="J78" s="288">
        <x:f>'REMUNERACION_EAAB-CL'!J126</x:f>
        <x:v>0</x:v>
      </x:c>
      <x:c r="K78" s="288">
        <x:f>'REMUNERACION_EAAB-CL'!K126</x:f>
        <x:v>0</x:v>
      </x:c>
      <x:c r="L78" s="288">
        <x:f>'REMUNERACION_EAAB-CL'!L126</x:f>
        <x:v>0</x:v>
      </x:c>
      <x:c r="O78" s="337"/>
      <x:c r="Q78" s="306"/>
    </x:row>
    <x:row r="79" spans="1:17" s="305" customFormat="1" ht="11.6" x14ac:dyDescent="0.3">
      <x:c r="B79" s="314">
        <x:v>3</x:v>
      </x:c>
      <x:c r="C79" s="338" t="s">
        <x:v>12</x:v>
      </x:c>
      <x:c r="D79" s="292">
        <x:f>'REMUNERACION_EAAB-CL'!D127</x:f>
        <x:v>0</x:v>
      </x:c>
      <x:c r="E79" s="288">
        <x:f>'REMUNERACION_EAAB-CL'!E127</x:f>
        <x:v>0</x:v>
      </x:c>
      <x:c r="G79" s="339">
        <x:f>'REMUNERACION_EAAB-CL'!G127</x:f>
        <x:v>0</x:v>
      </x:c>
      <x:c r="H79" s="340">
        <x:f>'REMUNERACION_EAAB-CL'!H127</x:f>
        <x:v>0</x:v>
      </x:c>
      <x:c r="I79" s="288">
        <x:f>'REMUNERACION_EAAB-CL'!I127</x:f>
        <x:v>0</x:v>
      </x:c>
      <x:c r="J79" s="288">
        <x:f>'REMUNERACION_EAAB-CL'!J127</x:f>
        <x:v>0</x:v>
      </x:c>
      <x:c r="K79" s="288">
        <x:f>'REMUNERACION_EAAB-CL'!K127</x:f>
        <x:v>0</x:v>
      </x:c>
      <x:c r="L79" s="288">
        <x:f>'REMUNERACION_EAAB-CL'!L127</x:f>
        <x:v>0</x:v>
      </x:c>
      <x:c r="O79" s="337"/>
      <x:c r="Q79" s="306"/>
    </x:row>
    <x:row r="80" spans="1:17" s="305" customFormat="1" ht="11.6" x14ac:dyDescent="0.3">
      <x:c r="B80" s="314">
        <x:v>4</x:v>
      </x:c>
      <x:c r="C80" s="338" t="s">
        <x:v>13</x:v>
      </x:c>
      <x:c r="D80" s="292">
        <x:f>'REMUNERACION_EAAB-CL'!D128</x:f>
        <x:v>0</x:v>
      </x:c>
      <x:c r="E80" s="288">
        <x:f>'REMUNERACION_EAAB-CL'!E128</x:f>
        <x:v>0</x:v>
      </x:c>
      <x:c r="G80" s="339">
        <x:f>'REMUNERACION_EAAB-CL'!G128</x:f>
        <x:v>0</x:v>
      </x:c>
      <x:c r="H80" s="340">
        <x:f>'REMUNERACION_EAAB-CL'!H128</x:f>
        <x:v>0</x:v>
      </x:c>
      <x:c r="I80" s="288">
        <x:f>'REMUNERACION_EAAB-CL'!I128</x:f>
        <x:v>0</x:v>
      </x:c>
      <x:c r="J80" s="288">
        <x:f>'REMUNERACION_EAAB-CL'!J128</x:f>
        <x:v>0</x:v>
      </x:c>
      <x:c r="K80" s="288">
        <x:f>'REMUNERACION_EAAB-CL'!K128</x:f>
        <x:v>0</x:v>
      </x:c>
      <x:c r="L80" s="288">
        <x:f>'REMUNERACION_EAAB-CL'!L128</x:f>
        <x:v>0</x:v>
      </x:c>
      <x:c r="O80" s="337"/>
      <x:c r="Q80" s="306"/>
    </x:row>
    <x:row r="81" spans="1:17" s="305" customFormat="1" ht="11.6" x14ac:dyDescent="0.3">
      <x:c r="B81" s="341">
        <x:v>5</x:v>
      </x:c>
      <x:c r="C81" s="342" t="s">
        <x:v>14</x:v>
      </x:c>
      <x:c r="D81" s="292">
        <x:f>'REMUNERACION_EAAB-CL'!D129</x:f>
        <x:v>0</x:v>
      </x:c>
      <x:c r="E81" s="344">
        <x:f>'REMUNERACION_EAAB-CL'!E129</x:f>
        <x:v>0</x:v>
      </x:c>
      <x:c r="G81" s="339">
        <x:f>'REMUNERACION_EAAB-CL'!G129</x:f>
        <x:v>0</x:v>
      </x:c>
      <x:c r="H81" s="340">
        <x:f>'REMUNERACION_EAAB-CL'!H129</x:f>
        <x:v>0</x:v>
      </x:c>
      <x:c r="I81" s="288">
        <x:f>'REMUNERACION_EAAB-CL'!I129</x:f>
        <x:v>0</x:v>
      </x:c>
      <x:c r="J81" s="288">
        <x:f>'REMUNERACION_EAAB-CL'!J129</x:f>
        <x:v>0</x:v>
      </x:c>
      <x:c r="K81" s="288">
        <x:f>'REMUNERACION_EAAB-CL'!K129</x:f>
        <x:v>0</x:v>
      </x:c>
      <x:c r="L81" s="288">
        <x:f>'REMUNERACION_EAAB-CL'!L129</x:f>
        <x:v>0</x:v>
      </x:c>
      <x:c r="O81" s="337"/>
      <x:c r="Q81" s="306"/>
    </x:row>
    <x:row r="82" spans="1:17" s="305" customFormat="1" ht="12" thickBot="1" x14ac:dyDescent="0.35">
      <x:c r="B82" s="324" t="s">
        <x:v>89</x:v>
      </x:c>
      <x:c r="C82" s="345" t="s">
        <x:v>113</x:v>
      </x:c>
      <x:c r="D82" s="297">
        <x:f>'REMUNERACION_EAAB-CL'!D130</x:f>
        <x:v>0</x:v>
      </x:c>
      <x:c r="E82" s="289">
        <x:f>'REMUNERACION_EAAB-CL'!E130</x:f>
        <x:v>0</x:v>
      </x:c>
      <x:c r="G82" s="346">
        <x:f>'REMUNERACION_EAAB-CL'!G130</x:f>
        <x:v>0</x:v>
      </x:c>
      <x:c r="H82" s="347">
        <x:f>'REMUNERACION_EAAB-CL'!H130</x:f>
        <x:v>0</x:v>
      </x:c>
      <x:c r="I82" s="289">
        <x:f>'REMUNERACION_EAAB-CL'!I130</x:f>
        <x:v>0</x:v>
      </x:c>
      <x:c r="J82" s="289">
        <x:f>'REMUNERACION_EAAB-CL'!J130</x:f>
        <x:v>0</x:v>
      </x:c>
      <x:c r="K82" s="289">
        <x:f>'REMUNERACION_EAAB-CL'!K130</x:f>
        <x:v>0</x:v>
      </x:c>
      <x:c r="L82" s="289">
        <x:f>'REMUNERACION_EAAB-CL'!L130</x:f>
        <x:v>0</x:v>
      </x:c>
      <x:c r="O82" s="337"/>
      <x:c r="Q82" s="306"/>
    </x:row>
    <x:row r="83" spans="1:17" s="305" customFormat="1" ht="12" thickBot="1" x14ac:dyDescent="0.35">
      <x:c r="B83" s="348"/>
      <x:c r="C83" s="349" t="s">
        <x:v>2</x:v>
      </x:c>
      <x:c r="D83" s="350">
        <x:f>'REMUNERACION_EAAB-CL'!D131</x:f>
        <x:v>0</x:v>
      </x:c>
      <x:c r="E83" s="350">
        <x:f>'REMUNERACION_EAAB-CL'!E131</x:f>
        <x:v>0</x:v>
      </x:c>
      <x:c r="F83" s="351"/>
      <x:c r="G83" s="350">
        <x:f>'REMUNERACION_EAAB-CL'!G131</x:f>
        <x:v>0</x:v>
      </x:c>
      <x:c r="H83" s="350">
        <x:f>'REMUNERACION_EAAB-CL'!H131</x:f>
        <x:v>0</x:v>
      </x:c>
      <x:c r="I83" s="350">
        <x:f>'REMUNERACION_EAAB-CL'!I131</x:f>
        <x:v>0</x:v>
      </x:c>
      <x:c r="J83" s="350">
        <x:f>'REMUNERACION_EAAB-CL'!J131</x:f>
        <x:v>0</x:v>
      </x:c>
      <x:c r="K83" s="350">
        <x:f>'REMUNERACION_EAAB-CL'!K131</x:f>
        <x:v>0</x:v>
      </x:c>
      <x:c r="L83" s="350">
        <x:f>'REMUNERACION_EAAB-CL'!L131</x:f>
        <x:v>0</x:v>
      </x:c>
      <x:c r="M83" s="351"/>
      <x:c r="N83" s="351"/>
      <x:c r="O83" s="352"/>
      <x:c r="P83" s="329"/>
      <x:c r="Q83" s="306"/>
    </x:row>
    <x:row r="84" spans="1:17" s="1" customFormat="1" ht="11.6" x14ac:dyDescent="0.3">
      <x:c r="B84" s="2"/>
      <x:c r="C84" s="2"/>
      <x:c r="D84" s="448"/>
      <x:c r="Q84" s="4"/>
    </x:row>
    <x:row r="85" spans="1:17" s="1" customFormat="1" ht="11.6" x14ac:dyDescent="0.3">
      <x:c r="B85" s="2"/>
      <x:c r="C85" s="2"/>
      <x:c r="D85" s="448"/>
      <x:c r="Q85" s="4"/>
    </x:row>
    <x:row r="86" spans="1:17" s="1" customFormat="1" ht="11.6" x14ac:dyDescent="0.3">
      <x:c r="A86" s="52"/>
      <x:c r="B86" s="53"/>
      <x:c r="C86" s="53"/>
      <x:c r="D86" s="454"/>
      <x:c r="E86" s="454"/>
      <x:c r="F86" s="454"/>
      <x:c r="G86" s="454"/>
      <x:c r="H86" s="454"/>
      <x:c r="I86" s="454"/>
      <x:c r="J86" s="52"/>
      <x:c r="K86" s="454"/>
      <x:c r="L86" s="454"/>
      <x:c r="M86" s="454"/>
      <x:c r="N86" s="454"/>
      <x:c r="O86" s="454"/>
      <x:c r="P86" s="52"/>
      <x:c r="Q86" s="4"/>
    </x:row>
    <x:row r="88" spans="1:17" ht="15.45" x14ac:dyDescent="0.4">
      <x:c r="F88" s="41" t="s">
        <x:v>191</x:v>
      </x:c>
    </x:row>
    <x:row r="89" spans="1:17" s="1" customFormat="1" ht="15.45" x14ac:dyDescent="0.4">
      <x:c r="B89" s="8"/>
      <x:c r="F89" s="41" t="s">
        <x:v>37</x:v>
      </x:c>
      <x:c r="G89" s="41"/>
      <x:c r="H89" s="2"/>
      <x:c r="J89" s="2"/>
      <x:c r="O89" s="10"/>
      <x:c r="P89" s="2"/>
      <x:c r="Q89" s="4"/>
    </x:row>
    <x:row r="90" spans="1:17" s="1" customFormat="1" ht="12" thickBot="1" x14ac:dyDescent="0.35">
      <x:c r="B90" s="8"/>
      <x:c r="C90" s="2" t="s">
        <x:v>1</x:v>
      </x:c>
      <x:c r="D90" s="2" t="s">
        <x:v>1</x:v>
      </x:c>
      <x:c r="J90" s="1" t="s">
        <x:v>1</x:v>
      </x:c>
      <x:c r="O90" s="44"/>
      <x:c r="P90" s="2"/>
      <x:c r="Q90" s="4"/>
    </x:row>
    <x:row r="91" spans="1:17" s="1" customFormat="1" ht="62.25" customHeight="1" thickBot="1" x14ac:dyDescent="0.35">
      <x:c r="B91" s="11" t="s">
        <x:v>3</x:v>
      </x:c>
      <x:c r="C91" s="12" t="s">
        <x:v>9</x:v>
      </x:c>
      <x:c r="D91" s="12" t="s">
        <x:v>38</x:v>
      </x:c>
      <x:c r="E91" s="73" t="s">
        <x:v>48</x:v>
      </x:c>
      <x:c r="G91" s="104" t="s">
        <x:v>47</x:v>
      </x:c>
      <x:c r="H91" s="73" t="s">
        <x:v>56</x:v>
      </x:c>
      <x:c r="I91" s="73" t="s">
        <x:v>130</x:v>
      </x:c>
      <x:c r="J91" s="73" t="s">
        <x:v>172</x:v>
      </x:c>
      <x:c r="K91" s="73" t="s">
        <x:v>143</x:v>
      </x:c>
      <x:c r="L91" s="73" t="s">
        <x:v>144</x:v>
      </x:c>
      <x:c r="O91" s="44"/>
      <x:c r="P91" s="13"/>
      <x:c r="Q91" s="4"/>
    </x:row>
    <x:row r="92" spans="1:17" s="305" customFormat="1" ht="11.6" x14ac:dyDescent="0.3">
      <x:c r="B92" s="334">
        <x:v>1</x:v>
      </x:c>
      <x:c r="C92" s="335" t="s">
        <x:v>10</x:v>
      </x:c>
      <x:c r="D92" s="308">
        <x:f>D6-(D21+D35+D49++D63+D77)</x:f>
        <x:v>0</x:v>
      </x:c>
      <x:c r="E92" s="308">
        <x:f>E6-(E21+E35+E49++E63+E77)</x:f>
        <x:v>0</x:v>
      </x:c>
      <x:c r="G92" s="336">
        <x:f>G6-(G21+G35+G49+G63+G77)</x:f>
        <x:v>0</x:v>
      </x:c>
      <x:c r="H92" s="336">
        <x:f t="shared" ref="H92:L92" si="0">H6-(H21+H35+H49+H63+H77)</x:f>
        <x:v>0</x:v>
      </x:c>
      <x:c r="I92" s="336">
        <x:f t="shared" si="0"/>
        <x:v>0</x:v>
      </x:c>
      <x:c r="J92" s="336">
        <x:f t="shared" si="0"/>
        <x:v>0</x:v>
      </x:c>
      <x:c r="K92" s="336">
        <x:f t="shared" si="0"/>
        <x:v>0</x:v>
      </x:c>
      <x:c r="L92" s="336">
        <x:f t="shared" si="0"/>
        <x:v>0</x:v>
      </x:c>
      <x:c r="O92" s="337"/>
      <x:c r="Q92" s="306"/>
    </x:row>
    <x:row r="93" spans="1:17" s="305" customFormat="1" ht="11.6" x14ac:dyDescent="0.3">
      <x:c r="B93" s="314">
        <x:v>2</x:v>
      </x:c>
      <x:c r="C93" s="338" t="s">
        <x:v>11</x:v>
      </x:c>
      <x:c r="D93" s="292">
        <x:f t="shared" ref="D93:E98" si="1">D7-(D22+D36+D50++D64+D78)</x:f>
        <x:v>0</x:v>
      </x:c>
      <x:c r="E93" s="292">
        <x:f t="shared" si="1"/>
        <x:v>0</x:v>
      </x:c>
      <x:c r="G93" s="339">
        <x:f t="shared" ref="G93:L98" si="2">G7-(G22+G36+G50+G64+G78)</x:f>
        <x:v>0</x:v>
      </x:c>
      <x:c r="H93" s="339">
        <x:f t="shared" si="2"/>
        <x:v>0</x:v>
      </x:c>
      <x:c r="I93" s="339">
        <x:f t="shared" si="2"/>
        <x:v>0</x:v>
      </x:c>
      <x:c r="J93" s="339">
        <x:f t="shared" si="2"/>
        <x:v>0</x:v>
      </x:c>
      <x:c r="K93" s="339">
        <x:f t="shared" si="2"/>
        <x:v>0</x:v>
      </x:c>
      <x:c r="L93" s="339">
        <x:f t="shared" si="2"/>
        <x:v>0</x:v>
      </x:c>
      <x:c r="O93" s="337"/>
      <x:c r="Q93" s="306"/>
    </x:row>
    <x:row r="94" spans="1:17" s="305" customFormat="1" ht="11.6" x14ac:dyDescent="0.3">
      <x:c r="B94" s="314">
        <x:v>3</x:v>
      </x:c>
      <x:c r="C94" s="338" t="s">
        <x:v>12</x:v>
      </x:c>
      <x:c r="D94" s="292">
        <x:f t="shared" si="1"/>
        <x:v>0</x:v>
      </x:c>
      <x:c r="E94" s="292">
        <x:f t="shared" si="1"/>
        <x:v>0</x:v>
      </x:c>
      <x:c r="G94" s="339">
        <x:f t="shared" si="2"/>
        <x:v>0</x:v>
      </x:c>
      <x:c r="H94" s="339">
        <x:f t="shared" si="2"/>
        <x:v>0</x:v>
      </x:c>
      <x:c r="I94" s="339">
        <x:f t="shared" si="2"/>
        <x:v>0</x:v>
      </x:c>
      <x:c r="J94" s="339">
        <x:f t="shared" si="2"/>
        <x:v>0</x:v>
      </x:c>
      <x:c r="K94" s="339">
        <x:f t="shared" si="2"/>
        <x:v>0</x:v>
      </x:c>
      <x:c r="L94" s="339">
        <x:f t="shared" si="2"/>
        <x:v>0</x:v>
      </x:c>
      <x:c r="O94" s="337"/>
      <x:c r="Q94" s="306"/>
    </x:row>
    <x:row r="95" spans="1:17" s="305" customFormat="1" ht="11.6" x14ac:dyDescent="0.3">
      <x:c r="B95" s="314">
        <x:v>4</x:v>
      </x:c>
      <x:c r="C95" s="338" t="s">
        <x:v>13</x:v>
      </x:c>
      <x:c r="D95" s="292">
        <x:f t="shared" si="1"/>
        <x:v>0</x:v>
      </x:c>
      <x:c r="E95" s="292">
        <x:f t="shared" si="1"/>
        <x:v>0</x:v>
      </x:c>
      <x:c r="G95" s="339">
        <x:f t="shared" si="2"/>
        <x:v>0</x:v>
      </x:c>
      <x:c r="H95" s="339">
        <x:f t="shared" si="2"/>
        <x:v>0</x:v>
      </x:c>
      <x:c r="I95" s="339">
        <x:f t="shared" si="2"/>
        <x:v>0</x:v>
      </x:c>
      <x:c r="J95" s="339">
        <x:f t="shared" si="2"/>
        <x:v>0</x:v>
      </x:c>
      <x:c r="K95" s="339">
        <x:f t="shared" si="2"/>
        <x:v>0</x:v>
      </x:c>
      <x:c r="L95" s="339">
        <x:f t="shared" si="2"/>
        <x:v>0</x:v>
      </x:c>
      <x:c r="O95" s="337"/>
      <x:c r="Q95" s="306"/>
    </x:row>
    <x:row r="96" spans="1:17" s="305" customFormat="1" ht="11.6" x14ac:dyDescent="0.3">
      <x:c r="B96" s="341">
        <x:v>5</x:v>
      </x:c>
      <x:c r="C96" s="342" t="s">
        <x:v>14</x:v>
      </x:c>
      <x:c r="D96" s="292">
        <x:f t="shared" si="1"/>
        <x:v>0</x:v>
      </x:c>
      <x:c r="E96" s="292">
        <x:f t="shared" si="1"/>
        <x:v>0</x:v>
      </x:c>
      <x:c r="G96" s="339">
        <x:f t="shared" si="2"/>
        <x:v>0</x:v>
      </x:c>
      <x:c r="H96" s="339">
        <x:f t="shared" si="2"/>
        <x:v>0</x:v>
      </x:c>
      <x:c r="I96" s="339">
        <x:f t="shared" si="2"/>
        <x:v>0</x:v>
      </x:c>
      <x:c r="J96" s="339">
        <x:f t="shared" si="2"/>
        <x:v>0</x:v>
      </x:c>
      <x:c r="K96" s="339">
        <x:f t="shared" si="2"/>
        <x:v>0</x:v>
      </x:c>
      <x:c r="L96" s="339">
        <x:f t="shared" si="2"/>
        <x:v>0</x:v>
      </x:c>
      <x:c r="O96" s="337"/>
      <x:c r="Q96" s="306"/>
    </x:row>
    <x:row r="97" spans="1:17" s="305" customFormat="1" ht="12" thickBot="1" x14ac:dyDescent="0.35">
      <x:c r="B97" s="324" t="s">
        <x:v>89</x:v>
      </x:c>
      <x:c r="C97" s="345" t="s">
        <x:v>113</x:v>
      </x:c>
      <x:c r="D97" s="297">
        <x:f t="shared" si="1"/>
        <x:v>0</x:v>
      </x:c>
      <x:c r="E97" s="297">
        <x:f t="shared" si="1"/>
        <x:v>0</x:v>
      </x:c>
      <x:c r="G97" s="346">
        <x:f t="shared" si="2"/>
        <x:v>0</x:v>
      </x:c>
      <x:c r="H97" s="346">
        <x:f t="shared" si="2"/>
        <x:v>0</x:v>
      </x:c>
      <x:c r="I97" s="346">
        <x:f t="shared" si="2"/>
        <x:v>0</x:v>
      </x:c>
      <x:c r="J97" s="346">
        <x:f t="shared" si="2"/>
        <x:v>0</x:v>
      </x:c>
      <x:c r="K97" s="346">
        <x:f t="shared" si="2"/>
        <x:v>0</x:v>
      </x:c>
      <x:c r="L97" s="346">
        <x:f t="shared" si="2"/>
        <x:v>0</x:v>
      </x:c>
      <x:c r="O97" s="337"/>
      <x:c r="Q97" s="306"/>
    </x:row>
    <x:row r="98" spans="1:17" s="305" customFormat="1" ht="12" thickBot="1" x14ac:dyDescent="0.35">
      <x:c r="B98" s="348"/>
      <x:c r="C98" s="349" t="s">
        <x:v>2</x:v>
      </x:c>
      <x:c r="D98" s="350">
        <x:f t="shared" si="1"/>
        <x:v>0</x:v>
      </x:c>
      <x:c r="E98" s="350">
        <x:f t="shared" si="1"/>
        <x:v>0</x:v>
      </x:c>
      <x:c r="F98" s="351"/>
      <x:c r="G98" s="350">
        <x:f t="shared" si="2"/>
        <x:v>0</x:v>
      </x:c>
      <x:c r="H98" s="350">
        <x:f t="shared" si="2"/>
        <x:v>0</x:v>
      </x:c>
      <x:c r="I98" s="350">
        <x:f t="shared" si="2"/>
        <x:v>0</x:v>
      </x:c>
      <x:c r="J98" s="350">
        <x:f t="shared" si="2"/>
        <x:v>0</x:v>
      </x:c>
      <x:c r="K98" s="350">
        <x:f t="shared" si="2"/>
        <x:v>0</x:v>
      </x:c>
      <x:c r="L98" s="350">
        <x:f t="shared" si="2"/>
        <x:v>0</x:v>
      </x:c>
      <x:c r="M98" s="351"/>
      <x:c r="N98" s="351"/>
      <x:c r="O98" s="352"/>
      <x:c r="P98" s="329"/>
      <x:c r="Q98" s="306"/>
    </x:row>
    <x:row r="99" spans="1:17" s="1" customFormat="1" ht="11.6" x14ac:dyDescent="0.3">
      <x:c r="B99" s="2"/>
      <x:c r="C99" s="2"/>
      <x:c r="D99" s="448"/>
      <x:c r="Q99" s="4"/>
    </x:row>
    <x:row r="100" spans="1:17" s="1" customFormat="1" ht="11.6" x14ac:dyDescent="0.3">
      <x:c r="B100" s="2"/>
      <x:c r="C100" s="2"/>
      <x:c r="D100" s="448"/>
      <x:c r="L100" s="1" t="s">
        <x:v>1</x:v>
      </x:c>
      <x:c r="Q100" s="4"/>
    </x:row>
    <x:row r="101" spans="1:17" s="1" customFormat="1" ht="11.6" x14ac:dyDescent="0.3">
      <x:c r="A101" s="52"/>
      <x:c r="B101" s="53"/>
      <x:c r="C101" s="53"/>
      <x:c r="D101" s="454"/>
      <x:c r="E101" s="454"/>
      <x:c r="F101" s="454"/>
      <x:c r="G101" s="454"/>
      <x:c r="H101" s="454"/>
      <x:c r="I101" s="454"/>
      <x:c r="J101" s="52"/>
      <x:c r="K101" s="454"/>
      <x:c r="L101" s="454"/>
      <x:c r="M101" s="454"/>
      <x:c r="N101" s="454"/>
      <x:c r="O101" s="454"/>
      <x:c r="P101" s="52"/>
      <x:c r="Q101" s="4"/>
    </x:row>
  </x:sheetData>
  <x:conditionalFormatting sqref="D92:E98 G92:L98">
    <x:cfRule type="cellIs" dxfId="0" priority="1" operator="notEqual">
      <x:formula>0</x:formula>
    </x:cfRule>
  </x:conditionalFormatting>
  <x:pageMargins left="0.7" right="0.7" top="0.75" bottom="0.75" header="0.3" footer="0.3"/>
  <x:pageSetup orientation="portrait" r:id="rId1"/>
</x:worksheet>
</file>

<file path=xl/worksheets/sheet4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100-000000000000}" mc:Ignorable="x14ac xr xr2 xr3">
  <x:dimension ref="B1:I10"/>
  <x:sheetViews>
    <x:sheetView workbookViewId="0">
      <x:selection activeCell="E14" sqref="E14"/>
    </x:sheetView>
  </x:sheetViews>
  <x:sheetFormatPr baseColWidth="10" defaultRowHeight="12.45" x14ac:dyDescent="0.3"/>
  <x:cols>
    <x:col min="1" max="1" width="4.84375" customWidth="1"/>
    <x:col min="2" max="2" width="10" customWidth="1"/>
    <x:col min="3" max="3" width="20.3828125" bestFit="1" customWidth="1"/>
    <x:col min="4" max="4" width="17.15234375" customWidth="1"/>
    <x:col min="5" max="5" width="16.15234375" customWidth="1"/>
    <x:col min="6" max="6" width="21" bestFit="1" customWidth="1"/>
  </x:cols>
  <x:sheetData>
    <x:row r="1" spans="2:9" ht="12.9" thickBot="1" x14ac:dyDescent="0.35"/>
    <x:row r="2" spans="2:9" ht="15" thickBot="1" x14ac:dyDescent="0.45">
      <x:c r="C2" s="526">
        <x:v>2026101</x:v>
      </x:c>
      <x:c r="D2" s="527" t="s">
        <x:v>223</x:v>
      </x:c>
      <x:c r="E2" s="527" t="s">
        <x:v>202</x:v>
      </x:c>
      <x:c r="F2" s="143"/>
      <x:c r="G2" s="143"/>
      <x:c r="H2" s="143"/>
      <x:c r="I2" s="143"/>
    </x:row>
    <x:row r="3" spans="2:9" ht="14.6" x14ac:dyDescent="0.4">
      <x:c r="B3" s="577">
        <x:v>0</x:v>
      </x:c>
      <x:c r="C3" s="537" t="s">
        <x:v>203</x:v>
      </x:c>
      <x:c r="D3" s="528">
        <x:v>0</x:v>
      </x:c>
      <x:c r="E3" s="538">
        <x:v>0</x:v>
      </x:c>
      <x:c r="F3" s="529"/>
      <x:c r="G3" s="143"/>
      <x:c r="H3" s="143"/>
      <x:c r="I3" s="143"/>
    </x:row>
    <x:row r="4" spans="2:9" ht="14.6" x14ac:dyDescent="0.4">
      <x:c r="B4" s="578">
        <x:v>0</x:v>
      </x:c>
      <x:c r="C4" s="539" t="s">
        <x:v>203</x:v>
      </x:c>
      <x:c r="D4" s="530">
        <x:v>0</x:v>
      </x:c>
      <x:c r="E4" s="540"/>
      <x:c r="F4" s="532"/>
      <x:c r="G4" s="143"/>
      <x:c r="H4" s="143"/>
      <x:c r="I4" s="143"/>
    </x:row>
    <x:row r="5" spans="2:9" ht="14.6" x14ac:dyDescent="0.4">
      <x:c r="B5" s="578">
        <x:v>0</x:v>
      </x:c>
      <x:c r="C5" s="541" t="s">
        <x:v>204</x:v>
      </x:c>
      <x:c r="D5" s="542">
        <x:v>0</x:v>
      </x:c>
      <x:c r="E5" s="543">
        <x:v>0</x:v>
      </x:c>
      <x:c r="F5" s="532"/>
      <x:c r="G5" s="143"/>
      <x:c r="H5" s="143"/>
      <x:c r="I5" s="143"/>
    </x:row>
    <x:row r="6" spans="2:9" ht="15" thickBot="1" x14ac:dyDescent="0.45">
      <x:c r="B6" s="579">
        <x:v>0</x:v>
      </x:c>
      <x:c r="C6" s="541" t="s">
        <x:v>204</x:v>
      </x:c>
      <x:c r="D6" s="542">
        <x:v>0</x:v>
      </x:c>
      <x:c r="E6" s="544"/>
      <x:c r="F6" s="532"/>
      <x:c r="G6" s="143"/>
      <x:c r="H6" s="143"/>
      <x:c r="I6" s="143"/>
    </x:row>
    <x:row r="7" spans="2:9" ht="14.6" x14ac:dyDescent="0.4">
      <x:c r="B7" t="s">
        <x:v>1</x:v>
      </x:c>
      <x:c r="C7" s="545" t="s">
        <x:v>339</x:v>
      </x:c>
      <x:c r="D7" s="546" t="n">
        <x:v>50406458396</x:v>
      </x:c>
      <x:c r="E7" s="533" t="n">
        <x:f>SUM(D7:D9)</x:f>
        <x:v>50546883156</x:v>
      </x:c>
      <x:c r="F7" s="534" t="b">
        <x:v>1</x:v>
      </x:c>
      <x:c r="G7" s="143"/>
      <x:c r="H7" s="143"/>
      <x:c r="I7" s="143"/>
    </x:row>
    <x:row r="8" spans="2:9" ht="14.6" x14ac:dyDescent="0.4">
      <x:c r="C8" s="545" t="s">
        <x:v>326</x:v>
      </x:c>
      <x:c r="D8" s="546" t="n">
        <x:v>140424760</x:v>
      </x:c>
      <x:c r="E8" s="758"/>
      <x:c r="F8" s="534"/>
      <x:c r="G8" s="143"/>
      <x:c r="H8" s="143"/>
      <x:c r="I8" s="143"/>
    </x:row>
    <x:row r="9" spans="2:9" ht="14.6" x14ac:dyDescent="0.4">
      <x:c r="B9" t="s">
        <x:v>1</x:v>
      </x:c>
      <x:c r="C9" s="545" t="s">
        <x:v>205</x:v>
      </x:c>
      <x:c r="D9" s="546" t="n">
        <x:v>0</x:v>
      </x:c>
      <x:c r="E9" s="531"/>
      <x:c r="F9" s="532"/>
      <x:c r="G9" s="143"/>
      <x:c r="H9" s="143"/>
      <x:c r="I9" s="143"/>
    </x:row>
    <x:row r="10" spans="2:9" ht="15" thickBot="1" x14ac:dyDescent="0.45">
      <x:c r="C10" s="547" t="s">
        <x:v>206</x:v>
      </x:c>
      <x:c r="D10" s="535" t="n">
        <x:v>2555496630</x:v>
      </x:c>
      <x:c r="E10" s="535" t="n">
        <x:f>SUM(D10)</x:f>
        <x:v>2555496630</x:v>
      </x:c>
      <x:c r="F10" s="536" t="n">
        <x:f>E7+E10</x:f>
        <x:v>53102379786</x:v>
      </x:c>
      <x:c r="G10" s="143"/>
      <x:c r="H10" s="143"/>
      <x:c r="I10" s="143"/>
    </x:row>
  </x:sheetData>
  <x:printOptions horizontalCentered="1"/>
  <x:pageMargins left="0.31496062992125984" right="0.31496062992125984" top="0.74803149606299213" bottom="0.74803149606299213" header="0.31496062992125984" footer="0.31496062992125984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202610-1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DetRetri2026101</vt:lpstr>
      <vt:lpstr>DetValiRetri2026101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Chaparro Roa Luis Eduardo</cp:lastModifiedBy>
  <cp:lastPrinted>2024-12-17T18:14:41Z</cp:lastPrinted>
  <dcterms:created xsi:type="dcterms:W3CDTF">2003-01-13T14:55:35Z</dcterms:created>
  <dcterms:modified xsi:type="dcterms:W3CDTF">2026-10-20T22:12:00Z</dcterms:modified>
</cp:coreProperties>
</file>